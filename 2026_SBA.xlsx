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Sbaek\d\SBA\2026\Excel\"/>
    </mc:Choice>
  </mc:AlternateContent>
  <xr:revisionPtr revIDLastSave="0" documentId="13_ncr:1_{47790013-ED7E-4930-B182-D040FB5EFCD0}" xr6:coauthVersionLast="47" xr6:coauthVersionMax="47" xr10:uidLastSave="{00000000-0000-0000-0000-000000000000}"/>
  <bookViews>
    <workbookView xWindow="-120" yWindow="-120" windowWidth="29040" windowHeight="16440" tabRatio="583" activeTab="1" xr2:uid="{00000000-000D-0000-FFFF-FFFF00000000}"/>
  </bookViews>
  <sheets>
    <sheet name="Faaliyet" sheetId="1" r:id="rId1"/>
    <sheet name="Başvuru" sheetId="2" r:id="rId2"/>
    <sheet name="Toplantı" sheetId="3" r:id="rId3"/>
    <sheet name="Üye_1" sheetId="4" r:id="rId4"/>
    <sheet name="Birim" sheetId="5" r:id="rId5"/>
    <sheet name="Birim_Başvuru" sheetId="6" r:id="rId6"/>
    <sheet name="Sorumlu" sheetId="7" r:id="rId7"/>
    <sheet name="Araştırmacı_Detay" sheetId="8" r:id="rId8"/>
    <sheet name="Sayılar" sheetId="9" r:id="rId9"/>
    <sheet name="Word_Gündem" sheetId="10" r:id="rId10"/>
    <sheet name="2025" sheetId="11" r:id="rId11"/>
  </sheets>
  <definedNames>
    <definedName name="_xlnm._FilterDatabase" localSheetId="4" hidden="1">Birim!$B$5:$P$85</definedName>
    <definedName name="_xlnm._FilterDatabase" localSheetId="6" hidden="1">Sorumlu!$B$5:$P$334</definedName>
    <definedName name="ArastirmaciListesi">OFFSET(Araştırmacı_Detay!$N$9,0,0,COUNTIF(Araştırmacı_Detay!$N$9:$N$408,"?*"),1)</definedName>
    <definedName name="Eski">'2025'!$D$72:$D$1081</definedName>
    <definedName name="EskiListe">'2025'!$D:$D</definedName>
    <definedName name="F">'2025'!$D:$D</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U742" i="2" l="1"/>
  <c r="W742" i="2" s="1"/>
  <c r="V742" i="2"/>
  <c r="X742" i="2"/>
  <c r="Y742" i="2"/>
  <c r="Z742" i="2" s="1"/>
  <c r="AA742" i="2"/>
  <c r="AB742" i="2" s="1"/>
  <c r="U743" i="2"/>
  <c r="V743" i="2"/>
  <c r="W743" i="2"/>
  <c r="X743" i="2"/>
  <c r="Y743" i="2"/>
  <c r="Z743" i="2" s="1"/>
  <c r="AA743" i="2"/>
  <c r="AB743" i="2" s="1"/>
  <c r="U744" i="2"/>
  <c r="V744" i="2"/>
  <c r="W744" i="2"/>
  <c r="X744" i="2"/>
  <c r="Y744" i="2"/>
  <c r="Z744" i="2" s="1"/>
  <c r="AA744" i="2"/>
  <c r="AB744" i="2" s="1"/>
  <c r="U745" i="2"/>
  <c r="V745" i="2"/>
  <c r="W745" i="2"/>
  <c r="X745" i="2"/>
  <c r="Y745" i="2"/>
  <c r="Z745" i="2" s="1"/>
  <c r="AA745" i="2"/>
  <c r="AB745" i="2" s="1"/>
  <c r="U746" i="2"/>
  <c r="W746" i="2" s="1"/>
  <c r="V746" i="2"/>
  <c r="X746" i="2"/>
  <c r="Y746" i="2"/>
  <c r="Z746" i="2" s="1"/>
  <c r="AA746" i="2"/>
  <c r="AB746" i="2" s="1"/>
  <c r="U747" i="2"/>
  <c r="V747" i="2"/>
  <c r="W747" i="2"/>
  <c r="X747" i="2"/>
  <c r="Y747" i="2"/>
  <c r="Z747" i="2" s="1"/>
  <c r="AA747" i="2"/>
  <c r="AB747" i="2" s="1"/>
  <c r="U748" i="2"/>
  <c r="V748" i="2"/>
  <c r="W748" i="2"/>
  <c r="X748" i="2"/>
  <c r="Y748" i="2"/>
  <c r="Z748" i="2" s="1"/>
  <c r="AA748" i="2"/>
  <c r="AB748" i="2" s="1"/>
  <c r="U739" i="2"/>
  <c r="Y739" i="2"/>
  <c r="Z739" i="2" s="1"/>
  <c r="AA739" i="2"/>
  <c r="AB739" i="2" s="1"/>
  <c r="U740" i="2"/>
  <c r="Y740" i="2"/>
  <c r="Z740" i="2" s="1"/>
  <c r="AA740" i="2"/>
  <c r="AB740" i="2" s="1"/>
  <c r="U741" i="2"/>
  <c r="V741" i="2"/>
  <c r="W741" i="2"/>
  <c r="X741" i="2"/>
  <c r="Y741" i="2"/>
  <c r="Z741" i="2" s="1"/>
  <c r="AA741" i="2"/>
  <c r="AB741" i="2" s="1"/>
  <c r="U738" i="2"/>
  <c r="Y738" i="2"/>
  <c r="Z738" i="2" s="1"/>
  <c r="AA738" i="2"/>
  <c r="R738" i="2"/>
  <c r="R739" i="2"/>
  <c r="R740" i="2"/>
  <c r="R741" i="2"/>
  <c r="R742" i="2"/>
  <c r="R743" i="2"/>
  <c r="R744" i="2"/>
  <c r="R745" i="2"/>
  <c r="R746" i="2"/>
  <c r="R747" i="2"/>
  <c r="R748" i="2"/>
  <c r="C94" i="10"/>
  <c r="B94" i="10"/>
  <c r="C93" i="10"/>
  <c r="B93" i="10"/>
  <c r="C92" i="10"/>
  <c r="B92" i="10"/>
  <c r="C91" i="10"/>
  <c r="B91" i="10"/>
  <c r="C90" i="10"/>
  <c r="B90" i="10"/>
  <c r="C89" i="10"/>
  <c r="B89" i="10"/>
  <c r="C88" i="10"/>
  <c r="B88" i="10"/>
  <c r="C87" i="10"/>
  <c r="B87" i="10"/>
  <c r="C86" i="10"/>
  <c r="B86" i="10"/>
  <c r="C85" i="10"/>
  <c r="B85" i="10"/>
  <c r="C84" i="10"/>
  <c r="B84" i="10"/>
  <c r="C83" i="10"/>
  <c r="B83" i="10"/>
  <c r="C82" i="10"/>
  <c r="B82" i="10"/>
  <c r="C81" i="10"/>
  <c r="B81" i="10"/>
  <c r="C80" i="10"/>
  <c r="B80" i="10"/>
  <c r="C79" i="10"/>
  <c r="B79" i="10"/>
  <c r="C78" i="10"/>
  <c r="B78" i="10"/>
  <c r="C77" i="10"/>
  <c r="B77" i="10"/>
  <c r="C76" i="10"/>
  <c r="B76" i="10"/>
  <c r="C75" i="10"/>
  <c r="B75" i="10"/>
  <c r="C74" i="10"/>
  <c r="B74" i="10"/>
  <c r="C73" i="10"/>
  <c r="B73" i="10"/>
  <c r="C72" i="10"/>
  <c r="B72" i="10"/>
  <c r="C71" i="10"/>
  <c r="B71" i="10"/>
  <c r="C70" i="10"/>
  <c r="B70" i="10"/>
  <c r="C69" i="10"/>
  <c r="B69" i="10"/>
  <c r="C68" i="10"/>
  <c r="B68" i="10"/>
  <c r="C67" i="10"/>
  <c r="B67" i="10"/>
  <c r="C66" i="10"/>
  <c r="B66" i="10"/>
  <c r="C65" i="10"/>
  <c r="B65" i="10"/>
  <c r="C64" i="10"/>
  <c r="B64" i="10"/>
  <c r="C63" i="10"/>
  <c r="B63" i="10"/>
  <c r="C62" i="10"/>
  <c r="B62" i="10"/>
  <c r="C61" i="10"/>
  <c r="B61" i="10"/>
  <c r="C60" i="10"/>
  <c r="B60" i="10"/>
  <c r="C59" i="10"/>
  <c r="B59" i="10"/>
  <c r="C58" i="10"/>
  <c r="B58" i="10"/>
  <c r="C57" i="10"/>
  <c r="B57" i="10"/>
  <c r="C56" i="10"/>
  <c r="B56" i="10"/>
  <c r="C55" i="10"/>
  <c r="B55" i="10"/>
  <c r="C54" i="10"/>
  <c r="B54" i="10"/>
  <c r="C53" i="10"/>
  <c r="B53" i="10"/>
  <c r="C52" i="10"/>
  <c r="B52" i="10"/>
  <c r="C51" i="10"/>
  <c r="B51" i="10"/>
  <c r="C50" i="10"/>
  <c r="B50" i="10"/>
  <c r="C49" i="10"/>
  <c r="B49" i="10"/>
  <c r="C48" i="10"/>
  <c r="B48" i="10"/>
  <c r="C47" i="10"/>
  <c r="B47" i="10"/>
  <c r="C46" i="10"/>
  <c r="B46" i="10"/>
  <c r="C45" i="10"/>
  <c r="B45" i="10"/>
  <c r="C44" i="10"/>
  <c r="B44" i="10"/>
  <c r="C43" i="10"/>
  <c r="B43" i="10"/>
  <c r="C42" i="10"/>
  <c r="B42" i="10"/>
  <c r="C41" i="10"/>
  <c r="B41" i="10"/>
  <c r="C40" i="10"/>
  <c r="B40" i="10"/>
  <c r="C39" i="10"/>
  <c r="B39" i="10"/>
  <c r="C38" i="10"/>
  <c r="B38" i="10"/>
  <c r="C37" i="10"/>
  <c r="B37" i="10"/>
  <c r="C36" i="10"/>
  <c r="B36" i="10"/>
  <c r="C35" i="10"/>
  <c r="B35" i="10"/>
  <c r="C34" i="10"/>
  <c r="B34" i="10"/>
  <c r="C33" i="10"/>
  <c r="B33" i="10"/>
  <c r="C32" i="10"/>
  <c r="B32" i="10"/>
  <c r="C31" i="10"/>
  <c r="B31" i="10"/>
  <c r="C30" i="10"/>
  <c r="B30" i="10"/>
  <c r="C29" i="10"/>
  <c r="B29" i="10"/>
  <c r="C28" i="10"/>
  <c r="B28" i="10"/>
  <c r="C27" i="10"/>
  <c r="B27" i="10"/>
  <c r="C26" i="10"/>
  <c r="B26" i="10"/>
  <c r="C25" i="10"/>
  <c r="B25" i="10"/>
  <c r="C24" i="10"/>
  <c r="B24" i="10"/>
  <c r="C23" i="10"/>
  <c r="B23" i="10"/>
  <c r="C22" i="10"/>
  <c r="B22" i="10"/>
  <c r="C21" i="10"/>
  <c r="B21" i="10"/>
  <c r="C20" i="10"/>
  <c r="B20" i="10"/>
  <c r="C19" i="10"/>
  <c r="B19" i="10"/>
  <c r="C18" i="10"/>
  <c r="B18" i="10"/>
  <c r="C17" i="10"/>
  <c r="B17" i="10"/>
  <c r="C16" i="10"/>
  <c r="B16" i="10"/>
  <c r="C15" i="10"/>
  <c r="B15" i="10"/>
  <c r="C14" i="10"/>
  <c r="B14" i="10"/>
  <c r="C13" i="10"/>
  <c r="B13" i="10"/>
  <c r="C12" i="10"/>
  <c r="B12" i="10"/>
  <c r="C11" i="10"/>
  <c r="B11" i="10"/>
  <c r="C10" i="10"/>
  <c r="B10" i="10"/>
  <c r="C9" i="10"/>
  <c r="B9" i="10"/>
  <c r="C8" i="10"/>
  <c r="B8" i="10"/>
  <c r="C7" i="10"/>
  <c r="B7" i="10"/>
  <c r="C6" i="10"/>
  <c r="B6" i="10"/>
  <c r="C5" i="10"/>
  <c r="B5" i="10"/>
  <c r="C4" i="10"/>
  <c r="B4" i="10"/>
  <c r="C3" i="10"/>
  <c r="B3" i="10"/>
  <c r="C2" i="10"/>
  <c r="B2" i="10"/>
  <c r="C1" i="10"/>
  <c r="B1" i="10"/>
  <c r="E27" i="9"/>
  <c r="D27" i="9"/>
  <c r="D28" i="9" s="1"/>
  <c r="F26" i="9"/>
  <c r="F25" i="9"/>
  <c r="F24" i="9"/>
  <c r="F23" i="9"/>
  <c r="F22" i="9"/>
  <c r="F21" i="9"/>
  <c r="F20" i="9"/>
  <c r="F19" i="9"/>
  <c r="F18" i="9"/>
  <c r="F17" i="9"/>
  <c r="F16" i="9"/>
  <c r="C15" i="9"/>
  <c r="F14" i="9"/>
  <c r="F13" i="9"/>
  <c r="F12" i="9"/>
  <c r="F11" i="9"/>
  <c r="F10" i="9"/>
  <c r="F9" i="9"/>
  <c r="F8" i="9"/>
  <c r="F7" i="9"/>
  <c r="F6" i="9"/>
  <c r="F5" i="9"/>
  <c r="F4" i="9"/>
  <c r="H5" i="8"/>
  <c r="P506" i="7"/>
  <c r="O506" i="7"/>
  <c r="N506" i="7"/>
  <c r="M506" i="7"/>
  <c r="L506" i="7"/>
  <c r="K506" i="7"/>
  <c r="J506" i="7"/>
  <c r="I506" i="7"/>
  <c r="H506" i="7"/>
  <c r="G506" i="7"/>
  <c r="F506" i="7"/>
  <c r="D506" i="7"/>
  <c r="P3" i="6"/>
  <c r="O3" i="6"/>
  <c r="N3" i="6"/>
  <c r="M3" i="6"/>
  <c r="L3" i="6"/>
  <c r="K3" i="6"/>
  <c r="J3" i="6"/>
  <c r="I3" i="6"/>
  <c r="H3" i="6"/>
  <c r="G3" i="6"/>
  <c r="F3" i="6"/>
  <c r="E3" i="6"/>
  <c r="D3" i="6"/>
  <c r="C3" i="6"/>
  <c r="B3" i="6"/>
  <c r="P156" i="5"/>
  <c r="O156" i="5"/>
  <c r="N156" i="5"/>
  <c r="M156" i="5"/>
  <c r="L156" i="5"/>
  <c r="K156" i="5"/>
  <c r="J156" i="5"/>
  <c r="I156" i="5"/>
  <c r="H156" i="5"/>
  <c r="G156" i="5"/>
  <c r="F156" i="5"/>
  <c r="D156" i="5"/>
  <c r="C35" i="4"/>
  <c r="C34" i="4"/>
  <c r="C33" i="4"/>
  <c r="C32" i="4"/>
  <c r="C31" i="4"/>
  <c r="C30" i="4"/>
  <c r="C29" i="4"/>
  <c r="C28" i="4"/>
  <c r="C24" i="4"/>
  <c r="C23" i="4"/>
  <c r="C22" i="4"/>
  <c r="C21" i="4"/>
  <c r="C25" i="4" s="1"/>
  <c r="C16" i="4"/>
  <c r="AT14" i="4"/>
  <c r="AS14" i="4"/>
  <c r="C14" i="4"/>
  <c r="AT13" i="4"/>
  <c r="AS13" i="4"/>
  <c r="C13" i="4"/>
  <c r="AT12" i="4"/>
  <c r="AS12" i="4"/>
  <c r="C12" i="4"/>
  <c r="AT11" i="4"/>
  <c r="AS11" i="4"/>
  <c r="C11" i="4"/>
  <c r="AT10" i="4"/>
  <c r="AS10" i="4"/>
  <c r="C10" i="4"/>
  <c r="AT9" i="4"/>
  <c r="AS9" i="4"/>
  <c r="C9" i="4"/>
  <c r="AT8" i="4"/>
  <c r="AS8" i="4"/>
  <c r="C8" i="4"/>
  <c r="AT7" i="4"/>
  <c r="AS7" i="4"/>
  <c r="C7" i="4"/>
  <c r="AT6" i="4"/>
  <c r="AS6" i="4"/>
  <c r="C6" i="4"/>
  <c r="AT5" i="4"/>
  <c r="AS5" i="4"/>
  <c r="C5" i="4"/>
  <c r="AT4" i="4"/>
  <c r="AS4" i="4"/>
  <c r="C4" i="4"/>
  <c r="AT3" i="4"/>
  <c r="AT15" i="4" s="1"/>
  <c r="AS3" i="4"/>
  <c r="AS15" i="4" s="1"/>
  <c r="C3" i="4"/>
  <c r="K20" i="3"/>
  <c r="J20" i="3"/>
  <c r="I20" i="3"/>
  <c r="H20" i="3"/>
  <c r="G20" i="3"/>
  <c r="F20" i="3"/>
  <c r="E20" i="3"/>
  <c r="D20" i="3"/>
  <c r="C20" i="3"/>
  <c r="A20" i="3"/>
  <c r="K19" i="3"/>
  <c r="C19" i="3"/>
  <c r="A19" i="3"/>
  <c r="K18" i="3"/>
  <c r="C18" i="3"/>
  <c r="A18" i="3"/>
  <c r="K17" i="3"/>
  <c r="C17" i="3"/>
  <c r="A17" i="3"/>
  <c r="K16" i="3"/>
  <c r="C16" i="3"/>
  <c r="A16" i="3"/>
  <c r="K15" i="3"/>
  <c r="C15" i="3"/>
  <c r="A15" i="3"/>
  <c r="K14" i="3"/>
  <c r="C14" i="3"/>
  <c r="A14" i="3"/>
  <c r="K13" i="3"/>
  <c r="C13" i="3"/>
  <c r="A13" i="3"/>
  <c r="K12" i="3"/>
  <c r="C12" i="3"/>
  <c r="A12" i="3"/>
  <c r="K11" i="3"/>
  <c r="C11" i="3"/>
  <c r="A11" i="3"/>
  <c r="K10" i="3"/>
  <c r="C10" i="3"/>
  <c r="A10" i="3"/>
  <c r="K9" i="3"/>
  <c r="C9" i="3"/>
  <c r="A9" i="3"/>
  <c r="K8" i="3"/>
  <c r="C8" i="3"/>
  <c r="A8" i="3"/>
  <c r="K7" i="3"/>
  <c r="C7" i="3"/>
  <c r="A7" i="3"/>
  <c r="K6" i="3"/>
  <c r="C6" i="3"/>
  <c r="A6" i="3"/>
  <c r="K5" i="3"/>
  <c r="C5" i="3"/>
  <c r="A5" i="3"/>
  <c r="K4" i="3"/>
  <c r="K21" i="3" s="1"/>
  <c r="C4" i="3"/>
  <c r="A4" i="3"/>
  <c r="B35" i="1"/>
  <c r="C31" i="1"/>
  <c r="C30" i="1"/>
  <c r="C29" i="1"/>
  <c r="C28" i="1"/>
  <c r="C25" i="1"/>
  <c r="C15" i="1"/>
  <c r="C8" i="1"/>
  <c r="C7" i="1"/>
  <c r="AA1833" i="2"/>
  <c r="AB1833" i="2" s="1"/>
  <c r="Y1833" i="2"/>
  <c r="Z1833" i="2" s="1"/>
  <c r="V1833" i="2"/>
  <c r="U1833" i="2"/>
  <c r="AA1832" i="2"/>
  <c r="AB1832" i="2" s="1"/>
  <c r="Y1832" i="2"/>
  <c r="Z1832" i="2" s="1"/>
  <c r="V1832" i="2"/>
  <c r="U1832" i="2"/>
  <c r="AA1831" i="2"/>
  <c r="AB1831" i="2" s="1"/>
  <c r="Y1831" i="2"/>
  <c r="Z1831" i="2" s="1"/>
  <c r="V1831" i="2"/>
  <c r="U1831" i="2"/>
  <c r="AA1830" i="2"/>
  <c r="AB1830" i="2" s="1"/>
  <c r="Y1830" i="2"/>
  <c r="Z1830" i="2" s="1"/>
  <c r="V1830" i="2"/>
  <c r="U1830" i="2"/>
  <c r="AA1829" i="2"/>
  <c r="AB1829" i="2" s="1"/>
  <c r="Y1829" i="2"/>
  <c r="Z1829" i="2" s="1"/>
  <c r="V1829" i="2"/>
  <c r="U1829" i="2"/>
  <c r="AA1828" i="2"/>
  <c r="AB1828" i="2" s="1"/>
  <c r="Y1828" i="2"/>
  <c r="Z1828" i="2" s="1"/>
  <c r="V1828" i="2"/>
  <c r="U1828" i="2"/>
  <c r="AA1827" i="2"/>
  <c r="AB1827" i="2" s="1"/>
  <c r="Y1827" i="2"/>
  <c r="Z1827" i="2" s="1"/>
  <c r="V1827" i="2"/>
  <c r="U1827" i="2"/>
  <c r="AA1826" i="2"/>
  <c r="AB1826" i="2" s="1"/>
  <c r="Y1826" i="2"/>
  <c r="Z1826" i="2" s="1"/>
  <c r="V1826" i="2"/>
  <c r="U1826" i="2"/>
  <c r="AA1825" i="2"/>
  <c r="AB1825" i="2" s="1"/>
  <c r="Y1825" i="2"/>
  <c r="Z1825" i="2" s="1"/>
  <c r="V1825" i="2"/>
  <c r="U1825" i="2"/>
  <c r="AA1824" i="2"/>
  <c r="AB1824" i="2" s="1"/>
  <c r="Y1824" i="2"/>
  <c r="Z1824" i="2" s="1"/>
  <c r="V1824" i="2"/>
  <c r="U1824" i="2"/>
  <c r="AA1823" i="2"/>
  <c r="AB1823" i="2" s="1"/>
  <c r="Y1823" i="2"/>
  <c r="Z1823" i="2" s="1"/>
  <c r="V1823" i="2"/>
  <c r="U1823" i="2"/>
  <c r="AA1822" i="2"/>
  <c r="AB1822" i="2" s="1"/>
  <c r="Y1822" i="2"/>
  <c r="Z1822" i="2" s="1"/>
  <c r="V1822" i="2"/>
  <c r="U1822" i="2"/>
  <c r="AA1821" i="2"/>
  <c r="AB1821" i="2" s="1"/>
  <c r="Y1821" i="2"/>
  <c r="Z1821" i="2" s="1"/>
  <c r="V1821" i="2"/>
  <c r="U1821" i="2"/>
  <c r="AA1820" i="2"/>
  <c r="AB1820" i="2" s="1"/>
  <c r="Y1820" i="2"/>
  <c r="Z1820" i="2" s="1"/>
  <c r="V1820" i="2"/>
  <c r="U1820" i="2"/>
  <c r="AA1819" i="2"/>
  <c r="AB1819" i="2" s="1"/>
  <c r="Y1819" i="2"/>
  <c r="Z1819" i="2" s="1"/>
  <c r="V1819" i="2"/>
  <c r="U1819" i="2"/>
  <c r="AA1818" i="2"/>
  <c r="AB1818" i="2" s="1"/>
  <c r="Y1818" i="2"/>
  <c r="Z1818" i="2" s="1"/>
  <c r="V1818" i="2"/>
  <c r="U1818" i="2"/>
  <c r="AA1817" i="2"/>
  <c r="AB1817" i="2" s="1"/>
  <c r="Y1817" i="2"/>
  <c r="Z1817" i="2" s="1"/>
  <c r="V1817" i="2"/>
  <c r="U1817" i="2"/>
  <c r="AA1816" i="2"/>
  <c r="AB1816" i="2" s="1"/>
  <c r="Y1816" i="2"/>
  <c r="Z1816" i="2" s="1"/>
  <c r="V1816" i="2"/>
  <c r="U1816" i="2"/>
  <c r="AA1815" i="2"/>
  <c r="AB1815" i="2" s="1"/>
  <c r="Y1815" i="2"/>
  <c r="Z1815" i="2" s="1"/>
  <c r="V1815" i="2"/>
  <c r="U1815" i="2"/>
  <c r="AA1814" i="2"/>
  <c r="AB1814" i="2" s="1"/>
  <c r="Y1814" i="2"/>
  <c r="Z1814" i="2" s="1"/>
  <c r="V1814" i="2"/>
  <c r="U1814" i="2"/>
  <c r="AA1813" i="2"/>
  <c r="AB1813" i="2" s="1"/>
  <c r="Y1813" i="2"/>
  <c r="Z1813" i="2" s="1"/>
  <c r="V1813" i="2"/>
  <c r="U1813" i="2"/>
  <c r="AA1812" i="2"/>
  <c r="AB1812" i="2" s="1"/>
  <c r="Y1812" i="2"/>
  <c r="Z1812" i="2" s="1"/>
  <c r="V1812" i="2"/>
  <c r="U1812" i="2"/>
  <c r="AA1811" i="2"/>
  <c r="AB1811" i="2" s="1"/>
  <c r="Y1811" i="2"/>
  <c r="Z1811" i="2" s="1"/>
  <c r="V1811" i="2"/>
  <c r="U1811" i="2"/>
  <c r="AA1810" i="2"/>
  <c r="AB1810" i="2" s="1"/>
  <c r="Y1810" i="2"/>
  <c r="Z1810" i="2" s="1"/>
  <c r="V1810" i="2"/>
  <c r="U1810" i="2"/>
  <c r="AA1809" i="2"/>
  <c r="AB1809" i="2" s="1"/>
  <c r="Y1809" i="2"/>
  <c r="Z1809" i="2" s="1"/>
  <c r="V1809" i="2"/>
  <c r="U1809" i="2"/>
  <c r="AA1808" i="2"/>
  <c r="AB1808" i="2" s="1"/>
  <c r="Y1808" i="2"/>
  <c r="Z1808" i="2" s="1"/>
  <c r="V1808" i="2"/>
  <c r="U1808" i="2"/>
  <c r="AA1807" i="2"/>
  <c r="AB1807" i="2" s="1"/>
  <c r="Y1807" i="2"/>
  <c r="Z1807" i="2" s="1"/>
  <c r="V1807" i="2"/>
  <c r="U1807" i="2"/>
  <c r="AA1806" i="2"/>
  <c r="AB1806" i="2" s="1"/>
  <c r="Y1806" i="2"/>
  <c r="Z1806" i="2" s="1"/>
  <c r="V1806" i="2"/>
  <c r="U1806" i="2"/>
  <c r="AA1805" i="2"/>
  <c r="AB1805" i="2" s="1"/>
  <c r="Y1805" i="2"/>
  <c r="Z1805" i="2" s="1"/>
  <c r="V1805" i="2"/>
  <c r="U1805" i="2"/>
  <c r="AA1804" i="2"/>
  <c r="AB1804" i="2" s="1"/>
  <c r="Y1804" i="2"/>
  <c r="Z1804" i="2" s="1"/>
  <c r="V1804" i="2"/>
  <c r="U1804" i="2"/>
  <c r="AA1803" i="2"/>
  <c r="AB1803" i="2" s="1"/>
  <c r="Y1803" i="2"/>
  <c r="Z1803" i="2" s="1"/>
  <c r="V1803" i="2"/>
  <c r="U1803" i="2"/>
  <c r="AA1802" i="2"/>
  <c r="AB1802" i="2" s="1"/>
  <c r="Y1802" i="2"/>
  <c r="Z1802" i="2" s="1"/>
  <c r="V1802" i="2"/>
  <c r="U1802" i="2"/>
  <c r="AA1801" i="2"/>
  <c r="AB1801" i="2" s="1"/>
  <c r="Y1801" i="2"/>
  <c r="Z1801" i="2" s="1"/>
  <c r="V1801" i="2"/>
  <c r="U1801" i="2"/>
  <c r="AA1800" i="2"/>
  <c r="AB1800" i="2" s="1"/>
  <c r="Y1800" i="2"/>
  <c r="Z1800" i="2" s="1"/>
  <c r="V1800" i="2"/>
  <c r="U1800" i="2"/>
  <c r="AA1799" i="2"/>
  <c r="AB1799" i="2" s="1"/>
  <c r="Y1799" i="2"/>
  <c r="Z1799" i="2" s="1"/>
  <c r="V1799" i="2"/>
  <c r="U1799" i="2"/>
  <c r="AA1798" i="2"/>
  <c r="AB1798" i="2" s="1"/>
  <c r="Y1798" i="2"/>
  <c r="Z1798" i="2" s="1"/>
  <c r="V1798" i="2"/>
  <c r="U1798" i="2"/>
  <c r="AA1797" i="2"/>
  <c r="AB1797" i="2" s="1"/>
  <c r="Y1797" i="2"/>
  <c r="Z1797" i="2" s="1"/>
  <c r="V1797" i="2"/>
  <c r="U1797" i="2"/>
  <c r="AA1796" i="2"/>
  <c r="AB1796" i="2" s="1"/>
  <c r="Y1796" i="2"/>
  <c r="Z1796" i="2" s="1"/>
  <c r="V1796" i="2"/>
  <c r="U1796" i="2"/>
  <c r="AA1795" i="2"/>
  <c r="AB1795" i="2" s="1"/>
  <c r="Y1795" i="2"/>
  <c r="Z1795" i="2" s="1"/>
  <c r="V1795" i="2"/>
  <c r="U1795" i="2"/>
  <c r="AA1794" i="2"/>
  <c r="AB1794" i="2" s="1"/>
  <c r="Y1794" i="2"/>
  <c r="Z1794" i="2" s="1"/>
  <c r="V1794" i="2"/>
  <c r="U1794" i="2"/>
  <c r="AA1793" i="2"/>
  <c r="AB1793" i="2" s="1"/>
  <c r="Y1793" i="2"/>
  <c r="Z1793" i="2" s="1"/>
  <c r="V1793" i="2"/>
  <c r="U1793" i="2"/>
  <c r="AA1792" i="2"/>
  <c r="AB1792" i="2" s="1"/>
  <c r="Y1792" i="2"/>
  <c r="Z1792" i="2" s="1"/>
  <c r="V1792" i="2"/>
  <c r="U1792" i="2"/>
  <c r="AA1791" i="2"/>
  <c r="AB1791" i="2" s="1"/>
  <c r="Y1791" i="2"/>
  <c r="Z1791" i="2" s="1"/>
  <c r="V1791" i="2"/>
  <c r="U1791" i="2"/>
  <c r="AA1790" i="2"/>
  <c r="AB1790" i="2" s="1"/>
  <c r="Y1790" i="2"/>
  <c r="Z1790" i="2" s="1"/>
  <c r="V1790" i="2"/>
  <c r="U1790" i="2"/>
  <c r="AA1789" i="2"/>
  <c r="AB1789" i="2" s="1"/>
  <c r="Y1789" i="2"/>
  <c r="Z1789" i="2" s="1"/>
  <c r="V1789" i="2"/>
  <c r="U1789" i="2"/>
  <c r="AA1788" i="2"/>
  <c r="AB1788" i="2" s="1"/>
  <c r="Y1788" i="2"/>
  <c r="Z1788" i="2" s="1"/>
  <c r="V1788" i="2"/>
  <c r="U1788" i="2"/>
  <c r="AA1787" i="2"/>
  <c r="AB1787" i="2" s="1"/>
  <c r="Y1787" i="2"/>
  <c r="Z1787" i="2" s="1"/>
  <c r="V1787" i="2"/>
  <c r="U1787" i="2"/>
  <c r="AA1786" i="2"/>
  <c r="AB1786" i="2" s="1"/>
  <c r="Y1786" i="2"/>
  <c r="Z1786" i="2" s="1"/>
  <c r="V1786" i="2"/>
  <c r="U1786" i="2"/>
  <c r="AA1785" i="2"/>
  <c r="AB1785" i="2" s="1"/>
  <c r="Y1785" i="2"/>
  <c r="Z1785" i="2" s="1"/>
  <c r="V1785" i="2"/>
  <c r="U1785" i="2"/>
  <c r="AA1784" i="2"/>
  <c r="AB1784" i="2" s="1"/>
  <c r="Y1784" i="2"/>
  <c r="Z1784" i="2" s="1"/>
  <c r="V1784" i="2"/>
  <c r="U1784" i="2"/>
  <c r="AA1783" i="2"/>
  <c r="AB1783" i="2" s="1"/>
  <c r="Y1783" i="2"/>
  <c r="Z1783" i="2" s="1"/>
  <c r="V1783" i="2"/>
  <c r="U1783" i="2"/>
  <c r="AA1782" i="2"/>
  <c r="AB1782" i="2" s="1"/>
  <c r="Y1782" i="2"/>
  <c r="Z1782" i="2" s="1"/>
  <c r="V1782" i="2"/>
  <c r="U1782" i="2"/>
  <c r="AA1781" i="2"/>
  <c r="AB1781" i="2" s="1"/>
  <c r="Y1781" i="2"/>
  <c r="Z1781" i="2" s="1"/>
  <c r="V1781" i="2"/>
  <c r="U1781" i="2"/>
  <c r="AA1780" i="2"/>
  <c r="AB1780" i="2" s="1"/>
  <c r="Y1780" i="2"/>
  <c r="Z1780" i="2" s="1"/>
  <c r="V1780" i="2"/>
  <c r="U1780" i="2"/>
  <c r="AA1779" i="2"/>
  <c r="AB1779" i="2" s="1"/>
  <c r="Y1779" i="2"/>
  <c r="Z1779" i="2" s="1"/>
  <c r="V1779" i="2"/>
  <c r="U1779" i="2"/>
  <c r="AA1778" i="2"/>
  <c r="AB1778" i="2" s="1"/>
  <c r="Y1778" i="2"/>
  <c r="Z1778" i="2" s="1"/>
  <c r="V1778" i="2"/>
  <c r="U1778" i="2"/>
  <c r="AA1777" i="2"/>
  <c r="AB1777" i="2" s="1"/>
  <c r="Y1777" i="2"/>
  <c r="Z1777" i="2" s="1"/>
  <c r="V1777" i="2"/>
  <c r="U1777" i="2"/>
  <c r="AA1776" i="2"/>
  <c r="AB1776" i="2" s="1"/>
  <c r="Y1776" i="2"/>
  <c r="Z1776" i="2" s="1"/>
  <c r="V1776" i="2"/>
  <c r="U1776" i="2"/>
  <c r="AA1775" i="2"/>
  <c r="AB1775" i="2" s="1"/>
  <c r="Y1775" i="2"/>
  <c r="Z1775" i="2" s="1"/>
  <c r="V1775" i="2"/>
  <c r="U1775" i="2"/>
  <c r="AA1774" i="2"/>
  <c r="AB1774" i="2" s="1"/>
  <c r="Y1774" i="2"/>
  <c r="Z1774" i="2" s="1"/>
  <c r="V1774" i="2"/>
  <c r="U1774" i="2"/>
  <c r="AA1773" i="2"/>
  <c r="AB1773" i="2" s="1"/>
  <c r="Y1773" i="2"/>
  <c r="Z1773" i="2" s="1"/>
  <c r="V1773" i="2"/>
  <c r="U1773" i="2"/>
  <c r="AA1772" i="2"/>
  <c r="AB1772" i="2" s="1"/>
  <c r="Y1772" i="2"/>
  <c r="Z1772" i="2" s="1"/>
  <c r="V1772" i="2"/>
  <c r="U1772" i="2"/>
  <c r="AA1771" i="2"/>
  <c r="AB1771" i="2" s="1"/>
  <c r="Y1771" i="2"/>
  <c r="Z1771" i="2" s="1"/>
  <c r="V1771" i="2"/>
  <c r="U1771" i="2"/>
  <c r="AA1770" i="2"/>
  <c r="AB1770" i="2" s="1"/>
  <c r="Y1770" i="2"/>
  <c r="Z1770" i="2" s="1"/>
  <c r="V1770" i="2"/>
  <c r="U1770" i="2"/>
  <c r="AA1769" i="2"/>
  <c r="AB1769" i="2" s="1"/>
  <c r="Y1769" i="2"/>
  <c r="Z1769" i="2" s="1"/>
  <c r="V1769" i="2"/>
  <c r="U1769" i="2"/>
  <c r="AA1768" i="2"/>
  <c r="AB1768" i="2" s="1"/>
  <c r="Y1768" i="2"/>
  <c r="Z1768" i="2" s="1"/>
  <c r="V1768" i="2"/>
  <c r="U1768" i="2"/>
  <c r="AA1767" i="2"/>
  <c r="AB1767" i="2" s="1"/>
  <c r="Y1767" i="2"/>
  <c r="Z1767" i="2" s="1"/>
  <c r="V1767" i="2"/>
  <c r="U1767" i="2"/>
  <c r="AA1766" i="2"/>
  <c r="AB1766" i="2" s="1"/>
  <c r="Y1766" i="2"/>
  <c r="Z1766" i="2" s="1"/>
  <c r="V1766" i="2"/>
  <c r="U1766" i="2"/>
  <c r="AA1765" i="2"/>
  <c r="AB1765" i="2" s="1"/>
  <c r="Y1765" i="2"/>
  <c r="Z1765" i="2" s="1"/>
  <c r="V1765" i="2"/>
  <c r="U1765" i="2"/>
  <c r="AA1764" i="2"/>
  <c r="AB1764" i="2" s="1"/>
  <c r="Y1764" i="2"/>
  <c r="Z1764" i="2" s="1"/>
  <c r="V1764" i="2"/>
  <c r="U1764" i="2"/>
  <c r="AA1763" i="2"/>
  <c r="AB1763" i="2" s="1"/>
  <c r="Y1763" i="2"/>
  <c r="Z1763" i="2" s="1"/>
  <c r="V1763" i="2"/>
  <c r="U1763" i="2"/>
  <c r="AA1762" i="2"/>
  <c r="AB1762" i="2" s="1"/>
  <c r="Y1762" i="2"/>
  <c r="Z1762" i="2" s="1"/>
  <c r="V1762" i="2"/>
  <c r="U1762" i="2"/>
  <c r="AA1761" i="2"/>
  <c r="AB1761" i="2" s="1"/>
  <c r="Y1761" i="2"/>
  <c r="Z1761" i="2" s="1"/>
  <c r="V1761" i="2"/>
  <c r="U1761" i="2"/>
  <c r="AA1760" i="2"/>
  <c r="AB1760" i="2" s="1"/>
  <c r="Y1760" i="2"/>
  <c r="Z1760" i="2" s="1"/>
  <c r="V1760" i="2"/>
  <c r="U1760" i="2"/>
  <c r="AA1759" i="2"/>
  <c r="AB1759" i="2" s="1"/>
  <c r="Y1759" i="2"/>
  <c r="Z1759" i="2" s="1"/>
  <c r="V1759" i="2"/>
  <c r="U1759" i="2"/>
  <c r="AA1758" i="2"/>
  <c r="AB1758" i="2" s="1"/>
  <c r="Y1758" i="2"/>
  <c r="Z1758" i="2" s="1"/>
  <c r="V1758" i="2"/>
  <c r="U1758" i="2"/>
  <c r="AA1757" i="2"/>
  <c r="AB1757" i="2" s="1"/>
  <c r="Y1757" i="2"/>
  <c r="Z1757" i="2" s="1"/>
  <c r="V1757" i="2"/>
  <c r="U1757" i="2"/>
  <c r="AA1756" i="2"/>
  <c r="AB1756" i="2" s="1"/>
  <c r="Y1756" i="2"/>
  <c r="Z1756" i="2" s="1"/>
  <c r="V1756" i="2"/>
  <c r="U1756" i="2"/>
  <c r="AA1755" i="2"/>
  <c r="AB1755" i="2" s="1"/>
  <c r="Y1755" i="2"/>
  <c r="Z1755" i="2" s="1"/>
  <c r="V1755" i="2"/>
  <c r="U1755" i="2"/>
  <c r="AA1754" i="2"/>
  <c r="AB1754" i="2" s="1"/>
  <c r="Y1754" i="2"/>
  <c r="Z1754" i="2" s="1"/>
  <c r="V1754" i="2"/>
  <c r="U1754" i="2"/>
  <c r="AA1753" i="2"/>
  <c r="AB1753" i="2" s="1"/>
  <c r="Y1753" i="2"/>
  <c r="Z1753" i="2" s="1"/>
  <c r="V1753" i="2"/>
  <c r="U1753" i="2"/>
  <c r="AA1752" i="2"/>
  <c r="AB1752" i="2" s="1"/>
  <c r="Y1752" i="2"/>
  <c r="Z1752" i="2" s="1"/>
  <c r="V1752" i="2"/>
  <c r="U1752" i="2"/>
  <c r="AA1751" i="2"/>
  <c r="AB1751" i="2" s="1"/>
  <c r="Y1751" i="2"/>
  <c r="Z1751" i="2" s="1"/>
  <c r="V1751" i="2"/>
  <c r="U1751" i="2"/>
  <c r="AA1750" i="2"/>
  <c r="AB1750" i="2" s="1"/>
  <c r="Y1750" i="2"/>
  <c r="Z1750" i="2" s="1"/>
  <c r="V1750" i="2"/>
  <c r="U1750" i="2"/>
  <c r="AA1749" i="2"/>
  <c r="AB1749" i="2" s="1"/>
  <c r="Y1749" i="2"/>
  <c r="Z1749" i="2" s="1"/>
  <c r="V1749" i="2"/>
  <c r="U1749" i="2"/>
  <c r="AA1748" i="2"/>
  <c r="AB1748" i="2" s="1"/>
  <c r="Y1748" i="2"/>
  <c r="Z1748" i="2" s="1"/>
  <c r="V1748" i="2"/>
  <c r="U1748" i="2"/>
  <c r="AA1747" i="2"/>
  <c r="AB1747" i="2" s="1"/>
  <c r="Y1747" i="2"/>
  <c r="Z1747" i="2" s="1"/>
  <c r="V1747" i="2"/>
  <c r="U1747" i="2"/>
  <c r="AA1746" i="2"/>
  <c r="AB1746" i="2" s="1"/>
  <c r="Y1746" i="2"/>
  <c r="Z1746" i="2" s="1"/>
  <c r="V1746" i="2"/>
  <c r="U1746" i="2"/>
  <c r="AA1745" i="2"/>
  <c r="AB1745" i="2" s="1"/>
  <c r="Y1745" i="2"/>
  <c r="Z1745" i="2" s="1"/>
  <c r="V1745" i="2"/>
  <c r="U1745" i="2"/>
  <c r="AA1744" i="2"/>
  <c r="AB1744" i="2" s="1"/>
  <c r="Y1744" i="2"/>
  <c r="Z1744" i="2" s="1"/>
  <c r="V1744" i="2"/>
  <c r="U1744" i="2"/>
  <c r="AA1743" i="2"/>
  <c r="AB1743" i="2" s="1"/>
  <c r="Y1743" i="2"/>
  <c r="Z1743" i="2" s="1"/>
  <c r="V1743" i="2"/>
  <c r="U1743" i="2"/>
  <c r="AA1742" i="2"/>
  <c r="AB1742" i="2" s="1"/>
  <c r="Y1742" i="2"/>
  <c r="Z1742" i="2" s="1"/>
  <c r="V1742" i="2"/>
  <c r="U1742" i="2"/>
  <c r="AA1741" i="2"/>
  <c r="AB1741" i="2" s="1"/>
  <c r="Y1741" i="2"/>
  <c r="Z1741" i="2" s="1"/>
  <c r="V1741" i="2"/>
  <c r="U1741" i="2"/>
  <c r="AA1740" i="2"/>
  <c r="AB1740" i="2" s="1"/>
  <c r="Y1740" i="2"/>
  <c r="Z1740" i="2" s="1"/>
  <c r="V1740" i="2"/>
  <c r="U1740" i="2"/>
  <c r="AA1739" i="2"/>
  <c r="AB1739" i="2" s="1"/>
  <c r="Y1739" i="2"/>
  <c r="Z1739" i="2" s="1"/>
  <c r="V1739" i="2"/>
  <c r="U1739" i="2"/>
  <c r="AA1738" i="2"/>
  <c r="AB1738" i="2" s="1"/>
  <c r="Y1738" i="2"/>
  <c r="Z1738" i="2" s="1"/>
  <c r="V1738" i="2"/>
  <c r="U1738" i="2"/>
  <c r="AA1737" i="2"/>
  <c r="AB1737" i="2" s="1"/>
  <c r="Y1737" i="2"/>
  <c r="Z1737" i="2" s="1"/>
  <c r="V1737" i="2"/>
  <c r="U1737" i="2"/>
  <c r="AA1736" i="2"/>
  <c r="AB1736" i="2" s="1"/>
  <c r="Y1736" i="2"/>
  <c r="Z1736" i="2" s="1"/>
  <c r="V1736" i="2"/>
  <c r="U1736" i="2"/>
  <c r="AA1735" i="2"/>
  <c r="AB1735" i="2" s="1"/>
  <c r="Y1735" i="2"/>
  <c r="Z1735" i="2" s="1"/>
  <c r="V1735" i="2"/>
  <c r="U1735" i="2"/>
  <c r="AA1734" i="2"/>
  <c r="AB1734" i="2" s="1"/>
  <c r="Y1734" i="2"/>
  <c r="Z1734" i="2" s="1"/>
  <c r="V1734" i="2"/>
  <c r="U1734" i="2"/>
  <c r="AA1733" i="2"/>
  <c r="AB1733" i="2" s="1"/>
  <c r="Y1733" i="2"/>
  <c r="Z1733" i="2" s="1"/>
  <c r="V1733" i="2"/>
  <c r="U1733" i="2"/>
  <c r="AA1732" i="2"/>
  <c r="AB1732" i="2" s="1"/>
  <c r="Y1732" i="2"/>
  <c r="Z1732" i="2" s="1"/>
  <c r="V1732" i="2"/>
  <c r="U1732" i="2"/>
  <c r="AA1731" i="2"/>
  <c r="AB1731" i="2" s="1"/>
  <c r="Y1731" i="2"/>
  <c r="Z1731" i="2" s="1"/>
  <c r="V1731" i="2"/>
  <c r="U1731" i="2"/>
  <c r="AA1730" i="2"/>
  <c r="AB1730" i="2" s="1"/>
  <c r="Y1730" i="2"/>
  <c r="Z1730" i="2" s="1"/>
  <c r="V1730" i="2"/>
  <c r="U1730" i="2"/>
  <c r="AA1729" i="2"/>
  <c r="AB1729" i="2" s="1"/>
  <c r="Y1729" i="2"/>
  <c r="Z1729" i="2" s="1"/>
  <c r="V1729" i="2"/>
  <c r="U1729" i="2"/>
  <c r="AA1728" i="2"/>
  <c r="AB1728" i="2" s="1"/>
  <c r="Y1728" i="2"/>
  <c r="Z1728" i="2" s="1"/>
  <c r="V1728" i="2"/>
  <c r="U1728" i="2"/>
  <c r="AA1727" i="2"/>
  <c r="AB1727" i="2" s="1"/>
  <c r="Y1727" i="2"/>
  <c r="Z1727" i="2" s="1"/>
  <c r="V1727" i="2"/>
  <c r="U1727" i="2"/>
  <c r="AA1726" i="2"/>
  <c r="AB1726" i="2" s="1"/>
  <c r="Y1726" i="2"/>
  <c r="Z1726" i="2" s="1"/>
  <c r="V1726" i="2"/>
  <c r="U1726" i="2"/>
  <c r="AA1725" i="2"/>
  <c r="AB1725" i="2" s="1"/>
  <c r="Y1725" i="2"/>
  <c r="Z1725" i="2" s="1"/>
  <c r="V1725" i="2"/>
  <c r="U1725" i="2"/>
  <c r="AA1724" i="2"/>
  <c r="AB1724" i="2" s="1"/>
  <c r="Y1724" i="2"/>
  <c r="Z1724" i="2" s="1"/>
  <c r="V1724" i="2"/>
  <c r="U1724" i="2"/>
  <c r="AA1723" i="2"/>
  <c r="AB1723" i="2" s="1"/>
  <c r="Y1723" i="2"/>
  <c r="Z1723" i="2" s="1"/>
  <c r="V1723" i="2"/>
  <c r="U1723" i="2"/>
  <c r="AA1722" i="2"/>
  <c r="AB1722" i="2" s="1"/>
  <c r="Y1722" i="2"/>
  <c r="Z1722" i="2" s="1"/>
  <c r="V1722" i="2"/>
  <c r="U1722" i="2"/>
  <c r="AA1721" i="2"/>
  <c r="AB1721" i="2" s="1"/>
  <c r="Y1721" i="2"/>
  <c r="Z1721" i="2" s="1"/>
  <c r="V1721" i="2"/>
  <c r="U1721" i="2"/>
  <c r="AA1720" i="2"/>
  <c r="AB1720" i="2" s="1"/>
  <c r="Y1720" i="2"/>
  <c r="Z1720" i="2" s="1"/>
  <c r="V1720" i="2"/>
  <c r="U1720" i="2"/>
  <c r="AA1719" i="2"/>
  <c r="AB1719" i="2" s="1"/>
  <c r="Y1719" i="2"/>
  <c r="Z1719" i="2" s="1"/>
  <c r="V1719" i="2"/>
  <c r="U1719" i="2"/>
  <c r="AA1718" i="2"/>
  <c r="AB1718" i="2" s="1"/>
  <c r="Y1718" i="2"/>
  <c r="Z1718" i="2" s="1"/>
  <c r="V1718" i="2"/>
  <c r="U1718" i="2"/>
  <c r="AA1717" i="2"/>
  <c r="AB1717" i="2" s="1"/>
  <c r="Y1717" i="2"/>
  <c r="Z1717" i="2" s="1"/>
  <c r="V1717" i="2"/>
  <c r="U1717" i="2"/>
  <c r="AA1716" i="2"/>
  <c r="AB1716" i="2" s="1"/>
  <c r="Y1716" i="2"/>
  <c r="Z1716" i="2" s="1"/>
  <c r="V1716" i="2"/>
  <c r="U1716" i="2"/>
  <c r="AA1715" i="2"/>
  <c r="AB1715" i="2" s="1"/>
  <c r="Y1715" i="2"/>
  <c r="Z1715" i="2" s="1"/>
  <c r="V1715" i="2"/>
  <c r="U1715" i="2"/>
  <c r="AA1714" i="2"/>
  <c r="AB1714" i="2" s="1"/>
  <c r="Y1714" i="2"/>
  <c r="Z1714" i="2" s="1"/>
  <c r="V1714" i="2"/>
  <c r="U1714" i="2"/>
  <c r="AA1713" i="2"/>
  <c r="AB1713" i="2" s="1"/>
  <c r="Y1713" i="2"/>
  <c r="Z1713" i="2" s="1"/>
  <c r="V1713" i="2"/>
  <c r="U1713" i="2"/>
  <c r="AA1712" i="2"/>
  <c r="AB1712" i="2" s="1"/>
  <c r="Y1712" i="2"/>
  <c r="Z1712" i="2" s="1"/>
  <c r="V1712" i="2"/>
  <c r="U1712" i="2"/>
  <c r="AA1711" i="2"/>
  <c r="AB1711" i="2" s="1"/>
  <c r="Y1711" i="2"/>
  <c r="Z1711" i="2" s="1"/>
  <c r="V1711" i="2"/>
  <c r="U1711" i="2"/>
  <c r="AA1710" i="2"/>
  <c r="AB1710" i="2" s="1"/>
  <c r="Y1710" i="2"/>
  <c r="Z1710" i="2" s="1"/>
  <c r="V1710" i="2"/>
  <c r="U1710" i="2"/>
  <c r="AA1709" i="2"/>
  <c r="AB1709" i="2" s="1"/>
  <c r="Y1709" i="2"/>
  <c r="Z1709" i="2" s="1"/>
  <c r="V1709" i="2"/>
  <c r="U1709" i="2"/>
  <c r="AA1708" i="2"/>
  <c r="AB1708" i="2" s="1"/>
  <c r="Y1708" i="2"/>
  <c r="Z1708" i="2" s="1"/>
  <c r="V1708" i="2"/>
  <c r="U1708" i="2"/>
  <c r="AA1707" i="2"/>
  <c r="AB1707" i="2" s="1"/>
  <c r="Y1707" i="2"/>
  <c r="Z1707" i="2" s="1"/>
  <c r="V1707" i="2"/>
  <c r="U1707" i="2"/>
  <c r="AA1706" i="2"/>
  <c r="AB1706" i="2" s="1"/>
  <c r="Y1706" i="2"/>
  <c r="Z1706" i="2" s="1"/>
  <c r="V1706" i="2"/>
  <c r="U1706" i="2"/>
  <c r="AA1705" i="2"/>
  <c r="AB1705" i="2" s="1"/>
  <c r="Y1705" i="2"/>
  <c r="Z1705" i="2" s="1"/>
  <c r="V1705" i="2"/>
  <c r="U1705" i="2"/>
  <c r="AA1704" i="2"/>
  <c r="AB1704" i="2" s="1"/>
  <c r="Y1704" i="2"/>
  <c r="Z1704" i="2" s="1"/>
  <c r="V1704" i="2"/>
  <c r="U1704" i="2"/>
  <c r="AA1703" i="2"/>
  <c r="AB1703" i="2" s="1"/>
  <c r="Y1703" i="2"/>
  <c r="Z1703" i="2" s="1"/>
  <c r="V1703" i="2"/>
  <c r="U1703" i="2"/>
  <c r="AA1702" i="2"/>
  <c r="AB1702" i="2" s="1"/>
  <c r="Y1702" i="2"/>
  <c r="Z1702" i="2" s="1"/>
  <c r="V1702" i="2"/>
  <c r="U1702" i="2"/>
  <c r="AA1701" i="2"/>
  <c r="AB1701" i="2" s="1"/>
  <c r="Y1701" i="2"/>
  <c r="Z1701" i="2" s="1"/>
  <c r="V1701" i="2"/>
  <c r="U1701" i="2"/>
  <c r="AA1700" i="2"/>
  <c r="AB1700" i="2" s="1"/>
  <c r="Y1700" i="2"/>
  <c r="Z1700" i="2" s="1"/>
  <c r="V1700" i="2"/>
  <c r="U1700" i="2"/>
  <c r="AA1699" i="2"/>
  <c r="AB1699" i="2" s="1"/>
  <c r="Y1699" i="2"/>
  <c r="Z1699" i="2" s="1"/>
  <c r="V1699" i="2"/>
  <c r="U1699" i="2"/>
  <c r="AA1698" i="2"/>
  <c r="AB1698" i="2" s="1"/>
  <c r="Y1698" i="2"/>
  <c r="Z1698" i="2" s="1"/>
  <c r="V1698" i="2"/>
  <c r="U1698" i="2"/>
  <c r="AA1697" i="2"/>
  <c r="AB1697" i="2" s="1"/>
  <c r="Y1697" i="2"/>
  <c r="Z1697" i="2" s="1"/>
  <c r="V1697" i="2"/>
  <c r="U1697" i="2"/>
  <c r="AA1696" i="2"/>
  <c r="AB1696" i="2" s="1"/>
  <c r="Y1696" i="2"/>
  <c r="Z1696" i="2" s="1"/>
  <c r="V1696" i="2"/>
  <c r="U1696" i="2"/>
  <c r="AA1695" i="2"/>
  <c r="AB1695" i="2" s="1"/>
  <c r="Y1695" i="2"/>
  <c r="Z1695" i="2" s="1"/>
  <c r="V1695" i="2"/>
  <c r="U1695" i="2"/>
  <c r="AA1694" i="2"/>
  <c r="AB1694" i="2" s="1"/>
  <c r="Y1694" i="2"/>
  <c r="Z1694" i="2" s="1"/>
  <c r="V1694" i="2"/>
  <c r="U1694" i="2"/>
  <c r="AA1693" i="2"/>
  <c r="AB1693" i="2" s="1"/>
  <c r="Y1693" i="2"/>
  <c r="Z1693" i="2" s="1"/>
  <c r="V1693" i="2"/>
  <c r="U1693" i="2"/>
  <c r="AA1692" i="2"/>
  <c r="AB1692" i="2" s="1"/>
  <c r="Y1692" i="2"/>
  <c r="Z1692" i="2" s="1"/>
  <c r="V1692" i="2"/>
  <c r="U1692" i="2"/>
  <c r="AA1691" i="2"/>
  <c r="AB1691" i="2" s="1"/>
  <c r="Y1691" i="2"/>
  <c r="Z1691" i="2" s="1"/>
  <c r="V1691" i="2"/>
  <c r="U1691" i="2"/>
  <c r="AA1690" i="2"/>
  <c r="AB1690" i="2" s="1"/>
  <c r="Y1690" i="2"/>
  <c r="Z1690" i="2" s="1"/>
  <c r="V1690" i="2"/>
  <c r="U1690" i="2"/>
  <c r="AA1689" i="2"/>
  <c r="AB1689" i="2" s="1"/>
  <c r="Y1689" i="2"/>
  <c r="Z1689" i="2" s="1"/>
  <c r="V1689" i="2"/>
  <c r="U1689" i="2"/>
  <c r="AA1688" i="2"/>
  <c r="AB1688" i="2" s="1"/>
  <c r="Y1688" i="2"/>
  <c r="Z1688" i="2" s="1"/>
  <c r="V1688" i="2"/>
  <c r="U1688" i="2"/>
  <c r="AA1687" i="2"/>
  <c r="AB1687" i="2" s="1"/>
  <c r="Y1687" i="2"/>
  <c r="Z1687" i="2" s="1"/>
  <c r="V1687" i="2"/>
  <c r="U1687" i="2"/>
  <c r="AA1686" i="2"/>
  <c r="AB1686" i="2" s="1"/>
  <c r="Y1686" i="2"/>
  <c r="Z1686" i="2" s="1"/>
  <c r="V1686" i="2"/>
  <c r="U1686" i="2"/>
  <c r="AA1685" i="2"/>
  <c r="AB1685" i="2" s="1"/>
  <c r="Y1685" i="2"/>
  <c r="Z1685" i="2" s="1"/>
  <c r="V1685" i="2"/>
  <c r="U1685" i="2"/>
  <c r="AA1684" i="2"/>
  <c r="AB1684" i="2" s="1"/>
  <c r="Y1684" i="2"/>
  <c r="Z1684" i="2" s="1"/>
  <c r="V1684" i="2"/>
  <c r="U1684" i="2"/>
  <c r="AA1683" i="2"/>
  <c r="AB1683" i="2" s="1"/>
  <c r="Y1683" i="2"/>
  <c r="Z1683" i="2" s="1"/>
  <c r="V1683" i="2"/>
  <c r="U1683" i="2"/>
  <c r="AA1682" i="2"/>
  <c r="AB1682" i="2" s="1"/>
  <c r="Y1682" i="2"/>
  <c r="Z1682" i="2" s="1"/>
  <c r="V1682" i="2"/>
  <c r="U1682" i="2"/>
  <c r="AA1681" i="2"/>
  <c r="AB1681" i="2" s="1"/>
  <c r="Y1681" i="2"/>
  <c r="Z1681" i="2" s="1"/>
  <c r="V1681" i="2"/>
  <c r="U1681" i="2"/>
  <c r="AA1680" i="2"/>
  <c r="AB1680" i="2" s="1"/>
  <c r="Y1680" i="2"/>
  <c r="Z1680" i="2" s="1"/>
  <c r="V1680" i="2"/>
  <c r="U1680" i="2"/>
  <c r="AA1679" i="2"/>
  <c r="AB1679" i="2" s="1"/>
  <c r="Y1679" i="2"/>
  <c r="Z1679" i="2" s="1"/>
  <c r="V1679" i="2"/>
  <c r="U1679" i="2"/>
  <c r="AA1678" i="2"/>
  <c r="AB1678" i="2" s="1"/>
  <c r="Y1678" i="2"/>
  <c r="Z1678" i="2" s="1"/>
  <c r="V1678" i="2"/>
  <c r="U1678" i="2"/>
  <c r="AA1677" i="2"/>
  <c r="AB1677" i="2" s="1"/>
  <c r="Y1677" i="2"/>
  <c r="Z1677" i="2" s="1"/>
  <c r="V1677" i="2"/>
  <c r="U1677" i="2"/>
  <c r="AA1676" i="2"/>
  <c r="AB1676" i="2" s="1"/>
  <c r="Y1676" i="2"/>
  <c r="Z1676" i="2" s="1"/>
  <c r="V1676" i="2"/>
  <c r="U1676" i="2"/>
  <c r="AA1675" i="2"/>
  <c r="AB1675" i="2" s="1"/>
  <c r="Y1675" i="2"/>
  <c r="Z1675" i="2" s="1"/>
  <c r="V1675" i="2"/>
  <c r="U1675" i="2"/>
  <c r="AA1674" i="2"/>
  <c r="AB1674" i="2" s="1"/>
  <c r="Y1674" i="2"/>
  <c r="Z1674" i="2" s="1"/>
  <c r="V1674" i="2"/>
  <c r="U1674" i="2"/>
  <c r="AA1673" i="2"/>
  <c r="AB1673" i="2" s="1"/>
  <c r="Y1673" i="2"/>
  <c r="Z1673" i="2" s="1"/>
  <c r="V1673" i="2"/>
  <c r="U1673" i="2"/>
  <c r="AA1672" i="2"/>
  <c r="AB1672" i="2" s="1"/>
  <c r="Y1672" i="2"/>
  <c r="Z1672" i="2" s="1"/>
  <c r="V1672" i="2"/>
  <c r="U1672" i="2"/>
  <c r="AA1671" i="2"/>
  <c r="AB1671" i="2" s="1"/>
  <c r="Y1671" i="2"/>
  <c r="Z1671" i="2" s="1"/>
  <c r="V1671" i="2"/>
  <c r="U1671" i="2"/>
  <c r="AA1670" i="2"/>
  <c r="AB1670" i="2" s="1"/>
  <c r="Y1670" i="2"/>
  <c r="Z1670" i="2" s="1"/>
  <c r="V1670" i="2"/>
  <c r="U1670" i="2"/>
  <c r="AA1669" i="2"/>
  <c r="AB1669" i="2" s="1"/>
  <c r="Y1669" i="2"/>
  <c r="Z1669" i="2" s="1"/>
  <c r="V1669" i="2"/>
  <c r="U1669" i="2"/>
  <c r="AA1668" i="2"/>
  <c r="AB1668" i="2" s="1"/>
  <c r="Y1668" i="2"/>
  <c r="Z1668" i="2" s="1"/>
  <c r="V1668" i="2"/>
  <c r="U1668" i="2"/>
  <c r="AA1667" i="2"/>
  <c r="AB1667" i="2" s="1"/>
  <c r="Y1667" i="2"/>
  <c r="Z1667" i="2" s="1"/>
  <c r="V1667" i="2"/>
  <c r="U1667" i="2"/>
  <c r="AA1666" i="2"/>
  <c r="AB1666" i="2" s="1"/>
  <c r="Y1666" i="2"/>
  <c r="Z1666" i="2" s="1"/>
  <c r="V1666" i="2"/>
  <c r="U1666" i="2"/>
  <c r="AA1665" i="2"/>
  <c r="AB1665" i="2" s="1"/>
  <c r="Y1665" i="2"/>
  <c r="Z1665" i="2" s="1"/>
  <c r="V1665" i="2"/>
  <c r="U1665" i="2"/>
  <c r="AA1664" i="2"/>
  <c r="AB1664" i="2" s="1"/>
  <c r="Y1664" i="2"/>
  <c r="Z1664" i="2" s="1"/>
  <c r="V1664" i="2"/>
  <c r="U1664" i="2"/>
  <c r="AA1663" i="2"/>
  <c r="AB1663" i="2" s="1"/>
  <c r="Y1663" i="2"/>
  <c r="Z1663" i="2" s="1"/>
  <c r="V1663" i="2"/>
  <c r="U1663" i="2"/>
  <c r="AA1662" i="2"/>
  <c r="AB1662" i="2" s="1"/>
  <c r="Y1662" i="2"/>
  <c r="Z1662" i="2" s="1"/>
  <c r="V1662" i="2"/>
  <c r="U1662" i="2"/>
  <c r="AA1661" i="2"/>
  <c r="AB1661" i="2" s="1"/>
  <c r="Y1661" i="2"/>
  <c r="Z1661" i="2" s="1"/>
  <c r="V1661" i="2"/>
  <c r="U1661" i="2"/>
  <c r="AA1660" i="2"/>
  <c r="AB1660" i="2" s="1"/>
  <c r="Y1660" i="2"/>
  <c r="Z1660" i="2" s="1"/>
  <c r="V1660" i="2"/>
  <c r="U1660" i="2"/>
  <c r="AA1659" i="2"/>
  <c r="AB1659" i="2" s="1"/>
  <c r="Y1659" i="2"/>
  <c r="Z1659" i="2" s="1"/>
  <c r="V1659" i="2"/>
  <c r="U1659" i="2"/>
  <c r="AA1658" i="2"/>
  <c r="AB1658" i="2" s="1"/>
  <c r="Y1658" i="2"/>
  <c r="Z1658" i="2" s="1"/>
  <c r="V1658" i="2"/>
  <c r="U1658" i="2"/>
  <c r="AA1657" i="2"/>
  <c r="AB1657" i="2" s="1"/>
  <c r="Y1657" i="2"/>
  <c r="Z1657" i="2" s="1"/>
  <c r="V1657" i="2"/>
  <c r="U1657" i="2"/>
  <c r="AA1656" i="2"/>
  <c r="AB1656" i="2" s="1"/>
  <c r="Y1656" i="2"/>
  <c r="Z1656" i="2" s="1"/>
  <c r="V1656" i="2"/>
  <c r="U1656" i="2"/>
  <c r="AA1655" i="2"/>
  <c r="AB1655" i="2" s="1"/>
  <c r="Y1655" i="2"/>
  <c r="Z1655" i="2" s="1"/>
  <c r="V1655" i="2"/>
  <c r="U1655" i="2"/>
  <c r="AA1654" i="2"/>
  <c r="AB1654" i="2" s="1"/>
  <c r="Y1654" i="2"/>
  <c r="Z1654" i="2" s="1"/>
  <c r="V1654" i="2"/>
  <c r="U1654" i="2"/>
  <c r="AA1653" i="2"/>
  <c r="AB1653" i="2" s="1"/>
  <c r="Y1653" i="2"/>
  <c r="Z1653" i="2" s="1"/>
  <c r="V1653" i="2"/>
  <c r="U1653" i="2"/>
  <c r="AA1652" i="2"/>
  <c r="AB1652" i="2" s="1"/>
  <c r="Y1652" i="2"/>
  <c r="Z1652" i="2" s="1"/>
  <c r="V1652" i="2"/>
  <c r="U1652" i="2"/>
  <c r="AA1651" i="2"/>
  <c r="AB1651" i="2" s="1"/>
  <c r="Y1651" i="2"/>
  <c r="Z1651" i="2" s="1"/>
  <c r="V1651" i="2"/>
  <c r="U1651" i="2"/>
  <c r="AA1650" i="2"/>
  <c r="AB1650" i="2" s="1"/>
  <c r="Y1650" i="2"/>
  <c r="Z1650" i="2" s="1"/>
  <c r="V1650" i="2"/>
  <c r="U1650" i="2"/>
  <c r="AA1649" i="2"/>
  <c r="AB1649" i="2" s="1"/>
  <c r="Y1649" i="2"/>
  <c r="Z1649" i="2" s="1"/>
  <c r="V1649" i="2"/>
  <c r="U1649" i="2"/>
  <c r="AA1648" i="2"/>
  <c r="AB1648" i="2" s="1"/>
  <c r="Y1648" i="2"/>
  <c r="Z1648" i="2" s="1"/>
  <c r="V1648" i="2"/>
  <c r="U1648" i="2"/>
  <c r="AA1647" i="2"/>
  <c r="AB1647" i="2" s="1"/>
  <c r="Y1647" i="2"/>
  <c r="Z1647" i="2" s="1"/>
  <c r="V1647" i="2"/>
  <c r="U1647" i="2"/>
  <c r="AA1646" i="2"/>
  <c r="AB1646" i="2" s="1"/>
  <c r="Y1646" i="2"/>
  <c r="Z1646" i="2" s="1"/>
  <c r="V1646" i="2"/>
  <c r="U1646" i="2"/>
  <c r="AA1645" i="2"/>
  <c r="AB1645" i="2" s="1"/>
  <c r="Y1645" i="2"/>
  <c r="Z1645" i="2" s="1"/>
  <c r="V1645" i="2"/>
  <c r="U1645" i="2"/>
  <c r="AA1644" i="2"/>
  <c r="AB1644" i="2" s="1"/>
  <c r="Y1644" i="2"/>
  <c r="Z1644" i="2" s="1"/>
  <c r="V1644" i="2"/>
  <c r="U1644" i="2"/>
  <c r="AA1643" i="2"/>
  <c r="AB1643" i="2" s="1"/>
  <c r="Y1643" i="2"/>
  <c r="Z1643" i="2" s="1"/>
  <c r="V1643" i="2"/>
  <c r="U1643" i="2"/>
  <c r="AA1642" i="2"/>
  <c r="AB1642" i="2" s="1"/>
  <c r="Y1642" i="2"/>
  <c r="Z1642" i="2" s="1"/>
  <c r="V1642" i="2"/>
  <c r="U1642" i="2"/>
  <c r="AA1641" i="2"/>
  <c r="AB1641" i="2" s="1"/>
  <c r="Y1641" i="2"/>
  <c r="Z1641" i="2" s="1"/>
  <c r="V1641" i="2"/>
  <c r="U1641" i="2"/>
  <c r="AA1640" i="2"/>
  <c r="AB1640" i="2" s="1"/>
  <c r="Y1640" i="2"/>
  <c r="Z1640" i="2" s="1"/>
  <c r="V1640" i="2"/>
  <c r="U1640" i="2"/>
  <c r="AA1639" i="2"/>
  <c r="AB1639" i="2" s="1"/>
  <c r="Y1639" i="2"/>
  <c r="Z1639" i="2" s="1"/>
  <c r="V1639" i="2"/>
  <c r="U1639" i="2"/>
  <c r="AA1638" i="2"/>
  <c r="AB1638" i="2" s="1"/>
  <c r="Y1638" i="2"/>
  <c r="Z1638" i="2" s="1"/>
  <c r="V1638" i="2"/>
  <c r="U1638" i="2"/>
  <c r="AA1637" i="2"/>
  <c r="AB1637" i="2" s="1"/>
  <c r="Y1637" i="2"/>
  <c r="Z1637" i="2" s="1"/>
  <c r="V1637" i="2"/>
  <c r="U1637" i="2"/>
  <c r="AA1636" i="2"/>
  <c r="AB1636" i="2" s="1"/>
  <c r="Y1636" i="2"/>
  <c r="Z1636" i="2" s="1"/>
  <c r="V1636" i="2"/>
  <c r="U1636" i="2"/>
  <c r="AA1635" i="2"/>
  <c r="AB1635" i="2" s="1"/>
  <c r="Y1635" i="2"/>
  <c r="Z1635" i="2" s="1"/>
  <c r="V1635" i="2"/>
  <c r="U1635" i="2"/>
  <c r="AA1634" i="2"/>
  <c r="AB1634" i="2" s="1"/>
  <c r="Y1634" i="2"/>
  <c r="Z1634" i="2" s="1"/>
  <c r="V1634" i="2"/>
  <c r="U1634" i="2"/>
  <c r="AA1633" i="2"/>
  <c r="AB1633" i="2" s="1"/>
  <c r="Y1633" i="2"/>
  <c r="Z1633" i="2" s="1"/>
  <c r="V1633" i="2"/>
  <c r="U1633" i="2"/>
  <c r="AA1632" i="2"/>
  <c r="AB1632" i="2" s="1"/>
  <c r="Y1632" i="2"/>
  <c r="Z1632" i="2" s="1"/>
  <c r="V1632" i="2"/>
  <c r="U1632" i="2"/>
  <c r="AA1631" i="2"/>
  <c r="AB1631" i="2" s="1"/>
  <c r="Y1631" i="2"/>
  <c r="Z1631" i="2" s="1"/>
  <c r="V1631" i="2"/>
  <c r="U1631" i="2"/>
  <c r="AA1630" i="2"/>
  <c r="AB1630" i="2" s="1"/>
  <c r="Y1630" i="2"/>
  <c r="Z1630" i="2" s="1"/>
  <c r="V1630" i="2"/>
  <c r="U1630" i="2"/>
  <c r="AA1629" i="2"/>
  <c r="AB1629" i="2" s="1"/>
  <c r="Y1629" i="2"/>
  <c r="Z1629" i="2" s="1"/>
  <c r="V1629" i="2"/>
  <c r="U1629" i="2"/>
  <c r="AA1628" i="2"/>
  <c r="AB1628" i="2" s="1"/>
  <c r="Y1628" i="2"/>
  <c r="Z1628" i="2" s="1"/>
  <c r="V1628" i="2"/>
  <c r="U1628" i="2"/>
  <c r="AA1627" i="2"/>
  <c r="AB1627" i="2" s="1"/>
  <c r="Y1627" i="2"/>
  <c r="Z1627" i="2" s="1"/>
  <c r="V1627" i="2"/>
  <c r="U1627" i="2"/>
  <c r="AA1626" i="2"/>
  <c r="AB1626" i="2" s="1"/>
  <c r="Y1626" i="2"/>
  <c r="Z1626" i="2" s="1"/>
  <c r="V1626" i="2"/>
  <c r="U1626" i="2"/>
  <c r="AA1625" i="2"/>
  <c r="AB1625" i="2" s="1"/>
  <c r="Y1625" i="2"/>
  <c r="Z1625" i="2" s="1"/>
  <c r="V1625" i="2"/>
  <c r="U1625" i="2"/>
  <c r="AA1624" i="2"/>
  <c r="AB1624" i="2" s="1"/>
  <c r="Y1624" i="2"/>
  <c r="Z1624" i="2" s="1"/>
  <c r="V1624" i="2"/>
  <c r="U1624" i="2"/>
  <c r="AA1623" i="2"/>
  <c r="AB1623" i="2" s="1"/>
  <c r="Y1623" i="2"/>
  <c r="Z1623" i="2" s="1"/>
  <c r="V1623" i="2"/>
  <c r="U1623" i="2"/>
  <c r="AA1622" i="2"/>
  <c r="AB1622" i="2" s="1"/>
  <c r="Y1622" i="2"/>
  <c r="Z1622" i="2" s="1"/>
  <c r="V1622" i="2"/>
  <c r="U1622" i="2"/>
  <c r="AA1621" i="2"/>
  <c r="AB1621" i="2" s="1"/>
  <c r="Y1621" i="2"/>
  <c r="Z1621" i="2" s="1"/>
  <c r="V1621" i="2"/>
  <c r="U1621" i="2"/>
  <c r="AA1620" i="2"/>
  <c r="AB1620" i="2" s="1"/>
  <c r="Y1620" i="2"/>
  <c r="Z1620" i="2" s="1"/>
  <c r="V1620" i="2"/>
  <c r="U1620" i="2"/>
  <c r="AA1619" i="2"/>
  <c r="AB1619" i="2" s="1"/>
  <c r="Y1619" i="2"/>
  <c r="Z1619" i="2" s="1"/>
  <c r="V1619" i="2"/>
  <c r="U1619" i="2"/>
  <c r="AA1618" i="2"/>
  <c r="AB1618" i="2" s="1"/>
  <c r="Y1618" i="2"/>
  <c r="Z1618" i="2" s="1"/>
  <c r="V1618" i="2"/>
  <c r="U1618" i="2"/>
  <c r="AA1617" i="2"/>
  <c r="AB1617" i="2" s="1"/>
  <c r="Y1617" i="2"/>
  <c r="Z1617" i="2" s="1"/>
  <c r="V1617" i="2"/>
  <c r="U1617" i="2"/>
  <c r="AA1616" i="2"/>
  <c r="AB1616" i="2" s="1"/>
  <c r="Y1616" i="2"/>
  <c r="Z1616" i="2" s="1"/>
  <c r="V1616" i="2"/>
  <c r="U1616" i="2"/>
  <c r="AA1615" i="2"/>
  <c r="AB1615" i="2" s="1"/>
  <c r="Y1615" i="2"/>
  <c r="Z1615" i="2" s="1"/>
  <c r="V1615" i="2"/>
  <c r="U1615" i="2"/>
  <c r="AA1614" i="2"/>
  <c r="AB1614" i="2" s="1"/>
  <c r="Y1614" i="2"/>
  <c r="Z1614" i="2" s="1"/>
  <c r="V1614" i="2"/>
  <c r="U1614" i="2"/>
  <c r="AA1613" i="2"/>
  <c r="AB1613" i="2" s="1"/>
  <c r="Y1613" i="2"/>
  <c r="Z1613" i="2" s="1"/>
  <c r="V1613" i="2"/>
  <c r="U1613" i="2"/>
  <c r="AA1612" i="2"/>
  <c r="AB1612" i="2" s="1"/>
  <c r="Y1612" i="2"/>
  <c r="Z1612" i="2" s="1"/>
  <c r="V1612" i="2"/>
  <c r="U1612" i="2"/>
  <c r="AA1611" i="2"/>
  <c r="AB1611" i="2" s="1"/>
  <c r="Y1611" i="2"/>
  <c r="Z1611" i="2" s="1"/>
  <c r="V1611" i="2"/>
  <c r="U1611" i="2"/>
  <c r="AA1610" i="2"/>
  <c r="AB1610" i="2" s="1"/>
  <c r="Y1610" i="2"/>
  <c r="Z1610" i="2" s="1"/>
  <c r="V1610" i="2"/>
  <c r="U1610" i="2"/>
  <c r="AA1609" i="2"/>
  <c r="AB1609" i="2" s="1"/>
  <c r="Y1609" i="2"/>
  <c r="Z1609" i="2" s="1"/>
  <c r="V1609" i="2"/>
  <c r="U1609" i="2"/>
  <c r="AA1608" i="2"/>
  <c r="AB1608" i="2" s="1"/>
  <c r="Y1608" i="2"/>
  <c r="Z1608" i="2" s="1"/>
  <c r="V1608" i="2"/>
  <c r="U1608" i="2"/>
  <c r="AA1607" i="2"/>
  <c r="AB1607" i="2" s="1"/>
  <c r="Y1607" i="2"/>
  <c r="Z1607" i="2" s="1"/>
  <c r="V1607" i="2"/>
  <c r="U1607" i="2"/>
  <c r="AA1606" i="2"/>
  <c r="AB1606" i="2" s="1"/>
  <c r="Y1606" i="2"/>
  <c r="Z1606" i="2" s="1"/>
  <c r="V1606" i="2"/>
  <c r="U1606" i="2"/>
  <c r="AA1605" i="2"/>
  <c r="AB1605" i="2" s="1"/>
  <c r="Y1605" i="2"/>
  <c r="Z1605" i="2" s="1"/>
  <c r="V1605" i="2"/>
  <c r="U1605" i="2"/>
  <c r="AA1604" i="2"/>
  <c r="AB1604" i="2" s="1"/>
  <c r="Y1604" i="2"/>
  <c r="Z1604" i="2" s="1"/>
  <c r="V1604" i="2"/>
  <c r="U1604" i="2"/>
  <c r="AA1603" i="2"/>
  <c r="AB1603" i="2" s="1"/>
  <c r="Y1603" i="2"/>
  <c r="Z1603" i="2" s="1"/>
  <c r="V1603" i="2"/>
  <c r="U1603" i="2"/>
  <c r="AA1602" i="2"/>
  <c r="AB1602" i="2" s="1"/>
  <c r="Y1602" i="2"/>
  <c r="Z1602" i="2" s="1"/>
  <c r="V1602" i="2"/>
  <c r="U1602" i="2"/>
  <c r="AA1601" i="2"/>
  <c r="AB1601" i="2" s="1"/>
  <c r="Y1601" i="2"/>
  <c r="Z1601" i="2" s="1"/>
  <c r="V1601" i="2"/>
  <c r="U1601" i="2"/>
  <c r="AA1600" i="2"/>
  <c r="AB1600" i="2" s="1"/>
  <c r="Y1600" i="2"/>
  <c r="Z1600" i="2" s="1"/>
  <c r="V1600" i="2"/>
  <c r="U1600" i="2"/>
  <c r="AA1599" i="2"/>
  <c r="AB1599" i="2" s="1"/>
  <c r="Y1599" i="2"/>
  <c r="Z1599" i="2" s="1"/>
  <c r="V1599" i="2"/>
  <c r="U1599" i="2"/>
  <c r="AA1598" i="2"/>
  <c r="AB1598" i="2" s="1"/>
  <c r="Y1598" i="2"/>
  <c r="Z1598" i="2" s="1"/>
  <c r="V1598" i="2"/>
  <c r="U1598" i="2"/>
  <c r="AA1597" i="2"/>
  <c r="AB1597" i="2" s="1"/>
  <c r="Y1597" i="2"/>
  <c r="Z1597" i="2" s="1"/>
  <c r="V1597" i="2"/>
  <c r="U1597" i="2"/>
  <c r="AA1596" i="2"/>
  <c r="AB1596" i="2" s="1"/>
  <c r="Y1596" i="2"/>
  <c r="Z1596" i="2" s="1"/>
  <c r="V1596" i="2"/>
  <c r="U1596" i="2"/>
  <c r="AA1595" i="2"/>
  <c r="AB1595" i="2" s="1"/>
  <c r="Y1595" i="2"/>
  <c r="Z1595" i="2" s="1"/>
  <c r="V1595" i="2"/>
  <c r="U1595" i="2"/>
  <c r="AA1594" i="2"/>
  <c r="AB1594" i="2" s="1"/>
  <c r="Y1594" i="2"/>
  <c r="Z1594" i="2" s="1"/>
  <c r="V1594" i="2"/>
  <c r="U1594" i="2"/>
  <c r="AA1593" i="2"/>
  <c r="AB1593" i="2" s="1"/>
  <c r="Y1593" i="2"/>
  <c r="Z1593" i="2" s="1"/>
  <c r="V1593" i="2"/>
  <c r="U1593" i="2"/>
  <c r="AA1592" i="2"/>
  <c r="AB1592" i="2" s="1"/>
  <c r="Y1592" i="2"/>
  <c r="Z1592" i="2" s="1"/>
  <c r="V1592" i="2"/>
  <c r="U1592" i="2"/>
  <c r="AA1591" i="2"/>
  <c r="AB1591" i="2" s="1"/>
  <c r="Y1591" i="2"/>
  <c r="Z1591" i="2" s="1"/>
  <c r="V1591" i="2"/>
  <c r="U1591" i="2"/>
  <c r="AA1590" i="2"/>
  <c r="AB1590" i="2" s="1"/>
  <c r="Y1590" i="2"/>
  <c r="Z1590" i="2" s="1"/>
  <c r="V1590" i="2"/>
  <c r="U1590" i="2"/>
  <c r="AA1589" i="2"/>
  <c r="AB1589" i="2" s="1"/>
  <c r="Y1589" i="2"/>
  <c r="Z1589" i="2" s="1"/>
  <c r="V1589" i="2"/>
  <c r="U1589" i="2"/>
  <c r="AA1588" i="2"/>
  <c r="AB1588" i="2" s="1"/>
  <c r="Y1588" i="2"/>
  <c r="Z1588" i="2" s="1"/>
  <c r="V1588" i="2"/>
  <c r="U1588" i="2"/>
  <c r="AA1587" i="2"/>
  <c r="AB1587" i="2" s="1"/>
  <c r="Y1587" i="2"/>
  <c r="Z1587" i="2" s="1"/>
  <c r="V1587" i="2"/>
  <c r="U1587" i="2"/>
  <c r="AA1586" i="2"/>
  <c r="AB1586" i="2" s="1"/>
  <c r="Y1586" i="2"/>
  <c r="Z1586" i="2" s="1"/>
  <c r="V1586" i="2"/>
  <c r="U1586" i="2"/>
  <c r="AA1585" i="2"/>
  <c r="AB1585" i="2" s="1"/>
  <c r="Y1585" i="2"/>
  <c r="Z1585" i="2" s="1"/>
  <c r="V1585" i="2"/>
  <c r="U1585" i="2"/>
  <c r="AA1584" i="2"/>
  <c r="AB1584" i="2" s="1"/>
  <c r="Y1584" i="2"/>
  <c r="Z1584" i="2" s="1"/>
  <c r="V1584" i="2"/>
  <c r="U1584" i="2"/>
  <c r="AA1583" i="2"/>
  <c r="AB1583" i="2" s="1"/>
  <c r="Y1583" i="2"/>
  <c r="Z1583" i="2" s="1"/>
  <c r="V1583" i="2"/>
  <c r="U1583" i="2"/>
  <c r="AA1582" i="2"/>
  <c r="AB1582" i="2" s="1"/>
  <c r="Y1582" i="2"/>
  <c r="Z1582" i="2" s="1"/>
  <c r="V1582" i="2"/>
  <c r="U1582" i="2"/>
  <c r="AA1581" i="2"/>
  <c r="AB1581" i="2" s="1"/>
  <c r="Y1581" i="2"/>
  <c r="Z1581" i="2" s="1"/>
  <c r="V1581" i="2"/>
  <c r="U1581" i="2"/>
  <c r="AA1580" i="2"/>
  <c r="AB1580" i="2" s="1"/>
  <c r="Y1580" i="2"/>
  <c r="Z1580" i="2" s="1"/>
  <c r="V1580" i="2"/>
  <c r="U1580" i="2"/>
  <c r="AA1579" i="2"/>
  <c r="AB1579" i="2" s="1"/>
  <c r="Y1579" i="2"/>
  <c r="Z1579" i="2" s="1"/>
  <c r="V1579" i="2"/>
  <c r="U1579" i="2"/>
  <c r="AA1578" i="2"/>
  <c r="AB1578" i="2" s="1"/>
  <c r="Y1578" i="2"/>
  <c r="Z1578" i="2" s="1"/>
  <c r="V1578" i="2"/>
  <c r="U1578" i="2"/>
  <c r="AA1577" i="2"/>
  <c r="AB1577" i="2" s="1"/>
  <c r="Y1577" i="2"/>
  <c r="Z1577" i="2" s="1"/>
  <c r="V1577" i="2"/>
  <c r="U1577" i="2"/>
  <c r="AA1576" i="2"/>
  <c r="AB1576" i="2" s="1"/>
  <c r="Y1576" i="2"/>
  <c r="Z1576" i="2" s="1"/>
  <c r="V1576" i="2"/>
  <c r="U1576" i="2"/>
  <c r="AA1575" i="2"/>
  <c r="AB1575" i="2" s="1"/>
  <c r="Y1575" i="2"/>
  <c r="Z1575" i="2" s="1"/>
  <c r="V1575" i="2"/>
  <c r="U1575" i="2"/>
  <c r="AA1574" i="2"/>
  <c r="AB1574" i="2" s="1"/>
  <c r="Y1574" i="2"/>
  <c r="Z1574" i="2" s="1"/>
  <c r="V1574" i="2"/>
  <c r="U1574" i="2"/>
  <c r="AA1573" i="2"/>
  <c r="AB1573" i="2" s="1"/>
  <c r="Y1573" i="2"/>
  <c r="Z1573" i="2" s="1"/>
  <c r="V1573" i="2"/>
  <c r="U1573" i="2"/>
  <c r="AA1572" i="2"/>
  <c r="AB1572" i="2" s="1"/>
  <c r="Y1572" i="2"/>
  <c r="Z1572" i="2" s="1"/>
  <c r="V1572" i="2"/>
  <c r="U1572" i="2"/>
  <c r="AA1571" i="2"/>
  <c r="AB1571" i="2" s="1"/>
  <c r="Y1571" i="2"/>
  <c r="Z1571" i="2" s="1"/>
  <c r="V1571" i="2"/>
  <c r="U1571" i="2"/>
  <c r="AA1570" i="2"/>
  <c r="AB1570" i="2" s="1"/>
  <c r="Y1570" i="2"/>
  <c r="Z1570" i="2" s="1"/>
  <c r="V1570" i="2"/>
  <c r="U1570" i="2"/>
  <c r="AA1569" i="2"/>
  <c r="AB1569" i="2" s="1"/>
  <c r="Y1569" i="2"/>
  <c r="Z1569" i="2" s="1"/>
  <c r="V1569" i="2"/>
  <c r="U1569" i="2"/>
  <c r="AA1568" i="2"/>
  <c r="AB1568" i="2" s="1"/>
  <c r="Y1568" i="2"/>
  <c r="Z1568" i="2" s="1"/>
  <c r="V1568" i="2"/>
  <c r="U1568" i="2"/>
  <c r="AA1567" i="2"/>
  <c r="AB1567" i="2" s="1"/>
  <c r="Y1567" i="2"/>
  <c r="Z1567" i="2" s="1"/>
  <c r="V1567" i="2"/>
  <c r="U1567" i="2"/>
  <c r="AA1566" i="2"/>
  <c r="AB1566" i="2" s="1"/>
  <c r="Y1566" i="2"/>
  <c r="Z1566" i="2" s="1"/>
  <c r="V1566" i="2"/>
  <c r="U1566" i="2"/>
  <c r="AA1565" i="2"/>
  <c r="AB1565" i="2" s="1"/>
  <c r="Y1565" i="2"/>
  <c r="Z1565" i="2" s="1"/>
  <c r="V1565" i="2"/>
  <c r="U1565" i="2"/>
  <c r="AA1564" i="2"/>
  <c r="AB1564" i="2" s="1"/>
  <c r="Y1564" i="2"/>
  <c r="Z1564" i="2" s="1"/>
  <c r="V1564" i="2"/>
  <c r="U1564" i="2"/>
  <c r="AA1563" i="2"/>
  <c r="AB1563" i="2" s="1"/>
  <c r="Y1563" i="2"/>
  <c r="Z1563" i="2" s="1"/>
  <c r="V1563" i="2"/>
  <c r="U1563" i="2"/>
  <c r="AA1562" i="2"/>
  <c r="AB1562" i="2" s="1"/>
  <c r="Y1562" i="2"/>
  <c r="Z1562" i="2" s="1"/>
  <c r="V1562" i="2"/>
  <c r="U1562" i="2"/>
  <c r="AA1561" i="2"/>
  <c r="AB1561" i="2" s="1"/>
  <c r="Y1561" i="2"/>
  <c r="Z1561" i="2" s="1"/>
  <c r="V1561" i="2"/>
  <c r="U1561" i="2"/>
  <c r="AA1560" i="2"/>
  <c r="AB1560" i="2" s="1"/>
  <c r="Y1560" i="2"/>
  <c r="Z1560" i="2" s="1"/>
  <c r="V1560" i="2"/>
  <c r="U1560" i="2"/>
  <c r="AA1559" i="2"/>
  <c r="AB1559" i="2" s="1"/>
  <c r="Y1559" i="2"/>
  <c r="Z1559" i="2" s="1"/>
  <c r="V1559" i="2"/>
  <c r="U1559" i="2"/>
  <c r="AA1558" i="2"/>
  <c r="AB1558" i="2" s="1"/>
  <c r="Y1558" i="2"/>
  <c r="Z1558" i="2" s="1"/>
  <c r="V1558" i="2"/>
  <c r="U1558" i="2"/>
  <c r="AA1557" i="2"/>
  <c r="AB1557" i="2" s="1"/>
  <c r="Y1557" i="2"/>
  <c r="Z1557" i="2" s="1"/>
  <c r="V1557" i="2"/>
  <c r="U1557" i="2"/>
  <c r="AA1556" i="2"/>
  <c r="AB1556" i="2" s="1"/>
  <c r="Y1556" i="2"/>
  <c r="Z1556" i="2" s="1"/>
  <c r="V1556" i="2"/>
  <c r="U1556" i="2"/>
  <c r="AA1555" i="2"/>
  <c r="AB1555" i="2" s="1"/>
  <c r="Y1555" i="2"/>
  <c r="Z1555" i="2" s="1"/>
  <c r="V1555" i="2"/>
  <c r="U1555" i="2"/>
  <c r="AA1554" i="2"/>
  <c r="AB1554" i="2" s="1"/>
  <c r="Y1554" i="2"/>
  <c r="Z1554" i="2" s="1"/>
  <c r="V1554" i="2"/>
  <c r="U1554" i="2"/>
  <c r="AA1553" i="2"/>
  <c r="AB1553" i="2" s="1"/>
  <c r="Y1553" i="2"/>
  <c r="Z1553" i="2" s="1"/>
  <c r="V1553" i="2"/>
  <c r="U1553" i="2"/>
  <c r="AA1552" i="2"/>
  <c r="AB1552" i="2" s="1"/>
  <c r="Y1552" i="2"/>
  <c r="Z1552" i="2" s="1"/>
  <c r="V1552" i="2"/>
  <c r="U1552" i="2"/>
  <c r="AA1551" i="2"/>
  <c r="AB1551" i="2" s="1"/>
  <c r="Y1551" i="2"/>
  <c r="Z1551" i="2" s="1"/>
  <c r="V1551" i="2"/>
  <c r="U1551" i="2"/>
  <c r="AA1550" i="2"/>
  <c r="AB1550" i="2" s="1"/>
  <c r="Y1550" i="2"/>
  <c r="Z1550" i="2" s="1"/>
  <c r="V1550" i="2"/>
  <c r="U1550" i="2"/>
  <c r="AA1549" i="2"/>
  <c r="AB1549" i="2" s="1"/>
  <c r="Y1549" i="2"/>
  <c r="Z1549" i="2" s="1"/>
  <c r="V1549" i="2"/>
  <c r="U1549" i="2"/>
  <c r="AA1548" i="2"/>
  <c r="AB1548" i="2" s="1"/>
  <c r="Y1548" i="2"/>
  <c r="Z1548" i="2" s="1"/>
  <c r="V1548" i="2"/>
  <c r="U1548" i="2"/>
  <c r="AA1547" i="2"/>
  <c r="AB1547" i="2" s="1"/>
  <c r="Y1547" i="2"/>
  <c r="Z1547" i="2" s="1"/>
  <c r="V1547" i="2"/>
  <c r="U1547" i="2"/>
  <c r="AA1546" i="2"/>
  <c r="AB1546" i="2" s="1"/>
  <c r="Y1546" i="2"/>
  <c r="Z1546" i="2" s="1"/>
  <c r="V1546" i="2"/>
  <c r="U1546" i="2"/>
  <c r="AA1545" i="2"/>
  <c r="AB1545" i="2" s="1"/>
  <c r="Y1545" i="2"/>
  <c r="Z1545" i="2" s="1"/>
  <c r="V1545" i="2"/>
  <c r="U1545" i="2"/>
  <c r="AA1544" i="2"/>
  <c r="AB1544" i="2" s="1"/>
  <c r="Y1544" i="2"/>
  <c r="Z1544" i="2" s="1"/>
  <c r="V1544" i="2"/>
  <c r="U1544" i="2"/>
  <c r="AA1543" i="2"/>
  <c r="AB1543" i="2" s="1"/>
  <c r="Y1543" i="2"/>
  <c r="Z1543" i="2" s="1"/>
  <c r="V1543" i="2"/>
  <c r="U1543" i="2"/>
  <c r="AA1542" i="2"/>
  <c r="AB1542" i="2" s="1"/>
  <c r="Y1542" i="2"/>
  <c r="Z1542" i="2" s="1"/>
  <c r="V1542" i="2"/>
  <c r="U1542" i="2"/>
  <c r="AA1541" i="2"/>
  <c r="AB1541" i="2" s="1"/>
  <c r="Y1541" i="2"/>
  <c r="Z1541" i="2" s="1"/>
  <c r="V1541" i="2"/>
  <c r="U1541" i="2"/>
  <c r="AA1540" i="2"/>
  <c r="AB1540" i="2" s="1"/>
  <c r="Y1540" i="2"/>
  <c r="Z1540" i="2" s="1"/>
  <c r="V1540" i="2"/>
  <c r="U1540" i="2"/>
  <c r="AA1539" i="2"/>
  <c r="AB1539" i="2" s="1"/>
  <c r="Y1539" i="2"/>
  <c r="Z1539" i="2" s="1"/>
  <c r="V1539" i="2"/>
  <c r="U1539" i="2"/>
  <c r="AA1538" i="2"/>
  <c r="AB1538" i="2" s="1"/>
  <c r="Y1538" i="2"/>
  <c r="Z1538" i="2" s="1"/>
  <c r="V1538" i="2"/>
  <c r="U1538" i="2"/>
  <c r="AA1537" i="2"/>
  <c r="AB1537" i="2" s="1"/>
  <c r="Y1537" i="2"/>
  <c r="Z1537" i="2" s="1"/>
  <c r="V1537" i="2"/>
  <c r="U1537" i="2"/>
  <c r="AA1536" i="2"/>
  <c r="AB1536" i="2" s="1"/>
  <c r="Y1536" i="2"/>
  <c r="Z1536" i="2" s="1"/>
  <c r="V1536" i="2"/>
  <c r="U1536" i="2"/>
  <c r="AA1535" i="2"/>
  <c r="AB1535" i="2" s="1"/>
  <c r="Y1535" i="2"/>
  <c r="Z1535" i="2" s="1"/>
  <c r="V1535" i="2"/>
  <c r="U1535" i="2"/>
  <c r="AA1534" i="2"/>
  <c r="AB1534" i="2" s="1"/>
  <c r="Y1534" i="2"/>
  <c r="Z1534" i="2" s="1"/>
  <c r="V1534" i="2"/>
  <c r="U1534" i="2"/>
  <c r="AA1533" i="2"/>
  <c r="AB1533" i="2" s="1"/>
  <c r="Y1533" i="2"/>
  <c r="Z1533" i="2" s="1"/>
  <c r="V1533" i="2"/>
  <c r="U1533" i="2"/>
  <c r="AA1532" i="2"/>
  <c r="AB1532" i="2" s="1"/>
  <c r="Y1532" i="2"/>
  <c r="Z1532" i="2" s="1"/>
  <c r="V1532" i="2"/>
  <c r="U1532" i="2"/>
  <c r="AA1531" i="2"/>
  <c r="AB1531" i="2" s="1"/>
  <c r="Y1531" i="2"/>
  <c r="Z1531" i="2" s="1"/>
  <c r="V1531" i="2"/>
  <c r="U1531" i="2"/>
  <c r="AA1530" i="2"/>
  <c r="AB1530" i="2" s="1"/>
  <c r="Y1530" i="2"/>
  <c r="Z1530" i="2" s="1"/>
  <c r="V1530" i="2"/>
  <c r="U1530" i="2"/>
  <c r="AA1529" i="2"/>
  <c r="AB1529" i="2" s="1"/>
  <c r="Y1529" i="2"/>
  <c r="Z1529" i="2" s="1"/>
  <c r="V1529" i="2"/>
  <c r="U1529" i="2"/>
  <c r="AA1528" i="2"/>
  <c r="AB1528" i="2" s="1"/>
  <c r="Y1528" i="2"/>
  <c r="Z1528" i="2" s="1"/>
  <c r="V1528" i="2"/>
  <c r="U1528" i="2"/>
  <c r="AA1527" i="2"/>
  <c r="AB1527" i="2" s="1"/>
  <c r="Y1527" i="2"/>
  <c r="Z1527" i="2" s="1"/>
  <c r="V1527" i="2"/>
  <c r="U1527" i="2"/>
  <c r="AA1526" i="2"/>
  <c r="AB1526" i="2" s="1"/>
  <c r="Y1526" i="2"/>
  <c r="Z1526" i="2" s="1"/>
  <c r="V1526" i="2"/>
  <c r="U1526" i="2"/>
  <c r="AA1525" i="2"/>
  <c r="AB1525" i="2" s="1"/>
  <c r="Y1525" i="2"/>
  <c r="Z1525" i="2" s="1"/>
  <c r="V1525" i="2"/>
  <c r="U1525" i="2"/>
  <c r="AA1524" i="2"/>
  <c r="AB1524" i="2" s="1"/>
  <c r="Y1524" i="2"/>
  <c r="Z1524" i="2" s="1"/>
  <c r="V1524" i="2"/>
  <c r="U1524" i="2"/>
  <c r="AA1523" i="2"/>
  <c r="AB1523" i="2" s="1"/>
  <c r="Y1523" i="2"/>
  <c r="Z1523" i="2" s="1"/>
  <c r="V1523" i="2"/>
  <c r="U1523" i="2"/>
  <c r="AA1522" i="2"/>
  <c r="AB1522" i="2" s="1"/>
  <c r="Y1522" i="2"/>
  <c r="Z1522" i="2" s="1"/>
  <c r="V1522" i="2"/>
  <c r="U1522" i="2"/>
  <c r="AA1521" i="2"/>
  <c r="AB1521" i="2" s="1"/>
  <c r="Y1521" i="2"/>
  <c r="Z1521" i="2" s="1"/>
  <c r="V1521" i="2"/>
  <c r="U1521" i="2"/>
  <c r="AA1520" i="2"/>
  <c r="AB1520" i="2" s="1"/>
  <c r="Y1520" i="2"/>
  <c r="Z1520" i="2" s="1"/>
  <c r="V1520" i="2"/>
  <c r="U1520" i="2"/>
  <c r="AA1519" i="2"/>
  <c r="AB1519" i="2" s="1"/>
  <c r="Y1519" i="2"/>
  <c r="Z1519" i="2" s="1"/>
  <c r="V1519" i="2"/>
  <c r="U1519" i="2"/>
  <c r="AA1518" i="2"/>
  <c r="AB1518" i="2" s="1"/>
  <c r="Y1518" i="2"/>
  <c r="Z1518" i="2" s="1"/>
  <c r="V1518" i="2"/>
  <c r="U1518" i="2"/>
  <c r="AA1517" i="2"/>
  <c r="AB1517" i="2" s="1"/>
  <c r="Y1517" i="2"/>
  <c r="Z1517" i="2" s="1"/>
  <c r="V1517" i="2"/>
  <c r="U1517" i="2"/>
  <c r="AA1516" i="2"/>
  <c r="AB1516" i="2" s="1"/>
  <c r="Y1516" i="2"/>
  <c r="Z1516" i="2" s="1"/>
  <c r="V1516" i="2"/>
  <c r="U1516" i="2"/>
  <c r="AA1515" i="2"/>
  <c r="AB1515" i="2" s="1"/>
  <c r="Y1515" i="2"/>
  <c r="Z1515" i="2" s="1"/>
  <c r="V1515" i="2"/>
  <c r="U1515" i="2"/>
  <c r="AA1514" i="2"/>
  <c r="AB1514" i="2" s="1"/>
  <c r="Y1514" i="2"/>
  <c r="Z1514" i="2" s="1"/>
  <c r="V1514" i="2"/>
  <c r="U1514" i="2"/>
  <c r="AA1513" i="2"/>
  <c r="AB1513" i="2" s="1"/>
  <c r="Y1513" i="2"/>
  <c r="Z1513" i="2" s="1"/>
  <c r="V1513" i="2"/>
  <c r="U1513" i="2"/>
  <c r="AA1512" i="2"/>
  <c r="AB1512" i="2" s="1"/>
  <c r="Y1512" i="2"/>
  <c r="Z1512" i="2" s="1"/>
  <c r="V1512" i="2"/>
  <c r="U1512" i="2"/>
  <c r="AA1511" i="2"/>
  <c r="AB1511" i="2" s="1"/>
  <c r="Y1511" i="2"/>
  <c r="Z1511" i="2" s="1"/>
  <c r="V1511" i="2"/>
  <c r="U1511" i="2"/>
  <c r="AA1510" i="2"/>
  <c r="AB1510" i="2" s="1"/>
  <c r="Y1510" i="2"/>
  <c r="Z1510" i="2" s="1"/>
  <c r="V1510" i="2"/>
  <c r="U1510" i="2"/>
  <c r="AA1509" i="2"/>
  <c r="AB1509" i="2" s="1"/>
  <c r="Y1509" i="2"/>
  <c r="Z1509" i="2" s="1"/>
  <c r="V1509" i="2"/>
  <c r="U1509" i="2"/>
  <c r="AA1508" i="2"/>
  <c r="AB1508" i="2" s="1"/>
  <c r="Y1508" i="2"/>
  <c r="Z1508" i="2" s="1"/>
  <c r="V1508" i="2"/>
  <c r="U1508" i="2"/>
  <c r="AA1507" i="2"/>
  <c r="AB1507" i="2" s="1"/>
  <c r="Y1507" i="2"/>
  <c r="Z1507" i="2" s="1"/>
  <c r="V1507" i="2"/>
  <c r="U1507" i="2"/>
  <c r="AA1506" i="2"/>
  <c r="AB1506" i="2" s="1"/>
  <c r="Y1506" i="2"/>
  <c r="Z1506" i="2" s="1"/>
  <c r="V1506" i="2"/>
  <c r="U1506" i="2"/>
  <c r="AA1505" i="2"/>
  <c r="AB1505" i="2" s="1"/>
  <c r="Y1505" i="2"/>
  <c r="Z1505" i="2" s="1"/>
  <c r="V1505" i="2"/>
  <c r="U1505" i="2"/>
  <c r="AA1504" i="2"/>
  <c r="AB1504" i="2" s="1"/>
  <c r="Y1504" i="2"/>
  <c r="Z1504" i="2" s="1"/>
  <c r="V1504" i="2"/>
  <c r="U1504" i="2"/>
  <c r="AA1503" i="2"/>
  <c r="AB1503" i="2" s="1"/>
  <c r="Y1503" i="2"/>
  <c r="Z1503" i="2" s="1"/>
  <c r="V1503" i="2"/>
  <c r="U1503" i="2"/>
  <c r="AA1502" i="2"/>
  <c r="AB1502" i="2" s="1"/>
  <c r="Y1502" i="2"/>
  <c r="Z1502" i="2" s="1"/>
  <c r="V1502" i="2"/>
  <c r="U1502" i="2"/>
  <c r="AA1501" i="2"/>
  <c r="AB1501" i="2" s="1"/>
  <c r="Y1501" i="2"/>
  <c r="Z1501" i="2" s="1"/>
  <c r="V1501" i="2"/>
  <c r="U1501" i="2"/>
  <c r="AA1500" i="2"/>
  <c r="AB1500" i="2" s="1"/>
  <c r="Y1500" i="2"/>
  <c r="Z1500" i="2" s="1"/>
  <c r="V1500" i="2"/>
  <c r="U1500" i="2"/>
  <c r="AA1499" i="2"/>
  <c r="AB1499" i="2" s="1"/>
  <c r="Y1499" i="2"/>
  <c r="Z1499" i="2" s="1"/>
  <c r="V1499" i="2"/>
  <c r="U1499" i="2"/>
  <c r="AA1498" i="2"/>
  <c r="AB1498" i="2" s="1"/>
  <c r="Y1498" i="2"/>
  <c r="Z1498" i="2" s="1"/>
  <c r="V1498" i="2"/>
  <c r="U1498" i="2"/>
  <c r="AA1497" i="2"/>
  <c r="AB1497" i="2" s="1"/>
  <c r="Y1497" i="2"/>
  <c r="Z1497" i="2" s="1"/>
  <c r="V1497" i="2"/>
  <c r="U1497" i="2"/>
  <c r="AA1496" i="2"/>
  <c r="AB1496" i="2" s="1"/>
  <c r="Y1496" i="2"/>
  <c r="Z1496" i="2" s="1"/>
  <c r="V1496" i="2"/>
  <c r="U1496" i="2"/>
  <c r="AA1495" i="2"/>
  <c r="AB1495" i="2" s="1"/>
  <c r="Y1495" i="2"/>
  <c r="Z1495" i="2" s="1"/>
  <c r="V1495" i="2"/>
  <c r="U1495" i="2"/>
  <c r="AA1494" i="2"/>
  <c r="AB1494" i="2" s="1"/>
  <c r="Y1494" i="2"/>
  <c r="Z1494" i="2" s="1"/>
  <c r="V1494" i="2"/>
  <c r="U1494" i="2"/>
  <c r="AA1493" i="2"/>
  <c r="AB1493" i="2" s="1"/>
  <c r="Y1493" i="2"/>
  <c r="Z1493" i="2" s="1"/>
  <c r="V1493" i="2"/>
  <c r="U1493" i="2"/>
  <c r="AA1492" i="2"/>
  <c r="AB1492" i="2" s="1"/>
  <c r="Y1492" i="2"/>
  <c r="Z1492" i="2" s="1"/>
  <c r="V1492" i="2"/>
  <c r="U1492" i="2"/>
  <c r="AA1491" i="2"/>
  <c r="AB1491" i="2" s="1"/>
  <c r="Y1491" i="2"/>
  <c r="Z1491" i="2" s="1"/>
  <c r="V1491" i="2"/>
  <c r="U1491" i="2"/>
  <c r="AA1490" i="2"/>
  <c r="AB1490" i="2" s="1"/>
  <c r="Y1490" i="2"/>
  <c r="Z1490" i="2" s="1"/>
  <c r="V1490" i="2"/>
  <c r="U1490" i="2"/>
  <c r="AA1489" i="2"/>
  <c r="AB1489" i="2" s="1"/>
  <c r="Y1489" i="2"/>
  <c r="Z1489" i="2" s="1"/>
  <c r="V1489" i="2"/>
  <c r="U1489" i="2"/>
  <c r="AA1488" i="2"/>
  <c r="AB1488" i="2" s="1"/>
  <c r="Y1488" i="2"/>
  <c r="Z1488" i="2" s="1"/>
  <c r="V1488" i="2"/>
  <c r="U1488" i="2"/>
  <c r="AA1487" i="2"/>
  <c r="AB1487" i="2" s="1"/>
  <c r="Y1487" i="2"/>
  <c r="Z1487" i="2" s="1"/>
  <c r="V1487" i="2"/>
  <c r="U1487" i="2"/>
  <c r="AA1486" i="2"/>
  <c r="AB1486" i="2" s="1"/>
  <c r="Y1486" i="2"/>
  <c r="Z1486" i="2" s="1"/>
  <c r="V1486" i="2"/>
  <c r="U1486" i="2"/>
  <c r="AA1485" i="2"/>
  <c r="AB1485" i="2" s="1"/>
  <c r="Y1485" i="2"/>
  <c r="Z1485" i="2" s="1"/>
  <c r="V1485" i="2"/>
  <c r="U1485" i="2"/>
  <c r="AA1484" i="2"/>
  <c r="AB1484" i="2" s="1"/>
  <c r="Y1484" i="2"/>
  <c r="Z1484" i="2" s="1"/>
  <c r="V1484" i="2"/>
  <c r="U1484" i="2"/>
  <c r="AA1483" i="2"/>
  <c r="AB1483" i="2" s="1"/>
  <c r="Y1483" i="2"/>
  <c r="Z1483" i="2" s="1"/>
  <c r="V1483" i="2"/>
  <c r="U1483" i="2"/>
  <c r="AA1482" i="2"/>
  <c r="AB1482" i="2" s="1"/>
  <c r="Y1482" i="2"/>
  <c r="Z1482" i="2" s="1"/>
  <c r="V1482" i="2"/>
  <c r="U1482" i="2"/>
  <c r="AA1481" i="2"/>
  <c r="AB1481" i="2" s="1"/>
  <c r="Y1481" i="2"/>
  <c r="Z1481" i="2" s="1"/>
  <c r="V1481" i="2"/>
  <c r="U1481" i="2"/>
  <c r="AA1480" i="2"/>
  <c r="AB1480" i="2" s="1"/>
  <c r="Y1480" i="2"/>
  <c r="Z1480" i="2" s="1"/>
  <c r="V1480" i="2"/>
  <c r="U1480" i="2"/>
  <c r="AA1479" i="2"/>
  <c r="AB1479" i="2" s="1"/>
  <c r="Y1479" i="2"/>
  <c r="Z1479" i="2" s="1"/>
  <c r="V1479" i="2"/>
  <c r="U1479" i="2"/>
  <c r="AA1478" i="2"/>
  <c r="AB1478" i="2" s="1"/>
  <c r="Y1478" i="2"/>
  <c r="Z1478" i="2" s="1"/>
  <c r="V1478" i="2"/>
  <c r="U1478" i="2"/>
  <c r="AA1477" i="2"/>
  <c r="AB1477" i="2" s="1"/>
  <c r="Y1477" i="2"/>
  <c r="Z1477" i="2" s="1"/>
  <c r="V1477" i="2"/>
  <c r="U1477" i="2"/>
  <c r="AA1476" i="2"/>
  <c r="AB1476" i="2" s="1"/>
  <c r="Y1476" i="2"/>
  <c r="Z1476" i="2" s="1"/>
  <c r="V1476" i="2"/>
  <c r="U1476" i="2"/>
  <c r="AA1475" i="2"/>
  <c r="AB1475" i="2" s="1"/>
  <c r="Y1475" i="2"/>
  <c r="Z1475" i="2" s="1"/>
  <c r="V1475" i="2"/>
  <c r="U1475" i="2"/>
  <c r="AA1474" i="2"/>
  <c r="AB1474" i="2" s="1"/>
  <c r="Y1474" i="2"/>
  <c r="Z1474" i="2" s="1"/>
  <c r="V1474" i="2"/>
  <c r="U1474" i="2"/>
  <c r="AA1473" i="2"/>
  <c r="AB1473" i="2" s="1"/>
  <c r="Y1473" i="2"/>
  <c r="Z1473" i="2" s="1"/>
  <c r="V1473" i="2"/>
  <c r="U1473" i="2"/>
  <c r="AA1472" i="2"/>
  <c r="AB1472" i="2" s="1"/>
  <c r="Y1472" i="2"/>
  <c r="Z1472" i="2" s="1"/>
  <c r="V1472" i="2"/>
  <c r="U1472" i="2"/>
  <c r="AA1471" i="2"/>
  <c r="AB1471" i="2" s="1"/>
  <c r="Y1471" i="2"/>
  <c r="Z1471" i="2" s="1"/>
  <c r="V1471" i="2"/>
  <c r="U1471" i="2"/>
  <c r="AA1470" i="2"/>
  <c r="AB1470" i="2" s="1"/>
  <c r="Y1470" i="2"/>
  <c r="Z1470" i="2" s="1"/>
  <c r="V1470" i="2"/>
  <c r="U1470" i="2"/>
  <c r="AA1469" i="2"/>
  <c r="AB1469" i="2" s="1"/>
  <c r="Y1469" i="2"/>
  <c r="Z1469" i="2" s="1"/>
  <c r="V1469" i="2"/>
  <c r="U1469" i="2"/>
  <c r="AA1468" i="2"/>
  <c r="AB1468" i="2" s="1"/>
  <c r="Y1468" i="2"/>
  <c r="Z1468" i="2" s="1"/>
  <c r="V1468" i="2"/>
  <c r="U1468" i="2"/>
  <c r="AA1467" i="2"/>
  <c r="AB1467" i="2" s="1"/>
  <c r="Y1467" i="2"/>
  <c r="Z1467" i="2" s="1"/>
  <c r="V1467" i="2"/>
  <c r="U1467" i="2"/>
  <c r="AA1466" i="2"/>
  <c r="AB1466" i="2" s="1"/>
  <c r="Y1466" i="2"/>
  <c r="Z1466" i="2" s="1"/>
  <c r="V1466" i="2"/>
  <c r="U1466" i="2"/>
  <c r="AA1465" i="2"/>
  <c r="AB1465" i="2" s="1"/>
  <c r="Y1465" i="2"/>
  <c r="Z1465" i="2" s="1"/>
  <c r="V1465" i="2"/>
  <c r="U1465" i="2"/>
  <c r="AA1464" i="2"/>
  <c r="AB1464" i="2" s="1"/>
  <c r="Y1464" i="2"/>
  <c r="Z1464" i="2" s="1"/>
  <c r="V1464" i="2"/>
  <c r="U1464" i="2"/>
  <c r="AA1463" i="2"/>
  <c r="AB1463" i="2" s="1"/>
  <c r="Y1463" i="2"/>
  <c r="Z1463" i="2" s="1"/>
  <c r="V1463" i="2"/>
  <c r="U1463" i="2"/>
  <c r="AA1462" i="2"/>
  <c r="AB1462" i="2" s="1"/>
  <c r="Y1462" i="2"/>
  <c r="Z1462" i="2" s="1"/>
  <c r="V1462" i="2"/>
  <c r="U1462" i="2"/>
  <c r="AA1461" i="2"/>
  <c r="AB1461" i="2" s="1"/>
  <c r="Y1461" i="2"/>
  <c r="Z1461" i="2" s="1"/>
  <c r="V1461" i="2"/>
  <c r="U1461" i="2"/>
  <c r="AA1460" i="2"/>
  <c r="AB1460" i="2" s="1"/>
  <c r="Y1460" i="2"/>
  <c r="Z1460" i="2" s="1"/>
  <c r="V1460" i="2"/>
  <c r="U1460" i="2"/>
  <c r="AA1459" i="2"/>
  <c r="AB1459" i="2" s="1"/>
  <c r="Y1459" i="2"/>
  <c r="Z1459" i="2" s="1"/>
  <c r="V1459" i="2"/>
  <c r="U1459" i="2"/>
  <c r="AA1458" i="2"/>
  <c r="AB1458" i="2" s="1"/>
  <c r="Y1458" i="2"/>
  <c r="Z1458" i="2" s="1"/>
  <c r="V1458" i="2"/>
  <c r="U1458" i="2"/>
  <c r="AA1457" i="2"/>
  <c r="AB1457" i="2" s="1"/>
  <c r="Y1457" i="2"/>
  <c r="Z1457" i="2" s="1"/>
  <c r="V1457" i="2"/>
  <c r="U1457" i="2"/>
  <c r="AA1456" i="2"/>
  <c r="AB1456" i="2" s="1"/>
  <c r="Y1456" i="2"/>
  <c r="Z1456" i="2" s="1"/>
  <c r="V1456" i="2"/>
  <c r="U1456" i="2"/>
  <c r="AA1455" i="2"/>
  <c r="AB1455" i="2" s="1"/>
  <c r="Y1455" i="2"/>
  <c r="Z1455" i="2" s="1"/>
  <c r="V1455" i="2"/>
  <c r="U1455" i="2"/>
  <c r="AA1454" i="2"/>
  <c r="AB1454" i="2" s="1"/>
  <c r="Y1454" i="2"/>
  <c r="Z1454" i="2" s="1"/>
  <c r="V1454" i="2"/>
  <c r="U1454" i="2"/>
  <c r="AA1453" i="2"/>
  <c r="AB1453" i="2" s="1"/>
  <c r="Y1453" i="2"/>
  <c r="Z1453" i="2" s="1"/>
  <c r="V1453" i="2"/>
  <c r="U1453" i="2"/>
  <c r="AA1452" i="2"/>
  <c r="AB1452" i="2" s="1"/>
  <c r="Y1452" i="2"/>
  <c r="Z1452" i="2" s="1"/>
  <c r="V1452" i="2"/>
  <c r="U1452" i="2"/>
  <c r="AA1451" i="2"/>
  <c r="AB1451" i="2" s="1"/>
  <c r="Y1451" i="2"/>
  <c r="Z1451" i="2" s="1"/>
  <c r="V1451" i="2"/>
  <c r="U1451" i="2"/>
  <c r="AA1450" i="2"/>
  <c r="AB1450" i="2" s="1"/>
  <c r="Y1450" i="2"/>
  <c r="Z1450" i="2" s="1"/>
  <c r="V1450" i="2"/>
  <c r="U1450" i="2"/>
  <c r="AA1449" i="2"/>
  <c r="AB1449" i="2" s="1"/>
  <c r="Y1449" i="2"/>
  <c r="Z1449" i="2" s="1"/>
  <c r="V1449" i="2"/>
  <c r="U1449" i="2"/>
  <c r="AA1448" i="2"/>
  <c r="AB1448" i="2" s="1"/>
  <c r="Y1448" i="2"/>
  <c r="Z1448" i="2" s="1"/>
  <c r="V1448" i="2"/>
  <c r="U1448" i="2"/>
  <c r="AA1447" i="2"/>
  <c r="AB1447" i="2" s="1"/>
  <c r="Y1447" i="2"/>
  <c r="Z1447" i="2" s="1"/>
  <c r="V1447" i="2"/>
  <c r="U1447" i="2"/>
  <c r="AA1446" i="2"/>
  <c r="AB1446" i="2" s="1"/>
  <c r="Y1446" i="2"/>
  <c r="Z1446" i="2" s="1"/>
  <c r="V1446" i="2"/>
  <c r="U1446" i="2"/>
  <c r="AA1445" i="2"/>
  <c r="AB1445" i="2" s="1"/>
  <c r="Y1445" i="2"/>
  <c r="Z1445" i="2" s="1"/>
  <c r="V1445" i="2"/>
  <c r="U1445" i="2"/>
  <c r="AA1444" i="2"/>
  <c r="AB1444" i="2" s="1"/>
  <c r="Y1444" i="2"/>
  <c r="Z1444" i="2" s="1"/>
  <c r="V1444" i="2"/>
  <c r="U1444" i="2"/>
  <c r="AA1443" i="2"/>
  <c r="AB1443" i="2" s="1"/>
  <c r="Y1443" i="2"/>
  <c r="Z1443" i="2" s="1"/>
  <c r="V1443" i="2"/>
  <c r="U1443" i="2"/>
  <c r="AA1442" i="2"/>
  <c r="AB1442" i="2" s="1"/>
  <c r="Y1442" i="2"/>
  <c r="Z1442" i="2" s="1"/>
  <c r="V1442" i="2"/>
  <c r="U1442" i="2"/>
  <c r="AA1441" i="2"/>
  <c r="AB1441" i="2" s="1"/>
  <c r="Y1441" i="2"/>
  <c r="Z1441" i="2" s="1"/>
  <c r="V1441" i="2"/>
  <c r="U1441" i="2"/>
  <c r="AA1440" i="2"/>
  <c r="AB1440" i="2" s="1"/>
  <c r="Y1440" i="2"/>
  <c r="Z1440" i="2" s="1"/>
  <c r="V1440" i="2"/>
  <c r="U1440" i="2"/>
  <c r="AA1439" i="2"/>
  <c r="AB1439" i="2" s="1"/>
  <c r="Y1439" i="2"/>
  <c r="Z1439" i="2" s="1"/>
  <c r="V1439" i="2"/>
  <c r="U1439" i="2"/>
  <c r="AA1438" i="2"/>
  <c r="AB1438" i="2" s="1"/>
  <c r="Y1438" i="2"/>
  <c r="Z1438" i="2" s="1"/>
  <c r="V1438" i="2"/>
  <c r="U1438" i="2"/>
  <c r="AA1437" i="2"/>
  <c r="AB1437" i="2" s="1"/>
  <c r="Y1437" i="2"/>
  <c r="Z1437" i="2" s="1"/>
  <c r="V1437" i="2"/>
  <c r="U1437" i="2"/>
  <c r="AA1436" i="2"/>
  <c r="AB1436" i="2" s="1"/>
  <c r="Y1436" i="2"/>
  <c r="Z1436" i="2" s="1"/>
  <c r="V1436" i="2"/>
  <c r="U1436" i="2"/>
  <c r="AA1435" i="2"/>
  <c r="AB1435" i="2" s="1"/>
  <c r="Y1435" i="2"/>
  <c r="Z1435" i="2" s="1"/>
  <c r="V1435" i="2"/>
  <c r="U1435" i="2"/>
  <c r="AA1434" i="2"/>
  <c r="AB1434" i="2" s="1"/>
  <c r="Y1434" i="2"/>
  <c r="Z1434" i="2" s="1"/>
  <c r="V1434" i="2"/>
  <c r="U1434" i="2"/>
  <c r="AA1433" i="2"/>
  <c r="AB1433" i="2" s="1"/>
  <c r="Y1433" i="2"/>
  <c r="Z1433" i="2" s="1"/>
  <c r="V1433" i="2"/>
  <c r="U1433" i="2"/>
  <c r="AA1432" i="2"/>
  <c r="AB1432" i="2" s="1"/>
  <c r="Y1432" i="2"/>
  <c r="Z1432" i="2" s="1"/>
  <c r="V1432" i="2"/>
  <c r="U1432" i="2"/>
  <c r="AA1431" i="2"/>
  <c r="AB1431" i="2" s="1"/>
  <c r="Y1431" i="2"/>
  <c r="Z1431" i="2" s="1"/>
  <c r="V1431" i="2"/>
  <c r="U1431" i="2"/>
  <c r="AA1430" i="2"/>
  <c r="AB1430" i="2" s="1"/>
  <c r="Y1430" i="2"/>
  <c r="Z1430" i="2" s="1"/>
  <c r="V1430" i="2"/>
  <c r="U1430" i="2"/>
  <c r="AA1429" i="2"/>
  <c r="AB1429" i="2" s="1"/>
  <c r="Y1429" i="2"/>
  <c r="Z1429" i="2" s="1"/>
  <c r="V1429" i="2"/>
  <c r="U1429" i="2"/>
  <c r="AA1428" i="2"/>
  <c r="AB1428" i="2" s="1"/>
  <c r="Y1428" i="2"/>
  <c r="Z1428" i="2" s="1"/>
  <c r="V1428" i="2"/>
  <c r="U1428" i="2"/>
  <c r="AA1427" i="2"/>
  <c r="AB1427" i="2" s="1"/>
  <c r="Y1427" i="2"/>
  <c r="Z1427" i="2" s="1"/>
  <c r="V1427" i="2"/>
  <c r="U1427" i="2"/>
  <c r="AA1426" i="2"/>
  <c r="AB1426" i="2" s="1"/>
  <c r="Y1426" i="2"/>
  <c r="Z1426" i="2" s="1"/>
  <c r="V1426" i="2"/>
  <c r="U1426" i="2"/>
  <c r="AA1425" i="2"/>
  <c r="AB1425" i="2" s="1"/>
  <c r="Y1425" i="2"/>
  <c r="Z1425" i="2" s="1"/>
  <c r="V1425" i="2"/>
  <c r="U1425" i="2"/>
  <c r="AA1424" i="2"/>
  <c r="AB1424" i="2" s="1"/>
  <c r="Y1424" i="2"/>
  <c r="Z1424" i="2" s="1"/>
  <c r="V1424" i="2"/>
  <c r="U1424" i="2"/>
  <c r="AA1423" i="2"/>
  <c r="AB1423" i="2" s="1"/>
  <c r="Y1423" i="2"/>
  <c r="Z1423" i="2" s="1"/>
  <c r="V1423" i="2"/>
  <c r="U1423" i="2"/>
  <c r="AA1422" i="2"/>
  <c r="AB1422" i="2" s="1"/>
  <c r="Y1422" i="2"/>
  <c r="Z1422" i="2" s="1"/>
  <c r="V1422" i="2"/>
  <c r="U1422" i="2"/>
  <c r="AA1421" i="2"/>
  <c r="AB1421" i="2" s="1"/>
  <c r="Y1421" i="2"/>
  <c r="Z1421" i="2" s="1"/>
  <c r="V1421" i="2"/>
  <c r="U1421" i="2"/>
  <c r="AA1420" i="2"/>
  <c r="AB1420" i="2" s="1"/>
  <c r="Y1420" i="2"/>
  <c r="Z1420" i="2" s="1"/>
  <c r="V1420" i="2"/>
  <c r="U1420" i="2"/>
  <c r="AA1419" i="2"/>
  <c r="AB1419" i="2" s="1"/>
  <c r="Y1419" i="2"/>
  <c r="Z1419" i="2" s="1"/>
  <c r="V1419" i="2"/>
  <c r="U1419" i="2"/>
  <c r="AA1418" i="2"/>
  <c r="AB1418" i="2" s="1"/>
  <c r="Y1418" i="2"/>
  <c r="Z1418" i="2" s="1"/>
  <c r="V1418" i="2"/>
  <c r="U1418" i="2"/>
  <c r="AA1417" i="2"/>
  <c r="AB1417" i="2" s="1"/>
  <c r="Y1417" i="2"/>
  <c r="Z1417" i="2" s="1"/>
  <c r="V1417" i="2"/>
  <c r="U1417" i="2"/>
  <c r="AA1416" i="2"/>
  <c r="AB1416" i="2" s="1"/>
  <c r="Y1416" i="2"/>
  <c r="Z1416" i="2" s="1"/>
  <c r="V1416" i="2"/>
  <c r="U1416" i="2"/>
  <c r="AA1415" i="2"/>
  <c r="AB1415" i="2" s="1"/>
  <c r="Y1415" i="2"/>
  <c r="Z1415" i="2" s="1"/>
  <c r="V1415" i="2"/>
  <c r="U1415" i="2"/>
  <c r="AA1414" i="2"/>
  <c r="AB1414" i="2" s="1"/>
  <c r="Y1414" i="2"/>
  <c r="Z1414" i="2" s="1"/>
  <c r="V1414" i="2"/>
  <c r="U1414" i="2"/>
  <c r="AA1413" i="2"/>
  <c r="AB1413" i="2" s="1"/>
  <c r="Y1413" i="2"/>
  <c r="Z1413" i="2" s="1"/>
  <c r="V1413" i="2"/>
  <c r="U1413" i="2"/>
  <c r="AA1412" i="2"/>
  <c r="AB1412" i="2" s="1"/>
  <c r="Y1412" i="2"/>
  <c r="Z1412" i="2" s="1"/>
  <c r="V1412" i="2"/>
  <c r="U1412" i="2"/>
  <c r="AA1411" i="2"/>
  <c r="AB1411" i="2" s="1"/>
  <c r="Y1411" i="2"/>
  <c r="Z1411" i="2" s="1"/>
  <c r="V1411" i="2"/>
  <c r="U1411" i="2"/>
  <c r="AA1410" i="2"/>
  <c r="AB1410" i="2" s="1"/>
  <c r="Y1410" i="2"/>
  <c r="Z1410" i="2" s="1"/>
  <c r="V1410" i="2"/>
  <c r="U1410" i="2"/>
  <c r="AA1409" i="2"/>
  <c r="AB1409" i="2" s="1"/>
  <c r="Y1409" i="2"/>
  <c r="Z1409" i="2" s="1"/>
  <c r="V1409" i="2"/>
  <c r="U1409" i="2"/>
  <c r="AA1408" i="2"/>
  <c r="AB1408" i="2" s="1"/>
  <c r="Y1408" i="2"/>
  <c r="Z1408" i="2" s="1"/>
  <c r="V1408" i="2"/>
  <c r="U1408" i="2"/>
  <c r="AA1407" i="2"/>
  <c r="AB1407" i="2" s="1"/>
  <c r="Y1407" i="2"/>
  <c r="Z1407" i="2" s="1"/>
  <c r="V1407" i="2"/>
  <c r="U1407" i="2"/>
  <c r="AA1406" i="2"/>
  <c r="AB1406" i="2" s="1"/>
  <c r="Y1406" i="2"/>
  <c r="Z1406" i="2" s="1"/>
  <c r="V1406" i="2"/>
  <c r="U1406" i="2"/>
  <c r="AA1405" i="2"/>
  <c r="AB1405" i="2" s="1"/>
  <c r="Y1405" i="2"/>
  <c r="Z1405" i="2" s="1"/>
  <c r="V1405" i="2"/>
  <c r="U1405" i="2"/>
  <c r="AA1404" i="2"/>
  <c r="AB1404" i="2" s="1"/>
  <c r="Y1404" i="2"/>
  <c r="Z1404" i="2" s="1"/>
  <c r="V1404" i="2"/>
  <c r="U1404" i="2"/>
  <c r="AA1403" i="2"/>
  <c r="AB1403" i="2" s="1"/>
  <c r="Y1403" i="2"/>
  <c r="Z1403" i="2" s="1"/>
  <c r="V1403" i="2"/>
  <c r="U1403" i="2"/>
  <c r="AA1402" i="2"/>
  <c r="AB1402" i="2" s="1"/>
  <c r="Y1402" i="2"/>
  <c r="Z1402" i="2" s="1"/>
  <c r="V1402" i="2"/>
  <c r="U1402" i="2"/>
  <c r="AA1401" i="2"/>
  <c r="AB1401" i="2" s="1"/>
  <c r="Y1401" i="2"/>
  <c r="Z1401" i="2" s="1"/>
  <c r="V1401" i="2"/>
  <c r="U1401" i="2"/>
  <c r="AA1400" i="2"/>
  <c r="AB1400" i="2" s="1"/>
  <c r="Y1400" i="2"/>
  <c r="Z1400" i="2" s="1"/>
  <c r="V1400" i="2"/>
  <c r="U1400" i="2"/>
  <c r="AA1399" i="2"/>
  <c r="AB1399" i="2" s="1"/>
  <c r="Y1399" i="2"/>
  <c r="Z1399" i="2" s="1"/>
  <c r="V1399" i="2"/>
  <c r="U1399" i="2"/>
  <c r="AA1398" i="2"/>
  <c r="AB1398" i="2" s="1"/>
  <c r="Y1398" i="2"/>
  <c r="Z1398" i="2" s="1"/>
  <c r="V1398" i="2"/>
  <c r="U1398" i="2"/>
  <c r="AA1397" i="2"/>
  <c r="AB1397" i="2" s="1"/>
  <c r="Y1397" i="2"/>
  <c r="Z1397" i="2" s="1"/>
  <c r="V1397" i="2"/>
  <c r="U1397" i="2"/>
  <c r="AA1396" i="2"/>
  <c r="AB1396" i="2" s="1"/>
  <c r="Y1396" i="2"/>
  <c r="Z1396" i="2" s="1"/>
  <c r="V1396" i="2"/>
  <c r="U1396" i="2"/>
  <c r="AA1395" i="2"/>
  <c r="AB1395" i="2" s="1"/>
  <c r="Y1395" i="2"/>
  <c r="Z1395" i="2" s="1"/>
  <c r="V1395" i="2"/>
  <c r="U1395" i="2"/>
  <c r="AA1394" i="2"/>
  <c r="AB1394" i="2" s="1"/>
  <c r="Y1394" i="2"/>
  <c r="Z1394" i="2" s="1"/>
  <c r="V1394" i="2"/>
  <c r="U1394" i="2"/>
  <c r="AA1393" i="2"/>
  <c r="AB1393" i="2" s="1"/>
  <c r="Y1393" i="2"/>
  <c r="Z1393" i="2" s="1"/>
  <c r="V1393" i="2"/>
  <c r="U1393" i="2"/>
  <c r="AA1392" i="2"/>
  <c r="AB1392" i="2" s="1"/>
  <c r="Y1392" i="2"/>
  <c r="Z1392" i="2" s="1"/>
  <c r="V1392" i="2"/>
  <c r="U1392" i="2"/>
  <c r="AA1391" i="2"/>
  <c r="AB1391" i="2" s="1"/>
  <c r="Y1391" i="2"/>
  <c r="Z1391" i="2" s="1"/>
  <c r="V1391" i="2"/>
  <c r="U1391" i="2"/>
  <c r="AA1390" i="2"/>
  <c r="AB1390" i="2" s="1"/>
  <c r="Y1390" i="2"/>
  <c r="Z1390" i="2" s="1"/>
  <c r="V1390" i="2"/>
  <c r="U1390" i="2"/>
  <c r="AA1389" i="2"/>
  <c r="AB1389" i="2" s="1"/>
  <c r="Y1389" i="2"/>
  <c r="Z1389" i="2" s="1"/>
  <c r="V1389" i="2"/>
  <c r="U1389" i="2"/>
  <c r="AA1388" i="2"/>
  <c r="AB1388" i="2" s="1"/>
  <c r="Y1388" i="2"/>
  <c r="Z1388" i="2" s="1"/>
  <c r="V1388" i="2"/>
  <c r="U1388" i="2"/>
  <c r="AA1387" i="2"/>
  <c r="AB1387" i="2" s="1"/>
  <c r="Y1387" i="2"/>
  <c r="Z1387" i="2" s="1"/>
  <c r="V1387" i="2"/>
  <c r="U1387" i="2"/>
  <c r="AA1386" i="2"/>
  <c r="AB1386" i="2" s="1"/>
  <c r="Y1386" i="2"/>
  <c r="Z1386" i="2" s="1"/>
  <c r="V1386" i="2"/>
  <c r="U1386" i="2"/>
  <c r="AA1385" i="2"/>
  <c r="AB1385" i="2" s="1"/>
  <c r="Y1385" i="2"/>
  <c r="Z1385" i="2" s="1"/>
  <c r="V1385" i="2"/>
  <c r="U1385" i="2"/>
  <c r="AA1384" i="2"/>
  <c r="AB1384" i="2" s="1"/>
  <c r="Y1384" i="2"/>
  <c r="Z1384" i="2" s="1"/>
  <c r="V1384" i="2"/>
  <c r="U1384" i="2"/>
  <c r="AA1383" i="2"/>
  <c r="AB1383" i="2" s="1"/>
  <c r="Y1383" i="2"/>
  <c r="Z1383" i="2" s="1"/>
  <c r="V1383" i="2"/>
  <c r="U1383" i="2"/>
  <c r="AA1382" i="2"/>
  <c r="AB1382" i="2" s="1"/>
  <c r="Y1382" i="2"/>
  <c r="Z1382" i="2" s="1"/>
  <c r="V1382" i="2"/>
  <c r="U1382" i="2"/>
  <c r="AA1381" i="2"/>
  <c r="AB1381" i="2" s="1"/>
  <c r="Y1381" i="2"/>
  <c r="Z1381" i="2" s="1"/>
  <c r="V1381" i="2"/>
  <c r="U1381" i="2"/>
  <c r="AA1380" i="2"/>
  <c r="AB1380" i="2" s="1"/>
  <c r="Y1380" i="2"/>
  <c r="Z1380" i="2" s="1"/>
  <c r="V1380" i="2"/>
  <c r="U1380" i="2"/>
  <c r="AA1379" i="2"/>
  <c r="AB1379" i="2" s="1"/>
  <c r="Y1379" i="2"/>
  <c r="Z1379" i="2" s="1"/>
  <c r="V1379" i="2"/>
  <c r="U1379" i="2"/>
  <c r="AA1378" i="2"/>
  <c r="AB1378" i="2" s="1"/>
  <c r="Y1378" i="2"/>
  <c r="Z1378" i="2" s="1"/>
  <c r="V1378" i="2"/>
  <c r="U1378" i="2"/>
  <c r="AA1377" i="2"/>
  <c r="AB1377" i="2" s="1"/>
  <c r="Y1377" i="2"/>
  <c r="Z1377" i="2" s="1"/>
  <c r="V1377" i="2"/>
  <c r="U1377" i="2"/>
  <c r="AA1376" i="2"/>
  <c r="AB1376" i="2" s="1"/>
  <c r="Y1376" i="2"/>
  <c r="Z1376" i="2" s="1"/>
  <c r="V1376" i="2"/>
  <c r="U1376" i="2"/>
  <c r="AA1375" i="2"/>
  <c r="AB1375" i="2" s="1"/>
  <c r="Y1375" i="2"/>
  <c r="Z1375" i="2" s="1"/>
  <c r="V1375" i="2"/>
  <c r="U1375" i="2"/>
  <c r="AA1374" i="2"/>
  <c r="AB1374" i="2" s="1"/>
  <c r="Y1374" i="2"/>
  <c r="Z1374" i="2" s="1"/>
  <c r="V1374" i="2"/>
  <c r="U1374" i="2"/>
  <c r="AA1373" i="2"/>
  <c r="AB1373" i="2" s="1"/>
  <c r="Y1373" i="2"/>
  <c r="Z1373" i="2" s="1"/>
  <c r="V1373" i="2"/>
  <c r="U1373" i="2"/>
  <c r="AA1372" i="2"/>
  <c r="AB1372" i="2" s="1"/>
  <c r="Y1372" i="2"/>
  <c r="Z1372" i="2" s="1"/>
  <c r="V1372" i="2"/>
  <c r="U1372" i="2"/>
  <c r="AA1371" i="2"/>
  <c r="AB1371" i="2" s="1"/>
  <c r="Y1371" i="2"/>
  <c r="Z1371" i="2" s="1"/>
  <c r="V1371" i="2"/>
  <c r="U1371" i="2"/>
  <c r="AA1370" i="2"/>
  <c r="AB1370" i="2" s="1"/>
  <c r="Y1370" i="2"/>
  <c r="Z1370" i="2" s="1"/>
  <c r="V1370" i="2"/>
  <c r="U1370" i="2"/>
  <c r="AA1369" i="2"/>
  <c r="AB1369" i="2" s="1"/>
  <c r="Y1369" i="2"/>
  <c r="Z1369" i="2" s="1"/>
  <c r="V1369" i="2"/>
  <c r="U1369" i="2"/>
  <c r="AA1368" i="2"/>
  <c r="AB1368" i="2" s="1"/>
  <c r="Y1368" i="2"/>
  <c r="Z1368" i="2" s="1"/>
  <c r="V1368" i="2"/>
  <c r="U1368" i="2"/>
  <c r="AA1367" i="2"/>
  <c r="AB1367" i="2" s="1"/>
  <c r="Y1367" i="2"/>
  <c r="Z1367" i="2" s="1"/>
  <c r="V1367" i="2"/>
  <c r="U1367" i="2"/>
  <c r="AA1366" i="2"/>
  <c r="AB1366" i="2" s="1"/>
  <c r="Y1366" i="2"/>
  <c r="Z1366" i="2" s="1"/>
  <c r="V1366" i="2"/>
  <c r="U1366" i="2"/>
  <c r="AA1365" i="2"/>
  <c r="AB1365" i="2" s="1"/>
  <c r="Y1365" i="2"/>
  <c r="Z1365" i="2" s="1"/>
  <c r="V1365" i="2"/>
  <c r="U1365" i="2"/>
  <c r="AA1364" i="2"/>
  <c r="AB1364" i="2" s="1"/>
  <c r="Y1364" i="2"/>
  <c r="Z1364" i="2" s="1"/>
  <c r="V1364" i="2"/>
  <c r="U1364" i="2"/>
  <c r="AA1363" i="2"/>
  <c r="AB1363" i="2" s="1"/>
  <c r="Y1363" i="2"/>
  <c r="Z1363" i="2" s="1"/>
  <c r="V1363" i="2"/>
  <c r="U1363" i="2"/>
  <c r="AA1362" i="2"/>
  <c r="AB1362" i="2" s="1"/>
  <c r="Y1362" i="2"/>
  <c r="Z1362" i="2" s="1"/>
  <c r="V1362" i="2"/>
  <c r="U1362" i="2"/>
  <c r="AA1361" i="2"/>
  <c r="AB1361" i="2" s="1"/>
  <c r="Y1361" i="2"/>
  <c r="Z1361" i="2" s="1"/>
  <c r="V1361" i="2"/>
  <c r="U1361" i="2"/>
  <c r="AA1360" i="2"/>
  <c r="AB1360" i="2" s="1"/>
  <c r="Y1360" i="2"/>
  <c r="Z1360" i="2" s="1"/>
  <c r="V1360" i="2"/>
  <c r="U1360" i="2"/>
  <c r="AA1359" i="2"/>
  <c r="AB1359" i="2" s="1"/>
  <c r="Y1359" i="2"/>
  <c r="Z1359" i="2" s="1"/>
  <c r="V1359" i="2"/>
  <c r="U1359" i="2"/>
  <c r="AA1358" i="2"/>
  <c r="AB1358" i="2" s="1"/>
  <c r="Y1358" i="2"/>
  <c r="Z1358" i="2" s="1"/>
  <c r="V1358" i="2"/>
  <c r="U1358" i="2"/>
  <c r="AA1357" i="2"/>
  <c r="AB1357" i="2" s="1"/>
  <c r="Y1357" i="2"/>
  <c r="Z1357" i="2" s="1"/>
  <c r="V1357" i="2"/>
  <c r="U1357" i="2"/>
  <c r="AA1356" i="2"/>
  <c r="AB1356" i="2" s="1"/>
  <c r="Y1356" i="2"/>
  <c r="Z1356" i="2" s="1"/>
  <c r="V1356" i="2"/>
  <c r="U1356" i="2"/>
  <c r="AA1355" i="2"/>
  <c r="AB1355" i="2" s="1"/>
  <c r="Y1355" i="2"/>
  <c r="Z1355" i="2" s="1"/>
  <c r="V1355" i="2"/>
  <c r="U1355" i="2"/>
  <c r="AA1354" i="2"/>
  <c r="AB1354" i="2" s="1"/>
  <c r="Y1354" i="2"/>
  <c r="Z1354" i="2" s="1"/>
  <c r="V1354" i="2"/>
  <c r="U1354" i="2"/>
  <c r="AA1353" i="2"/>
  <c r="AB1353" i="2" s="1"/>
  <c r="Y1353" i="2"/>
  <c r="Z1353" i="2" s="1"/>
  <c r="V1353" i="2"/>
  <c r="U1353" i="2"/>
  <c r="AA1352" i="2"/>
  <c r="AB1352" i="2" s="1"/>
  <c r="Y1352" i="2"/>
  <c r="Z1352" i="2" s="1"/>
  <c r="V1352" i="2"/>
  <c r="U1352" i="2"/>
  <c r="AA1351" i="2"/>
  <c r="AB1351" i="2" s="1"/>
  <c r="Y1351" i="2"/>
  <c r="Z1351" i="2" s="1"/>
  <c r="V1351" i="2"/>
  <c r="U1351" i="2"/>
  <c r="AA1350" i="2"/>
  <c r="AB1350" i="2" s="1"/>
  <c r="Y1350" i="2"/>
  <c r="Z1350" i="2" s="1"/>
  <c r="V1350" i="2"/>
  <c r="U1350" i="2"/>
  <c r="AA1349" i="2"/>
  <c r="AB1349" i="2" s="1"/>
  <c r="Y1349" i="2"/>
  <c r="Z1349" i="2" s="1"/>
  <c r="V1349" i="2"/>
  <c r="U1349" i="2"/>
  <c r="AA1348" i="2"/>
  <c r="AB1348" i="2" s="1"/>
  <c r="Y1348" i="2"/>
  <c r="Z1348" i="2" s="1"/>
  <c r="V1348" i="2"/>
  <c r="U1348" i="2"/>
  <c r="AA1347" i="2"/>
  <c r="AB1347" i="2" s="1"/>
  <c r="Y1347" i="2"/>
  <c r="Z1347" i="2" s="1"/>
  <c r="V1347" i="2"/>
  <c r="U1347" i="2"/>
  <c r="AA1346" i="2"/>
  <c r="AB1346" i="2" s="1"/>
  <c r="Y1346" i="2"/>
  <c r="Z1346" i="2" s="1"/>
  <c r="V1346" i="2"/>
  <c r="U1346" i="2"/>
  <c r="AA1345" i="2"/>
  <c r="AB1345" i="2" s="1"/>
  <c r="Y1345" i="2"/>
  <c r="Z1345" i="2" s="1"/>
  <c r="V1345" i="2"/>
  <c r="U1345" i="2"/>
  <c r="AA1344" i="2"/>
  <c r="AB1344" i="2" s="1"/>
  <c r="Y1344" i="2"/>
  <c r="Z1344" i="2" s="1"/>
  <c r="V1344" i="2"/>
  <c r="U1344" i="2"/>
  <c r="AA1343" i="2"/>
  <c r="AB1343" i="2" s="1"/>
  <c r="Y1343" i="2"/>
  <c r="Z1343" i="2" s="1"/>
  <c r="V1343" i="2"/>
  <c r="U1343" i="2"/>
  <c r="AA1342" i="2"/>
  <c r="AB1342" i="2" s="1"/>
  <c r="Y1342" i="2"/>
  <c r="Z1342" i="2" s="1"/>
  <c r="V1342" i="2"/>
  <c r="U1342" i="2"/>
  <c r="AA1341" i="2"/>
  <c r="AB1341" i="2" s="1"/>
  <c r="Y1341" i="2"/>
  <c r="Z1341" i="2" s="1"/>
  <c r="V1341" i="2"/>
  <c r="U1341" i="2"/>
  <c r="AA1340" i="2"/>
  <c r="AB1340" i="2" s="1"/>
  <c r="Y1340" i="2"/>
  <c r="Z1340" i="2" s="1"/>
  <c r="V1340" i="2"/>
  <c r="U1340" i="2"/>
  <c r="AA1339" i="2"/>
  <c r="AB1339" i="2" s="1"/>
  <c r="Y1339" i="2"/>
  <c r="Z1339" i="2" s="1"/>
  <c r="V1339" i="2"/>
  <c r="U1339" i="2"/>
  <c r="AA1338" i="2"/>
  <c r="AB1338" i="2" s="1"/>
  <c r="Y1338" i="2"/>
  <c r="Z1338" i="2" s="1"/>
  <c r="V1338" i="2"/>
  <c r="U1338" i="2"/>
  <c r="AA1337" i="2"/>
  <c r="AB1337" i="2" s="1"/>
  <c r="Y1337" i="2"/>
  <c r="Z1337" i="2" s="1"/>
  <c r="V1337" i="2"/>
  <c r="U1337" i="2"/>
  <c r="AA1336" i="2"/>
  <c r="AB1336" i="2" s="1"/>
  <c r="Y1336" i="2"/>
  <c r="Z1336" i="2" s="1"/>
  <c r="V1336" i="2"/>
  <c r="U1336" i="2"/>
  <c r="AA1335" i="2"/>
  <c r="AB1335" i="2" s="1"/>
  <c r="Y1335" i="2"/>
  <c r="Z1335" i="2" s="1"/>
  <c r="V1335" i="2"/>
  <c r="U1335" i="2"/>
  <c r="AA1334" i="2"/>
  <c r="AB1334" i="2" s="1"/>
  <c r="Y1334" i="2"/>
  <c r="Z1334" i="2" s="1"/>
  <c r="V1334" i="2"/>
  <c r="U1334" i="2"/>
  <c r="AA1333" i="2"/>
  <c r="AB1333" i="2" s="1"/>
  <c r="Y1333" i="2"/>
  <c r="Z1333" i="2" s="1"/>
  <c r="V1333" i="2"/>
  <c r="U1333" i="2"/>
  <c r="AA1332" i="2"/>
  <c r="AB1332" i="2" s="1"/>
  <c r="Y1332" i="2"/>
  <c r="Z1332" i="2" s="1"/>
  <c r="V1332" i="2"/>
  <c r="U1332" i="2"/>
  <c r="AA1331" i="2"/>
  <c r="AB1331" i="2" s="1"/>
  <c r="Y1331" i="2"/>
  <c r="Z1331" i="2" s="1"/>
  <c r="V1331" i="2"/>
  <c r="U1331" i="2"/>
  <c r="AA1330" i="2"/>
  <c r="AB1330" i="2" s="1"/>
  <c r="Y1330" i="2"/>
  <c r="Z1330" i="2" s="1"/>
  <c r="V1330" i="2"/>
  <c r="U1330" i="2"/>
  <c r="AA1329" i="2"/>
  <c r="AB1329" i="2" s="1"/>
  <c r="Y1329" i="2"/>
  <c r="Z1329" i="2" s="1"/>
  <c r="V1329" i="2"/>
  <c r="U1329" i="2"/>
  <c r="AA1328" i="2"/>
  <c r="AB1328" i="2" s="1"/>
  <c r="Y1328" i="2"/>
  <c r="Z1328" i="2" s="1"/>
  <c r="V1328" i="2"/>
  <c r="U1328" i="2"/>
  <c r="AA1327" i="2"/>
  <c r="AB1327" i="2" s="1"/>
  <c r="Y1327" i="2"/>
  <c r="Z1327" i="2" s="1"/>
  <c r="V1327" i="2"/>
  <c r="U1327" i="2"/>
  <c r="AA1326" i="2"/>
  <c r="AB1326" i="2" s="1"/>
  <c r="Y1326" i="2"/>
  <c r="Z1326" i="2" s="1"/>
  <c r="V1326" i="2"/>
  <c r="U1326" i="2"/>
  <c r="AA1325" i="2"/>
  <c r="AB1325" i="2" s="1"/>
  <c r="Y1325" i="2"/>
  <c r="Z1325" i="2" s="1"/>
  <c r="V1325" i="2"/>
  <c r="U1325" i="2"/>
  <c r="AA1324" i="2"/>
  <c r="AB1324" i="2" s="1"/>
  <c r="Y1324" i="2"/>
  <c r="Z1324" i="2" s="1"/>
  <c r="V1324" i="2"/>
  <c r="U1324" i="2"/>
  <c r="AA1323" i="2"/>
  <c r="AB1323" i="2" s="1"/>
  <c r="Y1323" i="2"/>
  <c r="Z1323" i="2" s="1"/>
  <c r="V1323" i="2"/>
  <c r="U1323" i="2"/>
  <c r="AA1322" i="2"/>
  <c r="AB1322" i="2" s="1"/>
  <c r="Y1322" i="2"/>
  <c r="Z1322" i="2" s="1"/>
  <c r="V1322" i="2"/>
  <c r="U1322" i="2"/>
  <c r="AA1321" i="2"/>
  <c r="AB1321" i="2" s="1"/>
  <c r="Y1321" i="2"/>
  <c r="Z1321" i="2" s="1"/>
  <c r="V1321" i="2"/>
  <c r="U1321" i="2"/>
  <c r="AA1320" i="2"/>
  <c r="AB1320" i="2" s="1"/>
  <c r="Y1320" i="2"/>
  <c r="Z1320" i="2" s="1"/>
  <c r="V1320" i="2"/>
  <c r="U1320" i="2"/>
  <c r="AA1319" i="2"/>
  <c r="AB1319" i="2" s="1"/>
  <c r="Y1319" i="2"/>
  <c r="Z1319" i="2" s="1"/>
  <c r="V1319" i="2"/>
  <c r="U1319" i="2"/>
  <c r="AA1318" i="2"/>
  <c r="AB1318" i="2" s="1"/>
  <c r="Y1318" i="2"/>
  <c r="Z1318" i="2" s="1"/>
  <c r="V1318" i="2"/>
  <c r="U1318" i="2"/>
  <c r="AA1317" i="2"/>
  <c r="AB1317" i="2" s="1"/>
  <c r="Y1317" i="2"/>
  <c r="Z1317" i="2" s="1"/>
  <c r="V1317" i="2"/>
  <c r="U1317" i="2"/>
  <c r="AA1316" i="2"/>
  <c r="AB1316" i="2" s="1"/>
  <c r="Y1316" i="2"/>
  <c r="Z1316" i="2" s="1"/>
  <c r="V1316" i="2"/>
  <c r="U1316" i="2"/>
  <c r="AA1315" i="2"/>
  <c r="AB1315" i="2" s="1"/>
  <c r="Y1315" i="2"/>
  <c r="Z1315" i="2" s="1"/>
  <c r="V1315" i="2"/>
  <c r="U1315" i="2"/>
  <c r="AA1314" i="2"/>
  <c r="AB1314" i="2" s="1"/>
  <c r="Y1314" i="2"/>
  <c r="Z1314" i="2" s="1"/>
  <c r="V1314" i="2"/>
  <c r="U1314" i="2"/>
  <c r="AA1313" i="2"/>
  <c r="AB1313" i="2" s="1"/>
  <c r="Y1313" i="2"/>
  <c r="Z1313" i="2" s="1"/>
  <c r="V1313" i="2"/>
  <c r="U1313" i="2"/>
  <c r="AA1312" i="2"/>
  <c r="AB1312" i="2" s="1"/>
  <c r="Y1312" i="2"/>
  <c r="Z1312" i="2" s="1"/>
  <c r="V1312" i="2"/>
  <c r="U1312" i="2"/>
  <c r="AA1311" i="2"/>
  <c r="AB1311" i="2" s="1"/>
  <c r="Y1311" i="2"/>
  <c r="Z1311" i="2" s="1"/>
  <c r="V1311" i="2"/>
  <c r="U1311" i="2"/>
  <c r="AA1310" i="2"/>
  <c r="AB1310" i="2" s="1"/>
  <c r="Y1310" i="2"/>
  <c r="Z1310" i="2" s="1"/>
  <c r="V1310" i="2"/>
  <c r="U1310" i="2"/>
  <c r="AA1309" i="2"/>
  <c r="AB1309" i="2" s="1"/>
  <c r="Y1309" i="2"/>
  <c r="Z1309" i="2" s="1"/>
  <c r="V1309" i="2"/>
  <c r="U1309" i="2"/>
  <c r="AA1308" i="2"/>
  <c r="AB1308" i="2" s="1"/>
  <c r="Y1308" i="2"/>
  <c r="Z1308" i="2" s="1"/>
  <c r="V1308" i="2"/>
  <c r="U1308" i="2"/>
  <c r="AA1307" i="2"/>
  <c r="AB1307" i="2" s="1"/>
  <c r="Y1307" i="2"/>
  <c r="Z1307" i="2" s="1"/>
  <c r="V1307" i="2"/>
  <c r="U1307" i="2"/>
  <c r="AA1306" i="2"/>
  <c r="AB1306" i="2" s="1"/>
  <c r="Y1306" i="2"/>
  <c r="Z1306" i="2" s="1"/>
  <c r="V1306" i="2"/>
  <c r="U1306" i="2"/>
  <c r="AA1305" i="2"/>
  <c r="AB1305" i="2" s="1"/>
  <c r="Y1305" i="2"/>
  <c r="Z1305" i="2" s="1"/>
  <c r="V1305" i="2"/>
  <c r="U1305" i="2"/>
  <c r="AA1304" i="2"/>
  <c r="AB1304" i="2" s="1"/>
  <c r="Y1304" i="2"/>
  <c r="Z1304" i="2" s="1"/>
  <c r="V1304" i="2"/>
  <c r="U1304" i="2"/>
  <c r="AA1303" i="2"/>
  <c r="AB1303" i="2" s="1"/>
  <c r="Y1303" i="2"/>
  <c r="Z1303" i="2" s="1"/>
  <c r="V1303" i="2"/>
  <c r="U1303" i="2"/>
  <c r="AA1302" i="2"/>
  <c r="AB1302" i="2" s="1"/>
  <c r="Y1302" i="2"/>
  <c r="Z1302" i="2" s="1"/>
  <c r="V1302" i="2"/>
  <c r="U1302" i="2"/>
  <c r="AA1301" i="2"/>
  <c r="AB1301" i="2" s="1"/>
  <c r="Y1301" i="2"/>
  <c r="Z1301" i="2" s="1"/>
  <c r="V1301" i="2"/>
  <c r="U1301" i="2"/>
  <c r="AA1300" i="2"/>
  <c r="AB1300" i="2" s="1"/>
  <c r="Y1300" i="2"/>
  <c r="Z1300" i="2" s="1"/>
  <c r="V1300" i="2"/>
  <c r="U1300" i="2"/>
  <c r="AA1299" i="2"/>
  <c r="AB1299" i="2" s="1"/>
  <c r="Y1299" i="2"/>
  <c r="Z1299" i="2" s="1"/>
  <c r="V1299" i="2"/>
  <c r="U1299" i="2"/>
  <c r="AA1298" i="2"/>
  <c r="AB1298" i="2" s="1"/>
  <c r="Y1298" i="2"/>
  <c r="Z1298" i="2" s="1"/>
  <c r="V1298" i="2"/>
  <c r="U1298" i="2"/>
  <c r="AA1297" i="2"/>
  <c r="AB1297" i="2" s="1"/>
  <c r="Y1297" i="2"/>
  <c r="Z1297" i="2" s="1"/>
  <c r="V1297" i="2"/>
  <c r="U1297" i="2"/>
  <c r="AA1296" i="2"/>
  <c r="AB1296" i="2" s="1"/>
  <c r="Y1296" i="2"/>
  <c r="Z1296" i="2" s="1"/>
  <c r="V1296" i="2"/>
  <c r="U1296" i="2"/>
  <c r="AA1295" i="2"/>
  <c r="AB1295" i="2" s="1"/>
  <c r="Y1295" i="2"/>
  <c r="Z1295" i="2" s="1"/>
  <c r="V1295" i="2"/>
  <c r="U1295" i="2"/>
  <c r="AA1294" i="2"/>
  <c r="AB1294" i="2" s="1"/>
  <c r="Y1294" i="2"/>
  <c r="Z1294" i="2" s="1"/>
  <c r="V1294" i="2"/>
  <c r="U1294" i="2"/>
  <c r="AA1293" i="2"/>
  <c r="AB1293" i="2" s="1"/>
  <c r="Y1293" i="2"/>
  <c r="Z1293" i="2" s="1"/>
  <c r="V1293" i="2"/>
  <c r="U1293" i="2"/>
  <c r="AA1292" i="2"/>
  <c r="AB1292" i="2" s="1"/>
  <c r="Y1292" i="2"/>
  <c r="Z1292" i="2" s="1"/>
  <c r="V1292" i="2"/>
  <c r="U1292" i="2"/>
  <c r="AA1291" i="2"/>
  <c r="AB1291" i="2" s="1"/>
  <c r="Y1291" i="2"/>
  <c r="Z1291" i="2" s="1"/>
  <c r="V1291" i="2"/>
  <c r="U1291" i="2"/>
  <c r="AA1290" i="2"/>
  <c r="AB1290" i="2" s="1"/>
  <c r="Y1290" i="2"/>
  <c r="Z1290" i="2" s="1"/>
  <c r="V1290" i="2"/>
  <c r="U1290" i="2"/>
  <c r="AA1289" i="2"/>
  <c r="AB1289" i="2" s="1"/>
  <c r="Y1289" i="2"/>
  <c r="Z1289" i="2" s="1"/>
  <c r="V1289" i="2"/>
  <c r="U1289" i="2"/>
  <c r="AA1288" i="2"/>
  <c r="AB1288" i="2" s="1"/>
  <c r="Y1288" i="2"/>
  <c r="Z1288" i="2" s="1"/>
  <c r="V1288" i="2"/>
  <c r="U1288" i="2"/>
  <c r="AA1287" i="2"/>
  <c r="AB1287" i="2" s="1"/>
  <c r="Y1287" i="2"/>
  <c r="Z1287" i="2" s="1"/>
  <c r="V1287" i="2"/>
  <c r="U1287" i="2"/>
  <c r="AA1286" i="2"/>
  <c r="AB1286" i="2" s="1"/>
  <c r="Y1286" i="2"/>
  <c r="Z1286" i="2" s="1"/>
  <c r="V1286" i="2"/>
  <c r="U1286" i="2"/>
  <c r="AA1285" i="2"/>
  <c r="AB1285" i="2" s="1"/>
  <c r="Y1285" i="2"/>
  <c r="Z1285" i="2" s="1"/>
  <c r="V1285" i="2"/>
  <c r="U1285" i="2"/>
  <c r="AA1284" i="2"/>
  <c r="AB1284" i="2" s="1"/>
  <c r="Y1284" i="2"/>
  <c r="Z1284" i="2" s="1"/>
  <c r="V1284" i="2"/>
  <c r="U1284" i="2"/>
  <c r="AA1283" i="2"/>
  <c r="AB1283" i="2" s="1"/>
  <c r="Y1283" i="2"/>
  <c r="Z1283" i="2" s="1"/>
  <c r="V1283" i="2"/>
  <c r="U1283" i="2"/>
  <c r="AA1282" i="2"/>
  <c r="AB1282" i="2" s="1"/>
  <c r="Y1282" i="2"/>
  <c r="Z1282" i="2" s="1"/>
  <c r="V1282" i="2"/>
  <c r="U1282" i="2"/>
  <c r="AA1281" i="2"/>
  <c r="AB1281" i="2" s="1"/>
  <c r="Y1281" i="2"/>
  <c r="Z1281" i="2" s="1"/>
  <c r="V1281" i="2"/>
  <c r="U1281" i="2"/>
  <c r="AA1280" i="2"/>
  <c r="AB1280" i="2" s="1"/>
  <c r="Y1280" i="2"/>
  <c r="Z1280" i="2" s="1"/>
  <c r="V1280" i="2"/>
  <c r="U1280" i="2"/>
  <c r="AA1279" i="2"/>
  <c r="AB1279" i="2" s="1"/>
  <c r="Y1279" i="2"/>
  <c r="Z1279" i="2" s="1"/>
  <c r="V1279" i="2"/>
  <c r="U1279" i="2"/>
  <c r="AA1278" i="2"/>
  <c r="AB1278" i="2" s="1"/>
  <c r="Y1278" i="2"/>
  <c r="Z1278" i="2" s="1"/>
  <c r="V1278" i="2"/>
  <c r="U1278" i="2"/>
  <c r="AA1277" i="2"/>
  <c r="AB1277" i="2" s="1"/>
  <c r="Y1277" i="2"/>
  <c r="Z1277" i="2" s="1"/>
  <c r="V1277" i="2"/>
  <c r="U1277" i="2"/>
  <c r="AA1276" i="2"/>
  <c r="AB1276" i="2" s="1"/>
  <c r="Y1276" i="2"/>
  <c r="Z1276" i="2" s="1"/>
  <c r="V1276" i="2"/>
  <c r="U1276" i="2"/>
  <c r="AA1275" i="2"/>
  <c r="AB1275" i="2" s="1"/>
  <c r="Y1275" i="2"/>
  <c r="Z1275" i="2" s="1"/>
  <c r="V1275" i="2"/>
  <c r="U1275" i="2"/>
  <c r="AA1274" i="2"/>
  <c r="AB1274" i="2" s="1"/>
  <c r="Y1274" i="2"/>
  <c r="Z1274" i="2" s="1"/>
  <c r="V1274" i="2"/>
  <c r="U1274" i="2"/>
  <c r="AA1273" i="2"/>
  <c r="AB1273" i="2" s="1"/>
  <c r="Y1273" i="2"/>
  <c r="Z1273" i="2" s="1"/>
  <c r="V1273" i="2"/>
  <c r="U1273" i="2"/>
  <c r="AA1272" i="2"/>
  <c r="AB1272" i="2" s="1"/>
  <c r="Y1272" i="2"/>
  <c r="Z1272" i="2" s="1"/>
  <c r="V1272" i="2"/>
  <c r="U1272" i="2"/>
  <c r="AA1271" i="2"/>
  <c r="AB1271" i="2" s="1"/>
  <c r="Y1271" i="2"/>
  <c r="Z1271" i="2" s="1"/>
  <c r="V1271" i="2"/>
  <c r="U1271" i="2"/>
  <c r="AA1270" i="2"/>
  <c r="AB1270" i="2" s="1"/>
  <c r="Y1270" i="2"/>
  <c r="Z1270" i="2" s="1"/>
  <c r="V1270" i="2"/>
  <c r="U1270" i="2"/>
  <c r="AA1269" i="2"/>
  <c r="AB1269" i="2" s="1"/>
  <c r="Y1269" i="2"/>
  <c r="Z1269" i="2" s="1"/>
  <c r="V1269" i="2"/>
  <c r="U1269" i="2"/>
  <c r="AA1268" i="2"/>
  <c r="AB1268" i="2" s="1"/>
  <c r="Y1268" i="2"/>
  <c r="Z1268" i="2" s="1"/>
  <c r="V1268" i="2"/>
  <c r="U1268" i="2"/>
  <c r="AA1267" i="2"/>
  <c r="AB1267" i="2" s="1"/>
  <c r="Y1267" i="2"/>
  <c r="Z1267" i="2" s="1"/>
  <c r="V1267" i="2"/>
  <c r="U1267" i="2"/>
  <c r="AA1266" i="2"/>
  <c r="AB1266" i="2" s="1"/>
  <c r="Y1266" i="2"/>
  <c r="Z1266" i="2" s="1"/>
  <c r="V1266" i="2"/>
  <c r="U1266" i="2"/>
  <c r="AA1265" i="2"/>
  <c r="AB1265" i="2" s="1"/>
  <c r="Y1265" i="2"/>
  <c r="Z1265" i="2" s="1"/>
  <c r="V1265" i="2"/>
  <c r="U1265" i="2"/>
  <c r="AA1264" i="2"/>
  <c r="AB1264" i="2" s="1"/>
  <c r="Y1264" i="2"/>
  <c r="Z1264" i="2" s="1"/>
  <c r="V1264" i="2"/>
  <c r="U1264" i="2"/>
  <c r="AA1263" i="2"/>
  <c r="AB1263" i="2" s="1"/>
  <c r="Y1263" i="2"/>
  <c r="Z1263" i="2" s="1"/>
  <c r="V1263" i="2"/>
  <c r="U1263" i="2"/>
  <c r="AA1262" i="2"/>
  <c r="AB1262" i="2" s="1"/>
  <c r="Y1262" i="2"/>
  <c r="Z1262" i="2" s="1"/>
  <c r="V1262" i="2"/>
  <c r="U1262" i="2"/>
  <c r="AA1261" i="2"/>
  <c r="AB1261" i="2" s="1"/>
  <c r="Y1261" i="2"/>
  <c r="Z1261" i="2" s="1"/>
  <c r="V1261" i="2"/>
  <c r="U1261" i="2"/>
  <c r="AA1260" i="2"/>
  <c r="AB1260" i="2" s="1"/>
  <c r="Y1260" i="2"/>
  <c r="Z1260" i="2" s="1"/>
  <c r="V1260" i="2"/>
  <c r="U1260" i="2"/>
  <c r="AA1259" i="2"/>
  <c r="AB1259" i="2" s="1"/>
  <c r="Y1259" i="2"/>
  <c r="Z1259" i="2" s="1"/>
  <c r="V1259" i="2"/>
  <c r="U1259" i="2"/>
  <c r="AA1258" i="2"/>
  <c r="AB1258" i="2" s="1"/>
  <c r="Y1258" i="2"/>
  <c r="Z1258" i="2" s="1"/>
  <c r="V1258" i="2"/>
  <c r="U1258" i="2"/>
  <c r="AA1257" i="2"/>
  <c r="AB1257" i="2" s="1"/>
  <c r="Y1257" i="2"/>
  <c r="Z1257" i="2" s="1"/>
  <c r="V1257" i="2"/>
  <c r="U1257" i="2"/>
  <c r="AA1256" i="2"/>
  <c r="AB1256" i="2" s="1"/>
  <c r="Y1256" i="2"/>
  <c r="Z1256" i="2" s="1"/>
  <c r="V1256" i="2"/>
  <c r="U1256" i="2"/>
  <c r="AA1255" i="2"/>
  <c r="AB1255" i="2" s="1"/>
  <c r="Y1255" i="2"/>
  <c r="Z1255" i="2" s="1"/>
  <c r="V1255" i="2"/>
  <c r="U1255" i="2"/>
  <c r="AA1254" i="2"/>
  <c r="AB1254" i="2" s="1"/>
  <c r="Y1254" i="2"/>
  <c r="Z1254" i="2" s="1"/>
  <c r="V1254" i="2"/>
  <c r="U1254" i="2"/>
  <c r="AA1253" i="2"/>
  <c r="AB1253" i="2" s="1"/>
  <c r="Y1253" i="2"/>
  <c r="Z1253" i="2" s="1"/>
  <c r="V1253" i="2"/>
  <c r="U1253" i="2"/>
  <c r="AA1252" i="2"/>
  <c r="AB1252" i="2" s="1"/>
  <c r="Y1252" i="2"/>
  <c r="Z1252" i="2" s="1"/>
  <c r="V1252" i="2"/>
  <c r="U1252" i="2"/>
  <c r="AA1251" i="2"/>
  <c r="AB1251" i="2" s="1"/>
  <c r="Y1251" i="2"/>
  <c r="Z1251" i="2" s="1"/>
  <c r="V1251" i="2"/>
  <c r="U1251" i="2"/>
  <c r="AA1250" i="2"/>
  <c r="AB1250" i="2" s="1"/>
  <c r="Y1250" i="2"/>
  <c r="Z1250" i="2" s="1"/>
  <c r="V1250" i="2"/>
  <c r="U1250" i="2"/>
  <c r="AA1249" i="2"/>
  <c r="AB1249" i="2" s="1"/>
  <c r="Y1249" i="2"/>
  <c r="Z1249" i="2" s="1"/>
  <c r="V1249" i="2"/>
  <c r="U1249" i="2"/>
  <c r="AA1248" i="2"/>
  <c r="AB1248" i="2" s="1"/>
  <c r="Y1248" i="2"/>
  <c r="Z1248" i="2" s="1"/>
  <c r="V1248" i="2"/>
  <c r="U1248" i="2"/>
  <c r="AA1247" i="2"/>
  <c r="AB1247" i="2" s="1"/>
  <c r="Y1247" i="2"/>
  <c r="Z1247" i="2" s="1"/>
  <c r="V1247" i="2"/>
  <c r="U1247" i="2"/>
  <c r="AA1246" i="2"/>
  <c r="AB1246" i="2" s="1"/>
  <c r="Y1246" i="2"/>
  <c r="Z1246" i="2" s="1"/>
  <c r="V1246" i="2"/>
  <c r="U1246" i="2"/>
  <c r="AA1245" i="2"/>
  <c r="AB1245" i="2" s="1"/>
  <c r="Y1245" i="2"/>
  <c r="Z1245" i="2" s="1"/>
  <c r="V1245" i="2"/>
  <c r="U1245" i="2"/>
  <c r="AA1244" i="2"/>
  <c r="AB1244" i="2" s="1"/>
  <c r="Y1244" i="2"/>
  <c r="Z1244" i="2" s="1"/>
  <c r="V1244" i="2"/>
  <c r="U1244" i="2"/>
  <c r="AA1243" i="2"/>
  <c r="AB1243" i="2" s="1"/>
  <c r="Y1243" i="2"/>
  <c r="Z1243" i="2" s="1"/>
  <c r="V1243" i="2"/>
  <c r="U1243" i="2"/>
  <c r="AA1242" i="2"/>
  <c r="AB1242" i="2" s="1"/>
  <c r="Y1242" i="2"/>
  <c r="Z1242" i="2" s="1"/>
  <c r="V1242" i="2"/>
  <c r="U1242" i="2"/>
  <c r="AA1241" i="2"/>
  <c r="AB1241" i="2" s="1"/>
  <c r="Y1241" i="2"/>
  <c r="Z1241" i="2" s="1"/>
  <c r="V1241" i="2"/>
  <c r="U1241" i="2"/>
  <c r="AA1240" i="2"/>
  <c r="AB1240" i="2" s="1"/>
  <c r="Y1240" i="2"/>
  <c r="Z1240" i="2" s="1"/>
  <c r="V1240" i="2"/>
  <c r="U1240" i="2"/>
  <c r="AA1239" i="2"/>
  <c r="AB1239" i="2" s="1"/>
  <c r="Y1239" i="2"/>
  <c r="Z1239" i="2" s="1"/>
  <c r="V1239" i="2"/>
  <c r="U1239" i="2"/>
  <c r="AA1238" i="2"/>
  <c r="AB1238" i="2" s="1"/>
  <c r="Y1238" i="2"/>
  <c r="Z1238" i="2" s="1"/>
  <c r="V1238" i="2"/>
  <c r="U1238" i="2"/>
  <c r="AA1237" i="2"/>
  <c r="AB1237" i="2" s="1"/>
  <c r="Y1237" i="2"/>
  <c r="Z1237" i="2" s="1"/>
  <c r="V1237" i="2"/>
  <c r="U1237" i="2"/>
  <c r="AA1236" i="2"/>
  <c r="AB1236" i="2" s="1"/>
  <c r="Y1236" i="2"/>
  <c r="Z1236" i="2" s="1"/>
  <c r="V1236" i="2"/>
  <c r="U1236" i="2"/>
  <c r="AA1235" i="2"/>
  <c r="AB1235" i="2" s="1"/>
  <c r="Y1235" i="2"/>
  <c r="Z1235" i="2" s="1"/>
  <c r="V1235" i="2"/>
  <c r="U1235" i="2"/>
  <c r="AA1234" i="2"/>
  <c r="AB1234" i="2" s="1"/>
  <c r="Y1234" i="2"/>
  <c r="Z1234" i="2" s="1"/>
  <c r="V1234" i="2"/>
  <c r="U1234" i="2"/>
  <c r="AA1233" i="2"/>
  <c r="AB1233" i="2" s="1"/>
  <c r="Y1233" i="2"/>
  <c r="Z1233" i="2" s="1"/>
  <c r="V1233" i="2"/>
  <c r="U1233" i="2"/>
  <c r="AA1232" i="2"/>
  <c r="AB1232" i="2" s="1"/>
  <c r="Y1232" i="2"/>
  <c r="Z1232" i="2" s="1"/>
  <c r="V1232" i="2"/>
  <c r="U1232" i="2"/>
  <c r="AA1231" i="2"/>
  <c r="AB1231" i="2" s="1"/>
  <c r="Y1231" i="2"/>
  <c r="Z1231" i="2" s="1"/>
  <c r="V1231" i="2"/>
  <c r="U1231" i="2"/>
  <c r="AA1230" i="2"/>
  <c r="AB1230" i="2" s="1"/>
  <c r="Y1230" i="2"/>
  <c r="Z1230" i="2" s="1"/>
  <c r="V1230" i="2"/>
  <c r="U1230" i="2"/>
  <c r="AA1229" i="2"/>
  <c r="AB1229" i="2" s="1"/>
  <c r="Y1229" i="2"/>
  <c r="Z1229" i="2" s="1"/>
  <c r="V1229" i="2"/>
  <c r="U1229" i="2"/>
  <c r="AA1228" i="2"/>
  <c r="AB1228" i="2" s="1"/>
  <c r="Y1228" i="2"/>
  <c r="Z1228" i="2" s="1"/>
  <c r="V1228" i="2"/>
  <c r="U1228" i="2"/>
  <c r="AA1227" i="2"/>
  <c r="AB1227" i="2" s="1"/>
  <c r="Y1227" i="2"/>
  <c r="Z1227" i="2" s="1"/>
  <c r="V1227" i="2"/>
  <c r="U1227" i="2"/>
  <c r="AA1226" i="2"/>
  <c r="AB1226" i="2" s="1"/>
  <c r="Y1226" i="2"/>
  <c r="Z1226" i="2" s="1"/>
  <c r="V1226" i="2"/>
  <c r="U1226" i="2"/>
  <c r="AA1225" i="2"/>
  <c r="AB1225" i="2" s="1"/>
  <c r="Y1225" i="2"/>
  <c r="Z1225" i="2" s="1"/>
  <c r="V1225" i="2"/>
  <c r="U1225" i="2"/>
  <c r="AA1224" i="2"/>
  <c r="AB1224" i="2" s="1"/>
  <c r="Y1224" i="2"/>
  <c r="Z1224" i="2" s="1"/>
  <c r="V1224" i="2"/>
  <c r="U1224" i="2"/>
  <c r="AA1223" i="2"/>
  <c r="AB1223" i="2" s="1"/>
  <c r="Y1223" i="2"/>
  <c r="Z1223" i="2" s="1"/>
  <c r="V1223" i="2"/>
  <c r="U1223" i="2"/>
  <c r="AA1222" i="2"/>
  <c r="AB1222" i="2" s="1"/>
  <c r="Y1222" i="2"/>
  <c r="Z1222" i="2" s="1"/>
  <c r="V1222" i="2"/>
  <c r="U1222" i="2"/>
  <c r="AA1221" i="2"/>
  <c r="AB1221" i="2" s="1"/>
  <c r="Y1221" i="2"/>
  <c r="Z1221" i="2" s="1"/>
  <c r="V1221" i="2"/>
  <c r="U1221" i="2"/>
  <c r="AA1220" i="2"/>
  <c r="AB1220" i="2" s="1"/>
  <c r="Y1220" i="2"/>
  <c r="Z1220" i="2" s="1"/>
  <c r="V1220" i="2"/>
  <c r="U1220" i="2"/>
  <c r="AA1219" i="2"/>
  <c r="AB1219" i="2" s="1"/>
  <c r="Y1219" i="2"/>
  <c r="Z1219" i="2" s="1"/>
  <c r="V1219" i="2"/>
  <c r="U1219" i="2"/>
  <c r="AA1218" i="2"/>
  <c r="AB1218" i="2" s="1"/>
  <c r="Y1218" i="2"/>
  <c r="Z1218" i="2" s="1"/>
  <c r="V1218" i="2"/>
  <c r="U1218" i="2"/>
  <c r="AA1217" i="2"/>
  <c r="AB1217" i="2" s="1"/>
  <c r="Y1217" i="2"/>
  <c r="Z1217" i="2" s="1"/>
  <c r="V1217" i="2"/>
  <c r="U1217" i="2"/>
  <c r="AA1216" i="2"/>
  <c r="AB1216" i="2" s="1"/>
  <c r="Y1216" i="2"/>
  <c r="Z1216" i="2" s="1"/>
  <c r="V1216" i="2"/>
  <c r="U1216" i="2"/>
  <c r="AA1215" i="2"/>
  <c r="AB1215" i="2" s="1"/>
  <c r="Y1215" i="2"/>
  <c r="Z1215" i="2" s="1"/>
  <c r="V1215" i="2"/>
  <c r="U1215" i="2"/>
  <c r="AA1214" i="2"/>
  <c r="AB1214" i="2" s="1"/>
  <c r="Y1214" i="2"/>
  <c r="Z1214" i="2" s="1"/>
  <c r="V1214" i="2"/>
  <c r="U1214" i="2"/>
  <c r="AA1213" i="2"/>
  <c r="AB1213" i="2" s="1"/>
  <c r="Y1213" i="2"/>
  <c r="Z1213" i="2" s="1"/>
  <c r="V1213" i="2"/>
  <c r="U1213" i="2"/>
  <c r="AA1212" i="2"/>
  <c r="AB1212" i="2" s="1"/>
  <c r="Y1212" i="2"/>
  <c r="Z1212" i="2" s="1"/>
  <c r="V1212" i="2"/>
  <c r="U1212" i="2"/>
  <c r="AA1211" i="2"/>
  <c r="AB1211" i="2" s="1"/>
  <c r="Y1211" i="2"/>
  <c r="Z1211" i="2" s="1"/>
  <c r="V1211" i="2"/>
  <c r="U1211" i="2"/>
  <c r="AA1210" i="2"/>
  <c r="AB1210" i="2" s="1"/>
  <c r="Y1210" i="2"/>
  <c r="Z1210" i="2" s="1"/>
  <c r="V1210" i="2"/>
  <c r="U1210" i="2"/>
  <c r="AA1209" i="2"/>
  <c r="AB1209" i="2" s="1"/>
  <c r="Y1209" i="2"/>
  <c r="Z1209" i="2" s="1"/>
  <c r="V1209" i="2"/>
  <c r="U1209" i="2"/>
  <c r="AA1208" i="2"/>
  <c r="AB1208" i="2" s="1"/>
  <c r="Y1208" i="2"/>
  <c r="Z1208" i="2" s="1"/>
  <c r="V1208" i="2"/>
  <c r="U1208" i="2"/>
  <c r="AA1207" i="2"/>
  <c r="AB1207" i="2" s="1"/>
  <c r="Y1207" i="2"/>
  <c r="Z1207" i="2" s="1"/>
  <c r="V1207" i="2"/>
  <c r="U1207" i="2"/>
  <c r="AA1206" i="2"/>
  <c r="AB1206" i="2" s="1"/>
  <c r="Y1206" i="2"/>
  <c r="Z1206" i="2" s="1"/>
  <c r="V1206" i="2"/>
  <c r="U1206" i="2"/>
  <c r="AA1205" i="2"/>
  <c r="AB1205" i="2" s="1"/>
  <c r="Y1205" i="2"/>
  <c r="Z1205" i="2" s="1"/>
  <c r="V1205" i="2"/>
  <c r="U1205" i="2"/>
  <c r="AA1204" i="2"/>
  <c r="AB1204" i="2" s="1"/>
  <c r="Y1204" i="2"/>
  <c r="Z1204" i="2" s="1"/>
  <c r="V1204" i="2"/>
  <c r="U1204" i="2"/>
  <c r="AA1203" i="2"/>
  <c r="AB1203" i="2" s="1"/>
  <c r="Y1203" i="2"/>
  <c r="Z1203" i="2" s="1"/>
  <c r="V1203" i="2"/>
  <c r="U1203" i="2"/>
  <c r="AA1202" i="2"/>
  <c r="AB1202" i="2" s="1"/>
  <c r="Y1202" i="2"/>
  <c r="Z1202" i="2" s="1"/>
  <c r="V1202" i="2"/>
  <c r="U1202" i="2"/>
  <c r="AA1201" i="2"/>
  <c r="AB1201" i="2" s="1"/>
  <c r="Y1201" i="2"/>
  <c r="Z1201" i="2" s="1"/>
  <c r="V1201" i="2"/>
  <c r="U1201" i="2"/>
  <c r="AA1200" i="2"/>
  <c r="AB1200" i="2" s="1"/>
  <c r="Y1200" i="2"/>
  <c r="Z1200" i="2" s="1"/>
  <c r="V1200" i="2"/>
  <c r="U1200" i="2"/>
  <c r="AA1199" i="2"/>
  <c r="AB1199" i="2" s="1"/>
  <c r="Y1199" i="2"/>
  <c r="Z1199" i="2" s="1"/>
  <c r="V1199" i="2"/>
  <c r="U1199" i="2"/>
  <c r="AA1198" i="2"/>
  <c r="AB1198" i="2" s="1"/>
  <c r="Y1198" i="2"/>
  <c r="Z1198" i="2" s="1"/>
  <c r="V1198" i="2"/>
  <c r="U1198" i="2"/>
  <c r="AA1197" i="2"/>
  <c r="AB1197" i="2" s="1"/>
  <c r="Y1197" i="2"/>
  <c r="Z1197" i="2" s="1"/>
  <c r="V1197" i="2"/>
  <c r="U1197" i="2"/>
  <c r="AA1196" i="2"/>
  <c r="AB1196" i="2" s="1"/>
  <c r="Y1196" i="2"/>
  <c r="Z1196" i="2" s="1"/>
  <c r="V1196" i="2"/>
  <c r="U1196" i="2"/>
  <c r="AA1195" i="2"/>
  <c r="AB1195" i="2" s="1"/>
  <c r="Y1195" i="2"/>
  <c r="Z1195" i="2" s="1"/>
  <c r="V1195" i="2"/>
  <c r="U1195" i="2"/>
  <c r="AA1194" i="2"/>
  <c r="AB1194" i="2" s="1"/>
  <c r="Y1194" i="2"/>
  <c r="Z1194" i="2" s="1"/>
  <c r="V1194" i="2"/>
  <c r="U1194" i="2"/>
  <c r="AA1193" i="2"/>
  <c r="AB1193" i="2" s="1"/>
  <c r="Y1193" i="2"/>
  <c r="Z1193" i="2" s="1"/>
  <c r="V1193" i="2"/>
  <c r="U1193" i="2"/>
  <c r="AA1192" i="2"/>
  <c r="AB1192" i="2" s="1"/>
  <c r="Y1192" i="2"/>
  <c r="Z1192" i="2" s="1"/>
  <c r="V1192" i="2"/>
  <c r="U1192" i="2"/>
  <c r="AA1191" i="2"/>
  <c r="AB1191" i="2" s="1"/>
  <c r="Y1191" i="2"/>
  <c r="Z1191" i="2" s="1"/>
  <c r="V1191" i="2"/>
  <c r="U1191" i="2"/>
  <c r="AA1190" i="2"/>
  <c r="AB1190" i="2" s="1"/>
  <c r="Y1190" i="2"/>
  <c r="Z1190" i="2" s="1"/>
  <c r="V1190" i="2"/>
  <c r="U1190" i="2"/>
  <c r="AA1189" i="2"/>
  <c r="AB1189" i="2" s="1"/>
  <c r="Y1189" i="2"/>
  <c r="Z1189" i="2" s="1"/>
  <c r="V1189" i="2"/>
  <c r="U1189" i="2"/>
  <c r="AA1188" i="2"/>
  <c r="AB1188" i="2" s="1"/>
  <c r="Y1188" i="2"/>
  <c r="Z1188" i="2" s="1"/>
  <c r="V1188" i="2"/>
  <c r="U1188" i="2"/>
  <c r="AA1187" i="2"/>
  <c r="AB1187" i="2" s="1"/>
  <c r="Y1187" i="2"/>
  <c r="Z1187" i="2" s="1"/>
  <c r="V1187" i="2"/>
  <c r="U1187" i="2"/>
  <c r="AA1186" i="2"/>
  <c r="AB1186" i="2" s="1"/>
  <c r="Y1186" i="2"/>
  <c r="Z1186" i="2" s="1"/>
  <c r="V1186" i="2"/>
  <c r="U1186" i="2"/>
  <c r="AA1185" i="2"/>
  <c r="AB1185" i="2" s="1"/>
  <c r="Y1185" i="2"/>
  <c r="Z1185" i="2" s="1"/>
  <c r="V1185" i="2"/>
  <c r="U1185" i="2"/>
  <c r="AA1184" i="2"/>
  <c r="AB1184" i="2" s="1"/>
  <c r="Y1184" i="2"/>
  <c r="Z1184" i="2" s="1"/>
  <c r="V1184" i="2"/>
  <c r="U1184" i="2"/>
  <c r="AA1183" i="2"/>
  <c r="AB1183" i="2" s="1"/>
  <c r="Y1183" i="2"/>
  <c r="Z1183" i="2" s="1"/>
  <c r="V1183" i="2"/>
  <c r="U1183" i="2"/>
  <c r="AA1182" i="2"/>
  <c r="AB1182" i="2" s="1"/>
  <c r="Y1182" i="2"/>
  <c r="Z1182" i="2" s="1"/>
  <c r="V1182" i="2"/>
  <c r="U1182" i="2"/>
  <c r="AA1181" i="2"/>
  <c r="AB1181" i="2" s="1"/>
  <c r="Y1181" i="2"/>
  <c r="Z1181" i="2" s="1"/>
  <c r="V1181" i="2"/>
  <c r="U1181" i="2"/>
  <c r="AA1180" i="2"/>
  <c r="AB1180" i="2" s="1"/>
  <c r="Y1180" i="2"/>
  <c r="Z1180" i="2" s="1"/>
  <c r="V1180" i="2"/>
  <c r="U1180" i="2"/>
  <c r="AA1179" i="2"/>
  <c r="AB1179" i="2" s="1"/>
  <c r="Y1179" i="2"/>
  <c r="Z1179" i="2" s="1"/>
  <c r="V1179" i="2"/>
  <c r="U1179" i="2"/>
  <c r="AA1178" i="2"/>
  <c r="AB1178" i="2" s="1"/>
  <c r="Y1178" i="2"/>
  <c r="Z1178" i="2" s="1"/>
  <c r="V1178" i="2"/>
  <c r="U1178" i="2"/>
  <c r="AA1177" i="2"/>
  <c r="AB1177" i="2" s="1"/>
  <c r="Y1177" i="2"/>
  <c r="Z1177" i="2" s="1"/>
  <c r="V1177" i="2"/>
  <c r="U1177" i="2"/>
  <c r="AA1176" i="2"/>
  <c r="AB1176" i="2" s="1"/>
  <c r="Y1176" i="2"/>
  <c r="Z1176" i="2" s="1"/>
  <c r="V1176" i="2"/>
  <c r="U1176" i="2"/>
  <c r="AA1175" i="2"/>
  <c r="AB1175" i="2" s="1"/>
  <c r="Y1175" i="2"/>
  <c r="Z1175" i="2" s="1"/>
  <c r="V1175" i="2"/>
  <c r="U1175" i="2"/>
  <c r="AA1174" i="2"/>
  <c r="AB1174" i="2" s="1"/>
  <c r="Y1174" i="2"/>
  <c r="Z1174" i="2" s="1"/>
  <c r="V1174" i="2"/>
  <c r="U1174" i="2"/>
  <c r="AA1173" i="2"/>
  <c r="AB1173" i="2" s="1"/>
  <c r="Y1173" i="2"/>
  <c r="Z1173" i="2" s="1"/>
  <c r="V1173" i="2"/>
  <c r="U1173" i="2"/>
  <c r="AA1172" i="2"/>
  <c r="AB1172" i="2" s="1"/>
  <c r="Y1172" i="2"/>
  <c r="Z1172" i="2" s="1"/>
  <c r="V1172" i="2"/>
  <c r="U1172" i="2"/>
  <c r="AA1171" i="2"/>
  <c r="AB1171" i="2" s="1"/>
  <c r="Y1171" i="2"/>
  <c r="Z1171" i="2" s="1"/>
  <c r="V1171" i="2"/>
  <c r="U1171" i="2"/>
  <c r="AA1170" i="2"/>
  <c r="AB1170" i="2" s="1"/>
  <c r="Y1170" i="2"/>
  <c r="Z1170" i="2" s="1"/>
  <c r="V1170" i="2"/>
  <c r="U1170" i="2"/>
  <c r="AA1169" i="2"/>
  <c r="AB1169" i="2" s="1"/>
  <c r="Y1169" i="2"/>
  <c r="Z1169" i="2" s="1"/>
  <c r="V1169" i="2"/>
  <c r="U1169" i="2"/>
  <c r="AA1168" i="2"/>
  <c r="AB1168" i="2" s="1"/>
  <c r="Y1168" i="2"/>
  <c r="Z1168" i="2" s="1"/>
  <c r="V1168" i="2"/>
  <c r="U1168" i="2"/>
  <c r="AA1167" i="2"/>
  <c r="AB1167" i="2" s="1"/>
  <c r="Y1167" i="2"/>
  <c r="Z1167" i="2" s="1"/>
  <c r="V1167" i="2"/>
  <c r="U1167" i="2"/>
  <c r="AA1166" i="2"/>
  <c r="AB1166" i="2" s="1"/>
  <c r="Y1166" i="2"/>
  <c r="Z1166" i="2" s="1"/>
  <c r="V1166" i="2"/>
  <c r="U1166" i="2"/>
  <c r="AA1165" i="2"/>
  <c r="AB1165" i="2" s="1"/>
  <c r="Y1165" i="2"/>
  <c r="Z1165" i="2" s="1"/>
  <c r="V1165" i="2"/>
  <c r="U1165" i="2"/>
  <c r="AA1164" i="2"/>
  <c r="AB1164" i="2" s="1"/>
  <c r="Y1164" i="2"/>
  <c r="Z1164" i="2" s="1"/>
  <c r="V1164" i="2"/>
  <c r="U1164" i="2"/>
  <c r="AA1163" i="2"/>
  <c r="AB1163" i="2" s="1"/>
  <c r="Y1163" i="2"/>
  <c r="Z1163" i="2" s="1"/>
  <c r="V1163" i="2"/>
  <c r="U1163" i="2"/>
  <c r="AA1162" i="2"/>
  <c r="AB1162" i="2" s="1"/>
  <c r="Y1162" i="2"/>
  <c r="Z1162" i="2" s="1"/>
  <c r="V1162" i="2"/>
  <c r="U1162" i="2"/>
  <c r="AA1161" i="2"/>
  <c r="AB1161" i="2" s="1"/>
  <c r="Y1161" i="2"/>
  <c r="Z1161" i="2" s="1"/>
  <c r="V1161" i="2"/>
  <c r="U1161" i="2"/>
  <c r="AA1160" i="2"/>
  <c r="AB1160" i="2" s="1"/>
  <c r="Y1160" i="2"/>
  <c r="Z1160" i="2" s="1"/>
  <c r="V1160" i="2"/>
  <c r="U1160" i="2"/>
  <c r="AA1159" i="2"/>
  <c r="AB1159" i="2" s="1"/>
  <c r="Y1159" i="2"/>
  <c r="Z1159" i="2" s="1"/>
  <c r="V1159" i="2"/>
  <c r="U1159" i="2"/>
  <c r="AA1158" i="2"/>
  <c r="AB1158" i="2" s="1"/>
  <c r="Y1158" i="2"/>
  <c r="Z1158" i="2" s="1"/>
  <c r="V1158" i="2"/>
  <c r="U1158" i="2"/>
  <c r="AA1157" i="2"/>
  <c r="AB1157" i="2" s="1"/>
  <c r="Y1157" i="2"/>
  <c r="Z1157" i="2" s="1"/>
  <c r="V1157" i="2"/>
  <c r="U1157" i="2"/>
  <c r="AA1156" i="2"/>
  <c r="AB1156" i="2" s="1"/>
  <c r="Y1156" i="2"/>
  <c r="Z1156" i="2" s="1"/>
  <c r="V1156" i="2"/>
  <c r="U1156" i="2"/>
  <c r="AA1155" i="2"/>
  <c r="AB1155" i="2" s="1"/>
  <c r="Y1155" i="2"/>
  <c r="Z1155" i="2" s="1"/>
  <c r="V1155" i="2"/>
  <c r="U1155" i="2"/>
  <c r="AA1154" i="2"/>
  <c r="AB1154" i="2" s="1"/>
  <c r="Y1154" i="2"/>
  <c r="Z1154" i="2" s="1"/>
  <c r="V1154" i="2"/>
  <c r="U1154" i="2"/>
  <c r="AA1153" i="2"/>
  <c r="AB1153" i="2" s="1"/>
  <c r="Y1153" i="2"/>
  <c r="Z1153" i="2" s="1"/>
  <c r="V1153" i="2"/>
  <c r="U1153" i="2"/>
  <c r="AA1152" i="2"/>
  <c r="AB1152" i="2" s="1"/>
  <c r="Y1152" i="2"/>
  <c r="Z1152" i="2" s="1"/>
  <c r="V1152" i="2"/>
  <c r="U1152" i="2"/>
  <c r="AA1151" i="2"/>
  <c r="AB1151" i="2" s="1"/>
  <c r="Y1151" i="2"/>
  <c r="Z1151" i="2" s="1"/>
  <c r="V1151" i="2"/>
  <c r="U1151" i="2"/>
  <c r="AA1150" i="2"/>
  <c r="AB1150" i="2" s="1"/>
  <c r="Y1150" i="2"/>
  <c r="Z1150" i="2" s="1"/>
  <c r="V1150" i="2"/>
  <c r="U1150" i="2"/>
  <c r="AA1149" i="2"/>
  <c r="AB1149" i="2" s="1"/>
  <c r="Y1149" i="2"/>
  <c r="Z1149" i="2" s="1"/>
  <c r="V1149" i="2"/>
  <c r="U1149" i="2"/>
  <c r="AA1148" i="2"/>
  <c r="AB1148" i="2" s="1"/>
  <c r="Y1148" i="2"/>
  <c r="Z1148" i="2" s="1"/>
  <c r="V1148" i="2"/>
  <c r="U1148" i="2"/>
  <c r="AA1147" i="2"/>
  <c r="AB1147" i="2" s="1"/>
  <c r="Y1147" i="2"/>
  <c r="Z1147" i="2" s="1"/>
  <c r="V1147" i="2"/>
  <c r="U1147" i="2"/>
  <c r="AA1146" i="2"/>
  <c r="AB1146" i="2" s="1"/>
  <c r="Y1146" i="2"/>
  <c r="Z1146" i="2" s="1"/>
  <c r="V1146" i="2"/>
  <c r="U1146" i="2"/>
  <c r="AA1145" i="2"/>
  <c r="AB1145" i="2" s="1"/>
  <c r="Y1145" i="2"/>
  <c r="Z1145" i="2" s="1"/>
  <c r="V1145" i="2"/>
  <c r="U1145" i="2"/>
  <c r="AA1144" i="2"/>
  <c r="AB1144" i="2" s="1"/>
  <c r="Y1144" i="2"/>
  <c r="Z1144" i="2" s="1"/>
  <c r="V1144" i="2"/>
  <c r="U1144" i="2"/>
  <c r="AA1143" i="2"/>
  <c r="AB1143" i="2" s="1"/>
  <c r="Y1143" i="2"/>
  <c r="Z1143" i="2" s="1"/>
  <c r="V1143" i="2"/>
  <c r="U1143" i="2"/>
  <c r="AA1142" i="2"/>
  <c r="AB1142" i="2" s="1"/>
  <c r="Y1142" i="2"/>
  <c r="Z1142" i="2" s="1"/>
  <c r="V1142" i="2"/>
  <c r="U1142" i="2"/>
  <c r="AA1141" i="2"/>
  <c r="AB1141" i="2" s="1"/>
  <c r="Y1141" i="2"/>
  <c r="Z1141" i="2" s="1"/>
  <c r="V1141" i="2"/>
  <c r="U1141" i="2"/>
  <c r="AA1140" i="2"/>
  <c r="AB1140" i="2" s="1"/>
  <c r="Y1140" i="2"/>
  <c r="Z1140" i="2" s="1"/>
  <c r="V1140" i="2"/>
  <c r="U1140" i="2"/>
  <c r="AA1139" i="2"/>
  <c r="AB1139" i="2" s="1"/>
  <c r="Y1139" i="2"/>
  <c r="Z1139" i="2" s="1"/>
  <c r="V1139" i="2"/>
  <c r="U1139" i="2"/>
  <c r="AA1138" i="2"/>
  <c r="AB1138" i="2" s="1"/>
  <c r="Y1138" i="2"/>
  <c r="Z1138" i="2" s="1"/>
  <c r="V1138" i="2"/>
  <c r="U1138" i="2"/>
  <c r="AA1137" i="2"/>
  <c r="AB1137" i="2" s="1"/>
  <c r="Y1137" i="2"/>
  <c r="Z1137" i="2" s="1"/>
  <c r="V1137" i="2"/>
  <c r="U1137" i="2"/>
  <c r="AA1136" i="2"/>
  <c r="AB1136" i="2" s="1"/>
  <c r="Y1136" i="2"/>
  <c r="Z1136" i="2" s="1"/>
  <c r="V1136" i="2"/>
  <c r="U1136" i="2"/>
  <c r="AA1135" i="2"/>
  <c r="AB1135" i="2" s="1"/>
  <c r="Y1135" i="2"/>
  <c r="Z1135" i="2" s="1"/>
  <c r="V1135" i="2"/>
  <c r="U1135" i="2"/>
  <c r="AA1134" i="2"/>
  <c r="AB1134" i="2" s="1"/>
  <c r="Y1134" i="2"/>
  <c r="Z1134" i="2" s="1"/>
  <c r="V1134" i="2"/>
  <c r="U1134" i="2"/>
  <c r="AA1133" i="2"/>
  <c r="AB1133" i="2" s="1"/>
  <c r="Y1133" i="2"/>
  <c r="Z1133" i="2" s="1"/>
  <c r="V1133" i="2"/>
  <c r="U1133" i="2"/>
  <c r="AA1132" i="2"/>
  <c r="AB1132" i="2" s="1"/>
  <c r="Y1132" i="2"/>
  <c r="Z1132" i="2" s="1"/>
  <c r="V1132" i="2"/>
  <c r="U1132" i="2"/>
  <c r="AA1131" i="2"/>
  <c r="AB1131" i="2" s="1"/>
  <c r="Y1131" i="2"/>
  <c r="Z1131" i="2" s="1"/>
  <c r="V1131" i="2"/>
  <c r="U1131" i="2"/>
  <c r="AA1130" i="2"/>
  <c r="AB1130" i="2" s="1"/>
  <c r="Y1130" i="2"/>
  <c r="Z1130" i="2" s="1"/>
  <c r="V1130" i="2"/>
  <c r="U1130" i="2"/>
  <c r="AA1129" i="2"/>
  <c r="AB1129" i="2" s="1"/>
  <c r="Y1129" i="2"/>
  <c r="Z1129" i="2" s="1"/>
  <c r="V1129" i="2"/>
  <c r="U1129" i="2"/>
  <c r="AA1128" i="2"/>
  <c r="AB1128" i="2" s="1"/>
  <c r="Y1128" i="2"/>
  <c r="Z1128" i="2" s="1"/>
  <c r="V1128" i="2"/>
  <c r="U1128" i="2"/>
  <c r="AA1127" i="2"/>
  <c r="AB1127" i="2" s="1"/>
  <c r="Y1127" i="2"/>
  <c r="Z1127" i="2" s="1"/>
  <c r="V1127" i="2"/>
  <c r="U1127" i="2"/>
  <c r="AA1126" i="2"/>
  <c r="AB1126" i="2" s="1"/>
  <c r="Y1126" i="2"/>
  <c r="Z1126" i="2" s="1"/>
  <c r="V1126" i="2"/>
  <c r="U1126" i="2"/>
  <c r="AA1125" i="2"/>
  <c r="AB1125" i="2" s="1"/>
  <c r="Y1125" i="2"/>
  <c r="Z1125" i="2" s="1"/>
  <c r="V1125" i="2"/>
  <c r="U1125" i="2"/>
  <c r="AA1124" i="2"/>
  <c r="AB1124" i="2" s="1"/>
  <c r="Y1124" i="2"/>
  <c r="Z1124" i="2" s="1"/>
  <c r="V1124" i="2"/>
  <c r="U1124" i="2"/>
  <c r="AA1123" i="2"/>
  <c r="AB1123" i="2" s="1"/>
  <c r="Y1123" i="2"/>
  <c r="Z1123" i="2" s="1"/>
  <c r="V1123" i="2"/>
  <c r="U1123" i="2"/>
  <c r="AA1122" i="2"/>
  <c r="AB1122" i="2" s="1"/>
  <c r="Y1122" i="2"/>
  <c r="Z1122" i="2" s="1"/>
  <c r="V1122" i="2"/>
  <c r="U1122" i="2"/>
  <c r="AA1121" i="2"/>
  <c r="AB1121" i="2" s="1"/>
  <c r="Y1121" i="2"/>
  <c r="Z1121" i="2" s="1"/>
  <c r="V1121" i="2"/>
  <c r="U1121" i="2"/>
  <c r="AA1120" i="2"/>
  <c r="AB1120" i="2" s="1"/>
  <c r="Y1120" i="2"/>
  <c r="Z1120" i="2" s="1"/>
  <c r="V1120" i="2"/>
  <c r="U1120" i="2"/>
  <c r="AA1119" i="2"/>
  <c r="AB1119" i="2" s="1"/>
  <c r="Y1119" i="2"/>
  <c r="Z1119" i="2" s="1"/>
  <c r="V1119" i="2"/>
  <c r="U1119" i="2"/>
  <c r="AA1118" i="2"/>
  <c r="AB1118" i="2" s="1"/>
  <c r="Y1118" i="2"/>
  <c r="Z1118" i="2" s="1"/>
  <c r="V1118" i="2"/>
  <c r="U1118" i="2"/>
  <c r="AA1117" i="2"/>
  <c r="AB1117" i="2" s="1"/>
  <c r="Y1117" i="2"/>
  <c r="Z1117" i="2" s="1"/>
  <c r="V1117" i="2"/>
  <c r="U1117" i="2"/>
  <c r="AA1116" i="2"/>
  <c r="AB1116" i="2" s="1"/>
  <c r="Y1116" i="2"/>
  <c r="Z1116" i="2" s="1"/>
  <c r="V1116" i="2"/>
  <c r="U1116" i="2"/>
  <c r="AA1115" i="2"/>
  <c r="AB1115" i="2" s="1"/>
  <c r="Y1115" i="2"/>
  <c r="Z1115" i="2" s="1"/>
  <c r="V1115" i="2"/>
  <c r="U1115" i="2"/>
  <c r="AA1114" i="2"/>
  <c r="AB1114" i="2" s="1"/>
  <c r="Y1114" i="2"/>
  <c r="Z1114" i="2" s="1"/>
  <c r="V1114" i="2"/>
  <c r="U1114" i="2"/>
  <c r="AA1113" i="2"/>
  <c r="AB1113" i="2" s="1"/>
  <c r="Y1113" i="2"/>
  <c r="Z1113" i="2" s="1"/>
  <c r="V1113" i="2"/>
  <c r="U1113" i="2"/>
  <c r="AA1112" i="2"/>
  <c r="AB1112" i="2" s="1"/>
  <c r="Y1112" i="2"/>
  <c r="Z1112" i="2" s="1"/>
  <c r="V1112" i="2"/>
  <c r="U1112" i="2"/>
  <c r="AA1111" i="2"/>
  <c r="AB1111" i="2" s="1"/>
  <c r="Y1111" i="2"/>
  <c r="Z1111" i="2" s="1"/>
  <c r="V1111" i="2"/>
  <c r="U1111" i="2"/>
  <c r="AA1110" i="2"/>
  <c r="AB1110" i="2" s="1"/>
  <c r="Y1110" i="2"/>
  <c r="Z1110" i="2" s="1"/>
  <c r="V1110" i="2"/>
  <c r="U1110" i="2"/>
  <c r="AA1109" i="2"/>
  <c r="AB1109" i="2" s="1"/>
  <c r="Y1109" i="2"/>
  <c r="Z1109" i="2" s="1"/>
  <c r="V1109" i="2"/>
  <c r="U1109" i="2"/>
  <c r="AA1108" i="2"/>
  <c r="AB1108" i="2" s="1"/>
  <c r="Y1108" i="2"/>
  <c r="Z1108" i="2" s="1"/>
  <c r="V1108" i="2"/>
  <c r="U1108" i="2"/>
  <c r="AA1107" i="2"/>
  <c r="AB1107" i="2" s="1"/>
  <c r="Y1107" i="2"/>
  <c r="Z1107" i="2" s="1"/>
  <c r="V1107" i="2"/>
  <c r="U1107" i="2"/>
  <c r="AA1106" i="2"/>
  <c r="AB1106" i="2" s="1"/>
  <c r="Y1106" i="2"/>
  <c r="Z1106" i="2" s="1"/>
  <c r="V1106" i="2"/>
  <c r="U1106" i="2"/>
  <c r="AA1105" i="2"/>
  <c r="AB1105" i="2" s="1"/>
  <c r="Y1105" i="2"/>
  <c r="Z1105" i="2" s="1"/>
  <c r="V1105" i="2"/>
  <c r="U1105" i="2"/>
  <c r="AA1104" i="2"/>
  <c r="AB1104" i="2" s="1"/>
  <c r="Y1104" i="2"/>
  <c r="Z1104" i="2" s="1"/>
  <c r="V1104" i="2"/>
  <c r="U1104" i="2"/>
  <c r="AA1103" i="2"/>
  <c r="AB1103" i="2" s="1"/>
  <c r="Y1103" i="2"/>
  <c r="Z1103" i="2" s="1"/>
  <c r="V1103" i="2"/>
  <c r="U1103" i="2"/>
  <c r="AA1102" i="2"/>
  <c r="AB1102" i="2" s="1"/>
  <c r="Y1102" i="2"/>
  <c r="Z1102" i="2" s="1"/>
  <c r="V1102" i="2"/>
  <c r="U1102" i="2"/>
  <c r="AA1101" i="2"/>
  <c r="AB1101" i="2" s="1"/>
  <c r="Y1101" i="2"/>
  <c r="Z1101" i="2" s="1"/>
  <c r="V1101" i="2"/>
  <c r="U1101" i="2"/>
  <c r="AA1100" i="2"/>
  <c r="AB1100" i="2" s="1"/>
  <c r="Y1100" i="2"/>
  <c r="Z1100" i="2" s="1"/>
  <c r="V1100" i="2"/>
  <c r="U1100" i="2"/>
  <c r="AA1099" i="2"/>
  <c r="AB1099" i="2" s="1"/>
  <c r="Y1099" i="2"/>
  <c r="Z1099" i="2" s="1"/>
  <c r="V1099" i="2"/>
  <c r="U1099" i="2"/>
  <c r="AA1098" i="2"/>
  <c r="AB1098" i="2" s="1"/>
  <c r="Y1098" i="2"/>
  <c r="Z1098" i="2" s="1"/>
  <c r="V1098" i="2"/>
  <c r="U1098" i="2"/>
  <c r="AA1097" i="2"/>
  <c r="AB1097" i="2" s="1"/>
  <c r="Y1097" i="2"/>
  <c r="Z1097" i="2" s="1"/>
  <c r="V1097" i="2"/>
  <c r="U1097" i="2"/>
  <c r="AA1096" i="2"/>
  <c r="AB1096" i="2" s="1"/>
  <c r="Y1096" i="2"/>
  <c r="Z1096" i="2" s="1"/>
  <c r="V1096" i="2"/>
  <c r="U1096" i="2"/>
  <c r="AA1095" i="2"/>
  <c r="AB1095" i="2" s="1"/>
  <c r="Y1095" i="2"/>
  <c r="Z1095" i="2" s="1"/>
  <c r="V1095" i="2"/>
  <c r="U1095" i="2"/>
  <c r="AA1094" i="2"/>
  <c r="AB1094" i="2" s="1"/>
  <c r="Y1094" i="2"/>
  <c r="Z1094" i="2" s="1"/>
  <c r="V1094" i="2"/>
  <c r="U1094" i="2"/>
  <c r="AA1093" i="2"/>
  <c r="AB1093" i="2" s="1"/>
  <c r="Y1093" i="2"/>
  <c r="Z1093" i="2" s="1"/>
  <c r="V1093" i="2"/>
  <c r="U1093" i="2"/>
  <c r="AA1092" i="2"/>
  <c r="AB1092" i="2" s="1"/>
  <c r="Y1092" i="2"/>
  <c r="Z1092" i="2" s="1"/>
  <c r="V1092" i="2"/>
  <c r="U1092" i="2"/>
  <c r="AA1091" i="2"/>
  <c r="AB1091" i="2" s="1"/>
  <c r="Y1091" i="2"/>
  <c r="Z1091" i="2" s="1"/>
  <c r="V1091" i="2"/>
  <c r="U1091" i="2"/>
  <c r="AA1090" i="2"/>
  <c r="AB1090" i="2" s="1"/>
  <c r="Y1090" i="2"/>
  <c r="Z1090" i="2" s="1"/>
  <c r="V1090" i="2"/>
  <c r="U1090" i="2"/>
  <c r="AA1089" i="2"/>
  <c r="AB1089" i="2" s="1"/>
  <c r="Y1089" i="2"/>
  <c r="Z1089" i="2" s="1"/>
  <c r="V1089" i="2"/>
  <c r="U1089" i="2"/>
  <c r="AA1088" i="2"/>
  <c r="AB1088" i="2" s="1"/>
  <c r="Y1088" i="2"/>
  <c r="Z1088" i="2" s="1"/>
  <c r="V1088" i="2"/>
  <c r="U1088" i="2"/>
  <c r="AA1087" i="2"/>
  <c r="AB1087" i="2" s="1"/>
  <c r="Y1087" i="2"/>
  <c r="Z1087" i="2" s="1"/>
  <c r="V1087" i="2"/>
  <c r="U1087" i="2"/>
  <c r="AA1086" i="2"/>
  <c r="AB1086" i="2" s="1"/>
  <c r="Y1086" i="2"/>
  <c r="Z1086" i="2" s="1"/>
  <c r="V1086" i="2"/>
  <c r="U1086" i="2"/>
  <c r="AA1085" i="2"/>
  <c r="AB1085" i="2" s="1"/>
  <c r="Y1085" i="2"/>
  <c r="Z1085" i="2" s="1"/>
  <c r="V1085" i="2"/>
  <c r="U1085" i="2"/>
  <c r="AA1084" i="2"/>
  <c r="AB1084" i="2" s="1"/>
  <c r="Y1084" i="2"/>
  <c r="Z1084" i="2" s="1"/>
  <c r="V1084" i="2"/>
  <c r="U1084" i="2"/>
  <c r="AA1083" i="2"/>
  <c r="AB1083" i="2" s="1"/>
  <c r="Y1083" i="2"/>
  <c r="Z1083" i="2" s="1"/>
  <c r="V1083" i="2"/>
  <c r="U1083" i="2"/>
  <c r="AA1082" i="2"/>
  <c r="AB1082" i="2" s="1"/>
  <c r="Y1082" i="2"/>
  <c r="Z1082" i="2" s="1"/>
  <c r="V1082" i="2"/>
  <c r="U1082" i="2"/>
  <c r="AA1081" i="2"/>
  <c r="AB1081" i="2" s="1"/>
  <c r="Y1081" i="2"/>
  <c r="Z1081" i="2" s="1"/>
  <c r="V1081" i="2"/>
  <c r="U1081" i="2"/>
  <c r="AA1080" i="2"/>
  <c r="AB1080" i="2" s="1"/>
  <c r="Y1080" i="2"/>
  <c r="Z1080" i="2" s="1"/>
  <c r="V1080" i="2"/>
  <c r="U1080" i="2"/>
  <c r="AA1079" i="2"/>
  <c r="AB1079" i="2" s="1"/>
  <c r="Y1079" i="2"/>
  <c r="Z1079" i="2" s="1"/>
  <c r="V1079" i="2"/>
  <c r="U1079" i="2"/>
  <c r="AA1078" i="2"/>
  <c r="AB1078" i="2" s="1"/>
  <c r="Y1078" i="2"/>
  <c r="Z1078" i="2" s="1"/>
  <c r="V1078" i="2"/>
  <c r="U1078" i="2"/>
  <c r="AA1077" i="2"/>
  <c r="AB1077" i="2" s="1"/>
  <c r="Y1077" i="2"/>
  <c r="Z1077" i="2" s="1"/>
  <c r="V1077" i="2"/>
  <c r="U1077" i="2"/>
  <c r="AA1076" i="2"/>
  <c r="AB1076" i="2" s="1"/>
  <c r="Y1076" i="2"/>
  <c r="Z1076" i="2" s="1"/>
  <c r="V1076" i="2"/>
  <c r="U1076" i="2"/>
  <c r="AA1075" i="2"/>
  <c r="AB1075" i="2" s="1"/>
  <c r="Y1075" i="2"/>
  <c r="Z1075" i="2" s="1"/>
  <c r="V1075" i="2"/>
  <c r="U1075" i="2"/>
  <c r="AA1074" i="2"/>
  <c r="AB1074" i="2" s="1"/>
  <c r="Y1074" i="2"/>
  <c r="Z1074" i="2" s="1"/>
  <c r="V1074" i="2"/>
  <c r="U1074" i="2"/>
  <c r="AA1073" i="2"/>
  <c r="AB1073" i="2" s="1"/>
  <c r="Y1073" i="2"/>
  <c r="Z1073" i="2" s="1"/>
  <c r="V1073" i="2"/>
  <c r="U1073" i="2"/>
  <c r="AA1072" i="2"/>
  <c r="AB1072" i="2" s="1"/>
  <c r="Y1072" i="2"/>
  <c r="Z1072" i="2" s="1"/>
  <c r="V1072" i="2"/>
  <c r="U1072" i="2"/>
  <c r="AA1071" i="2"/>
  <c r="AB1071" i="2" s="1"/>
  <c r="Y1071" i="2"/>
  <c r="Z1071" i="2" s="1"/>
  <c r="V1071" i="2"/>
  <c r="U1071" i="2"/>
  <c r="AA1070" i="2"/>
  <c r="AB1070" i="2" s="1"/>
  <c r="Y1070" i="2"/>
  <c r="Z1070" i="2" s="1"/>
  <c r="V1070" i="2"/>
  <c r="U1070" i="2"/>
  <c r="AA1069" i="2"/>
  <c r="AB1069" i="2" s="1"/>
  <c r="Y1069" i="2"/>
  <c r="Z1069" i="2" s="1"/>
  <c r="V1069" i="2"/>
  <c r="U1069" i="2"/>
  <c r="AA1068" i="2"/>
  <c r="AB1068" i="2" s="1"/>
  <c r="Y1068" i="2"/>
  <c r="Z1068" i="2" s="1"/>
  <c r="V1068" i="2"/>
  <c r="U1068" i="2"/>
  <c r="AA1067" i="2"/>
  <c r="AB1067" i="2" s="1"/>
  <c r="Y1067" i="2"/>
  <c r="Z1067" i="2" s="1"/>
  <c r="V1067" i="2"/>
  <c r="U1067" i="2"/>
  <c r="AA1066" i="2"/>
  <c r="AB1066" i="2" s="1"/>
  <c r="Y1066" i="2"/>
  <c r="Z1066" i="2" s="1"/>
  <c r="V1066" i="2"/>
  <c r="U1066" i="2"/>
  <c r="AA1065" i="2"/>
  <c r="AB1065" i="2" s="1"/>
  <c r="Y1065" i="2"/>
  <c r="Z1065" i="2" s="1"/>
  <c r="V1065" i="2"/>
  <c r="U1065" i="2"/>
  <c r="AA1064" i="2"/>
  <c r="AB1064" i="2" s="1"/>
  <c r="Y1064" i="2"/>
  <c r="Z1064" i="2" s="1"/>
  <c r="V1064" i="2"/>
  <c r="U1064" i="2"/>
  <c r="AA1063" i="2"/>
  <c r="AB1063" i="2" s="1"/>
  <c r="Y1063" i="2"/>
  <c r="Z1063" i="2" s="1"/>
  <c r="V1063" i="2"/>
  <c r="U1063" i="2"/>
  <c r="AA1062" i="2"/>
  <c r="AB1062" i="2" s="1"/>
  <c r="Y1062" i="2"/>
  <c r="Z1062" i="2" s="1"/>
  <c r="V1062" i="2"/>
  <c r="U1062" i="2"/>
  <c r="AA1061" i="2"/>
  <c r="AB1061" i="2" s="1"/>
  <c r="Y1061" i="2"/>
  <c r="Z1061" i="2" s="1"/>
  <c r="V1061" i="2"/>
  <c r="U1061" i="2"/>
  <c r="AA1060" i="2"/>
  <c r="AB1060" i="2" s="1"/>
  <c r="Y1060" i="2"/>
  <c r="Z1060" i="2" s="1"/>
  <c r="V1060" i="2"/>
  <c r="U1060" i="2"/>
  <c r="AA1059" i="2"/>
  <c r="AB1059" i="2" s="1"/>
  <c r="Y1059" i="2"/>
  <c r="Z1059" i="2" s="1"/>
  <c r="V1059" i="2"/>
  <c r="U1059" i="2"/>
  <c r="AA1058" i="2"/>
  <c r="AB1058" i="2" s="1"/>
  <c r="Y1058" i="2"/>
  <c r="Z1058" i="2" s="1"/>
  <c r="V1058" i="2"/>
  <c r="U1058" i="2"/>
  <c r="AA1057" i="2"/>
  <c r="AB1057" i="2" s="1"/>
  <c r="Y1057" i="2"/>
  <c r="Z1057" i="2" s="1"/>
  <c r="V1057" i="2"/>
  <c r="U1057" i="2"/>
  <c r="AA1056" i="2"/>
  <c r="AB1056" i="2" s="1"/>
  <c r="Y1056" i="2"/>
  <c r="Z1056" i="2" s="1"/>
  <c r="V1056" i="2"/>
  <c r="U1056" i="2"/>
  <c r="AA1055" i="2"/>
  <c r="AB1055" i="2" s="1"/>
  <c r="Y1055" i="2"/>
  <c r="Z1055" i="2" s="1"/>
  <c r="V1055" i="2"/>
  <c r="U1055" i="2"/>
  <c r="AA1054" i="2"/>
  <c r="AB1054" i="2" s="1"/>
  <c r="Y1054" i="2"/>
  <c r="Z1054" i="2" s="1"/>
  <c r="V1054" i="2"/>
  <c r="U1054" i="2"/>
  <c r="AA1053" i="2"/>
  <c r="AB1053" i="2" s="1"/>
  <c r="Y1053" i="2"/>
  <c r="Z1053" i="2" s="1"/>
  <c r="V1053" i="2"/>
  <c r="U1053" i="2"/>
  <c r="AA1052" i="2"/>
  <c r="AB1052" i="2" s="1"/>
  <c r="Y1052" i="2"/>
  <c r="Z1052" i="2" s="1"/>
  <c r="V1052" i="2"/>
  <c r="U1052" i="2"/>
  <c r="AA1051" i="2"/>
  <c r="AB1051" i="2" s="1"/>
  <c r="Y1051" i="2"/>
  <c r="Z1051" i="2" s="1"/>
  <c r="V1051" i="2"/>
  <c r="U1051" i="2"/>
  <c r="AA1050" i="2"/>
  <c r="AB1050" i="2" s="1"/>
  <c r="Y1050" i="2"/>
  <c r="Z1050" i="2" s="1"/>
  <c r="V1050" i="2"/>
  <c r="U1050" i="2"/>
  <c r="AA1049" i="2"/>
  <c r="AB1049" i="2" s="1"/>
  <c r="Y1049" i="2"/>
  <c r="Z1049" i="2" s="1"/>
  <c r="V1049" i="2"/>
  <c r="U1049" i="2"/>
  <c r="AA1048" i="2"/>
  <c r="AB1048" i="2" s="1"/>
  <c r="Y1048" i="2"/>
  <c r="Z1048" i="2" s="1"/>
  <c r="V1048" i="2"/>
  <c r="U1048" i="2"/>
  <c r="AA1047" i="2"/>
  <c r="AB1047" i="2" s="1"/>
  <c r="Y1047" i="2"/>
  <c r="Z1047" i="2" s="1"/>
  <c r="V1047" i="2"/>
  <c r="U1047" i="2"/>
  <c r="AA1046" i="2"/>
  <c r="AB1046" i="2" s="1"/>
  <c r="Y1046" i="2"/>
  <c r="Z1046" i="2" s="1"/>
  <c r="V1046" i="2"/>
  <c r="U1046" i="2"/>
  <c r="AA1045" i="2"/>
  <c r="AB1045" i="2" s="1"/>
  <c r="Y1045" i="2"/>
  <c r="Z1045" i="2" s="1"/>
  <c r="V1045" i="2"/>
  <c r="U1045" i="2"/>
  <c r="AA1044" i="2"/>
  <c r="AB1044" i="2" s="1"/>
  <c r="Y1044" i="2"/>
  <c r="Z1044" i="2" s="1"/>
  <c r="V1044" i="2"/>
  <c r="U1044" i="2"/>
  <c r="AA1043" i="2"/>
  <c r="AB1043" i="2" s="1"/>
  <c r="Y1043" i="2"/>
  <c r="Z1043" i="2" s="1"/>
  <c r="V1043" i="2"/>
  <c r="U1043" i="2"/>
  <c r="AA1042" i="2"/>
  <c r="AB1042" i="2" s="1"/>
  <c r="Y1042" i="2"/>
  <c r="Z1042" i="2" s="1"/>
  <c r="V1042" i="2"/>
  <c r="U1042" i="2"/>
  <c r="AA1041" i="2"/>
  <c r="AB1041" i="2" s="1"/>
  <c r="Y1041" i="2"/>
  <c r="Z1041" i="2" s="1"/>
  <c r="V1041" i="2"/>
  <c r="U1041" i="2"/>
  <c r="AA1040" i="2"/>
  <c r="AB1040" i="2" s="1"/>
  <c r="Y1040" i="2"/>
  <c r="Z1040" i="2" s="1"/>
  <c r="V1040" i="2"/>
  <c r="U1040" i="2"/>
  <c r="AA1039" i="2"/>
  <c r="AB1039" i="2" s="1"/>
  <c r="Y1039" i="2"/>
  <c r="Z1039" i="2" s="1"/>
  <c r="V1039" i="2"/>
  <c r="U1039" i="2"/>
  <c r="AA1038" i="2"/>
  <c r="AB1038" i="2" s="1"/>
  <c r="Y1038" i="2"/>
  <c r="Z1038" i="2" s="1"/>
  <c r="V1038" i="2"/>
  <c r="U1038" i="2"/>
  <c r="AA1037" i="2"/>
  <c r="AB1037" i="2" s="1"/>
  <c r="Y1037" i="2"/>
  <c r="Z1037" i="2" s="1"/>
  <c r="V1037" i="2"/>
  <c r="U1037" i="2"/>
  <c r="AA1036" i="2"/>
  <c r="AB1036" i="2" s="1"/>
  <c r="Y1036" i="2"/>
  <c r="Z1036" i="2" s="1"/>
  <c r="V1036" i="2"/>
  <c r="U1036" i="2"/>
  <c r="AA1035" i="2"/>
  <c r="AB1035" i="2" s="1"/>
  <c r="Y1035" i="2"/>
  <c r="Z1035" i="2" s="1"/>
  <c r="V1035" i="2"/>
  <c r="U1035" i="2"/>
  <c r="AA1034" i="2"/>
  <c r="AB1034" i="2" s="1"/>
  <c r="Y1034" i="2"/>
  <c r="Z1034" i="2" s="1"/>
  <c r="V1034" i="2"/>
  <c r="U1034" i="2"/>
  <c r="AA1033" i="2"/>
  <c r="AB1033" i="2" s="1"/>
  <c r="Y1033" i="2"/>
  <c r="Z1033" i="2" s="1"/>
  <c r="V1033" i="2"/>
  <c r="U1033" i="2"/>
  <c r="AA1032" i="2"/>
  <c r="AB1032" i="2" s="1"/>
  <c r="Y1032" i="2"/>
  <c r="Z1032" i="2" s="1"/>
  <c r="V1032" i="2"/>
  <c r="U1032" i="2"/>
  <c r="AA1031" i="2"/>
  <c r="AB1031" i="2" s="1"/>
  <c r="Y1031" i="2"/>
  <c r="Z1031" i="2" s="1"/>
  <c r="V1031" i="2"/>
  <c r="U1031" i="2"/>
  <c r="AA1030" i="2"/>
  <c r="AB1030" i="2" s="1"/>
  <c r="Y1030" i="2"/>
  <c r="Z1030" i="2" s="1"/>
  <c r="V1030" i="2"/>
  <c r="U1030" i="2"/>
  <c r="AA1029" i="2"/>
  <c r="AB1029" i="2" s="1"/>
  <c r="Y1029" i="2"/>
  <c r="Z1029" i="2" s="1"/>
  <c r="V1029" i="2"/>
  <c r="U1029" i="2"/>
  <c r="AA1028" i="2"/>
  <c r="AB1028" i="2" s="1"/>
  <c r="Y1028" i="2"/>
  <c r="Z1028" i="2" s="1"/>
  <c r="V1028" i="2"/>
  <c r="U1028" i="2"/>
  <c r="AA1027" i="2"/>
  <c r="AB1027" i="2" s="1"/>
  <c r="Y1027" i="2"/>
  <c r="Z1027" i="2" s="1"/>
  <c r="V1027" i="2"/>
  <c r="U1027" i="2"/>
  <c r="AA1026" i="2"/>
  <c r="AB1026" i="2" s="1"/>
  <c r="Y1026" i="2"/>
  <c r="Z1026" i="2" s="1"/>
  <c r="V1026" i="2"/>
  <c r="U1026" i="2"/>
  <c r="AA1025" i="2"/>
  <c r="AB1025" i="2" s="1"/>
  <c r="Y1025" i="2"/>
  <c r="Z1025" i="2" s="1"/>
  <c r="V1025" i="2"/>
  <c r="U1025" i="2"/>
  <c r="AA1024" i="2"/>
  <c r="AB1024" i="2" s="1"/>
  <c r="Y1024" i="2"/>
  <c r="Z1024" i="2" s="1"/>
  <c r="V1024" i="2"/>
  <c r="U1024" i="2"/>
  <c r="AA1023" i="2"/>
  <c r="AB1023" i="2" s="1"/>
  <c r="Y1023" i="2"/>
  <c r="Z1023" i="2" s="1"/>
  <c r="V1023" i="2"/>
  <c r="U1023" i="2"/>
  <c r="AA1022" i="2"/>
  <c r="AB1022" i="2" s="1"/>
  <c r="Y1022" i="2"/>
  <c r="Z1022" i="2" s="1"/>
  <c r="V1022" i="2"/>
  <c r="U1022" i="2"/>
  <c r="AA1021" i="2"/>
  <c r="AB1021" i="2" s="1"/>
  <c r="Y1021" i="2"/>
  <c r="Z1021" i="2" s="1"/>
  <c r="V1021" i="2"/>
  <c r="U1021" i="2"/>
  <c r="AA1020" i="2"/>
  <c r="AB1020" i="2" s="1"/>
  <c r="Y1020" i="2"/>
  <c r="Z1020" i="2" s="1"/>
  <c r="V1020" i="2"/>
  <c r="U1020" i="2"/>
  <c r="AA1019" i="2"/>
  <c r="AB1019" i="2" s="1"/>
  <c r="Y1019" i="2"/>
  <c r="Z1019" i="2" s="1"/>
  <c r="V1019" i="2"/>
  <c r="U1019" i="2"/>
  <c r="AA1018" i="2"/>
  <c r="AB1018" i="2" s="1"/>
  <c r="Y1018" i="2"/>
  <c r="Z1018" i="2" s="1"/>
  <c r="V1018" i="2"/>
  <c r="U1018" i="2"/>
  <c r="AA1017" i="2"/>
  <c r="AB1017" i="2" s="1"/>
  <c r="Y1017" i="2"/>
  <c r="Z1017" i="2" s="1"/>
  <c r="V1017" i="2"/>
  <c r="U1017" i="2"/>
  <c r="AA1016" i="2"/>
  <c r="AB1016" i="2" s="1"/>
  <c r="Y1016" i="2"/>
  <c r="Z1016" i="2" s="1"/>
  <c r="V1016" i="2"/>
  <c r="U1016" i="2"/>
  <c r="AA1015" i="2"/>
  <c r="AB1015" i="2" s="1"/>
  <c r="Y1015" i="2"/>
  <c r="Z1015" i="2" s="1"/>
  <c r="V1015" i="2"/>
  <c r="U1015" i="2"/>
  <c r="AA1014" i="2"/>
  <c r="AB1014" i="2" s="1"/>
  <c r="Y1014" i="2"/>
  <c r="Z1014" i="2" s="1"/>
  <c r="V1014" i="2"/>
  <c r="U1014" i="2"/>
  <c r="AA1013" i="2"/>
  <c r="AB1013" i="2" s="1"/>
  <c r="Y1013" i="2"/>
  <c r="Z1013" i="2" s="1"/>
  <c r="V1013" i="2"/>
  <c r="U1013" i="2"/>
  <c r="AA1012" i="2"/>
  <c r="AB1012" i="2" s="1"/>
  <c r="Y1012" i="2"/>
  <c r="Z1012" i="2" s="1"/>
  <c r="V1012" i="2"/>
  <c r="U1012" i="2"/>
  <c r="AA1011" i="2"/>
  <c r="AB1011" i="2" s="1"/>
  <c r="Y1011" i="2"/>
  <c r="Z1011" i="2" s="1"/>
  <c r="V1011" i="2"/>
  <c r="U1011" i="2"/>
  <c r="AA1010" i="2"/>
  <c r="AB1010" i="2" s="1"/>
  <c r="Y1010" i="2"/>
  <c r="Z1010" i="2" s="1"/>
  <c r="V1010" i="2"/>
  <c r="U1010" i="2"/>
  <c r="AA1009" i="2"/>
  <c r="AB1009" i="2" s="1"/>
  <c r="Y1009" i="2"/>
  <c r="Z1009" i="2" s="1"/>
  <c r="V1009" i="2"/>
  <c r="U1009" i="2"/>
  <c r="AA1008" i="2"/>
  <c r="AB1008" i="2" s="1"/>
  <c r="Y1008" i="2"/>
  <c r="Z1008" i="2" s="1"/>
  <c r="V1008" i="2"/>
  <c r="U1008" i="2"/>
  <c r="AA1007" i="2"/>
  <c r="AB1007" i="2" s="1"/>
  <c r="Y1007" i="2"/>
  <c r="Z1007" i="2" s="1"/>
  <c r="V1007" i="2"/>
  <c r="U1007" i="2"/>
  <c r="AA1006" i="2"/>
  <c r="AB1006" i="2" s="1"/>
  <c r="Y1006" i="2"/>
  <c r="Z1006" i="2" s="1"/>
  <c r="V1006" i="2"/>
  <c r="U1006" i="2"/>
  <c r="AA1005" i="2"/>
  <c r="AB1005" i="2" s="1"/>
  <c r="Y1005" i="2"/>
  <c r="Z1005" i="2" s="1"/>
  <c r="V1005" i="2"/>
  <c r="U1005" i="2"/>
  <c r="AA1004" i="2"/>
  <c r="AB1004" i="2" s="1"/>
  <c r="Y1004" i="2"/>
  <c r="Z1004" i="2" s="1"/>
  <c r="V1004" i="2"/>
  <c r="U1004" i="2"/>
  <c r="AA1003" i="2"/>
  <c r="AB1003" i="2" s="1"/>
  <c r="Y1003" i="2"/>
  <c r="Z1003" i="2" s="1"/>
  <c r="V1003" i="2"/>
  <c r="U1003" i="2"/>
  <c r="AA1002" i="2"/>
  <c r="AB1002" i="2" s="1"/>
  <c r="Y1002" i="2"/>
  <c r="Z1002" i="2" s="1"/>
  <c r="V1002" i="2"/>
  <c r="U1002" i="2"/>
  <c r="AA1001" i="2"/>
  <c r="AB1001" i="2" s="1"/>
  <c r="Y1001" i="2"/>
  <c r="Z1001" i="2" s="1"/>
  <c r="V1001" i="2"/>
  <c r="U1001" i="2"/>
  <c r="AA1000" i="2"/>
  <c r="AB1000" i="2" s="1"/>
  <c r="Y1000" i="2"/>
  <c r="Z1000" i="2" s="1"/>
  <c r="V1000" i="2"/>
  <c r="U1000" i="2"/>
  <c r="AA999" i="2"/>
  <c r="AB999" i="2" s="1"/>
  <c r="Y999" i="2"/>
  <c r="Z999" i="2" s="1"/>
  <c r="V999" i="2"/>
  <c r="U999" i="2"/>
  <c r="AA998" i="2"/>
  <c r="AB998" i="2" s="1"/>
  <c r="Y998" i="2"/>
  <c r="Z998" i="2" s="1"/>
  <c r="V998" i="2"/>
  <c r="U998" i="2"/>
  <c r="AA997" i="2"/>
  <c r="AB997" i="2" s="1"/>
  <c r="Y997" i="2"/>
  <c r="Z997" i="2" s="1"/>
  <c r="V997" i="2"/>
  <c r="U997" i="2"/>
  <c r="AA996" i="2"/>
  <c r="AB996" i="2" s="1"/>
  <c r="Y996" i="2"/>
  <c r="Z996" i="2" s="1"/>
  <c r="V996" i="2"/>
  <c r="U996" i="2"/>
  <c r="AA995" i="2"/>
  <c r="AB995" i="2" s="1"/>
  <c r="Y995" i="2"/>
  <c r="Z995" i="2" s="1"/>
  <c r="V995" i="2"/>
  <c r="U995" i="2"/>
  <c r="AA994" i="2"/>
  <c r="AB994" i="2" s="1"/>
  <c r="Y994" i="2"/>
  <c r="Z994" i="2" s="1"/>
  <c r="V994" i="2"/>
  <c r="U994" i="2"/>
  <c r="AA993" i="2"/>
  <c r="AB993" i="2" s="1"/>
  <c r="Y993" i="2"/>
  <c r="Z993" i="2" s="1"/>
  <c r="V993" i="2"/>
  <c r="U993" i="2"/>
  <c r="AA992" i="2"/>
  <c r="AB992" i="2" s="1"/>
  <c r="Y992" i="2"/>
  <c r="Z992" i="2" s="1"/>
  <c r="V992" i="2"/>
  <c r="U992" i="2"/>
  <c r="AA991" i="2"/>
  <c r="AB991" i="2" s="1"/>
  <c r="Y991" i="2"/>
  <c r="Z991" i="2" s="1"/>
  <c r="V991" i="2"/>
  <c r="U991" i="2"/>
  <c r="AA990" i="2"/>
  <c r="AB990" i="2" s="1"/>
  <c r="Y990" i="2"/>
  <c r="Z990" i="2" s="1"/>
  <c r="V990" i="2"/>
  <c r="U990" i="2"/>
  <c r="AA989" i="2"/>
  <c r="AB989" i="2" s="1"/>
  <c r="Y989" i="2"/>
  <c r="Z989" i="2" s="1"/>
  <c r="V989" i="2"/>
  <c r="U989" i="2"/>
  <c r="AA988" i="2"/>
  <c r="AB988" i="2" s="1"/>
  <c r="Y988" i="2"/>
  <c r="Z988" i="2" s="1"/>
  <c r="V988" i="2"/>
  <c r="U988" i="2"/>
  <c r="AA987" i="2"/>
  <c r="AB987" i="2" s="1"/>
  <c r="Y987" i="2"/>
  <c r="Z987" i="2" s="1"/>
  <c r="V987" i="2"/>
  <c r="U987" i="2"/>
  <c r="AA986" i="2"/>
  <c r="AB986" i="2" s="1"/>
  <c r="Y986" i="2"/>
  <c r="Z986" i="2" s="1"/>
  <c r="V986" i="2"/>
  <c r="U986" i="2"/>
  <c r="AA985" i="2"/>
  <c r="AB985" i="2" s="1"/>
  <c r="Y985" i="2"/>
  <c r="Z985" i="2" s="1"/>
  <c r="V985" i="2"/>
  <c r="U985" i="2"/>
  <c r="AA984" i="2"/>
  <c r="AB984" i="2" s="1"/>
  <c r="Y984" i="2"/>
  <c r="Z984" i="2" s="1"/>
  <c r="V984" i="2"/>
  <c r="U984" i="2"/>
  <c r="AA983" i="2"/>
  <c r="AB983" i="2" s="1"/>
  <c r="Y983" i="2"/>
  <c r="Z983" i="2" s="1"/>
  <c r="V983" i="2"/>
  <c r="U983" i="2"/>
  <c r="AA982" i="2"/>
  <c r="AB982" i="2" s="1"/>
  <c r="Y982" i="2"/>
  <c r="Z982" i="2" s="1"/>
  <c r="V982" i="2"/>
  <c r="U982" i="2"/>
  <c r="AA981" i="2"/>
  <c r="AB981" i="2" s="1"/>
  <c r="Y981" i="2"/>
  <c r="Z981" i="2" s="1"/>
  <c r="V981" i="2"/>
  <c r="U981" i="2"/>
  <c r="AA980" i="2"/>
  <c r="AB980" i="2" s="1"/>
  <c r="Y980" i="2"/>
  <c r="Z980" i="2" s="1"/>
  <c r="V980" i="2"/>
  <c r="U980" i="2"/>
  <c r="AA979" i="2"/>
  <c r="AB979" i="2" s="1"/>
  <c r="Y979" i="2"/>
  <c r="Z979" i="2" s="1"/>
  <c r="V979" i="2"/>
  <c r="U979" i="2"/>
  <c r="AA978" i="2"/>
  <c r="AB978" i="2" s="1"/>
  <c r="Y978" i="2"/>
  <c r="Z978" i="2" s="1"/>
  <c r="V978" i="2"/>
  <c r="U978" i="2"/>
  <c r="AA977" i="2"/>
  <c r="AB977" i="2" s="1"/>
  <c r="Y977" i="2"/>
  <c r="Z977" i="2" s="1"/>
  <c r="V977" i="2"/>
  <c r="U977" i="2"/>
  <c r="AA976" i="2"/>
  <c r="AB976" i="2" s="1"/>
  <c r="Y976" i="2"/>
  <c r="Z976" i="2" s="1"/>
  <c r="V976" i="2"/>
  <c r="U976" i="2"/>
  <c r="AA975" i="2"/>
  <c r="AB975" i="2" s="1"/>
  <c r="Y975" i="2"/>
  <c r="Z975" i="2" s="1"/>
  <c r="V975" i="2"/>
  <c r="U975" i="2"/>
  <c r="AA974" i="2"/>
  <c r="AB974" i="2" s="1"/>
  <c r="Y974" i="2"/>
  <c r="Z974" i="2" s="1"/>
  <c r="V974" i="2"/>
  <c r="U974" i="2"/>
  <c r="AA973" i="2"/>
  <c r="AB973" i="2" s="1"/>
  <c r="Y973" i="2"/>
  <c r="Z973" i="2" s="1"/>
  <c r="V973" i="2"/>
  <c r="U973" i="2"/>
  <c r="AA972" i="2"/>
  <c r="AB972" i="2" s="1"/>
  <c r="Y972" i="2"/>
  <c r="Z972" i="2" s="1"/>
  <c r="V972" i="2"/>
  <c r="U972" i="2"/>
  <c r="AA971" i="2"/>
  <c r="AB971" i="2" s="1"/>
  <c r="Y971" i="2"/>
  <c r="Z971" i="2" s="1"/>
  <c r="V971" i="2"/>
  <c r="U971" i="2"/>
  <c r="AA970" i="2"/>
  <c r="AB970" i="2" s="1"/>
  <c r="Y970" i="2"/>
  <c r="Z970" i="2" s="1"/>
  <c r="V970" i="2"/>
  <c r="U970" i="2"/>
  <c r="AA969" i="2"/>
  <c r="AB969" i="2" s="1"/>
  <c r="Y969" i="2"/>
  <c r="Z969" i="2" s="1"/>
  <c r="V969" i="2"/>
  <c r="U969" i="2"/>
  <c r="AA968" i="2"/>
  <c r="AB968" i="2" s="1"/>
  <c r="Y968" i="2"/>
  <c r="Z968" i="2" s="1"/>
  <c r="V968" i="2"/>
  <c r="U968" i="2"/>
  <c r="AA967" i="2"/>
  <c r="AB967" i="2" s="1"/>
  <c r="Y967" i="2"/>
  <c r="Z967" i="2" s="1"/>
  <c r="V967" i="2"/>
  <c r="U967" i="2"/>
  <c r="AA966" i="2"/>
  <c r="AB966" i="2" s="1"/>
  <c r="Y966" i="2"/>
  <c r="Z966" i="2" s="1"/>
  <c r="V966" i="2"/>
  <c r="U966" i="2"/>
  <c r="AA965" i="2"/>
  <c r="AB965" i="2" s="1"/>
  <c r="Y965" i="2"/>
  <c r="Z965" i="2" s="1"/>
  <c r="V965" i="2"/>
  <c r="U965" i="2"/>
  <c r="AA964" i="2"/>
  <c r="AB964" i="2" s="1"/>
  <c r="Y964" i="2"/>
  <c r="Z964" i="2" s="1"/>
  <c r="V964" i="2"/>
  <c r="U964" i="2"/>
  <c r="AA963" i="2"/>
  <c r="AB963" i="2" s="1"/>
  <c r="Y963" i="2"/>
  <c r="Z963" i="2" s="1"/>
  <c r="V963" i="2"/>
  <c r="U963" i="2"/>
  <c r="AA962" i="2"/>
  <c r="AB962" i="2" s="1"/>
  <c r="Y962" i="2"/>
  <c r="Z962" i="2" s="1"/>
  <c r="V962" i="2"/>
  <c r="U962" i="2"/>
  <c r="AA961" i="2"/>
  <c r="AB961" i="2" s="1"/>
  <c r="Y961" i="2"/>
  <c r="Z961" i="2" s="1"/>
  <c r="V961" i="2"/>
  <c r="U961" i="2"/>
  <c r="AA960" i="2"/>
  <c r="AB960" i="2" s="1"/>
  <c r="Y960" i="2"/>
  <c r="Z960" i="2" s="1"/>
  <c r="V960" i="2"/>
  <c r="U960" i="2"/>
  <c r="AA959" i="2"/>
  <c r="AB959" i="2" s="1"/>
  <c r="Y959" i="2"/>
  <c r="Z959" i="2" s="1"/>
  <c r="V959" i="2"/>
  <c r="U959" i="2"/>
  <c r="AA958" i="2"/>
  <c r="AB958" i="2" s="1"/>
  <c r="Y958" i="2"/>
  <c r="Z958" i="2" s="1"/>
  <c r="V958" i="2"/>
  <c r="U958" i="2"/>
  <c r="AA957" i="2"/>
  <c r="AB957" i="2" s="1"/>
  <c r="Y957" i="2"/>
  <c r="Z957" i="2" s="1"/>
  <c r="V957" i="2"/>
  <c r="U957" i="2"/>
  <c r="AA956" i="2"/>
  <c r="AB956" i="2" s="1"/>
  <c r="Y956" i="2"/>
  <c r="Z956" i="2" s="1"/>
  <c r="V956" i="2"/>
  <c r="U956" i="2"/>
  <c r="AA955" i="2"/>
  <c r="AB955" i="2" s="1"/>
  <c r="Y955" i="2"/>
  <c r="Z955" i="2" s="1"/>
  <c r="V955" i="2"/>
  <c r="U955" i="2"/>
  <c r="AA954" i="2"/>
  <c r="AB954" i="2" s="1"/>
  <c r="Y954" i="2"/>
  <c r="Z954" i="2" s="1"/>
  <c r="V954" i="2"/>
  <c r="U954" i="2"/>
  <c r="AA953" i="2"/>
  <c r="AB953" i="2" s="1"/>
  <c r="Y953" i="2"/>
  <c r="Z953" i="2" s="1"/>
  <c r="V953" i="2"/>
  <c r="U953" i="2"/>
  <c r="AA952" i="2"/>
  <c r="AB952" i="2" s="1"/>
  <c r="Y952" i="2"/>
  <c r="Z952" i="2" s="1"/>
  <c r="V952" i="2"/>
  <c r="U952" i="2"/>
  <c r="AA951" i="2"/>
  <c r="AB951" i="2" s="1"/>
  <c r="Y951" i="2"/>
  <c r="Z951" i="2" s="1"/>
  <c r="V951" i="2"/>
  <c r="U951" i="2"/>
  <c r="AA950" i="2"/>
  <c r="AB950" i="2" s="1"/>
  <c r="Y950" i="2"/>
  <c r="Z950" i="2" s="1"/>
  <c r="V950" i="2"/>
  <c r="U950" i="2"/>
  <c r="AA949" i="2"/>
  <c r="AB949" i="2" s="1"/>
  <c r="Y949" i="2"/>
  <c r="Z949" i="2" s="1"/>
  <c r="V949" i="2"/>
  <c r="U949" i="2"/>
  <c r="AA948" i="2"/>
  <c r="AB948" i="2" s="1"/>
  <c r="Y948" i="2"/>
  <c r="Z948" i="2" s="1"/>
  <c r="V948" i="2"/>
  <c r="U948" i="2"/>
  <c r="AA947" i="2"/>
  <c r="AB947" i="2" s="1"/>
  <c r="Y947" i="2"/>
  <c r="Z947" i="2" s="1"/>
  <c r="V947" i="2"/>
  <c r="U947" i="2"/>
  <c r="AA946" i="2"/>
  <c r="AB946" i="2" s="1"/>
  <c r="Y946" i="2"/>
  <c r="Z946" i="2" s="1"/>
  <c r="V946" i="2"/>
  <c r="U946" i="2"/>
  <c r="AA945" i="2"/>
  <c r="AB945" i="2" s="1"/>
  <c r="Y945" i="2"/>
  <c r="Z945" i="2" s="1"/>
  <c r="V945" i="2"/>
  <c r="U945" i="2"/>
  <c r="AA944" i="2"/>
  <c r="AB944" i="2" s="1"/>
  <c r="Y944" i="2"/>
  <c r="Z944" i="2" s="1"/>
  <c r="V944" i="2"/>
  <c r="U944" i="2"/>
  <c r="AA943" i="2"/>
  <c r="AB943" i="2" s="1"/>
  <c r="Y943" i="2"/>
  <c r="Z943" i="2" s="1"/>
  <c r="V943" i="2"/>
  <c r="U943" i="2"/>
  <c r="AA942" i="2"/>
  <c r="AB942" i="2" s="1"/>
  <c r="Y942" i="2"/>
  <c r="Z942" i="2" s="1"/>
  <c r="V942" i="2"/>
  <c r="U942" i="2"/>
  <c r="AA941" i="2"/>
  <c r="AB941" i="2" s="1"/>
  <c r="Y941" i="2"/>
  <c r="Z941" i="2" s="1"/>
  <c r="V941" i="2"/>
  <c r="U941" i="2"/>
  <c r="AA940" i="2"/>
  <c r="AB940" i="2" s="1"/>
  <c r="Y940" i="2"/>
  <c r="Z940" i="2" s="1"/>
  <c r="V940" i="2"/>
  <c r="U940" i="2"/>
  <c r="AA939" i="2"/>
  <c r="AB939" i="2" s="1"/>
  <c r="Y939" i="2"/>
  <c r="Z939" i="2" s="1"/>
  <c r="V939" i="2"/>
  <c r="U939" i="2"/>
  <c r="AA938" i="2"/>
  <c r="AB938" i="2" s="1"/>
  <c r="Y938" i="2"/>
  <c r="Z938" i="2" s="1"/>
  <c r="V938" i="2"/>
  <c r="U938" i="2"/>
  <c r="AA937" i="2"/>
  <c r="AB937" i="2" s="1"/>
  <c r="Y937" i="2"/>
  <c r="Z937" i="2" s="1"/>
  <c r="V937" i="2"/>
  <c r="U937" i="2"/>
  <c r="AA936" i="2"/>
  <c r="AB936" i="2" s="1"/>
  <c r="Y936" i="2"/>
  <c r="Z936" i="2" s="1"/>
  <c r="V936" i="2"/>
  <c r="U936" i="2"/>
  <c r="AA935" i="2"/>
  <c r="AB935" i="2" s="1"/>
  <c r="Y935" i="2"/>
  <c r="Z935" i="2" s="1"/>
  <c r="V935" i="2"/>
  <c r="U935" i="2"/>
  <c r="AA934" i="2"/>
  <c r="AB934" i="2" s="1"/>
  <c r="Y934" i="2"/>
  <c r="Z934" i="2" s="1"/>
  <c r="V934" i="2"/>
  <c r="U934" i="2"/>
  <c r="AA933" i="2"/>
  <c r="AB933" i="2" s="1"/>
  <c r="Y933" i="2"/>
  <c r="Z933" i="2" s="1"/>
  <c r="V933" i="2"/>
  <c r="U933" i="2"/>
  <c r="AA932" i="2"/>
  <c r="AB932" i="2" s="1"/>
  <c r="Y932" i="2"/>
  <c r="Z932" i="2" s="1"/>
  <c r="V932" i="2"/>
  <c r="U932" i="2"/>
  <c r="AA931" i="2"/>
  <c r="AB931" i="2" s="1"/>
  <c r="Y931" i="2"/>
  <c r="Z931" i="2" s="1"/>
  <c r="V931" i="2"/>
  <c r="U931" i="2"/>
  <c r="AA930" i="2"/>
  <c r="AB930" i="2" s="1"/>
  <c r="Y930" i="2"/>
  <c r="Z930" i="2" s="1"/>
  <c r="V930" i="2"/>
  <c r="U930" i="2"/>
  <c r="AA929" i="2"/>
  <c r="AB929" i="2" s="1"/>
  <c r="Y929" i="2"/>
  <c r="Z929" i="2" s="1"/>
  <c r="V929" i="2"/>
  <c r="U929" i="2"/>
  <c r="AA928" i="2"/>
  <c r="AB928" i="2" s="1"/>
  <c r="Y928" i="2"/>
  <c r="Z928" i="2" s="1"/>
  <c r="V928" i="2"/>
  <c r="U928" i="2"/>
  <c r="AA927" i="2"/>
  <c r="AB927" i="2" s="1"/>
  <c r="Y927" i="2"/>
  <c r="Z927" i="2" s="1"/>
  <c r="V927" i="2"/>
  <c r="U927" i="2"/>
  <c r="AA926" i="2"/>
  <c r="AB926" i="2" s="1"/>
  <c r="Y926" i="2"/>
  <c r="Z926" i="2" s="1"/>
  <c r="V926" i="2"/>
  <c r="U926" i="2"/>
  <c r="AA925" i="2"/>
  <c r="AB925" i="2" s="1"/>
  <c r="Y925" i="2"/>
  <c r="Z925" i="2" s="1"/>
  <c r="V925" i="2"/>
  <c r="U925" i="2"/>
  <c r="AA924" i="2"/>
  <c r="AB924" i="2" s="1"/>
  <c r="Y924" i="2"/>
  <c r="Z924" i="2" s="1"/>
  <c r="V924" i="2"/>
  <c r="U924" i="2"/>
  <c r="AA923" i="2"/>
  <c r="AB923" i="2" s="1"/>
  <c r="Y923" i="2"/>
  <c r="Z923" i="2" s="1"/>
  <c r="V923" i="2"/>
  <c r="U923" i="2"/>
  <c r="AA922" i="2"/>
  <c r="AB922" i="2" s="1"/>
  <c r="Y922" i="2"/>
  <c r="Z922" i="2" s="1"/>
  <c r="V922" i="2"/>
  <c r="U922" i="2"/>
  <c r="AA921" i="2"/>
  <c r="AB921" i="2" s="1"/>
  <c r="Y921" i="2"/>
  <c r="Z921" i="2" s="1"/>
  <c r="V921" i="2"/>
  <c r="U921" i="2"/>
  <c r="AA920" i="2"/>
  <c r="AB920" i="2" s="1"/>
  <c r="Y920" i="2"/>
  <c r="Z920" i="2" s="1"/>
  <c r="V920" i="2"/>
  <c r="U920" i="2"/>
  <c r="AA919" i="2"/>
  <c r="AB919" i="2" s="1"/>
  <c r="Y919" i="2"/>
  <c r="Z919" i="2" s="1"/>
  <c r="V919" i="2"/>
  <c r="U919" i="2"/>
  <c r="AA918" i="2"/>
  <c r="AB918" i="2" s="1"/>
  <c r="Y918" i="2"/>
  <c r="Z918" i="2" s="1"/>
  <c r="V918" i="2"/>
  <c r="U918" i="2"/>
  <c r="AA917" i="2"/>
  <c r="AB917" i="2" s="1"/>
  <c r="Y917" i="2"/>
  <c r="Z917" i="2" s="1"/>
  <c r="V917" i="2"/>
  <c r="U917" i="2"/>
  <c r="AA916" i="2"/>
  <c r="AB916" i="2" s="1"/>
  <c r="Y916" i="2"/>
  <c r="Z916" i="2" s="1"/>
  <c r="V916" i="2"/>
  <c r="U916" i="2"/>
  <c r="AA915" i="2"/>
  <c r="AB915" i="2" s="1"/>
  <c r="Y915" i="2"/>
  <c r="Z915" i="2" s="1"/>
  <c r="V915" i="2"/>
  <c r="U915" i="2"/>
  <c r="AA914" i="2"/>
  <c r="AB914" i="2" s="1"/>
  <c r="Y914" i="2"/>
  <c r="Z914" i="2" s="1"/>
  <c r="V914" i="2"/>
  <c r="U914" i="2"/>
  <c r="AA913" i="2"/>
  <c r="AB913" i="2" s="1"/>
  <c r="Y913" i="2"/>
  <c r="Z913" i="2" s="1"/>
  <c r="V913" i="2"/>
  <c r="U913" i="2"/>
  <c r="AA912" i="2"/>
  <c r="AB912" i="2" s="1"/>
  <c r="Y912" i="2"/>
  <c r="Z912" i="2" s="1"/>
  <c r="V912" i="2"/>
  <c r="U912" i="2"/>
  <c r="AA911" i="2"/>
  <c r="AB911" i="2" s="1"/>
  <c r="Y911" i="2"/>
  <c r="Z911" i="2" s="1"/>
  <c r="V911" i="2"/>
  <c r="U911" i="2"/>
  <c r="AA910" i="2"/>
  <c r="AB910" i="2" s="1"/>
  <c r="Y910" i="2"/>
  <c r="Z910" i="2" s="1"/>
  <c r="V910" i="2"/>
  <c r="U910" i="2"/>
  <c r="AA909" i="2"/>
  <c r="AB909" i="2" s="1"/>
  <c r="Y909" i="2"/>
  <c r="Z909" i="2" s="1"/>
  <c r="V909" i="2"/>
  <c r="U909" i="2"/>
  <c r="AA908" i="2"/>
  <c r="AB908" i="2" s="1"/>
  <c r="Y908" i="2"/>
  <c r="Z908" i="2" s="1"/>
  <c r="V908" i="2"/>
  <c r="U908" i="2"/>
  <c r="AA907" i="2"/>
  <c r="AB907" i="2" s="1"/>
  <c r="Y907" i="2"/>
  <c r="Z907" i="2" s="1"/>
  <c r="V907" i="2"/>
  <c r="U907" i="2"/>
  <c r="AA906" i="2"/>
  <c r="AB906" i="2" s="1"/>
  <c r="Y906" i="2"/>
  <c r="Z906" i="2" s="1"/>
  <c r="V906" i="2"/>
  <c r="U906" i="2"/>
  <c r="AA905" i="2"/>
  <c r="AB905" i="2" s="1"/>
  <c r="Y905" i="2"/>
  <c r="Z905" i="2" s="1"/>
  <c r="V905" i="2"/>
  <c r="U905" i="2"/>
  <c r="AA904" i="2"/>
  <c r="AB904" i="2" s="1"/>
  <c r="Y904" i="2"/>
  <c r="Z904" i="2" s="1"/>
  <c r="V904" i="2"/>
  <c r="U904" i="2"/>
  <c r="AA903" i="2"/>
  <c r="AB903" i="2" s="1"/>
  <c r="Y903" i="2"/>
  <c r="Z903" i="2" s="1"/>
  <c r="V903" i="2"/>
  <c r="U903" i="2"/>
  <c r="AA902" i="2"/>
  <c r="AB902" i="2" s="1"/>
  <c r="Y902" i="2"/>
  <c r="Z902" i="2" s="1"/>
  <c r="V902" i="2"/>
  <c r="U902" i="2"/>
  <c r="AA901" i="2"/>
  <c r="AB901" i="2" s="1"/>
  <c r="Y901" i="2"/>
  <c r="Z901" i="2" s="1"/>
  <c r="V901" i="2"/>
  <c r="U901" i="2"/>
  <c r="AA900" i="2"/>
  <c r="AB900" i="2" s="1"/>
  <c r="Y900" i="2"/>
  <c r="Z900" i="2" s="1"/>
  <c r="V900" i="2"/>
  <c r="U900" i="2"/>
  <c r="AA899" i="2"/>
  <c r="AB899" i="2" s="1"/>
  <c r="Y899" i="2"/>
  <c r="Z899" i="2" s="1"/>
  <c r="V899" i="2"/>
  <c r="U899" i="2"/>
  <c r="AA898" i="2"/>
  <c r="AB898" i="2" s="1"/>
  <c r="Y898" i="2"/>
  <c r="Z898" i="2" s="1"/>
  <c r="V898" i="2"/>
  <c r="U898" i="2"/>
  <c r="AA897" i="2"/>
  <c r="AB897" i="2" s="1"/>
  <c r="Y897" i="2"/>
  <c r="Z897" i="2" s="1"/>
  <c r="V897" i="2"/>
  <c r="U897" i="2"/>
  <c r="AA896" i="2"/>
  <c r="AB896" i="2" s="1"/>
  <c r="Y896" i="2"/>
  <c r="Z896" i="2" s="1"/>
  <c r="V896" i="2"/>
  <c r="U896" i="2"/>
  <c r="AA895" i="2"/>
  <c r="AB895" i="2" s="1"/>
  <c r="Y895" i="2"/>
  <c r="Z895" i="2" s="1"/>
  <c r="V895" i="2"/>
  <c r="U895" i="2"/>
  <c r="AA894" i="2"/>
  <c r="AB894" i="2" s="1"/>
  <c r="Y894" i="2"/>
  <c r="Z894" i="2" s="1"/>
  <c r="V894" i="2"/>
  <c r="U894" i="2"/>
  <c r="AA893" i="2"/>
  <c r="AB893" i="2" s="1"/>
  <c r="Y893" i="2"/>
  <c r="Z893" i="2" s="1"/>
  <c r="V893" i="2"/>
  <c r="U893" i="2"/>
  <c r="AA892" i="2"/>
  <c r="AB892" i="2" s="1"/>
  <c r="Y892" i="2"/>
  <c r="Z892" i="2" s="1"/>
  <c r="V892" i="2"/>
  <c r="U892" i="2"/>
  <c r="AA891" i="2"/>
  <c r="AB891" i="2" s="1"/>
  <c r="Y891" i="2"/>
  <c r="Z891" i="2" s="1"/>
  <c r="V891" i="2"/>
  <c r="U891" i="2"/>
  <c r="AA890" i="2"/>
  <c r="AB890" i="2" s="1"/>
  <c r="Y890" i="2"/>
  <c r="Z890" i="2" s="1"/>
  <c r="V890" i="2"/>
  <c r="U890" i="2"/>
  <c r="AA889" i="2"/>
  <c r="AB889" i="2" s="1"/>
  <c r="Y889" i="2"/>
  <c r="Z889" i="2" s="1"/>
  <c r="V889" i="2"/>
  <c r="U889" i="2"/>
  <c r="AA888" i="2"/>
  <c r="AB888" i="2" s="1"/>
  <c r="Y888" i="2"/>
  <c r="Z888" i="2" s="1"/>
  <c r="V888" i="2"/>
  <c r="U888" i="2"/>
  <c r="AA887" i="2"/>
  <c r="AB887" i="2" s="1"/>
  <c r="Y887" i="2"/>
  <c r="Z887" i="2" s="1"/>
  <c r="V887" i="2"/>
  <c r="U887" i="2"/>
  <c r="AA886" i="2"/>
  <c r="AB886" i="2" s="1"/>
  <c r="Y886" i="2"/>
  <c r="Z886" i="2" s="1"/>
  <c r="V886" i="2"/>
  <c r="U886" i="2"/>
  <c r="AA885" i="2"/>
  <c r="AB885" i="2" s="1"/>
  <c r="Y885" i="2"/>
  <c r="Z885" i="2" s="1"/>
  <c r="V885" i="2"/>
  <c r="U885" i="2"/>
  <c r="AA884" i="2"/>
  <c r="AB884" i="2" s="1"/>
  <c r="Y884" i="2"/>
  <c r="Z884" i="2" s="1"/>
  <c r="V884" i="2"/>
  <c r="U884" i="2"/>
  <c r="AA883" i="2"/>
  <c r="AB883" i="2" s="1"/>
  <c r="Y883" i="2"/>
  <c r="Z883" i="2" s="1"/>
  <c r="V883" i="2"/>
  <c r="U883" i="2"/>
  <c r="AA882" i="2"/>
  <c r="AB882" i="2" s="1"/>
  <c r="Y882" i="2"/>
  <c r="Z882" i="2" s="1"/>
  <c r="V882" i="2"/>
  <c r="U882" i="2"/>
  <c r="AA881" i="2"/>
  <c r="AB881" i="2" s="1"/>
  <c r="Y881" i="2"/>
  <c r="Z881" i="2" s="1"/>
  <c r="V881" i="2"/>
  <c r="U881" i="2"/>
  <c r="AA880" i="2"/>
  <c r="AB880" i="2" s="1"/>
  <c r="Y880" i="2"/>
  <c r="Z880" i="2" s="1"/>
  <c r="V880" i="2"/>
  <c r="U880" i="2"/>
  <c r="AA879" i="2"/>
  <c r="AB879" i="2" s="1"/>
  <c r="Y879" i="2"/>
  <c r="Z879" i="2" s="1"/>
  <c r="V879" i="2"/>
  <c r="U879" i="2"/>
  <c r="AA878" i="2"/>
  <c r="AB878" i="2" s="1"/>
  <c r="Y878" i="2"/>
  <c r="Z878" i="2" s="1"/>
  <c r="V878" i="2"/>
  <c r="U878" i="2"/>
  <c r="AA877" i="2"/>
  <c r="AB877" i="2" s="1"/>
  <c r="Y877" i="2"/>
  <c r="Z877" i="2" s="1"/>
  <c r="V877" i="2"/>
  <c r="U877" i="2"/>
  <c r="AA876" i="2"/>
  <c r="AB876" i="2" s="1"/>
  <c r="Y876" i="2"/>
  <c r="Z876" i="2" s="1"/>
  <c r="V876" i="2"/>
  <c r="U876" i="2"/>
  <c r="AA875" i="2"/>
  <c r="AB875" i="2" s="1"/>
  <c r="Y875" i="2"/>
  <c r="Z875" i="2" s="1"/>
  <c r="V875" i="2"/>
  <c r="U875" i="2"/>
  <c r="AA874" i="2"/>
  <c r="AB874" i="2" s="1"/>
  <c r="Y874" i="2"/>
  <c r="Z874" i="2" s="1"/>
  <c r="V874" i="2"/>
  <c r="U874" i="2"/>
  <c r="AA873" i="2"/>
  <c r="AB873" i="2" s="1"/>
  <c r="Y873" i="2"/>
  <c r="Z873" i="2" s="1"/>
  <c r="V873" i="2"/>
  <c r="U873" i="2"/>
  <c r="AA872" i="2"/>
  <c r="AB872" i="2" s="1"/>
  <c r="Y872" i="2"/>
  <c r="Z872" i="2" s="1"/>
  <c r="V872" i="2"/>
  <c r="U872" i="2"/>
  <c r="AA871" i="2"/>
  <c r="AB871" i="2" s="1"/>
  <c r="Y871" i="2"/>
  <c r="Z871" i="2" s="1"/>
  <c r="V871" i="2"/>
  <c r="U871" i="2"/>
  <c r="AA870" i="2"/>
  <c r="AB870" i="2" s="1"/>
  <c r="Y870" i="2"/>
  <c r="Z870" i="2" s="1"/>
  <c r="V870" i="2"/>
  <c r="U870" i="2"/>
  <c r="AA869" i="2"/>
  <c r="AB869" i="2" s="1"/>
  <c r="Y869" i="2"/>
  <c r="Z869" i="2" s="1"/>
  <c r="V869" i="2"/>
  <c r="U869" i="2"/>
  <c r="AA868" i="2"/>
  <c r="AB868" i="2" s="1"/>
  <c r="Y868" i="2"/>
  <c r="Z868" i="2" s="1"/>
  <c r="V868" i="2"/>
  <c r="U868" i="2"/>
  <c r="AA867" i="2"/>
  <c r="AB867" i="2" s="1"/>
  <c r="Y867" i="2"/>
  <c r="Z867" i="2" s="1"/>
  <c r="V867" i="2"/>
  <c r="U867" i="2"/>
  <c r="AA866" i="2"/>
  <c r="AB866" i="2" s="1"/>
  <c r="Y866" i="2"/>
  <c r="Z866" i="2" s="1"/>
  <c r="V866" i="2"/>
  <c r="U866" i="2"/>
  <c r="AA865" i="2"/>
  <c r="AB865" i="2" s="1"/>
  <c r="Y865" i="2"/>
  <c r="Z865" i="2" s="1"/>
  <c r="V865" i="2"/>
  <c r="U865" i="2"/>
  <c r="AA864" i="2"/>
  <c r="AB864" i="2" s="1"/>
  <c r="Y864" i="2"/>
  <c r="Z864" i="2" s="1"/>
  <c r="V864" i="2"/>
  <c r="U864" i="2"/>
  <c r="AA863" i="2"/>
  <c r="AB863" i="2" s="1"/>
  <c r="Y863" i="2"/>
  <c r="Z863" i="2" s="1"/>
  <c r="V863" i="2"/>
  <c r="U863" i="2"/>
  <c r="AA862" i="2"/>
  <c r="AB862" i="2" s="1"/>
  <c r="Y862" i="2"/>
  <c r="Z862" i="2" s="1"/>
  <c r="V862" i="2"/>
  <c r="U862" i="2"/>
  <c r="AA861" i="2"/>
  <c r="AB861" i="2" s="1"/>
  <c r="Y861" i="2"/>
  <c r="Z861" i="2" s="1"/>
  <c r="V861" i="2"/>
  <c r="U861" i="2"/>
  <c r="AA860" i="2"/>
  <c r="AB860" i="2" s="1"/>
  <c r="Y860" i="2"/>
  <c r="Z860" i="2" s="1"/>
  <c r="V860" i="2"/>
  <c r="U860" i="2"/>
  <c r="AA859" i="2"/>
  <c r="AB859" i="2" s="1"/>
  <c r="Y859" i="2"/>
  <c r="Z859" i="2" s="1"/>
  <c r="V859" i="2"/>
  <c r="U859" i="2"/>
  <c r="AA858" i="2"/>
  <c r="AB858" i="2" s="1"/>
  <c r="Y858" i="2"/>
  <c r="Z858" i="2" s="1"/>
  <c r="V858" i="2"/>
  <c r="U858" i="2"/>
  <c r="AA857" i="2"/>
  <c r="AB857" i="2" s="1"/>
  <c r="Y857" i="2"/>
  <c r="Z857" i="2" s="1"/>
  <c r="V857" i="2"/>
  <c r="U857" i="2"/>
  <c r="AA856" i="2"/>
  <c r="AB856" i="2" s="1"/>
  <c r="Y856" i="2"/>
  <c r="Z856" i="2" s="1"/>
  <c r="V856" i="2"/>
  <c r="U856" i="2"/>
  <c r="AA855" i="2"/>
  <c r="AB855" i="2" s="1"/>
  <c r="Y855" i="2"/>
  <c r="Z855" i="2" s="1"/>
  <c r="V855" i="2"/>
  <c r="U855" i="2"/>
  <c r="AA854" i="2"/>
  <c r="AB854" i="2" s="1"/>
  <c r="Y854" i="2"/>
  <c r="Z854" i="2" s="1"/>
  <c r="V854" i="2"/>
  <c r="U854" i="2"/>
  <c r="AA853" i="2"/>
  <c r="AB853" i="2" s="1"/>
  <c r="Y853" i="2"/>
  <c r="Z853" i="2" s="1"/>
  <c r="V853" i="2"/>
  <c r="U853" i="2"/>
  <c r="AA852" i="2"/>
  <c r="AB852" i="2" s="1"/>
  <c r="Y852" i="2"/>
  <c r="Z852" i="2" s="1"/>
  <c r="V852" i="2"/>
  <c r="U852" i="2"/>
  <c r="AA851" i="2"/>
  <c r="AB851" i="2" s="1"/>
  <c r="Y851" i="2"/>
  <c r="Z851" i="2" s="1"/>
  <c r="V851" i="2"/>
  <c r="U851" i="2"/>
  <c r="AA850" i="2"/>
  <c r="AB850" i="2" s="1"/>
  <c r="Y850" i="2"/>
  <c r="Z850" i="2" s="1"/>
  <c r="V850" i="2"/>
  <c r="U850" i="2"/>
  <c r="AA849" i="2"/>
  <c r="AB849" i="2" s="1"/>
  <c r="Y849" i="2"/>
  <c r="Z849" i="2" s="1"/>
  <c r="V849" i="2"/>
  <c r="U849" i="2"/>
  <c r="AA848" i="2"/>
  <c r="AB848" i="2" s="1"/>
  <c r="Y848" i="2"/>
  <c r="Z848" i="2" s="1"/>
  <c r="V848" i="2"/>
  <c r="U848" i="2"/>
  <c r="AA847" i="2"/>
  <c r="AB847" i="2" s="1"/>
  <c r="Y847" i="2"/>
  <c r="Z847" i="2" s="1"/>
  <c r="V847" i="2"/>
  <c r="U847" i="2"/>
  <c r="AA846" i="2"/>
  <c r="AB846" i="2" s="1"/>
  <c r="Y846" i="2"/>
  <c r="Z846" i="2" s="1"/>
  <c r="V846" i="2"/>
  <c r="U846" i="2"/>
  <c r="AA845" i="2"/>
  <c r="AB845" i="2" s="1"/>
  <c r="Y845" i="2"/>
  <c r="Z845" i="2" s="1"/>
  <c r="V845" i="2"/>
  <c r="U845" i="2"/>
  <c r="AA844" i="2"/>
  <c r="AB844" i="2" s="1"/>
  <c r="Y844" i="2"/>
  <c r="Z844" i="2" s="1"/>
  <c r="V844" i="2"/>
  <c r="U844" i="2"/>
  <c r="AA843" i="2"/>
  <c r="AB843" i="2" s="1"/>
  <c r="Y843" i="2"/>
  <c r="Z843" i="2" s="1"/>
  <c r="V843" i="2"/>
  <c r="U843" i="2"/>
  <c r="AA842" i="2"/>
  <c r="AB842" i="2" s="1"/>
  <c r="Y842" i="2"/>
  <c r="Z842" i="2" s="1"/>
  <c r="V842" i="2"/>
  <c r="U842" i="2"/>
  <c r="AA841" i="2"/>
  <c r="AB841" i="2" s="1"/>
  <c r="Y841" i="2"/>
  <c r="Z841" i="2" s="1"/>
  <c r="V841" i="2"/>
  <c r="U841" i="2"/>
  <c r="AA840" i="2"/>
  <c r="AB840" i="2" s="1"/>
  <c r="Y840" i="2"/>
  <c r="Z840" i="2" s="1"/>
  <c r="V840" i="2"/>
  <c r="U840" i="2"/>
  <c r="AA839" i="2"/>
  <c r="AB839" i="2" s="1"/>
  <c r="Y839" i="2"/>
  <c r="Z839" i="2" s="1"/>
  <c r="V839" i="2"/>
  <c r="U839" i="2"/>
  <c r="AA838" i="2"/>
  <c r="AB838" i="2" s="1"/>
  <c r="Y838" i="2"/>
  <c r="Z838" i="2" s="1"/>
  <c r="V838" i="2"/>
  <c r="U838" i="2"/>
  <c r="AA837" i="2"/>
  <c r="AB837" i="2" s="1"/>
  <c r="Y837" i="2"/>
  <c r="Z837" i="2" s="1"/>
  <c r="V837" i="2"/>
  <c r="U837" i="2"/>
  <c r="AA836" i="2"/>
  <c r="AB836" i="2" s="1"/>
  <c r="Y836" i="2"/>
  <c r="Z836" i="2" s="1"/>
  <c r="V836" i="2"/>
  <c r="U836" i="2"/>
  <c r="AA835" i="2"/>
  <c r="AB835" i="2" s="1"/>
  <c r="Y835" i="2"/>
  <c r="Z835" i="2" s="1"/>
  <c r="V835" i="2"/>
  <c r="U835" i="2"/>
  <c r="AA834" i="2"/>
  <c r="AB834" i="2" s="1"/>
  <c r="Y834" i="2"/>
  <c r="Z834" i="2" s="1"/>
  <c r="V834" i="2"/>
  <c r="U834" i="2"/>
  <c r="AA833" i="2"/>
  <c r="AB833" i="2" s="1"/>
  <c r="Y833" i="2"/>
  <c r="Z833" i="2" s="1"/>
  <c r="V833" i="2"/>
  <c r="U833" i="2"/>
  <c r="AA832" i="2"/>
  <c r="AB832" i="2" s="1"/>
  <c r="Y832" i="2"/>
  <c r="Z832" i="2" s="1"/>
  <c r="V832" i="2"/>
  <c r="U832" i="2"/>
  <c r="AA831" i="2"/>
  <c r="AB831" i="2" s="1"/>
  <c r="Y831" i="2"/>
  <c r="Z831" i="2" s="1"/>
  <c r="V831" i="2"/>
  <c r="U831" i="2"/>
  <c r="AA830" i="2"/>
  <c r="AB830" i="2" s="1"/>
  <c r="Y830" i="2"/>
  <c r="Z830" i="2" s="1"/>
  <c r="V830" i="2"/>
  <c r="U830" i="2"/>
  <c r="AA829" i="2"/>
  <c r="AB829" i="2" s="1"/>
  <c r="Y829" i="2"/>
  <c r="Z829" i="2" s="1"/>
  <c r="V829" i="2"/>
  <c r="U829" i="2"/>
  <c r="AA828" i="2"/>
  <c r="AB828" i="2" s="1"/>
  <c r="Y828" i="2"/>
  <c r="Z828" i="2" s="1"/>
  <c r="V828" i="2"/>
  <c r="U828" i="2"/>
  <c r="AA827" i="2"/>
  <c r="AB827" i="2" s="1"/>
  <c r="Y827" i="2"/>
  <c r="Z827" i="2" s="1"/>
  <c r="V827" i="2"/>
  <c r="U827" i="2"/>
  <c r="AA826" i="2"/>
  <c r="AB826" i="2" s="1"/>
  <c r="Y826" i="2"/>
  <c r="Z826" i="2" s="1"/>
  <c r="V826" i="2"/>
  <c r="U826" i="2"/>
  <c r="AA825" i="2"/>
  <c r="AB825" i="2" s="1"/>
  <c r="Y825" i="2"/>
  <c r="Z825" i="2" s="1"/>
  <c r="V825" i="2"/>
  <c r="U825" i="2"/>
  <c r="AA824" i="2"/>
  <c r="AB824" i="2" s="1"/>
  <c r="Y824" i="2"/>
  <c r="Z824" i="2" s="1"/>
  <c r="V824" i="2"/>
  <c r="U824" i="2"/>
  <c r="AA823" i="2"/>
  <c r="AB823" i="2" s="1"/>
  <c r="Y823" i="2"/>
  <c r="Z823" i="2" s="1"/>
  <c r="V823" i="2"/>
  <c r="U823" i="2"/>
  <c r="AA822" i="2"/>
  <c r="AB822" i="2" s="1"/>
  <c r="Y822" i="2"/>
  <c r="Z822" i="2" s="1"/>
  <c r="V822" i="2"/>
  <c r="U822" i="2"/>
  <c r="AA821" i="2"/>
  <c r="AB821" i="2" s="1"/>
  <c r="Y821" i="2"/>
  <c r="Z821" i="2" s="1"/>
  <c r="V821" i="2"/>
  <c r="U821" i="2"/>
  <c r="AA820" i="2"/>
  <c r="AB820" i="2" s="1"/>
  <c r="Y820" i="2"/>
  <c r="Z820" i="2" s="1"/>
  <c r="V820" i="2"/>
  <c r="U820" i="2"/>
  <c r="AA819" i="2"/>
  <c r="AB819" i="2" s="1"/>
  <c r="Y819" i="2"/>
  <c r="Z819" i="2" s="1"/>
  <c r="V819" i="2"/>
  <c r="U819" i="2"/>
  <c r="AA818" i="2"/>
  <c r="AB818" i="2" s="1"/>
  <c r="Y818" i="2"/>
  <c r="Z818" i="2" s="1"/>
  <c r="V818" i="2"/>
  <c r="U818" i="2"/>
  <c r="AA817" i="2"/>
  <c r="AB817" i="2" s="1"/>
  <c r="Y817" i="2"/>
  <c r="Z817" i="2" s="1"/>
  <c r="V817" i="2"/>
  <c r="U817" i="2"/>
  <c r="AA816" i="2"/>
  <c r="AB816" i="2" s="1"/>
  <c r="Y816" i="2"/>
  <c r="Z816" i="2" s="1"/>
  <c r="V816" i="2"/>
  <c r="U816" i="2"/>
  <c r="AA815" i="2"/>
  <c r="AB815" i="2" s="1"/>
  <c r="Y815" i="2"/>
  <c r="Z815" i="2" s="1"/>
  <c r="V815" i="2"/>
  <c r="U815" i="2"/>
  <c r="AA814" i="2"/>
  <c r="AB814" i="2" s="1"/>
  <c r="Y814" i="2"/>
  <c r="Z814" i="2" s="1"/>
  <c r="V814" i="2"/>
  <c r="U814" i="2"/>
  <c r="AA813" i="2"/>
  <c r="AB813" i="2" s="1"/>
  <c r="Y813" i="2"/>
  <c r="Z813" i="2" s="1"/>
  <c r="V813" i="2"/>
  <c r="U813" i="2"/>
  <c r="AA812" i="2"/>
  <c r="AB812" i="2" s="1"/>
  <c r="Y812" i="2"/>
  <c r="Z812" i="2" s="1"/>
  <c r="V812" i="2"/>
  <c r="U812" i="2"/>
  <c r="AA811" i="2"/>
  <c r="AB811" i="2" s="1"/>
  <c r="Y811" i="2"/>
  <c r="Z811" i="2" s="1"/>
  <c r="V811" i="2"/>
  <c r="U811" i="2"/>
  <c r="AA810" i="2"/>
  <c r="AB810" i="2" s="1"/>
  <c r="Y810" i="2"/>
  <c r="Z810" i="2" s="1"/>
  <c r="V810" i="2"/>
  <c r="U810" i="2"/>
  <c r="AA809" i="2"/>
  <c r="AB809" i="2" s="1"/>
  <c r="Y809" i="2"/>
  <c r="Z809" i="2" s="1"/>
  <c r="V809" i="2"/>
  <c r="U809" i="2"/>
  <c r="AA808" i="2"/>
  <c r="AB808" i="2" s="1"/>
  <c r="Y808" i="2"/>
  <c r="Z808" i="2" s="1"/>
  <c r="V808" i="2"/>
  <c r="U808" i="2"/>
  <c r="AA807" i="2"/>
  <c r="AB807" i="2" s="1"/>
  <c r="Y807" i="2"/>
  <c r="Z807" i="2" s="1"/>
  <c r="V807" i="2"/>
  <c r="U807" i="2"/>
  <c r="AA806" i="2"/>
  <c r="AB806" i="2" s="1"/>
  <c r="Y806" i="2"/>
  <c r="Z806" i="2" s="1"/>
  <c r="V806" i="2"/>
  <c r="U806" i="2"/>
  <c r="AA805" i="2"/>
  <c r="AB805" i="2" s="1"/>
  <c r="Y805" i="2"/>
  <c r="Z805" i="2" s="1"/>
  <c r="V805" i="2"/>
  <c r="U805" i="2"/>
  <c r="AA804" i="2"/>
  <c r="AB804" i="2" s="1"/>
  <c r="Y804" i="2"/>
  <c r="Z804" i="2" s="1"/>
  <c r="V804" i="2"/>
  <c r="U804" i="2"/>
  <c r="L804" i="2"/>
  <c r="AA803" i="2"/>
  <c r="AB803" i="2" s="1"/>
  <c r="Y803" i="2"/>
  <c r="Z803" i="2" s="1"/>
  <c r="V803" i="2"/>
  <c r="U803" i="2"/>
  <c r="L803" i="2"/>
  <c r="AA802" i="2"/>
  <c r="AB802" i="2" s="1"/>
  <c r="Y802" i="2"/>
  <c r="Z802" i="2" s="1"/>
  <c r="V802" i="2"/>
  <c r="U802" i="2"/>
  <c r="L802" i="2"/>
  <c r="AA801" i="2"/>
  <c r="AB801" i="2" s="1"/>
  <c r="Y801" i="2"/>
  <c r="Z801" i="2" s="1"/>
  <c r="V801" i="2"/>
  <c r="U801" i="2"/>
  <c r="L801" i="2"/>
  <c r="AA800" i="2"/>
  <c r="AB800" i="2" s="1"/>
  <c r="Y800" i="2"/>
  <c r="Z800" i="2" s="1"/>
  <c r="V800" i="2"/>
  <c r="U800" i="2"/>
  <c r="L800" i="2"/>
  <c r="AA799" i="2"/>
  <c r="AB799" i="2" s="1"/>
  <c r="Y799" i="2"/>
  <c r="Z799" i="2" s="1"/>
  <c r="V799" i="2"/>
  <c r="U799" i="2"/>
  <c r="L799" i="2"/>
  <c r="AA798" i="2"/>
  <c r="AB798" i="2" s="1"/>
  <c r="Y798" i="2"/>
  <c r="Z798" i="2" s="1"/>
  <c r="V798" i="2"/>
  <c r="U798" i="2"/>
  <c r="R798" i="2"/>
  <c r="L798" i="2"/>
  <c r="AA797" i="2"/>
  <c r="AB797" i="2" s="1"/>
  <c r="Y797" i="2"/>
  <c r="Z797" i="2" s="1"/>
  <c r="V797" i="2"/>
  <c r="U797" i="2"/>
  <c r="R797" i="2"/>
  <c r="L797" i="2"/>
  <c r="AA796" i="2"/>
  <c r="AB796" i="2" s="1"/>
  <c r="Y796" i="2"/>
  <c r="Z796" i="2" s="1"/>
  <c r="V796" i="2"/>
  <c r="U796" i="2"/>
  <c r="R796" i="2"/>
  <c r="L796" i="2"/>
  <c r="AA795" i="2"/>
  <c r="AB795" i="2" s="1"/>
  <c r="Y795" i="2"/>
  <c r="Z795" i="2" s="1"/>
  <c r="V795" i="2"/>
  <c r="U795" i="2"/>
  <c r="R795" i="2"/>
  <c r="L795" i="2"/>
  <c r="AA794" i="2"/>
  <c r="AB794" i="2" s="1"/>
  <c r="Y794" i="2"/>
  <c r="Z794" i="2" s="1"/>
  <c r="V794" i="2"/>
  <c r="U794" i="2"/>
  <c r="R794" i="2"/>
  <c r="L794" i="2"/>
  <c r="AA793" i="2"/>
  <c r="AB793" i="2" s="1"/>
  <c r="Y793" i="2"/>
  <c r="Z793" i="2" s="1"/>
  <c r="V793" i="2"/>
  <c r="U793" i="2"/>
  <c r="R793" i="2"/>
  <c r="L793" i="2"/>
  <c r="AA792" i="2"/>
  <c r="AB792" i="2" s="1"/>
  <c r="Y792" i="2"/>
  <c r="Z792" i="2" s="1"/>
  <c r="V792" i="2"/>
  <c r="U792" i="2"/>
  <c r="R792" i="2"/>
  <c r="L792" i="2"/>
  <c r="AA791" i="2"/>
  <c r="AB791" i="2" s="1"/>
  <c r="Y791" i="2"/>
  <c r="Z791" i="2" s="1"/>
  <c r="V791" i="2"/>
  <c r="U791" i="2"/>
  <c r="R791" i="2"/>
  <c r="L791" i="2"/>
  <c r="AA790" i="2"/>
  <c r="AB790" i="2" s="1"/>
  <c r="Y790" i="2"/>
  <c r="Z790" i="2" s="1"/>
  <c r="V790" i="2"/>
  <c r="U790" i="2"/>
  <c r="R790" i="2"/>
  <c r="L790" i="2"/>
  <c r="AA789" i="2"/>
  <c r="AB789" i="2" s="1"/>
  <c r="Y789" i="2"/>
  <c r="Z789" i="2" s="1"/>
  <c r="V789" i="2"/>
  <c r="U789" i="2"/>
  <c r="R789" i="2"/>
  <c r="L789" i="2"/>
  <c r="AA788" i="2"/>
  <c r="AB788" i="2" s="1"/>
  <c r="Y788" i="2"/>
  <c r="Z788" i="2" s="1"/>
  <c r="V788" i="2"/>
  <c r="U788" i="2"/>
  <c r="R788" i="2"/>
  <c r="L788" i="2"/>
  <c r="AA787" i="2"/>
  <c r="AB787" i="2" s="1"/>
  <c r="Y787" i="2"/>
  <c r="Z787" i="2" s="1"/>
  <c r="V787" i="2"/>
  <c r="U787" i="2"/>
  <c r="R787" i="2"/>
  <c r="L787" i="2"/>
  <c r="AA786" i="2"/>
  <c r="AB786" i="2" s="1"/>
  <c r="Y786" i="2"/>
  <c r="Z786" i="2" s="1"/>
  <c r="V786" i="2"/>
  <c r="U786" i="2"/>
  <c r="R786" i="2"/>
  <c r="L786" i="2"/>
  <c r="AA785" i="2"/>
  <c r="AB785" i="2" s="1"/>
  <c r="Y785" i="2"/>
  <c r="Z785" i="2" s="1"/>
  <c r="V785" i="2"/>
  <c r="U785" i="2"/>
  <c r="R785" i="2"/>
  <c r="L785" i="2"/>
  <c r="AA784" i="2"/>
  <c r="AB784" i="2" s="1"/>
  <c r="Y784" i="2"/>
  <c r="Z784" i="2" s="1"/>
  <c r="V784" i="2"/>
  <c r="U784" i="2"/>
  <c r="R784" i="2"/>
  <c r="L784" i="2"/>
  <c r="AA783" i="2"/>
  <c r="AB783" i="2" s="1"/>
  <c r="Y783" i="2"/>
  <c r="Z783" i="2" s="1"/>
  <c r="V783" i="2"/>
  <c r="U783" i="2"/>
  <c r="R783" i="2"/>
  <c r="L783" i="2"/>
  <c r="AA782" i="2"/>
  <c r="AB782" i="2" s="1"/>
  <c r="Y782" i="2"/>
  <c r="Z782" i="2" s="1"/>
  <c r="V782" i="2"/>
  <c r="U782" i="2"/>
  <c r="R782" i="2"/>
  <c r="L782" i="2"/>
  <c r="AA781" i="2"/>
  <c r="AB781" i="2" s="1"/>
  <c r="Y781" i="2"/>
  <c r="Z781" i="2" s="1"/>
  <c r="V781" i="2"/>
  <c r="U781" i="2"/>
  <c r="R781" i="2"/>
  <c r="L781" i="2"/>
  <c r="AA780" i="2"/>
  <c r="AB780" i="2" s="1"/>
  <c r="Y780" i="2"/>
  <c r="Z780" i="2" s="1"/>
  <c r="V780" i="2"/>
  <c r="U780" i="2"/>
  <c r="R780" i="2"/>
  <c r="L780" i="2"/>
  <c r="AA779" i="2"/>
  <c r="AB779" i="2" s="1"/>
  <c r="Y779" i="2"/>
  <c r="Z779" i="2" s="1"/>
  <c r="V779" i="2"/>
  <c r="U779" i="2"/>
  <c r="R779" i="2"/>
  <c r="L779" i="2"/>
  <c r="AA778" i="2"/>
  <c r="AB778" i="2" s="1"/>
  <c r="Y778" i="2"/>
  <c r="Z778" i="2" s="1"/>
  <c r="V778" i="2"/>
  <c r="U778" i="2"/>
  <c r="R778" i="2"/>
  <c r="L778" i="2"/>
  <c r="AA777" i="2"/>
  <c r="AB777" i="2" s="1"/>
  <c r="Y777" i="2"/>
  <c r="Z777" i="2" s="1"/>
  <c r="V777" i="2"/>
  <c r="U777" i="2"/>
  <c r="R777" i="2"/>
  <c r="L777" i="2"/>
  <c r="AA776" i="2"/>
  <c r="AB776" i="2" s="1"/>
  <c r="Y776" i="2"/>
  <c r="Z776" i="2" s="1"/>
  <c r="V776" i="2"/>
  <c r="U776" i="2"/>
  <c r="R776" i="2"/>
  <c r="L776" i="2"/>
  <c r="AA775" i="2"/>
  <c r="AB775" i="2" s="1"/>
  <c r="Y775" i="2"/>
  <c r="Z775" i="2" s="1"/>
  <c r="V775" i="2"/>
  <c r="U775" i="2"/>
  <c r="R775" i="2"/>
  <c r="L775" i="2"/>
  <c r="AA774" i="2"/>
  <c r="AB774" i="2" s="1"/>
  <c r="Y774" i="2"/>
  <c r="Z774" i="2" s="1"/>
  <c r="V774" i="2"/>
  <c r="U774" i="2"/>
  <c r="R774" i="2"/>
  <c r="L774" i="2"/>
  <c r="AA773" i="2"/>
  <c r="AB773" i="2" s="1"/>
  <c r="Y773" i="2"/>
  <c r="Z773" i="2" s="1"/>
  <c r="V773" i="2"/>
  <c r="U773" i="2"/>
  <c r="R773" i="2"/>
  <c r="L773" i="2"/>
  <c r="AA772" i="2"/>
  <c r="AB772" i="2" s="1"/>
  <c r="Y772" i="2"/>
  <c r="Z772" i="2" s="1"/>
  <c r="V772" i="2"/>
  <c r="U772" i="2"/>
  <c r="R772" i="2"/>
  <c r="L772" i="2"/>
  <c r="AA771" i="2"/>
  <c r="AB771" i="2" s="1"/>
  <c r="Y771" i="2"/>
  <c r="Z771" i="2" s="1"/>
  <c r="V771" i="2"/>
  <c r="U771" i="2"/>
  <c r="R771" i="2"/>
  <c r="L771" i="2"/>
  <c r="AA770" i="2"/>
  <c r="AB770" i="2" s="1"/>
  <c r="Y770" i="2"/>
  <c r="Z770" i="2" s="1"/>
  <c r="V770" i="2"/>
  <c r="U770" i="2"/>
  <c r="R770" i="2"/>
  <c r="L770" i="2"/>
  <c r="AA769" i="2"/>
  <c r="AB769" i="2" s="1"/>
  <c r="Y769" i="2"/>
  <c r="Z769" i="2" s="1"/>
  <c r="V769" i="2"/>
  <c r="U769" i="2"/>
  <c r="R769" i="2"/>
  <c r="L769" i="2"/>
  <c r="AA768" i="2"/>
  <c r="AB768" i="2" s="1"/>
  <c r="Y768" i="2"/>
  <c r="Z768" i="2" s="1"/>
  <c r="V768" i="2"/>
  <c r="U768" i="2"/>
  <c r="R768" i="2"/>
  <c r="L768" i="2"/>
  <c r="AA767" i="2"/>
  <c r="AB767" i="2" s="1"/>
  <c r="Y767" i="2"/>
  <c r="Z767" i="2" s="1"/>
  <c r="V767" i="2"/>
  <c r="U767" i="2"/>
  <c r="R767" i="2"/>
  <c r="L767" i="2"/>
  <c r="AA766" i="2"/>
  <c r="AB766" i="2" s="1"/>
  <c r="Y766" i="2"/>
  <c r="Z766" i="2" s="1"/>
  <c r="V766" i="2"/>
  <c r="U766" i="2"/>
  <c r="R766" i="2"/>
  <c r="L766" i="2"/>
  <c r="AA765" i="2"/>
  <c r="AB765" i="2" s="1"/>
  <c r="Y765" i="2"/>
  <c r="Z765" i="2" s="1"/>
  <c r="V765" i="2"/>
  <c r="U765" i="2"/>
  <c r="R765" i="2"/>
  <c r="AA764" i="2"/>
  <c r="AB764" i="2" s="1"/>
  <c r="Y764" i="2"/>
  <c r="Z764" i="2" s="1"/>
  <c r="V764" i="2"/>
  <c r="U764" i="2"/>
  <c r="R764" i="2"/>
  <c r="AA763" i="2"/>
  <c r="AB763" i="2" s="1"/>
  <c r="Y763" i="2"/>
  <c r="Z763" i="2" s="1"/>
  <c r="V763" i="2"/>
  <c r="U763" i="2"/>
  <c r="R763" i="2"/>
  <c r="L763" i="2"/>
  <c r="AA762" i="2"/>
  <c r="AB762" i="2" s="1"/>
  <c r="Y762" i="2"/>
  <c r="Z762" i="2" s="1"/>
  <c r="V762" i="2"/>
  <c r="U762" i="2"/>
  <c r="R762" i="2"/>
  <c r="AA761" i="2"/>
  <c r="AB761" i="2" s="1"/>
  <c r="Y761" i="2"/>
  <c r="Z761" i="2" s="1"/>
  <c r="V761" i="2"/>
  <c r="U761" i="2"/>
  <c r="R761" i="2"/>
  <c r="AA760" i="2"/>
  <c r="AB760" i="2" s="1"/>
  <c r="Y760" i="2"/>
  <c r="Z760" i="2" s="1"/>
  <c r="V760" i="2"/>
  <c r="U760" i="2"/>
  <c r="R760" i="2"/>
  <c r="AA759" i="2"/>
  <c r="AB759" i="2" s="1"/>
  <c r="Y759" i="2"/>
  <c r="Z759" i="2" s="1"/>
  <c r="V759" i="2"/>
  <c r="U759" i="2"/>
  <c r="R759" i="2"/>
  <c r="O759" i="2"/>
  <c r="N759" i="2"/>
  <c r="M759" i="2"/>
  <c r="L759" i="2"/>
  <c r="AA758" i="2"/>
  <c r="AB758" i="2" s="1"/>
  <c r="Y758" i="2"/>
  <c r="Z758" i="2" s="1"/>
  <c r="V758" i="2"/>
  <c r="U758" i="2"/>
  <c r="R758" i="2"/>
  <c r="O758" i="2"/>
  <c r="N758" i="2"/>
  <c r="M758" i="2"/>
  <c r="L758" i="2"/>
  <c r="AA757" i="2"/>
  <c r="AB757" i="2" s="1"/>
  <c r="Y757" i="2"/>
  <c r="Z757" i="2" s="1"/>
  <c r="V757" i="2"/>
  <c r="U757" i="2"/>
  <c r="R757" i="2"/>
  <c r="O757" i="2"/>
  <c r="N757" i="2"/>
  <c r="M757" i="2"/>
  <c r="L757" i="2"/>
  <c r="AA756" i="2"/>
  <c r="AB756" i="2" s="1"/>
  <c r="Y756" i="2"/>
  <c r="Z756" i="2" s="1"/>
  <c r="V756" i="2"/>
  <c r="U756" i="2"/>
  <c r="R756" i="2"/>
  <c r="O756" i="2"/>
  <c r="N756" i="2"/>
  <c r="M756" i="2"/>
  <c r="L756" i="2"/>
  <c r="AA755" i="2"/>
  <c r="AB755" i="2" s="1"/>
  <c r="Y755" i="2"/>
  <c r="Z755" i="2" s="1"/>
  <c r="V755" i="2"/>
  <c r="U755" i="2"/>
  <c r="R755" i="2"/>
  <c r="O755" i="2"/>
  <c r="N755" i="2"/>
  <c r="M755" i="2"/>
  <c r="L755" i="2"/>
  <c r="AA754" i="2"/>
  <c r="AB754" i="2" s="1"/>
  <c r="Y754" i="2"/>
  <c r="Z754" i="2" s="1"/>
  <c r="V754" i="2"/>
  <c r="U754" i="2"/>
  <c r="R754" i="2"/>
  <c r="O754" i="2"/>
  <c r="N754" i="2"/>
  <c r="M754" i="2"/>
  <c r="L754" i="2"/>
  <c r="AA753" i="2"/>
  <c r="AB753" i="2" s="1"/>
  <c r="Y753" i="2"/>
  <c r="Z753" i="2" s="1"/>
  <c r="V753" i="2"/>
  <c r="U753" i="2"/>
  <c r="R753" i="2"/>
  <c r="O753" i="2"/>
  <c r="O760" i="2" s="1"/>
  <c r="N753" i="2"/>
  <c r="N760" i="2" s="1"/>
  <c r="M753" i="2"/>
  <c r="M760" i="2" s="1"/>
  <c r="L753" i="2"/>
  <c r="L760" i="2" s="1"/>
  <c r="AA752" i="2"/>
  <c r="AB752" i="2" s="1"/>
  <c r="Y752" i="2"/>
  <c r="Z752" i="2" s="1"/>
  <c r="V752" i="2"/>
  <c r="U752" i="2"/>
  <c r="R752" i="2"/>
  <c r="AA751" i="2"/>
  <c r="AB751" i="2" s="1"/>
  <c r="Y751" i="2"/>
  <c r="Z751" i="2" s="1"/>
  <c r="V751" i="2"/>
  <c r="U751" i="2"/>
  <c r="R751" i="2"/>
  <c r="AA750" i="2"/>
  <c r="AB750" i="2" s="1"/>
  <c r="Y750" i="2"/>
  <c r="Z750" i="2" s="1"/>
  <c r="V750" i="2"/>
  <c r="U750" i="2"/>
  <c r="R750" i="2"/>
  <c r="AA749" i="2"/>
  <c r="AB749" i="2" s="1"/>
  <c r="Y749" i="2"/>
  <c r="Z749" i="2" s="1"/>
  <c r="V749" i="2"/>
  <c r="U749" i="2"/>
  <c r="R749" i="2"/>
  <c r="AA737" i="2"/>
  <c r="AB737" i="2" s="1"/>
  <c r="Y737" i="2"/>
  <c r="Z737" i="2" s="1"/>
  <c r="U737" i="2"/>
  <c r="R737" i="2"/>
  <c r="AA736" i="2"/>
  <c r="Y736" i="2"/>
  <c r="Z736" i="2" s="1"/>
  <c r="U736" i="2"/>
  <c r="R736" i="2"/>
  <c r="AA735" i="2"/>
  <c r="Y735" i="2"/>
  <c r="Z735" i="2" s="1"/>
  <c r="U735" i="2"/>
  <c r="R735" i="2"/>
  <c r="AA734" i="2"/>
  <c r="AB734" i="2" s="1"/>
  <c r="Y734" i="2"/>
  <c r="Z734" i="2" s="1"/>
  <c r="U734" i="2"/>
  <c r="R734" i="2"/>
  <c r="AA733" i="2"/>
  <c r="AB733" i="2" s="1"/>
  <c r="Y733" i="2"/>
  <c r="Z733" i="2" s="1"/>
  <c r="U733" i="2"/>
  <c r="R733" i="2"/>
  <c r="AA732" i="2"/>
  <c r="AB732" i="2" s="1"/>
  <c r="Y732" i="2"/>
  <c r="Z732" i="2" s="1"/>
  <c r="U732" i="2"/>
  <c r="R732" i="2"/>
  <c r="AA731" i="2"/>
  <c r="Y731" i="2"/>
  <c r="Z731" i="2" s="1"/>
  <c r="U731" i="2"/>
  <c r="R731" i="2"/>
  <c r="AA730" i="2"/>
  <c r="Y730" i="2"/>
  <c r="Z730" i="2" s="1"/>
  <c r="U730" i="2"/>
  <c r="R730" i="2"/>
  <c r="AA729" i="2"/>
  <c r="AB729" i="2" s="1"/>
  <c r="Y729" i="2"/>
  <c r="Z729" i="2" s="1"/>
  <c r="U729" i="2"/>
  <c r="R729" i="2"/>
  <c r="AA728" i="2"/>
  <c r="AB728" i="2" s="1"/>
  <c r="Y728" i="2"/>
  <c r="Z728" i="2" s="1"/>
  <c r="U728" i="2"/>
  <c r="R728" i="2"/>
  <c r="AA727" i="2"/>
  <c r="AB727" i="2" s="1"/>
  <c r="Y727" i="2"/>
  <c r="Z727" i="2" s="1"/>
  <c r="U727" i="2"/>
  <c r="R727" i="2"/>
  <c r="AA726" i="2"/>
  <c r="AB726" i="2" s="1"/>
  <c r="Y726" i="2"/>
  <c r="Z726" i="2" s="1"/>
  <c r="U726" i="2"/>
  <c r="R726" i="2"/>
  <c r="AA725" i="2"/>
  <c r="AB725" i="2" s="1"/>
  <c r="Y725" i="2"/>
  <c r="Z725" i="2" s="1"/>
  <c r="U725" i="2"/>
  <c r="R725" i="2"/>
  <c r="AA724" i="2"/>
  <c r="AB724" i="2" s="1"/>
  <c r="Y724" i="2"/>
  <c r="Z724" i="2" s="1"/>
  <c r="U724" i="2"/>
  <c r="R724" i="2"/>
  <c r="AA723" i="2"/>
  <c r="AB723" i="2" s="1"/>
  <c r="Y723" i="2"/>
  <c r="Z723" i="2" s="1"/>
  <c r="U723" i="2"/>
  <c r="R723" i="2"/>
  <c r="AA722" i="2"/>
  <c r="AB722" i="2" s="1"/>
  <c r="Y722" i="2"/>
  <c r="Z722" i="2" s="1"/>
  <c r="U722" i="2"/>
  <c r="R722" i="2"/>
  <c r="AA721" i="2"/>
  <c r="Y721" i="2"/>
  <c r="Z721" i="2" s="1"/>
  <c r="U721" i="2"/>
  <c r="R721" i="2"/>
  <c r="AA720" i="2"/>
  <c r="AB720" i="2" s="1"/>
  <c r="Y720" i="2"/>
  <c r="Z720" i="2" s="1"/>
  <c r="U720" i="2"/>
  <c r="R720" i="2"/>
  <c r="AA719" i="2"/>
  <c r="AB719" i="2" s="1"/>
  <c r="Y719" i="2"/>
  <c r="Z719" i="2" s="1"/>
  <c r="U719" i="2"/>
  <c r="R719" i="2"/>
  <c r="AA718" i="2"/>
  <c r="AB718" i="2" s="1"/>
  <c r="Y718" i="2"/>
  <c r="Z718" i="2" s="1"/>
  <c r="U718" i="2"/>
  <c r="R718" i="2"/>
  <c r="AA717" i="2"/>
  <c r="AB717" i="2" s="1"/>
  <c r="Y717" i="2"/>
  <c r="Z717" i="2" s="1"/>
  <c r="U717" i="2"/>
  <c r="R717" i="2"/>
  <c r="AA716" i="2"/>
  <c r="AB716" i="2" s="1"/>
  <c r="Y716" i="2"/>
  <c r="Z716" i="2" s="1"/>
  <c r="U716" i="2"/>
  <c r="R716" i="2"/>
  <c r="AA715" i="2"/>
  <c r="Y715" i="2"/>
  <c r="Z715" i="2" s="1"/>
  <c r="U715" i="2"/>
  <c r="R715" i="2"/>
  <c r="AA714" i="2"/>
  <c r="AB714" i="2" s="1"/>
  <c r="Y714" i="2"/>
  <c r="Z714" i="2" s="1"/>
  <c r="U714" i="2"/>
  <c r="R714" i="2"/>
  <c r="AA713" i="2"/>
  <c r="AB713" i="2" s="1"/>
  <c r="Y713" i="2"/>
  <c r="Z713" i="2" s="1"/>
  <c r="U713" i="2"/>
  <c r="R713" i="2"/>
  <c r="AA712" i="2"/>
  <c r="Y712" i="2"/>
  <c r="Z712" i="2" s="1"/>
  <c r="U712" i="2"/>
  <c r="R712" i="2"/>
  <c r="AA711" i="2"/>
  <c r="AB711" i="2" s="1"/>
  <c r="Y711" i="2"/>
  <c r="Z711" i="2" s="1"/>
  <c r="U711" i="2"/>
  <c r="R711" i="2"/>
  <c r="AA710" i="2"/>
  <c r="AB710" i="2" s="1"/>
  <c r="Y710" i="2"/>
  <c r="Z710" i="2" s="1"/>
  <c r="U710" i="2"/>
  <c r="R710" i="2"/>
  <c r="AA709" i="2"/>
  <c r="AB709" i="2" s="1"/>
  <c r="Y709" i="2"/>
  <c r="Z709" i="2" s="1"/>
  <c r="U709" i="2"/>
  <c r="R709" i="2"/>
  <c r="AA708" i="2"/>
  <c r="Y708" i="2"/>
  <c r="Z708" i="2" s="1"/>
  <c r="U708" i="2"/>
  <c r="R708" i="2"/>
  <c r="AA707" i="2"/>
  <c r="Y707" i="2"/>
  <c r="Z707" i="2" s="1"/>
  <c r="U707" i="2"/>
  <c r="R707" i="2"/>
  <c r="AA706" i="2"/>
  <c r="AB706" i="2" s="1"/>
  <c r="Y706" i="2"/>
  <c r="Z706" i="2" s="1"/>
  <c r="U706" i="2"/>
  <c r="R706" i="2"/>
  <c r="AA705" i="2"/>
  <c r="AB705" i="2" s="1"/>
  <c r="Y705" i="2"/>
  <c r="Z705" i="2" s="1"/>
  <c r="U705" i="2"/>
  <c r="R705" i="2"/>
  <c r="AA704" i="2"/>
  <c r="Y704" i="2"/>
  <c r="Z704" i="2" s="1"/>
  <c r="U704" i="2"/>
  <c r="R704" i="2"/>
  <c r="AA703" i="2"/>
  <c r="AB703" i="2" s="1"/>
  <c r="Y703" i="2"/>
  <c r="Z703" i="2" s="1"/>
  <c r="U703" i="2"/>
  <c r="R703" i="2"/>
  <c r="AA702" i="2"/>
  <c r="AB702" i="2" s="1"/>
  <c r="Y702" i="2"/>
  <c r="Z702" i="2" s="1"/>
  <c r="U702" i="2"/>
  <c r="R702" i="2"/>
  <c r="AA701" i="2"/>
  <c r="AB701" i="2" s="1"/>
  <c r="Y701" i="2"/>
  <c r="Z701" i="2" s="1"/>
  <c r="U701" i="2"/>
  <c r="R701" i="2"/>
  <c r="P701" i="2"/>
  <c r="AA700" i="2"/>
  <c r="Y700" i="2"/>
  <c r="Z700" i="2" s="1"/>
  <c r="U700" i="2"/>
  <c r="R700" i="2"/>
  <c r="P700" i="2"/>
  <c r="AA699" i="2"/>
  <c r="Y699" i="2"/>
  <c r="U699" i="2"/>
  <c r="R699" i="2"/>
  <c r="P699" i="2"/>
  <c r="AA698" i="2"/>
  <c r="AB698" i="2" s="1"/>
  <c r="Y698" i="2"/>
  <c r="Z698" i="2" s="1"/>
  <c r="U698" i="2"/>
  <c r="R698" i="2"/>
  <c r="P698" i="2"/>
  <c r="AA697" i="2"/>
  <c r="Y697" i="2"/>
  <c r="Z697" i="2" s="1"/>
  <c r="U697" i="2"/>
  <c r="R697" i="2"/>
  <c r="P697" i="2"/>
  <c r="AA696" i="2"/>
  <c r="AB696" i="2" s="1"/>
  <c r="Y696" i="2"/>
  <c r="Z696" i="2" s="1"/>
  <c r="U696" i="2"/>
  <c r="R696" i="2"/>
  <c r="P696" i="2"/>
  <c r="AA695" i="2"/>
  <c r="AB695" i="2" s="1"/>
  <c r="Y695" i="2"/>
  <c r="Z695" i="2" s="1"/>
  <c r="U695" i="2"/>
  <c r="R695" i="2"/>
  <c r="P695" i="2"/>
  <c r="AA694" i="2"/>
  <c r="AB694" i="2" s="1"/>
  <c r="Y694" i="2"/>
  <c r="Z694" i="2" s="1"/>
  <c r="U694" i="2"/>
  <c r="R694" i="2"/>
  <c r="P694" i="2"/>
  <c r="AA693" i="2"/>
  <c r="AB693" i="2" s="1"/>
  <c r="Y693" i="2"/>
  <c r="Z693" i="2" s="1"/>
  <c r="U693" i="2"/>
  <c r="R693" i="2"/>
  <c r="P693" i="2"/>
  <c r="AA692" i="2"/>
  <c r="Y692" i="2"/>
  <c r="Z692" i="2" s="1"/>
  <c r="U692" i="2"/>
  <c r="R692" i="2"/>
  <c r="P692" i="2"/>
  <c r="AA691" i="2"/>
  <c r="Y691" i="2"/>
  <c r="Z691" i="2" s="1"/>
  <c r="U691" i="2"/>
  <c r="R691" i="2"/>
  <c r="P691" i="2"/>
  <c r="AA690" i="2"/>
  <c r="Y690" i="2"/>
  <c r="U690" i="2"/>
  <c r="R690" i="2"/>
  <c r="P690" i="2"/>
  <c r="AA689" i="2"/>
  <c r="Y689" i="2"/>
  <c r="Z689" i="2" s="1"/>
  <c r="U689" i="2"/>
  <c r="R689" i="2"/>
  <c r="P689" i="2"/>
  <c r="AA688" i="2"/>
  <c r="AB688" i="2" s="1"/>
  <c r="Y688" i="2"/>
  <c r="Z688" i="2" s="1"/>
  <c r="U688" i="2"/>
  <c r="R688" i="2"/>
  <c r="P688" i="2"/>
  <c r="AA687" i="2"/>
  <c r="AB687" i="2" s="1"/>
  <c r="Y687" i="2"/>
  <c r="Z687" i="2" s="1"/>
  <c r="U687" i="2"/>
  <c r="R687" i="2"/>
  <c r="P687" i="2"/>
  <c r="AA686" i="2"/>
  <c r="AB686" i="2" s="1"/>
  <c r="Y686" i="2"/>
  <c r="Z686" i="2" s="1"/>
  <c r="U686" i="2"/>
  <c r="R686" i="2"/>
  <c r="P686" i="2"/>
  <c r="AA685" i="2"/>
  <c r="AB685" i="2" s="1"/>
  <c r="Y685" i="2"/>
  <c r="Z685" i="2" s="1"/>
  <c r="U685" i="2"/>
  <c r="R685" i="2"/>
  <c r="P685" i="2"/>
  <c r="AA684" i="2"/>
  <c r="AB684" i="2" s="1"/>
  <c r="Y684" i="2"/>
  <c r="Z684" i="2" s="1"/>
  <c r="U684" i="2"/>
  <c r="R684" i="2"/>
  <c r="P684" i="2"/>
  <c r="AA683" i="2"/>
  <c r="AB683" i="2" s="1"/>
  <c r="Y683" i="2"/>
  <c r="Z683" i="2" s="1"/>
  <c r="U683" i="2"/>
  <c r="R683" i="2"/>
  <c r="P683" i="2"/>
  <c r="AA682" i="2"/>
  <c r="AB682" i="2" s="1"/>
  <c r="Y682" i="2"/>
  <c r="Z682" i="2" s="1"/>
  <c r="U682" i="2"/>
  <c r="R682" i="2"/>
  <c r="P682" i="2"/>
  <c r="AA681" i="2"/>
  <c r="AB681" i="2" s="1"/>
  <c r="Y681" i="2"/>
  <c r="Z681" i="2" s="1"/>
  <c r="U681" i="2"/>
  <c r="R681" i="2"/>
  <c r="P681" i="2"/>
  <c r="AA680" i="2"/>
  <c r="AB680" i="2" s="1"/>
  <c r="Y680" i="2"/>
  <c r="Z680" i="2" s="1"/>
  <c r="U680" i="2"/>
  <c r="R680" i="2"/>
  <c r="P680" i="2"/>
  <c r="AA679" i="2"/>
  <c r="Y679" i="2"/>
  <c r="Z679" i="2" s="1"/>
  <c r="U679" i="2"/>
  <c r="R679" i="2"/>
  <c r="P679" i="2"/>
  <c r="AA678" i="2"/>
  <c r="AB678" i="2" s="1"/>
  <c r="Y678" i="2"/>
  <c r="Z678" i="2" s="1"/>
  <c r="U678" i="2"/>
  <c r="R678" i="2"/>
  <c r="P678" i="2"/>
  <c r="AA677" i="2"/>
  <c r="AB677" i="2" s="1"/>
  <c r="Y677" i="2"/>
  <c r="Z677" i="2" s="1"/>
  <c r="U677" i="2"/>
  <c r="R677" i="2"/>
  <c r="P677" i="2"/>
  <c r="AA676" i="2"/>
  <c r="AB676" i="2" s="1"/>
  <c r="Y676" i="2"/>
  <c r="Z676" i="2" s="1"/>
  <c r="U676" i="2"/>
  <c r="R676" i="2"/>
  <c r="P676" i="2"/>
  <c r="AA675" i="2"/>
  <c r="AB675" i="2" s="1"/>
  <c r="Y675" i="2"/>
  <c r="Z675" i="2" s="1"/>
  <c r="U675" i="2"/>
  <c r="R675" i="2"/>
  <c r="P675" i="2"/>
  <c r="AA674" i="2"/>
  <c r="AB674" i="2" s="1"/>
  <c r="Y674" i="2"/>
  <c r="Z674" i="2" s="1"/>
  <c r="U674" i="2"/>
  <c r="R674" i="2"/>
  <c r="P674" i="2"/>
  <c r="AA673" i="2"/>
  <c r="Y673" i="2"/>
  <c r="Z673" i="2" s="1"/>
  <c r="U673" i="2"/>
  <c r="R673" i="2"/>
  <c r="P673" i="2"/>
  <c r="AA672" i="2"/>
  <c r="Y672" i="2"/>
  <c r="U672" i="2"/>
  <c r="R672" i="2"/>
  <c r="P672" i="2"/>
  <c r="AA671" i="2"/>
  <c r="Y671" i="2"/>
  <c r="Z671" i="2" s="1"/>
  <c r="U671" i="2"/>
  <c r="R671" i="2"/>
  <c r="P671" i="2"/>
  <c r="AA670" i="2"/>
  <c r="AB670" i="2" s="1"/>
  <c r="Y670" i="2"/>
  <c r="Z670" i="2" s="1"/>
  <c r="U670" i="2"/>
  <c r="R670" i="2"/>
  <c r="P670" i="2"/>
  <c r="AA669" i="2"/>
  <c r="AB669" i="2" s="1"/>
  <c r="Y669" i="2"/>
  <c r="Z669" i="2" s="1"/>
  <c r="U669" i="2"/>
  <c r="R669" i="2"/>
  <c r="P669" i="2"/>
  <c r="AA668" i="2"/>
  <c r="Y668" i="2"/>
  <c r="U668" i="2"/>
  <c r="R668" i="2"/>
  <c r="P668" i="2"/>
  <c r="AA667" i="2"/>
  <c r="AB667" i="2" s="1"/>
  <c r="Y667" i="2"/>
  <c r="Z667" i="2" s="1"/>
  <c r="U667" i="2"/>
  <c r="R667" i="2"/>
  <c r="P667" i="2"/>
  <c r="AA666" i="2"/>
  <c r="Y666" i="2"/>
  <c r="Z666" i="2" s="1"/>
  <c r="U666" i="2"/>
  <c r="R666" i="2"/>
  <c r="P666" i="2"/>
  <c r="AA665" i="2"/>
  <c r="Y665" i="2"/>
  <c r="Z665" i="2" s="1"/>
  <c r="U665" i="2"/>
  <c r="R665" i="2"/>
  <c r="P665" i="2"/>
  <c r="AA664" i="2"/>
  <c r="AB664" i="2" s="1"/>
  <c r="Y664" i="2"/>
  <c r="Z664" i="2" s="1"/>
  <c r="U664" i="2"/>
  <c r="R664" i="2"/>
  <c r="P664" i="2"/>
  <c r="AA663" i="2"/>
  <c r="AB663" i="2" s="1"/>
  <c r="Y663" i="2"/>
  <c r="Z663" i="2" s="1"/>
  <c r="U663" i="2"/>
  <c r="R663" i="2"/>
  <c r="P663" i="2"/>
  <c r="AA662" i="2"/>
  <c r="AB662" i="2" s="1"/>
  <c r="Y662" i="2"/>
  <c r="Z662" i="2" s="1"/>
  <c r="U662" i="2"/>
  <c r="R662" i="2"/>
  <c r="P662" i="2"/>
  <c r="AA661" i="2"/>
  <c r="AB661" i="2" s="1"/>
  <c r="Y661" i="2"/>
  <c r="Z661" i="2" s="1"/>
  <c r="U661" i="2"/>
  <c r="R661" i="2"/>
  <c r="P661" i="2"/>
  <c r="AA660" i="2"/>
  <c r="Y660" i="2"/>
  <c r="Z660" i="2" s="1"/>
  <c r="U660" i="2"/>
  <c r="R660" i="2"/>
  <c r="P660" i="2"/>
  <c r="AA659" i="2"/>
  <c r="AB659" i="2" s="1"/>
  <c r="Y659" i="2"/>
  <c r="Z659" i="2" s="1"/>
  <c r="U659" i="2"/>
  <c r="R659" i="2"/>
  <c r="P659" i="2"/>
  <c r="AA658" i="2"/>
  <c r="Y658" i="2"/>
  <c r="Z658" i="2" s="1"/>
  <c r="U658" i="2"/>
  <c r="R658" i="2"/>
  <c r="P658" i="2"/>
  <c r="AA657" i="2"/>
  <c r="AB657" i="2" s="1"/>
  <c r="Y657" i="2"/>
  <c r="Z657" i="2" s="1"/>
  <c r="U657" i="2"/>
  <c r="R657" i="2"/>
  <c r="P657" i="2"/>
  <c r="AA656" i="2"/>
  <c r="Y656" i="2"/>
  <c r="Z656" i="2" s="1"/>
  <c r="U656" i="2"/>
  <c r="R656" i="2"/>
  <c r="P656" i="2"/>
  <c r="AA655" i="2"/>
  <c r="AB655" i="2" s="1"/>
  <c r="Y655" i="2"/>
  <c r="Z655" i="2" s="1"/>
  <c r="U655" i="2"/>
  <c r="R655" i="2"/>
  <c r="P655" i="2"/>
  <c r="AA654" i="2"/>
  <c r="Y654" i="2"/>
  <c r="Z654" i="2" s="1"/>
  <c r="U654" i="2"/>
  <c r="R654" i="2"/>
  <c r="P654" i="2"/>
  <c r="AA653" i="2"/>
  <c r="Y653" i="2"/>
  <c r="Z653" i="2" s="1"/>
  <c r="U653" i="2"/>
  <c r="R653" i="2"/>
  <c r="P653" i="2"/>
  <c r="AA652" i="2"/>
  <c r="AB652" i="2" s="1"/>
  <c r="Y652" i="2"/>
  <c r="Z652" i="2" s="1"/>
  <c r="U652" i="2"/>
  <c r="R652" i="2"/>
  <c r="P652" i="2"/>
  <c r="AA651" i="2"/>
  <c r="AB651" i="2" s="1"/>
  <c r="Y651" i="2"/>
  <c r="Z651" i="2" s="1"/>
  <c r="U651" i="2"/>
  <c r="R651" i="2"/>
  <c r="P651" i="2"/>
  <c r="AA650" i="2"/>
  <c r="AB650" i="2" s="1"/>
  <c r="Y650" i="2"/>
  <c r="Z650" i="2" s="1"/>
  <c r="U650" i="2"/>
  <c r="R650" i="2"/>
  <c r="P650" i="2"/>
  <c r="AA649" i="2"/>
  <c r="AB649" i="2" s="1"/>
  <c r="Y649" i="2"/>
  <c r="Z649" i="2" s="1"/>
  <c r="U649" i="2"/>
  <c r="R649" i="2"/>
  <c r="P649" i="2"/>
  <c r="AA648" i="2"/>
  <c r="Y648" i="2"/>
  <c r="U648" i="2"/>
  <c r="R648" i="2"/>
  <c r="P648" i="2"/>
  <c r="AA647" i="2"/>
  <c r="Y647" i="2"/>
  <c r="Z647" i="2" s="1"/>
  <c r="U647" i="2"/>
  <c r="R647" i="2"/>
  <c r="P647" i="2"/>
  <c r="AA646" i="2"/>
  <c r="AB646" i="2" s="1"/>
  <c r="Y646" i="2"/>
  <c r="Z646" i="2" s="1"/>
  <c r="U646" i="2"/>
  <c r="R646" i="2"/>
  <c r="P646" i="2"/>
  <c r="AA645" i="2"/>
  <c r="AB645" i="2" s="1"/>
  <c r="Y645" i="2"/>
  <c r="Z645" i="2" s="1"/>
  <c r="U645" i="2"/>
  <c r="R645" i="2"/>
  <c r="P645" i="2"/>
  <c r="AA644" i="2"/>
  <c r="AB644" i="2" s="1"/>
  <c r="Y644" i="2"/>
  <c r="Z644" i="2" s="1"/>
  <c r="U644" i="2"/>
  <c r="R644" i="2"/>
  <c r="P644" i="2"/>
  <c r="AA643" i="2"/>
  <c r="AB643" i="2" s="1"/>
  <c r="Y643" i="2"/>
  <c r="Z643" i="2" s="1"/>
  <c r="U643" i="2"/>
  <c r="R643" i="2"/>
  <c r="P643" i="2"/>
  <c r="AA642" i="2"/>
  <c r="AB642" i="2" s="1"/>
  <c r="Y642" i="2"/>
  <c r="Z642" i="2" s="1"/>
  <c r="U642" i="2"/>
  <c r="R642" i="2"/>
  <c r="P642" i="2"/>
  <c r="AA641" i="2"/>
  <c r="AB641" i="2" s="1"/>
  <c r="Y641" i="2"/>
  <c r="Z641" i="2" s="1"/>
  <c r="U641" i="2"/>
  <c r="R641" i="2"/>
  <c r="P641" i="2"/>
  <c r="AA640" i="2"/>
  <c r="Y640" i="2"/>
  <c r="Z640" i="2" s="1"/>
  <c r="U640" i="2"/>
  <c r="R640" i="2"/>
  <c r="P640" i="2"/>
  <c r="AA639" i="2"/>
  <c r="Y639" i="2"/>
  <c r="Z639" i="2" s="1"/>
  <c r="U639" i="2"/>
  <c r="R639" i="2"/>
  <c r="P639" i="2"/>
  <c r="AA638" i="2"/>
  <c r="Y638" i="2"/>
  <c r="Z638" i="2" s="1"/>
  <c r="U638" i="2"/>
  <c r="R638" i="2"/>
  <c r="P638" i="2"/>
  <c r="AA637" i="2"/>
  <c r="AB637" i="2" s="1"/>
  <c r="Y637" i="2"/>
  <c r="Z637" i="2" s="1"/>
  <c r="U637" i="2"/>
  <c r="R637" i="2"/>
  <c r="P637" i="2"/>
  <c r="AA636" i="2"/>
  <c r="AB636" i="2" s="1"/>
  <c r="Y636" i="2"/>
  <c r="Z636" i="2" s="1"/>
  <c r="U636" i="2"/>
  <c r="R636" i="2"/>
  <c r="P636" i="2"/>
  <c r="AA635" i="2"/>
  <c r="AB635" i="2" s="1"/>
  <c r="Y635" i="2"/>
  <c r="Z635" i="2" s="1"/>
  <c r="U635" i="2"/>
  <c r="R635" i="2"/>
  <c r="P635" i="2"/>
  <c r="AA634" i="2"/>
  <c r="Y634" i="2"/>
  <c r="Z634" i="2" s="1"/>
  <c r="U634" i="2"/>
  <c r="R634" i="2"/>
  <c r="P634" i="2"/>
  <c r="AA633" i="2"/>
  <c r="AB633" i="2" s="1"/>
  <c r="Y633" i="2"/>
  <c r="Z633" i="2" s="1"/>
  <c r="U633" i="2"/>
  <c r="R633" i="2"/>
  <c r="P633" i="2"/>
  <c r="AA632" i="2"/>
  <c r="AB632" i="2" s="1"/>
  <c r="Y632" i="2"/>
  <c r="Z632" i="2" s="1"/>
  <c r="U632" i="2"/>
  <c r="R632" i="2"/>
  <c r="P632" i="2"/>
  <c r="AA631" i="2"/>
  <c r="AB631" i="2" s="1"/>
  <c r="Y631" i="2"/>
  <c r="Z631" i="2" s="1"/>
  <c r="U631" i="2"/>
  <c r="R631" i="2"/>
  <c r="P631" i="2"/>
  <c r="AA630" i="2"/>
  <c r="Y630" i="2"/>
  <c r="Z630" i="2" s="1"/>
  <c r="U630" i="2"/>
  <c r="R630" i="2"/>
  <c r="P630" i="2"/>
  <c r="AA629" i="2"/>
  <c r="Y629" i="2"/>
  <c r="Z629" i="2" s="1"/>
  <c r="U629" i="2"/>
  <c r="R629" i="2"/>
  <c r="P629" i="2"/>
  <c r="AA628" i="2"/>
  <c r="Y628" i="2"/>
  <c r="Z628" i="2" s="1"/>
  <c r="U628" i="2"/>
  <c r="R628" i="2"/>
  <c r="P628" i="2"/>
  <c r="AA627" i="2"/>
  <c r="AB627" i="2" s="1"/>
  <c r="Y627" i="2"/>
  <c r="Z627" i="2" s="1"/>
  <c r="U627" i="2"/>
  <c r="R627" i="2"/>
  <c r="P627" i="2"/>
  <c r="AA626" i="2"/>
  <c r="AB626" i="2" s="1"/>
  <c r="Y626" i="2"/>
  <c r="Z626" i="2" s="1"/>
  <c r="U626" i="2"/>
  <c r="R626" i="2"/>
  <c r="P626" i="2"/>
  <c r="AA625" i="2"/>
  <c r="Y625" i="2"/>
  <c r="Z625" i="2" s="1"/>
  <c r="U625" i="2"/>
  <c r="R625" i="2"/>
  <c r="P625" i="2"/>
  <c r="AA624" i="2"/>
  <c r="Y624" i="2"/>
  <c r="Z624" i="2" s="1"/>
  <c r="U624" i="2"/>
  <c r="R624" i="2"/>
  <c r="P624" i="2"/>
  <c r="AA623" i="2"/>
  <c r="AB623" i="2" s="1"/>
  <c r="Y623" i="2"/>
  <c r="Z623" i="2" s="1"/>
  <c r="U623" i="2"/>
  <c r="R623" i="2"/>
  <c r="P623" i="2"/>
  <c r="AA622" i="2"/>
  <c r="AB622" i="2" s="1"/>
  <c r="Y622" i="2"/>
  <c r="Z622" i="2" s="1"/>
  <c r="U622" i="2"/>
  <c r="R622" i="2"/>
  <c r="P622" i="2"/>
  <c r="AA621" i="2"/>
  <c r="AB621" i="2" s="1"/>
  <c r="Y621" i="2"/>
  <c r="Z621" i="2" s="1"/>
  <c r="U621" i="2"/>
  <c r="R621" i="2"/>
  <c r="P621" i="2"/>
  <c r="AA620" i="2"/>
  <c r="AB620" i="2" s="1"/>
  <c r="Y620" i="2"/>
  <c r="Z620" i="2" s="1"/>
  <c r="U620" i="2"/>
  <c r="R620" i="2"/>
  <c r="P620" i="2"/>
  <c r="AA619" i="2"/>
  <c r="AB619" i="2" s="1"/>
  <c r="Y619" i="2"/>
  <c r="Z619" i="2" s="1"/>
  <c r="U619" i="2"/>
  <c r="R619" i="2"/>
  <c r="P619" i="2"/>
  <c r="AA618" i="2"/>
  <c r="AB618" i="2" s="1"/>
  <c r="Y618" i="2"/>
  <c r="Z618" i="2" s="1"/>
  <c r="U618" i="2"/>
  <c r="R618" i="2"/>
  <c r="P618" i="2"/>
  <c r="AA617" i="2"/>
  <c r="AB617" i="2" s="1"/>
  <c r="Y617" i="2"/>
  <c r="Z617" i="2" s="1"/>
  <c r="U617" i="2"/>
  <c r="R617" i="2"/>
  <c r="P617" i="2"/>
  <c r="AA616" i="2"/>
  <c r="Y616" i="2"/>
  <c r="Z616" i="2" s="1"/>
  <c r="U616" i="2"/>
  <c r="R616" i="2"/>
  <c r="P616" i="2"/>
  <c r="AA615" i="2"/>
  <c r="Y615" i="2"/>
  <c r="Z615" i="2" s="1"/>
  <c r="U615" i="2"/>
  <c r="R615" i="2"/>
  <c r="P615" i="2"/>
  <c r="AA614" i="2"/>
  <c r="AB614" i="2" s="1"/>
  <c r="Y614" i="2"/>
  <c r="Z614" i="2" s="1"/>
  <c r="U614" i="2"/>
  <c r="R614" i="2"/>
  <c r="P614" i="2"/>
  <c r="AA613" i="2"/>
  <c r="Y613" i="2"/>
  <c r="U613" i="2"/>
  <c r="R613" i="2"/>
  <c r="P613" i="2"/>
  <c r="AA612" i="2"/>
  <c r="AB612" i="2" s="1"/>
  <c r="Y612" i="2"/>
  <c r="Z612" i="2" s="1"/>
  <c r="U612" i="2"/>
  <c r="R612" i="2"/>
  <c r="P612" i="2"/>
  <c r="AA611" i="2"/>
  <c r="AB611" i="2" s="1"/>
  <c r="Y611" i="2"/>
  <c r="Z611" i="2" s="1"/>
  <c r="U611" i="2"/>
  <c r="R611" i="2"/>
  <c r="P611" i="2"/>
  <c r="AA610" i="2"/>
  <c r="Y610" i="2"/>
  <c r="Z610" i="2" s="1"/>
  <c r="U610" i="2"/>
  <c r="R610" i="2"/>
  <c r="P610" i="2"/>
  <c r="AA609" i="2"/>
  <c r="AB609" i="2" s="1"/>
  <c r="Y609" i="2"/>
  <c r="Z609" i="2" s="1"/>
  <c r="U609" i="2"/>
  <c r="R609" i="2"/>
  <c r="P609" i="2"/>
  <c r="AA608" i="2"/>
  <c r="AB608" i="2" s="1"/>
  <c r="Y608" i="2"/>
  <c r="Z608" i="2" s="1"/>
  <c r="U608" i="2"/>
  <c r="R608" i="2"/>
  <c r="P608" i="2"/>
  <c r="AA607" i="2"/>
  <c r="AB607" i="2" s="1"/>
  <c r="Y607" i="2"/>
  <c r="Z607" i="2" s="1"/>
  <c r="U607" i="2"/>
  <c r="R607" i="2"/>
  <c r="P607" i="2"/>
  <c r="AA606" i="2"/>
  <c r="AB606" i="2" s="1"/>
  <c r="Y606" i="2"/>
  <c r="Z606" i="2" s="1"/>
  <c r="U606" i="2"/>
  <c r="R606" i="2"/>
  <c r="P606" i="2"/>
  <c r="AA605" i="2"/>
  <c r="AB605" i="2" s="1"/>
  <c r="Y605" i="2"/>
  <c r="Z605" i="2" s="1"/>
  <c r="U605" i="2"/>
  <c r="R605" i="2"/>
  <c r="P605" i="2"/>
  <c r="AA604" i="2"/>
  <c r="AB604" i="2" s="1"/>
  <c r="Y604" i="2"/>
  <c r="Z604" i="2" s="1"/>
  <c r="U604" i="2"/>
  <c r="R604" i="2"/>
  <c r="P604" i="2"/>
  <c r="AA603" i="2"/>
  <c r="Y603" i="2"/>
  <c r="Z603" i="2" s="1"/>
  <c r="U603" i="2"/>
  <c r="R603" i="2"/>
  <c r="P603" i="2"/>
  <c r="AA602" i="2"/>
  <c r="Y602" i="2"/>
  <c r="U602" i="2"/>
  <c r="R602" i="2"/>
  <c r="P602" i="2"/>
  <c r="AA601" i="2"/>
  <c r="Y601" i="2"/>
  <c r="Z601" i="2" s="1"/>
  <c r="U601" i="2"/>
  <c r="R601" i="2"/>
  <c r="P601" i="2"/>
  <c r="AA600" i="2"/>
  <c r="Y600" i="2"/>
  <c r="Z600" i="2" s="1"/>
  <c r="U600" i="2"/>
  <c r="R600" i="2"/>
  <c r="P600" i="2"/>
  <c r="AA599" i="2"/>
  <c r="AB599" i="2" s="1"/>
  <c r="Y599" i="2"/>
  <c r="Z599" i="2" s="1"/>
  <c r="U599" i="2"/>
  <c r="R599" i="2"/>
  <c r="P599" i="2"/>
  <c r="AA598" i="2"/>
  <c r="AB598" i="2" s="1"/>
  <c r="Y598" i="2"/>
  <c r="Z598" i="2" s="1"/>
  <c r="U598" i="2"/>
  <c r="R598" i="2"/>
  <c r="P598" i="2"/>
  <c r="AA597" i="2"/>
  <c r="Y597" i="2"/>
  <c r="Z597" i="2" s="1"/>
  <c r="U597" i="2"/>
  <c r="R597" i="2"/>
  <c r="P597" i="2"/>
  <c r="AA596" i="2"/>
  <c r="AB596" i="2" s="1"/>
  <c r="Y596" i="2"/>
  <c r="Z596" i="2" s="1"/>
  <c r="U596" i="2"/>
  <c r="R596" i="2"/>
  <c r="P596" i="2"/>
  <c r="AA595" i="2"/>
  <c r="AB595" i="2" s="1"/>
  <c r="Y595" i="2"/>
  <c r="Z595" i="2" s="1"/>
  <c r="U595" i="2"/>
  <c r="R595" i="2"/>
  <c r="P595" i="2"/>
  <c r="AA594" i="2"/>
  <c r="AB594" i="2" s="1"/>
  <c r="Y594" i="2"/>
  <c r="Z594" i="2" s="1"/>
  <c r="U594" i="2"/>
  <c r="R594" i="2"/>
  <c r="P594" i="2"/>
  <c r="AA593" i="2"/>
  <c r="Y593" i="2"/>
  <c r="Z593" i="2" s="1"/>
  <c r="U593" i="2"/>
  <c r="R593" i="2"/>
  <c r="P593" i="2"/>
  <c r="AA592" i="2"/>
  <c r="AB592" i="2" s="1"/>
  <c r="Y592" i="2"/>
  <c r="Z592" i="2" s="1"/>
  <c r="U592" i="2"/>
  <c r="R592" i="2"/>
  <c r="P592" i="2"/>
  <c r="AA591" i="2"/>
  <c r="Y591" i="2"/>
  <c r="Z591" i="2" s="1"/>
  <c r="U591" i="2"/>
  <c r="R591" i="2"/>
  <c r="P591" i="2"/>
  <c r="AA590" i="2"/>
  <c r="AB590" i="2" s="1"/>
  <c r="Y590" i="2"/>
  <c r="Z590" i="2" s="1"/>
  <c r="U590" i="2"/>
  <c r="R590" i="2"/>
  <c r="P590" i="2"/>
  <c r="AA589" i="2"/>
  <c r="AB589" i="2" s="1"/>
  <c r="Y589" i="2"/>
  <c r="Z589" i="2" s="1"/>
  <c r="U589" i="2"/>
  <c r="R589" i="2"/>
  <c r="P589" i="2"/>
  <c r="AA588" i="2"/>
  <c r="AB588" i="2" s="1"/>
  <c r="Y588" i="2"/>
  <c r="Z588" i="2" s="1"/>
  <c r="U588" i="2"/>
  <c r="R588" i="2"/>
  <c r="P588" i="2"/>
  <c r="AA587" i="2"/>
  <c r="AB587" i="2" s="1"/>
  <c r="Y587" i="2"/>
  <c r="Z587" i="2" s="1"/>
  <c r="U587" i="2"/>
  <c r="R587" i="2"/>
  <c r="P587" i="2"/>
  <c r="AA586" i="2"/>
  <c r="AB586" i="2" s="1"/>
  <c r="Y586" i="2"/>
  <c r="Z586" i="2" s="1"/>
  <c r="U586" i="2"/>
  <c r="R586" i="2"/>
  <c r="P586" i="2"/>
  <c r="AA585" i="2"/>
  <c r="Y585" i="2"/>
  <c r="Z585" i="2" s="1"/>
  <c r="U585" i="2"/>
  <c r="R585" i="2"/>
  <c r="P585" i="2"/>
  <c r="AA584" i="2"/>
  <c r="AB584" i="2" s="1"/>
  <c r="Y584" i="2"/>
  <c r="Z584" i="2" s="1"/>
  <c r="U584" i="2"/>
  <c r="R584" i="2"/>
  <c r="P584" i="2"/>
  <c r="AA583" i="2"/>
  <c r="AB583" i="2" s="1"/>
  <c r="Y583" i="2"/>
  <c r="Z583" i="2" s="1"/>
  <c r="U583" i="2"/>
  <c r="R583" i="2"/>
  <c r="P583" i="2"/>
  <c r="AA582" i="2"/>
  <c r="AB582" i="2" s="1"/>
  <c r="Y582" i="2"/>
  <c r="Z582" i="2" s="1"/>
  <c r="U582" i="2"/>
  <c r="R582" i="2"/>
  <c r="P582" i="2"/>
  <c r="AA581" i="2"/>
  <c r="AB581" i="2" s="1"/>
  <c r="Y581" i="2"/>
  <c r="Z581" i="2" s="1"/>
  <c r="U581" i="2"/>
  <c r="R581" i="2"/>
  <c r="P581" i="2"/>
  <c r="AA580" i="2"/>
  <c r="AB580" i="2" s="1"/>
  <c r="Y580" i="2"/>
  <c r="Z580" i="2" s="1"/>
  <c r="U580" i="2"/>
  <c r="R580" i="2"/>
  <c r="P580" i="2"/>
  <c r="AA579" i="2"/>
  <c r="AB579" i="2" s="1"/>
  <c r="Y579" i="2"/>
  <c r="Z579" i="2" s="1"/>
  <c r="U579" i="2"/>
  <c r="R579" i="2"/>
  <c r="P579" i="2"/>
  <c r="AA578" i="2"/>
  <c r="Y578" i="2"/>
  <c r="Z578" i="2" s="1"/>
  <c r="U578" i="2"/>
  <c r="R578" i="2"/>
  <c r="P578" i="2"/>
  <c r="AA577" i="2"/>
  <c r="AB577" i="2" s="1"/>
  <c r="Y577" i="2"/>
  <c r="Z577" i="2" s="1"/>
  <c r="U577" i="2"/>
  <c r="R577" i="2"/>
  <c r="P577" i="2"/>
  <c r="AA576" i="2"/>
  <c r="AB576" i="2" s="1"/>
  <c r="Y576" i="2"/>
  <c r="Z576" i="2" s="1"/>
  <c r="U576" i="2"/>
  <c r="R576" i="2"/>
  <c r="P576" i="2"/>
  <c r="AA575" i="2"/>
  <c r="Y575" i="2"/>
  <c r="Z575" i="2" s="1"/>
  <c r="U575" i="2"/>
  <c r="R575" i="2"/>
  <c r="P575" i="2"/>
  <c r="AA574" i="2"/>
  <c r="AB574" i="2" s="1"/>
  <c r="Y574" i="2"/>
  <c r="Z574" i="2" s="1"/>
  <c r="U574" i="2"/>
  <c r="R574" i="2"/>
  <c r="P574" i="2"/>
  <c r="AA573" i="2"/>
  <c r="AB573" i="2" s="1"/>
  <c r="Y573" i="2"/>
  <c r="Z573" i="2" s="1"/>
  <c r="U573" i="2"/>
  <c r="R573" i="2"/>
  <c r="P573" i="2"/>
  <c r="AA572" i="2"/>
  <c r="AB572" i="2" s="1"/>
  <c r="Y572" i="2"/>
  <c r="Z572" i="2" s="1"/>
  <c r="U572" i="2"/>
  <c r="R572" i="2"/>
  <c r="P572" i="2"/>
  <c r="AA571" i="2"/>
  <c r="Y571" i="2"/>
  <c r="Z571" i="2" s="1"/>
  <c r="U571" i="2"/>
  <c r="R571" i="2"/>
  <c r="P571" i="2"/>
  <c r="AA570" i="2"/>
  <c r="AB570" i="2" s="1"/>
  <c r="Y570" i="2"/>
  <c r="Z570" i="2" s="1"/>
  <c r="U570" i="2"/>
  <c r="R570" i="2"/>
  <c r="P570" i="2"/>
  <c r="AA569" i="2"/>
  <c r="AB569" i="2" s="1"/>
  <c r="Y569" i="2"/>
  <c r="Z569" i="2" s="1"/>
  <c r="U569" i="2"/>
  <c r="R569" i="2"/>
  <c r="P569" i="2"/>
  <c r="AA568" i="2"/>
  <c r="AB568" i="2" s="1"/>
  <c r="Y568" i="2"/>
  <c r="Z568" i="2" s="1"/>
  <c r="U568" i="2"/>
  <c r="R568" i="2"/>
  <c r="P568" i="2"/>
  <c r="AA567" i="2"/>
  <c r="Y567" i="2"/>
  <c r="Z567" i="2" s="1"/>
  <c r="U567" i="2"/>
  <c r="R567" i="2"/>
  <c r="P567" i="2"/>
  <c r="AA566" i="2"/>
  <c r="AB566" i="2" s="1"/>
  <c r="Y566" i="2"/>
  <c r="Z566" i="2" s="1"/>
  <c r="U566" i="2"/>
  <c r="R566" i="2"/>
  <c r="P566" i="2"/>
  <c r="AA565" i="2"/>
  <c r="AB565" i="2" s="1"/>
  <c r="Y565" i="2"/>
  <c r="Z565" i="2" s="1"/>
  <c r="U565" i="2"/>
  <c r="R565" i="2"/>
  <c r="P565" i="2"/>
  <c r="AA564" i="2"/>
  <c r="Y564" i="2"/>
  <c r="U564" i="2"/>
  <c r="R564" i="2"/>
  <c r="P564" i="2"/>
  <c r="AA563" i="2"/>
  <c r="Y563" i="2"/>
  <c r="Z563" i="2" s="1"/>
  <c r="U563" i="2"/>
  <c r="R563" i="2"/>
  <c r="P563" i="2"/>
  <c r="AA562" i="2"/>
  <c r="AB562" i="2" s="1"/>
  <c r="Y562" i="2"/>
  <c r="Z562" i="2" s="1"/>
  <c r="U562" i="2"/>
  <c r="R562" i="2"/>
  <c r="P562" i="2"/>
  <c r="AA561" i="2"/>
  <c r="AB561" i="2" s="1"/>
  <c r="Y561" i="2"/>
  <c r="Z561" i="2" s="1"/>
  <c r="U561" i="2"/>
  <c r="R561" i="2"/>
  <c r="P561" i="2"/>
  <c r="AA560" i="2"/>
  <c r="AB560" i="2" s="1"/>
  <c r="Y560" i="2"/>
  <c r="Z560" i="2" s="1"/>
  <c r="U560" i="2"/>
  <c r="R560" i="2"/>
  <c r="P560" i="2"/>
  <c r="AA559" i="2"/>
  <c r="AB559" i="2" s="1"/>
  <c r="Y559" i="2"/>
  <c r="Z559" i="2" s="1"/>
  <c r="U559" i="2"/>
  <c r="R559" i="2"/>
  <c r="P559" i="2"/>
  <c r="AA558" i="2"/>
  <c r="Y558" i="2"/>
  <c r="Z558" i="2" s="1"/>
  <c r="U558" i="2"/>
  <c r="R558" i="2"/>
  <c r="P558" i="2"/>
  <c r="AA557" i="2"/>
  <c r="AB557" i="2" s="1"/>
  <c r="Y557" i="2"/>
  <c r="Z557" i="2" s="1"/>
  <c r="U557" i="2"/>
  <c r="R557" i="2"/>
  <c r="P557" i="2"/>
  <c r="AA556" i="2"/>
  <c r="AB556" i="2" s="1"/>
  <c r="Y556" i="2"/>
  <c r="Z556" i="2" s="1"/>
  <c r="U556" i="2"/>
  <c r="R556" i="2"/>
  <c r="P556" i="2"/>
  <c r="AA555" i="2"/>
  <c r="AB555" i="2" s="1"/>
  <c r="Y555" i="2"/>
  <c r="Z555" i="2" s="1"/>
  <c r="U555" i="2"/>
  <c r="R555" i="2"/>
  <c r="P555" i="2"/>
  <c r="AA554" i="2"/>
  <c r="AB554" i="2" s="1"/>
  <c r="Y554" i="2"/>
  <c r="Z554" i="2" s="1"/>
  <c r="U554" i="2"/>
  <c r="R554" i="2"/>
  <c r="P554" i="2"/>
  <c r="AA553" i="2"/>
  <c r="AB553" i="2" s="1"/>
  <c r="Y553" i="2"/>
  <c r="Z553" i="2" s="1"/>
  <c r="U553" i="2"/>
  <c r="R553" i="2"/>
  <c r="P553" i="2"/>
  <c r="AA552" i="2"/>
  <c r="AB552" i="2" s="1"/>
  <c r="Y552" i="2"/>
  <c r="Z552" i="2" s="1"/>
  <c r="U552" i="2"/>
  <c r="R552" i="2"/>
  <c r="P552" i="2"/>
  <c r="AA551" i="2"/>
  <c r="Y551" i="2"/>
  <c r="Z551" i="2" s="1"/>
  <c r="U551" i="2"/>
  <c r="R551" i="2"/>
  <c r="P551" i="2"/>
  <c r="AA550" i="2"/>
  <c r="AB550" i="2" s="1"/>
  <c r="Y550" i="2"/>
  <c r="Z550" i="2" s="1"/>
  <c r="U550" i="2"/>
  <c r="R550" i="2"/>
  <c r="P550" i="2"/>
  <c r="AA549" i="2"/>
  <c r="Y549" i="2"/>
  <c r="Z549" i="2" s="1"/>
  <c r="U549" i="2"/>
  <c r="R549" i="2"/>
  <c r="P549" i="2"/>
  <c r="AA548" i="2"/>
  <c r="AB548" i="2" s="1"/>
  <c r="Y548" i="2"/>
  <c r="Z548" i="2" s="1"/>
  <c r="U548" i="2"/>
  <c r="R548" i="2"/>
  <c r="P548" i="2"/>
  <c r="AA547" i="2"/>
  <c r="Y547" i="2"/>
  <c r="Z547" i="2" s="1"/>
  <c r="U547" i="2"/>
  <c r="R547" i="2"/>
  <c r="P547" i="2"/>
  <c r="AA546" i="2"/>
  <c r="AB546" i="2" s="1"/>
  <c r="Y546" i="2"/>
  <c r="Z546" i="2" s="1"/>
  <c r="U546" i="2"/>
  <c r="R546" i="2"/>
  <c r="P546" i="2"/>
  <c r="AA545" i="2"/>
  <c r="AB545" i="2" s="1"/>
  <c r="Y545" i="2"/>
  <c r="Z545" i="2" s="1"/>
  <c r="U545" i="2"/>
  <c r="R545" i="2"/>
  <c r="P545" i="2"/>
  <c r="AA544" i="2"/>
  <c r="AB544" i="2" s="1"/>
  <c r="Y544" i="2"/>
  <c r="Z544" i="2" s="1"/>
  <c r="U544" i="2"/>
  <c r="R544" i="2"/>
  <c r="P544" i="2"/>
  <c r="AA543" i="2"/>
  <c r="AB543" i="2" s="1"/>
  <c r="Y543" i="2"/>
  <c r="Z543" i="2" s="1"/>
  <c r="U543" i="2"/>
  <c r="R543" i="2"/>
  <c r="P543" i="2"/>
  <c r="AA542" i="2"/>
  <c r="AB542" i="2" s="1"/>
  <c r="Y542" i="2"/>
  <c r="Z542" i="2" s="1"/>
  <c r="U542" i="2"/>
  <c r="R542" i="2"/>
  <c r="P542" i="2"/>
  <c r="AA541" i="2"/>
  <c r="AB541" i="2" s="1"/>
  <c r="Y541" i="2"/>
  <c r="Z541" i="2" s="1"/>
  <c r="U541" i="2"/>
  <c r="R541" i="2"/>
  <c r="P541" i="2"/>
  <c r="AA540" i="2"/>
  <c r="AB540" i="2" s="1"/>
  <c r="Y540" i="2"/>
  <c r="Z540" i="2" s="1"/>
  <c r="U540" i="2"/>
  <c r="R540" i="2"/>
  <c r="P540" i="2"/>
  <c r="AA539" i="2"/>
  <c r="Y539" i="2"/>
  <c r="U539" i="2"/>
  <c r="R539" i="2"/>
  <c r="P539" i="2"/>
  <c r="AA538" i="2"/>
  <c r="Y538" i="2"/>
  <c r="Z538" i="2" s="1"/>
  <c r="U538" i="2"/>
  <c r="R538" i="2"/>
  <c r="P538" i="2"/>
  <c r="AA537" i="2"/>
  <c r="AB537" i="2" s="1"/>
  <c r="Y537" i="2"/>
  <c r="Z537" i="2" s="1"/>
  <c r="U537" i="2"/>
  <c r="R537" i="2"/>
  <c r="P537" i="2"/>
  <c r="AA536" i="2"/>
  <c r="AB536" i="2" s="1"/>
  <c r="Y536" i="2"/>
  <c r="Z536" i="2" s="1"/>
  <c r="U536" i="2"/>
  <c r="R536" i="2"/>
  <c r="P536" i="2"/>
  <c r="AA535" i="2"/>
  <c r="Y535" i="2"/>
  <c r="Z535" i="2" s="1"/>
  <c r="U535" i="2"/>
  <c r="R535" i="2"/>
  <c r="P535" i="2"/>
  <c r="AA534" i="2"/>
  <c r="AB534" i="2" s="1"/>
  <c r="Y534" i="2"/>
  <c r="Z534" i="2" s="1"/>
  <c r="U534" i="2"/>
  <c r="R534" i="2"/>
  <c r="P534" i="2"/>
  <c r="AA533" i="2"/>
  <c r="AB533" i="2" s="1"/>
  <c r="Y533" i="2"/>
  <c r="Z533" i="2" s="1"/>
  <c r="U533" i="2"/>
  <c r="R533" i="2"/>
  <c r="P533" i="2"/>
  <c r="AA532" i="2"/>
  <c r="Y532" i="2"/>
  <c r="Z532" i="2" s="1"/>
  <c r="U532" i="2"/>
  <c r="R532" i="2"/>
  <c r="P532" i="2"/>
  <c r="AA531" i="2"/>
  <c r="AB531" i="2" s="1"/>
  <c r="Y531" i="2"/>
  <c r="Z531" i="2" s="1"/>
  <c r="U531" i="2"/>
  <c r="R531" i="2"/>
  <c r="P531" i="2"/>
  <c r="AA530" i="2"/>
  <c r="Y530" i="2"/>
  <c r="Z530" i="2" s="1"/>
  <c r="U530" i="2"/>
  <c r="R530" i="2"/>
  <c r="P530" i="2"/>
  <c r="AA529" i="2"/>
  <c r="Y529" i="2"/>
  <c r="Z529" i="2" s="1"/>
  <c r="U529" i="2"/>
  <c r="R529" i="2"/>
  <c r="P529" i="2"/>
  <c r="AA528" i="2"/>
  <c r="Y528" i="2"/>
  <c r="U528" i="2"/>
  <c r="R528" i="2"/>
  <c r="P528" i="2"/>
  <c r="AA527" i="2"/>
  <c r="Y527" i="2"/>
  <c r="Z527" i="2" s="1"/>
  <c r="U527" i="2"/>
  <c r="R527" i="2"/>
  <c r="P527" i="2"/>
  <c r="AA526" i="2"/>
  <c r="AB526" i="2" s="1"/>
  <c r="Y526" i="2"/>
  <c r="Z526" i="2" s="1"/>
  <c r="U526" i="2"/>
  <c r="R526" i="2"/>
  <c r="P526" i="2"/>
  <c r="AA525" i="2"/>
  <c r="AB525" i="2" s="1"/>
  <c r="Y525" i="2"/>
  <c r="Z525" i="2" s="1"/>
  <c r="U525" i="2"/>
  <c r="R525" i="2"/>
  <c r="P525" i="2"/>
  <c r="AA524" i="2"/>
  <c r="AB524" i="2" s="1"/>
  <c r="Y524" i="2"/>
  <c r="Z524" i="2" s="1"/>
  <c r="U524" i="2"/>
  <c r="R524" i="2"/>
  <c r="P524" i="2"/>
  <c r="AA523" i="2"/>
  <c r="AB523" i="2" s="1"/>
  <c r="Y523" i="2"/>
  <c r="Z523" i="2" s="1"/>
  <c r="U523" i="2"/>
  <c r="R523" i="2"/>
  <c r="P523" i="2"/>
  <c r="AA522" i="2"/>
  <c r="AB522" i="2" s="1"/>
  <c r="Y522" i="2"/>
  <c r="Z522" i="2" s="1"/>
  <c r="U522" i="2"/>
  <c r="R522" i="2"/>
  <c r="P522" i="2"/>
  <c r="AA521" i="2"/>
  <c r="AB521" i="2" s="1"/>
  <c r="Y521" i="2"/>
  <c r="Z521" i="2" s="1"/>
  <c r="U521" i="2"/>
  <c r="R521" i="2"/>
  <c r="P521" i="2"/>
  <c r="AA520" i="2"/>
  <c r="Y520" i="2"/>
  <c r="U520" i="2"/>
  <c r="R520" i="2"/>
  <c r="P520" i="2"/>
  <c r="AA519" i="2"/>
  <c r="AB519" i="2" s="1"/>
  <c r="Y519" i="2"/>
  <c r="Z519" i="2" s="1"/>
  <c r="U519" i="2"/>
  <c r="R519" i="2"/>
  <c r="P519" i="2"/>
  <c r="AA518" i="2"/>
  <c r="Y518" i="2"/>
  <c r="Z518" i="2" s="1"/>
  <c r="U518" i="2"/>
  <c r="R518" i="2"/>
  <c r="P518" i="2"/>
  <c r="AA517" i="2"/>
  <c r="AB517" i="2" s="1"/>
  <c r="Y517" i="2"/>
  <c r="Z517" i="2" s="1"/>
  <c r="U517" i="2"/>
  <c r="R517" i="2"/>
  <c r="P517" i="2"/>
  <c r="AA516" i="2"/>
  <c r="Y516" i="2"/>
  <c r="Z516" i="2" s="1"/>
  <c r="U516" i="2"/>
  <c r="R516" i="2"/>
  <c r="P516" i="2"/>
  <c r="AA515" i="2"/>
  <c r="AB515" i="2" s="1"/>
  <c r="Y515" i="2"/>
  <c r="Z515" i="2" s="1"/>
  <c r="U515" i="2"/>
  <c r="R515" i="2"/>
  <c r="P515" i="2"/>
  <c r="AA514" i="2"/>
  <c r="AB514" i="2" s="1"/>
  <c r="Y514" i="2"/>
  <c r="Z514" i="2" s="1"/>
  <c r="U514" i="2"/>
  <c r="R514" i="2"/>
  <c r="P514" i="2"/>
  <c r="AA513" i="2"/>
  <c r="Y513" i="2"/>
  <c r="Z513" i="2" s="1"/>
  <c r="U513" i="2"/>
  <c r="R513" i="2"/>
  <c r="P513" i="2"/>
  <c r="AA512" i="2"/>
  <c r="AB512" i="2" s="1"/>
  <c r="Y512" i="2"/>
  <c r="Z512" i="2" s="1"/>
  <c r="U512" i="2"/>
  <c r="R512" i="2"/>
  <c r="P512" i="2"/>
  <c r="AA511" i="2"/>
  <c r="AB511" i="2" s="1"/>
  <c r="Y511" i="2"/>
  <c r="Z511" i="2" s="1"/>
  <c r="U511" i="2"/>
  <c r="R511" i="2"/>
  <c r="P511" i="2"/>
  <c r="AA510" i="2"/>
  <c r="Y510" i="2"/>
  <c r="U510" i="2"/>
  <c r="R510" i="2"/>
  <c r="P510" i="2"/>
  <c r="AA509" i="2"/>
  <c r="AB509" i="2" s="1"/>
  <c r="Y509" i="2"/>
  <c r="Z509" i="2" s="1"/>
  <c r="U509" i="2"/>
  <c r="R509" i="2"/>
  <c r="P509" i="2"/>
  <c r="AA508" i="2"/>
  <c r="Y508" i="2"/>
  <c r="Z508" i="2" s="1"/>
  <c r="U508" i="2"/>
  <c r="R508" i="2"/>
  <c r="P508" i="2"/>
  <c r="AA507" i="2"/>
  <c r="Y507" i="2"/>
  <c r="Z507" i="2" s="1"/>
  <c r="U507" i="2"/>
  <c r="R507" i="2"/>
  <c r="P507" i="2"/>
  <c r="AA506" i="2"/>
  <c r="AB506" i="2" s="1"/>
  <c r="Y506" i="2"/>
  <c r="Z506" i="2" s="1"/>
  <c r="U506" i="2"/>
  <c r="R506" i="2"/>
  <c r="P506" i="2"/>
  <c r="AA505" i="2"/>
  <c r="Y505" i="2"/>
  <c r="Z505" i="2" s="1"/>
  <c r="U505" i="2"/>
  <c r="R505" i="2"/>
  <c r="P505" i="2"/>
  <c r="AA504" i="2"/>
  <c r="AB504" i="2" s="1"/>
  <c r="Y504" i="2"/>
  <c r="Z504" i="2" s="1"/>
  <c r="U504" i="2"/>
  <c r="R504" i="2"/>
  <c r="P504" i="2"/>
  <c r="AA503" i="2"/>
  <c r="AB503" i="2" s="1"/>
  <c r="Y503" i="2"/>
  <c r="Z503" i="2" s="1"/>
  <c r="U503" i="2"/>
  <c r="R503" i="2"/>
  <c r="P503" i="2"/>
  <c r="AA502" i="2"/>
  <c r="AB502" i="2" s="1"/>
  <c r="Y502" i="2"/>
  <c r="Z502" i="2" s="1"/>
  <c r="U502" i="2"/>
  <c r="R502" i="2"/>
  <c r="P502" i="2"/>
  <c r="AA501" i="2"/>
  <c r="AB501" i="2" s="1"/>
  <c r="Y501" i="2"/>
  <c r="Z501" i="2" s="1"/>
  <c r="U501" i="2"/>
  <c r="R501" i="2"/>
  <c r="P501" i="2"/>
  <c r="AA500" i="2"/>
  <c r="AB500" i="2" s="1"/>
  <c r="Y500" i="2"/>
  <c r="Z500" i="2" s="1"/>
  <c r="U500" i="2"/>
  <c r="R500" i="2"/>
  <c r="P500" i="2"/>
  <c r="AA499" i="2"/>
  <c r="AB499" i="2" s="1"/>
  <c r="Y499" i="2"/>
  <c r="Z499" i="2" s="1"/>
  <c r="U499" i="2"/>
  <c r="R499" i="2"/>
  <c r="P499" i="2"/>
  <c r="AA498" i="2"/>
  <c r="AB498" i="2" s="1"/>
  <c r="Y498" i="2"/>
  <c r="Z498" i="2" s="1"/>
  <c r="U498" i="2"/>
  <c r="R498" i="2"/>
  <c r="P498" i="2"/>
  <c r="AA497" i="2"/>
  <c r="AB497" i="2" s="1"/>
  <c r="Y497" i="2"/>
  <c r="Z497" i="2" s="1"/>
  <c r="U497" i="2"/>
  <c r="R497" i="2"/>
  <c r="P497" i="2"/>
  <c r="AA496" i="2"/>
  <c r="Y496" i="2"/>
  <c r="Z496" i="2" s="1"/>
  <c r="U496" i="2"/>
  <c r="R496" i="2"/>
  <c r="P496" i="2"/>
  <c r="AA495" i="2"/>
  <c r="AB495" i="2" s="1"/>
  <c r="Y495" i="2"/>
  <c r="Z495" i="2" s="1"/>
  <c r="U495" i="2"/>
  <c r="R495" i="2"/>
  <c r="P495" i="2"/>
  <c r="AA494" i="2"/>
  <c r="AB494" i="2" s="1"/>
  <c r="Y494" i="2"/>
  <c r="Z494" i="2" s="1"/>
  <c r="U494" i="2"/>
  <c r="R494" i="2"/>
  <c r="P494" i="2"/>
  <c r="AA493" i="2"/>
  <c r="AB493" i="2" s="1"/>
  <c r="Y493" i="2"/>
  <c r="Z493" i="2" s="1"/>
  <c r="U493" i="2"/>
  <c r="R493" i="2"/>
  <c r="P493" i="2"/>
  <c r="AA492" i="2"/>
  <c r="AB492" i="2" s="1"/>
  <c r="Y492" i="2"/>
  <c r="Z492" i="2" s="1"/>
  <c r="U492" i="2"/>
  <c r="R492" i="2"/>
  <c r="P492" i="2"/>
  <c r="AA491" i="2"/>
  <c r="Y491" i="2"/>
  <c r="Z491" i="2" s="1"/>
  <c r="U491" i="2"/>
  <c r="R491" i="2"/>
  <c r="P491" i="2"/>
  <c r="AA490" i="2"/>
  <c r="Y490" i="2"/>
  <c r="Z490" i="2" s="1"/>
  <c r="U490" i="2"/>
  <c r="R490" i="2"/>
  <c r="P490" i="2"/>
  <c r="AA489" i="2"/>
  <c r="AB489" i="2" s="1"/>
  <c r="Y489" i="2"/>
  <c r="Z489" i="2" s="1"/>
  <c r="U489" i="2"/>
  <c r="R489" i="2"/>
  <c r="P489" i="2"/>
  <c r="AA488" i="2"/>
  <c r="AB488" i="2" s="1"/>
  <c r="Y488" i="2"/>
  <c r="Z488" i="2" s="1"/>
  <c r="U488" i="2"/>
  <c r="R488" i="2"/>
  <c r="P488" i="2"/>
  <c r="AA487" i="2"/>
  <c r="Y487" i="2"/>
  <c r="Z487" i="2" s="1"/>
  <c r="U487" i="2"/>
  <c r="R487" i="2"/>
  <c r="P487" i="2"/>
  <c r="AA486" i="2"/>
  <c r="AB486" i="2" s="1"/>
  <c r="Y486" i="2"/>
  <c r="Z486" i="2" s="1"/>
  <c r="U486" i="2"/>
  <c r="R486" i="2"/>
  <c r="P486" i="2"/>
  <c r="AA485" i="2"/>
  <c r="AB485" i="2" s="1"/>
  <c r="Y485" i="2"/>
  <c r="Z485" i="2" s="1"/>
  <c r="U485" i="2"/>
  <c r="R485" i="2"/>
  <c r="P485" i="2"/>
  <c r="AA484" i="2"/>
  <c r="Y484" i="2"/>
  <c r="Z484" i="2" s="1"/>
  <c r="U484" i="2"/>
  <c r="R484" i="2"/>
  <c r="P484" i="2"/>
  <c r="AA483" i="2"/>
  <c r="Y483" i="2"/>
  <c r="Z483" i="2" s="1"/>
  <c r="U483" i="2"/>
  <c r="R483" i="2"/>
  <c r="P483" i="2"/>
  <c r="AA482" i="2"/>
  <c r="Y482" i="2"/>
  <c r="Z482" i="2" s="1"/>
  <c r="U482" i="2"/>
  <c r="R482" i="2"/>
  <c r="P482" i="2"/>
  <c r="AA481" i="2"/>
  <c r="AB481" i="2" s="1"/>
  <c r="Y481" i="2"/>
  <c r="Z481" i="2" s="1"/>
  <c r="U481" i="2"/>
  <c r="R481" i="2"/>
  <c r="P481" i="2"/>
  <c r="AA480" i="2"/>
  <c r="AB480" i="2" s="1"/>
  <c r="Y480" i="2"/>
  <c r="Z480" i="2" s="1"/>
  <c r="U480" i="2"/>
  <c r="R480" i="2"/>
  <c r="P480" i="2"/>
  <c r="AA479" i="2"/>
  <c r="Y479" i="2"/>
  <c r="Z479" i="2" s="1"/>
  <c r="U479" i="2"/>
  <c r="R479" i="2"/>
  <c r="P479" i="2"/>
  <c r="AA478" i="2"/>
  <c r="AB478" i="2" s="1"/>
  <c r="Y478" i="2"/>
  <c r="Z478" i="2" s="1"/>
  <c r="U478" i="2"/>
  <c r="R478" i="2"/>
  <c r="P478" i="2"/>
  <c r="AA477" i="2"/>
  <c r="AB477" i="2" s="1"/>
  <c r="Y477" i="2"/>
  <c r="Z477" i="2" s="1"/>
  <c r="U477" i="2"/>
  <c r="R477" i="2"/>
  <c r="P477" i="2"/>
  <c r="AA476" i="2"/>
  <c r="Y476" i="2"/>
  <c r="Z476" i="2" s="1"/>
  <c r="U476" i="2"/>
  <c r="R476" i="2"/>
  <c r="P476" i="2"/>
  <c r="AA475" i="2"/>
  <c r="Y475" i="2"/>
  <c r="Z475" i="2" s="1"/>
  <c r="U475" i="2"/>
  <c r="R475" i="2"/>
  <c r="P475" i="2"/>
  <c r="AA474" i="2"/>
  <c r="Y474" i="2"/>
  <c r="Z474" i="2" s="1"/>
  <c r="U474" i="2"/>
  <c r="R474" i="2"/>
  <c r="P474" i="2"/>
  <c r="AA473" i="2"/>
  <c r="Y473" i="2"/>
  <c r="U473" i="2"/>
  <c r="R473" i="2"/>
  <c r="P473" i="2"/>
  <c r="AA472" i="2"/>
  <c r="Y472" i="2"/>
  <c r="Z472" i="2" s="1"/>
  <c r="U472" i="2"/>
  <c r="R472" i="2"/>
  <c r="P472" i="2"/>
  <c r="AA471" i="2"/>
  <c r="Y471" i="2"/>
  <c r="Z471" i="2" s="1"/>
  <c r="U471" i="2"/>
  <c r="R471" i="2"/>
  <c r="P471" i="2"/>
  <c r="AA470" i="2"/>
  <c r="AB470" i="2" s="1"/>
  <c r="Y470" i="2"/>
  <c r="Z470" i="2" s="1"/>
  <c r="U470" i="2"/>
  <c r="R470" i="2"/>
  <c r="P470" i="2"/>
  <c r="AA469" i="2"/>
  <c r="AB469" i="2" s="1"/>
  <c r="Y469" i="2"/>
  <c r="Z469" i="2" s="1"/>
  <c r="U469" i="2"/>
  <c r="R469" i="2"/>
  <c r="P469" i="2"/>
  <c r="AA468" i="2"/>
  <c r="Y468" i="2"/>
  <c r="Z468" i="2" s="1"/>
  <c r="U468" i="2"/>
  <c r="R468" i="2"/>
  <c r="P468" i="2"/>
  <c r="AA467" i="2"/>
  <c r="AB467" i="2" s="1"/>
  <c r="Y467" i="2"/>
  <c r="Z467" i="2" s="1"/>
  <c r="U467" i="2"/>
  <c r="R467" i="2"/>
  <c r="P467" i="2"/>
  <c r="AA466" i="2"/>
  <c r="Y466" i="2"/>
  <c r="U466" i="2"/>
  <c r="R466" i="2"/>
  <c r="P466" i="2"/>
  <c r="AA465" i="2"/>
  <c r="Y465" i="2"/>
  <c r="Z465" i="2" s="1"/>
  <c r="U465" i="2"/>
  <c r="R465" i="2"/>
  <c r="P465" i="2"/>
  <c r="AA464" i="2"/>
  <c r="Y464" i="2"/>
  <c r="Z464" i="2" s="1"/>
  <c r="U464" i="2"/>
  <c r="R464" i="2"/>
  <c r="P464" i="2"/>
  <c r="AA463" i="2"/>
  <c r="Y463" i="2"/>
  <c r="Z463" i="2" s="1"/>
  <c r="U463" i="2"/>
  <c r="R463" i="2"/>
  <c r="P463" i="2"/>
  <c r="AA462" i="2"/>
  <c r="Y462" i="2"/>
  <c r="U462" i="2"/>
  <c r="R462" i="2"/>
  <c r="P462" i="2"/>
  <c r="AA461" i="2"/>
  <c r="AB461" i="2" s="1"/>
  <c r="Y461" i="2"/>
  <c r="Z461" i="2" s="1"/>
  <c r="U461" i="2"/>
  <c r="R461" i="2"/>
  <c r="P461" i="2"/>
  <c r="AA460" i="2"/>
  <c r="AB460" i="2" s="1"/>
  <c r="Y460" i="2"/>
  <c r="Z460" i="2" s="1"/>
  <c r="U460" i="2"/>
  <c r="R460" i="2"/>
  <c r="P460" i="2"/>
  <c r="AA459" i="2"/>
  <c r="Y459" i="2"/>
  <c r="Z459" i="2" s="1"/>
  <c r="U459" i="2"/>
  <c r="R459" i="2"/>
  <c r="P459" i="2"/>
  <c r="AA458" i="2"/>
  <c r="AB458" i="2" s="1"/>
  <c r="Y458" i="2"/>
  <c r="Z458" i="2" s="1"/>
  <c r="U458" i="2"/>
  <c r="R458" i="2"/>
  <c r="P458" i="2"/>
  <c r="AA457" i="2"/>
  <c r="AB457" i="2" s="1"/>
  <c r="Y457" i="2"/>
  <c r="Z457" i="2" s="1"/>
  <c r="U457" i="2"/>
  <c r="R457" i="2"/>
  <c r="P457" i="2"/>
  <c r="AA456" i="2"/>
  <c r="Y456" i="2"/>
  <c r="Z456" i="2" s="1"/>
  <c r="U456" i="2"/>
  <c r="R456" i="2"/>
  <c r="P456" i="2"/>
  <c r="AA455" i="2"/>
  <c r="AB455" i="2" s="1"/>
  <c r="Y455" i="2"/>
  <c r="Z455" i="2" s="1"/>
  <c r="U455" i="2"/>
  <c r="R455" i="2"/>
  <c r="P455" i="2"/>
  <c r="AA454" i="2"/>
  <c r="AB454" i="2" s="1"/>
  <c r="Y454" i="2"/>
  <c r="Z454" i="2" s="1"/>
  <c r="U454" i="2"/>
  <c r="R454" i="2"/>
  <c r="P454" i="2"/>
  <c r="AA453" i="2"/>
  <c r="Y453" i="2"/>
  <c r="U453" i="2"/>
  <c r="R453" i="2"/>
  <c r="P453" i="2"/>
  <c r="AA452" i="2"/>
  <c r="Y452" i="2"/>
  <c r="Z452" i="2" s="1"/>
  <c r="U452" i="2"/>
  <c r="R452" i="2"/>
  <c r="P452" i="2"/>
  <c r="AA451" i="2"/>
  <c r="AB451" i="2" s="1"/>
  <c r="Y451" i="2"/>
  <c r="Z451" i="2" s="1"/>
  <c r="U451" i="2"/>
  <c r="R451" i="2"/>
  <c r="P451" i="2"/>
  <c r="AA450" i="2"/>
  <c r="AB450" i="2" s="1"/>
  <c r="Y450" i="2"/>
  <c r="Z450" i="2" s="1"/>
  <c r="U450" i="2"/>
  <c r="R450" i="2"/>
  <c r="P450" i="2"/>
  <c r="AA449" i="2"/>
  <c r="Y449" i="2"/>
  <c r="Z449" i="2" s="1"/>
  <c r="U449" i="2"/>
  <c r="R449" i="2"/>
  <c r="P449" i="2"/>
  <c r="AA448" i="2"/>
  <c r="AB448" i="2" s="1"/>
  <c r="Y448" i="2"/>
  <c r="Z448" i="2" s="1"/>
  <c r="U448" i="2"/>
  <c r="R448" i="2"/>
  <c r="P448" i="2"/>
  <c r="AA447" i="2"/>
  <c r="AB447" i="2" s="1"/>
  <c r="Y447" i="2"/>
  <c r="Z447" i="2" s="1"/>
  <c r="U447" i="2"/>
  <c r="R447" i="2"/>
  <c r="P447" i="2"/>
  <c r="AA446" i="2"/>
  <c r="AB446" i="2" s="1"/>
  <c r="Y446" i="2"/>
  <c r="Z446" i="2" s="1"/>
  <c r="U446" i="2"/>
  <c r="R446" i="2"/>
  <c r="P446" i="2"/>
  <c r="AA445" i="2"/>
  <c r="Y445" i="2"/>
  <c r="Z445" i="2" s="1"/>
  <c r="U445" i="2"/>
  <c r="R445" i="2"/>
  <c r="P445" i="2"/>
  <c r="AA444" i="2"/>
  <c r="AB444" i="2" s="1"/>
  <c r="Y444" i="2"/>
  <c r="Z444" i="2" s="1"/>
  <c r="U444" i="2"/>
  <c r="R444" i="2"/>
  <c r="P444" i="2"/>
  <c r="AA443" i="2"/>
  <c r="AB443" i="2" s="1"/>
  <c r="Y443" i="2"/>
  <c r="Z443" i="2" s="1"/>
  <c r="U443" i="2"/>
  <c r="R443" i="2"/>
  <c r="P443" i="2"/>
  <c r="AA442" i="2"/>
  <c r="Y442" i="2"/>
  <c r="Z442" i="2" s="1"/>
  <c r="U442" i="2"/>
  <c r="R442" i="2"/>
  <c r="P442" i="2"/>
  <c r="AA441" i="2"/>
  <c r="Y441" i="2"/>
  <c r="U441" i="2"/>
  <c r="R441" i="2"/>
  <c r="P441" i="2"/>
  <c r="AA440" i="2"/>
  <c r="AB440" i="2" s="1"/>
  <c r="Y440" i="2"/>
  <c r="Z440" i="2" s="1"/>
  <c r="U440" i="2"/>
  <c r="R440" i="2"/>
  <c r="P440" i="2"/>
  <c r="AA439" i="2"/>
  <c r="AB439" i="2" s="1"/>
  <c r="Y439" i="2"/>
  <c r="Z439" i="2" s="1"/>
  <c r="U439" i="2"/>
  <c r="R439" i="2"/>
  <c r="P439" i="2"/>
  <c r="AA438" i="2"/>
  <c r="AB438" i="2" s="1"/>
  <c r="Y438" i="2"/>
  <c r="Z438" i="2" s="1"/>
  <c r="U438" i="2"/>
  <c r="R438" i="2"/>
  <c r="P438" i="2"/>
  <c r="AA437" i="2"/>
  <c r="AB437" i="2" s="1"/>
  <c r="Y437" i="2"/>
  <c r="Z437" i="2" s="1"/>
  <c r="U437" i="2"/>
  <c r="R437" i="2"/>
  <c r="P437" i="2"/>
  <c r="AA436" i="2"/>
  <c r="Y436" i="2"/>
  <c r="Z436" i="2" s="1"/>
  <c r="U436" i="2"/>
  <c r="R436" i="2"/>
  <c r="P436" i="2"/>
  <c r="AA435" i="2"/>
  <c r="Y435" i="2"/>
  <c r="Z435" i="2" s="1"/>
  <c r="U435" i="2"/>
  <c r="R435" i="2"/>
  <c r="P435" i="2"/>
  <c r="AA434" i="2"/>
  <c r="Y434" i="2"/>
  <c r="Z434" i="2" s="1"/>
  <c r="U434" i="2"/>
  <c r="R434" i="2"/>
  <c r="P434" i="2"/>
  <c r="AA433" i="2"/>
  <c r="Y433" i="2"/>
  <c r="Z433" i="2" s="1"/>
  <c r="U433" i="2"/>
  <c r="R433" i="2"/>
  <c r="P433" i="2"/>
  <c r="AA432" i="2"/>
  <c r="Y432" i="2"/>
  <c r="Z432" i="2" s="1"/>
  <c r="U432" i="2"/>
  <c r="R432" i="2"/>
  <c r="P432" i="2"/>
  <c r="AA431" i="2"/>
  <c r="AB431" i="2" s="1"/>
  <c r="Y431" i="2"/>
  <c r="Z431" i="2" s="1"/>
  <c r="U431" i="2"/>
  <c r="R431" i="2"/>
  <c r="P431" i="2"/>
  <c r="AA430" i="2"/>
  <c r="Y430" i="2"/>
  <c r="Z430" i="2" s="1"/>
  <c r="U430" i="2"/>
  <c r="R430" i="2"/>
  <c r="P430" i="2"/>
  <c r="AA429" i="2"/>
  <c r="AB429" i="2" s="1"/>
  <c r="Y429" i="2"/>
  <c r="Z429" i="2" s="1"/>
  <c r="U429" i="2"/>
  <c r="R429" i="2"/>
  <c r="P429" i="2"/>
  <c r="AA428" i="2"/>
  <c r="AB428" i="2" s="1"/>
  <c r="Y428" i="2"/>
  <c r="Z428" i="2" s="1"/>
  <c r="U428" i="2"/>
  <c r="R428" i="2"/>
  <c r="P428" i="2"/>
  <c r="AA427" i="2"/>
  <c r="AB427" i="2" s="1"/>
  <c r="Y427" i="2"/>
  <c r="Z427" i="2" s="1"/>
  <c r="U427" i="2"/>
  <c r="R427" i="2"/>
  <c r="P427" i="2"/>
  <c r="AA426" i="2"/>
  <c r="Y426" i="2"/>
  <c r="Z426" i="2" s="1"/>
  <c r="U426" i="2"/>
  <c r="R426" i="2"/>
  <c r="P426" i="2"/>
  <c r="AA425" i="2"/>
  <c r="AB425" i="2" s="1"/>
  <c r="Y425" i="2"/>
  <c r="Z425" i="2" s="1"/>
  <c r="U425" i="2"/>
  <c r="R425" i="2"/>
  <c r="P425" i="2"/>
  <c r="AA424" i="2"/>
  <c r="Y424" i="2"/>
  <c r="Z424" i="2" s="1"/>
  <c r="U424" i="2"/>
  <c r="R424" i="2"/>
  <c r="P424" i="2"/>
  <c r="AA423" i="2"/>
  <c r="AB423" i="2" s="1"/>
  <c r="Y423" i="2"/>
  <c r="Z423" i="2" s="1"/>
  <c r="U423" i="2"/>
  <c r="R423" i="2"/>
  <c r="P423" i="2"/>
  <c r="AA422" i="2"/>
  <c r="AB422" i="2" s="1"/>
  <c r="Y422" i="2"/>
  <c r="Z422" i="2" s="1"/>
  <c r="U422" i="2"/>
  <c r="R422" i="2"/>
  <c r="P422" i="2"/>
  <c r="AA421" i="2"/>
  <c r="Y421" i="2"/>
  <c r="Z421" i="2" s="1"/>
  <c r="U421" i="2"/>
  <c r="R421" i="2"/>
  <c r="P421" i="2"/>
  <c r="AA420" i="2"/>
  <c r="AB420" i="2" s="1"/>
  <c r="Y420" i="2"/>
  <c r="Z420" i="2" s="1"/>
  <c r="U420" i="2"/>
  <c r="R420" i="2"/>
  <c r="P420" i="2"/>
  <c r="AA419" i="2"/>
  <c r="AB419" i="2" s="1"/>
  <c r="Y419" i="2"/>
  <c r="Z419" i="2" s="1"/>
  <c r="U419" i="2"/>
  <c r="R419" i="2"/>
  <c r="P419" i="2"/>
  <c r="AA418" i="2"/>
  <c r="AB418" i="2" s="1"/>
  <c r="Y418" i="2"/>
  <c r="Z418" i="2" s="1"/>
  <c r="U418" i="2"/>
  <c r="R418" i="2"/>
  <c r="P418" i="2"/>
  <c r="AA417" i="2"/>
  <c r="AB417" i="2" s="1"/>
  <c r="Y417" i="2"/>
  <c r="Z417" i="2" s="1"/>
  <c r="U417" i="2"/>
  <c r="R417" i="2"/>
  <c r="P417" i="2"/>
  <c r="AA416" i="2"/>
  <c r="Y416" i="2"/>
  <c r="Z416" i="2" s="1"/>
  <c r="U416" i="2"/>
  <c r="R416" i="2"/>
  <c r="P416" i="2"/>
  <c r="AA415" i="2"/>
  <c r="Y415" i="2"/>
  <c r="Z415" i="2" s="1"/>
  <c r="U415" i="2"/>
  <c r="R415" i="2"/>
  <c r="P415" i="2"/>
  <c r="AA414" i="2"/>
  <c r="AB414" i="2" s="1"/>
  <c r="Y414" i="2"/>
  <c r="Z414" i="2" s="1"/>
  <c r="U414" i="2"/>
  <c r="R414" i="2"/>
  <c r="P414" i="2"/>
  <c r="AA413" i="2"/>
  <c r="AB413" i="2" s="1"/>
  <c r="Y413" i="2"/>
  <c r="Z413" i="2" s="1"/>
  <c r="U413" i="2"/>
  <c r="R413" i="2"/>
  <c r="P413" i="2"/>
  <c r="AA412" i="2"/>
  <c r="Y412" i="2"/>
  <c r="Z412" i="2" s="1"/>
  <c r="U412" i="2"/>
  <c r="R412" i="2"/>
  <c r="P412" i="2"/>
  <c r="AA411" i="2"/>
  <c r="AB411" i="2" s="1"/>
  <c r="Y411" i="2"/>
  <c r="Z411" i="2" s="1"/>
  <c r="U411" i="2"/>
  <c r="R411" i="2"/>
  <c r="P411" i="2"/>
  <c r="AA410" i="2"/>
  <c r="AB410" i="2" s="1"/>
  <c r="Y410" i="2"/>
  <c r="Z410" i="2" s="1"/>
  <c r="U410" i="2"/>
  <c r="R410" i="2"/>
  <c r="P410" i="2"/>
  <c r="AA409" i="2"/>
  <c r="AB409" i="2" s="1"/>
  <c r="Y409" i="2"/>
  <c r="Z409" i="2" s="1"/>
  <c r="U409" i="2"/>
  <c r="R409" i="2"/>
  <c r="P409" i="2"/>
  <c r="AA408" i="2"/>
  <c r="AB408" i="2" s="1"/>
  <c r="Y408" i="2"/>
  <c r="Z408" i="2" s="1"/>
  <c r="U408" i="2"/>
  <c r="R408" i="2"/>
  <c r="P408" i="2"/>
  <c r="AA407" i="2"/>
  <c r="AB407" i="2" s="1"/>
  <c r="Y407" i="2"/>
  <c r="Z407" i="2" s="1"/>
  <c r="U407" i="2"/>
  <c r="R407" i="2"/>
  <c r="P407" i="2"/>
  <c r="AA406" i="2"/>
  <c r="Y406" i="2"/>
  <c r="Z406" i="2" s="1"/>
  <c r="U406" i="2"/>
  <c r="R406" i="2"/>
  <c r="P406" i="2"/>
  <c r="AA405" i="2"/>
  <c r="Y405" i="2"/>
  <c r="Z405" i="2" s="1"/>
  <c r="U405" i="2"/>
  <c r="R405" i="2"/>
  <c r="P405" i="2"/>
  <c r="AA404" i="2"/>
  <c r="Y404" i="2"/>
  <c r="Z404" i="2" s="1"/>
  <c r="U404" i="2"/>
  <c r="R404" i="2"/>
  <c r="P404" i="2"/>
  <c r="AA403" i="2"/>
  <c r="AB403" i="2" s="1"/>
  <c r="Y403" i="2"/>
  <c r="Z403" i="2" s="1"/>
  <c r="U403" i="2"/>
  <c r="R403" i="2"/>
  <c r="P403" i="2"/>
  <c r="AA402" i="2"/>
  <c r="AB402" i="2" s="1"/>
  <c r="Y402" i="2"/>
  <c r="Z402" i="2" s="1"/>
  <c r="U402" i="2"/>
  <c r="R402" i="2"/>
  <c r="P402" i="2"/>
  <c r="AA401" i="2"/>
  <c r="AB401" i="2" s="1"/>
  <c r="Y401" i="2"/>
  <c r="Z401" i="2" s="1"/>
  <c r="U401" i="2"/>
  <c r="R401" i="2"/>
  <c r="P401" i="2"/>
  <c r="AA400" i="2"/>
  <c r="Y400" i="2"/>
  <c r="Z400" i="2" s="1"/>
  <c r="U400" i="2"/>
  <c r="R400" i="2"/>
  <c r="P400" i="2"/>
  <c r="AA399" i="2"/>
  <c r="Y399" i="2"/>
  <c r="U399" i="2"/>
  <c r="R399" i="2"/>
  <c r="P399" i="2"/>
  <c r="AA398" i="2"/>
  <c r="Y398" i="2"/>
  <c r="Z398" i="2" s="1"/>
  <c r="U398" i="2"/>
  <c r="R398" i="2"/>
  <c r="P398" i="2"/>
  <c r="AA397" i="2"/>
  <c r="AB397" i="2" s="1"/>
  <c r="Y397" i="2"/>
  <c r="Z397" i="2" s="1"/>
  <c r="U397" i="2"/>
  <c r="R397" i="2"/>
  <c r="P397" i="2"/>
  <c r="AA396" i="2"/>
  <c r="AB396" i="2" s="1"/>
  <c r="Y396" i="2"/>
  <c r="Z396" i="2" s="1"/>
  <c r="U396" i="2"/>
  <c r="R396" i="2"/>
  <c r="P396" i="2"/>
  <c r="AA395" i="2"/>
  <c r="Y395" i="2"/>
  <c r="Z395" i="2" s="1"/>
  <c r="U395" i="2"/>
  <c r="R395" i="2"/>
  <c r="P395" i="2"/>
  <c r="AA394" i="2"/>
  <c r="Y394" i="2"/>
  <c r="Z394" i="2" s="1"/>
  <c r="U394" i="2"/>
  <c r="R394" i="2"/>
  <c r="P394" i="2"/>
  <c r="AA393" i="2"/>
  <c r="AB393" i="2" s="1"/>
  <c r="Y393" i="2"/>
  <c r="Z393" i="2" s="1"/>
  <c r="U393" i="2"/>
  <c r="R393" i="2"/>
  <c r="P393" i="2"/>
  <c r="AA392" i="2"/>
  <c r="AB392" i="2" s="1"/>
  <c r="Y392" i="2"/>
  <c r="Z392" i="2" s="1"/>
  <c r="U392" i="2"/>
  <c r="R392" i="2"/>
  <c r="P392" i="2"/>
  <c r="AA391" i="2"/>
  <c r="AB391" i="2" s="1"/>
  <c r="Y391" i="2"/>
  <c r="Z391" i="2" s="1"/>
  <c r="U391" i="2"/>
  <c r="R391" i="2"/>
  <c r="P391" i="2"/>
  <c r="AA390" i="2"/>
  <c r="AB390" i="2" s="1"/>
  <c r="Y390" i="2"/>
  <c r="Z390" i="2" s="1"/>
  <c r="U390" i="2"/>
  <c r="R390" i="2"/>
  <c r="P390" i="2"/>
  <c r="AA389" i="2"/>
  <c r="AB389" i="2" s="1"/>
  <c r="Y389" i="2"/>
  <c r="Z389" i="2" s="1"/>
  <c r="U389" i="2"/>
  <c r="R389" i="2"/>
  <c r="P389" i="2"/>
  <c r="AA388" i="2"/>
  <c r="Y388" i="2"/>
  <c r="U388" i="2"/>
  <c r="R388" i="2"/>
  <c r="P388" i="2"/>
  <c r="AA387" i="2"/>
  <c r="AB387" i="2" s="1"/>
  <c r="Y387" i="2"/>
  <c r="Z387" i="2" s="1"/>
  <c r="U387" i="2"/>
  <c r="R387" i="2"/>
  <c r="P387" i="2"/>
  <c r="AA386" i="2"/>
  <c r="AB386" i="2" s="1"/>
  <c r="Y386" i="2"/>
  <c r="Z386" i="2" s="1"/>
  <c r="U386" i="2"/>
  <c r="R386" i="2"/>
  <c r="P386" i="2"/>
  <c r="AA385" i="2"/>
  <c r="AB385" i="2" s="1"/>
  <c r="Y385" i="2"/>
  <c r="Z385" i="2" s="1"/>
  <c r="U385" i="2"/>
  <c r="R385" i="2"/>
  <c r="P385" i="2"/>
  <c r="AA384" i="2"/>
  <c r="AB384" i="2" s="1"/>
  <c r="Y384" i="2"/>
  <c r="Z384" i="2" s="1"/>
  <c r="U384" i="2"/>
  <c r="R384" i="2"/>
  <c r="P384" i="2"/>
  <c r="AA383" i="2"/>
  <c r="Y383" i="2"/>
  <c r="Z383" i="2" s="1"/>
  <c r="U383" i="2"/>
  <c r="R383" i="2"/>
  <c r="P383" i="2"/>
  <c r="AA382" i="2"/>
  <c r="AB382" i="2" s="1"/>
  <c r="Y382" i="2"/>
  <c r="Z382" i="2" s="1"/>
  <c r="U382" i="2"/>
  <c r="R382" i="2"/>
  <c r="P382" i="2"/>
  <c r="AA381" i="2"/>
  <c r="Y381" i="2"/>
  <c r="Z381" i="2" s="1"/>
  <c r="U381" i="2"/>
  <c r="R381" i="2"/>
  <c r="P381" i="2"/>
  <c r="AA380" i="2"/>
  <c r="AB380" i="2" s="1"/>
  <c r="Y380" i="2"/>
  <c r="Z380" i="2" s="1"/>
  <c r="U380" i="2"/>
  <c r="R380" i="2"/>
  <c r="P380" i="2"/>
  <c r="AA379" i="2"/>
  <c r="AB379" i="2" s="1"/>
  <c r="Y379" i="2"/>
  <c r="Z379" i="2" s="1"/>
  <c r="U379" i="2"/>
  <c r="R379" i="2"/>
  <c r="P379" i="2"/>
  <c r="AA378" i="2"/>
  <c r="AB378" i="2" s="1"/>
  <c r="Y378" i="2"/>
  <c r="Z378" i="2" s="1"/>
  <c r="U378" i="2"/>
  <c r="R378" i="2"/>
  <c r="P378" i="2"/>
  <c r="AA377" i="2"/>
  <c r="AB377" i="2" s="1"/>
  <c r="Y377" i="2"/>
  <c r="Z377" i="2" s="1"/>
  <c r="U377" i="2"/>
  <c r="R377" i="2"/>
  <c r="P377" i="2"/>
  <c r="AA376" i="2"/>
  <c r="Y376" i="2"/>
  <c r="Z376" i="2" s="1"/>
  <c r="U376" i="2"/>
  <c r="R376" i="2"/>
  <c r="P376" i="2"/>
  <c r="AA375" i="2"/>
  <c r="AB375" i="2" s="1"/>
  <c r="Y375" i="2"/>
  <c r="Z375" i="2" s="1"/>
  <c r="U375" i="2"/>
  <c r="R375" i="2"/>
  <c r="P375" i="2"/>
  <c r="AA374" i="2"/>
  <c r="Y374" i="2"/>
  <c r="Z374" i="2" s="1"/>
  <c r="U374" i="2"/>
  <c r="R374" i="2"/>
  <c r="P374" i="2"/>
  <c r="AA373" i="2"/>
  <c r="AB373" i="2" s="1"/>
  <c r="Y373" i="2"/>
  <c r="Z373" i="2" s="1"/>
  <c r="U373" i="2"/>
  <c r="R373" i="2"/>
  <c r="P373" i="2"/>
  <c r="AA372" i="2"/>
  <c r="AB372" i="2" s="1"/>
  <c r="Y372" i="2"/>
  <c r="Z372" i="2" s="1"/>
  <c r="U372" i="2"/>
  <c r="R372" i="2"/>
  <c r="P372" i="2"/>
  <c r="AA371" i="2"/>
  <c r="Y371" i="2"/>
  <c r="U371" i="2"/>
  <c r="R371" i="2"/>
  <c r="P371" i="2"/>
  <c r="AA370" i="2"/>
  <c r="AB370" i="2" s="1"/>
  <c r="Y370" i="2"/>
  <c r="Z370" i="2" s="1"/>
  <c r="U370" i="2"/>
  <c r="R370" i="2"/>
  <c r="P370" i="2"/>
  <c r="AA369" i="2"/>
  <c r="AB369" i="2" s="1"/>
  <c r="Y369" i="2"/>
  <c r="Z369" i="2" s="1"/>
  <c r="U369" i="2"/>
  <c r="R369" i="2"/>
  <c r="P369" i="2"/>
  <c r="AA368" i="2"/>
  <c r="Y368" i="2"/>
  <c r="Z368" i="2" s="1"/>
  <c r="U368" i="2"/>
  <c r="R368" i="2"/>
  <c r="P368" i="2"/>
  <c r="AA367" i="2"/>
  <c r="AB367" i="2" s="1"/>
  <c r="Y367" i="2"/>
  <c r="Z367" i="2" s="1"/>
  <c r="U367" i="2"/>
  <c r="R367" i="2"/>
  <c r="P367" i="2"/>
  <c r="AA366" i="2"/>
  <c r="AB366" i="2" s="1"/>
  <c r="Y366" i="2"/>
  <c r="Z366" i="2" s="1"/>
  <c r="U366" i="2"/>
  <c r="R366" i="2"/>
  <c r="P366" i="2"/>
  <c r="AA365" i="2"/>
  <c r="Y365" i="2"/>
  <c r="Z365" i="2" s="1"/>
  <c r="U365" i="2"/>
  <c r="R365" i="2"/>
  <c r="P365" i="2"/>
  <c r="AA364" i="2"/>
  <c r="Y364" i="2"/>
  <c r="Z364" i="2" s="1"/>
  <c r="U364" i="2"/>
  <c r="R364" i="2"/>
  <c r="P364" i="2"/>
  <c r="AA363" i="2"/>
  <c r="AB363" i="2" s="1"/>
  <c r="Y363" i="2"/>
  <c r="Z363" i="2" s="1"/>
  <c r="U363" i="2"/>
  <c r="R363" i="2"/>
  <c r="P363" i="2"/>
  <c r="AA362" i="2"/>
  <c r="AB362" i="2" s="1"/>
  <c r="Y362" i="2"/>
  <c r="Z362" i="2" s="1"/>
  <c r="U362" i="2"/>
  <c r="R362" i="2"/>
  <c r="P362" i="2"/>
  <c r="AA361" i="2"/>
  <c r="AB361" i="2" s="1"/>
  <c r="Y361" i="2"/>
  <c r="Z361" i="2" s="1"/>
  <c r="U361" i="2"/>
  <c r="R361" i="2"/>
  <c r="P361" i="2"/>
  <c r="AA360" i="2"/>
  <c r="AB360" i="2" s="1"/>
  <c r="Y360" i="2"/>
  <c r="Z360" i="2" s="1"/>
  <c r="U360" i="2"/>
  <c r="R360" i="2"/>
  <c r="P360" i="2"/>
  <c r="AA359" i="2"/>
  <c r="AB359" i="2" s="1"/>
  <c r="Y359" i="2"/>
  <c r="Z359" i="2" s="1"/>
  <c r="U359" i="2"/>
  <c r="R359" i="2"/>
  <c r="P359" i="2"/>
  <c r="AA358" i="2"/>
  <c r="AB358" i="2" s="1"/>
  <c r="Y358" i="2"/>
  <c r="Z358" i="2" s="1"/>
  <c r="U358" i="2"/>
  <c r="R358" i="2"/>
  <c r="P358" i="2"/>
  <c r="AA357" i="2"/>
  <c r="Y357" i="2"/>
  <c r="Z357" i="2" s="1"/>
  <c r="U357" i="2"/>
  <c r="R357" i="2"/>
  <c r="P357" i="2"/>
  <c r="AA356" i="2"/>
  <c r="Y356" i="2"/>
  <c r="Z356" i="2" s="1"/>
  <c r="U356" i="2"/>
  <c r="R356" i="2"/>
  <c r="P356" i="2"/>
  <c r="AA355" i="2"/>
  <c r="AB355" i="2" s="1"/>
  <c r="Y355" i="2"/>
  <c r="Z355" i="2" s="1"/>
  <c r="U355" i="2"/>
  <c r="R355" i="2"/>
  <c r="P355" i="2"/>
  <c r="AA354" i="2"/>
  <c r="AB354" i="2" s="1"/>
  <c r="Y354" i="2"/>
  <c r="Z354" i="2" s="1"/>
  <c r="U354" i="2"/>
  <c r="R354" i="2"/>
  <c r="P354" i="2"/>
  <c r="AA353" i="2"/>
  <c r="AB353" i="2" s="1"/>
  <c r="Y353" i="2"/>
  <c r="Z353" i="2" s="1"/>
  <c r="U353" i="2"/>
  <c r="R353" i="2"/>
  <c r="P353" i="2"/>
  <c r="AA352" i="2"/>
  <c r="AB352" i="2" s="1"/>
  <c r="Y352" i="2"/>
  <c r="Z352" i="2" s="1"/>
  <c r="U352" i="2"/>
  <c r="R352" i="2"/>
  <c r="P352" i="2"/>
  <c r="AA351" i="2"/>
  <c r="AB351" i="2" s="1"/>
  <c r="Y351" i="2"/>
  <c r="Z351" i="2" s="1"/>
  <c r="U351" i="2"/>
  <c r="R351" i="2"/>
  <c r="P351" i="2"/>
  <c r="AA350" i="2"/>
  <c r="Y350" i="2"/>
  <c r="Z350" i="2" s="1"/>
  <c r="U350" i="2"/>
  <c r="R350" i="2"/>
  <c r="P350" i="2"/>
  <c r="AA349" i="2"/>
  <c r="AB349" i="2" s="1"/>
  <c r="Y349" i="2"/>
  <c r="Z349" i="2" s="1"/>
  <c r="U349" i="2"/>
  <c r="R349" i="2"/>
  <c r="P349" i="2"/>
  <c r="AA348" i="2"/>
  <c r="AB348" i="2" s="1"/>
  <c r="Y348" i="2"/>
  <c r="Z348" i="2" s="1"/>
  <c r="U348" i="2"/>
  <c r="R348" i="2"/>
  <c r="P348" i="2"/>
  <c r="AA347" i="2"/>
  <c r="AB347" i="2" s="1"/>
  <c r="Y347" i="2"/>
  <c r="Z347" i="2" s="1"/>
  <c r="U347" i="2"/>
  <c r="R347" i="2"/>
  <c r="P347" i="2"/>
  <c r="AA346" i="2"/>
  <c r="AB346" i="2" s="1"/>
  <c r="Y346" i="2"/>
  <c r="Z346" i="2" s="1"/>
  <c r="U346" i="2"/>
  <c r="R346" i="2"/>
  <c r="P346" i="2"/>
  <c r="AA345" i="2"/>
  <c r="AB345" i="2" s="1"/>
  <c r="Y345" i="2"/>
  <c r="Z345" i="2" s="1"/>
  <c r="U345" i="2"/>
  <c r="R345" i="2"/>
  <c r="P345" i="2"/>
  <c r="AA344" i="2"/>
  <c r="Y344" i="2"/>
  <c r="Z344" i="2" s="1"/>
  <c r="U344" i="2"/>
  <c r="R344" i="2"/>
  <c r="P344" i="2"/>
  <c r="AA343" i="2"/>
  <c r="Y343" i="2"/>
  <c r="Z343" i="2" s="1"/>
  <c r="U343" i="2"/>
  <c r="R343" i="2"/>
  <c r="P343" i="2"/>
  <c r="AA342" i="2"/>
  <c r="Y342" i="2"/>
  <c r="Z342" i="2" s="1"/>
  <c r="U342" i="2"/>
  <c r="R342" i="2"/>
  <c r="P342" i="2"/>
  <c r="AA341" i="2"/>
  <c r="Y341" i="2"/>
  <c r="Z341" i="2" s="1"/>
  <c r="U341" i="2"/>
  <c r="R341" i="2"/>
  <c r="P341" i="2"/>
  <c r="AA340" i="2"/>
  <c r="AB340" i="2" s="1"/>
  <c r="Y340" i="2"/>
  <c r="Z340" i="2" s="1"/>
  <c r="U340" i="2"/>
  <c r="R340" i="2"/>
  <c r="P340" i="2"/>
  <c r="AA339" i="2"/>
  <c r="Y339" i="2"/>
  <c r="Z339" i="2" s="1"/>
  <c r="U339" i="2"/>
  <c r="R339" i="2"/>
  <c r="P339" i="2"/>
  <c r="AA338" i="2"/>
  <c r="Y338" i="2"/>
  <c r="Z338" i="2" s="1"/>
  <c r="U338" i="2"/>
  <c r="R338" i="2"/>
  <c r="P338" i="2"/>
  <c r="AA337" i="2"/>
  <c r="Y337" i="2"/>
  <c r="Z337" i="2" s="1"/>
  <c r="U337" i="2"/>
  <c r="R337" i="2"/>
  <c r="P337" i="2"/>
  <c r="AA336" i="2"/>
  <c r="AB336" i="2" s="1"/>
  <c r="Y336" i="2"/>
  <c r="Z336" i="2" s="1"/>
  <c r="U336" i="2"/>
  <c r="R336" i="2"/>
  <c r="P336" i="2"/>
  <c r="AA335" i="2"/>
  <c r="Y335" i="2"/>
  <c r="U335" i="2"/>
  <c r="R335" i="2"/>
  <c r="P335" i="2"/>
  <c r="AA334" i="2"/>
  <c r="Y334" i="2"/>
  <c r="Z334" i="2" s="1"/>
  <c r="U334" i="2"/>
  <c r="R334" i="2"/>
  <c r="P334" i="2"/>
  <c r="AA333" i="2"/>
  <c r="AB333" i="2" s="1"/>
  <c r="Y333" i="2"/>
  <c r="Z333" i="2" s="1"/>
  <c r="U333" i="2"/>
  <c r="R333" i="2"/>
  <c r="P333" i="2"/>
  <c r="AA332" i="2"/>
  <c r="AB332" i="2" s="1"/>
  <c r="Y332" i="2"/>
  <c r="Z332" i="2" s="1"/>
  <c r="U332" i="2"/>
  <c r="R332" i="2"/>
  <c r="P332" i="2"/>
  <c r="AA331" i="2"/>
  <c r="AB331" i="2" s="1"/>
  <c r="Y331" i="2"/>
  <c r="Z331" i="2" s="1"/>
  <c r="U331" i="2"/>
  <c r="R331" i="2"/>
  <c r="P331" i="2"/>
  <c r="AA330" i="2"/>
  <c r="AB330" i="2" s="1"/>
  <c r="Y330" i="2"/>
  <c r="Z330" i="2" s="1"/>
  <c r="U330" i="2"/>
  <c r="R330" i="2"/>
  <c r="P330" i="2"/>
  <c r="AA329" i="2"/>
  <c r="Y329" i="2"/>
  <c r="Z329" i="2" s="1"/>
  <c r="U329" i="2"/>
  <c r="R329" i="2"/>
  <c r="P329" i="2"/>
  <c r="AA328" i="2"/>
  <c r="AB328" i="2" s="1"/>
  <c r="Y328" i="2"/>
  <c r="Z328" i="2" s="1"/>
  <c r="U328" i="2"/>
  <c r="R328" i="2"/>
  <c r="P328" i="2"/>
  <c r="AA327" i="2"/>
  <c r="AB327" i="2" s="1"/>
  <c r="Y327" i="2"/>
  <c r="Z327" i="2" s="1"/>
  <c r="U327" i="2"/>
  <c r="R327" i="2"/>
  <c r="P327" i="2"/>
  <c r="AA326" i="2"/>
  <c r="Y326" i="2"/>
  <c r="Z326" i="2" s="1"/>
  <c r="U326" i="2"/>
  <c r="R326" i="2"/>
  <c r="P326" i="2"/>
  <c r="AA325" i="2"/>
  <c r="AB325" i="2" s="1"/>
  <c r="Y325" i="2"/>
  <c r="Z325" i="2" s="1"/>
  <c r="U325" i="2"/>
  <c r="R325" i="2"/>
  <c r="P325" i="2"/>
  <c r="AA324" i="2"/>
  <c r="AB324" i="2" s="1"/>
  <c r="Y324" i="2"/>
  <c r="Z324" i="2" s="1"/>
  <c r="U324" i="2"/>
  <c r="R324" i="2"/>
  <c r="P324" i="2"/>
  <c r="AA323" i="2"/>
  <c r="AB323" i="2" s="1"/>
  <c r="Y323" i="2"/>
  <c r="Z323" i="2" s="1"/>
  <c r="U323" i="2"/>
  <c r="R323" i="2"/>
  <c r="P323" i="2"/>
  <c r="AA322" i="2"/>
  <c r="AB322" i="2" s="1"/>
  <c r="Y322" i="2"/>
  <c r="Z322" i="2" s="1"/>
  <c r="U322" i="2"/>
  <c r="R322" i="2"/>
  <c r="P322" i="2"/>
  <c r="AA321" i="2"/>
  <c r="AB321" i="2" s="1"/>
  <c r="Y321" i="2"/>
  <c r="Z321" i="2" s="1"/>
  <c r="U321" i="2"/>
  <c r="R321" i="2"/>
  <c r="P321" i="2"/>
  <c r="AA320" i="2"/>
  <c r="AB320" i="2" s="1"/>
  <c r="Y320" i="2"/>
  <c r="Z320" i="2" s="1"/>
  <c r="U320" i="2"/>
  <c r="R320" i="2"/>
  <c r="P320" i="2"/>
  <c r="AA319" i="2"/>
  <c r="Y319" i="2"/>
  <c r="U319" i="2"/>
  <c r="R319" i="2"/>
  <c r="P319" i="2"/>
  <c r="AA318" i="2"/>
  <c r="Y318" i="2"/>
  <c r="Z318" i="2" s="1"/>
  <c r="U318" i="2"/>
  <c r="R318" i="2"/>
  <c r="P318" i="2"/>
  <c r="AA317" i="2"/>
  <c r="Y317" i="2"/>
  <c r="Z317" i="2" s="1"/>
  <c r="U317" i="2"/>
  <c r="R317" i="2"/>
  <c r="P317" i="2"/>
  <c r="AA316" i="2"/>
  <c r="AB316" i="2" s="1"/>
  <c r="Y316" i="2"/>
  <c r="Z316" i="2" s="1"/>
  <c r="U316" i="2"/>
  <c r="R316" i="2"/>
  <c r="P316" i="2"/>
  <c r="AA315" i="2"/>
  <c r="AB315" i="2" s="1"/>
  <c r="Y315" i="2"/>
  <c r="Z315" i="2" s="1"/>
  <c r="U315" i="2"/>
  <c r="R315" i="2"/>
  <c r="P315" i="2"/>
  <c r="AA314" i="2"/>
  <c r="AB314" i="2" s="1"/>
  <c r="Y314" i="2"/>
  <c r="Z314" i="2" s="1"/>
  <c r="U314" i="2"/>
  <c r="R314" i="2"/>
  <c r="P314" i="2"/>
  <c r="AA313" i="2"/>
  <c r="Y313" i="2"/>
  <c r="Z313" i="2" s="1"/>
  <c r="U313" i="2"/>
  <c r="R313" i="2"/>
  <c r="P313" i="2"/>
  <c r="AA312" i="2"/>
  <c r="Y312" i="2"/>
  <c r="Z312" i="2" s="1"/>
  <c r="U312" i="2"/>
  <c r="R312" i="2"/>
  <c r="P312" i="2"/>
  <c r="AA311" i="2"/>
  <c r="AB311" i="2" s="1"/>
  <c r="Y311" i="2"/>
  <c r="Z311" i="2" s="1"/>
  <c r="U311" i="2"/>
  <c r="R311" i="2"/>
  <c r="P311" i="2"/>
  <c r="AA310" i="2"/>
  <c r="AB310" i="2" s="1"/>
  <c r="Y310" i="2"/>
  <c r="Z310" i="2" s="1"/>
  <c r="U310" i="2"/>
  <c r="R310" i="2"/>
  <c r="P310" i="2"/>
  <c r="AA309" i="2"/>
  <c r="Y309" i="2"/>
  <c r="Z309" i="2" s="1"/>
  <c r="U309" i="2"/>
  <c r="R309" i="2"/>
  <c r="P309" i="2"/>
  <c r="AA308" i="2"/>
  <c r="AB308" i="2" s="1"/>
  <c r="Y308" i="2"/>
  <c r="Z308" i="2" s="1"/>
  <c r="U308" i="2"/>
  <c r="R308" i="2"/>
  <c r="P308" i="2"/>
  <c r="AA307" i="2"/>
  <c r="AB307" i="2" s="1"/>
  <c r="Y307" i="2"/>
  <c r="Z307" i="2" s="1"/>
  <c r="U307" i="2"/>
  <c r="R307" i="2"/>
  <c r="P307" i="2"/>
  <c r="AA306" i="2"/>
  <c r="Y306" i="2"/>
  <c r="Z306" i="2" s="1"/>
  <c r="U306" i="2"/>
  <c r="R306" i="2"/>
  <c r="P306" i="2"/>
  <c r="AA305" i="2"/>
  <c r="Y305" i="2"/>
  <c r="Z305" i="2" s="1"/>
  <c r="U305" i="2"/>
  <c r="R305" i="2"/>
  <c r="P305" i="2"/>
  <c r="AA304" i="2"/>
  <c r="Y304" i="2"/>
  <c r="Z304" i="2" s="1"/>
  <c r="U304" i="2"/>
  <c r="R304" i="2"/>
  <c r="P304" i="2"/>
  <c r="AA303" i="2"/>
  <c r="AB303" i="2" s="1"/>
  <c r="Y303" i="2"/>
  <c r="Z303" i="2" s="1"/>
  <c r="U303" i="2"/>
  <c r="R303" i="2"/>
  <c r="P303" i="2"/>
  <c r="AA302" i="2"/>
  <c r="AB302" i="2" s="1"/>
  <c r="Y302" i="2"/>
  <c r="Z302" i="2" s="1"/>
  <c r="U302" i="2"/>
  <c r="R302" i="2"/>
  <c r="P302" i="2"/>
  <c r="AA301" i="2"/>
  <c r="AB301" i="2" s="1"/>
  <c r="Y301" i="2"/>
  <c r="Z301" i="2" s="1"/>
  <c r="U301" i="2"/>
  <c r="R301" i="2"/>
  <c r="P301" i="2"/>
  <c r="AA300" i="2"/>
  <c r="AB300" i="2" s="1"/>
  <c r="Y300" i="2"/>
  <c r="Z300" i="2" s="1"/>
  <c r="U300" i="2"/>
  <c r="R300" i="2"/>
  <c r="P300" i="2"/>
  <c r="AA299" i="2"/>
  <c r="AB299" i="2" s="1"/>
  <c r="Y299" i="2"/>
  <c r="Z299" i="2" s="1"/>
  <c r="U299" i="2"/>
  <c r="R299" i="2"/>
  <c r="P299" i="2"/>
  <c r="AA298" i="2"/>
  <c r="Y298" i="2"/>
  <c r="Z298" i="2" s="1"/>
  <c r="U298" i="2"/>
  <c r="R298" i="2"/>
  <c r="P298" i="2"/>
  <c r="AA297" i="2"/>
  <c r="Y297" i="2"/>
  <c r="Z297" i="2" s="1"/>
  <c r="U297" i="2"/>
  <c r="R297" i="2"/>
  <c r="P297" i="2"/>
  <c r="AA296" i="2"/>
  <c r="Y296" i="2"/>
  <c r="U296" i="2"/>
  <c r="R296" i="2"/>
  <c r="P296" i="2"/>
  <c r="AA295" i="2"/>
  <c r="Y295" i="2"/>
  <c r="Z295" i="2" s="1"/>
  <c r="U295" i="2"/>
  <c r="R295" i="2"/>
  <c r="P295" i="2"/>
  <c r="AA294" i="2"/>
  <c r="Y294" i="2"/>
  <c r="Z294" i="2" s="1"/>
  <c r="U294" i="2"/>
  <c r="R294" i="2"/>
  <c r="P294" i="2"/>
  <c r="AA293" i="2"/>
  <c r="Y293" i="2"/>
  <c r="Z293" i="2" s="1"/>
  <c r="U293" i="2"/>
  <c r="R293" i="2"/>
  <c r="P293" i="2"/>
  <c r="AA292" i="2"/>
  <c r="Y292" i="2"/>
  <c r="Z292" i="2" s="1"/>
  <c r="U292" i="2"/>
  <c r="R292" i="2"/>
  <c r="P292" i="2"/>
  <c r="AA291" i="2"/>
  <c r="AB291" i="2" s="1"/>
  <c r="Y291" i="2"/>
  <c r="U291" i="2"/>
  <c r="R291" i="2"/>
  <c r="P291" i="2"/>
  <c r="AA290" i="2"/>
  <c r="AB290" i="2" s="1"/>
  <c r="Y290" i="2"/>
  <c r="Z290" i="2" s="1"/>
  <c r="U290" i="2"/>
  <c r="R290" i="2"/>
  <c r="P290" i="2"/>
  <c r="AA289" i="2"/>
  <c r="AB289" i="2" s="1"/>
  <c r="Y289" i="2"/>
  <c r="Z289" i="2" s="1"/>
  <c r="U289" i="2"/>
  <c r="R289" i="2"/>
  <c r="P289" i="2"/>
  <c r="AA288" i="2"/>
  <c r="Y288" i="2"/>
  <c r="Z288" i="2" s="1"/>
  <c r="U288" i="2"/>
  <c r="R288" i="2"/>
  <c r="P288" i="2"/>
  <c r="AA287" i="2"/>
  <c r="AB287" i="2" s="1"/>
  <c r="Y287" i="2"/>
  <c r="Z287" i="2" s="1"/>
  <c r="U287" i="2"/>
  <c r="R287" i="2"/>
  <c r="P287" i="2"/>
  <c r="AA286" i="2"/>
  <c r="AB286" i="2" s="1"/>
  <c r="Y286" i="2"/>
  <c r="Z286" i="2" s="1"/>
  <c r="U286" i="2"/>
  <c r="R286" i="2"/>
  <c r="P286" i="2"/>
  <c r="AA285" i="2"/>
  <c r="Y285" i="2"/>
  <c r="Z285" i="2" s="1"/>
  <c r="U285" i="2"/>
  <c r="R285" i="2"/>
  <c r="P285" i="2"/>
  <c r="AA284" i="2"/>
  <c r="AB284" i="2" s="1"/>
  <c r="Y284" i="2"/>
  <c r="Z284" i="2" s="1"/>
  <c r="U284" i="2"/>
  <c r="R284" i="2"/>
  <c r="P284" i="2"/>
  <c r="AA283" i="2"/>
  <c r="Y283" i="2"/>
  <c r="Z283" i="2" s="1"/>
  <c r="U283" i="2"/>
  <c r="R283" i="2"/>
  <c r="P283" i="2"/>
  <c r="AA282" i="2"/>
  <c r="Y282" i="2"/>
  <c r="Z282" i="2" s="1"/>
  <c r="U282" i="2"/>
  <c r="R282" i="2"/>
  <c r="P282" i="2"/>
  <c r="AA281" i="2"/>
  <c r="AB281" i="2" s="1"/>
  <c r="Y281" i="2"/>
  <c r="Z281" i="2" s="1"/>
  <c r="U281" i="2"/>
  <c r="R281" i="2"/>
  <c r="P281" i="2"/>
  <c r="AA280" i="2"/>
  <c r="AB280" i="2" s="1"/>
  <c r="Y280" i="2"/>
  <c r="Z280" i="2" s="1"/>
  <c r="U280" i="2"/>
  <c r="R280" i="2"/>
  <c r="P280" i="2"/>
  <c r="AA279" i="2"/>
  <c r="Y279" i="2"/>
  <c r="Z279" i="2" s="1"/>
  <c r="U279" i="2"/>
  <c r="R279" i="2"/>
  <c r="P279" i="2"/>
  <c r="AA278" i="2"/>
  <c r="Y278" i="2"/>
  <c r="Z278" i="2" s="1"/>
  <c r="U278" i="2"/>
  <c r="R278" i="2"/>
  <c r="P278" i="2"/>
  <c r="AA277" i="2"/>
  <c r="Y277" i="2"/>
  <c r="Z277" i="2" s="1"/>
  <c r="U277" i="2"/>
  <c r="R277" i="2"/>
  <c r="P277" i="2"/>
  <c r="AA276" i="2"/>
  <c r="AB276" i="2" s="1"/>
  <c r="Y276" i="2"/>
  <c r="Z276" i="2" s="1"/>
  <c r="U276" i="2"/>
  <c r="R276" i="2"/>
  <c r="P276" i="2"/>
  <c r="AA275" i="2"/>
  <c r="AB275" i="2" s="1"/>
  <c r="Y275" i="2"/>
  <c r="Z275" i="2" s="1"/>
  <c r="U275" i="2"/>
  <c r="R275" i="2"/>
  <c r="P275" i="2"/>
  <c r="AA274" i="2"/>
  <c r="AB274" i="2" s="1"/>
  <c r="Y274" i="2"/>
  <c r="Z274" i="2" s="1"/>
  <c r="U274" i="2"/>
  <c r="R274" i="2"/>
  <c r="P274" i="2"/>
  <c r="AA273" i="2"/>
  <c r="AB273" i="2" s="1"/>
  <c r="Y273" i="2"/>
  <c r="Z273" i="2" s="1"/>
  <c r="U273" i="2"/>
  <c r="R273" i="2"/>
  <c r="P273" i="2"/>
  <c r="AA272" i="2"/>
  <c r="AB272" i="2" s="1"/>
  <c r="Y272" i="2"/>
  <c r="Z272" i="2" s="1"/>
  <c r="U272" i="2"/>
  <c r="R272" i="2"/>
  <c r="P272" i="2"/>
  <c r="AA271" i="2"/>
  <c r="Y271" i="2"/>
  <c r="Z271" i="2" s="1"/>
  <c r="U271" i="2"/>
  <c r="R271" i="2"/>
  <c r="P271" i="2"/>
  <c r="AA270" i="2"/>
  <c r="Y270" i="2"/>
  <c r="Z270" i="2" s="1"/>
  <c r="U270" i="2"/>
  <c r="R270" i="2"/>
  <c r="P270" i="2"/>
  <c r="AA269" i="2"/>
  <c r="AB269" i="2" s="1"/>
  <c r="Y269" i="2"/>
  <c r="Z269" i="2" s="1"/>
  <c r="U269" i="2"/>
  <c r="R269" i="2"/>
  <c r="P269" i="2"/>
  <c r="AA268" i="2"/>
  <c r="Y268" i="2"/>
  <c r="Z268" i="2" s="1"/>
  <c r="U268" i="2"/>
  <c r="R268" i="2"/>
  <c r="P268" i="2"/>
  <c r="AA267" i="2"/>
  <c r="AB267" i="2" s="1"/>
  <c r="Y267" i="2"/>
  <c r="Z267" i="2" s="1"/>
  <c r="U267" i="2"/>
  <c r="R267" i="2"/>
  <c r="P267" i="2"/>
  <c r="AA266" i="2"/>
  <c r="AB266" i="2" s="1"/>
  <c r="Y266" i="2"/>
  <c r="Z266" i="2" s="1"/>
  <c r="U266" i="2"/>
  <c r="R266" i="2"/>
  <c r="P266" i="2"/>
  <c r="AA265" i="2"/>
  <c r="Y265" i="2"/>
  <c r="Z265" i="2" s="1"/>
  <c r="U265" i="2"/>
  <c r="R265" i="2"/>
  <c r="P265" i="2"/>
  <c r="AA264" i="2"/>
  <c r="AB264" i="2" s="1"/>
  <c r="Y264" i="2"/>
  <c r="Z264" i="2" s="1"/>
  <c r="U264" i="2"/>
  <c r="R264" i="2"/>
  <c r="P264" i="2"/>
  <c r="AA263" i="2"/>
  <c r="Y263" i="2"/>
  <c r="U263" i="2"/>
  <c r="R263" i="2"/>
  <c r="P263" i="2"/>
  <c r="AA262" i="2"/>
  <c r="Y262" i="2"/>
  <c r="Z262" i="2" s="1"/>
  <c r="U262" i="2"/>
  <c r="R262" i="2"/>
  <c r="P262" i="2"/>
  <c r="AA261" i="2"/>
  <c r="AB261" i="2" s="1"/>
  <c r="Y261" i="2"/>
  <c r="Z261" i="2" s="1"/>
  <c r="U261" i="2"/>
  <c r="R261" i="2"/>
  <c r="P261" i="2"/>
  <c r="AA260" i="2"/>
  <c r="Y260" i="2"/>
  <c r="Z260" i="2" s="1"/>
  <c r="U260" i="2"/>
  <c r="R260" i="2"/>
  <c r="P260" i="2"/>
  <c r="AA259" i="2"/>
  <c r="AB259" i="2" s="1"/>
  <c r="Y259" i="2"/>
  <c r="Z259" i="2" s="1"/>
  <c r="U259" i="2"/>
  <c r="R259" i="2"/>
  <c r="P259" i="2"/>
  <c r="AA258" i="2"/>
  <c r="Y258" i="2"/>
  <c r="Z258" i="2" s="1"/>
  <c r="U258" i="2"/>
  <c r="R258" i="2"/>
  <c r="P258" i="2"/>
  <c r="AA257" i="2"/>
  <c r="AB257" i="2" s="1"/>
  <c r="Y257" i="2"/>
  <c r="Z257" i="2" s="1"/>
  <c r="U257" i="2"/>
  <c r="R257" i="2"/>
  <c r="P257" i="2"/>
  <c r="AA256" i="2"/>
  <c r="AB256" i="2" s="1"/>
  <c r="Y256" i="2"/>
  <c r="Z256" i="2" s="1"/>
  <c r="U256" i="2"/>
  <c r="R256" i="2"/>
  <c r="P256" i="2"/>
  <c r="AA255" i="2"/>
  <c r="AB255" i="2" s="1"/>
  <c r="Y255" i="2"/>
  <c r="Z255" i="2" s="1"/>
  <c r="U255" i="2"/>
  <c r="R255" i="2"/>
  <c r="P255" i="2"/>
  <c r="AA254" i="2"/>
  <c r="AB254" i="2" s="1"/>
  <c r="Y254" i="2"/>
  <c r="Z254" i="2" s="1"/>
  <c r="U254" i="2"/>
  <c r="R254" i="2"/>
  <c r="P254" i="2"/>
  <c r="AA253" i="2"/>
  <c r="Y253" i="2"/>
  <c r="Z253" i="2" s="1"/>
  <c r="U253" i="2"/>
  <c r="R253" i="2"/>
  <c r="P253" i="2"/>
  <c r="AA252" i="2"/>
  <c r="AB252" i="2" s="1"/>
  <c r="Y252" i="2"/>
  <c r="Z252" i="2" s="1"/>
  <c r="U252" i="2"/>
  <c r="R252" i="2"/>
  <c r="P252" i="2"/>
  <c r="AA251" i="2"/>
  <c r="AB251" i="2" s="1"/>
  <c r="Y251" i="2"/>
  <c r="Z251" i="2" s="1"/>
  <c r="U251" i="2"/>
  <c r="R251" i="2"/>
  <c r="P251" i="2"/>
  <c r="AA250" i="2"/>
  <c r="AB250" i="2" s="1"/>
  <c r="Y250" i="2"/>
  <c r="Z250" i="2" s="1"/>
  <c r="U250" i="2"/>
  <c r="R250" i="2"/>
  <c r="P250" i="2"/>
  <c r="AA249" i="2"/>
  <c r="AB249" i="2" s="1"/>
  <c r="Y249" i="2"/>
  <c r="Z249" i="2" s="1"/>
  <c r="U249" i="2"/>
  <c r="R249" i="2"/>
  <c r="P249" i="2"/>
  <c r="AA248" i="2"/>
  <c r="Y248" i="2"/>
  <c r="Z248" i="2" s="1"/>
  <c r="U248" i="2"/>
  <c r="R248" i="2"/>
  <c r="P248" i="2"/>
  <c r="AA247" i="2"/>
  <c r="Y247" i="2"/>
  <c r="Z247" i="2" s="1"/>
  <c r="U247" i="2"/>
  <c r="R247" i="2"/>
  <c r="P247" i="2"/>
  <c r="AA246" i="2"/>
  <c r="AB246" i="2" s="1"/>
  <c r="Y246" i="2"/>
  <c r="Z246" i="2" s="1"/>
  <c r="U246" i="2"/>
  <c r="R246" i="2"/>
  <c r="P246" i="2"/>
  <c r="AA245" i="2"/>
  <c r="AB245" i="2" s="1"/>
  <c r="Y245" i="2"/>
  <c r="Z245" i="2" s="1"/>
  <c r="U245" i="2"/>
  <c r="R245" i="2"/>
  <c r="P245" i="2"/>
  <c r="AA244" i="2"/>
  <c r="Y244" i="2"/>
  <c r="Z244" i="2" s="1"/>
  <c r="U244" i="2"/>
  <c r="R244" i="2"/>
  <c r="P244" i="2"/>
  <c r="AA243" i="2"/>
  <c r="AB243" i="2" s="1"/>
  <c r="Y243" i="2"/>
  <c r="Z243" i="2" s="1"/>
  <c r="U243" i="2"/>
  <c r="R243" i="2"/>
  <c r="P243" i="2"/>
  <c r="AA242" i="2"/>
  <c r="AB242" i="2" s="1"/>
  <c r="Y242" i="2"/>
  <c r="Z242" i="2" s="1"/>
  <c r="U242" i="2"/>
  <c r="R242" i="2"/>
  <c r="P242" i="2"/>
  <c r="AA241" i="2"/>
  <c r="Y241" i="2"/>
  <c r="Z241" i="2" s="1"/>
  <c r="U241" i="2"/>
  <c r="R241" i="2"/>
  <c r="P241" i="2"/>
  <c r="AA240" i="2"/>
  <c r="AB240" i="2" s="1"/>
  <c r="Y240" i="2"/>
  <c r="Z240" i="2" s="1"/>
  <c r="U240" i="2"/>
  <c r="R240" i="2"/>
  <c r="P240" i="2"/>
  <c r="AA239" i="2"/>
  <c r="Y239" i="2"/>
  <c r="Z239" i="2" s="1"/>
  <c r="U239" i="2"/>
  <c r="R239" i="2"/>
  <c r="P239" i="2"/>
  <c r="AA238" i="2"/>
  <c r="Y238" i="2"/>
  <c r="Z238" i="2" s="1"/>
  <c r="U238" i="2"/>
  <c r="R238" i="2"/>
  <c r="P238" i="2"/>
  <c r="AA237" i="2"/>
  <c r="Y237" i="2"/>
  <c r="Z237" i="2" s="1"/>
  <c r="U237" i="2"/>
  <c r="R237" i="2"/>
  <c r="P237" i="2"/>
  <c r="AA236" i="2"/>
  <c r="AB236" i="2" s="1"/>
  <c r="Y236" i="2"/>
  <c r="Z236" i="2" s="1"/>
  <c r="U236" i="2"/>
  <c r="R236" i="2"/>
  <c r="P236" i="2"/>
  <c r="AA235" i="2"/>
  <c r="AB235" i="2" s="1"/>
  <c r="Y235" i="2"/>
  <c r="Z235" i="2" s="1"/>
  <c r="U235" i="2"/>
  <c r="R235" i="2"/>
  <c r="P235" i="2"/>
  <c r="AA234" i="2"/>
  <c r="AB234" i="2" s="1"/>
  <c r="Y234" i="2"/>
  <c r="Z234" i="2" s="1"/>
  <c r="U234" i="2"/>
  <c r="R234" i="2"/>
  <c r="P234" i="2"/>
  <c r="AA233" i="2"/>
  <c r="AB233" i="2" s="1"/>
  <c r="Y233" i="2"/>
  <c r="Z233" i="2" s="1"/>
  <c r="U233" i="2"/>
  <c r="R233" i="2"/>
  <c r="P233" i="2"/>
  <c r="AA232" i="2"/>
  <c r="AB232" i="2" s="1"/>
  <c r="Y232" i="2"/>
  <c r="Z232" i="2" s="1"/>
  <c r="U232" i="2"/>
  <c r="R232" i="2"/>
  <c r="P232" i="2"/>
  <c r="AA231" i="2"/>
  <c r="Y231" i="2"/>
  <c r="Z231" i="2" s="1"/>
  <c r="U231" i="2"/>
  <c r="R231" i="2"/>
  <c r="P231" i="2"/>
  <c r="AA230" i="2"/>
  <c r="Y230" i="2"/>
  <c r="Z230" i="2" s="1"/>
  <c r="U230" i="2"/>
  <c r="R230" i="2"/>
  <c r="P230" i="2"/>
  <c r="AA229" i="2"/>
  <c r="Y229" i="2"/>
  <c r="Z229" i="2" s="1"/>
  <c r="U229" i="2"/>
  <c r="R229" i="2"/>
  <c r="P229" i="2"/>
  <c r="AA228" i="2"/>
  <c r="Y228" i="2"/>
  <c r="U228" i="2"/>
  <c r="R228" i="2"/>
  <c r="P228" i="2"/>
  <c r="AA227" i="2"/>
  <c r="Y227" i="2"/>
  <c r="Z227" i="2" s="1"/>
  <c r="U227" i="2"/>
  <c r="R227" i="2"/>
  <c r="P227" i="2"/>
  <c r="AA226" i="2"/>
  <c r="AB226" i="2" s="1"/>
  <c r="Y226" i="2"/>
  <c r="Z226" i="2" s="1"/>
  <c r="U226" i="2"/>
  <c r="R226" i="2"/>
  <c r="P226" i="2"/>
  <c r="AA225" i="2"/>
  <c r="Y225" i="2"/>
  <c r="Z225" i="2" s="1"/>
  <c r="U225" i="2"/>
  <c r="R225" i="2"/>
  <c r="P225" i="2"/>
  <c r="AA224" i="2"/>
  <c r="AB224" i="2" s="1"/>
  <c r="Y224" i="2"/>
  <c r="Z224" i="2" s="1"/>
  <c r="U224" i="2"/>
  <c r="R224" i="2"/>
  <c r="P224" i="2"/>
  <c r="AA223" i="2"/>
  <c r="Y223" i="2"/>
  <c r="U223" i="2"/>
  <c r="R223" i="2"/>
  <c r="P223" i="2"/>
  <c r="AA222" i="2"/>
  <c r="Y222" i="2"/>
  <c r="U222" i="2"/>
  <c r="R222" i="2"/>
  <c r="P222" i="2"/>
  <c r="AA221" i="2"/>
  <c r="Y221" i="2"/>
  <c r="Z221" i="2" s="1"/>
  <c r="U221" i="2"/>
  <c r="R221" i="2"/>
  <c r="P221" i="2"/>
  <c r="AA220" i="2"/>
  <c r="AB220" i="2" s="1"/>
  <c r="Y220" i="2"/>
  <c r="Z220" i="2" s="1"/>
  <c r="U220" i="2"/>
  <c r="R220" i="2"/>
  <c r="P220" i="2"/>
  <c r="AA219" i="2"/>
  <c r="AB219" i="2" s="1"/>
  <c r="Y219" i="2"/>
  <c r="Z219" i="2" s="1"/>
  <c r="U219" i="2"/>
  <c r="R219" i="2"/>
  <c r="P219" i="2"/>
  <c r="AA218" i="2"/>
  <c r="Y218" i="2"/>
  <c r="U218" i="2"/>
  <c r="R218" i="2"/>
  <c r="P218" i="2"/>
  <c r="AA217" i="2"/>
  <c r="AB217" i="2" s="1"/>
  <c r="Y217" i="2"/>
  <c r="Z217" i="2" s="1"/>
  <c r="U217" i="2"/>
  <c r="R217" i="2"/>
  <c r="P217" i="2"/>
  <c r="AA216" i="2"/>
  <c r="AB216" i="2" s="1"/>
  <c r="Y216" i="2"/>
  <c r="Z216" i="2" s="1"/>
  <c r="U216" i="2"/>
  <c r="R216" i="2"/>
  <c r="P216" i="2"/>
  <c r="AA215" i="2"/>
  <c r="Y215" i="2"/>
  <c r="Z215" i="2" s="1"/>
  <c r="U215" i="2"/>
  <c r="R215" i="2"/>
  <c r="P215" i="2"/>
  <c r="AA214" i="2"/>
  <c r="Y214" i="2"/>
  <c r="Z214" i="2" s="1"/>
  <c r="U214" i="2"/>
  <c r="R214" i="2"/>
  <c r="P214" i="2"/>
  <c r="AA213" i="2"/>
  <c r="AB213" i="2" s="1"/>
  <c r="Y213" i="2"/>
  <c r="Z213" i="2" s="1"/>
  <c r="U213" i="2"/>
  <c r="R213" i="2"/>
  <c r="P213" i="2"/>
  <c r="AA212" i="2"/>
  <c r="Y212" i="2"/>
  <c r="Z212" i="2" s="1"/>
  <c r="U212" i="2"/>
  <c r="R212" i="2"/>
  <c r="P212" i="2"/>
  <c r="AA211" i="2"/>
  <c r="AB211" i="2" s="1"/>
  <c r="Y211" i="2"/>
  <c r="Z211" i="2" s="1"/>
  <c r="U211" i="2"/>
  <c r="R211" i="2"/>
  <c r="P211" i="2"/>
  <c r="AA210" i="2"/>
  <c r="Y210" i="2"/>
  <c r="Z210" i="2" s="1"/>
  <c r="U210" i="2"/>
  <c r="R210" i="2"/>
  <c r="P210" i="2"/>
  <c r="AA209" i="2"/>
  <c r="AB209" i="2" s="1"/>
  <c r="Y209" i="2"/>
  <c r="Z209" i="2" s="1"/>
  <c r="U209" i="2"/>
  <c r="R209" i="2"/>
  <c r="P209" i="2"/>
  <c r="AA208" i="2"/>
  <c r="Y208" i="2"/>
  <c r="Z208" i="2" s="1"/>
  <c r="U208" i="2"/>
  <c r="R208" i="2"/>
  <c r="P208" i="2"/>
  <c r="AA207" i="2"/>
  <c r="Y207" i="2"/>
  <c r="Z207" i="2" s="1"/>
  <c r="U207" i="2"/>
  <c r="R207" i="2"/>
  <c r="P207" i="2"/>
  <c r="AA206" i="2"/>
  <c r="Y206" i="2"/>
  <c r="Z206" i="2" s="1"/>
  <c r="U206" i="2"/>
  <c r="R206" i="2"/>
  <c r="P206" i="2"/>
  <c r="AA205" i="2"/>
  <c r="AB205" i="2" s="1"/>
  <c r="Y205" i="2"/>
  <c r="Z205" i="2" s="1"/>
  <c r="U205" i="2"/>
  <c r="R205" i="2"/>
  <c r="P205" i="2"/>
  <c r="AA204" i="2"/>
  <c r="Y204" i="2"/>
  <c r="Z204" i="2" s="1"/>
  <c r="U204" i="2"/>
  <c r="R204" i="2"/>
  <c r="P204" i="2"/>
  <c r="AA203" i="2"/>
  <c r="Y203" i="2"/>
  <c r="U203" i="2"/>
  <c r="R203" i="2"/>
  <c r="P203" i="2"/>
  <c r="AA202" i="2"/>
  <c r="AB202" i="2" s="1"/>
  <c r="Y202" i="2"/>
  <c r="Z202" i="2" s="1"/>
  <c r="U202" i="2"/>
  <c r="R202" i="2"/>
  <c r="P202" i="2"/>
  <c r="AA201" i="2"/>
  <c r="Y201" i="2"/>
  <c r="Z201" i="2" s="1"/>
  <c r="U201" i="2"/>
  <c r="R201" i="2"/>
  <c r="P201" i="2"/>
  <c r="AA200" i="2"/>
  <c r="AB200" i="2" s="1"/>
  <c r="Y200" i="2"/>
  <c r="Z200" i="2" s="1"/>
  <c r="U200" i="2"/>
  <c r="R200" i="2"/>
  <c r="P200" i="2"/>
  <c r="AA199" i="2"/>
  <c r="AB199" i="2" s="1"/>
  <c r="Y199" i="2"/>
  <c r="Z199" i="2" s="1"/>
  <c r="U199" i="2"/>
  <c r="R199" i="2"/>
  <c r="P199" i="2"/>
  <c r="AA198" i="2"/>
  <c r="Y198" i="2"/>
  <c r="Z198" i="2" s="1"/>
  <c r="U198" i="2"/>
  <c r="R198" i="2"/>
  <c r="P198" i="2"/>
  <c r="AA197" i="2"/>
  <c r="AB197" i="2" s="1"/>
  <c r="Y197" i="2"/>
  <c r="Z197" i="2" s="1"/>
  <c r="U197" i="2"/>
  <c r="R197" i="2"/>
  <c r="P197" i="2"/>
  <c r="AA196" i="2"/>
  <c r="Y196" i="2"/>
  <c r="Z196" i="2" s="1"/>
  <c r="U196" i="2"/>
  <c r="R196" i="2"/>
  <c r="P196" i="2"/>
  <c r="AA195" i="2"/>
  <c r="Y195" i="2"/>
  <c r="U195" i="2"/>
  <c r="R195" i="2"/>
  <c r="P195" i="2"/>
  <c r="AA194" i="2"/>
  <c r="AB194" i="2" s="1"/>
  <c r="Y194" i="2"/>
  <c r="Z194" i="2" s="1"/>
  <c r="U194" i="2"/>
  <c r="R194" i="2"/>
  <c r="P194" i="2"/>
  <c r="AA193" i="2"/>
  <c r="Y193" i="2"/>
  <c r="Z193" i="2" s="1"/>
  <c r="U193" i="2"/>
  <c r="R193" i="2"/>
  <c r="P193" i="2"/>
  <c r="AA192" i="2"/>
  <c r="AB192" i="2" s="1"/>
  <c r="Y192" i="2"/>
  <c r="Z192" i="2" s="1"/>
  <c r="U192" i="2"/>
  <c r="R192" i="2"/>
  <c r="P192" i="2"/>
  <c r="AA191" i="2"/>
  <c r="Y191" i="2"/>
  <c r="Z191" i="2" s="1"/>
  <c r="U191" i="2"/>
  <c r="R191" i="2"/>
  <c r="P191" i="2"/>
  <c r="AA190" i="2"/>
  <c r="Y190" i="2"/>
  <c r="Z190" i="2" s="1"/>
  <c r="U190" i="2"/>
  <c r="R190" i="2"/>
  <c r="P190" i="2"/>
  <c r="AA189" i="2"/>
  <c r="Y189" i="2"/>
  <c r="Z189" i="2" s="1"/>
  <c r="U189" i="2"/>
  <c r="R189" i="2"/>
  <c r="P189" i="2"/>
  <c r="AA188" i="2"/>
  <c r="Y188" i="2"/>
  <c r="Z188" i="2" s="1"/>
  <c r="U188" i="2"/>
  <c r="R188" i="2"/>
  <c r="P188" i="2"/>
  <c r="AA187" i="2"/>
  <c r="AB187" i="2" s="1"/>
  <c r="Y187" i="2"/>
  <c r="Z187" i="2" s="1"/>
  <c r="U187" i="2"/>
  <c r="R187" i="2"/>
  <c r="P187" i="2"/>
  <c r="AA186" i="2"/>
  <c r="AB186" i="2" s="1"/>
  <c r="Y186" i="2"/>
  <c r="Z186" i="2" s="1"/>
  <c r="U186" i="2"/>
  <c r="R186" i="2"/>
  <c r="P186" i="2"/>
  <c r="AA185" i="2"/>
  <c r="Y185" i="2"/>
  <c r="U185" i="2"/>
  <c r="R185" i="2"/>
  <c r="P185" i="2"/>
  <c r="AA184" i="2"/>
  <c r="Y184" i="2"/>
  <c r="Z184" i="2" s="1"/>
  <c r="U184" i="2"/>
  <c r="R184" i="2"/>
  <c r="P184" i="2"/>
  <c r="AA183" i="2"/>
  <c r="Y183" i="2"/>
  <c r="Z183" i="2" s="1"/>
  <c r="U183" i="2"/>
  <c r="R183" i="2"/>
  <c r="P183" i="2"/>
  <c r="AA182" i="2"/>
  <c r="Y182" i="2"/>
  <c r="Z182" i="2" s="1"/>
  <c r="U182" i="2"/>
  <c r="R182" i="2"/>
  <c r="P182" i="2"/>
  <c r="AA181" i="2"/>
  <c r="AB181" i="2" s="1"/>
  <c r="Y181" i="2"/>
  <c r="Z181" i="2" s="1"/>
  <c r="U181" i="2"/>
  <c r="R181" i="2"/>
  <c r="P181" i="2"/>
  <c r="AA180" i="2"/>
  <c r="Y180" i="2"/>
  <c r="U180" i="2"/>
  <c r="R180" i="2"/>
  <c r="P180" i="2"/>
  <c r="AA179" i="2"/>
  <c r="AB179" i="2" s="1"/>
  <c r="Y179" i="2"/>
  <c r="Z179" i="2" s="1"/>
  <c r="U179" i="2"/>
  <c r="R179" i="2"/>
  <c r="P179" i="2"/>
  <c r="AA178" i="2"/>
  <c r="Y178" i="2"/>
  <c r="Z178" i="2" s="1"/>
  <c r="U178" i="2"/>
  <c r="R178" i="2"/>
  <c r="P178" i="2"/>
  <c r="AA177" i="2"/>
  <c r="Y177" i="2"/>
  <c r="Z177" i="2" s="1"/>
  <c r="U177" i="2"/>
  <c r="R177" i="2"/>
  <c r="P177" i="2"/>
  <c r="AA176" i="2"/>
  <c r="Y176" i="2"/>
  <c r="Z176" i="2" s="1"/>
  <c r="U176" i="2"/>
  <c r="R176" i="2"/>
  <c r="P176" i="2"/>
  <c r="AA175" i="2"/>
  <c r="Y175" i="2"/>
  <c r="Z175" i="2" s="1"/>
  <c r="U175" i="2"/>
  <c r="R175" i="2"/>
  <c r="P175" i="2"/>
  <c r="AA174" i="2"/>
  <c r="Y174" i="2"/>
  <c r="Z174" i="2" s="1"/>
  <c r="U174" i="2"/>
  <c r="R174" i="2"/>
  <c r="P174" i="2"/>
  <c r="AA173" i="2"/>
  <c r="AB173" i="2" s="1"/>
  <c r="Y173" i="2"/>
  <c r="Z173" i="2" s="1"/>
  <c r="U173" i="2"/>
  <c r="R173" i="2"/>
  <c r="P173" i="2"/>
  <c r="AA172" i="2"/>
  <c r="AB172" i="2" s="1"/>
  <c r="Y172" i="2"/>
  <c r="Z172" i="2" s="1"/>
  <c r="U172" i="2"/>
  <c r="R172" i="2"/>
  <c r="P172" i="2"/>
  <c r="AA171" i="2"/>
  <c r="Y171" i="2"/>
  <c r="Z171" i="2" s="1"/>
  <c r="U171" i="2"/>
  <c r="R171" i="2"/>
  <c r="P171" i="2"/>
  <c r="AA170" i="2"/>
  <c r="AB170" i="2" s="1"/>
  <c r="Y170" i="2"/>
  <c r="Z170" i="2" s="1"/>
  <c r="U170" i="2"/>
  <c r="R170" i="2"/>
  <c r="P170" i="2"/>
  <c r="AA169" i="2"/>
  <c r="AB169" i="2" s="1"/>
  <c r="Y169" i="2"/>
  <c r="Z169" i="2" s="1"/>
  <c r="U169" i="2"/>
  <c r="R169" i="2"/>
  <c r="P169" i="2"/>
  <c r="AA168" i="2"/>
  <c r="AB168" i="2" s="1"/>
  <c r="Y168" i="2"/>
  <c r="Z168" i="2" s="1"/>
  <c r="U168" i="2"/>
  <c r="R168" i="2"/>
  <c r="P168" i="2"/>
  <c r="AA167" i="2"/>
  <c r="AB167" i="2" s="1"/>
  <c r="Y167" i="2"/>
  <c r="Z167" i="2" s="1"/>
  <c r="U167" i="2"/>
  <c r="R167" i="2"/>
  <c r="P167" i="2"/>
  <c r="AA166" i="2"/>
  <c r="AB166" i="2" s="1"/>
  <c r="Y166" i="2"/>
  <c r="Z166" i="2" s="1"/>
  <c r="U166" i="2"/>
  <c r="R166" i="2"/>
  <c r="P166" i="2"/>
  <c r="AA165" i="2"/>
  <c r="AB165" i="2" s="1"/>
  <c r="Y165" i="2"/>
  <c r="Z165" i="2" s="1"/>
  <c r="U165" i="2"/>
  <c r="R165" i="2"/>
  <c r="P165" i="2"/>
  <c r="AA164" i="2"/>
  <c r="AB164" i="2" s="1"/>
  <c r="Y164" i="2"/>
  <c r="Z164" i="2" s="1"/>
  <c r="U164" i="2"/>
  <c r="R164" i="2"/>
  <c r="P164" i="2"/>
  <c r="AA163" i="2"/>
  <c r="Y163" i="2"/>
  <c r="U163" i="2"/>
  <c r="R163" i="2"/>
  <c r="P163" i="2"/>
  <c r="AA162" i="2"/>
  <c r="AB162" i="2" s="1"/>
  <c r="Y162" i="2"/>
  <c r="Z162" i="2" s="1"/>
  <c r="U162" i="2"/>
  <c r="R162" i="2"/>
  <c r="P162" i="2"/>
  <c r="AA161" i="2"/>
  <c r="AB161" i="2" s="1"/>
  <c r="Y161" i="2"/>
  <c r="Z161" i="2" s="1"/>
  <c r="U161" i="2"/>
  <c r="R161" i="2"/>
  <c r="P161" i="2"/>
  <c r="AA160" i="2"/>
  <c r="Y160" i="2"/>
  <c r="Z160" i="2" s="1"/>
  <c r="U160" i="2"/>
  <c r="R160" i="2"/>
  <c r="P160" i="2"/>
  <c r="AA159" i="2"/>
  <c r="Y159" i="2"/>
  <c r="Z159" i="2" s="1"/>
  <c r="U159" i="2"/>
  <c r="R159" i="2"/>
  <c r="P159" i="2"/>
  <c r="AA158" i="2"/>
  <c r="Y158" i="2"/>
  <c r="Z158" i="2" s="1"/>
  <c r="U158" i="2"/>
  <c r="R158" i="2"/>
  <c r="P158" i="2"/>
  <c r="AA157" i="2"/>
  <c r="AB157" i="2" s="1"/>
  <c r="Y157" i="2"/>
  <c r="Z157" i="2" s="1"/>
  <c r="U157" i="2"/>
  <c r="R157" i="2"/>
  <c r="P157" i="2"/>
  <c r="AA156" i="2"/>
  <c r="Y156" i="2"/>
  <c r="Z156" i="2" s="1"/>
  <c r="U156" i="2"/>
  <c r="R156" i="2"/>
  <c r="P156" i="2"/>
  <c r="AA155" i="2"/>
  <c r="Y155" i="2"/>
  <c r="Z155" i="2" s="1"/>
  <c r="U155" i="2"/>
  <c r="R155" i="2"/>
  <c r="P155" i="2"/>
  <c r="AA154" i="2"/>
  <c r="Y154" i="2"/>
  <c r="Z154" i="2" s="1"/>
  <c r="U154" i="2"/>
  <c r="R154" i="2"/>
  <c r="P154" i="2"/>
  <c r="AA153" i="2"/>
  <c r="AB153" i="2" s="1"/>
  <c r="Y153" i="2"/>
  <c r="Z153" i="2" s="1"/>
  <c r="U153" i="2"/>
  <c r="R153" i="2"/>
  <c r="P153" i="2"/>
  <c r="AA152" i="2"/>
  <c r="AB152" i="2" s="1"/>
  <c r="Y152" i="2"/>
  <c r="Z152" i="2" s="1"/>
  <c r="U152" i="2"/>
  <c r="R152" i="2"/>
  <c r="P152" i="2"/>
  <c r="AA151" i="2"/>
  <c r="AB151" i="2" s="1"/>
  <c r="Y151" i="2"/>
  <c r="Z151" i="2" s="1"/>
  <c r="U151" i="2"/>
  <c r="R151" i="2"/>
  <c r="P151" i="2"/>
  <c r="AA150" i="2"/>
  <c r="AB150" i="2" s="1"/>
  <c r="Y150" i="2"/>
  <c r="Z150" i="2" s="1"/>
  <c r="U150" i="2"/>
  <c r="R150" i="2"/>
  <c r="P150" i="2"/>
  <c r="AA149" i="2"/>
  <c r="AB149" i="2" s="1"/>
  <c r="Y149" i="2"/>
  <c r="Z149" i="2" s="1"/>
  <c r="U149" i="2"/>
  <c r="R149" i="2"/>
  <c r="P149" i="2"/>
  <c r="AA148" i="2"/>
  <c r="Y148" i="2"/>
  <c r="Z148" i="2" s="1"/>
  <c r="U148" i="2"/>
  <c r="R148" i="2"/>
  <c r="P148" i="2"/>
  <c r="AA147" i="2"/>
  <c r="Y147" i="2"/>
  <c r="U147" i="2"/>
  <c r="R147" i="2"/>
  <c r="P147" i="2"/>
  <c r="AA146" i="2"/>
  <c r="AB146" i="2" s="1"/>
  <c r="Y146" i="2"/>
  <c r="Z146" i="2" s="1"/>
  <c r="U146" i="2"/>
  <c r="R146" i="2"/>
  <c r="P146" i="2"/>
  <c r="AA145" i="2"/>
  <c r="Y145" i="2"/>
  <c r="Z145" i="2" s="1"/>
  <c r="U145" i="2"/>
  <c r="R145" i="2"/>
  <c r="P145" i="2"/>
  <c r="AA144" i="2"/>
  <c r="AB144" i="2" s="1"/>
  <c r="Y144" i="2"/>
  <c r="Z144" i="2" s="1"/>
  <c r="U144" i="2"/>
  <c r="R144" i="2"/>
  <c r="P144" i="2"/>
  <c r="AA143" i="2"/>
  <c r="Y143" i="2"/>
  <c r="Z143" i="2" s="1"/>
  <c r="U143" i="2"/>
  <c r="R143" i="2"/>
  <c r="P143" i="2"/>
  <c r="AA142" i="2"/>
  <c r="Y142" i="2"/>
  <c r="Z142" i="2" s="1"/>
  <c r="U142" i="2"/>
  <c r="R142" i="2"/>
  <c r="P142" i="2"/>
  <c r="AA141" i="2"/>
  <c r="AB141" i="2" s="1"/>
  <c r="Y141" i="2"/>
  <c r="Z141" i="2" s="1"/>
  <c r="U141" i="2"/>
  <c r="R141" i="2"/>
  <c r="P141" i="2"/>
  <c r="AA140" i="2"/>
  <c r="Y140" i="2"/>
  <c r="Z140" i="2" s="1"/>
  <c r="U140" i="2"/>
  <c r="R140" i="2"/>
  <c r="P140" i="2"/>
  <c r="AA139" i="2"/>
  <c r="Y139" i="2"/>
  <c r="Z139" i="2" s="1"/>
  <c r="U139" i="2"/>
  <c r="R139" i="2"/>
  <c r="P139" i="2"/>
  <c r="AA138" i="2"/>
  <c r="Y138" i="2"/>
  <c r="Z138" i="2" s="1"/>
  <c r="U138" i="2"/>
  <c r="R138" i="2"/>
  <c r="P138" i="2"/>
  <c r="AA137" i="2"/>
  <c r="Y137" i="2"/>
  <c r="U137" i="2"/>
  <c r="R137" i="2"/>
  <c r="P137" i="2"/>
  <c r="AA136" i="2"/>
  <c r="AB136" i="2" s="1"/>
  <c r="Y136" i="2"/>
  <c r="Z136" i="2" s="1"/>
  <c r="U136" i="2"/>
  <c r="R136" i="2"/>
  <c r="P136" i="2"/>
  <c r="AA135" i="2"/>
  <c r="AB135" i="2" s="1"/>
  <c r="Y135" i="2"/>
  <c r="Z135" i="2" s="1"/>
  <c r="U135" i="2"/>
  <c r="R135" i="2"/>
  <c r="P135" i="2"/>
  <c r="AA134" i="2"/>
  <c r="Y134" i="2"/>
  <c r="Z134" i="2" s="1"/>
  <c r="U134" i="2"/>
  <c r="R134" i="2"/>
  <c r="P134" i="2"/>
  <c r="AA133" i="2"/>
  <c r="Y133" i="2"/>
  <c r="Z133" i="2" s="1"/>
  <c r="U133" i="2"/>
  <c r="R133" i="2"/>
  <c r="P133" i="2"/>
  <c r="AA132" i="2"/>
  <c r="AB132" i="2" s="1"/>
  <c r="Y132" i="2"/>
  <c r="Z132" i="2" s="1"/>
  <c r="U132" i="2"/>
  <c r="R132" i="2"/>
  <c r="P132" i="2"/>
  <c r="AA131" i="2"/>
  <c r="Y131" i="2"/>
  <c r="Z131" i="2" s="1"/>
  <c r="U131" i="2"/>
  <c r="R131" i="2"/>
  <c r="P131" i="2"/>
  <c r="AA130" i="2"/>
  <c r="Y130" i="2"/>
  <c r="Z130" i="2" s="1"/>
  <c r="U130" i="2"/>
  <c r="R130" i="2"/>
  <c r="P130" i="2"/>
  <c r="AA129" i="2"/>
  <c r="Y129" i="2"/>
  <c r="Z129" i="2" s="1"/>
  <c r="U129" i="2"/>
  <c r="R129" i="2"/>
  <c r="P129" i="2"/>
  <c r="AA128" i="2"/>
  <c r="AB128" i="2" s="1"/>
  <c r="Y128" i="2"/>
  <c r="Z128" i="2" s="1"/>
  <c r="U128" i="2"/>
  <c r="R128" i="2"/>
  <c r="P128" i="2"/>
  <c r="AA127" i="2"/>
  <c r="Y127" i="2"/>
  <c r="U127" i="2"/>
  <c r="R127" i="2"/>
  <c r="P127" i="2"/>
  <c r="AA126" i="2"/>
  <c r="AB126" i="2" s="1"/>
  <c r="Y126" i="2"/>
  <c r="Z126" i="2" s="1"/>
  <c r="U126" i="2"/>
  <c r="R126" i="2"/>
  <c r="P126" i="2"/>
  <c r="AA125" i="2"/>
  <c r="Y125" i="2"/>
  <c r="Z125" i="2" s="1"/>
  <c r="U125" i="2"/>
  <c r="R125" i="2"/>
  <c r="P125" i="2"/>
  <c r="AA124" i="2"/>
  <c r="Y124" i="2"/>
  <c r="Z124" i="2" s="1"/>
  <c r="U124" i="2"/>
  <c r="R124" i="2"/>
  <c r="P124" i="2"/>
  <c r="AA123" i="2"/>
  <c r="AB123" i="2" s="1"/>
  <c r="Y123" i="2"/>
  <c r="Z123" i="2" s="1"/>
  <c r="U123" i="2"/>
  <c r="R123" i="2"/>
  <c r="P123" i="2"/>
  <c r="AA122" i="2"/>
  <c r="AB122" i="2" s="1"/>
  <c r="Y122" i="2"/>
  <c r="Z122" i="2" s="1"/>
  <c r="U122" i="2"/>
  <c r="R122" i="2"/>
  <c r="P122" i="2"/>
  <c r="AA121" i="2"/>
  <c r="Y121" i="2"/>
  <c r="U121" i="2"/>
  <c r="R121" i="2"/>
  <c r="P121" i="2"/>
  <c r="AA120" i="2"/>
  <c r="Y120" i="2"/>
  <c r="Z120" i="2" s="1"/>
  <c r="U120" i="2"/>
  <c r="R120" i="2"/>
  <c r="P120" i="2"/>
  <c r="AA119" i="2"/>
  <c r="Y119" i="2"/>
  <c r="U119" i="2"/>
  <c r="R119" i="2"/>
  <c r="P119" i="2"/>
  <c r="AA118" i="2"/>
  <c r="Y118" i="2"/>
  <c r="Z118" i="2" s="1"/>
  <c r="U118" i="2"/>
  <c r="R118" i="2"/>
  <c r="P118" i="2"/>
  <c r="AA117" i="2"/>
  <c r="Y117" i="2"/>
  <c r="Z117" i="2" s="1"/>
  <c r="U117" i="2"/>
  <c r="R117" i="2"/>
  <c r="P117" i="2"/>
  <c r="AA116" i="2"/>
  <c r="Y116" i="2"/>
  <c r="Z116" i="2" s="1"/>
  <c r="U116" i="2"/>
  <c r="R116" i="2"/>
  <c r="P116" i="2"/>
  <c r="AA115" i="2"/>
  <c r="AB115" i="2" s="1"/>
  <c r="Y115" i="2"/>
  <c r="Z115" i="2" s="1"/>
  <c r="U115" i="2"/>
  <c r="R115" i="2"/>
  <c r="P115" i="2"/>
  <c r="AA114" i="2"/>
  <c r="Y114" i="2"/>
  <c r="U114" i="2"/>
  <c r="R114" i="2"/>
  <c r="P114" i="2"/>
  <c r="AA113" i="2"/>
  <c r="Y113" i="2"/>
  <c r="Z113" i="2" s="1"/>
  <c r="U113" i="2"/>
  <c r="R113" i="2"/>
  <c r="P113" i="2"/>
  <c r="AA112" i="2"/>
  <c r="Y112" i="2"/>
  <c r="Z112" i="2" s="1"/>
  <c r="U112" i="2"/>
  <c r="R112" i="2"/>
  <c r="P112" i="2"/>
  <c r="AA111" i="2"/>
  <c r="AB111" i="2" s="1"/>
  <c r="Y111" i="2"/>
  <c r="Z111" i="2" s="1"/>
  <c r="U111" i="2"/>
  <c r="R111" i="2"/>
  <c r="P111" i="2"/>
  <c r="AA110" i="2"/>
  <c r="Y110" i="2"/>
  <c r="Z110" i="2" s="1"/>
  <c r="U110" i="2"/>
  <c r="R110" i="2"/>
  <c r="P110" i="2"/>
  <c r="AA109" i="2"/>
  <c r="Y109" i="2"/>
  <c r="Z109" i="2" s="1"/>
  <c r="U109" i="2"/>
  <c r="R109" i="2"/>
  <c r="P109" i="2"/>
  <c r="AA108" i="2"/>
  <c r="Y108" i="2"/>
  <c r="Z108" i="2" s="1"/>
  <c r="U108" i="2"/>
  <c r="R108" i="2"/>
  <c r="P108" i="2"/>
  <c r="AA107" i="2"/>
  <c r="Y107" i="2"/>
  <c r="Z107" i="2" s="1"/>
  <c r="U107" i="2"/>
  <c r="R107" i="2"/>
  <c r="P107" i="2"/>
  <c r="AA106" i="2"/>
  <c r="Y106" i="2"/>
  <c r="Z106" i="2" s="1"/>
  <c r="U106" i="2"/>
  <c r="R106" i="2"/>
  <c r="P106" i="2"/>
  <c r="AA105" i="2"/>
  <c r="Y105" i="2"/>
  <c r="Z105" i="2" s="1"/>
  <c r="U105" i="2"/>
  <c r="R105" i="2"/>
  <c r="P105" i="2"/>
  <c r="AA104" i="2"/>
  <c r="Y104" i="2"/>
  <c r="Z104" i="2" s="1"/>
  <c r="U104" i="2"/>
  <c r="R104" i="2"/>
  <c r="P104" i="2"/>
  <c r="AA103" i="2"/>
  <c r="Y103" i="2"/>
  <c r="Z103" i="2" s="1"/>
  <c r="U103" i="2"/>
  <c r="R103" i="2"/>
  <c r="P103" i="2"/>
  <c r="AA102" i="2"/>
  <c r="Y102" i="2"/>
  <c r="Z102" i="2" s="1"/>
  <c r="U102" i="2"/>
  <c r="R102" i="2"/>
  <c r="P102" i="2"/>
  <c r="AA101" i="2"/>
  <c r="AB101" i="2" s="1"/>
  <c r="Y101" i="2"/>
  <c r="Z101" i="2" s="1"/>
  <c r="U101" i="2"/>
  <c r="R101" i="2"/>
  <c r="P101" i="2"/>
  <c r="AA100" i="2"/>
  <c r="AB100" i="2" s="1"/>
  <c r="Y100" i="2"/>
  <c r="Z100" i="2" s="1"/>
  <c r="U100" i="2"/>
  <c r="R100" i="2"/>
  <c r="P100" i="2"/>
  <c r="AA99" i="2"/>
  <c r="AB99" i="2" s="1"/>
  <c r="Y99" i="2"/>
  <c r="Z99" i="2" s="1"/>
  <c r="U99" i="2"/>
  <c r="R99" i="2"/>
  <c r="P99" i="2"/>
  <c r="AA98" i="2"/>
  <c r="AB98" i="2" s="1"/>
  <c r="Y98" i="2"/>
  <c r="Z98" i="2" s="1"/>
  <c r="U98" i="2"/>
  <c r="R98" i="2"/>
  <c r="P98" i="2"/>
  <c r="AA97" i="2"/>
  <c r="Y97" i="2"/>
  <c r="U97" i="2"/>
  <c r="R97" i="2"/>
  <c r="P97" i="2"/>
  <c r="AA96" i="2"/>
  <c r="Y96" i="2"/>
  <c r="Z96" i="2" s="1"/>
  <c r="U96" i="2"/>
  <c r="R96" i="2"/>
  <c r="P96" i="2"/>
  <c r="AA95" i="2"/>
  <c r="Y95" i="2"/>
  <c r="Z95" i="2" s="1"/>
  <c r="U95" i="2"/>
  <c r="R95" i="2"/>
  <c r="P95" i="2"/>
  <c r="AA94" i="2"/>
  <c r="Y94" i="2"/>
  <c r="Z94" i="2" s="1"/>
  <c r="U94" i="2"/>
  <c r="R94" i="2"/>
  <c r="P94" i="2"/>
  <c r="AA93" i="2"/>
  <c r="AB93" i="2" s="1"/>
  <c r="Y93" i="2"/>
  <c r="Z93" i="2" s="1"/>
  <c r="U93" i="2"/>
  <c r="R93" i="2"/>
  <c r="P93" i="2"/>
  <c r="AA92" i="2"/>
  <c r="Y92" i="2"/>
  <c r="Z92" i="2" s="1"/>
  <c r="U92" i="2"/>
  <c r="R92" i="2"/>
  <c r="P92" i="2"/>
  <c r="AA91" i="2"/>
  <c r="AB91" i="2" s="1"/>
  <c r="Y91" i="2"/>
  <c r="Z91" i="2" s="1"/>
  <c r="U91" i="2"/>
  <c r="R91" i="2"/>
  <c r="P91" i="2"/>
  <c r="AA90" i="2"/>
  <c r="AB90" i="2" s="1"/>
  <c r="Y90" i="2"/>
  <c r="Z90" i="2" s="1"/>
  <c r="U90" i="2"/>
  <c r="R90" i="2"/>
  <c r="P90" i="2"/>
  <c r="AA89" i="2"/>
  <c r="Y89" i="2"/>
  <c r="Z89" i="2" s="1"/>
  <c r="U89" i="2"/>
  <c r="R89" i="2"/>
  <c r="P89" i="2"/>
  <c r="AA88" i="2"/>
  <c r="AB88" i="2" s="1"/>
  <c r="Y88" i="2"/>
  <c r="Z88" i="2" s="1"/>
  <c r="U88" i="2"/>
  <c r="R88" i="2"/>
  <c r="P88" i="2"/>
  <c r="AA87" i="2"/>
  <c r="Y87" i="2"/>
  <c r="U87" i="2"/>
  <c r="R87" i="2"/>
  <c r="P87" i="2"/>
  <c r="AA86" i="2"/>
  <c r="Y86" i="2"/>
  <c r="Z86" i="2" s="1"/>
  <c r="U86" i="2"/>
  <c r="R86" i="2"/>
  <c r="P86" i="2"/>
  <c r="AA85" i="2"/>
  <c r="AB85" i="2" s="1"/>
  <c r="Y85" i="2"/>
  <c r="Z85" i="2" s="1"/>
  <c r="U85" i="2"/>
  <c r="R85" i="2"/>
  <c r="P85" i="2"/>
  <c r="AA84" i="2"/>
  <c r="Y84" i="2"/>
  <c r="Z84" i="2" s="1"/>
  <c r="U84" i="2"/>
  <c r="R84" i="2"/>
  <c r="P84" i="2"/>
  <c r="AA83" i="2"/>
  <c r="Y83" i="2"/>
  <c r="Z83" i="2" s="1"/>
  <c r="U83" i="2"/>
  <c r="R83" i="2"/>
  <c r="P83" i="2"/>
  <c r="AA82" i="2"/>
  <c r="Y82" i="2"/>
  <c r="Z82" i="2" s="1"/>
  <c r="U82" i="2"/>
  <c r="R82" i="2"/>
  <c r="P82" i="2"/>
  <c r="AA81" i="2"/>
  <c r="Y81" i="2"/>
  <c r="Z81" i="2" s="1"/>
  <c r="U81" i="2"/>
  <c r="R81" i="2"/>
  <c r="P81" i="2"/>
  <c r="AA80" i="2"/>
  <c r="Y80" i="2"/>
  <c r="U80" i="2"/>
  <c r="R80" i="2"/>
  <c r="P80" i="2"/>
  <c r="AA79" i="2"/>
  <c r="AB79" i="2" s="1"/>
  <c r="Y79" i="2"/>
  <c r="Z79" i="2" s="1"/>
  <c r="U79" i="2"/>
  <c r="R79" i="2"/>
  <c r="P79" i="2"/>
  <c r="AA78" i="2"/>
  <c r="Y78" i="2"/>
  <c r="Z78" i="2" s="1"/>
  <c r="U78" i="2"/>
  <c r="R78" i="2"/>
  <c r="P78" i="2"/>
  <c r="AA77" i="2"/>
  <c r="Y77" i="2"/>
  <c r="Z77" i="2" s="1"/>
  <c r="U77" i="2"/>
  <c r="R77" i="2"/>
  <c r="P77" i="2"/>
  <c r="AA76" i="2"/>
  <c r="Y76" i="2"/>
  <c r="U76" i="2"/>
  <c r="R76" i="2"/>
  <c r="P76" i="2"/>
  <c r="AA75" i="2"/>
  <c r="Y75" i="2"/>
  <c r="U75" i="2"/>
  <c r="R75" i="2"/>
  <c r="P75" i="2"/>
  <c r="AA74" i="2"/>
  <c r="AB74" i="2" s="1"/>
  <c r="Y74" i="2"/>
  <c r="Z74" i="2" s="1"/>
  <c r="U74" i="2"/>
  <c r="R74" i="2"/>
  <c r="P74" i="2"/>
  <c r="AA73" i="2"/>
  <c r="Y73" i="2"/>
  <c r="Z73" i="2" s="1"/>
  <c r="U73" i="2"/>
  <c r="R73" i="2"/>
  <c r="P73" i="2"/>
  <c r="AA72" i="2"/>
  <c r="Y72" i="2"/>
  <c r="U72" i="2"/>
  <c r="R72" i="2"/>
  <c r="P72" i="2"/>
  <c r="AA71" i="2"/>
  <c r="Y71" i="2"/>
  <c r="Z71" i="2" s="1"/>
  <c r="U71" i="2"/>
  <c r="R71" i="2"/>
  <c r="P71" i="2"/>
  <c r="AA70" i="2"/>
  <c r="AB70" i="2" s="1"/>
  <c r="Y70" i="2"/>
  <c r="Z70" i="2" s="1"/>
  <c r="U70" i="2"/>
  <c r="R70" i="2"/>
  <c r="P70" i="2"/>
  <c r="AA69" i="2"/>
  <c r="Y69" i="2"/>
  <c r="Z69" i="2" s="1"/>
  <c r="U69" i="2"/>
  <c r="R69" i="2"/>
  <c r="P69" i="2"/>
  <c r="AA68" i="2"/>
  <c r="Y68" i="2"/>
  <c r="Z68" i="2" s="1"/>
  <c r="U68" i="2"/>
  <c r="R68" i="2"/>
  <c r="P68" i="2"/>
  <c r="J5" i="8" s="1"/>
  <c r="AA67" i="2"/>
  <c r="Y67" i="2"/>
  <c r="Z67" i="2" s="1"/>
  <c r="U67" i="2"/>
  <c r="R67" i="2"/>
  <c r="P67" i="2"/>
  <c r="AA66" i="2"/>
  <c r="AB66" i="2" s="1"/>
  <c r="Y66" i="2"/>
  <c r="Z66" i="2" s="1"/>
  <c r="U66" i="2"/>
  <c r="R66" i="2"/>
  <c r="P66" i="2"/>
  <c r="AA65" i="2"/>
  <c r="Y65" i="2"/>
  <c r="U65" i="2"/>
  <c r="R65" i="2"/>
  <c r="P65" i="2"/>
  <c r="AA64" i="2"/>
  <c r="Y64" i="2"/>
  <c r="Z64" i="2" s="1"/>
  <c r="U64" i="2"/>
  <c r="R64" i="2"/>
  <c r="P64" i="2"/>
  <c r="AA63" i="2"/>
  <c r="Y63" i="2"/>
  <c r="Z63" i="2" s="1"/>
  <c r="U63" i="2"/>
  <c r="R63" i="2"/>
  <c r="P63" i="2"/>
  <c r="AA62" i="2"/>
  <c r="Y62" i="2"/>
  <c r="U62" i="2"/>
  <c r="R62" i="2"/>
  <c r="P62" i="2"/>
  <c r="AA61" i="2"/>
  <c r="AB61" i="2" s="1"/>
  <c r="Y61" i="2"/>
  <c r="Z61" i="2" s="1"/>
  <c r="U61" i="2"/>
  <c r="R61" i="2"/>
  <c r="P61" i="2"/>
  <c r="AA60" i="2"/>
  <c r="Y60" i="2"/>
  <c r="U60" i="2"/>
  <c r="R60" i="2"/>
  <c r="P60" i="2"/>
  <c r="AA59" i="2"/>
  <c r="Y59" i="2"/>
  <c r="U59" i="2"/>
  <c r="R59" i="2"/>
  <c r="P59" i="2"/>
  <c r="AA58" i="2"/>
  <c r="Y58" i="2"/>
  <c r="U58" i="2"/>
  <c r="R58" i="2"/>
  <c r="P58" i="2"/>
  <c r="AA57" i="2"/>
  <c r="Y57" i="2"/>
  <c r="U57" i="2"/>
  <c r="R57" i="2"/>
  <c r="P57" i="2"/>
  <c r="AA56" i="2"/>
  <c r="Y56" i="2"/>
  <c r="Z56" i="2" s="1"/>
  <c r="U56" i="2"/>
  <c r="R56" i="2"/>
  <c r="P56" i="2"/>
  <c r="AA55" i="2"/>
  <c r="Y55" i="2"/>
  <c r="Z55" i="2" s="1"/>
  <c r="U55" i="2"/>
  <c r="R55" i="2"/>
  <c r="P55" i="2"/>
  <c r="AA54" i="2"/>
  <c r="Y54" i="2"/>
  <c r="Z54" i="2" s="1"/>
  <c r="U54" i="2"/>
  <c r="R54" i="2"/>
  <c r="P54" i="2"/>
  <c r="AA53" i="2"/>
  <c r="Y53" i="2"/>
  <c r="U53" i="2"/>
  <c r="R53" i="2"/>
  <c r="P53" i="2"/>
  <c r="AA52" i="2"/>
  <c r="Y52" i="2"/>
  <c r="Z52" i="2" s="1"/>
  <c r="U52" i="2"/>
  <c r="R52" i="2"/>
  <c r="P52" i="2"/>
  <c r="AA51" i="2"/>
  <c r="Y51" i="2"/>
  <c r="U51" i="2"/>
  <c r="R51" i="2"/>
  <c r="P51" i="2"/>
  <c r="AA50" i="2"/>
  <c r="Y50" i="2"/>
  <c r="U50" i="2"/>
  <c r="R50" i="2"/>
  <c r="P50" i="2"/>
  <c r="AA49" i="2"/>
  <c r="Y49" i="2"/>
  <c r="U49" i="2"/>
  <c r="R49" i="2"/>
  <c r="P49" i="2"/>
  <c r="AA48" i="2"/>
  <c r="Y48" i="2"/>
  <c r="Z48" i="2" s="1"/>
  <c r="U48" i="2"/>
  <c r="R48" i="2"/>
  <c r="P48" i="2"/>
  <c r="AA47" i="2"/>
  <c r="Y47" i="2"/>
  <c r="Z47" i="2" s="1"/>
  <c r="U47" i="2"/>
  <c r="R47" i="2"/>
  <c r="P47" i="2"/>
  <c r="AA46" i="2"/>
  <c r="Y46" i="2"/>
  <c r="U46" i="2"/>
  <c r="R46" i="2"/>
  <c r="P46" i="2"/>
  <c r="AA45" i="2"/>
  <c r="Y45" i="2"/>
  <c r="Z45" i="2" s="1"/>
  <c r="U45" i="2"/>
  <c r="R45" i="2"/>
  <c r="P45" i="2"/>
  <c r="AA44" i="2"/>
  <c r="AB44" i="2" s="1"/>
  <c r="Y44" i="2"/>
  <c r="Z44" i="2" s="1"/>
  <c r="U44" i="2"/>
  <c r="R44" i="2"/>
  <c r="P44" i="2"/>
  <c r="AA43" i="2"/>
  <c r="AB43" i="2" s="1"/>
  <c r="Y43" i="2"/>
  <c r="Z43" i="2" s="1"/>
  <c r="U43" i="2"/>
  <c r="R43" i="2"/>
  <c r="P43" i="2"/>
  <c r="AA42" i="2"/>
  <c r="Y42" i="2"/>
  <c r="Z42" i="2" s="1"/>
  <c r="U42" i="2"/>
  <c r="R42" i="2"/>
  <c r="P42" i="2"/>
  <c r="AA41" i="2"/>
  <c r="Y41" i="2"/>
  <c r="Z41" i="2" s="1"/>
  <c r="U41" i="2"/>
  <c r="R41" i="2"/>
  <c r="P41" i="2"/>
  <c r="AA40" i="2"/>
  <c r="Y40" i="2"/>
  <c r="U40" i="2"/>
  <c r="R40" i="2"/>
  <c r="P40" i="2"/>
  <c r="AA39" i="2"/>
  <c r="Y39" i="2"/>
  <c r="U39" i="2"/>
  <c r="R39" i="2"/>
  <c r="P39" i="2"/>
  <c r="AA38" i="2"/>
  <c r="Y38" i="2"/>
  <c r="Z38" i="2" s="1"/>
  <c r="U38" i="2"/>
  <c r="R38" i="2"/>
  <c r="P38" i="2"/>
  <c r="AA37" i="2"/>
  <c r="Y37" i="2"/>
  <c r="U37" i="2"/>
  <c r="R37" i="2"/>
  <c r="P37" i="2"/>
  <c r="AA36" i="2"/>
  <c r="AB36" i="2" s="1"/>
  <c r="Y36" i="2"/>
  <c r="Z36" i="2" s="1"/>
  <c r="U36" i="2"/>
  <c r="R36" i="2"/>
  <c r="P36" i="2"/>
  <c r="AA35" i="2"/>
  <c r="Y35" i="2"/>
  <c r="U35" i="2"/>
  <c r="R35" i="2"/>
  <c r="P35" i="2"/>
  <c r="AA34" i="2"/>
  <c r="AB34" i="2" s="1"/>
  <c r="Y34" i="2"/>
  <c r="Z34" i="2" s="1"/>
  <c r="U34" i="2"/>
  <c r="R34" i="2"/>
  <c r="P34" i="2"/>
  <c r="AA33" i="2"/>
  <c r="Y33" i="2"/>
  <c r="Z33" i="2" s="1"/>
  <c r="U33" i="2"/>
  <c r="R33" i="2"/>
  <c r="P33" i="2"/>
  <c r="AA32" i="2"/>
  <c r="AB32" i="2" s="1"/>
  <c r="Y32" i="2"/>
  <c r="Z32" i="2" s="1"/>
  <c r="U32" i="2"/>
  <c r="R32" i="2"/>
  <c r="P32" i="2"/>
  <c r="AA31" i="2"/>
  <c r="AB31" i="2" s="1"/>
  <c r="Y31" i="2"/>
  <c r="Z31" i="2" s="1"/>
  <c r="U31" i="2"/>
  <c r="R31" i="2"/>
  <c r="P31" i="2"/>
  <c r="AA30" i="2"/>
  <c r="Y30" i="2"/>
  <c r="Z30" i="2" s="1"/>
  <c r="U30" i="2"/>
  <c r="R30" i="2"/>
  <c r="P30" i="2"/>
  <c r="AA29" i="2"/>
  <c r="Y29" i="2"/>
  <c r="Z29" i="2" s="1"/>
  <c r="U29" i="2"/>
  <c r="R29" i="2"/>
  <c r="P29" i="2"/>
  <c r="AA28" i="2"/>
  <c r="AB28" i="2" s="1"/>
  <c r="Y28" i="2"/>
  <c r="Z28" i="2" s="1"/>
  <c r="U28" i="2"/>
  <c r="R28" i="2"/>
  <c r="P28" i="2"/>
  <c r="AA27" i="2"/>
  <c r="Y27" i="2"/>
  <c r="U27" i="2"/>
  <c r="R27" i="2"/>
  <c r="P27" i="2"/>
  <c r="AA26" i="2"/>
  <c r="Y26" i="2"/>
  <c r="U26" i="2"/>
  <c r="R26" i="2"/>
  <c r="P26" i="2"/>
  <c r="AA25" i="2"/>
  <c r="Y25" i="2"/>
  <c r="U25" i="2"/>
  <c r="R25" i="2"/>
  <c r="P25" i="2"/>
  <c r="AA24" i="2"/>
  <c r="Y24" i="2"/>
  <c r="U24" i="2"/>
  <c r="R24" i="2"/>
  <c r="P24" i="2"/>
  <c r="AA23" i="2"/>
  <c r="Y23" i="2"/>
  <c r="Z23" i="2" s="1"/>
  <c r="U23" i="2"/>
  <c r="R23" i="2"/>
  <c r="P23" i="2"/>
  <c r="AA22" i="2"/>
  <c r="Y22" i="2"/>
  <c r="U22" i="2"/>
  <c r="R22" i="2"/>
  <c r="P22" i="2"/>
  <c r="AA21" i="2"/>
  <c r="AB21" i="2" s="1"/>
  <c r="Y21" i="2"/>
  <c r="Z21" i="2" s="1"/>
  <c r="U21" i="2"/>
  <c r="R21" i="2"/>
  <c r="P21" i="2"/>
  <c r="AA20" i="2"/>
  <c r="Y20" i="2"/>
  <c r="U20" i="2"/>
  <c r="R20" i="2"/>
  <c r="P20" i="2"/>
  <c r="AA19" i="2"/>
  <c r="Y19" i="2"/>
  <c r="U19" i="2"/>
  <c r="R19" i="2"/>
  <c r="P19" i="2"/>
  <c r="AA18" i="2"/>
  <c r="Y18" i="2"/>
  <c r="U18" i="2"/>
  <c r="R18" i="2"/>
  <c r="P18" i="2"/>
  <c r="AA17" i="2"/>
  <c r="Y17" i="2"/>
  <c r="Z17" i="2" s="1"/>
  <c r="U17" i="2"/>
  <c r="R17" i="2"/>
  <c r="P17" i="2"/>
  <c r="AA16" i="2"/>
  <c r="Y16" i="2"/>
  <c r="U16" i="2"/>
  <c r="R16" i="2"/>
  <c r="P16" i="2"/>
  <c r="AA15" i="2"/>
  <c r="Y15" i="2"/>
  <c r="U15" i="2"/>
  <c r="R15" i="2"/>
  <c r="P15" i="2"/>
  <c r="AA14" i="2"/>
  <c r="Y14" i="2"/>
  <c r="U14" i="2"/>
  <c r="R14" i="2"/>
  <c r="P14" i="2"/>
  <c r="AA13" i="2"/>
  <c r="Y13" i="2"/>
  <c r="U13" i="2"/>
  <c r="R13" i="2"/>
  <c r="P13" i="2"/>
  <c r="AA12" i="2"/>
  <c r="Y12" i="2"/>
  <c r="Z12" i="2" s="1"/>
  <c r="U12" i="2"/>
  <c r="R12" i="2"/>
  <c r="P12" i="2"/>
  <c r="AA11" i="2"/>
  <c r="Y11" i="2"/>
  <c r="U11" i="2"/>
  <c r="R11" i="2"/>
  <c r="P11" i="2"/>
  <c r="AA10" i="2"/>
  <c r="Y10" i="2"/>
  <c r="U10" i="2"/>
  <c r="R10" i="2"/>
  <c r="P10" i="2"/>
  <c r="AA9" i="2"/>
  <c r="Y9" i="2"/>
  <c r="Z9" i="2" s="1"/>
  <c r="U9" i="2"/>
  <c r="R9" i="2"/>
  <c r="P9" i="2"/>
  <c r="AA8" i="2"/>
  <c r="Y8" i="2"/>
  <c r="U8" i="2"/>
  <c r="R8" i="2"/>
  <c r="P8" i="2"/>
  <c r="AA7" i="2"/>
  <c r="Y7" i="2"/>
  <c r="U7" i="2"/>
  <c r="R7" i="2"/>
  <c r="P7" i="2"/>
  <c r="AA6" i="2"/>
  <c r="Y6" i="2"/>
  <c r="U6" i="2"/>
  <c r="R6" i="2"/>
  <c r="P6" i="2"/>
  <c r="AA5" i="2"/>
  <c r="Y5" i="2"/>
  <c r="U5" i="2"/>
  <c r="R5" i="2"/>
  <c r="P5" i="2"/>
  <c r="AA4" i="2"/>
  <c r="Y4" i="2"/>
  <c r="U4" i="2"/>
  <c r="R4" i="2"/>
  <c r="P4" i="2"/>
  <c r="AA3" i="2"/>
  <c r="Y3" i="2"/>
  <c r="U3" i="2"/>
  <c r="R3" i="2"/>
  <c r="P3" i="2"/>
  <c r="AA2" i="2"/>
  <c r="AB2" i="2" s="1"/>
  <c r="Y2" i="2"/>
  <c r="Z2" i="2" s="1"/>
  <c r="U2" i="2"/>
  <c r="R2" i="2"/>
  <c r="P2" i="2"/>
  <c r="V739" i="2" l="1"/>
  <c r="W739" i="2"/>
  <c r="X739" i="2"/>
  <c r="W740" i="2"/>
  <c r="V740" i="2"/>
  <c r="X740" i="2"/>
  <c r="AB738" i="2"/>
  <c r="V738" i="2"/>
  <c r="W738" i="2"/>
  <c r="X738" i="2"/>
  <c r="AB270" i="2"/>
  <c r="L20" i="3"/>
  <c r="M20" i="3" s="1"/>
  <c r="Z602" i="2"/>
  <c r="Z520" i="2"/>
  <c r="Z453" i="2"/>
  <c r="Z441" i="2"/>
  <c r="Z388" i="2"/>
  <c r="AB288" i="2"/>
  <c r="AB124" i="2"/>
  <c r="AB121" i="2"/>
  <c r="Z80" i="2"/>
  <c r="Z62" i="2"/>
  <c r="Z59" i="2"/>
  <c r="AB27" i="2"/>
  <c r="Z20" i="2"/>
  <c r="AB17" i="2"/>
  <c r="AB14" i="2"/>
  <c r="Z648" i="2"/>
  <c r="Z528" i="2"/>
  <c r="Z510" i="2"/>
  <c r="Z462" i="2"/>
  <c r="Z296" i="2"/>
  <c r="AB185" i="2"/>
  <c r="AB177" i="2"/>
  <c r="AB156" i="2"/>
  <c r="AB138" i="2"/>
  <c r="AB131" i="2"/>
  <c r="Z127" i="2"/>
  <c r="AB108" i="2"/>
  <c r="AB84" i="2"/>
  <c r="Z75" i="2"/>
  <c r="Z53" i="2"/>
  <c r="AB47" i="2"/>
  <c r="Z39" i="2"/>
  <c r="AB24" i="2"/>
  <c r="AB20" i="2"/>
  <c r="Z14" i="2"/>
  <c r="Z11" i="2"/>
  <c r="AB8" i="2"/>
  <c r="AB5" i="2"/>
  <c r="AB304" i="2"/>
  <c r="AB297" i="2"/>
  <c r="AB293" i="2"/>
  <c r="AB175" i="2"/>
  <c r="AB158" i="2"/>
  <c r="AB154" i="2"/>
  <c r="Z137" i="2"/>
  <c r="AB119" i="2"/>
  <c r="AB94" i="2"/>
  <c r="AB86" i="2"/>
  <c r="AB60" i="2"/>
  <c r="Z40" i="2"/>
  <c r="Z26" i="2"/>
  <c r="Z16" i="2"/>
  <c r="Z13" i="2"/>
  <c r="Z672" i="2"/>
  <c r="Z466" i="2"/>
  <c r="AB296" i="2"/>
  <c r="AB193" i="2"/>
  <c r="AB189" i="2"/>
  <c r="AB171" i="2"/>
  <c r="AB160" i="2"/>
  <c r="AB145" i="2"/>
  <c r="AB137" i="2"/>
  <c r="AB133" i="2"/>
  <c r="AB118" i="2"/>
  <c r="Z114" i="2"/>
  <c r="AB102" i="2"/>
  <c r="AB78" i="2"/>
  <c r="AB71" i="2"/>
  <c r="Z50" i="2"/>
  <c r="AB40" i="2"/>
  <c r="AB18" i="2"/>
  <c r="Z15" i="2"/>
  <c r="AB12" i="2"/>
  <c r="Z668" i="2"/>
  <c r="AB305" i="2"/>
  <c r="AB295" i="2"/>
  <c r="AB134" i="2"/>
  <c r="AB125" i="2"/>
  <c r="Z119" i="2"/>
  <c r="Z87" i="2"/>
  <c r="AB80" i="2"/>
  <c r="AB76" i="2"/>
  <c r="AB52" i="2"/>
  <c r="AB35" i="2"/>
  <c r="Z19" i="2"/>
  <c r="AB16" i="2"/>
  <c r="AB11" i="2"/>
  <c r="Z8" i="2"/>
  <c r="Z5" i="2"/>
  <c r="Z539" i="2"/>
  <c r="Z399" i="2"/>
  <c r="AB196" i="2"/>
  <c r="AB183" i="2"/>
  <c r="AB174" i="2"/>
  <c r="AB155" i="2"/>
  <c r="AB148" i="2"/>
  <c r="AB105" i="2"/>
  <c r="AB95" i="2"/>
  <c r="AB77" i="2"/>
  <c r="AB63" i="2"/>
  <c r="Z60" i="2"/>
  <c r="AB55" i="2"/>
  <c r="AB48" i="2"/>
  <c r="Z27" i="2"/>
  <c r="Z24" i="2"/>
  <c r="AB9" i="2"/>
  <c r="Z6" i="2"/>
  <c r="AB3" i="2"/>
  <c r="Z371" i="2"/>
  <c r="AB298" i="2"/>
  <c r="AB294" i="2"/>
  <c r="AB201" i="2"/>
  <c r="Z121" i="2"/>
  <c r="AB114" i="2"/>
  <c r="AB107" i="2"/>
  <c r="AB81" i="2"/>
  <c r="AB69" i="2"/>
  <c r="Z57" i="2"/>
  <c r="AB51" i="2"/>
  <c r="Z37" i="2"/>
  <c r="Z22" i="2"/>
  <c r="AB15" i="2"/>
  <c r="AB195" i="2"/>
  <c r="AB188" i="2"/>
  <c r="AB180" i="2"/>
  <c r="AB159" i="2"/>
  <c r="AB140" i="2"/>
  <c r="AB109" i="2"/>
  <c r="AB106" i="2"/>
  <c r="AB97" i="2"/>
  <c r="AB82" i="2"/>
  <c r="AB75" i="2"/>
  <c r="AB64" i="2"/>
  <c r="Z58" i="2"/>
  <c r="AB49" i="2"/>
  <c r="AB45" i="2"/>
  <c r="Z35" i="2"/>
  <c r="AB29" i="2"/>
  <c r="AB26" i="2"/>
  <c r="AB23" i="2"/>
  <c r="Z10" i="2"/>
  <c r="Z7" i="2"/>
  <c r="AB4" i="2"/>
  <c r="AB292" i="2"/>
  <c r="AB190" i="2"/>
  <c r="AB184" i="2"/>
  <c r="Z180" i="2"/>
  <c r="AB176" i="2"/>
  <c r="AB142" i="2"/>
  <c r="AB127" i="2"/>
  <c r="AB120" i="2"/>
  <c r="AB116" i="2"/>
  <c r="AB112" i="2"/>
  <c r="AB104" i="2"/>
  <c r="Z97" i="2"/>
  <c r="AB83" i="2"/>
  <c r="AB65" i="2"/>
  <c r="AB57" i="2"/>
  <c r="Z49" i="2"/>
  <c r="AB38" i="2"/>
  <c r="Z18" i="2"/>
  <c r="AB6" i="2"/>
  <c r="Z3" i="2"/>
  <c r="Z699" i="2"/>
  <c r="Z690" i="2"/>
  <c r="Z613" i="2"/>
  <c r="Z473" i="2"/>
  <c r="AB309" i="2"/>
  <c r="AB306" i="2"/>
  <c r="Z195" i="2"/>
  <c r="Z185" i="2"/>
  <c r="AB87" i="2"/>
  <c r="AB73" i="2"/>
  <c r="AB67" i="2"/>
  <c r="AB56" i="2"/>
  <c r="AB50" i="2"/>
  <c r="AB46" i="2"/>
  <c r="AB42" i="2"/>
  <c r="AB39" i="2"/>
  <c r="AB33" i="2"/>
  <c r="AB30" i="2"/>
  <c r="Z25" i="2"/>
  <c r="AB22" i="2"/>
  <c r="Z564" i="2"/>
  <c r="Z335" i="2"/>
  <c r="Z319" i="2"/>
  <c r="Z291" i="2"/>
  <c r="AB191" i="2"/>
  <c r="AB182" i="2"/>
  <c r="Z163" i="2"/>
  <c r="AB147" i="2"/>
  <c r="AB129" i="2"/>
  <c r="AB117" i="2"/>
  <c r="AB113" i="2"/>
  <c r="AB110" i="2"/>
  <c r="AB103" i="2"/>
  <c r="AB89" i="2"/>
  <c r="Z72" i="2"/>
  <c r="AB68" i="2"/>
  <c r="Z65" i="2"/>
  <c r="AB62" i="2"/>
  <c r="AB58" i="2"/>
  <c r="AB54" i="2"/>
  <c r="Z51" i="2"/>
  <c r="AB37" i="2"/>
  <c r="AB19" i="2"/>
  <c r="AB285" i="2"/>
  <c r="AB283" i="2"/>
  <c r="AB282" i="2"/>
  <c r="AB279" i="2"/>
  <c r="AB278" i="2"/>
  <c r="AB277" i="2"/>
  <c r="AB271" i="2"/>
  <c r="AB268" i="2"/>
  <c r="AB265" i="2"/>
  <c r="AB263" i="2"/>
  <c r="Z263" i="2"/>
  <c r="AB262" i="2"/>
  <c r="AB260" i="2"/>
  <c r="AB258" i="2"/>
  <c r="AB253" i="2"/>
  <c r="AB248" i="2"/>
  <c r="AB247" i="2"/>
  <c r="AB244" i="2"/>
  <c r="AB241" i="2"/>
  <c r="AB239" i="2"/>
  <c r="AB238" i="2"/>
  <c r="AB237" i="2"/>
  <c r="AB231" i="2"/>
  <c r="AB230" i="2"/>
  <c r="AB229" i="2"/>
  <c r="AB228" i="2"/>
  <c r="Z228" i="2"/>
  <c r="AB227" i="2"/>
  <c r="AB225" i="2"/>
  <c r="AB223" i="2"/>
  <c r="Z223" i="2"/>
  <c r="AB222" i="2"/>
  <c r="Z222" i="2"/>
  <c r="AB221" i="2"/>
  <c r="AB218" i="2"/>
  <c r="Z218" i="2"/>
  <c r="AB215" i="2"/>
  <c r="AB214" i="2"/>
  <c r="AB212" i="2"/>
  <c r="AB210" i="2"/>
  <c r="AB208" i="2"/>
  <c r="AB207" i="2"/>
  <c r="AB206" i="2"/>
  <c r="AB204" i="2"/>
  <c r="AB203" i="2"/>
  <c r="Z203" i="2"/>
  <c r="AB198" i="2"/>
  <c r="AB178" i="2"/>
  <c r="AB163" i="2"/>
  <c r="Z147" i="2"/>
  <c r="AB143" i="2"/>
  <c r="AB139" i="2"/>
  <c r="AB130" i="2"/>
  <c r="AB96" i="2"/>
  <c r="AB92" i="2"/>
  <c r="Z76" i="2"/>
  <c r="AB72" i="2"/>
  <c r="AB59" i="2"/>
  <c r="AB53" i="2"/>
  <c r="Z46" i="2"/>
  <c r="AB41" i="2"/>
  <c r="AB25" i="2"/>
  <c r="AB13" i="2"/>
  <c r="AB10" i="2"/>
  <c r="AB7" i="2"/>
  <c r="Z4" i="2"/>
  <c r="J19" i="3"/>
  <c r="I19" i="3"/>
  <c r="H19" i="3"/>
  <c r="G19" i="3"/>
  <c r="E19" i="3"/>
  <c r="D19" i="3"/>
  <c r="F19" i="3"/>
  <c r="D18" i="3"/>
  <c r="E18" i="3"/>
  <c r="H18" i="3"/>
  <c r="F18" i="3"/>
  <c r="G18" i="3"/>
  <c r="J18" i="3"/>
  <c r="I18" i="3"/>
  <c r="J17" i="3"/>
  <c r="I17" i="3"/>
  <c r="F17" i="3"/>
  <c r="H17" i="3"/>
  <c r="D17" i="3"/>
  <c r="G17" i="3"/>
  <c r="E17" i="3"/>
  <c r="H16" i="3"/>
  <c r="E16" i="3"/>
  <c r="I16" i="3"/>
  <c r="F16" i="3"/>
  <c r="J16" i="3"/>
  <c r="G16" i="3"/>
  <c r="D16" i="3"/>
  <c r="J15" i="3"/>
  <c r="F15" i="3"/>
  <c r="D15" i="3"/>
  <c r="G15" i="3"/>
  <c r="H15" i="3"/>
  <c r="I15" i="3"/>
  <c r="E15" i="3"/>
  <c r="F14" i="3"/>
  <c r="J14" i="3"/>
  <c r="D14" i="3"/>
  <c r="H14" i="3"/>
  <c r="I14" i="3"/>
  <c r="G14" i="3"/>
  <c r="E14" i="3"/>
  <c r="D13" i="3"/>
  <c r="E13" i="3"/>
  <c r="H13" i="3"/>
  <c r="I13" i="3"/>
  <c r="F13" i="3"/>
  <c r="J13" i="3"/>
  <c r="G13" i="3"/>
  <c r="D12" i="3"/>
  <c r="J12" i="3"/>
  <c r="I12" i="3"/>
  <c r="G12" i="3"/>
  <c r="F12" i="3"/>
  <c r="H12" i="3"/>
  <c r="E12" i="3"/>
  <c r="J11" i="3"/>
  <c r="F11" i="3"/>
  <c r="D11" i="3"/>
  <c r="H11" i="3"/>
  <c r="E11" i="3"/>
  <c r="I11" i="3"/>
  <c r="G11" i="3"/>
  <c r="F10" i="3"/>
  <c r="G10" i="3"/>
  <c r="J10" i="3"/>
  <c r="E10" i="3"/>
  <c r="I10" i="3"/>
  <c r="H10" i="3"/>
  <c r="D10" i="3"/>
  <c r="L10" i="3" s="1"/>
  <c r="M10" i="3" s="1"/>
  <c r="I9" i="3"/>
  <c r="E9" i="3"/>
  <c r="G9" i="3"/>
  <c r="J9" i="3"/>
  <c r="F9" i="3"/>
  <c r="D9" i="3"/>
  <c r="H9" i="3"/>
  <c r="E8" i="3"/>
  <c r="I8" i="3"/>
  <c r="G8" i="3"/>
  <c r="D8" i="3"/>
  <c r="J8" i="3"/>
  <c r="H8" i="3"/>
  <c r="F8" i="3"/>
  <c r="J7" i="3"/>
  <c r="F7" i="3"/>
  <c r="E7" i="3"/>
  <c r="G7" i="3"/>
  <c r="I7" i="3"/>
  <c r="H7" i="3"/>
  <c r="D7" i="3"/>
  <c r="L7" i="3" s="1"/>
  <c r="M7" i="3" s="1"/>
  <c r="H6" i="3"/>
  <c r="F6" i="3"/>
  <c r="I6" i="3"/>
  <c r="J6" i="3"/>
  <c r="G6" i="3"/>
  <c r="E6" i="3"/>
  <c r="D6" i="3"/>
  <c r="L6" i="3" s="1"/>
  <c r="M6" i="3" s="1"/>
  <c r="G5" i="3"/>
  <c r="J5" i="3"/>
  <c r="H5" i="3"/>
  <c r="E5" i="3"/>
  <c r="D5" i="3"/>
  <c r="I5" i="3"/>
  <c r="F5" i="3"/>
  <c r="F4" i="3"/>
  <c r="F21" i="3" s="1"/>
  <c r="H4" i="3"/>
  <c r="H21" i="3" s="1"/>
  <c r="E4" i="3"/>
  <c r="E21" i="3" s="1"/>
  <c r="D4" i="3"/>
  <c r="J4" i="3"/>
  <c r="J21" i="3" s="1"/>
  <c r="G4" i="3"/>
  <c r="G21" i="3" s="1"/>
  <c r="I4" i="3"/>
  <c r="I21" i="3" s="1"/>
  <c r="C36" i="4"/>
  <c r="AB735" i="2"/>
  <c r="AB731" i="2"/>
  <c r="AB712" i="2"/>
  <c r="AB567" i="2"/>
  <c r="AB532" i="2"/>
  <c r="AB527" i="2"/>
  <c r="AB513" i="2"/>
  <c r="AB508" i="2"/>
  <c r="AB475" i="2"/>
  <c r="AB465" i="2"/>
  <c r="AB452" i="2"/>
  <c r="AB394" i="2"/>
  <c r="AB381" i="2"/>
  <c r="AB472" i="2"/>
  <c r="AB356" i="2"/>
  <c r="AB343" i="2"/>
  <c r="AB736" i="2"/>
  <c r="AB721" i="2"/>
  <c r="AB700" i="2"/>
  <c r="AB692" i="2"/>
  <c r="AB660" i="2"/>
  <c r="AB648" i="2"/>
  <c r="AB629" i="2"/>
  <c r="AB615" i="2"/>
  <c r="AB602" i="2"/>
  <c r="AB549" i="2"/>
  <c r="AB516" i="2"/>
  <c r="AB510" i="2"/>
  <c r="AB505" i="2"/>
  <c r="AB487" i="2"/>
  <c r="AB476" i="2"/>
  <c r="AB463" i="2"/>
  <c r="AB399" i="2"/>
  <c r="AB704" i="2"/>
  <c r="AB691" i="2"/>
  <c r="AB668" i="2"/>
  <c r="AB656" i="2"/>
  <c r="AB630" i="2"/>
  <c r="AB625" i="2"/>
  <c r="AB530" i="2"/>
  <c r="AB445" i="2"/>
  <c r="AB334" i="2"/>
  <c r="AB708" i="2"/>
  <c r="AB697" i="2"/>
  <c r="AB689" i="2"/>
  <c r="AB672" i="2"/>
  <c r="AB647" i="2"/>
  <c r="AB638" i="2"/>
  <c r="AB628" i="2"/>
  <c r="AB613" i="2"/>
  <c r="AB520" i="2"/>
  <c r="AB484" i="2"/>
  <c r="AB464" i="2"/>
  <c r="AB388" i="2"/>
  <c r="AB376" i="2"/>
  <c r="AB364" i="2"/>
  <c r="AB341" i="2"/>
  <c r="AB326" i="2"/>
  <c r="AB715" i="2"/>
  <c r="AB699" i="2"/>
  <c r="AB673" i="2"/>
  <c r="AB665" i="2"/>
  <c r="AB653" i="2"/>
  <c r="AB640" i="2"/>
  <c r="AB558" i="2"/>
  <c r="AB529" i="2"/>
  <c r="AB496" i="2"/>
  <c r="AB490" i="2"/>
  <c r="AB468" i="2"/>
  <c r="AB319" i="2"/>
  <c r="AB313" i="2"/>
  <c r="AB707" i="2"/>
  <c r="AB679" i="2"/>
  <c r="AB671" i="2"/>
  <c r="AB658" i="2"/>
  <c r="AB654" i="2"/>
  <c r="AB600" i="2"/>
  <c r="AB563" i="2"/>
  <c r="AB551" i="2"/>
  <c r="AB539" i="2"/>
  <c r="AB518" i="2"/>
  <c r="AB482" i="2"/>
  <c r="AB471" i="2"/>
  <c r="AB449" i="2"/>
  <c r="AB383" i="2"/>
  <c r="AB357" i="2"/>
  <c r="AB339" i="2"/>
  <c r="AB730" i="2"/>
  <c r="AB690" i="2"/>
  <c r="AB666" i="2"/>
  <c r="AB616" i="2"/>
  <c r="AB610" i="2"/>
  <c r="AB597" i="2"/>
  <c r="AB538" i="2"/>
  <c r="AB479" i="2"/>
  <c r="AB474" i="2"/>
  <c r="AB395" i="2"/>
  <c r="AB350" i="2"/>
  <c r="AB344" i="2"/>
  <c r="AB338" i="2"/>
  <c r="AB585" i="2"/>
  <c r="AB578" i="2"/>
  <c r="AB575" i="2"/>
  <c r="AB571" i="2"/>
  <c r="AB547" i="2"/>
  <c r="AB535" i="2"/>
  <c r="AB491" i="2"/>
  <c r="AB483" i="2"/>
  <c r="AB466" i="2"/>
  <c r="AB398" i="2"/>
  <c r="AB342" i="2"/>
  <c r="AB312" i="2"/>
  <c r="AB442" i="2"/>
  <c r="AB441" i="2"/>
  <c r="AB436" i="2"/>
  <c r="AB435" i="2"/>
  <c r="AB434" i="2"/>
  <c r="AB433" i="2"/>
  <c r="AB432" i="2"/>
  <c r="AB430" i="2"/>
  <c r="AB426" i="2"/>
  <c r="AB424" i="2"/>
  <c r="AB421" i="2"/>
  <c r="AB416" i="2"/>
  <c r="AB415" i="2"/>
  <c r="AB412" i="2"/>
  <c r="AB406" i="2"/>
  <c r="AB405" i="2"/>
  <c r="AB404" i="2"/>
  <c r="AB400" i="2"/>
  <c r="AB374" i="2"/>
  <c r="AB337" i="2"/>
  <c r="AB639" i="2"/>
  <c r="AB603" i="2"/>
  <c r="AB593" i="2"/>
  <c r="AB528" i="2"/>
  <c r="AB507" i="2"/>
  <c r="AB473" i="2"/>
  <c r="AB459" i="2"/>
  <c r="AB453" i="2"/>
  <c r="AB371" i="2"/>
  <c r="AB365" i="2"/>
  <c r="AB335" i="2"/>
  <c r="AB329" i="2"/>
  <c r="AB317" i="2"/>
  <c r="AB634" i="2"/>
  <c r="AB624" i="2"/>
  <c r="AB601" i="2"/>
  <c r="AB591" i="2"/>
  <c r="AB564" i="2"/>
  <c r="AB462" i="2"/>
  <c r="AB456" i="2"/>
  <c r="AB368" i="2"/>
  <c r="AB318" i="2"/>
  <c r="W1149" i="2"/>
  <c r="X1149" i="2"/>
  <c r="X813" i="2"/>
  <c r="W813" i="2"/>
  <c r="C27" i="9"/>
  <c r="F15" i="9"/>
  <c r="F27" i="9" s="1"/>
  <c r="D29" i="9" s="1"/>
  <c r="C15" i="4"/>
  <c r="W1833" i="2"/>
  <c r="X1833" i="2"/>
  <c r="X1832" i="2"/>
  <c r="W1832" i="2"/>
  <c r="X1831" i="2"/>
  <c r="W1831" i="2"/>
  <c r="X1830" i="2"/>
  <c r="W1830" i="2"/>
  <c r="X1829" i="2"/>
  <c r="W1829" i="2"/>
  <c r="W1828" i="2"/>
  <c r="X1828" i="2"/>
  <c r="X1827" i="2"/>
  <c r="W1827" i="2"/>
  <c r="X1826" i="2"/>
  <c r="W1826" i="2"/>
  <c r="X1825" i="2"/>
  <c r="W1825" i="2"/>
  <c r="X1824" i="2"/>
  <c r="W1824" i="2"/>
  <c r="X1823" i="2"/>
  <c r="W1823" i="2"/>
  <c r="W1822" i="2"/>
  <c r="X1822" i="2"/>
  <c r="W1821" i="2"/>
  <c r="X1821" i="2"/>
  <c r="X1820" i="2"/>
  <c r="W1820" i="2"/>
  <c r="W1819" i="2"/>
  <c r="X1819" i="2"/>
  <c r="W1818" i="2"/>
  <c r="X1818" i="2"/>
  <c r="W1817" i="2"/>
  <c r="X1817" i="2"/>
  <c r="X1816" i="2"/>
  <c r="W1816" i="2"/>
  <c r="X1815" i="2"/>
  <c r="W1815" i="2"/>
  <c r="X1814" i="2"/>
  <c r="W1814" i="2"/>
  <c r="X1813" i="2"/>
  <c r="W1813" i="2"/>
  <c r="X1812" i="2"/>
  <c r="W1812" i="2"/>
  <c r="X1811" i="2"/>
  <c r="W1811" i="2"/>
  <c r="X1810" i="2"/>
  <c r="W1810" i="2"/>
  <c r="W1809" i="2"/>
  <c r="X1809" i="2"/>
  <c r="X1808" i="2"/>
  <c r="W1808" i="2"/>
  <c r="X1807" i="2"/>
  <c r="W1807" i="2"/>
  <c r="X1806" i="2"/>
  <c r="W1806" i="2"/>
  <c r="W1805" i="2"/>
  <c r="X1805" i="2"/>
  <c r="X1804" i="2"/>
  <c r="W1804" i="2"/>
  <c r="X1803" i="2"/>
  <c r="W1803" i="2"/>
  <c r="X1802" i="2"/>
  <c r="W1802" i="2"/>
  <c r="W1801" i="2"/>
  <c r="X1801" i="2"/>
  <c r="X1800" i="2"/>
  <c r="W1800" i="2"/>
  <c r="W1799" i="2"/>
  <c r="X1799" i="2"/>
  <c r="W1798" i="2"/>
  <c r="X1798" i="2"/>
  <c r="W1797" i="2"/>
  <c r="X1797" i="2"/>
  <c r="W1796" i="2"/>
  <c r="X1796" i="2"/>
  <c r="W1795" i="2"/>
  <c r="X1795" i="2"/>
  <c r="X1794" i="2"/>
  <c r="W1794" i="2"/>
  <c r="X1793" i="2"/>
  <c r="W1793" i="2"/>
  <c r="X1792" i="2"/>
  <c r="W1792" i="2"/>
  <c r="W1791" i="2"/>
  <c r="X1791" i="2"/>
  <c r="W1790" i="2"/>
  <c r="X1790" i="2"/>
  <c r="W1789" i="2"/>
  <c r="X1789" i="2"/>
  <c r="X1788" i="2"/>
  <c r="W1788" i="2"/>
  <c r="X1787" i="2"/>
  <c r="W1787" i="2"/>
  <c r="W1786" i="2"/>
  <c r="X1786" i="2"/>
  <c r="X1785" i="2"/>
  <c r="W1785" i="2"/>
  <c r="W1784" i="2"/>
  <c r="X1784" i="2"/>
  <c r="X1783" i="2"/>
  <c r="W1783" i="2"/>
  <c r="X1782" i="2"/>
  <c r="W1782" i="2"/>
  <c r="W1781" i="2"/>
  <c r="X1781" i="2"/>
  <c r="W1780" i="2"/>
  <c r="X1780" i="2"/>
  <c r="W1779" i="2"/>
  <c r="X1779" i="2"/>
  <c r="W1778" i="2"/>
  <c r="X1778" i="2"/>
  <c r="W1777" i="2"/>
  <c r="X1777" i="2"/>
  <c r="X1776" i="2"/>
  <c r="W1776" i="2"/>
  <c r="X1775" i="2"/>
  <c r="W1775" i="2"/>
  <c r="X1774" i="2"/>
  <c r="W1774" i="2"/>
  <c r="X1773" i="2"/>
  <c r="W1773" i="2"/>
  <c r="W1772" i="2"/>
  <c r="X1772" i="2"/>
  <c r="X1771" i="2"/>
  <c r="W1771" i="2"/>
  <c r="X1770" i="2"/>
  <c r="W1770" i="2"/>
  <c r="X1769" i="2"/>
  <c r="W1769" i="2"/>
  <c r="W1768" i="2"/>
  <c r="X1768" i="2"/>
  <c r="W1767" i="2"/>
  <c r="X1767" i="2"/>
  <c r="X1766" i="2"/>
  <c r="W1766" i="2"/>
  <c r="W1765" i="2"/>
  <c r="X1765" i="2"/>
  <c r="X1764" i="2"/>
  <c r="W1764" i="2"/>
  <c r="X1763" i="2"/>
  <c r="W1763" i="2"/>
  <c r="W1762" i="2"/>
  <c r="X1762" i="2"/>
  <c r="X1761" i="2"/>
  <c r="W1761" i="2"/>
  <c r="X1760" i="2"/>
  <c r="W1760" i="2"/>
  <c r="W1759" i="2"/>
  <c r="X1759" i="2"/>
  <c r="W1758" i="2"/>
  <c r="X1758" i="2"/>
  <c r="W1757" i="2"/>
  <c r="X1757" i="2"/>
  <c r="W1756" i="2"/>
  <c r="X1756" i="2"/>
  <c r="X1755" i="2"/>
  <c r="W1755" i="2"/>
  <c r="X1754" i="2"/>
  <c r="W1754" i="2"/>
  <c r="X1753" i="2"/>
  <c r="W1753" i="2"/>
  <c r="X1752" i="2"/>
  <c r="W1752" i="2"/>
  <c r="X1751" i="2"/>
  <c r="W1751" i="2"/>
  <c r="X1750" i="2"/>
  <c r="W1750" i="2"/>
  <c r="X1749" i="2"/>
  <c r="W1749" i="2"/>
  <c r="X1748" i="2"/>
  <c r="W1748" i="2"/>
  <c r="W1747" i="2"/>
  <c r="X1747" i="2"/>
  <c r="X1746" i="2"/>
  <c r="W1746" i="2"/>
  <c r="X1745" i="2"/>
  <c r="W1745" i="2"/>
  <c r="W1744" i="2"/>
  <c r="X1744" i="2"/>
  <c r="X1743" i="2"/>
  <c r="W1743" i="2"/>
  <c r="X1742" i="2"/>
  <c r="W1742" i="2"/>
  <c r="W1741" i="2"/>
  <c r="X1741" i="2"/>
  <c r="W1740" i="2"/>
  <c r="X1740" i="2"/>
  <c r="X1739" i="2"/>
  <c r="W1739" i="2"/>
  <c r="X1738" i="2"/>
  <c r="W1738" i="2"/>
  <c r="X1737" i="2"/>
  <c r="W1737" i="2"/>
  <c r="W1736" i="2"/>
  <c r="X1736" i="2"/>
  <c r="X1735" i="2"/>
  <c r="W1735" i="2"/>
  <c r="W1734" i="2"/>
  <c r="X1734" i="2"/>
  <c r="X1733" i="2"/>
  <c r="W1733" i="2"/>
  <c r="W1732" i="2"/>
  <c r="X1732" i="2"/>
  <c r="W1731" i="2"/>
  <c r="X1731" i="2"/>
  <c r="W1730" i="2"/>
  <c r="X1730" i="2"/>
  <c r="W1729" i="2"/>
  <c r="X1729" i="2"/>
  <c r="W1728" i="2"/>
  <c r="X1728" i="2"/>
  <c r="W1727" i="2"/>
  <c r="X1727" i="2"/>
  <c r="W1726" i="2"/>
  <c r="X1726" i="2"/>
  <c r="W1725" i="2"/>
  <c r="X1725" i="2"/>
  <c r="W1724" i="2"/>
  <c r="X1724" i="2"/>
  <c r="X1723" i="2"/>
  <c r="W1723" i="2"/>
  <c r="X1722" i="2"/>
  <c r="W1722" i="2"/>
  <c r="X1721" i="2"/>
  <c r="W1721" i="2"/>
  <c r="W1720" i="2"/>
  <c r="X1720" i="2"/>
  <c r="W1719" i="2"/>
  <c r="X1719" i="2"/>
  <c r="W1718" i="2"/>
  <c r="X1718" i="2"/>
  <c r="X1717" i="2"/>
  <c r="W1717" i="2"/>
  <c r="X1716" i="2"/>
  <c r="W1716" i="2"/>
  <c r="W1715" i="2"/>
  <c r="X1715" i="2"/>
  <c r="W1714" i="2"/>
  <c r="X1714" i="2"/>
  <c r="X1713" i="2"/>
  <c r="W1713" i="2"/>
  <c r="W1712" i="2"/>
  <c r="X1712" i="2"/>
  <c r="X1711" i="2"/>
  <c r="W1711" i="2"/>
  <c r="X1710" i="2"/>
  <c r="W1710" i="2"/>
  <c r="W1709" i="2"/>
  <c r="X1709" i="2"/>
  <c r="W1708" i="2"/>
  <c r="X1708" i="2"/>
  <c r="W1707" i="2"/>
  <c r="X1707" i="2"/>
  <c r="W1706" i="2"/>
  <c r="X1706" i="2"/>
  <c r="W1705" i="2"/>
  <c r="X1705" i="2"/>
  <c r="W1704" i="2"/>
  <c r="X1704" i="2"/>
  <c r="X1703" i="2"/>
  <c r="W1703" i="2"/>
  <c r="X1702" i="2"/>
  <c r="W1702" i="2"/>
  <c r="X1701" i="2"/>
  <c r="W1701" i="2"/>
  <c r="X1700" i="2"/>
  <c r="W1700" i="2"/>
  <c r="W1699" i="2"/>
  <c r="X1699" i="2"/>
  <c r="X1698" i="2"/>
  <c r="W1698" i="2"/>
  <c r="W1697" i="2"/>
  <c r="X1697" i="2"/>
  <c r="W1696" i="2"/>
  <c r="X1696" i="2"/>
  <c r="W1695" i="2"/>
  <c r="X1695" i="2"/>
  <c r="W1694" i="2"/>
  <c r="X1694" i="2"/>
  <c r="W1693" i="2"/>
  <c r="X1693" i="2"/>
  <c r="W1692" i="2"/>
  <c r="X1692" i="2"/>
  <c r="X1691" i="2"/>
  <c r="W1691" i="2"/>
  <c r="X1690" i="2"/>
  <c r="W1690" i="2"/>
  <c r="X1689" i="2"/>
  <c r="W1689" i="2"/>
  <c r="X1688" i="2"/>
  <c r="W1688" i="2"/>
  <c r="X1687" i="2"/>
  <c r="W1687" i="2"/>
  <c r="X1686" i="2"/>
  <c r="W1686" i="2"/>
  <c r="X1685" i="2"/>
  <c r="W1685" i="2"/>
  <c r="X1684" i="2"/>
  <c r="W1684" i="2"/>
  <c r="X1683" i="2"/>
  <c r="W1683" i="2"/>
  <c r="W1682" i="2"/>
  <c r="X1682" i="2"/>
  <c r="X1681" i="2"/>
  <c r="W1681" i="2"/>
  <c r="X1680" i="2"/>
  <c r="W1680" i="2"/>
  <c r="X1679" i="2"/>
  <c r="W1679" i="2"/>
  <c r="X1678" i="2"/>
  <c r="W1678" i="2"/>
  <c r="W1677" i="2"/>
  <c r="X1677" i="2"/>
  <c r="X1676" i="2"/>
  <c r="W1676" i="2"/>
  <c r="W1675" i="2"/>
  <c r="X1675" i="2"/>
  <c r="X1674" i="2"/>
  <c r="W1674" i="2"/>
  <c r="X1673" i="2"/>
  <c r="W1673" i="2"/>
  <c r="X1672" i="2"/>
  <c r="W1672" i="2"/>
  <c r="X1671" i="2"/>
  <c r="W1671" i="2"/>
  <c r="X1670" i="2"/>
  <c r="W1670" i="2"/>
  <c r="X1669" i="2"/>
  <c r="W1669" i="2"/>
  <c r="W1668" i="2"/>
  <c r="X1668" i="2"/>
  <c r="W1667" i="2"/>
  <c r="X1667" i="2"/>
  <c r="W1666" i="2"/>
  <c r="X1666" i="2"/>
  <c r="W1665" i="2"/>
  <c r="X1665" i="2"/>
  <c r="W1664" i="2"/>
  <c r="X1664" i="2"/>
  <c r="W1663" i="2"/>
  <c r="X1663" i="2"/>
  <c r="W1662" i="2"/>
  <c r="X1662" i="2"/>
  <c r="W1661" i="2"/>
  <c r="X1661" i="2"/>
  <c r="X1660" i="2"/>
  <c r="W1660" i="2"/>
  <c r="W1659" i="2"/>
  <c r="X1659" i="2"/>
  <c r="W1658" i="2"/>
  <c r="X1658" i="2"/>
  <c r="W1657" i="2"/>
  <c r="X1657" i="2"/>
  <c r="X1656" i="2"/>
  <c r="W1656" i="2"/>
  <c r="W1655" i="2"/>
  <c r="X1655" i="2"/>
  <c r="W1654" i="2"/>
  <c r="X1654" i="2"/>
  <c r="X1653" i="2"/>
  <c r="W1653" i="2"/>
  <c r="X1652" i="2"/>
  <c r="W1652" i="2"/>
  <c r="W1651" i="2"/>
  <c r="X1651" i="2"/>
  <c r="W1650" i="2"/>
  <c r="X1650" i="2"/>
  <c r="X1649" i="2"/>
  <c r="W1649" i="2"/>
  <c r="X1648" i="2"/>
  <c r="W1648" i="2"/>
  <c r="X1647" i="2"/>
  <c r="W1647" i="2"/>
  <c r="X1646" i="2"/>
  <c r="W1646" i="2"/>
  <c r="W1645" i="2"/>
  <c r="X1645" i="2"/>
  <c r="X1644" i="2"/>
  <c r="W1644" i="2"/>
  <c r="X1643" i="2"/>
  <c r="W1643" i="2"/>
  <c r="W1642" i="2"/>
  <c r="X1642" i="2"/>
  <c r="X1641" i="2"/>
  <c r="W1641" i="2"/>
  <c r="W1640" i="2"/>
  <c r="X1640" i="2"/>
  <c r="X1639" i="2"/>
  <c r="W1639" i="2"/>
  <c r="X1638" i="2"/>
  <c r="W1638" i="2"/>
  <c r="W1637" i="2"/>
  <c r="X1637" i="2"/>
  <c r="W1636" i="2"/>
  <c r="X1636" i="2"/>
  <c r="X1635" i="2"/>
  <c r="W1635" i="2"/>
  <c r="X1634" i="2"/>
  <c r="W1634" i="2"/>
  <c r="W1633" i="2"/>
  <c r="X1633" i="2"/>
  <c r="X1632" i="2"/>
  <c r="W1632" i="2"/>
  <c r="X1631" i="2"/>
  <c r="W1631" i="2"/>
  <c r="W1630" i="2"/>
  <c r="X1630" i="2"/>
  <c r="W1629" i="2"/>
  <c r="X1629" i="2"/>
  <c r="W1628" i="2"/>
  <c r="X1628" i="2"/>
  <c r="X1627" i="2"/>
  <c r="W1627" i="2"/>
  <c r="W1626" i="2"/>
  <c r="X1626" i="2"/>
  <c r="X1625" i="2"/>
  <c r="W1625" i="2"/>
  <c r="W1624" i="2"/>
  <c r="X1624" i="2"/>
  <c r="W1623" i="2"/>
  <c r="X1623" i="2"/>
  <c r="W1622" i="2"/>
  <c r="X1622" i="2"/>
  <c r="W1621" i="2"/>
  <c r="X1621" i="2"/>
  <c r="X1620" i="2"/>
  <c r="W1620" i="2"/>
  <c r="X1619" i="2"/>
  <c r="W1619" i="2"/>
  <c r="X1618" i="2"/>
  <c r="W1618" i="2"/>
  <c r="X1617" i="2"/>
  <c r="W1617" i="2"/>
  <c r="X1616" i="2"/>
  <c r="W1616" i="2"/>
  <c r="X1615" i="2"/>
  <c r="W1615" i="2"/>
  <c r="X1614" i="2"/>
  <c r="W1614" i="2"/>
  <c r="X1613" i="2"/>
  <c r="W1613" i="2"/>
  <c r="X1612" i="2"/>
  <c r="W1612" i="2"/>
  <c r="W1611" i="2"/>
  <c r="X1611" i="2"/>
  <c r="W1610" i="2"/>
  <c r="X1610" i="2"/>
  <c r="X1609" i="2"/>
  <c r="W1609" i="2"/>
  <c r="X1608" i="2"/>
  <c r="W1608" i="2"/>
  <c r="X1607" i="2"/>
  <c r="W1607" i="2"/>
  <c r="W1606" i="2"/>
  <c r="X1606" i="2"/>
  <c r="X1605" i="2"/>
  <c r="W1605" i="2"/>
  <c r="X1604" i="2"/>
  <c r="W1604" i="2"/>
  <c r="W1603" i="2"/>
  <c r="X1603" i="2"/>
  <c r="W1602" i="2"/>
  <c r="X1602" i="2"/>
  <c r="W1601" i="2"/>
  <c r="X1601" i="2"/>
  <c r="W1600" i="2"/>
  <c r="X1600" i="2"/>
  <c r="X1599" i="2"/>
  <c r="W1599" i="2"/>
  <c r="W1598" i="2"/>
  <c r="X1598" i="2"/>
  <c r="W1597" i="2"/>
  <c r="X1597" i="2"/>
  <c r="X1596" i="2"/>
  <c r="W1596" i="2"/>
  <c r="W1595" i="2"/>
  <c r="X1595" i="2"/>
  <c r="X1594" i="2"/>
  <c r="W1594" i="2"/>
  <c r="X1593" i="2"/>
  <c r="W1593" i="2"/>
  <c r="X1592" i="2"/>
  <c r="W1592" i="2"/>
  <c r="X1591" i="2"/>
  <c r="W1591" i="2"/>
  <c r="X1590" i="2"/>
  <c r="W1590" i="2"/>
  <c r="W1589" i="2"/>
  <c r="X1589" i="2"/>
  <c r="W1588" i="2"/>
  <c r="X1588" i="2"/>
  <c r="X1587" i="2"/>
  <c r="W1587" i="2"/>
  <c r="X1586" i="2"/>
  <c r="W1586" i="2"/>
  <c r="X1585" i="2"/>
  <c r="W1585" i="2"/>
  <c r="X1584" i="2"/>
  <c r="W1584" i="2"/>
  <c r="X1583" i="2"/>
  <c r="W1583" i="2"/>
  <c r="X1582" i="2"/>
  <c r="W1582" i="2"/>
  <c r="X1581" i="2"/>
  <c r="W1581" i="2"/>
  <c r="X1580" i="2"/>
  <c r="W1580" i="2"/>
  <c r="W1579" i="2"/>
  <c r="X1579" i="2"/>
  <c r="W1578" i="2"/>
  <c r="X1578" i="2"/>
  <c r="W1577" i="2"/>
  <c r="X1577" i="2"/>
  <c r="X1576" i="2"/>
  <c r="W1576" i="2"/>
  <c r="X1575" i="2"/>
  <c r="W1575" i="2"/>
  <c r="X1574" i="2"/>
  <c r="W1574" i="2"/>
  <c r="X1573" i="2"/>
  <c r="W1573" i="2"/>
  <c r="W1572" i="2"/>
  <c r="X1572" i="2"/>
  <c r="X1571" i="2"/>
  <c r="W1571" i="2"/>
  <c r="W1570" i="2"/>
  <c r="X1570" i="2"/>
  <c r="W1569" i="2"/>
  <c r="X1569" i="2"/>
  <c r="W1568" i="2"/>
  <c r="X1568" i="2"/>
  <c r="W1567" i="2"/>
  <c r="X1567" i="2"/>
  <c r="W1566" i="2"/>
  <c r="X1566" i="2"/>
  <c r="W1565" i="2"/>
  <c r="X1565" i="2"/>
  <c r="X1564" i="2"/>
  <c r="W1564" i="2"/>
  <c r="X1563" i="2"/>
  <c r="W1563" i="2"/>
  <c r="X1562" i="2"/>
  <c r="W1562" i="2"/>
  <c r="X1561" i="2"/>
  <c r="W1561" i="2"/>
  <c r="X1560" i="2"/>
  <c r="W1560" i="2"/>
  <c r="X1559" i="2"/>
  <c r="W1559" i="2"/>
  <c r="X1558" i="2"/>
  <c r="W1558" i="2"/>
  <c r="X1557" i="2"/>
  <c r="W1557" i="2"/>
  <c r="X1556" i="2"/>
  <c r="W1556" i="2"/>
  <c r="W1555" i="2"/>
  <c r="X1555" i="2"/>
  <c r="X1554" i="2"/>
  <c r="W1554" i="2"/>
  <c r="X1553" i="2"/>
  <c r="W1553" i="2"/>
  <c r="X1552" i="2"/>
  <c r="W1552" i="2"/>
  <c r="X1551" i="2"/>
  <c r="W1551" i="2"/>
  <c r="W1550" i="2"/>
  <c r="X1550" i="2"/>
  <c r="X1549" i="2"/>
  <c r="W1549" i="2"/>
  <c r="W1548" i="2"/>
  <c r="X1548" i="2"/>
  <c r="X1547" i="2"/>
  <c r="W1547" i="2"/>
  <c r="X1546" i="2"/>
  <c r="W1546" i="2"/>
  <c r="X1545" i="2"/>
  <c r="W1545" i="2"/>
  <c r="X1544" i="2"/>
  <c r="W1544" i="2"/>
  <c r="X1543" i="2"/>
  <c r="W1543" i="2"/>
  <c r="X1542" i="2"/>
  <c r="W1542" i="2"/>
  <c r="W1541" i="2"/>
  <c r="X1541" i="2"/>
  <c r="W1540" i="2"/>
  <c r="X1540" i="2"/>
  <c r="W1539" i="2"/>
  <c r="X1539" i="2"/>
  <c r="W1538" i="2"/>
  <c r="X1538" i="2"/>
  <c r="W1537" i="2"/>
  <c r="X1537" i="2"/>
  <c r="W1536" i="2"/>
  <c r="X1536" i="2"/>
  <c r="W1535" i="2"/>
  <c r="X1535" i="2"/>
  <c r="W1534" i="2"/>
  <c r="X1534" i="2"/>
  <c r="X1533" i="2"/>
  <c r="W1533" i="2"/>
  <c r="W1532" i="2"/>
  <c r="X1532" i="2"/>
  <c r="W1531" i="2"/>
  <c r="X1531" i="2"/>
  <c r="W1530" i="2"/>
  <c r="X1530" i="2"/>
  <c r="X1529" i="2"/>
  <c r="W1529" i="2"/>
  <c r="W1528" i="2"/>
  <c r="X1528" i="2"/>
  <c r="W1527" i="2"/>
  <c r="X1527" i="2"/>
  <c r="X1526" i="2"/>
  <c r="W1526" i="2"/>
  <c r="X1525" i="2"/>
  <c r="W1525" i="2"/>
  <c r="W1524" i="2"/>
  <c r="X1524" i="2"/>
  <c r="W1523" i="2"/>
  <c r="X1523" i="2"/>
  <c r="X1522" i="2"/>
  <c r="W1522" i="2"/>
  <c r="X1521" i="2"/>
  <c r="W1521" i="2"/>
  <c r="X1520" i="2"/>
  <c r="W1520" i="2"/>
  <c r="X1519" i="2"/>
  <c r="W1519" i="2"/>
  <c r="W1518" i="2"/>
  <c r="X1518" i="2"/>
  <c r="X1517" i="2"/>
  <c r="W1517" i="2"/>
  <c r="X1516" i="2"/>
  <c r="W1516" i="2"/>
  <c r="W1515" i="2"/>
  <c r="X1515" i="2"/>
  <c r="X1514" i="2"/>
  <c r="W1514" i="2"/>
  <c r="W1513" i="2"/>
  <c r="X1513" i="2"/>
  <c r="X1512" i="2"/>
  <c r="W1512" i="2"/>
  <c r="X1511" i="2"/>
  <c r="W1511" i="2"/>
  <c r="W1510" i="2"/>
  <c r="X1510" i="2"/>
  <c r="W1509" i="2"/>
  <c r="X1509" i="2"/>
  <c r="X1508" i="2"/>
  <c r="W1508" i="2"/>
  <c r="X1507" i="2"/>
  <c r="W1507" i="2"/>
  <c r="W1506" i="2"/>
  <c r="X1506" i="2"/>
  <c r="X1505" i="2"/>
  <c r="W1505" i="2"/>
  <c r="X1504" i="2"/>
  <c r="W1504" i="2"/>
  <c r="X1503" i="2"/>
  <c r="W1503" i="2"/>
  <c r="X1502" i="2"/>
  <c r="W1502" i="2"/>
  <c r="X1501" i="2"/>
  <c r="W1501" i="2"/>
  <c r="X1500" i="2"/>
  <c r="W1500" i="2"/>
  <c r="X1499" i="2"/>
  <c r="W1499" i="2"/>
  <c r="W1498" i="2"/>
  <c r="X1498" i="2"/>
  <c r="W1497" i="2"/>
  <c r="X1497" i="2"/>
  <c r="W1496" i="2"/>
  <c r="X1496" i="2"/>
  <c r="W1495" i="2"/>
  <c r="X1495" i="2"/>
  <c r="W1494" i="2"/>
  <c r="X1494" i="2"/>
  <c r="W1493" i="2"/>
  <c r="X1493" i="2"/>
  <c r="W1492" i="2"/>
  <c r="X1492" i="2"/>
  <c r="X1491" i="2"/>
  <c r="W1491" i="2"/>
  <c r="X1490" i="2"/>
  <c r="W1490" i="2"/>
  <c r="X1489" i="2"/>
  <c r="W1489" i="2"/>
  <c r="X1488" i="2"/>
  <c r="W1488" i="2"/>
  <c r="X1487" i="2"/>
  <c r="W1487" i="2"/>
  <c r="X1486" i="2"/>
  <c r="W1486" i="2"/>
  <c r="X1485" i="2"/>
  <c r="W1485" i="2"/>
  <c r="W1484" i="2"/>
  <c r="X1484" i="2"/>
  <c r="W1483" i="2"/>
  <c r="X1483" i="2"/>
  <c r="W1482" i="2"/>
  <c r="X1482" i="2"/>
  <c r="W1481" i="2"/>
  <c r="X1481" i="2"/>
  <c r="X1480" i="2"/>
  <c r="W1480" i="2"/>
  <c r="X1479" i="2"/>
  <c r="W1479" i="2"/>
  <c r="W1478" i="2"/>
  <c r="X1478" i="2"/>
  <c r="W1477" i="2"/>
  <c r="X1477" i="2"/>
  <c r="W1476" i="2"/>
  <c r="X1476" i="2"/>
  <c r="X1475" i="2"/>
  <c r="W1475" i="2"/>
  <c r="X1474" i="2"/>
  <c r="W1474" i="2"/>
  <c r="X1473" i="2"/>
  <c r="W1473" i="2"/>
  <c r="X1472" i="2"/>
  <c r="W1472" i="2"/>
  <c r="X1471" i="2"/>
  <c r="W1471" i="2"/>
  <c r="X1470" i="2"/>
  <c r="W1470" i="2"/>
  <c r="X1469" i="2"/>
  <c r="W1469" i="2"/>
  <c r="X1468" i="2"/>
  <c r="W1468" i="2"/>
  <c r="X1467" i="2"/>
  <c r="W1467" i="2"/>
  <c r="X1466" i="2"/>
  <c r="W1466" i="2"/>
  <c r="X1465" i="2"/>
  <c r="W1465" i="2"/>
  <c r="X1464" i="2"/>
  <c r="W1464" i="2"/>
  <c r="X1463" i="2"/>
  <c r="W1463" i="2"/>
  <c r="X1462" i="2"/>
  <c r="W1462" i="2"/>
  <c r="X1461" i="2"/>
  <c r="W1461" i="2"/>
  <c r="X1460" i="2"/>
  <c r="W1460" i="2"/>
  <c r="X1459" i="2"/>
  <c r="W1459" i="2"/>
  <c r="X1458" i="2"/>
  <c r="W1458" i="2"/>
  <c r="X1457" i="2"/>
  <c r="W1457" i="2"/>
  <c r="X1456" i="2"/>
  <c r="W1456" i="2"/>
  <c r="X1455" i="2"/>
  <c r="W1455" i="2"/>
  <c r="X1454" i="2"/>
  <c r="W1454" i="2"/>
  <c r="X1453" i="2"/>
  <c r="W1453" i="2"/>
  <c r="X1452" i="2"/>
  <c r="W1452" i="2"/>
  <c r="X1451" i="2"/>
  <c r="W1451" i="2"/>
  <c r="X1450" i="2"/>
  <c r="W1450" i="2"/>
  <c r="X1449" i="2"/>
  <c r="W1449" i="2"/>
  <c r="X1448" i="2"/>
  <c r="W1448" i="2"/>
  <c r="X1447" i="2"/>
  <c r="W1447" i="2"/>
  <c r="X1446" i="2"/>
  <c r="W1446" i="2"/>
  <c r="X1445" i="2"/>
  <c r="W1445" i="2"/>
  <c r="X1444" i="2"/>
  <c r="W1444" i="2"/>
  <c r="X1443" i="2"/>
  <c r="W1443" i="2"/>
  <c r="X1442" i="2"/>
  <c r="W1442" i="2"/>
  <c r="X1441" i="2"/>
  <c r="W1441" i="2"/>
  <c r="X1440" i="2"/>
  <c r="W1440" i="2"/>
  <c r="X1439" i="2"/>
  <c r="W1439" i="2"/>
  <c r="X1438" i="2"/>
  <c r="W1438" i="2"/>
  <c r="X1437" i="2"/>
  <c r="W1437" i="2"/>
  <c r="X1436" i="2"/>
  <c r="W1436" i="2"/>
  <c r="X1435" i="2"/>
  <c r="W1435" i="2"/>
  <c r="X1434" i="2"/>
  <c r="W1434" i="2"/>
  <c r="X1433" i="2"/>
  <c r="W1433" i="2"/>
  <c r="X1432" i="2"/>
  <c r="W1432" i="2"/>
  <c r="X1431" i="2"/>
  <c r="W1431" i="2"/>
  <c r="X1430" i="2"/>
  <c r="W1430" i="2"/>
  <c r="X1429" i="2"/>
  <c r="W1429" i="2"/>
  <c r="X1428" i="2"/>
  <c r="W1428" i="2"/>
  <c r="X1427" i="2"/>
  <c r="W1427" i="2"/>
  <c r="X1426" i="2"/>
  <c r="W1426" i="2"/>
  <c r="X1425" i="2"/>
  <c r="W1425" i="2"/>
  <c r="X1424" i="2"/>
  <c r="W1424" i="2"/>
  <c r="X1423" i="2"/>
  <c r="W1423" i="2"/>
  <c r="X1422" i="2"/>
  <c r="W1422" i="2"/>
  <c r="X1421" i="2"/>
  <c r="W1421" i="2"/>
  <c r="X1420" i="2"/>
  <c r="W1420" i="2"/>
  <c r="X1419" i="2"/>
  <c r="W1419" i="2"/>
  <c r="X1418" i="2"/>
  <c r="W1418" i="2"/>
  <c r="X1417" i="2"/>
  <c r="W1417" i="2"/>
  <c r="X1416" i="2"/>
  <c r="W1416" i="2"/>
  <c r="X1415" i="2"/>
  <c r="W1415" i="2"/>
  <c r="X1414" i="2"/>
  <c r="W1414" i="2"/>
  <c r="X1413" i="2"/>
  <c r="W1413" i="2"/>
  <c r="X1412" i="2"/>
  <c r="W1412" i="2"/>
  <c r="X1411" i="2"/>
  <c r="W1411" i="2"/>
  <c r="X1410" i="2"/>
  <c r="W1410" i="2"/>
  <c r="X1409" i="2"/>
  <c r="W1409" i="2"/>
  <c r="X1408" i="2"/>
  <c r="W1408" i="2"/>
  <c r="X1407" i="2"/>
  <c r="W1407" i="2"/>
  <c r="X1406" i="2"/>
  <c r="W1406" i="2"/>
  <c r="X1405" i="2"/>
  <c r="W1405" i="2"/>
  <c r="X1404" i="2"/>
  <c r="W1404" i="2"/>
  <c r="X1403" i="2"/>
  <c r="W1403" i="2"/>
  <c r="X1402" i="2"/>
  <c r="W1402" i="2"/>
  <c r="X1401" i="2"/>
  <c r="W1401" i="2"/>
  <c r="X1400" i="2"/>
  <c r="W1400" i="2"/>
  <c r="X1399" i="2"/>
  <c r="W1399" i="2"/>
  <c r="X1398" i="2"/>
  <c r="W1398" i="2"/>
  <c r="X1397" i="2"/>
  <c r="W1397" i="2"/>
  <c r="X1396" i="2"/>
  <c r="W1396" i="2"/>
  <c r="X1395" i="2"/>
  <c r="W1395" i="2"/>
  <c r="X1394" i="2"/>
  <c r="W1394" i="2"/>
  <c r="X1393" i="2"/>
  <c r="W1393" i="2"/>
  <c r="X1392" i="2"/>
  <c r="W1392" i="2"/>
  <c r="X1391" i="2"/>
  <c r="W1391" i="2"/>
  <c r="X1390" i="2"/>
  <c r="W1390" i="2"/>
  <c r="X1389" i="2"/>
  <c r="W1389" i="2"/>
  <c r="X1388" i="2"/>
  <c r="W1388" i="2"/>
  <c r="X1387" i="2"/>
  <c r="W1387" i="2"/>
  <c r="X1386" i="2"/>
  <c r="W1386" i="2"/>
  <c r="X1385" i="2"/>
  <c r="W1385" i="2"/>
  <c r="X1384" i="2"/>
  <c r="W1384" i="2"/>
  <c r="X1383" i="2"/>
  <c r="W1383" i="2"/>
  <c r="X1382" i="2"/>
  <c r="W1382" i="2"/>
  <c r="X1381" i="2"/>
  <c r="W1381" i="2"/>
  <c r="X1380" i="2"/>
  <c r="W1380" i="2"/>
  <c r="X1379" i="2"/>
  <c r="W1379" i="2"/>
  <c r="X1378" i="2"/>
  <c r="W1378" i="2"/>
  <c r="X1377" i="2"/>
  <c r="W1377" i="2"/>
  <c r="X1376" i="2"/>
  <c r="W1376" i="2"/>
  <c r="X1375" i="2"/>
  <c r="W1375" i="2"/>
  <c r="X1374" i="2"/>
  <c r="W1374" i="2"/>
  <c r="X1373" i="2"/>
  <c r="W1373" i="2"/>
  <c r="X1372" i="2"/>
  <c r="W1372" i="2"/>
  <c r="X1371" i="2"/>
  <c r="W1371" i="2"/>
  <c r="X1370" i="2"/>
  <c r="W1370" i="2"/>
  <c r="X1369" i="2"/>
  <c r="W1369" i="2"/>
  <c r="X1368" i="2"/>
  <c r="W1368" i="2"/>
  <c r="X1367" i="2"/>
  <c r="W1367" i="2"/>
  <c r="X1366" i="2"/>
  <c r="W1366" i="2"/>
  <c r="X1365" i="2"/>
  <c r="W1365" i="2"/>
  <c r="X1364" i="2"/>
  <c r="W1364" i="2"/>
  <c r="X1363" i="2"/>
  <c r="W1363" i="2"/>
  <c r="X1362" i="2"/>
  <c r="W1362" i="2"/>
  <c r="X1361" i="2"/>
  <c r="W1361" i="2"/>
  <c r="X1360" i="2"/>
  <c r="W1360" i="2"/>
  <c r="X1359" i="2"/>
  <c r="W1359" i="2"/>
  <c r="X1358" i="2"/>
  <c r="W1358" i="2"/>
  <c r="X1357" i="2"/>
  <c r="W1357" i="2"/>
  <c r="X1356" i="2"/>
  <c r="W1356" i="2"/>
  <c r="X1355" i="2"/>
  <c r="W1355" i="2"/>
  <c r="X1354" i="2"/>
  <c r="W1354" i="2"/>
  <c r="X1353" i="2"/>
  <c r="W1353" i="2"/>
  <c r="X1352" i="2"/>
  <c r="W1352" i="2"/>
  <c r="X1351" i="2"/>
  <c r="W1351" i="2"/>
  <c r="X1350" i="2"/>
  <c r="W1350" i="2"/>
  <c r="X1349" i="2"/>
  <c r="W1349" i="2"/>
  <c r="X1348" i="2"/>
  <c r="W1348" i="2"/>
  <c r="X1347" i="2"/>
  <c r="W1347" i="2"/>
  <c r="X1346" i="2"/>
  <c r="W1346" i="2"/>
  <c r="X1345" i="2"/>
  <c r="W1345" i="2"/>
  <c r="X1344" i="2"/>
  <c r="W1344" i="2"/>
  <c r="X1343" i="2"/>
  <c r="W1343" i="2"/>
  <c r="X1342" i="2"/>
  <c r="W1342" i="2"/>
  <c r="X1341" i="2"/>
  <c r="W1341" i="2"/>
  <c r="X1340" i="2"/>
  <c r="W1340" i="2"/>
  <c r="X1339" i="2"/>
  <c r="W1339" i="2"/>
  <c r="X1338" i="2"/>
  <c r="W1338" i="2"/>
  <c r="X1337" i="2"/>
  <c r="W1337" i="2"/>
  <c r="X1336" i="2"/>
  <c r="W1336" i="2"/>
  <c r="X1335" i="2"/>
  <c r="W1335" i="2"/>
  <c r="X1334" i="2"/>
  <c r="W1334" i="2"/>
  <c r="X1333" i="2"/>
  <c r="W1333" i="2"/>
  <c r="X1332" i="2"/>
  <c r="W1332" i="2"/>
  <c r="X1331" i="2"/>
  <c r="W1331" i="2"/>
  <c r="X1330" i="2"/>
  <c r="W1330" i="2"/>
  <c r="X1329" i="2"/>
  <c r="W1329" i="2"/>
  <c r="X1328" i="2"/>
  <c r="W1328" i="2"/>
  <c r="X1327" i="2"/>
  <c r="W1327" i="2"/>
  <c r="X1326" i="2"/>
  <c r="W1326" i="2"/>
  <c r="X1325" i="2"/>
  <c r="W1325" i="2"/>
  <c r="X1324" i="2"/>
  <c r="W1324" i="2"/>
  <c r="X1323" i="2"/>
  <c r="W1323" i="2"/>
  <c r="W1322" i="2"/>
  <c r="X1322" i="2"/>
  <c r="X1321" i="2"/>
  <c r="W1321" i="2"/>
  <c r="W1320" i="2"/>
  <c r="X1320" i="2"/>
  <c r="X1319" i="2"/>
  <c r="W1319" i="2"/>
  <c r="X1318" i="2"/>
  <c r="W1318" i="2"/>
  <c r="X1317" i="2"/>
  <c r="W1317" i="2"/>
  <c r="X1316" i="2"/>
  <c r="W1316" i="2"/>
  <c r="X1315" i="2"/>
  <c r="W1315" i="2"/>
  <c r="X1314" i="2"/>
  <c r="W1314" i="2"/>
  <c r="W1313" i="2"/>
  <c r="X1313" i="2"/>
  <c r="X1312" i="2"/>
  <c r="W1312" i="2"/>
  <c r="W1311" i="2"/>
  <c r="X1311" i="2"/>
  <c r="W1310" i="2"/>
  <c r="X1310" i="2"/>
  <c r="W1309" i="2"/>
  <c r="X1309" i="2"/>
  <c r="W1308" i="2"/>
  <c r="X1308" i="2"/>
  <c r="X1307" i="2"/>
  <c r="W1307" i="2"/>
  <c r="X1306" i="2"/>
  <c r="W1306" i="2"/>
  <c r="X1305" i="2"/>
  <c r="W1305" i="2"/>
  <c r="X1304" i="2"/>
  <c r="W1304" i="2"/>
  <c r="W1303" i="2"/>
  <c r="X1303" i="2"/>
  <c r="X1302" i="2"/>
  <c r="W1302" i="2"/>
  <c r="W1301" i="2"/>
  <c r="X1301" i="2"/>
  <c r="X1300" i="2"/>
  <c r="W1300" i="2"/>
  <c r="X1299" i="2"/>
  <c r="W1299" i="2"/>
  <c r="W1298" i="2"/>
  <c r="X1298" i="2"/>
  <c r="W1297" i="2"/>
  <c r="X1297" i="2"/>
  <c r="W1296" i="2"/>
  <c r="X1296" i="2"/>
  <c r="W1295" i="2"/>
  <c r="X1295" i="2"/>
  <c r="W1294" i="2"/>
  <c r="X1294" i="2"/>
  <c r="X1293" i="2"/>
  <c r="W1293" i="2"/>
  <c r="X1292" i="2"/>
  <c r="W1292" i="2"/>
  <c r="W1291" i="2"/>
  <c r="X1291" i="2"/>
  <c r="X1290" i="2"/>
  <c r="W1290" i="2"/>
  <c r="X1289" i="2"/>
  <c r="W1289" i="2"/>
  <c r="X1288" i="2"/>
  <c r="W1288" i="2"/>
  <c r="X1287" i="2"/>
  <c r="W1287" i="2"/>
  <c r="X1286" i="2"/>
  <c r="W1286" i="2"/>
  <c r="W1285" i="2"/>
  <c r="X1285" i="2"/>
  <c r="X1284" i="2"/>
  <c r="W1284" i="2"/>
  <c r="X1283" i="2"/>
  <c r="W1283" i="2"/>
  <c r="X1282" i="2"/>
  <c r="W1282" i="2"/>
  <c r="W1281" i="2"/>
  <c r="X1281" i="2"/>
  <c r="X1280" i="2"/>
  <c r="W1280" i="2"/>
  <c r="W1279" i="2"/>
  <c r="X1279" i="2"/>
  <c r="X1278" i="2"/>
  <c r="W1278" i="2"/>
  <c r="X1277" i="2"/>
  <c r="W1277" i="2"/>
  <c r="W1276" i="2"/>
  <c r="X1276" i="2"/>
  <c r="W1275" i="2"/>
  <c r="X1275" i="2"/>
  <c r="W1274" i="2"/>
  <c r="X1274" i="2"/>
  <c r="X1273" i="2"/>
  <c r="W1273" i="2"/>
  <c r="W1272" i="2"/>
  <c r="X1272" i="2"/>
  <c r="X1271" i="2"/>
  <c r="W1271" i="2"/>
  <c r="X1270" i="2"/>
  <c r="W1270" i="2"/>
  <c r="X1269" i="2"/>
  <c r="W1269" i="2"/>
  <c r="W1268" i="2"/>
  <c r="X1268" i="2"/>
  <c r="W1267" i="2"/>
  <c r="X1267" i="2"/>
  <c r="W1266" i="2"/>
  <c r="X1266" i="2"/>
  <c r="X1265" i="2"/>
  <c r="W1265" i="2"/>
  <c r="X1264" i="2"/>
  <c r="W1264" i="2"/>
  <c r="W1263" i="2"/>
  <c r="X1263" i="2"/>
  <c r="X1262" i="2"/>
  <c r="W1262" i="2"/>
  <c r="X1261" i="2"/>
  <c r="W1261" i="2"/>
  <c r="X1260" i="2"/>
  <c r="W1260" i="2"/>
  <c r="X1259" i="2"/>
  <c r="W1259" i="2"/>
  <c r="X1258" i="2"/>
  <c r="W1258" i="2"/>
  <c r="X1257" i="2"/>
  <c r="W1257" i="2"/>
  <c r="X1256" i="2"/>
  <c r="W1256" i="2"/>
  <c r="W1255" i="2"/>
  <c r="X1255" i="2"/>
  <c r="W1254" i="2"/>
  <c r="X1254" i="2"/>
  <c r="W1253" i="2"/>
  <c r="X1253" i="2"/>
  <c r="W1252" i="2"/>
  <c r="X1252" i="2"/>
  <c r="X1251" i="2"/>
  <c r="W1251" i="2"/>
  <c r="W1250" i="2"/>
  <c r="X1250" i="2"/>
  <c r="W1249" i="2"/>
  <c r="X1249" i="2"/>
  <c r="W1248" i="2"/>
  <c r="X1248" i="2"/>
  <c r="W1247" i="2"/>
  <c r="X1247" i="2"/>
  <c r="X1246" i="2"/>
  <c r="W1246" i="2"/>
  <c r="X1245" i="2"/>
  <c r="W1245" i="2"/>
  <c r="X1244" i="2"/>
  <c r="W1244" i="2"/>
  <c r="X1243" i="2"/>
  <c r="W1243" i="2"/>
  <c r="X1242" i="2"/>
  <c r="W1242" i="2"/>
  <c r="W1241" i="2"/>
  <c r="X1241" i="2"/>
  <c r="X1240" i="2"/>
  <c r="W1240" i="2"/>
  <c r="W1239" i="2"/>
  <c r="X1239" i="2"/>
  <c r="W1238" i="2"/>
  <c r="X1238" i="2"/>
  <c r="X1237" i="2"/>
  <c r="W1237" i="2"/>
  <c r="X1236" i="2"/>
  <c r="W1236" i="2"/>
  <c r="X1235" i="2"/>
  <c r="W1235" i="2"/>
  <c r="W1234" i="2"/>
  <c r="X1234" i="2"/>
  <c r="X1233" i="2"/>
  <c r="W1233" i="2"/>
  <c r="X1232" i="2"/>
  <c r="W1232" i="2"/>
  <c r="X1231" i="2"/>
  <c r="W1231" i="2"/>
  <c r="X1230" i="2"/>
  <c r="W1230" i="2"/>
  <c r="W1229" i="2"/>
  <c r="X1229" i="2"/>
  <c r="X1228" i="2"/>
  <c r="W1228" i="2"/>
  <c r="X1227" i="2"/>
  <c r="W1227" i="2"/>
  <c r="W1226" i="2"/>
  <c r="X1226" i="2"/>
  <c r="W1225" i="2"/>
  <c r="X1225" i="2"/>
  <c r="W1224" i="2"/>
  <c r="X1224" i="2"/>
  <c r="W1223" i="2"/>
  <c r="X1223" i="2"/>
  <c r="X1222" i="2"/>
  <c r="W1222" i="2"/>
  <c r="X1221" i="2"/>
  <c r="W1221" i="2"/>
  <c r="W1220" i="2"/>
  <c r="X1220" i="2"/>
  <c r="W1219" i="2"/>
  <c r="X1219" i="2"/>
  <c r="X1218" i="2"/>
  <c r="W1218" i="2"/>
  <c r="W1217" i="2"/>
  <c r="X1217" i="2"/>
  <c r="W1216" i="2"/>
  <c r="X1216" i="2"/>
  <c r="W1215" i="2"/>
  <c r="X1215" i="2"/>
  <c r="W1214" i="2"/>
  <c r="X1214" i="2"/>
  <c r="W1213" i="2"/>
  <c r="X1213" i="2"/>
  <c r="W1212" i="2"/>
  <c r="X1212" i="2"/>
  <c r="X1211" i="2"/>
  <c r="W1211" i="2"/>
  <c r="X1210" i="2"/>
  <c r="W1210" i="2"/>
  <c r="X1209" i="2"/>
  <c r="W1209" i="2"/>
  <c r="X1208" i="2"/>
  <c r="W1208" i="2"/>
  <c r="X1207" i="2"/>
  <c r="W1207" i="2"/>
  <c r="X1206" i="2"/>
  <c r="W1206" i="2"/>
  <c r="X1205" i="2"/>
  <c r="W1205" i="2"/>
  <c r="W1204" i="2"/>
  <c r="X1204" i="2"/>
  <c r="W1203" i="2"/>
  <c r="X1203" i="2"/>
  <c r="W1202" i="2"/>
  <c r="X1202" i="2"/>
  <c r="X1201" i="2"/>
  <c r="W1201" i="2"/>
  <c r="W1200" i="2"/>
  <c r="X1200" i="2"/>
  <c r="X1199" i="2"/>
  <c r="W1199" i="2"/>
  <c r="W1198" i="2"/>
  <c r="X1198" i="2"/>
  <c r="X1197" i="2"/>
  <c r="W1197" i="2"/>
  <c r="W1196" i="2"/>
  <c r="X1196" i="2"/>
  <c r="W1195" i="2"/>
  <c r="X1195" i="2"/>
  <c r="X1194" i="2"/>
  <c r="W1194" i="2"/>
  <c r="W1193" i="2"/>
  <c r="X1193" i="2"/>
  <c r="X1192" i="2"/>
  <c r="W1192" i="2"/>
  <c r="W1191" i="2"/>
  <c r="X1191" i="2"/>
  <c r="W1190" i="2"/>
  <c r="X1190" i="2"/>
  <c r="X1189" i="2"/>
  <c r="W1189" i="2"/>
  <c r="W1188" i="2"/>
  <c r="X1188" i="2"/>
  <c r="W1187" i="2"/>
  <c r="X1187" i="2"/>
  <c r="W1186" i="2"/>
  <c r="X1186" i="2"/>
  <c r="X1185" i="2"/>
  <c r="W1185" i="2"/>
  <c r="W1184" i="2"/>
  <c r="X1184" i="2"/>
  <c r="W1183" i="2"/>
  <c r="X1183" i="2"/>
  <c r="X1182" i="2"/>
  <c r="W1182" i="2"/>
  <c r="X1181" i="2"/>
  <c r="W1181" i="2"/>
  <c r="W1180" i="2"/>
  <c r="X1180" i="2"/>
  <c r="W1179" i="2"/>
  <c r="X1179" i="2"/>
  <c r="W1178" i="2"/>
  <c r="X1178" i="2"/>
  <c r="X1177" i="2"/>
  <c r="W1177" i="2"/>
  <c r="W1176" i="2"/>
  <c r="X1176" i="2"/>
  <c r="X1175" i="2"/>
  <c r="W1175" i="2"/>
  <c r="X1174" i="2"/>
  <c r="W1174" i="2"/>
  <c r="X1173" i="2"/>
  <c r="W1173" i="2"/>
  <c r="W1172" i="2"/>
  <c r="X1172" i="2"/>
  <c r="W1171" i="2"/>
  <c r="X1171" i="2"/>
  <c r="W1170" i="2"/>
  <c r="X1170" i="2"/>
  <c r="W1169" i="2"/>
  <c r="X1169" i="2"/>
  <c r="W1168" i="2"/>
  <c r="X1168" i="2"/>
  <c r="X1167" i="2"/>
  <c r="W1167" i="2"/>
  <c r="X1166" i="2"/>
  <c r="W1166" i="2"/>
  <c r="X1165" i="2"/>
  <c r="W1165" i="2"/>
  <c r="X1164" i="2"/>
  <c r="W1164" i="2"/>
  <c r="X1163" i="2"/>
  <c r="W1163" i="2"/>
  <c r="W1162" i="2"/>
  <c r="X1162" i="2"/>
  <c r="W1161" i="2"/>
  <c r="X1161" i="2"/>
  <c r="X1160" i="2"/>
  <c r="W1160" i="2"/>
  <c r="X1159" i="2"/>
  <c r="W1159" i="2"/>
  <c r="W1158" i="2"/>
  <c r="X1158" i="2"/>
  <c r="W1157" i="2"/>
  <c r="X1157" i="2"/>
  <c r="W1156" i="2"/>
  <c r="X1156" i="2"/>
  <c r="W1155" i="2"/>
  <c r="X1155" i="2"/>
  <c r="X1154" i="2"/>
  <c r="W1154" i="2"/>
  <c r="W1153" i="2"/>
  <c r="X1153" i="2"/>
  <c r="X1152" i="2"/>
  <c r="W1152" i="2"/>
  <c r="X1151" i="2"/>
  <c r="W1151" i="2"/>
  <c r="W1150" i="2"/>
  <c r="X1150" i="2"/>
  <c r="X1148" i="2"/>
  <c r="W1148" i="2"/>
  <c r="W1147" i="2"/>
  <c r="X1147" i="2"/>
  <c r="W1146" i="2"/>
  <c r="X1146" i="2"/>
  <c r="X1145" i="2"/>
  <c r="W1145" i="2"/>
  <c r="X1144" i="2"/>
  <c r="W1144" i="2"/>
  <c r="X1143" i="2"/>
  <c r="W1143" i="2"/>
  <c r="W1142" i="2"/>
  <c r="X1142" i="2"/>
  <c r="W1141" i="2"/>
  <c r="X1141" i="2"/>
  <c r="W1140" i="2"/>
  <c r="X1140" i="2"/>
  <c r="W1139" i="2"/>
  <c r="X1139" i="2"/>
  <c r="W1138" i="2"/>
  <c r="X1138" i="2"/>
  <c r="X1137" i="2"/>
  <c r="W1137" i="2"/>
  <c r="X1136" i="2"/>
  <c r="W1136" i="2"/>
  <c r="W1135" i="2"/>
  <c r="X1135" i="2"/>
  <c r="X1134" i="2"/>
  <c r="W1134" i="2"/>
  <c r="X1133" i="2"/>
  <c r="W1133" i="2"/>
  <c r="W1132" i="2"/>
  <c r="X1132" i="2"/>
  <c r="W1131" i="2"/>
  <c r="X1131" i="2"/>
  <c r="W1130" i="2"/>
  <c r="X1130" i="2"/>
  <c r="W1129" i="2"/>
  <c r="X1129" i="2"/>
  <c r="X1128" i="2"/>
  <c r="W1128" i="2"/>
  <c r="X1127" i="2"/>
  <c r="W1127" i="2"/>
  <c r="X1126" i="2"/>
  <c r="W1126" i="2"/>
  <c r="X1125" i="2"/>
  <c r="W1125" i="2"/>
  <c r="X1124" i="2"/>
  <c r="W1124" i="2"/>
  <c r="X1123" i="2"/>
  <c r="W1123" i="2"/>
  <c r="X1122" i="2"/>
  <c r="W1122" i="2"/>
  <c r="X1121" i="2"/>
  <c r="W1121" i="2"/>
  <c r="X1120" i="2"/>
  <c r="W1120" i="2"/>
  <c r="X1119" i="2"/>
  <c r="W1119" i="2"/>
  <c r="X1118" i="2"/>
  <c r="W1118" i="2"/>
  <c r="X1117" i="2"/>
  <c r="W1117" i="2"/>
  <c r="X1116" i="2"/>
  <c r="W1116" i="2"/>
  <c r="X1115" i="2"/>
  <c r="W1115" i="2"/>
  <c r="X1114" i="2"/>
  <c r="W1114" i="2"/>
  <c r="X1113" i="2"/>
  <c r="W1113" i="2"/>
  <c r="X1112" i="2"/>
  <c r="W1112" i="2"/>
  <c r="X1111" i="2"/>
  <c r="W1111" i="2"/>
  <c r="X1110" i="2"/>
  <c r="W1110" i="2"/>
  <c r="W1109" i="2"/>
  <c r="X1109" i="2"/>
  <c r="X1108" i="2"/>
  <c r="W1108" i="2"/>
  <c r="X1107" i="2"/>
  <c r="W1107" i="2"/>
  <c r="W1106" i="2"/>
  <c r="X1106" i="2"/>
  <c r="W1105" i="2"/>
  <c r="X1105" i="2"/>
  <c r="W1104" i="2"/>
  <c r="X1104" i="2"/>
  <c r="X1103" i="2"/>
  <c r="W1103" i="2"/>
  <c r="X1102" i="2"/>
  <c r="W1102" i="2"/>
  <c r="X1101" i="2"/>
  <c r="W1101" i="2"/>
  <c r="X1100" i="2"/>
  <c r="W1100" i="2"/>
  <c r="X1099" i="2"/>
  <c r="W1099" i="2"/>
  <c r="X1098" i="2"/>
  <c r="W1098" i="2"/>
  <c r="X1097" i="2"/>
  <c r="W1097" i="2"/>
  <c r="X1096" i="2"/>
  <c r="W1096" i="2"/>
  <c r="W1095" i="2"/>
  <c r="X1095" i="2"/>
  <c r="W1094" i="2"/>
  <c r="X1094" i="2"/>
  <c r="X1093" i="2"/>
  <c r="W1093" i="2"/>
  <c r="X1092" i="2"/>
  <c r="W1092" i="2"/>
  <c r="X1091" i="2"/>
  <c r="W1091" i="2"/>
  <c r="W1090" i="2"/>
  <c r="X1090" i="2"/>
  <c r="X1089" i="2"/>
  <c r="W1089" i="2"/>
  <c r="W1088" i="2"/>
  <c r="X1088" i="2"/>
  <c r="X1087" i="2"/>
  <c r="W1087" i="2"/>
  <c r="W1086" i="2"/>
  <c r="X1086" i="2"/>
  <c r="X1085" i="2"/>
  <c r="W1085" i="2"/>
  <c r="X1084" i="2"/>
  <c r="W1084" i="2"/>
  <c r="X1083" i="2"/>
  <c r="W1083" i="2"/>
  <c r="X1082" i="2"/>
  <c r="W1082" i="2"/>
  <c r="X1081" i="2"/>
  <c r="W1081" i="2"/>
  <c r="X1080" i="2"/>
  <c r="W1080" i="2"/>
  <c r="W1079" i="2"/>
  <c r="X1079" i="2"/>
  <c r="W1078" i="2"/>
  <c r="X1078" i="2"/>
  <c r="X1077" i="2"/>
  <c r="W1077" i="2"/>
  <c r="W1076" i="2"/>
  <c r="X1076" i="2"/>
  <c r="X1075" i="2"/>
  <c r="W1075" i="2"/>
  <c r="X1074" i="2"/>
  <c r="W1074" i="2"/>
  <c r="X1073" i="2"/>
  <c r="W1073" i="2"/>
  <c r="W1072" i="2"/>
  <c r="X1072" i="2"/>
  <c r="X1071" i="2"/>
  <c r="W1071" i="2"/>
  <c r="X1070" i="2"/>
  <c r="W1070" i="2"/>
  <c r="W1069" i="2"/>
  <c r="X1069" i="2"/>
  <c r="W1068" i="2"/>
  <c r="X1068" i="2"/>
  <c r="W1067" i="2"/>
  <c r="X1067" i="2"/>
  <c r="W1066" i="2"/>
  <c r="X1066" i="2"/>
  <c r="W1065" i="2"/>
  <c r="X1065" i="2"/>
  <c r="W1064" i="2"/>
  <c r="X1064" i="2"/>
  <c r="W1063" i="2"/>
  <c r="X1063" i="2"/>
  <c r="X1062" i="2"/>
  <c r="W1062" i="2"/>
  <c r="X1061" i="2"/>
  <c r="W1061" i="2"/>
  <c r="W1060" i="2"/>
  <c r="X1060" i="2"/>
  <c r="X1059" i="2"/>
  <c r="W1059" i="2"/>
  <c r="X1058" i="2"/>
  <c r="W1058" i="2"/>
  <c r="W1057" i="2"/>
  <c r="X1057" i="2"/>
  <c r="W1056" i="2"/>
  <c r="X1056" i="2"/>
  <c r="X1055" i="2"/>
  <c r="W1055" i="2"/>
  <c r="X1054" i="2"/>
  <c r="W1054" i="2"/>
  <c r="X1053" i="2"/>
  <c r="W1053" i="2"/>
  <c r="W1052" i="2"/>
  <c r="X1052" i="2"/>
  <c r="X1051" i="2"/>
  <c r="W1051" i="2"/>
  <c r="X1050" i="2"/>
  <c r="W1050" i="2"/>
  <c r="W1049" i="2"/>
  <c r="X1049" i="2"/>
  <c r="X1048" i="2"/>
  <c r="W1048" i="2"/>
  <c r="X1047" i="2"/>
  <c r="W1047" i="2"/>
  <c r="X1046" i="2"/>
  <c r="W1046" i="2"/>
  <c r="W1045" i="2"/>
  <c r="X1045" i="2"/>
  <c r="X1044" i="2"/>
  <c r="W1044" i="2"/>
  <c r="X1043" i="2"/>
  <c r="W1043" i="2"/>
  <c r="W1042" i="2"/>
  <c r="X1042" i="2"/>
  <c r="W1041" i="2"/>
  <c r="X1041" i="2"/>
  <c r="X1040" i="2"/>
  <c r="W1040" i="2"/>
  <c r="W1039" i="2"/>
  <c r="X1039" i="2"/>
  <c r="W1038" i="2"/>
  <c r="X1038" i="2"/>
  <c r="X1037" i="2"/>
  <c r="W1037" i="2"/>
  <c r="W1036" i="2"/>
  <c r="X1036" i="2"/>
  <c r="W1035" i="2"/>
  <c r="X1035" i="2"/>
  <c r="X1034" i="2"/>
  <c r="W1034" i="2"/>
  <c r="W1033" i="2"/>
  <c r="X1033" i="2"/>
  <c r="W1032" i="2"/>
  <c r="X1032" i="2"/>
  <c r="W1031" i="2"/>
  <c r="X1031" i="2"/>
  <c r="X1030" i="2"/>
  <c r="W1030" i="2"/>
  <c r="W1029" i="2"/>
  <c r="X1029" i="2"/>
  <c r="W1028" i="2"/>
  <c r="X1028" i="2"/>
  <c r="W1027" i="2"/>
  <c r="X1027" i="2"/>
  <c r="X1026" i="2"/>
  <c r="W1026" i="2"/>
  <c r="W1025" i="2"/>
  <c r="X1025" i="2"/>
  <c r="W1024" i="2"/>
  <c r="X1024" i="2"/>
  <c r="W1023" i="2"/>
  <c r="X1023" i="2"/>
  <c r="X1022" i="2"/>
  <c r="W1022" i="2"/>
  <c r="W1021" i="2"/>
  <c r="X1021" i="2"/>
  <c r="W1020" i="2"/>
  <c r="X1020" i="2"/>
  <c r="W1019" i="2"/>
  <c r="X1019" i="2"/>
  <c r="X1018" i="2"/>
  <c r="W1018" i="2"/>
  <c r="W1017" i="2"/>
  <c r="X1017" i="2"/>
  <c r="X1016" i="2"/>
  <c r="W1016" i="2"/>
  <c r="X1015" i="2"/>
  <c r="W1015" i="2"/>
  <c r="X1014" i="2"/>
  <c r="W1014" i="2"/>
  <c r="W1013" i="2"/>
  <c r="X1013" i="2"/>
  <c r="W1012" i="2"/>
  <c r="X1012" i="2"/>
  <c r="W1011" i="2"/>
  <c r="X1011" i="2"/>
  <c r="X1010" i="2"/>
  <c r="W1010" i="2"/>
  <c r="X1009" i="2"/>
  <c r="W1009" i="2"/>
  <c r="X1008" i="2"/>
  <c r="W1008" i="2"/>
  <c r="W1007" i="2"/>
  <c r="X1007" i="2"/>
  <c r="W1006" i="2"/>
  <c r="X1006" i="2"/>
  <c r="W1005" i="2"/>
  <c r="X1005" i="2"/>
  <c r="X1004" i="2"/>
  <c r="W1004" i="2"/>
  <c r="W1003" i="2"/>
  <c r="X1003" i="2"/>
  <c r="X1002" i="2"/>
  <c r="W1002" i="2"/>
  <c r="X1001" i="2"/>
  <c r="W1001" i="2"/>
  <c r="X1000" i="2"/>
  <c r="W1000" i="2"/>
  <c r="W999" i="2"/>
  <c r="X999" i="2"/>
  <c r="W998" i="2"/>
  <c r="X998" i="2"/>
  <c r="X997" i="2"/>
  <c r="W997" i="2"/>
  <c r="X996" i="2"/>
  <c r="W996" i="2"/>
  <c r="X995" i="2"/>
  <c r="W995" i="2"/>
  <c r="X994" i="2"/>
  <c r="W994" i="2"/>
  <c r="W993" i="2"/>
  <c r="X993" i="2"/>
  <c r="X992" i="2"/>
  <c r="W992" i="2"/>
  <c r="X991" i="2"/>
  <c r="W991" i="2"/>
  <c r="X990" i="2"/>
  <c r="W990" i="2"/>
  <c r="X989" i="2"/>
  <c r="W989" i="2"/>
  <c r="X988" i="2"/>
  <c r="W988" i="2"/>
  <c r="X987" i="2"/>
  <c r="W987" i="2"/>
  <c r="W986" i="2"/>
  <c r="X986" i="2"/>
  <c r="X985" i="2"/>
  <c r="W985" i="2"/>
  <c r="W984" i="2"/>
  <c r="X984" i="2"/>
  <c r="X983" i="2"/>
  <c r="W983" i="2"/>
  <c r="X982" i="2"/>
  <c r="W982" i="2"/>
  <c r="X981" i="2"/>
  <c r="W981" i="2"/>
  <c r="X980" i="2"/>
  <c r="W980" i="2"/>
  <c r="X979" i="2"/>
  <c r="W979" i="2"/>
  <c r="X978" i="2"/>
  <c r="W978" i="2"/>
  <c r="W977" i="2"/>
  <c r="X977" i="2"/>
  <c r="W976" i="2"/>
  <c r="X976" i="2"/>
  <c r="W975" i="2"/>
  <c r="X975" i="2"/>
  <c r="W974" i="2"/>
  <c r="X974" i="2"/>
  <c r="W973" i="2"/>
  <c r="X973" i="2"/>
  <c r="W972" i="2"/>
  <c r="X972" i="2"/>
  <c r="W971" i="2"/>
  <c r="X971" i="2"/>
  <c r="W970" i="2"/>
  <c r="X970" i="2"/>
  <c r="X969" i="2"/>
  <c r="W969" i="2"/>
  <c r="X968" i="2"/>
  <c r="W968" i="2"/>
  <c r="X967" i="2"/>
  <c r="W967" i="2"/>
  <c r="X966" i="2"/>
  <c r="W966" i="2"/>
  <c r="W965" i="2"/>
  <c r="X965" i="2"/>
  <c r="W964" i="2"/>
  <c r="X964" i="2"/>
  <c r="X963" i="2"/>
  <c r="W963" i="2"/>
  <c r="X962" i="2"/>
  <c r="W962" i="2"/>
  <c r="X961" i="2"/>
  <c r="W961" i="2"/>
  <c r="X960" i="2"/>
  <c r="W960" i="2"/>
  <c r="W959" i="2"/>
  <c r="X959" i="2"/>
  <c r="W958" i="2"/>
  <c r="X958" i="2"/>
  <c r="W957" i="2"/>
  <c r="X957" i="2"/>
  <c r="X956" i="2"/>
  <c r="W956" i="2"/>
  <c r="X955" i="2"/>
  <c r="W955" i="2"/>
  <c r="X954" i="2"/>
  <c r="W954" i="2"/>
  <c r="X953" i="2"/>
  <c r="W953" i="2"/>
  <c r="X952" i="2"/>
  <c r="W952" i="2"/>
  <c r="X951" i="2"/>
  <c r="W951" i="2"/>
  <c r="X950" i="2"/>
  <c r="W950" i="2"/>
  <c r="X949" i="2"/>
  <c r="W949" i="2"/>
  <c r="X948" i="2"/>
  <c r="W948" i="2"/>
  <c r="W947" i="2"/>
  <c r="X947" i="2"/>
  <c r="X946" i="2"/>
  <c r="W946" i="2"/>
  <c r="X945" i="2"/>
  <c r="W945" i="2"/>
  <c r="W944" i="2"/>
  <c r="X944" i="2"/>
  <c r="W943" i="2"/>
  <c r="X943" i="2"/>
  <c r="X942" i="2"/>
  <c r="W942" i="2"/>
  <c r="W941" i="2"/>
  <c r="X941" i="2"/>
  <c r="W940" i="2"/>
  <c r="X940" i="2"/>
  <c r="X939" i="2"/>
  <c r="W939" i="2"/>
  <c r="X938" i="2"/>
  <c r="W938" i="2"/>
  <c r="X937" i="2"/>
  <c r="W937" i="2"/>
  <c r="W936" i="2"/>
  <c r="X936" i="2"/>
  <c r="X935" i="2"/>
  <c r="W935" i="2"/>
  <c r="X934" i="2"/>
  <c r="W934" i="2"/>
  <c r="X933" i="2"/>
  <c r="W933" i="2"/>
  <c r="X932" i="2"/>
  <c r="W932" i="2"/>
  <c r="X931" i="2"/>
  <c r="W931" i="2"/>
  <c r="X930" i="2"/>
  <c r="W930" i="2"/>
  <c r="W929" i="2"/>
  <c r="X929" i="2"/>
  <c r="X928" i="2"/>
  <c r="W928" i="2"/>
  <c r="X927" i="2"/>
  <c r="W927" i="2"/>
  <c r="X926" i="2"/>
  <c r="W926" i="2"/>
  <c r="X925" i="2"/>
  <c r="W925" i="2"/>
  <c r="W924" i="2"/>
  <c r="X924" i="2"/>
  <c r="W923" i="2"/>
  <c r="X923" i="2"/>
  <c r="W922" i="2"/>
  <c r="X922" i="2"/>
  <c r="W921" i="2"/>
  <c r="X921" i="2"/>
  <c r="W920" i="2"/>
  <c r="X920" i="2"/>
  <c r="X919" i="2"/>
  <c r="W919" i="2"/>
  <c r="X918" i="2"/>
  <c r="W918" i="2"/>
  <c r="W917" i="2"/>
  <c r="X917" i="2"/>
  <c r="X916" i="2"/>
  <c r="W916" i="2"/>
  <c r="X915" i="2"/>
  <c r="W915" i="2"/>
  <c r="X914" i="2"/>
  <c r="W914" i="2"/>
  <c r="W913" i="2"/>
  <c r="X913" i="2"/>
  <c r="W912" i="2"/>
  <c r="X912" i="2"/>
  <c r="W911" i="2"/>
  <c r="X911" i="2"/>
  <c r="X910" i="2"/>
  <c r="W910" i="2"/>
  <c r="X909" i="2"/>
  <c r="W909" i="2"/>
  <c r="W908" i="2"/>
  <c r="X908" i="2"/>
  <c r="X907" i="2"/>
  <c r="W907" i="2"/>
  <c r="W906" i="2"/>
  <c r="X906" i="2"/>
  <c r="X905" i="2"/>
  <c r="W905" i="2"/>
  <c r="X904" i="2"/>
  <c r="W904" i="2"/>
  <c r="W903" i="2"/>
  <c r="X903" i="2"/>
  <c r="X902" i="2"/>
  <c r="W902" i="2"/>
  <c r="X901" i="2"/>
  <c r="W901" i="2"/>
  <c r="X900" i="2"/>
  <c r="W900" i="2"/>
  <c r="W899" i="2"/>
  <c r="X899" i="2"/>
  <c r="X898" i="2"/>
  <c r="W898" i="2"/>
  <c r="W897" i="2"/>
  <c r="X897" i="2"/>
  <c r="W896" i="2"/>
  <c r="X896" i="2"/>
  <c r="X895" i="2"/>
  <c r="W895" i="2"/>
  <c r="W894" i="2"/>
  <c r="X894" i="2"/>
  <c r="W893" i="2"/>
  <c r="X893" i="2"/>
  <c r="W892" i="2"/>
  <c r="X892" i="2"/>
  <c r="W891" i="2"/>
  <c r="X891" i="2"/>
  <c r="X890" i="2"/>
  <c r="W890" i="2"/>
  <c r="X889" i="2"/>
  <c r="W889" i="2"/>
  <c r="W888" i="2"/>
  <c r="X888" i="2"/>
  <c r="X887" i="2"/>
  <c r="W887" i="2"/>
  <c r="W886" i="2"/>
  <c r="X886" i="2"/>
  <c r="X885" i="2"/>
  <c r="W885" i="2"/>
  <c r="X884" i="2"/>
  <c r="W884" i="2"/>
  <c r="X883" i="2"/>
  <c r="W883" i="2"/>
  <c r="W882" i="2"/>
  <c r="X882" i="2"/>
  <c r="X881" i="2"/>
  <c r="W881" i="2"/>
  <c r="W880" i="2"/>
  <c r="X880" i="2"/>
  <c r="W879" i="2"/>
  <c r="X879" i="2"/>
  <c r="W878" i="2"/>
  <c r="X878" i="2"/>
  <c r="W877" i="2"/>
  <c r="X877" i="2"/>
  <c r="W876" i="2"/>
  <c r="X876" i="2"/>
  <c r="X875" i="2"/>
  <c r="W875" i="2"/>
  <c r="X874" i="2"/>
  <c r="W874" i="2"/>
  <c r="X873" i="2"/>
  <c r="W873" i="2"/>
  <c r="X872" i="2"/>
  <c r="W872" i="2"/>
  <c r="W871" i="2"/>
  <c r="X871" i="2"/>
  <c r="X870" i="2"/>
  <c r="W870" i="2"/>
  <c r="X869" i="2"/>
  <c r="W869" i="2"/>
  <c r="X868" i="2"/>
  <c r="W868" i="2"/>
  <c r="X867" i="2"/>
  <c r="W867" i="2"/>
  <c r="W866" i="2"/>
  <c r="X866" i="2"/>
  <c r="X865" i="2"/>
  <c r="W865" i="2"/>
  <c r="X864" i="2"/>
  <c r="W864" i="2"/>
  <c r="W863" i="2"/>
  <c r="X863" i="2"/>
  <c r="X862" i="2"/>
  <c r="W862" i="2"/>
  <c r="W861" i="2"/>
  <c r="X861" i="2"/>
  <c r="W860" i="2"/>
  <c r="X860" i="2"/>
  <c r="W859" i="2"/>
  <c r="X859" i="2"/>
  <c r="X858" i="2"/>
  <c r="W858" i="2"/>
  <c r="X857" i="2"/>
  <c r="W857" i="2"/>
  <c r="X856" i="2"/>
  <c r="W856" i="2"/>
  <c r="W855" i="2"/>
  <c r="X855" i="2"/>
  <c r="W854" i="2"/>
  <c r="X854" i="2"/>
  <c r="W853" i="2"/>
  <c r="X853" i="2"/>
  <c r="W852" i="2"/>
  <c r="X852" i="2"/>
  <c r="X851" i="2"/>
  <c r="W851" i="2"/>
  <c r="W850" i="2"/>
  <c r="X850" i="2"/>
  <c r="X849" i="2"/>
  <c r="W849" i="2"/>
  <c r="X848" i="2"/>
  <c r="W848" i="2"/>
  <c r="X847" i="2"/>
  <c r="W847" i="2"/>
  <c r="X846" i="2"/>
  <c r="W846" i="2"/>
  <c r="X845" i="2"/>
  <c r="W845" i="2"/>
  <c r="W844" i="2"/>
  <c r="X844" i="2"/>
  <c r="W843" i="2"/>
  <c r="X843" i="2"/>
  <c r="X842" i="2"/>
  <c r="W842" i="2"/>
  <c r="X841" i="2"/>
  <c r="W841" i="2"/>
  <c r="X840" i="2"/>
  <c r="W840" i="2"/>
  <c r="X839" i="2"/>
  <c r="W839" i="2"/>
  <c r="X838" i="2"/>
  <c r="W838" i="2"/>
  <c r="X837" i="2"/>
  <c r="W837" i="2"/>
  <c r="X836" i="2"/>
  <c r="W836" i="2"/>
  <c r="X835" i="2"/>
  <c r="W835" i="2"/>
  <c r="X834" i="2"/>
  <c r="W834" i="2"/>
  <c r="X833" i="2"/>
  <c r="W833" i="2"/>
  <c r="X832" i="2"/>
  <c r="W832" i="2"/>
  <c r="X831" i="2"/>
  <c r="W831" i="2"/>
  <c r="X830" i="2"/>
  <c r="W830" i="2"/>
  <c r="X829" i="2"/>
  <c r="W829" i="2"/>
  <c r="X828" i="2"/>
  <c r="W828" i="2"/>
  <c r="X827" i="2"/>
  <c r="W827" i="2"/>
  <c r="X826" i="2"/>
  <c r="W826" i="2"/>
  <c r="W825" i="2"/>
  <c r="X825" i="2"/>
  <c r="W824" i="2"/>
  <c r="X824" i="2"/>
  <c r="X823" i="2"/>
  <c r="W823" i="2"/>
  <c r="W822" i="2"/>
  <c r="X822" i="2"/>
  <c r="X821" i="2"/>
  <c r="W821" i="2"/>
  <c r="X820" i="2"/>
  <c r="W820" i="2"/>
  <c r="X819" i="2"/>
  <c r="W819" i="2"/>
  <c r="X818" i="2"/>
  <c r="W818" i="2"/>
  <c r="X817" i="2"/>
  <c r="W817" i="2"/>
  <c r="W816" i="2"/>
  <c r="X816" i="2"/>
  <c r="X815" i="2"/>
  <c r="W815" i="2"/>
  <c r="X814" i="2"/>
  <c r="W814" i="2"/>
  <c r="W812" i="2"/>
  <c r="X812" i="2"/>
  <c r="X811" i="2"/>
  <c r="W811" i="2"/>
  <c r="W810" i="2"/>
  <c r="X810" i="2"/>
  <c r="X809" i="2"/>
  <c r="W809" i="2"/>
  <c r="W808" i="2"/>
  <c r="X808" i="2"/>
  <c r="X807" i="2"/>
  <c r="W807" i="2"/>
  <c r="X806" i="2"/>
  <c r="W806" i="2"/>
  <c r="W805" i="2"/>
  <c r="X805" i="2"/>
  <c r="W804" i="2"/>
  <c r="X804" i="2"/>
  <c r="W803" i="2"/>
  <c r="X803" i="2"/>
  <c r="W802" i="2"/>
  <c r="X802" i="2"/>
  <c r="W801" i="2"/>
  <c r="X801" i="2"/>
  <c r="X800" i="2"/>
  <c r="W800" i="2"/>
  <c r="W799" i="2"/>
  <c r="X799" i="2"/>
  <c r="W798" i="2"/>
  <c r="X798" i="2"/>
  <c r="X797" i="2"/>
  <c r="W797" i="2"/>
  <c r="W796" i="2"/>
  <c r="X796" i="2"/>
  <c r="W795" i="2"/>
  <c r="X795" i="2"/>
  <c r="W794" i="2"/>
  <c r="X794" i="2"/>
  <c r="X793" i="2"/>
  <c r="W793" i="2"/>
  <c r="W792" i="2"/>
  <c r="X792" i="2"/>
  <c r="W791" i="2"/>
  <c r="X791" i="2"/>
  <c r="X790" i="2"/>
  <c r="W790" i="2"/>
  <c r="W789" i="2"/>
  <c r="X789" i="2"/>
  <c r="W788" i="2"/>
  <c r="X788" i="2"/>
  <c r="W787" i="2"/>
  <c r="X787" i="2"/>
  <c r="X786" i="2"/>
  <c r="W786" i="2"/>
  <c r="X785" i="2"/>
  <c r="W785" i="2"/>
  <c r="X784" i="2"/>
  <c r="W784" i="2"/>
  <c r="X783" i="2"/>
  <c r="W783" i="2"/>
  <c r="W782" i="2"/>
  <c r="X782" i="2"/>
  <c r="W781" i="2"/>
  <c r="X781" i="2"/>
  <c r="X780" i="2"/>
  <c r="W780" i="2"/>
  <c r="W779" i="2"/>
  <c r="X779" i="2"/>
  <c r="W778" i="2"/>
  <c r="X778" i="2"/>
  <c r="X777" i="2"/>
  <c r="W777" i="2"/>
  <c r="X776" i="2"/>
  <c r="W776" i="2"/>
  <c r="X775" i="2"/>
  <c r="W775" i="2"/>
  <c r="W774" i="2"/>
  <c r="X774" i="2"/>
  <c r="X773" i="2"/>
  <c r="W773" i="2"/>
  <c r="W772" i="2"/>
  <c r="X772" i="2"/>
  <c r="W771" i="2"/>
  <c r="X771" i="2"/>
  <c r="X770" i="2"/>
  <c r="W770" i="2"/>
  <c r="X769" i="2"/>
  <c r="W769" i="2"/>
  <c r="X768" i="2"/>
  <c r="W768" i="2"/>
  <c r="W767" i="2"/>
  <c r="X767" i="2"/>
  <c r="X766" i="2"/>
  <c r="W766" i="2"/>
  <c r="W765" i="2"/>
  <c r="X765" i="2"/>
  <c r="W764" i="2"/>
  <c r="X764" i="2"/>
  <c r="X763" i="2"/>
  <c r="W763" i="2"/>
  <c r="X762" i="2"/>
  <c r="W762" i="2"/>
  <c r="X761" i="2"/>
  <c r="W761" i="2"/>
  <c r="W760" i="2"/>
  <c r="X760" i="2"/>
  <c r="X759" i="2"/>
  <c r="W759" i="2"/>
  <c r="X758" i="2"/>
  <c r="W758" i="2"/>
  <c r="X757" i="2"/>
  <c r="W757" i="2"/>
  <c r="W756" i="2"/>
  <c r="X756" i="2"/>
  <c r="X755" i="2"/>
  <c r="W755" i="2"/>
  <c r="X754" i="2"/>
  <c r="W754" i="2"/>
  <c r="W753" i="2"/>
  <c r="X753" i="2"/>
  <c r="E3" i="4" a="1"/>
  <c r="E3" i="4" s="1"/>
  <c r="R3" i="4" a="1"/>
  <c r="R3" i="4" s="1"/>
  <c r="AF3" i="4" a="1"/>
  <c r="AF3" i="4" s="1"/>
  <c r="M4" i="4" a="1"/>
  <c r="M4" i="4" s="1"/>
  <c r="Z4" i="4" a="1"/>
  <c r="Z4" i="4" s="1"/>
  <c r="H5" i="4" a="1"/>
  <c r="H5" i="4" s="1"/>
  <c r="V5" i="4" a="1"/>
  <c r="V5" i="4" s="1"/>
  <c r="AH5" i="4" a="1"/>
  <c r="AH5" i="4" s="1"/>
  <c r="N6" i="4" a="1"/>
  <c r="N6" i="4" s="1"/>
  <c r="AE6" i="4" a="1"/>
  <c r="AE6" i="4" s="1"/>
  <c r="L7" i="4" a="1"/>
  <c r="L7" i="4" s="1"/>
  <c r="I3" i="4" a="1"/>
  <c r="I3" i="4" s="1"/>
  <c r="X3" i="4" a="1"/>
  <c r="X3" i="4" s="1"/>
  <c r="H4" i="4" a="1"/>
  <c r="H4" i="4" s="1"/>
  <c r="W4" i="4" a="1"/>
  <c r="W4" i="4" s="1"/>
  <c r="E5" i="4" a="1"/>
  <c r="E5" i="4" s="1"/>
  <c r="T5" i="4" a="1"/>
  <c r="T5" i="4" s="1"/>
  <c r="AE5" i="4" a="1"/>
  <c r="AE5" i="4" s="1"/>
  <c r="L6" i="4" a="1"/>
  <c r="L6" i="4" s="1"/>
  <c r="Y6" i="4" a="1"/>
  <c r="Y6" i="4" s="1"/>
  <c r="J7" i="4" a="1"/>
  <c r="J7" i="4" s="1"/>
  <c r="J3" i="4" a="1"/>
  <c r="J3" i="4" s="1"/>
  <c r="W3" i="4" a="1"/>
  <c r="W3" i="4" s="1"/>
  <c r="E4" i="4" a="1"/>
  <c r="E4" i="4" s="1"/>
  <c r="R4" i="4" a="1"/>
  <c r="R4" i="4" s="1"/>
  <c r="D5" i="4" a="1"/>
  <c r="D5" i="4" s="1"/>
  <c r="Q5" i="4" a="1"/>
  <c r="Q5" i="4" s="1"/>
  <c r="AD5" i="4" a="1"/>
  <c r="AD5" i="4" s="1"/>
  <c r="J6" i="4" a="1"/>
  <c r="J6" i="4" s="1"/>
  <c r="Z6" i="4" a="1"/>
  <c r="Z6" i="4" s="1"/>
  <c r="I7" i="4" a="1"/>
  <c r="I7" i="4" s="1"/>
  <c r="C18" i="1"/>
  <c r="C24" i="1"/>
  <c r="N3" i="4" a="1"/>
  <c r="N3" i="4" s="1"/>
  <c r="Y3" i="4" a="1"/>
  <c r="Y3" i="4" s="1"/>
  <c r="G4" i="4" a="1"/>
  <c r="G4" i="4" s="1"/>
  <c r="U4" i="4" a="1"/>
  <c r="U4" i="4" s="1"/>
  <c r="AH4" i="4" a="1"/>
  <c r="AH4" i="4" s="1"/>
  <c r="O5" i="4" a="1"/>
  <c r="O5" i="4" s="1"/>
  <c r="AC5" i="4" a="1"/>
  <c r="AC5" i="4" s="1"/>
  <c r="P6" i="4" a="1"/>
  <c r="P6" i="4" s="1"/>
  <c r="AC6" i="4" a="1"/>
  <c r="AC6" i="4" s="1"/>
  <c r="G7" i="4" a="1"/>
  <c r="G7" i="4" s="1"/>
  <c r="R7" i="4" a="1"/>
  <c r="R7" i="4" s="1"/>
  <c r="Z7" i="4" a="1"/>
  <c r="Z7" i="4" s="1"/>
  <c r="AH7" i="4" a="1"/>
  <c r="AH7" i="4" s="1"/>
  <c r="I8" i="4" a="1"/>
  <c r="I8" i="4" s="1"/>
  <c r="P8" i="4" a="1"/>
  <c r="P8" i="4" s="1"/>
  <c r="W8" i="4" a="1"/>
  <c r="W8" i="4" s="1"/>
  <c r="AD8" i="4" a="1"/>
  <c r="AD8" i="4" s="1"/>
  <c r="E9" i="4" a="1"/>
  <c r="E9" i="4" s="1"/>
  <c r="L9" i="4" a="1"/>
  <c r="L9" i="4" s="1"/>
  <c r="R9" i="4" a="1"/>
  <c r="R9" i="4" s="1"/>
  <c r="Y9" i="4" a="1"/>
  <c r="Y9" i="4" s="1"/>
  <c r="AE9" i="4" a="1"/>
  <c r="AE9" i="4" s="1"/>
  <c r="E10" i="4" a="1"/>
  <c r="E10" i="4" s="1"/>
  <c r="L10" i="4" a="1"/>
  <c r="L10" i="4" s="1"/>
  <c r="R10" i="4" a="1"/>
  <c r="R10" i="4" s="1"/>
  <c r="Y10" i="4" a="1"/>
  <c r="Y10" i="4" s="1"/>
  <c r="AF10" i="4" a="1"/>
  <c r="AF10" i="4" s="1"/>
  <c r="F11" i="4" a="1"/>
  <c r="F11" i="4" s="1"/>
  <c r="M11" i="4" a="1"/>
  <c r="M11" i="4" s="1"/>
  <c r="T11" i="4" a="1"/>
  <c r="T11" i="4" s="1"/>
  <c r="AB11" i="4" a="1"/>
  <c r="AB11" i="4" s="1"/>
  <c r="AH11" i="4" a="1"/>
  <c r="AH11" i="4" s="1"/>
  <c r="H12" i="4" a="1"/>
  <c r="H12" i="4" s="1"/>
  <c r="N12" i="4" a="1"/>
  <c r="N12" i="4" s="1"/>
  <c r="U12" i="4" a="1"/>
  <c r="U12" i="4" s="1"/>
  <c r="AB12" i="4" a="1"/>
  <c r="AB12" i="4" s="1"/>
  <c r="AH12" i="4" a="1"/>
  <c r="AH12" i="4" s="1"/>
  <c r="F13" i="4" a="1"/>
  <c r="F13" i="4" s="1"/>
  <c r="M13" i="4" a="1"/>
  <c r="M13" i="4" s="1"/>
  <c r="T13" i="4" a="1"/>
  <c r="T13" i="4" s="1"/>
  <c r="AB13" i="4" a="1"/>
  <c r="AB13" i="4" s="1"/>
  <c r="AH13" i="4" a="1"/>
  <c r="AH13" i="4" s="1"/>
  <c r="G14" i="4" a="1"/>
  <c r="G14" i="4" s="1"/>
  <c r="M14" i="4" a="1"/>
  <c r="M14" i="4" s="1"/>
  <c r="R14" i="4" a="1"/>
  <c r="R14" i="4" s="1"/>
  <c r="X14" i="4" a="1"/>
  <c r="X14" i="4" s="1"/>
  <c r="AC14" i="4" a="1"/>
  <c r="AC14" i="4" s="1"/>
  <c r="M3" i="4" a="1"/>
  <c r="M3" i="4" s="1"/>
  <c r="AB3" i="4" a="1"/>
  <c r="AB3" i="4" s="1"/>
  <c r="I4" i="4" a="1"/>
  <c r="I4" i="4" s="1"/>
  <c r="V4" i="4" a="1"/>
  <c r="V4" i="4" s="1"/>
  <c r="AG4" i="4" a="1"/>
  <c r="AG4" i="4" s="1"/>
  <c r="N5" i="4" a="1"/>
  <c r="N5" i="4" s="1"/>
  <c r="AB5" i="4" a="1"/>
  <c r="AB5" i="4" s="1"/>
  <c r="I6" i="4" a="1"/>
  <c r="I6" i="4" s="1"/>
  <c r="W6" i="4" a="1"/>
  <c r="W6" i="4" s="1"/>
  <c r="E7" i="4" a="1"/>
  <c r="E7" i="4" s="1"/>
  <c r="Q7" i="4" a="1"/>
  <c r="Q7" i="4" s="1"/>
  <c r="Y7" i="4" a="1"/>
  <c r="Y7" i="4" s="1"/>
  <c r="AG7" i="4" a="1"/>
  <c r="AG7" i="4" s="1"/>
  <c r="J8" i="4" a="1"/>
  <c r="J8" i="4" s="1"/>
  <c r="Q8" i="4" a="1"/>
  <c r="Q8" i="4" s="1"/>
  <c r="X8" i="4" a="1"/>
  <c r="X8" i="4" s="1"/>
  <c r="AE8" i="4" a="1"/>
  <c r="AE8" i="4" s="1"/>
  <c r="F9" i="4" a="1"/>
  <c r="F9" i="4" s="1"/>
  <c r="M9" i="4" a="1"/>
  <c r="M9" i="4" s="1"/>
  <c r="T9" i="4" a="1"/>
  <c r="T9" i="4" s="1"/>
  <c r="AB9" i="4" a="1"/>
  <c r="AB9" i="4" s="1"/>
  <c r="AG9" i="4" a="1"/>
  <c r="AG9" i="4" s="1"/>
  <c r="F10" i="4" a="1"/>
  <c r="F10" i="4" s="1"/>
  <c r="M10" i="4" a="1"/>
  <c r="M10" i="4" s="1"/>
  <c r="T10" i="4" a="1"/>
  <c r="T10" i="4" s="1"/>
  <c r="Z10" i="4" a="1"/>
  <c r="Z10" i="4" s="1"/>
  <c r="AG10" i="4" a="1"/>
  <c r="AG10" i="4" s="1"/>
  <c r="H11" i="4" a="1"/>
  <c r="H11" i="4" s="1"/>
  <c r="O11" i="4" a="1"/>
  <c r="O11" i="4" s="1"/>
  <c r="V11" i="4" a="1"/>
  <c r="V11" i="4" s="1"/>
  <c r="AC11" i="4" a="1"/>
  <c r="AC11" i="4" s="1"/>
  <c r="D12" i="4" a="1"/>
  <c r="D12" i="4" s="1"/>
  <c r="I12" i="4" a="1"/>
  <c r="I12" i="4" s="1"/>
  <c r="O12" i="4" a="1"/>
  <c r="O12" i="4" s="1"/>
  <c r="V12" i="4" a="1"/>
  <c r="V12" i="4" s="1"/>
  <c r="AC12" i="4" a="1"/>
  <c r="AC12" i="4" s="1"/>
  <c r="D13" i="4" a="1"/>
  <c r="D13" i="4" s="1"/>
  <c r="J13" i="4" a="1"/>
  <c r="J13" i="4" s="1"/>
  <c r="Q13" i="4" a="1"/>
  <c r="Q13" i="4" s="1"/>
  <c r="X13" i="4" a="1"/>
  <c r="X13" i="4" s="1"/>
  <c r="AE13" i="4" a="1"/>
  <c r="AE13" i="4" s="1"/>
  <c r="E14" i="4" a="1"/>
  <c r="E14" i="4" s="1"/>
  <c r="J14" i="4" a="1"/>
  <c r="J14" i="4" s="1"/>
  <c r="P14" i="4" a="1"/>
  <c r="P14" i="4" s="1"/>
  <c r="V14" i="4" a="1"/>
  <c r="V14" i="4" s="1"/>
  <c r="Z14" i="4" a="1"/>
  <c r="Z14" i="4" s="1"/>
  <c r="AF14" i="4" a="1"/>
  <c r="AF14" i="4" s="1"/>
  <c r="O3" i="4" a="1"/>
  <c r="O3" i="4" s="1"/>
  <c r="Z3" i="4" a="1"/>
  <c r="Z3" i="4" s="1"/>
  <c r="F4" i="4" a="1"/>
  <c r="F4" i="4" s="1"/>
  <c r="T4" i="4" a="1"/>
  <c r="T4" i="4" s="1"/>
  <c r="AF4" i="4" a="1"/>
  <c r="AF4" i="4" s="1"/>
  <c r="M5" i="4" a="1"/>
  <c r="M5" i="4" s="1"/>
  <c r="Z5" i="4" a="1"/>
  <c r="Z5" i="4" s="1"/>
  <c r="H6" i="4" a="1"/>
  <c r="H6" i="4" s="1"/>
  <c r="V6" i="4" a="1"/>
  <c r="V6" i="4" s="1"/>
  <c r="D7" i="4" a="1"/>
  <c r="D7" i="4" s="1"/>
  <c r="U7" i="4" a="1"/>
  <c r="U7" i="4" s="1"/>
  <c r="AC7" i="4" a="1"/>
  <c r="AC7" i="4" s="1"/>
  <c r="D8" i="4" a="1"/>
  <c r="D8" i="4" s="1"/>
  <c r="L8" i="4" a="1"/>
  <c r="L8" i="4" s="1"/>
  <c r="R8" i="4" a="1"/>
  <c r="R8" i="4" s="1"/>
  <c r="Y8" i="4" a="1"/>
  <c r="Y8" i="4" s="1"/>
  <c r="AF8" i="4" a="1"/>
  <c r="AF8" i="4" s="1"/>
  <c r="G9" i="4" a="1"/>
  <c r="G9" i="4" s="1"/>
  <c r="N9" i="4" a="1"/>
  <c r="N9" i="4" s="1"/>
  <c r="U9" i="4" a="1"/>
  <c r="U9" i="4" s="1"/>
  <c r="Z9" i="4" a="1"/>
  <c r="Z9" i="4" s="1"/>
  <c r="AH9" i="4" a="1"/>
  <c r="AH9" i="4" s="1"/>
  <c r="G10" i="4" a="1"/>
  <c r="G10" i="4" s="1"/>
  <c r="N10" i="4" a="1"/>
  <c r="N10" i="4" s="1"/>
  <c r="U10" i="4" a="1"/>
  <c r="U10" i="4" s="1"/>
  <c r="AB10" i="4" a="1"/>
  <c r="AB10" i="4" s="1"/>
  <c r="AH10" i="4" a="1"/>
  <c r="AH10" i="4" s="1"/>
  <c r="I11" i="4" a="1"/>
  <c r="I11" i="4" s="1"/>
  <c r="P11" i="4" a="1"/>
  <c r="P11" i="4" s="1"/>
  <c r="W11" i="4" a="1"/>
  <c r="W11" i="4" s="1"/>
  <c r="AD11" i="4" a="1"/>
  <c r="AD11" i="4" s="1"/>
  <c r="E12" i="4" a="1"/>
  <c r="E12" i="4" s="1"/>
  <c r="J12" i="4" a="1"/>
  <c r="J12" i="4" s="1"/>
  <c r="P12" i="4" a="1"/>
  <c r="P12" i="4" s="1"/>
  <c r="W12" i="4" a="1"/>
  <c r="W12" i="4" s="1"/>
  <c r="AD12" i="4" a="1"/>
  <c r="AD12" i="4" s="1"/>
  <c r="E13" i="4" a="1"/>
  <c r="E13" i="4" s="1"/>
  <c r="L13" i="4" a="1"/>
  <c r="L13" i="4" s="1"/>
  <c r="R13" i="4" a="1"/>
  <c r="R13" i="4" s="1"/>
  <c r="Y13" i="4" a="1"/>
  <c r="Y13" i="4" s="1"/>
  <c r="AF13" i="4" a="1"/>
  <c r="AF13" i="4" s="1"/>
  <c r="H14" i="4" a="1"/>
  <c r="H14" i="4" s="1"/>
  <c r="AN14" i="4" s="1"/>
  <c r="N14" i="4" a="1"/>
  <c r="N14" i="4" s="1"/>
  <c r="T14" i="4" a="1"/>
  <c r="T14" i="4" s="1"/>
  <c r="Y14" i="4" a="1"/>
  <c r="Y14" i="4" s="1"/>
  <c r="AD14" i="4" a="1"/>
  <c r="AD14" i="4" s="1"/>
  <c r="AH14" i="4" a="1"/>
  <c r="AH14" i="4" s="1"/>
  <c r="C19" i="1"/>
  <c r="F3" i="4" a="1"/>
  <c r="F3" i="4" s="1"/>
  <c r="T3" i="4" a="1"/>
  <c r="T3" i="4" s="1"/>
  <c r="AG3" i="4" a="1"/>
  <c r="AG3" i="4" s="1"/>
  <c r="N4" i="4" a="1"/>
  <c r="N4" i="4" s="1"/>
  <c r="AB4" i="4" a="1"/>
  <c r="AB4" i="4" s="1"/>
  <c r="I5" i="4" a="1"/>
  <c r="I5" i="4" s="1"/>
  <c r="U5" i="4" a="1"/>
  <c r="U5" i="4" s="1"/>
  <c r="D6" i="4" a="1"/>
  <c r="D6" i="4" s="1"/>
  <c r="Q6" i="4" a="1"/>
  <c r="Q6" i="4" s="1"/>
  <c r="AD6" i="4" a="1"/>
  <c r="AD6" i="4" s="1"/>
  <c r="H7" i="4" a="1"/>
  <c r="H7" i="4" s="1"/>
  <c r="T7" i="4" a="1"/>
  <c r="T7" i="4" s="1"/>
  <c r="AB7" i="4" a="1"/>
  <c r="AB7" i="4" s="1"/>
  <c r="E8" i="4" a="1"/>
  <c r="E8" i="4" s="1"/>
  <c r="M8" i="4" a="1"/>
  <c r="M8" i="4" s="1"/>
  <c r="T8" i="4" a="1"/>
  <c r="T8" i="4" s="1"/>
  <c r="Z8" i="4" a="1"/>
  <c r="Z8" i="4" s="1"/>
  <c r="AG8" i="4" a="1"/>
  <c r="AG8" i="4" s="1"/>
  <c r="H9" i="4" a="1"/>
  <c r="H9" i="4" s="1"/>
  <c r="O9" i="4" a="1"/>
  <c r="O9" i="4" s="1"/>
  <c r="V9" i="4" a="1"/>
  <c r="V9" i="4" s="1"/>
  <c r="AC9" i="4" a="1"/>
  <c r="AC9" i="4" s="1"/>
  <c r="D10" i="4" a="1"/>
  <c r="D10" i="4" s="1"/>
  <c r="J10" i="4" a="1"/>
  <c r="J10" i="4" s="1"/>
  <c r="AP10" i="4" s="1"/>
  <c r="Q10" i="4" a="1"/>
  <c r="Q10" i="4" s="1"/>
  <c r="X10" i="4" a="1"/>
  <c r="X10" i="4" s="1"/>
  <c r="AE10" i="4" a="1"/>
  <c r="AE10" i="4" s="1"/>
  <c r="G11" i="4" a="1"/>
  <c r="G11" i="4" s="1"/>
  <c r="N11" i="4" a="1"/>
  <c r="N11" i="4" s="1"/>
  <c r="U11" i="4" a="1"/>
  <c r="U11" i="4" s="1"/>
  <c r="Z11" i="4" a="1"/>
  <c r="Z11" i="4" s="1"/>
  <c r="AG11" i="4" a="1"/>
  <c r="AG11" i="4" s="1"/>
  <c r="G12" i="4" a="1"/>
  <c r="G12" i="4" s="1"/>
  <c r="L12" i="4" a="1"/>
  <c r="L12" i="4" s="1"/>
  <c r="T12" i="4" a="1"/>
  <c r="T12" i="4" s="1"/>
  <c r="Z12" i="4" a="1"/>
  <c r="Z12" i="4" s="1"/>
  <c r="AG12" i="4" a="1"/>
  <c r="AG12" i="4" s="1"/>
  <c r="I13" i="4" a="1"/>
  <c r="I13" i="4" s="1"/>
  <c r="P13" i="4" a="1"/>
  <c r="P13" i="4" s="1"/>
  <c r="W13" i="4" a="1"/>
  <c r="W13" i="4" s="1"/>
  <c r="AD13" i="4" a="1"/>
  <c r="AD13" i="4" s="1"/>
  <c r="H3" i="4" a="1"/>
  <c r="H3" i="4" s="1"/>
  <c r="V3" i="4" a="1"/>
  <c r="V3" i="4" s="1"/>
  <c r="D4" i="4" a="1"/>
  <c r="D4" i="4" s="1"/>
  <c r="Q4" i="4" a="1"/>
  <c r="Q4" i="4" s="1"/>
  <c r="AE4" i="4" a="1"/>
  <c r="AE4" i="4" s="1"/>
  <c r="P5" i="4" a="1"/>
  <c r="P5" i="4" s="1"/>
  <c r="G6" i="4" a="1"/>
  <c r="G6" i="4" s="1"/>
  <c r="U6" i="4" a="1"/>
  <c r="U6" i="4" s="1"/>
  <c r="AH6" i="4" a="1"/>
  <c r="AH6" i="4" s="1"/>
  <c r="O7" i="4" a="1"/>
  <c r="O7" i="4" s="1"/>
  <c r="X7" i="4" a="1"/>
  <c r="X7" i="4" s="1"/>
  <c r="AF7" i="4" a="1"/>
  <c r="AF7" i="4" s="1"/>
  <c r="H8" i="4" a="1"/>
  <c r="H8" i="4" s="1"/>
  <c r="AN8" i="4" s="1"/>
  <c r="O8" i="4" a="1"/>
  <c r="O8" i="4" s="1"/>
  <c r="V8" i="4" a="1"/>
  <c r="V8" i="4" s="1"/>
  <c r="AC8" i="4" a="1"/>
  <c r="AC8" i="4" s="1"/>
  <c r="D9" i="4" a="1"/>
  <c r="D9" i="4" s="1"/>
  <c r="J9" i="4" a="1"/>
  <c r="J9" i="4" s="1"/>
  <c r="AP9" i="4" s="1"/>
  <c r="Q9" i="4" a="1"/>
  <c r="Q9" i="4" s="1"/>
  <c r="X9" i="4" a="1"/>
  <c r="X9" i="4" s="1"/>
  <c r="AF9" i="4" a="1"/>
  <c r="AF9" i="4" s="1"/>
  <c r="I10" i="4" a="1"/>
  <c r="I10" i="4" s="1"/>
  <c r="AO10" i="4" s="1"/>
  <c r="O10" i="4" a="1"/>
  <c r="O10" i="4" s="1"/>
  <c r="V10" i="4" a="1"/>
  <c r="V10" i="4" s="1"/>
  <c r="AC10" i="4" a="1"/>
  <c r="AC10" i="4" s="1"/>
  <c r="D11" i="4" a="1"/>
  <c r="D11" i="4" s="1"/>
  <c r="J11" i="4" a="1"/>
  <c r="J11" i="4" s="1"/>
  <c r="Q11" i="4" a="1"/>
  <c r="Q11" i="4" s="1"/>
  <c r="Y11" i="4" a="1"/>
  <c r="Y11" i="4" s="1"/>
  <c r="AF11" i="4" a="1"/>
  <c r="AF11" i="4" s="1"/>
  <c r="Q12" i="4" a="1"/>
  <c r="Q12" i="4" s="1"/>
  <c r="X12" i="4" a="1"/>
  <c r="X12" i="4" s="1"/>
  <c r="AE12" i="4" a="1"/>
  <c r="AE12" i="4" s="1"/>
  <c r="H13" i="4" a="1"/>
  <c r="H13" i="4" s="1"/>
  <c r="O13" i="4" a="1"/>
  <c r="O13" i="4" s="1"/>
  <c r="V13" i="4" a="1"/>
  <c r="V13" i="4" s="1"/>
  <c r="AC13" i="4" a="1"/>
  <c r="AC13" i="4" s="1"/>
  <c r="D14" i="4" a="1"/>
  <c r="D14" i="4" s="1"/>
  <c r="I14" i="4" a="1"/>
  <c r="I14" i="4" s="1"/>
  <c r="O14" i="4" a="1"/>
  <c r="O14" i="4" s="1"/>
  <c r="U14" i="4" a="1"/>
  <c r="U14" i="4" s="1"/>
  <c r="AG14" i="4" a="1"/>
  <c r="AG14" i="4" s="1"/>
  <c r="D3" i="4" a="1"/>
  <c r="D3" i="4" s="1"/>
  <c r="Q3" i="4" a="1"/>
  <c r="Q3" i="4" s="1"/>
  <c r="AE3" i="4" a="1"/>
  <c r="AE3" i="4" s="1"/>
  <c r="P4" i="4" a="1"/>
  <c r="P4" i="4" s="1"/>
  <c r="AD4" i="4" a="1"/>
  <c r="AD4" i="4" s="1"/>
  <c r="L5" i="4" a="1"/>
  <c r="L5" i="4" s="1"/>
  <c r="Y5" i="4" a="1"/>
  <c r="Y5" i="4" s="1"/>
  <c r="AG5" i="4" a="1"/>
  <c r="AG5" i="4" s="1"/>
  <c r="O6" i="4" a="1"/>
  <c r="O6" i="4" s="1"/>
  <c r="AB6" i="4" a="1"/>
  <c r="AB6" i="4" s="1"/>
  <c r="F7" i="4" a="1"/>
  <c r="F7" i="4" s="1"/>
  <c r="V7" i="4" a="1"/>
  <c r="V7" i="4" s="1"/>
  <c r="AD7" i="4" a="1"/>
  <c r="AD7" i="4" s="1"/>
  <c r="F8" i="4" a="1"/>
  <c r="F8" i="4" s="1"/>
  <c r="N8" i="4" a="1"/>
  <c r="N8" i="4" s="1"/>
  <c r="U8" i="4" a="1"/>
  <c r="U8" i="4" s="1"/>
  <c r="AB8" i="4" a="1"/>
  <c r="AB8" i="4" s="1"/>
  <c r="AH8" i="4" a="1"/>
  <c r="AH8" i="4" s="1"/>
  <c r="I9" i="4" a="1"/>
  <c r="I9" i="4" s="1"/>
  <c r="AO9" i="4" s="1"/>
  <c r="P9" i="4" a="1"/>
  <c r="P9" i="4" s="1"/>
  <c r="W9" i="4" a="1"/>
  <c r="W9" i="4" s="1"/>
  <c r="AD9" i="4" a="1"/>
  <c r="AD9" i="4" s="1"/>
  <c r="H10" i="4" a="1"/>
  <c r="H10" i="4" s="1"/>
  <c r="P10" i="4" a="1"/>
  <c r="P10" i="4" s="1"/>
  <c r="W10" i="4" a="1"/>
  <c r="W10" i="4" s="1"/>
  <c r="AD10" i="4" a="1"/>
  <c r="AD10" i="4" s="1"/>
  <c r="E11" i="4" a="1"/>
  <c r="E11" i="4" s="1"/>
  <c r="AK11" i="4" s="1"/>
  <c r="L11" i="4" a="1"/>
  <c r="L11" i="4" s="1"/>
  <c r="R11" i="4" a="1"/>
  <c r="R11" i="4" s="1"/>
  <c r="X11" i="4" a="1"/>
  <c r="X11" i="4" s="1"/>
  <c r="AE11" i="4" a="1"/>
  <c r="AE11" i="4" s="1"/>
  <c r="F12" i="4" a="1"/>
  <c r="F12" i="4" s="1"/>
  <c r="AL12" i="4" s="1"/>
  <c r="M12" i="4" a="1"/>
  <c r="M12" i="4" s="1"/>
  <c r="R12" i="4" a="1"/>
  <c r="R12" i="4" s="1"/>
  <c r="Y12" i="4" a="1"/>
  <c r="Y12" i="4" s="1"/>
  <c r="AF12" i="4" a="1"/>
  <c r="AF12" i="4" s="1"/>
  <c r="G13" i="4" a="1"/>
  <c r="G13" i="4" s="1"/>
  <c r="AM13" i="4" s="1"/>
  <c r="N13" i="4" a="1"/>
  <c r="N13" i="4" s="1"/>
  <c r="U13" i="4" a="1"/>
  <c r="U13" i="4" s="1"/>
  <c r="Z13" i="4" a="1"/>
  <c r="Z13" i="4" s="1"/>
  <c r="AG13" i="4" a="1"/>
  <c r="AG13" i="4" s="1"/>
  <c r="F14" i="4" a="1"/>
  <c r="F14" i="4" s="1"/>
  <c r="AL14" i="4" s="1"/>
  <c r="L14" i="4" a="1"/>
  <c r="L14" i="4" s="1"/>
  <c r="Q14" i="4" a="1"/>
  <c r="Q14" i="4" s="1"/>
  <c r="W14" i="4" a="1"/>
  <c r="W14" i="4" s="1"/>
  <c r="AB14" i="4" a="1"/>
  <c r="AB14" i="4" s="1"/>
  <c r="AE14" i="4" a="1"/>
  <c r="AE14" i="4" s="1"/>
  <c r="C17" i="1"/>
  <c r="L3" i="4" a="1"/>
  <c r="L3" i="4" s="1"/>
  <c r="AC3" i="4" a="1"/>
  <c r="AC3" i="4" s="1"/>
  <c r="J4" i="4" a="1"/>
  <c r="J4" i="4" s="1"/>
  <c r="X4" i="4" a="1"/>
  <c r="X4" i="4" s="1"/>
  <c r="F5" i="4" a="1"/>
  <c r="F5" i="4" s="1"/>
  <c r="R5" i="4" a="1"/>
  <c r="R5" i="4" s="1"/>
  <c r="AF5" i="4" a="1"/>
  <c r="AF5" i="4" s="1"/>
  <c r="M6" i="4" a="1"/>
  <c r="M6" i="4" s="1"/>
  <c r="X6" i="4" a="1"/>
  <c r="X6" i="4" s="1"/>
  <c r="P7" i="4" a="1"/>
  <c r="P7" i="4" s="1"/>
  <c r="W7" i="4" a="1"/>
  <c r="W7" i="4" s="1"/>
  <c r="AE7" i="4" a="1"/>
  <c r="AE7" i="4" s="1"/>
  <c r="G8" i="4" a="1"/>
  <c r="G8" i="4" s="1"/>
  <c r="P3" i="4" a="1"/>
  <c r="P3" i="4" s="1"/>
  <c r="AD3" i="4" a="1"/>
  <c r="AD3" i="4" s="1"/>
  <c r="L4" i="4" a="1"/>
  <c r="L4" i="4" s="1"/>
  <c r="Y4" i="4" a="1"/>
  <c r="Y4" i="4" s="1"/>
  <c r="G5" i="4" a="1"/>
  <c r="G5" i="4" s="1"/>
  <c r="W5" i="4" a="1"/>
  <c r="W5" i="4" s="1"/>
  <c r="E6" i="4" a="1"/>
  <c r="E6" i="4" s="1"/>
  <c r="R6" i="4" a="1"/>
  <c r="R6" i="4" s="1"/>
  <c r="AF6" i="4" a="1"/>
  <c r="AF6" i="4" s="1"/>
  <c r="N7" i="4" a="1"/>
  <c r="N7" i="4" s="1"/>
  <c r="C10" i="1"/>
  <c r="G3" i="4" a="1"/>
  <c r="G3" i="4" s="1"/>
  <c r="U3" i="4" a="1"/>
  <c r="U3" i="4" s="1"/>
  <c r="AH3" i="4" a="1"/>
  <c r="AH3" i="4" s="1"/>
  <c r="O4" i="4" a="1"/>
  <c r="O4" i="4" s="1"/>
  <c r="AC4" i="4" a="1"/>
  <c r="AC4" i="4" s="1"/>
  <c r="J5" i="4" a="1"/>
  <c r="J5" i="4" s="1"/>
  <c r="AP5" i="4" s="1"/>
  <c r="X5" i="4" a="1"/>
  <c r="X5" i="4" s="1"/>
  <c r="F6" i="4" a="1"/>
  <c r="F6" i="4" s="1"/>
  <c r="AL6" i="4" s="1"/>
  <c r="T6" i="4" a="1"/>
  <c r="T6" i="4" s="1"/>
  <c r="AA6" i="4" s="1"/>
  <c r="AG6" i="4" a="1"/>
  <c r="AG6" i="4" s="1"/>
  <c r="M7" i="4" a="1"/>
  <c r="M7" i="4" s="1"/>
  <c r="X752" i="2"/>
  <c r="W752" i="2"/>
  <c r="X751" i="2"/>
  <c r="W751" i="2"/>
  <c r="W750" i="2"/>
  <c r="X750" i="2"/>
  <c r="W749" i="2"/>
  <c r="X749" i="2"/>
  <c r="V737" i="2"/>
  <c r="W737" i="2"/>
  <c r="X737" i="2"/>
  <c r="V736" i="2"/>
  <c r="W736" i="2"/>
  <c r="X736" i="2"/>
  <c r="V735" i="2"/>
  <c r="W735" i="2"/>
  <c r="X735" i="2"/>
  <c r="V734" i="2"/>
  <c r="X734" i="2"/>
  <c r="W734" i="2"/>
  <c r="V733" i="2"/>
  <c r="W733" i="2"/>
  <c r="X733" i="2"/>
  <c r="X732" i="2"/>
  <c r="W732" i="2"/>
  <c r="V732" i="2"/>
  <c r="W731" i="2"/>
  <c r="V731" i="2"/>
  <c r="X731" i="2"/>
  <c r="V730" i="2"/>
  <c r="W730" i="2"/>
  <c r="X730" i="2"/>
  <c r="W729" i="2"/>
  <c r="X729" i="2"/>
  <c r="V729" i="2"/>
  <c r="W728" i="2"/>
  <c r="V728" i="2"/>
  <c r="X728" i="2"/>
  <c r="W727" i="2"/>
  <c r="X727" i="2"/>
  <c r="V727" i="2"/>
  <c r="X726" i="2"/>
  <c r="W726" i="2"/>
  <c r="V726" i="2"/>
  <c r="X725" i="2"/>
  <c r="V725" i="2"/>
  <c r="W725" i="2"/>
  <c r="X724" i="2"/>
  <c r="W724" i="2"/>
  <c r="V724" i="2"/>
  <c r="X723" i="2"/>
  <c r="W723" i="2"/>
  <c r="V723" i="2"/>
  <c r="V722" i="2"/>
  <c r="X722" i="2"/>
  <c r="W722" i="2"/>
  <c r="W721" i="2"/>
  <c r="V721" i="2"/>
  <c r="X721" i="2"/>
  <c r="X720" i="2"/>
  <c r="W720" i="2"/>
  <c r="V720" i="2"/>
  <c r="W719" i="2"/>
  <c r="X719" i="2"/>
  <c r="V719" i="2"/>
  <c r="V718" i="2"/>
  <c r="W718" i="2"/>
  <c r="X718" i="2"/>
  <c r="X717" i="2"/>
  <c r="W717" i="2"/>
  <c r="V717" i="2"/>
  <c r="X716" i="2"/>
  <c r="W716" i="2"/>
  <c r="V716" i="2"/>
  <c r="W715" i="2"/>
  <c r="X715" i="2"/>
  <c r="V715" i="2"/>
  <c r="V714" i="2"/>
  <c r="W714" i="2"/>
  <c r="X714" i="2"/>
  <c r="X713" i="2"/>
  <c r="W713" i="2"/>
  <c r="V713" i="2"/>
  <c r="X712" i="2"/>
  <c r="W712" i="2"/>
  <c r="V712" i="2"/>
  <c r="W711" i="2"/>
  <c r="X711" i="2"/>
  <c r="V711" i="2"/>
  <c r="V710" i="2"/>
  <c r="W710" i="2"/>
  <c r="X710" i="2"/>
  <c r="W709" i="2"/>
  <c r="X709" i="2"/>
  <c r="V709" i="2"/>
  <c r="X708" i="2"/>
  <c r="V708" i="2"/>
  <c r="W708" i="2"/>
  <c r="X707" i="2"/>
  <c r="W707" i="2"/>
  <c r="V707" i="2"/>
  <c r="W706" i="2"/>
  <c r="X706" i="2"/>
  <c r="V706" i="2"/>
  <c r="V705" i="2"/>
  <c r="W705" i="2"/>
  <c r="X705" i="2"/>
  <c r="X704" i="2"/>
  <c r="V704" i="2"/>
  <c r="W704" i="2"/>
  <c r="V703" i="2"/>
  <c r="W703" i="2"/>
  <c r="X703" i="2"/>
  <c r="X702" i="2"/>
  <c r="W702" i="2"/>
  <c r="V702" i="2"/>
  <c r="X701" i="2"/>
  <c r="V701" i="2"/>
  <c r="W701" i="2"/>
  <c r="W700" i="2"/>
  <c r="V700" i="2"/>
  <c r="X700" i="2"/>
  <c r="V699" i="2"/>
  <c r="X699" i="2"/>
  <c r="W699" i="2"/>
  <c r="W698" i="2"/>
  <c r="X698" i="2"/>
  <c r="V698" i="2"/>
  <c r="V697" i="2"/>
  <c r="W697" i="2"/>
  <c r="X697" i="2"/>
  <c r="V696" i="2"/>
  <c r="W696" i="2"/>
  <c r="X696" i="2"/>
  <c r="X695" i="2"/>
  <c r="W695" i="2"/>
  <c r="V695" i="2"/>
  <c r="W694" i="2"/>
  <c r="X694" i="2"/>
  <c r="V694" i="2"/>
  <c r="X693" i="2"/>
  <c r="V693" i="2"/>
  <c r="W693" i="2"/>
  <c r="X692" i="2"/>
  <c r="W692" i="2"/>
  <c r="V692" i="2"/>
  <c r="X691" i="2"/>
  <c r="W691" i="2"/>
  <c r="V691" i="2"/>
  <c r="X690" i="2"/>
  <c r="W690" i="2"/>
  <c r="V690" i="2"/>
  <c r="W689" i="2"/>
  <c r="X689" i="2"/>
  <c r="V689" i="2"/>
  <c r="V688" i="2"/>
  <c r="W688" i="2"/>
  <c r="X688" i="2"/>
  <c r="X687" i="2"/>
  <c r="W687" i="2"/>
  <c r="V687" i="2"/>
  <c r="X686" i="2"/>
  <c r="V686" i="2"/>
  <c r="W686" i="2"/>
  <c r="X685" i="2"/>
  <c r="V685" i="2"/>
  <c r="W685" i="2"/>
  <c r="V684" i="2"/>
  <c r="W684" i="2"/>
  <c r="X684" i="2"/>
  <c r="V683" i="2"/>
  <c r="W683" i="2"/>
  <c r="X683" i="2"/>
  <c r="V682" i="2"/>
  <c r="X682" i="2"/>
  <c r="W682" i="2"/>
  <c r="V681" i="2"/>
  <c r="W681" i="2"/>
  <c r="X681" i="2"/>
  <c r="V680" i="2"/>
  <c r="X680" i="2"/>
  <c r="W680" i="2"/>
  <c r="W679" i="2"/>
  <c r="V679" i="2"/>
  <c r="X679" i="2"/>
  <c r="X678" i="2"/>
  <c r="W678" i="2"/>
  <c r="V678" i="2"/>
  <c r="V677" i="2"/>
  <c r="X677" i="2"/>
  <c r="W677" i="2"/>
  <c r="W676" i="2"/>
  <c r="V676" i="2"/>
  <c r="X676" i="2"/>
  <c r="X675" i="2"/>
  <c r="W675" i="2"/>
  <c r="V675" i="2"/>
  <c r="X674" i="2"/>
  <c r="W674" i="2"/>
  <c r="V674" i="2"/>
  <c r="W673" i="2"/>
  <c r="X673" i="2"/>
  <c r="V673" i="2"/>
  <c r="V672" i="2"/>
  <c r="W672" i="2"/>
  <c r="X672" i="2"/>
  <c r="X671" i="2"/>
  <c r="W671" i="2"/>
  <c r="V671" i="2"/>
  <c r="V670" i="2"/>
  <c r="W670" i="2"/>
  <c r="X670" i="2"/>
  <c r="V669" i="2"/>
  <c r="W669" i="2"/>
  <c r="X669" i="2"/>
  <c r="X668" i="2"/>
  <c r="W668" i="2"/>
  <c r="V668" i="2"/>
  <c r="V667" i="2"/>
  <c r="W667" i="2"/>
  <c r="X667" i="2"/>
  <c r="V666" i="2"/>
  <c r="W666" i="2"/>
  <c r="X666" i="2"/>
  <c r="X665" i="2"/>
  <c r="W665" i="2"/>
  <c r="V665" i="2"/>
  <c r="W664" i="2"/>
  <c r="X664" i="2"/>
  <c r="V664" i="2"/>
  <c r="V663" i="2"/>
  <c r="W663" i="2"/>
  <c r="X663" i="2"/>
  <c r="W662" i="2"/>
  <c r="V662" i="2"/>
  <c r="X662" i="2"/>
  <c r="V661" i="2"/>
  <c r="W661" i="2"/>
  <c r="X661" i="2"/>
  <c r="W660" i="2"/>
  <c r="X660" i="2"/>
  <c r="V660" i="2"/>
  <c r="X659" i="2"/>
  <c r="W659" i="2"/>
  <c r="V659" i="2"/>
  <c r="W658" i="2"/>
  <c r="X658" i="2"/>
  <c r="V658" i="2"/>
  <c r="V657" i="2"/>
  <c r="W657" i="2"/>
  <c r="X657" i="2"/>
  <c r="X656" i="2"/>
  <c r="W656" i="2"/>
  <c r="V656" i="2"/>
  <c r="W655" i="2"/>
  <c r="V655" i="2"/>
  <c r="X655" i="2"/>
  <c r="V654" i="2"/>
  <c r="W654" i="2"/>
  <c r="X654" i="2"/>
  <c r="X653" i="2"/>
  <c r="W653" i="2"/>
  <c r="V653" i="2"/>
  <c r="V652" i="2"/>
  <c r="X652" i="2"/>
  <c r="W652" i="2"/>
  <c r="X651" i="2"/>
  <c r="W651" i="2"/>
  <c r="V651" i="2"/>
  <c r="X650" i="2"/>
  <c r="W650" i="2"/>
  <c r="V650" i="2"/>
  <c r="V649" i="2"/>
  <c r="W649" i="2"/>
  <c r="X649" i="2"/>
  <c r="V648" i="2"/>
  <c r="W648" i="2"/>
  <c r="X648" i="2"/>
  <c r="X647" i="2"/>
  <c r="W647" i="2"/>
  <c r="V647" i="2"/>
  <c r="V646" i="2"/>
  <c r="W646" i="2"/>
  <c r="X646" i="2"/>
  <c r="X645" i="2"/>
  <c r="W645" i="2"/>
  <c r="V645" i="2"/>
  <c r="X644" i="2"/>
  <c r="W644" i="2"/>
  <c r="V644" i="2"/>
  <c r="X643" i="2"/>
  <c r="V643" i="2"/>
  <c r="W643" i="2"/>
  <c r="X642" i="2"/>
  <c r="W642" i="2"/>
  <c r="V642" i="2"/>
  <c r="X641" i="2"/>
  <c r="W641" i="2"/>
  <c r="V641" i="2"/>
  <c r="X640" i="2"/>
  <c r="W640" i="2"/>
  <c r="V640" i="2"/>
  <c r="X639" i="2"/>
  <c r="V639" i="2"/>
  <c r="W639" i="2"/>
  <c r="X638" i="2"/>
  <c r="W638" i="2"/>
  <c r="V638" i="2"/>
  <c r="X637" i="2"/>
  <c r="W637" i="2"/>
  <c r="V637" i="2"/>
  <c r="X636" i="2"/>
  <c r="W636" i="2"/>
  <c r="V636" i="2"/>
  <c r="X635" i="2"/>
  <c r="W635" i="2"/>
  <c r="V635" i="2"/>
  <c r="X634" i="2"/>
  <c r="W634" i="2"/>
  <c r="V634" i="2"/>
  <c r="X633" i="2"/>
  <c r="V633" i="2"/>
  <c r="W633" i="2"/>
  <c r="X632" i="2"/>
  <c r="W632" i="2"/>
  <c r="V632" i="2"/>
  <c r="V631" i="2"/>
  <c r="W631" i="2"/>
  <c r="X631" i="2"/>
  <c r="V630" i="2"/>
  <c r="W630" i="2"/>
  <c r="X630" i="2"/>
  <c r="W629" i="2"/>
  <c r="X629" i="2"/>
  <c r="V629" i="2"/>
  <c r="V628" i="2"/>
  <c r="W628" i="2"/>
  <c r="X628" i="2"/>
  <c r="V627" i="2"/>
  <c r="W627" i="2"/>
  <c r="X627" i="2"/>
  <c r="W626" i="2"/>
  <c r="X626" i="2"/>
  <c r="V626" i="2"/>
  <c r="W625" i="2"/>
  <c r="X625" i="2"/>
  <c r="V625" i="2"/>
  <c r="X624" i="2"/>
  <c r="W624" i="2"/>
  <c r="V624" i="2"/>
  <c r="X623" i="2"/>
  <c r="V623" i="2"/>
  <c r="W623" i="2"/>
  <c r="V622" i="2"/>
  <c r="W622" i="2"/>
  <c r="X622" i="2"/>
  <c r="X621" i="2"/>
  <c r="W621" i="2"/>
  <c r="V621" i="2"/>
  <c r="W620" i="2"/>
  <c r="V620" i="2"/>
  <c r="X620" i="2"/>
  <c r="V619" i="2"/>
  <c r="W619" i="2"/>
  <c r="X619" i="2"/>
  <c r="X618" i="2"/>
  <c r="W618" i="2"/>
  <c r="V618" i="2"/>
  <c r="W617" i="2"/>
  <c r="V617" i="2"/>
  <c r="X617" i="2"/>
  <c r="X616" i="2"/>
  <c r="V616" i="2"/>
  <c r="W616" i="2"/>
  <c r="W615" i="2"/>
  <c r="V615" i="2"/>
  <c r="X615" i="2"/>
  <c r="X614" i="2"/>
  <c r="V614" i="2"/>
  <c r="W614" i="2"/>
  <c r="V613" i="2"/>
  <c r="W613" i="2"/>
  <c r="X613" i="2"/>
  <c r="X612" i="2"/>
  <c r="V612" i="2"/>
  <c r="W612" i="2"/>
  <c r="X611" i="2"/>
  <c r="V611" i="2"/>
  <c r="W611" i="2"/>
  <c r="V610" i="2"/>
  <c r="X610" i="2"/>
  <c r="W610" i="2"/>
  <c r="X609" i="2"/>
  <c r="W609" i="2"/>
  <c r="V609" i="2"/>
  <c r="W608" i="2"/>
  <c r="V608" i="2"/>
  <c r="X608" i="2"/>
  <c r="X607" i="2"/>
  <c r="W607" i="2"/>
  <c r="V607" i="2"/>
  <c r="X606" i="2"/>
  <c r="W606" i="2"/>
  <c r="V606" i="2"/>
  <c r="X605" i="2"/>
  <c r="V605" i="2"/>
  <c r="W605" i="2"/>
  <c r="V604" i="2"/>
  <c r="W604" i="2"/>
  <c r="X604" i="2"/>
  <c r="V603" i="2"/>
  <c r="W603" i="2"/>
  <c r="X603" i="2"/>
  <c r="V602" i="2"/>
  <c r="W602" i="2"/>
  <c r="X602" i="2"/>
  <c r="X601" i="2"/>
  <c r="V601" i="2"/>
  <c r="W601" i="2"/>
  <c r="V600" i="2"/>
  <c r="W600" i="2"/>
  <c r="X600" i="2"/>
  <c r="X599" i="2"/>
  <c r="W599" i="2"/>
  <c r="V599" i="2"/>
  <c r="X598" i="2"/>
  <c r="W598" i="2"/>
  <c r="V598" i="2"/>
  <c r="X597" i="2"/>
  <c r="W597" i="2"/>
  <c r="V597" i="2"/>
  <c r="V596" i="2"/>
  <c r="X596" i="2"/>
  <c r="W596" i="2"/>
  <c r="X595" i="2"/>
  <c r="W595" i="2"/>
  <c r="V595" i="2"/>
  <c r="X594" i="2"/>
  <c r="W594" i="2"/>
  <c r="V594" i="2"/>
  <c r="X593" i="2"/>
  <c r="V593" i="2"/>
  <c r="W593" i="2"/>
  <c r="X592" i="2"/>
  <c r="W592" i="2"/>
  <c r="V592" i="2"/>
  <c r="V591" i="2"/>
  <c r="X591" i="2"/>
  <c r="W591" i="2"/>
  <c r="W590" i="2"/>
  <c r="V590" i="2"/>
  <c r="X590" i="2"/>
  <c r="V589" i="2"/>
  <c r="W589" i="2"/>
  <c r="X589" i="2"/>
  <c r="X588" i="2"/>
  <c r="V588" i="2"/>
  <c r="W588" i="2"/>
  <c r="X587" i="2"/>
  <c r="W587" i="2"/>
  <c r="V587" i="2"/>
  <c r="X586" i="2"/>
  <c r="W586" i="2"/>
  <c r="V586" i="2"/>
  <c r="W585" i="2"/>
  <c r="X585" i="2"/>
  <c r="V585" i="2"/>
  <c r="W584" i="2"/>
  <c r="X584" i="2"/>
  <c r="V584" i="2"/>
  <c r="X583" i="2"/>
  <c r="W583" i="2"/>
  <c r="V583" i="2"/>
  <c r="X582" i="2"/>
  <c r="W582" i="2"/>
  <c r="V582" i="2"/>
  <c r="V581" i="2"/>
  <c r="X581" i="2"/>
  <c r="W581" i="2"/>
  <c r="V580" i="2"/>
  <c r="W580" i="2"/>
  <c r="X580" i="2"/>
  <c r="X579" i="2"/>
  <c r="W579" i="2"/>
  <c r="V579" i="2"/>
  <c r="V578" i="2"/>
  <c r="W578" i="2"/>
  <c r="X578" i="2"/>
  <c r="X577" i="2"/>
  <c r="W577" i="2"/>
  <c r="V577" i="2"/>
  <c r="X576" i="2"/>
  <c r="V576" i="2"/>
  <c r="W576" i="2"/>
  <c r="X575" i="2"/>
  <c r="W575" i="2"/>
  <c r="V575" i="2"/>
  <c r="V574" i="2"/>
  <c r="W574" i="2"/>
  <c r="X574" i="2"/>
  <c r="W573" i="2"/>
  <c r="X573" i="2"/>
  <c r="V573" i="2"/>
  <c r="X572" i="2"/>
  <c r="W572" i="2"/>
  <c r="V572" i="2"/>
  <c r="V571" i="2"/>
  <c r="X571" i="2"/>
  <c r="W571" i="2"/>
  <c r="V570" i="2"/>
  <c r="W570" i="2"/>
  <c r="X570" i="2"/>
  <c r="W569" i="2"/>
  <c r="V569" i="2"/>
  <c r="X569" i="2"/>
  <c r="X568" i="2"/>
  <c r="W568" i="2"/>
  <c r="V568" i="2"/>
  <c r="X567" i="2"/>
  <c r="W567" i="2"/>
  <c r="V567" i="2"/>
  <c r="V566" i="2"/>
  <c r="X566" i="2"/>
  <c r="W566" i="2"/>
  <c r="X565" i="2"/>
  <c r="V565" i="2"/>
  <c r="W565" i="2"/>
  <c r="X564" i="2"/>
  <c r="W564" i="2"/>
  <c r="V564" i="2"/>
  <c r="W563" i="2"/>
  <c r="X563" i="2"/>
  <c r="V563" i="2"/>
  <c r="X562" i="2"/>
  <c r="W562" i="2"/>
  <c r="V562" i="2"/>
  <c r="X561" i="2"/>
  <c r="W561" i="2"/>
  <c r="V561" i="2"/>
  <c r="V560" i="2"/>
  <c r="X560" i="2"/>
  <c r="W560" i="2"/>
  <c r="X559" i="2"/>
  <c r="V559" i="2"/>
  <c r="W559" i="2"/>
  <c r="X558" i="2"/>
  <c r="V558" i="2"/>
  <c r="W558" i="2"/>
  <c r="V557" i="2"/>
  <c r="W557" i="2"/>
  <c r="X557" i="2"/>
  <c r="V556" i="2"/>
  <c r="W556" i="2"/>
  <c r="X556" i="2"/>
  <c r="W555" i="2"/>
  <c r="V555" i="2"/>
  <c r="X555" i="2"/>
  <c r="X554" i="2"/>
  <c r="V554" i="2"/>
  <c r="W554" i="2"/>
  <c r="V553" i="2"/>
  <c r="W553" i="2"/>
  <c r="X553" i="2"/>
  <c r="V552" i="2"/>
  <c r="W552" i="2"/>
  <c r="X552" i="2"/>
  <c r="V551" i="2"/>
  <c r="W551" i="2"/>
  <c r="X551" i="2"/>
  <c r="X550" i="2"/>
  <c r="W550" i="2"/>
  <c r="V550" i="2"/>
  <c r="V549" i="2"/>
  <c r="X549" i="2"/>
  <c r="W549" i="2"/>
  <c r="X548" i="2"/>
  <c r="V548" i="2"/>
  <c r="W548" i="2"/>
  <c r="X547" i="2"/>
  <c r="W547" i="2"/>
  <c r="V547" i="2"/>
  <c r="X546" i="2"/>
  <c r="V546" i="2"/>
  <c r="W546" i="2"/>
  <c r="X545" i="2"/>
  <c r="V545" i="2"/>
  <c r="W545" i="2"/>
  <c r="W544" i="2"/>
  <c r="X544" i="2"/>
  <c r="V544" i="2"/>
  <c r="V543" i="2"/>
  <c r="W543" i="2"/>
  <c r="X543" i="2"/>
  <c r="V542" i="2"/>
  <c r="W542" i="2"/>
  <c r="X542" i="2"/>
  <c r="V541" i="2"/>
  <c r="W541" i="2"/>
  <c r="X541" i="2"/>
  <c r="V540" i="2"/>
  <c r="W540" i="2"/>
  <c r="X540" i="2"/>
  <c r="X539" i="2"/>
  <c r="V539" i="2"/>
  <c r="W539" i="2"/>
  <c r="X538" i="2"/>
  <c r="V538" i="2"/>
  <c r="W538" i="2"/>
  <c r="V537" i="2"/>
  <c r="W537" i="2"/>
  <c r="X537" i="2"/>
  <c r="V536" i="2"/>
  <c r="X536" i="2"/>
  <c r="W536" i="2"/>
  <c r="X535" i="2"/>
  <c r="V535" i="2"/>
  <c r="W535" i="2"/>
  <c r="X534" i="2"/>
  <c r="V534" i="2"/>
  <c r="W534" i="2"/>
  <c r="V533" i="2"/>
  <c r="W533" i="2"/>
  <c r="X533" i="2"/>
  <c r="V532" i="2"/>
  <c r="W532" i="2"/>
  <c r="X532" i="2"/>
  <c r="X531" i="2"/>
  <c r="W531" i="2"/>
  <c r="V531" i="2"/>
  <c r="V530" i="2"/>
  <c r="W530" i="2"/>
  <c r="X530" i="2"/>
  <c r="V529" i="2"/>
  <c r="W529" i="2"/>
  <c r="X529" i="2"/>
  <c r="W528" i="2"/>
  <c r="X528" i="2"/>
  <c r="V528" i="2"/>
  <c r="W527" i="2"/>
  <c r="V527" i="2"/>
  <c r="X527" i="2"/>
  <c r="V526" i="2"/>
  <c r="X526" i="2"/>
  <c r="W526" i="2"/>
  <c r="V525" i="2"/>
  <c r="W525" i="2"/>
  <c r="X525" i="2"/>
  <c r="X524" i="2"/>
  <c r="W524" i="2"/>
  <c r="V524" i="2"/>
  <c r="V523" i="2"/>
  <c r="X523" i="2"/>
  <c r="W523" i="2"/>
  <c r="V522" i="2"/>
  <c r="W522" i="2"/>
  <c r="X522" i="2"/>
  <c r="V521" i="2"/>
  <c r="W521" i="2"/>
  <c r="X521" i="2"/>
  <c r="V520" i="2"/>
  <c r="W520" i="2"/>
  <c r="X520" i="2"/>
  <c r="V519" i="2"/>
  <c r="W519" i="2"/>
  <c r="X519" i="2"/>
  <c r="W518" i="2"/>
  <c r="V518" i="2"/>
  <c r="X518" i="2"/>
  <c r="V517" i="2"/>
  <c r="W517" i="2"/>
  <c r="X517" i="2"/>
  <c r="V516" i="2"/>
  <c r="X516" i="2"/>
  <c r="W516" i="2"/>
  <c r="V515" i="2"/>
  <c r="X515" i="2"/>
  <c r="W515" i="2"/>
  <c r="X514" i="2"/>
  <c r="W514" i="2"/>
  <c r="V514" i="2"/>
  <c r="X513" i="2"/>
  <c r="W513" i="2"/>
  <c r="V513" i="2"/>
  <c r="W512" i="2"/>
  <c r="V512" i="2"/>
  <c r="X512" i="2"/>
  <c r="X511" i="2"/>
  <c r="W511" i="2"/>
  <c r="V511" i="2"/>
  <c r="X510" i="2"/>
  <c r="W510" i="2"/>
  <c r="V510" i="2"/>
  <c r="X509" i="2"/>
  <c r="W509" i="2"/>
  <c r="V509" i="2"/>
  <c r="X508" i="2"/>
  <c r="W508" i="2"/>
  <c r="V508" i="2"/>
  <c r="X507" i="2"/>
  <c r="W507" i="2"/>
  <c r="V507" i="2"/>
  <c r="X506" i="2"/>
  <c r="W506" i="2"/>
  <c r="V506" i="2"/>
  <c r="X505" i="2"/>
  <c r="W505" i="2"/>
  <c r="V505" i="2"/>
  <c r="X504" i="2"/>
  <c r="W504" i="2"/>
  <c r="V504" i="2"/>
  <c r="X503" i="2"/>
  <c r="W503" i="2"/>
  <c r="V503" i="2"/>
  <c r="X502" i="2"/>
  <c r="W502" i="2"/>
  <c r="V502" i="2"/>
  <c r="X501" i="2"/>
  <c r="W501" i="2"/>
  <c r="V501" i="2"/>
  <c r="X500" i="2"/>
  <c r="W500" i="2"/>
  <c r="V500" i="2"/>
  <c r="X499" i="2"/>
  <c r="W499" i="2"/>
  <c r="V499" i="2"/>
  <c r="X498" i="2"/>
  <c r="W498" i="2"/>
  <c r="V498" i="2"/>
  <c r="V497" i="2"/>
  <c r="W497" i="2"/>
  <c r="X497" i="2"/>
  <c r="V496" i="2"/>
  <c r="X496" i="2"/>
  <c r="W496" i="2"/>
  <c r="V495" i="2"/>
  <c r="W495" i="2"/>
  <c r="X495" i="2"/>
  <c r="W494" i="2"/>
  <c r="X494" i="2"/>
  <c r="V494" i="2"/>
  <c r="X493" i="2"/>
  <c r="W493" i="2"/>
  <c r="V493" i="2"/>
  <c r="W492" i="2"/>
  <c r="V492" i="2"/>
  <c r="X492" i="2"/>
  <c r="V491" i="2"/>
  <c r="X491" i="2"/>
  <c r="W491" i="2"/>
  <c r="X490" i="2"/>
  <c r="W490" i="2"/>
  <c r="V490" i="2"/>
  <c r="W489" i="2"/>
  <c r="V489" i="2"/>
  <c r="X489" i="2"/>
  <c r="X488" i="2"/>
  <c r="V488" i="2"/>
  <c r="W488" i="2"/>
  <c r="X487" i="2"/>
  <c r="W487" i="2"/>
  <c r="V487" i="2"/>
  <c r="V486" i="2"/>
  <c r="W486" i="2"/>
  <c r="X486" i="2"/>
  <c r="V485" i="2"/>
  <c r="W485" i="2"/>
  <c r="X485" i="2"/>
  <c r="V484" i="2"/>
  <c r="X484" i="2"/>
  <c r="W484" i="2"/>
  <c r="V483" i="2"/>
  <c r="W483" i="2"/>
  <c r="X483" i="2"/>
  <c r="V482" i="2"/>
  <c r="W482" i="2"/>
  <c r="X482" i="2"/>
  <c r="V481" i="2"/>
  <c r="W481" i="2"/>
  <c r="X481" i="2"/>
  <c r="X480" i="2"/>
  <c r="W480" i="2"/>
  <c r="V480" i="2"/>
  <c r="V479" i="2"/>
  <c r="X479" i="2"/>
  <c r="W479" i="2"/>
  <c r="V478" i="2"/>
  <c r="W478" i="2"/>
  <c r="X478" i="2"/>
  <c r="X477" i="2"/>
  <c r="W477" i="2"/>
  <c r="V477" i="2"/>
  <c r="V476" i="2"/>
  <c r="W476" i="2"/>
  <c r="X476" i="2"/>
  <c r="V475" i="2"/>
  <c r="W475" i="2"/>
  <c r="X475" i="2"/>
  <c r="V474" i="2"/>
  <c r="W474" i="2"/>
  <c r="X474" i="2"/>
  <c r="W473" i="2"/>
  <c r="X473" i="2"/>
  <c r="V473" i="2"/>
  <c r="X472" i="2"/>
  <c r="V472" i="2"/>
  <c r="W472" i="2"/>
  <c r="W471" i="2"/>
  <c r="X471" i="2"/>
  <c r="V471" i="2"/>
  <c r="X470" i="2"/>
  <c r="W470" i="2"/>
  <c r="V470" i="2"/>
  <c r="V469" i="2"/>
  <c r="W469" i="2"/>
  <c r="X469" i="2"/>
  <c r="V468" i="2"/>
  <c r="X468" i="2"/>
  <c r="W468" i="2"/>
  <c r="W467" i="2"/>
  <c r="X467" i="2"/>
  <c r="V467" i="2"/>
  <c r="V466" i="2"/>
  <c r="X466" i="2"/>
  <c r="W466" i="2"/>
  <c r="V465" i="2"/>
  <c r="W465" i="2"/>
  <c r="X465" i="2"/>
  <c r="V464" i="2"/>
  <c r="W464" i="2"/>
  <c r="X464" i="2"/>
  <c r="V463" i="2"/>
  <c r="W463" i="2"/>
  <c r="X463" i="2"/>
  <c r="X462" i="2"/>
  <c r="W462" i="2"/>
  <c r="V462" i="2"/>
  <c r="V461" i="2"/>
  <c r="X461" i="2"/>
  <c r="W461" i="2"/>
  <c r="W460" i="2"/>
  <c r="V460" i="2"/>
  <c r="X460" i="2"/>
  <c r="W459" i="2"/>
  <c r="X459" i="2"/>
  <c r="V459" i="2"/>
  <c r="X458" i="2"/>
  <c r="W458" i="2"/>
  <c r="V458" i="2"/>
  <c r="W457" i="2"/>
  <c r="X457" i="2"/>
  <c r="V457" i="2"/>
  <c r="V456" i="2"/>
  <c r="W456" i="2"/>
  <c r="X456" i="2"/>
  <c r="X455" i="2"/>
  <c r="W455" i="2"/>
  <c r="V455" i="2"/>
  <c r="X454" i="2"/>
  <c r="W454" i="2"/>
  <c r="V454" i="2"/>
  <c r="X453" i="2"/>
  <c r="W453" i="2"/>
  <c r="V453" i="2"/>
  <c r="X452" i="2"/>
  <c r="W452" i="2"/>
  <c r="V452" i="2"/>
  <c r="V451" i="2"/>
  <c r="W451" i="2"/>
  <c r="X451" i="2"/>
  <c r="V450" i="2"/>
  <c r="W450" i="2"/>
  <c r="X450" i="2"/>
  <c r="V449" i="2"/>
  <c r="W449" i="2"/>
  <c r="X449" i="2"/>
  <c r="V448" i="2"/>
  <c r="X448" i="2"/>
  <c r="W448" i="2"/>
  <c r="V447" i="2"/>
  <c r="W447" i="2"/>
  <c r="X447" i="2"/>
  <c r="X446" i="2"/>
  <c r="W446" i="2"/>
  <c r="V446" i="2"/>
  <c r="V445" i="2"/>
  <c r="W445" i="2"/>
  <c r="X445" i="2"/>
  <c r="V444" i="2"/>
  <c r="X444" i="2"/>
  <c r="W444" i="2"/>
  <c r="X443" i="2"/>
  <c r="W443" i="2"/>
  <c r="V443" i="2"/>
  <c r="X442" i="2"/>
  <c r="W442" i="2"/>
  <c r="V442" i="2"/>
  <c r="X441" i="2"/>
  <c r="W441" i="2"/>
  <c r="V441" i="2"/>
  <c r="V440" i="2"/>
  <c r="W440" i="2"/>
  <c r="X440" i="2"/>
  <c r="V439" i="2"/>
  <c r="W439" i="2"/>
  <c r="X439" i="2"/>
  <c r="W438" i="2"/>
  <c r="V438" i="2"/>
  <c r="X438" i="2"/>
  <c r="V437" i="2"/>
  <c r="W437" i="2"/>
  <c r="X437" i="2"/>
  <c r="V436" i="2"/>
  <c r="W436" i="2"/>
  <c r="X436" i="2"/>
  <c r="W435" i="2"/>
  <c r="V435" i="2"/>
  <c r="X435" i="2"/>
  <c r="W434" i="2"/>
  <c r="V434" i="2"/>
  <c r="X434" i="2"/>
  <c r="V433" i="2"/>
  <c r="W433" i="2"/>
  <c r="X433" i="2"/>
  <c r="X432" i="2"/>
  <c r="W432" i="2"/>
  <c r="V432" i="2"/>
  <c r="X431" i="2"/>
  <c r="W431" i="2"/>
  <c r="V431" i="2"/>
  <c r="X430" i="2"/>
  <c r="W430" i="2"/>
  <c r="V430" i="2"/>
  <c r="X429" i="2"/>
  <c r="W429" i="2"/>
  <c r="V429" i="2"/>
  <c r="W428" i="2"/>
  <c r="X428" i="2"/>
  <c r="V428" i="2"/>
  <c r="X427" i="2"/>
  <c r="W427" i="2"/>
  <c r="V427" i="2"/>
  <c r="W426" i="2"/>
  <c r="V426" i="2"/>
  <c r="X426" i="2"/>
  <c r="X425" i="2"/>
  <c r="W425" i="2"/>
  <c r="V425" i="2"/>
  <c r="W424" i="2"/>
  <c r="V424" i="2"/>
  <c r="X424" i="2"/>
  <c r="X423" i="2"/>
  <c r="W423" i="2"/>
  <c r="V423" i="2"/>
  <c r="V422" i="2"/>
  <c r="W422" i="2"/>
  <c r="X422" i="2"/>
  <c r="V421" i="2"/>
  <c r="W421" i="2"/>
  <c r="X421" i="2"/>
  <c r="V420" i="2"/>
  <c r="X420" i="2"/>
  <c r="W420" i="2"/>
  <c r="V419" i="2"/>
  <c r="W419" i="2"/>
  <c r="X419" i="2"/>
  <c r="V418" i="2"/>
  <c r="W418" i="2"/>
  <c r="X418" i="2"/>
  <c r="V417" i="2"/>
  <c r="W417" i="2"/>
  <c r="X417" i="2"/>
  <c r="X416" i="2"/>
  <c r="W416" i="2"/>
  <c r="V416" i="2"/>
  <c r="V415" i="2"/>
  <c r="X415" i="2"/>
  <c r="W415" i="2"/>
  <c r="X414" i="2"/>
  <c r="V414" i="2"/>
  <c r="W414" i="2"/>
  <c r="X413" i="2"/>
  <c r="W413" i="2"/>
  <c r="V413" i="2"/>
  <c r="X412" i="2"/>
  <c r="W412" i="2"/>
  <c r="V412" i="2"/>
  <c r="V411" i="2"/>
  <c r="X411" i="2"/>
  <c r="W411" i="2"/>
  <c r="W410" i="2"/>
  <c r="X410" i="2"/>
  <c r="V410" i="2"/>
  <c r="X409" i="2"/>
  <c r="V409" i="2"/>
  <c r="W409" i="2"/>
  <c r="X408" i="2"/>
  <c r="W408" i="2"/>
  <c r="V408" i="2"/>
  <c r="X407" i="2"/>
  <c r="W407" i="2"/>
  <c r="V407" i="2"/>
  <c r="X406" i="2"/>
  <c r="W406" i="2"/>
  <c r="V406" i="2"/>
  <c r="X405" i="2"/>
  <c r="W405" i="2"/>
  <c r="V405" i="2"/>
  <c r="X404" i="2"/>
  <c r="W404" i="2"/>
  <c r="V404" i="2"/>
  <c r="V403" i="2"/>
  <c r="W403" i="2"/>
  <c r="X403" i="2"/>
  <c r="X402" i="2"/>
  <c r="W402" i="2"/>
  <c r="V402" i="2"/>
  <c r="X401" i="2"/>
  <c r="W401" i="2"/>
  <c r="V401" i="2"/>
  <c r="W400" i="2"/>
  <c r="V400" i="2"/>
  <c r="X400" i="2"/>
  <c r="X399" i="2"/>
  <c r="W399" i="2"/>
  <c r="V399" i="2"/>
  <c r="V398" i="2"/>
  <c r="X398" i="2"/>
  <c r="W398" i="2"/>
  <c r="X397" i="2"/>
  <c r="V397" i="2"/>
  <c r="W397" i="2"/>
  <c r="X396" i="2"/>
  <c r="W396" i="2"/>
  <c r="V396" i="2"/>
  <c r="W395" i="2"/>
  <c r="X395" i="2"/>
  <c r="V395" i="2"/>
  <c r="X394" i="2"/>
  <c r="W394" i="2"/>
  <c r="V394" i="2"/>
  <c r="X393" i="2"/>
  <c r="V393" i="2"/>
  <c r="W393" i="2"/>
  <c r="X392" i="2"/>
  <c r="W392" i="2"/>
  <c r="V392" i="2"/>
  <c r="X391" i="2"/>
  <c r="V391" i="2"/>
  <c r="W391" i="2"/>
  <c r="W390" i="2"/>
  <c r="X390" i="2"/>
  <c r="V390" i="2"/>
  <c r="X389" i="2"/>
  <c r="W389" i="2"/>
  <c r="V389" i="2"/>
  <c r="W388" i="2"/>
  <c r="X388" i="2"/>
  <c r="V388" i="2"/>
  <c r="X387" i="2"/>
  <c r="W387" i="2"/>
  <c r="V387" i="2"/>
  <c r="V386" i="2"/>
  <c r="W386" i="2"/>
  <c r="X386" i="2"/>
  <c r="V385" i="2"/>
  <c r="W385" i="2"/>
  <c r="X385" i="2"/>
  <c r="X384" i="2"/>
  <c r="W384" i="2"/>
  <c r="V384" i="2"/>
  <c r="V383" i="2"/>
  <c r="X383" i="2"/>
  <c r="W383" i="2"/>
  <c r="V382" i="2"/>
  <c r="X382" i="2"/>
  <c r="W382" i="2"/>
  <c r="V381" i="2"/>
  <c r="X381" i="2"/>
  <c r="W381" i="2"/>
  <c r="X380" i="2"/>
  <c r="W380" i="2"/>
  <c r="V380" i="2"/>
  <c r="V379" i="2"/>
  <c r="W379" i="2"/>
  <c r="X379" i="2"/>
  <c r="X378" i="2"/>
  <c r="W378" i="2"/>
  <c r="V378" i="2"/>
  <c r="W377" i="2"/>
  <c r="X377" i="2"/>
  <c r="V377" i="2"/>
  <c r="X376" i="2"/>
  <c r="W376" i="2"/>
  <c r="V376" i="2"/>
  <c r="V375" i="2"/>
  <c r="W375" i="2"/>
  <c r="X375" i="2"/>
  <c r="X374" i="2"/>
  <c r="W374" i="2"/>
  <c r="V374" i="2"/>
  <c r="W373" i="2"/>
  <c r="V373" i="2"/>
  <c r="X373" i="2"/>
  <c r="V372" i="2"/>
  <c r="W372" i="2"/>
  <c r="X372" i="2"/>
  <c r="V371" i="2"/>
  <c r="W371" i="2"/>
  <c r="X371" i="2"/>
  <c r="V370" i="2"/>
  <c r="X370" i="2"/>
  <c r="W370" i="2"/>
  <c r="X369" i="2"/>
  <c r="V369" i="2"/>
  <c r="W369" i="2"/>
  <c r="V368" i="2"/>
  <c r="W368" i="2"/>
  <c r="X368" i="2"/>
  <c r="W367" i="2"/>
  <c r="X367" i="2"/>
  <c r="V367" i="2"/>
  <c r="V366" i="2"/>
  <c r="W366" i="2"/>
  <c r="X366" i="2"/>
  <c r="X365" i="2"/>
  <c r="W365" i="2"/>
  <c r="V365" i="2"/>
  <c r="W364" i="2"/>
  <c r="V364" i="2"/>
  <c r="X364" i="2"/>
  <c r="W363" i="2"/>
  <c r="V363" i="2"/>
  <c r="X363" i="2"/>
  <c r="V362" i="2"/>
  <c r="X362" i="2"/>
  <c r="W362" i="2"/>
  <c r="V361" i="2"/>
  <c r="W361" i="2"/>
  <c r="X361" i="2"/>
  <c r="W360" i="2"/>
  <c r="V360" i="2"/>
  <c r="X360" i="2"/>
  <c r="X359" i="2"/>
  <c r="W359" i="2"/>
  <c r="V359" i="2"/>
  <c r="X358" i="2"/>
  <c r="W358" i="2"/>
  <c r="V358" i="2"/>
  <c r="V357" i="2"/>
  <c r="X357" i="2"/>
  <c r="W357" i="2"/>
  <c r="V356" i="2"/>
  <c r="X356" i="2"/>
  <c r="W356" i="2"/>
  <c r="X355" i="2"/>
  <c r="W355" i="2"/>
  <c r="V355" i="2"/>
  <c r="X354" i="2"/>
  <c r="W354" i="2"/>
  <c r="V354" i="2"/>
  <c r="X353" i="2"/>
  <c r="W353" i="2"/>
  <c r="V353" i="2"/>
  <c r="W352" i="2"/>
  <c r="X352" i="2"/>
  <c r="V352" i="2"/>
  <c r="W351" i="2"/>
  <c r="X351" i="2"/>
  <c r="V351" i="2"/>
  <c r="X350" i="2"/>
  <c r="W350" i="2"/>
  <c r="V350" i="2"/>
  <c r="X349" i="2"/>
  <c r="W349" i="2"/>
  <c r="V349" i="2"/>
  <c r="X348" i="2"/>
  <c r="W348" i="2"/>
  <c r="V348" i="2"/>
  <c r="X347" i="2"/>
  <c r="W347" i="2"/>
  <c r="V347" i="2"/>
  <c r="X346" i="2"/>
  <c r="W346" i="2"/>
  <c r="V346" i="2"/>
  <c r="X345" i="2"/>
  <c r="W345" i="2"/>
  <c r="V345" i="2"/>
  <c r="X344" i="2"/>
  <c r="W344" i="2"/>
  <c r="V344" i="2"/>
  <c r="X343" i="2"/>
  <c r="W343" i="2"/>
  <c r="V343" i="2"/>
  <c r="V342" i="2"/>
  <c r="W342" i="2"/>
  <c r="X342" i="2"/>
  <c r="X341" i="2"/>
  <c r="W341" i="2"/>
  <c r="V341" i="2"/>
  <c r="X340" i="2"/>
  <c r="W340" i="2"/>
  <c r="V340" i="2"/>
  <c r="X339" i="2"/>
  <c r="V339" i="2"/>
  <c r="W339" i="2"/>
  <c r="X338" i="2"/>
  <c r="V338" i="2"/>
  <c r="W338" i="2"/>
  <c r="X337" i="2"/>
  <c r="W337" i="2"/>
  <c r="V337" i="2"/>
  <c r="W336" i="2"/>
  <c r="X336" i="2"/>
  <c r="V336" i="2"/>
  <c r="X335" i="2"/>
  <c r="W335" i="2"/>
  <c r="V335" i="2"/>
  <c r="X334" i="2"/>
  <c r="W334" i="2"/>
  <c r="V334" i="2"/>
  <c r="X333" i="2"/>
  <c r="W333" i="2"/>
  <c r="V333" i="2"/>
  <c r="W332" i="2"/>
  <c r="V332" i="2"/>
  <c r="X332" i="2"/>
  <c r="V331" i="2"/>
  <c r="W331" i="2"/>
  <c r="X331" i="2"/>
  <c r="X330" i="2"/>
  <c r="W330" i="2"/>
  <c r="V330" i="2"/>
  <c r="W329" i="2"/>
  <c r="V329" i="2"/>
  <c r="X329" i="2"/>
  <c r="W328" i="2"/>
  <c r="V328" i="2"/>
  <c r="X328" i="2"/>
  <c r="V327" i="2"/>
  <c r="W327" i="2"/>
  <c r="X327" i="2"/>
  <c r="V326" i="2"/>
  <c r="X326" i="2"/>
  <c r="W326" i="2"/>
  <c r="V325" i="2"/>
  <c r="W325" i="2"/>
  <c r="X325" i="2"/>
  <c r="V324" i="2"/>
  <c r="X324" i="2"/>
  <c r="W324" i="2"/>
  <c r="X323" i="2"/>
  <c r="W323" i="2"/>
  <c r="V323" i="2"/>
  <c r="V322" i="2"/>
  <c r="W322" i="2"/>
  <c r="X322" i="2"/>
  <c r="V321" i="2"/>
  <c r="W321" i="2"/>
  <c r="X321" i="2"/>
  <c r="X320" i="2"/>
  <c r="W320" i="2"/>
  <c r="V320" i="2"/>
  <c r="V319" i="2"/>
  <c r="X319" i="2"/>
  <c r="W319" i="2"/>
  <c r="V318" i="2"/>
  <c r="W318" i="2"/>
  <c r="X318" i="2"/>
  <c r="V317" i="2"/>
  <c r="W317" i="2"/>
  <c r="X317" i="2"/>
  <c r="V316" i="2"/>
  <c r="X316" i="2"/>
  <c r="W316" i="2"/>
  <c r="W315" i="2"/>
  <c r="X315" i="2"/>
  <c r="V315" i="2"/>
  <c r="W314" i="2"/>
  <c r="V314" i="2"/>
  <c r="X314" i="2"/>
  <c r="V313" i="2"/>
  <c r="X313" i="2"/>
  <c r="W313" i="2"/>
  <c r="W312" i="2"/>
  <c r="X312" i="2"/>
  <c r="V312" i="2"/>
  <c r="X311" i="2"/>
  <c r="W311" i="2"/>
  <c r="V311" i="2"/>
  <c r="X310" i="2"/>
  <c r="W310" i="2"/>
  <c r="V310" i="2"/>
  <c r="W309" i="2"/>
  <c r="X309" i="2"/>
  <c r="V309" i="2"/>
  <c r="V308" i="2"/>
  <c r="W308" i="2"/>
  <c r="X308" i="2"/>
  <c r="X307" i="2"/>
  <c r="W307" i="2"/>
  <c r="V307" i="2"/>
  <c r="V306" i="2"/>
  <c r="W306" i="2"/>
  <c r="X306" i="2"/>
  <c r="V305" i="2"/>
  <c r="W305" i="2"/>
  <c r="X305" i="2"/>
  <c r="W304" i="2"/>
  <c r="X304" i="2"/>
  <c r="V304" i="2"/>
  <c r="W303" i="2"/>
  <c r="V303" i="2"/>
  <c r="X303" i="2"/>
  <c r="X302" i="2"/>
  <c r="W302" i="2"/>
  <c r="V302" i="2"/>
  <c r="X301" i="2"/>
  <c r="W301" i="2"/>
  <c r="V301" i="2"/>
  <c r="V300" i="2"/>
  <c r="W300" i="2"/>
  <c r="X300" i="2"/>
  <c r="W299" i="2"/>
  <c r="X299" i="2"/>
  <c r="V299" i="2"/>
  <c r="X298" i="2"/>
  <c r="W298" i="2"/>
  <c r="V298" i="2"/>
  <c r="W297" i="2"/>
  <c r="V297" i="2"/>
  <c r="X297" i="2"/>
  <c r="X296" i="2"/>
  <c r="W296" i="2"/>
  <c r="V296" i="2"/>
  <c r="X295" i="2"/>
  <c r="W295" i="2"/>
  <c r="V295" i="2"/>
  <c r="X294" i="2"/>
  <c r="W294" i="2"/>
  <c r="V294" i="2"/>
  <c r="X293" i="2"/>
  <c r="V293" i="2"/>
  <c r="W293" i="2"/>
  <c r="X292" i="2"/>
  <c r="W292" i="2"/>
  <c r="V292" i="2"/>
  <c r="V291" i="2"/>
  <c r="X291" i="2"/>
  <c r="W291" i="2"/>
  <c r="W290" i="2"/>
  <c r="V290" i="2"/>
  <c r="X290" i="2"/>
  <c r="X289" i="2"/>
  <c r="V289" i="2"/>
  <c r="W289" i="2"/>
  <c r="W288" i="2"/>
  <c r="X288" i="2"/>
  <c r="V288" i="2"/>
  <c r="X287" i="2"/>
  <c r="V287" i="2"/>
  <c r="W287" i="2"/>
  <c r="X286" i="2"/>
  <c r="W286" i="2"/>
  <c r="V286" i="2"/>
  <c r="X285" i="2"/>
  <c r="W285" i="2"/>
  <c r="V285" i="2"/>
  <c r="W284" i="2"/>
  <c r="V284" i="2"/>
  <c r="X284" i="2"/>
  <c r="X283" i="2"/>
  <c r="W283" i="2"/>
  <c r="V283" i="2"/>
  <c r="V282" i="2"/>
  <c r="X282" i="2"/>
  <c r="W282" i="2"/>
  <c r="X281" i="2"/>
  <c r="W281" i="2"/>
  <c r="V281" i="2"/>
  <c r="V280" i="2"/>
  <c r="W280" i="2"/>
  <c r="X280" i="2"/>
  <c r="X279" i="2"/>
  <c r="W279" i="2"/>
  <c r="V279" i="2"/>
  <c r="W278" i="2"/>
  <c r="X278" i="2"/>
  <c r="V278" i="2"/>
  <c r="X277" i="2"/>
  <c r="W277" i="2"/>
  <c r="V277" i="2"/>
  <c r="X276" i="2"/>
  <c r="W276" i="2"/>
  <c r="V276" i="2"/>
  <c r="V275" i="2"/>
  <c r="W275" i="2"/>
  <c r="X275" i="2"/>
  <c r="V274" i="2"/>
  <c r="X274" i="2"/>
  <c r="W274" i="2"/>
  <c r="V273" i="2"/>
  <c r="X273" i="2"/>
  <c r="W273" i="2"/>
  <c r="X272" i="2"/>
  <c r="W272" i="2"/>
  <c r="V272" i="2"/>
  <c r="V271" i="2"/>
  <c r="X271" i="2"/>
  <c r="W271" i="2"/>
  <c r="X270" i="2"/>
  <c r="W270" i="2"/>
  <c r="V270" i="2"/>
  <c r="W269" i="2"/>
  <c r="V269" i="2"/>
  <c r="X269" i="2"/>
  <c r="X268" i="2"/>
  <c r="W268" i="2"/>
  <c r="V268" i="2"/>
  <c r="X267" i="2"/>
  <c r="W267" i="2"/>
  <c r="V267" i="2"/>
  <c r="X266" i="2"/>
  <c r="W266" i="2"/>
  <c r="V266" i="2"/>
  <c r="X265" i="2"/>
  <c r="W265" i="2"/>
  <c r="V265" i="2"/>
  <c r="W264" i="2"/>
  <c r="V264" i="2"/>
  <c r="X264" i="2"/>
  <c r="W263" i="2"/>
  <c r="X263" i="2"/>
  <c r="V263" i="2"/>
  <c r="W262" i="2"/>
  <c r="X262" i="2"/>
  <c r="V262" i="2"/>
  <c r="X261" i="2"/>
  <c r="W261" i="2"/>
  <c r="V261" i="2"/>
  <c r="V260" i="2"/>
  <c r="X260" i="2"/>
  <c r="W260" i="2"/>
  <c r="X259" i="2"/>
  <c r="W259" i="2"/>
  <c r="V259" i="2"/>
  <c r="X258" i="2"/>
  <c r="W258" i="2"/>
  <c r="V258" i="2"/>
  <c r="X257" i="2"/>
  <c r="W257" i="2"/>
  <c r="V257" i="2"/>
  <c r="X256" i="2"/>
  <c r="W256" i="2"/>
  <c r="V256" i="2"/>
  <c r="X255" i="2"/>
  <c r="W255" i="2"/>
  <c r="V255" i="2"/>
  <c r="W254" i="2"/>
  <c r="V254" i="2"/>
  <c r="X254" i="2"/>
  <c r="X253" i="2"/>
  <c r="W253" i="2"/>
  <c r="V253" i="2"/>
  <c r="X252" i="2"/>
  <c r="W252" i="2"/>
  <c r="V252" i="2"/>
  <c r="W251" i="2"/>
  <c r="X251" i="2"/>
  <c r="V251" i="2"/>
  <c r="X250" i="2"/>
  <c r="W250" i="2"/>
  <c r="V250" i="2"/>
  <c r="X249" i="2"/>
  <c r="W249" i="2"/>
  <c r="V249" i="2"/>
  <c r="V248" i="2"/>
  <c r="W248" i="2"/>
  <c r="X248" i="2"/>
  <c r="X247" i="2"/>
  <c r="W247" i="2"/>
  <c r="V247" i="2"/>
  <c r="X246" i="2"/>
  <c r="W246" i="2"/>
  <c r="V246" i="2"/>
  <c r="X245" i="2"/>
  <c r="W245" i="2"/>
  <c r="V245" i="2"/>
  <c r="X244" i="2"/>
  <c r="W244" i="2"/>
  <c r="V244" i="2"/>
  <c r="X243" i="2"/>
  <c r="W243" i="2"/>
  <c r="V243" i="2"/>
  <c r="V242" i="2"/>
  <c r="X242" i="2"/>
  <c r="W242" i="2"/>
  <c r="X241" i="2"/>
  <c r="W241" i="2"/>
  <c r="V241" i="2"/>
  <c r="W240" i="2"/>
  <c r="X240" i="2"/>
  <c r="V240" i="2"/>
  <c r="X239" i="2"/>
  <c r="W239" i="2"/>
  <c r="V239" i="2"/>
  <c r="X238" i="2"/>
  <c r="W238" i="2"/>
  <c r="V238" i="2"/>
  <c r="X237" i="2"/>
  <c r="W237" i="2"/>
  <c r="V237" i="2"/>
  <c r="X236" i="2"/>
  <c r="W236" i="2"/>
  <c r="V236" i="2"/>
  <c r="W235" i="2"/>
  <c r="V235" i="2"/>
  <c r="X235" i="2"/>
  <c r="X234" i="2"/>
  <c r="W234" i="2"/>
  <c r="V234" i="2"/>
  <c r="X233" i="2"/>
  <c r="W233" i="2"/>
  <c r="V233" i="2"/>
  <c r="X232" i="2"/>
  <c r="W232" i="2"/>
  <c r="V232" i="2"/>
  <c r="X231" i="2"/>
  <c r="W231" i="2"/>
  <c r="V231" i="2"/>
  <c r="X230" i="2"/>
  <c r="W230" i="2"/>
  <c r="V230" i="2"/>
  <c r="X229" i="2"/>
  <c r="W229" i="2"/>
  <c r="V229" i="2"/>
  <c r="W228" i="2"/>
  <c r="V228" i="2"/>
  <c r="X228" i="2"/>
  <c r="X227" i="2"/>
  <c r="W227" i="2"/>
  <c r="V227" i="2"/>
  <c r="X226" i="2"/>
  <c r="W226" i="2"/>
  <c r="V226" i="2"/>
  <c r="V225" i="2"/>
  <c r="X225" i="2"/>
  <c r="W225" i="2"/>
  <c r="X224" i="2"/>
  <c r="W224" i="2"/>
  <c r="V224" i="2"/>
  <c r="X223" i="2"/>
  <c r="W223" i="2"/>
  <c r="V223" i="2"/>
  <c r="W222" i="2"/>
  <c r="V222" i="2"/>
  <c r="X222" i="2"/>
  <c r="X221" i="2"/>
  <c r="W221" i="2"/>
  <c r="V221" i="2"/>
  <c r="X220" i="2"/>
  <c r="W220" i="2"/>
  <c r="V220" i="2"/>
  <c r="X219" i="2"/>
  <c r="W219" i="2"/>
  <c r="V219" i="2"/>
  <c r="X218" i="2"/>
  <c r="W218" i="2"/>
  <c r="V218" i="2"/>
  <c r="X217" i="2"/>
  <c r="W217" i="2"/>
  <c r="V217" i="2"/>
  <c r="X216" i="2"/>
  <c r="W216" i="2"/>
  <c r="V216" i="2"/>
  <c r="W215" i="2"/>
  <c r="V215" i="2"/>
  <c r="X215" i="2"/>
  <c r="X214" i="2"/>
  <c r="W214" i="2"/>
  <c r="V214" i="2"/>
  <c r="X213" i="2"/>
  <c r="W213" i="2"/>
  <c r="V213" i="2"/>
  <c r="V212" i="2"/>
  <c r="X212" i="2"/>
  <c r="W212" i="2"/>
  <c r="X211" i="2"/>
  <c r="W211" i="2"/>
  <c r="V211" i="2"/>
  <c r="X210" i="2"/>
  <c r="W210" i="2"/>
  <c r="V210" i="2"/>
  <c r="V209" i="2"/>
  <c r="X209" i="2"/>
  <c r="W209" i="2"/>
  <c r="X208" i="2"/>
  <c r="W208" i="2"/>
  <c r="V208" i="2"/>
  <c r="X207" i="2"/>
  <c r="W207" i="2"/>
  <c r="V207" i="2"/>
  <c r="X206" i="2"/>
  <c r="W206" i="2"/>
  <c r="V206" i="2"/>
  <c r="X205" i="2"/>
  <c r="W205" i="2"/>
  <c r="V205" i="2"/>
  <c r="X204" i="2"/>
  <c r="W204" i="2"/>
  <c r="V204" i="2"/>
  <c r="X203" i="2"/>
  <c r="W203" i="2"/>
  <c r="V203" i="2"/>
  <c r="V202" i="2"/>
  <c r="X202" i="2"/>
  <c r="W202" i="2"/>
  <c r="W201" i="2"/>
  <c r="V201" i="2"/>
  <c r="X201" i="2"/>
  <c r="X200" i="2"/>
  <c r="W200" i="2"/>
  <c r="V200" i="2"/>
  <c r="X199" i="2"/>
  <c r="W199" i="2"/>
  <c r="V199" i="2"/>
  <c r="X198" i="2"/>
  <c r="W198" i="2"/>
  <c r="V198" i="2"/>
  <c r="X197" i="2"/>
  <c r="W197" i="2"/>
  <c r="V197" i="2"/>
  <c r="X196" i="2"/>
  <c r="W196" i="2"/>
  <c r="V196" i="2"/>
  <c r="X195" i="2"/>
  <c r="W195" i="2"/>
  <c r="V195" i="2"/>
  <c r="W194" i="2"/>
  <c r="V194" i="2"/>
  <c r="X194" i="2"/>
  <c r="X193" i="2"/>
  <c r="W193" i="2"/>
  <c r="V193" i="2"/>
  <c r="X192" i="2"/>
  <c r="W192" i="2"/>
  <c r="V192" i="2"/>
  <c r="V191" i="2"/>
  <c r="X191" i="2"/>
  <c r="W191" i="2"/>
  <c r="X190" i="2"/>
  <c r="W190" i="2"/>
  <c r="V190" i="2"/>
  <c r="X189" i="2"/>
  <c r="W189" i="2"/>
  <c r="V189" i="2"/>
  <c r="X188" i="2"/>
  <c r="W188" i="2"/>
  <c r="V188" i="2"/>
  <c r="V187" i="2"/>
  <c r="X187" i="2"/>
  <c r="W187" i="2"/>
  <c r="W186" i="2"/>
  <c r="V186" i="2"/>
  <c r="X186" i="2"/>
  <c r="X185" i="2"/>
  <c r="W185" i="2"/>
  <c r="V185" i="2"/>
  <c r="X184" i="2"/>
  <c r="W184" i="2"/>
  <c r="V184" i="2"/>
  <c r="X183" i="2"/>
  <c r="W183" i="2"/>
  <c r="V183" i="2"/>
  <c r="X182" i="2"/>
  <c r="W182" i="2"/>
  <c r="V182" i="2"/>
  <c r="X181" i="2"/>
  <c r="W181" i="2"/>
  <c r="V181" i="2"/>
  <c r="X180" i="2"/>
  <c r="W180" i="2"/>
  <c r="V180" i="2"/>
  <c r="W179" i="2"/>
  <c r="V179" i="2"/>
  <c r="X179" i="2"/>
  <c r="X178" i="2"/>
  <c r="W178" i="2"/>
  <c r="V178" i="2"/>
  <c r="X177" i="2"/>
  <c r="W177" i="2"/>
  <c r="V177" i="2"/>
  <c r="W176" i="2"/>
  <c r="X176" i="2"/>
  <c r="V176" i="2"/>
  <c r="W175" i="2"/>
  <c r="V175" i="2"/>
  <c r="X175" i="2"/>
  <c r="X174" i="2"/>
  <c r="W174" i="2"/>
  <c r="V174" i="2"/>
  <c r="X173" i="2"/>
  <c r="W173" i="2"/>
  <c r="V173" i="2"/>
  <c r="X172" i="2"/>
  <c r="W172" i="2"/>
  <c r="V172" i="2"/>
  <c r="X171" i="2"/>
  <c r="W171" i="2"/>
  <c r="V171" i="2"/>
  <c r="W170" i="2"/>
  <c r="V170" i="2"/>
  <c r="X170" i="2"/>
  <c r="X169" i="2"/>
  <c r="W169" i="2"/>
  <c r="V169" i="2"/>
  <c r="X168" i="2"/>
  <c r="W168" i="2"/>
  <c r="V168" i="2"/>
  <c r="W167" i="2"/>
  <c r="V167" i="2"/>
  <c r="X167" i="2"/>
  <c r="X166" i="2"/>
  <c r="W166" i="2"/>
  <c r="V166" i="2"/>
  <c r="X165" i="2"/>
  <c r="W165" i="2"/>
  <c r="V165" i="2"/>
  <c r="X164" i="2"/>
  <c r="W164" i="2"/>
  <c r="V164" i="2"/>
  <c r="W163" i="2"/>
  <c r="V163" i="2"/>
  <c r="X163" i="2"/>
  <c r="X162" i="2"/>
  <c r="W162" i="2"/>
  <c r="V162" i="2"/>
  <c r="X161" i="2"/>
  <c r="W161" i="2"/>
  <c r="V161" i="2"/>
  <c r="X160" i="2"/>
  <c r="W160" i="2"/>
  <c r="V160" i="2"/>
  <c r="W159" i="2"/>
  <c r="X159" i="2"/>
  <c r="V159" i="2"/>
  <c r="X158" i="2"/>
  <c r="W158" i="2"/>
  <c r="V158" i="2"/>
  <c r="X157" i="2"/>
  <c r="W157" i="2"/>
  <c r="V157" i="2"/>
  <c r="X156" i="2"/>
  <c r="W156" i="2"/>
  <c r="V156" i="2"/>
  <c r="V155" i="2"/>
  <c r="W155" i="2"/>
  <c r="X155" i="2"/>
  <c r="X154" i="2"/>
  <c r="W154" i="2"/>
  <c r="V154" i="2"/>
  <c r="W153" i="2"/>
  <c r="X153" i="2"/>
  <c r="V153" i="2"/>
  <c r="X152" i="2"/>
  <c r="W152" i="2"/>
  <c r="V152" i="2"/>
  <c r="V151" i="2"/>
  <c r="W151" i="2"/>
  <c r="X151" i="2"/>
  <c r="X150" i="2"/>
  <c r="W150" i="2"/>
  <c r="V150" i="2"/>
  <c r="X149" i="2"/>
  <c r="W149" i="2"/>
  <c r="V149" i="2"/>
  <c r="X148" i="2"/>
  <c r="W148" i="2"/>
  <c r="V148" i="2"/>
  <c r="X147" i="2"/>
  <c r="W147" i="2"/>
  <c r="V147" i="2"/>
  <c r="X146" i="2"/>
  <c r="W146" i="2"/>
  <c r="V146" i="2"/>
  <c r="X145" i="2"/>
  <c r="W145" i="2"/>
  <c r="V145" i="2"/>
  <c r="X144" i="2"/>
  <c r="W144" i="2"/>
  <c r="V144" i="2"/>
  <c r="X143" i="2"/>
  <c r="W143" i="2"/>
  <c r="V143" i="2"/>
  <c r="X142" i="2"/>
  <c r="W142" i="2"/>
  <c r="V142" i="2"/>
  <c r="X141" i="2"/>
  <c r="W141" i="2"/>
  <c r="V141" i="2"/>
  <c r="X140" i="2"/>
  <c r="W140" i="2"/>
  <c r="V140" i="2"/>
  <c r="X139" i="2"/>
  <c r="W139" i="2"/>
  <c r="V139" i="2"/>
  <c r="X138" i="2"/>
  <c r="W138" i="2"/>
  <c r="V138" i="2"/>
  <c r="X137" i="2"/>
  <c r="W137" i="2"/>
  <c r="V137" i="2"/>
  <c r="X136" i="2"/>
  <c r="W136" i="2"/>
  <c r="V136" i="2"/>
  <c r="W135" i="2"/>
  <c r="V135" i="2"/>
  <c r="X135" i="2"/>
  <c r="X134" i="2"/>
  <c r="W134" i="2"/>
  <c r="V134" i="2"/>
  <c r="X133" i="2"/>
  <c r="W133" i="2"/>
  <c r="V133" i="2"/>
  <c r="X132" i="2"/>
  <c r="W132" i="2"/>
  <c r="V132" i="2"/>
  <c r="X131" i="2"/>
  <c r="W131" i="2"/>
  <c r="V131" i="2"/>
  <c r="W130" i="2"/>
  <c r="V130" i="2"/>
  <c r="X130" i="2"/>
  <c r="W129" i="2"/>
  <c r="X129" i="2"/>
  <c r="V129" i="2"/>
  <c r="X128" i="2"/>
  <c r="W128" i="2"/>
  <c r="V128" i="2"/>
  <c r="X127" i="2"/>
  <c r="W127" i="2"/>
  <c r="V127" i="2"/>
  <c r="V126" i="2"/>
  <c r="X126" i="2"/>
  <c r="W126" i="2"/>
  <c r="X125" i="2"/>
  <c r="W125" i="2"/>
  <c r="V125" i="2"/>
  <c r="X124" i="2"/>
  <c r="W124" i="2"/>
  <c r="V124" i="2"/>
  <c r="X123" i="2"/>
  <c r="W123" i="2"/>
  <c r="V123" i="2"/>
  <c r="X122" i="2"/>
  <c r="W122" i="2"/>
  <c r="V122" i="2"/>
  <c r="X121" i="2"/>
  <c r="W121" i="2"/>
  <c r="V121" i="2"/>
  <c r="W120" i="2"/>
  <c r="V120" i="2"/>
  <c r="X120" i="2"/>
  <c r="W119" i="2"/>
  <c r="X119" i="2"/>
  <c r="V119" i="2"/>
  <c r="V118" i="2"/>
  <c r="X118" i="2"/>
  <c r="W118" i="2"/>
  <c r="X117" i="2"/>
  <c r="W117" i="2"/>
  <c r="V117" i="2"/>
  <c r="X116" i="2"/>
  <c r="W116" i="2"/>
  <c r="V116" i="2"/>
  <c r="X115" i="2"/>
  <c r="W115" i="2"/>
  <c r="V115" i="2"/>
  <c r="X114" i="2"/>
  <c r="W114" i="2"/>
  <c r="V114" i="2"/>
  <c r="X113" i="2"/>
  <c r="W113" i="2"/>
  <c r="V113" i="2"/>
  <c r="X112" i="2"/>
  <c r="W112" i="2"/>
  <c r="V112" i="2"/>
  <c r="W111" i="2"/>
  <c r="V111" i="2"/>
  <c r="X111" i="2"/>
  <c r="X110" i="2"/>
  <c r="W110" i="2"/>
  <c r="V110" i="2"/>
  <c r="X109" i="2"/>
  <c r="W109" i="2"/>
  <c r="V109" i="2"/>
  <c r="X108" i="2"/>
  <c r="W108" i="2"/>
  <c r="V108" i="2"/>
  <c r="X107" i="2"/>
  <c r="W107" i="2"/>
  <c r="V107" i="2"/>
  <c r="W106" i="2"/>
  <c r="V106" i="2"/>
  <c r="X106" i="2"/>
  <c r="X105" i="2"/>
  <c r="W105" i="2"/>
  <c r="V105" i="2"/>
  <c r="X104" i="2"/>
  <c r="W104" i="2"/>
  <c r="V104" i="2"/>
  <c r="X103" i="2"/>
  <c r="W103" i="2"/>
  <c r="V103" i="2"/>
  <c r="X102" i="2"/>
  <c r="W102" i="2"/>
  <c r="V102" i="2"/>
  <c r="W101" i="2"/>
  <c r="V101" i="2"/>
  <c r="X101" i="2"/>
  <c r="X100" i="2"/>
  <c r="W100" i="2"/>
  <c r="V100" i="2"/>
  <c r="X99" i="2"/>
  <c r="W99" i="2"/>
  <c r="V99" i="2"/>
  <c r="X98" i="2"/>
  <c r="W98" i="2"/>
  <c r="V98" i="2"/>
  <c r="W97" i="2"/>
  <c r="V97" i="2"/>
  <c r="X97" i="2"/>
  <c r="X96" i="2"/>
  <c r="W96" i="2"/>
  <c r="V96" i="2"/>
  <c r="X95" i="2"/>
  <c r="W95" i="2"/>
  <c r="V95" i="2"/>
  <c r="X94" i="2"/>
  <c r="W94" i="2"/>
  <c r="V94" i="2"/>
  <c r="X93" i="2"/>
  <c r="W93" i="2"/>
  <c r="V93" i="2"/>
  <c r="W92" i="2"/>
  <c r="V92" i="2"/>
  <c r="X92" i="2"/>
  <c r="W91" i="2"/>
  <c r="X91" i="2"/>
  <c r="V91" i="2"/>
  <c r="W90" i="2"/>
  <c r="X90" i="2"/>
  <c r="V90" i="2"/>
  <c r="X89" i="2"/>
  <c r="W89" i="2"/>
  <c r="V89" i="2"/>
  <c r="X88" i="2"/>
  <c r="W88" i="2"/>
  <c r="V88" i="2"/>
  <c r="X87" i="2"/>
  <c r="W87" i="2"/>
  <c r="V87" i="2"/>
  <c r="X86" i="2"/>
  <c r="W86" i="2"/>
  <c r="V86" i="2"/>
  <c r="X85" i="2"/>
  <c r="W85" i="2"/>
  <c r="V85" i="2"/>
  <c r="X84" i="2"/>
  <c r="W84" i="2"/>
  <c r="V84" i="2"/>
  <c r="X83" i="2"/>
  <c r="W83" i="2"/>
  <c r="V83" i="2"/>
  <c r="W82" i="2"/>
  <c r="V82" i="2"/>
  <c r="X82" i="2"/>
  <c r="W81" i="2"/>
  <c r="X81" i="2"/>
  <c r="V81" i="2"/>
  <c r="V80" i="2"/>
  <c r="X80" i="2"/>
  <c r="W80" i="2"/>
  <c r="X79" i="2"/>
  <c r="W79" i="2"/>
  <c r="V79" i="2"/>
  <c r="W78" i="2"/>
  <c r="V78" i="2"/>
  <c r="X78" i="2"/>
  <c r="X77" i="2"/>
  <c r="W77" i="2"/>
  <c r="V77" i="2"/>
  <c r="W76" i="2"/>
  <c r="X76" i="2"/>
  <c r="V76" i="2"/>
  <c r="X75" i="2"/>
  <c r="W75" i="2"/>
  <c r="V75" i="2"/>
  <c r="X74" i="2"/>
  <c r="W74" i="2"/>
  <c r="V74" i="2"/>
  <c r="W73" i="2"/>
  <c r="V73" i="2"/>
  <c r="X73" i="2"/>
  <c r="V72" i="2"/>
  <c r="X72" i="2"/>
  <c r="W72" i="2"/>
  <c r="X71" i="2"/>
  <c r="W71" i="2"/>
  <c r="V71" i="2"/>
  <c r="X70" i="2"/>
  <c r="W70" i="2"/>
  <c r="V70" i="2"/>
  <c r="X69" i="2"/>
  <c r="W69" i="2"/>
  <c r="V69" i="2"/>
  <c r="W68" i="2"/>
  <c r="V68" i="2"/>
  <c r="X68" i="2"/>
  <c r="X67" i="2"/>
  <c r="W67" i="2"/>
  <c r="V67" i="2"/>
  <c r="X66" i="2"/>
  <c r="W66" i="2"/>
  <c r="V66" i="2"/>
  <c r="X65" i="2"/>
  <c r="W65" i="2"/>
  <c r="V65" i="2"/>
  <c r="X64" i="2"/>
  <c r="W64" i="2"/>
  <c r="V64" i="2"/>
  <c r="V63" i="2"/>
  <c r="W63" i="2"/>
  <c r="X63" i="2"/>
  <c r="X62" i="2"/>
  <c r="W62" i="2"/>
  <c r="V62" i="2"/>
  <c r="X61" i="2"/>
  <c r="W61" i="2"/>
  <c r="V61" i="2"/>
  <c r="X60" i="2"/>
  <c r="W60" i="2"/>
  <c r="V60" i="2"/>
  <c r="V59" i="2"/>
  <c r="X59" i="2"/>
  <c r="W59" i="2"/>
  <c r="X58" i="2"/>
  <c r="W58" i="2"/>
  <c r="V58" i="2"/>
  <c r="X57" i="2"/>
  <c r="W57" i="2"/>
  <c r="V57" i="2"/>
  <c r="X56" i="2"/>
  <c r="W56" i="2"/>
  <c r="V56" i="2"/>
  <c r="V55" i="2"/>
  <c r="X55" i="2"/>
  <c r="W55" i="2"/>
  <c r="X54" i="2"/>
  <c r="W54" i="2"/>
  <c r="V54" i="2"/>
  <c r="X53" i="2"/>
  <c r="W53" i="2"/>
  <c r="V53" i="2"/>
  <c r="X52" i="2"/>
  <c r="W52" i="2"/>
  <c r="V52" i="2"/>
  <c r="X51" i="2"/>
  <c r="W51" i="2"/>
  <c r="V51" i="2"/>
  <c r="X50" i="2"/>
  <c r="W50" i="2"/>
  <c r="V50" i="2"/>
  <c r="X49" i="2"/>
  <c r="W49" i="2"/>
  <c r="V49" i="2"/>
  <c r="V48" i="2"/>
  <c r="X48" i="2"/>
  <c r="W48" i="2"/>
  <c r="X47" i="2"/>
  <c r="W47" i="2"/>
  <c r="V47" i="2"/>
  <c r="X46" i="2"/>
  <c r="W46" i="2"/>
  <c r="V46" i="2"/>
  <c r="X45" i="2"/>
  <c r="W45" i="2"/>
  <c r="V45" i="2"/>
  <c r="V44" i="2"/>
  <c r="X44" i="2"/>
  <c r="W44" i="2"/>
  <c r="X43" i="2"/>
  <c r="W43" i="2"/>
  <c r="V43" i="2"/>
  <c r="X42" i="2"/>
  <c r="W42" i="2"/>
  <c r="V42" i="2"/>
  <c r="X41" i="2"/>
  <c r="W41" i="2"/>
  <c r="V41" i="2"/>
  <c r="V40" i="2"/>
  <c r="X40" i="2"/>
  <c r="W40" i="2"/>
  <c r="X39" i="2"/>
  <c r="W39" i="2"/>
  <c r="V39" i="2"/>
  <c r="X38" i="2"/>
  <c r="W38" i="2"/>
  <c r="V38" i="2"/>
  <c r="X37" i="2"/>
  <c r="W37" i="2"/>
  <c r="V37" i="2"/>
  <c r="V36" i="2"/>
  <c r="X36" i="2"/>
  <c r="W36" i="2"/>
  <c r="X35" i="2"/>
  <c r="W35" i="2"/>
  <c r="V35" i="2"/>
  <c r="X34" i="2"/>
  <c r="W34" i="2"/>
  <c r="V34" i="2"/>
  <c r="X33" i="2"/>
  <c r="W33" i="2"/>
  <c r="V33" i="2"/>
  <c r="V32" i="2"/>
  <c r="X32" i="2"/>
  <c r="W32" i="2"/>
  <c r="X31" i="2"/>
  <c r="W31" i="2"/>
  <c r="V31" i="2"/>
  <c r="V30" i="2"/>
  <c r="X30" i="2"/>
  <c r="W30" i="2"/>
  <c r="X29" i="2"/>
  <c r="W29" i="2"/>
  <c r="V29" i="2"/>
  <c r="V28" i="2"/>
  <c r="X28" i="2"/>
  <c r="W28" i="2"/>
  <c r="X27" i="2"/>
  <c r="W27" i="2"/>
  <c r="V27" i="2"/>
  <c r="X26" i="2"/>
  <c r="W26" i="2"/>
  <c r="V26" i="2"/>
  <c r="V25" i="2"/>
  <c r="X25" i="2"/>
  <c r="W25" i="2"/>
  <c r="W24" i="2"/>
  <c r="X24" i="2"/>
  <c r="V24" i="2"/>
  <c r="X23" i="2"/>
  <c r="W23" i="2"/>
  <c r="V23" i="2"/>
  <c r="X22" i="2"/>
  <c r="W22" i="2"/>
  <c r="V22" i="2"/>
  <c r="V21" i="2"/>
  <c r="X21" i="2"/>
  <c r="W21" i="2"/>
  <c r="X20" i="2"/>
  <c r="W20" i="2"/>
  <c r="V20" i="2"/>
  <c r="X19" i="2"/>
  <c r="W19" i="2"/>
  <c r="V19" i="2"/>
  <c r="X18" i="2"/>
  <c r="W18" i="2"/>
  <c r="V18" i="2"/>
  <c r="X17" i="2"/>
  <c r="W17" i="2"/>
  <c r="V17" i="2"/>
  <c r="V16" i="2"/>
  <c r="X16" i="2"/>
  <c r="W16" i="2"/>
  <c r="X15" i="2"/>
  <c r="W15" i="2"/>
  <c r="V15" i="2"/>
  <c r="W14" i="2"/>
  <c r="X14" i="2"/>
  <c r="V14" i="2"/>
  <c r="V13" i="2"/>
  <c r="X13" i="2"/>
  <c r="W13" i="2"/>
  <c r="X12" i="2"/>
  <c r="W12" i="2"/>
  <c r="V12" i="2"/>
  <c r="X11" i="2"/>
  <c r="W11" i="2"/>
  <c r="V11" i="2"/>
  <c r="X10" i="2"/>
  <c r="W10" i="2"/>
  <c r="V10" i="2"/>
  <c r="X9" i="2"/>
  <c r="W9" i="2"/>
  <c r="V9" i="2"/>
  <c r="V8" i="2"/>
  <c r="X8" i="2"/>
  <c r="W8" i="2"/>
  <c r="X7" i="2"/>
  <c r="W7" i="2"/>
  <c r="V7" i="2"/>
  <c r="X6" i="2"/>
  <c r="W6" i="2"/>
  <c r="V6" i="2"/>
  <c r="X5" i="2"/>
  <c r="W5" i="2"/>
  <c r="V5" i="2"/>
  <c r="W4" i="2"/>
  <c r="V4" i="2"/>
  <c r="X4" i="2"/>
  <c r="X3" i="2"/>
  <c r="W3" i="2"/>
  <c r="V3" i="2"/>
  <c r="C13" i="1"/>
  <c r="Q6" i="7"/>
  <c r="R6" i="7" s="1"/>
  <c r="Q7" i="7"/>
  <c r="R7" i="7" s="1"/>
  <c r="Q8" i="7"/>
  <c r="R8" i="7" s="1"/>
  <c r="Q9" i="7"/>
  <c r="R9" i="7" s="1"/>
  <c r="Q10" i="7"/>
  <c r="R10" i="7" s="1"/>
  <c r="Q11" i="7"/>
  <c r="R11" i="7" s="1"/>
  <c r="Q12" i="7"/>
  <c r="R12" i="7" s="1"/>
  <c r="Q13" i="7"/>
  <c r="R13" i="7" s="1"/>
  <c r="Q14" i="7"/>
  <c r="R14" i="7" s="1"/>
  <c r="Q15" i="7"/>
  <c r="R15" i="7" s="1"/>
  <c r="Q16" i="7"/>
  <c r="R16" i="7" s="1"/>
  <c r="Q17" i="7"/>
  <c r="R17" i="7" s="1"/>
  <c r="Q18" i="7"/>
  <c r="R18" i="7" s="1"/>
  <c r="Q19" i="7"/>
  <c r="R19" i="7" s="1"/>
  <c r="Q20" i="7"/>
  <c r="R20" i="7" s="1"/>
  <c r="Q21" i="7"/>
  <c r="R21" i="7" s="1"/>
  <c r="Q22" i="7"/>
  <c r="R22" i="7" s="1"/>
  <c r="Q23" i="7"/>
  <c r="R23" i="7" s="1"/>
  <c r="Q24" i="7"/>
  <c r="R24" i="7" s="1"/>
  <c r="Q25" i="7"/>
  <c r="R25" i="7" s="1"/>
  <c r="Q26" i="7"/>
  <c r="R26" i="7" s="1"/>
  <c r="Q27" i="7"/>
  <c r="R27" i="7" s="1"/>
  <c r="Q28" i="7"/>
  <c r="R28" i="7" s="1"/>
  <c r="Q29" i="7"/>
  <c r="R29" i="7" s="1"/>
  <c r="Q30" i="7"/>
  <c r="R30" i="7" s="1"/>
  <c r="Q31" i="7"/>
  <c r="R31" i="7" s="1"/>
  <c r="Q32" i="7"/>
  <c r="R32" i="7" s="1"/>
  <c r="Q33" i="7"/>
  <c r="R33" i="7" s="1"/>
  <c r="Q34" i="7"/>
  <c r="R34" i="7" s="1"/>
  <c r="Q35" i="7"/>
  <c r="R35" i="7" s="1"/>
  <c r="Q36" i="7"/>
  <c r="R36" i="7" s="1"/>
  <c r="Q37" i="7"/>
  <c r="R37" i="7" s="1"/>
  <c r="Q38" i="7"/>
  <c r="R38" i="7" s="1"/>
  <c r="Q39" i="7"/>
  <c r="R39" i="7" s="1"/>
  <c r="Q40" i="7"/>
  <c r="R40" i="7" s="1"/>
  <c r="Q41" i="7"/>
  <c r="R41" i="7" s="1"/>
  <c r="Q42" i="7"/>
  <c r="R42" i="7" s="1"/>
  <c r="Q43" i="7"/>
  <c r="R43" i="7" s="1"/>
  <c r="Q44" i="7"/>
  <c r="R44" i="7" s="1"/>
  <c r="Q45" i="7"/>
  <c r="R45" i="7" s="1"/>
  <c r="Q46" i="7"/>
  <c r="R46" i="7" s="1"/>
  <c r="Q47" i="7"/>
  <c r="R47" i="7" s="1"/>
  <c r="Q48" i="7"/>
  <c r="R48" i="7" s="1"/>
  <c r="Q49" i="7"/>
  <c r="R49" i="7" s="1"/>
  <c r="Q50" i="7"/>
  <c r="R50" i="7" s="1"/>
  <c r="Q51" i="7"/>
  <c r="R51" i="7" s="1"/>
  <c r="Q52" i="7"/>
  <c r="R52" i="7" s="1"/>
  <c r="Q53" i="7"/>
  <c r="R53" i="7" s="1"/>
  <c r="Q54" i="7"/>
  <c r="R54" i="7" s="1"/>
  <c r="Q55" i="7"/>
  <c r="R55" i="7" s="1"/>
  <c r="Q56" i="7"/>
  <c r="R56" i="7" s="1"/>
  <c r="Q57" i="7"/>
  <c r="R57" i="7" s="1"/>
  <c r="Q58" i="7"/>
  <c r="R58" i="7" s="1"/>
  <c r="Q59" i="7"/>
  <c r="R59" i="7" s="1"/>
  <c r="Q60" i="7"/>
  <c r="R60" i="7" s="1"/>
  <c r="Q61" i="7"/>
  <c r="R61" i="7" s="1"/>
  <c r="Q62" i="7"/>
  <c r="R62" i="7" s="1"/>
  <c r="Q63" i="7"/>
  <c r="R63" i="7" s="1"/>
  <c r="Q64" i="7"/>
  <c r="R64" i="7" s="1"/>
  <c r="Q65" i="7"/>
  <c r="R65" i="7" s="1"/>
  <c r="Q66" i="7"/>
  <c r="R66" i="7" s="1"/>
  <c r="Q67" i="7"/>
  <c r="R67" i="7" s="1"/>
  <c r="Q68" i="7"/>
  <c r="R68" i="7" s="1"/>
  <c r="Q69" i="7"/>
  <c r="R69" i="7" s="1"/>
  <c r="Q70" i="7"/>
  <c r="R70" i="7" s="1"/>
  <c r="Q71" i="7"/>
  <c r="R71" i="7" s="1"/>
  <c r="Q72" i="7"/>
  <c r="R72" i="7" s="1"/>
  <c r="Q73" i="7"/>
  <c r="R73" i="7" s="1"/>
  <c r="Q74" i="7"/>
  <c r="R74" i="7" s="1"/>
  <c r="Q75" i="7"/>
  <c r="R75" i="7" s="1"/>
  <c r="Q76" i="7"/>
  <c r="R76" i="7" s="1"/>
  <c r="Q77" i="7"/>
  <c r="R77" i="7" s="1"/>
  <c r="Q78" i="7"/>
  <c r="R78" i="7" s="1"/>
  <c r="Q79" i="7"/>
  <c r="R79" i="7" s="1"/>
  <c r="Q80" i="7"/>
  <c r="R80" i="7" s="1"/>
  <c r="Q81" i="7"/>
  <c r="R81" i="7" s="1"/>
  <c r="Q82" i="7"/>
  <c r="R82" i="7" s="1"/>
  <c r="Q83" i="7"/>
  <c r="R83" i="7" s="1"/>
  <c r="Q84" i="7"/>
  <c r="R84" i="7" s="1"/>
  <c r="Q85" i="7"/>
  <c r="R85" i="7" s="1"/>
  <c r="Q89" i="7"/>
  <c r="R89" i="7" s="1"/>
  <c r="Q93" i="7"/>
  <c r="R93" i="7" s="1"/>
  <c r="Q94" i="7"/>
  <c r="R94" i="7" s="1"/>
  <c r="Q95" i="7"/>
  <c r="R95" i="7" s="1"/>
  <c r="Q96" i="7"/>
  <c r="R96" i="7" s="1"/>
  <c r="Q97" i="7"/>
  <c r="R97" i="7" s="1"/>
  <c r="Q98" i="7"/>
  <c r="R98" i="7" s="1"/>
  <c r="Q99" i="7"/>
  <c r="R99" i="7" s="1"/>
  <c r="Q100" i="7"/>
  <c r="R100" i="7" s="1"/>
  <c r="Q101" i="7"/>
  <c r="R101" i="7" s="1"/>
  <c r="Q102" i="7"/>
  <c r="R102" i="7" s="1"/>
  <c r="Q103" i="7"/>
  <c r="R103" i="7" s="1"/>
  <c r="Q104" i="7"/>
  <c r="R104" i="7" s="1"/>
  <c r="Q106" i="7"/>
  <c r="R106" i="7" s="1"/>
  <c r="Q107" i="7"/>
  <c r="R107" i="7" s="1"/>
  <c r="Q108" i="7"/>
  <c r="R108" i="7" s="1"/>
  <c r="Q110" i="7"/>
  <c r="R110" i="7" s="1"/>
  <c r="Q111" i="7"/>
  <c r="R111" i="7" s="1"/>
  <c r="Q112" i="7"/>
  <c r="R112" i="7" s="1"/>
  <c r="Q113" i="7"/>
  <c r="R113" i="7" s="1"/>
  <c r="Q114" i="7"/>
  <c r="R114" i="7" s="1"/>
  <c r="Q115" i="7"/>
  <c r="R115" i="7" s="1"/>
  <c r="Q116" i="7"/>
  <c r="R116" i="7" s="1"/>
  <c r="Q117" i="7"/>
  <c r="R117" i="7" s="1"/>
  <c r="Q118" i="7"/>
  <c r="R118" i="7" s="1"/>
  <c r="Q119" i="7"/>
  <c r="R119" i="7" s="1"/>
  <c r="Q120" i="7"/>
  <c r="R120" i="7" s="1"/>
  <c r="Q121" i="7"/>
  <c r="R121" i="7" s="1"/>
  <c r="Q122" i="7"/>
  <c r="R122" i="7" s="1"/>
  <c r="Q123" i="7"/>
  <c r="R123" i="7" s="1"/>
  <c r="Q124" i="7"/>
  <c r="R124" i="7" s="1"/>
  <c r="Q125" i="7"/>
  <c r="R125" i="7" s="1"/>
  <c r="Q126" i="7"/>
  <c r="R126" i="7" s="1"/>
  <c r="Q127" i="7"/>
  <c r="R127" i="7" s="1"/>
  <c r="Q128" i="7"/>
  <c r="R128" i="7" s="1"/>
  <c r="Q129" i="7"/>
  <c r="R129" i="7" s="1"/>
  <c r="Q130" i="7"/>
  <c r="R130" i="7" s="1"/>
  <c r="Q131" i="7"/>
  <c r="R131" i="7" s="1"/>
  <c r="Q132" i="7"/>
  <c r="R132" i="7" s="1"/>
  <c r="Q133" i="7"/>
  <c r="R133" i="7" s="1"/>
  <c r="Q134" i="7"/>
  <c r="R134" i="7" s="1"/>
  <c r="Q135" i="7"/>
  <c r="R135" i="7" s="1"/>
  <c r="Q136" i="7"/>
  <c r="R136" i="7" s="1"/>
  <c r="Q137" i="7"/>
  <c r="R137" i="7" s="1"/>
  <c r="Q138" i="7"/>
  <c r="R138" i="7" s="1"/>
  <c r="Q139" i="7"/>
  <c r="R139" i="7" s="1"/>
  <c r="Q140" i="7"/>
  <c r="R140" i="7" s="1"/>
  <c r="Q141" i="7"/>
  <c r="R141" i="7" s="1"/>
  <c r="Q142" i="7"/>
  <c r="R142" i="7" s="1"/>
  <c r="Q143" i="7"/>
  <c r="R143" i="7" s="1"/>
  <c r="Q144" i="7"/>
  <c r="R144" i="7" s="1"/>
  <c r="Q145" i="7"/>
  <c r="R145" i="7" s="1"/>
  <c r="Q146" i="7"/>
  <c r="R146" i="7" s="1"/>
  <c r="Q147" i="7"/>
  <c r="R147" i="7" s="1"/>
  <c r="Q148" i="7"/>
  <c r="R148" i="7" s="1"/>
  <c r="Q149" i="7"/>
  <c r="R149" i="7" s="1"/>
  <c r="Q150" i="7"/>
  <c r="R150" i="7" s="1"/>
  <c r="Q151" i="7"/>
  <c r="R151" i="7" s="1"/>
  <c r="Q152" i="7"/>
  <c r="R152" i="7" s="1"/>
  <c r="Q153" i="7"/>
  <c r="R153" i="7" s="1"/>
  <c r="Q154" i="7"/>
  <c r="R154" i="7" s="1"/>
  <c r="Q155" i="7"/>
  <c r="R155" i="7" s="1"/>
  <c r="Q156" i="7"/>
  <c r="R156" i="7" s="1"/>
  <c r="Q157" i="7"/>
  <c r="R157" i="7" s="1"/>
  <c r="Q158" i="7"/>
  <c r="R158" i="7" s="1"/>
  <c r="Q159" i="7"/>
  <c r="R159" i="7" s="1"/>
  <c r="Q160" i="7"/>
  <c r="R160" i="7" s="1"/>
  <c r="Q161" i="7"/>
  <c r="R161" i="7" s="1"/>
  <c r="Q162" i="7"/>
  <c r="R162" i="7" s="1"/>
  <c r="Q163" i="7"/>
  <c r="R163" i="7" s="1"/>
  <c r="Q164" i="7"/>
  <c r="R164" i="7" s="1"/>
  <c r="Q165" i="7"/>
  <c r="R165" i="7" s="1"/>
  <c r="Q166" i="7"/>
  <c r="R166" i="7" s="1"/>
  <c r="Q167" i="7"/>
  <c r="R167" i="7" s="1"/>
  <c r="Q168" i="7"/>
  <c r="R168" i="7" s="1"/>
  <c r="Q169" i="7"/>
  <c r="R169" i="7" s="1"/>
  <c r="Q170" i="7"/>
  <c r="R170" i="7" s="1"/>
  <c r="Q171" i="7"/>
  <c r="R171" i="7" s="1"/>
  <c r="Q172" i="7"/>
  <c r="R172" i="7" s="1"/>
  <c r="Q173" i="7"/>
  <c r="R173" i="7" s="1"/>
  <c r="Q174" i="7"/>
  <c r="R174" i="7" s="1"/>
  <c r="Q175" i="7"/>
  <c r="R175" i="7" s="1"/>
  <c r="Q176" i="7"/>
  <c r="R176" i="7" s="1"/>
  <c r="Q177" i="7"/>
  <c r="R177" i="7" s="1"/>
  <c r="Q178" i="7"/>
  <c r="R178" i="7" s="1"/>
  <c r="Q179" i="7"/>
  <c r="R179" i="7" s="1"/>
  <c r="Q180" i="7"/>
  <c r="R180" i="7" s="1"/>
  <c r="Q181" i="7"/>
  <c r="R181" i="7" s="1"/>
  <c r="Q182" i="7"/>
  <c r="R182" i="7" s="1"/>
  <c r="Q183" i="7"/>
  <c r="R183" i="7" s="1"/>
  <c r="Q184" i="7"/>
  <c r="R184" i="7" s="1"/>
  <c r="Q185" i="7"/>
  <c r="R185" i="7" s="1"/>
  <c r="Q186" i="7"/>
  <c r="R186" i="7" s="1"/>
  <c r="Q187" i="7"/>
  <c r="R187" i="7" s="1"/>
  <c r="Q188" i="7"/>
  <c r="R188" i="7" s="1"/>
  <c r="Q189" i="7"/>
  <c r="R189" i="7" s="1"/>
  <c r="Q190" i="7"/>
  <c r="R190" i="7" s="1"/>
  <c r="Q191" i="7"/>
  <c r="R191" i="7" s="1"/>
  <c r="Q192" i="7"/>
  <c r="R192" i="7" s="1"/>
  <c r="Q193" i="7"/>
  <c r="R193" i="7" s="1"/>
  <c r="Q194" i="7"/>
  <c r="R194" i="7" s="1"/>
  <c r="Q195" i="7"/>
  <c r="R195" i="7" s="1"/>
  <c r="Q196" i="7"/>
  <c r="R196" i="7" s="1"/>
  <c r="Q197" i="7"/>
  <c r="R197" i="7" s="1"/>
  <c r="Q198" i="7"/>
  <c r="R198" i="7" s="1"/>
  <c r="Q199" i="7"/>
  <c r="R199" i="7" s="1"/>
  <c r="Q200" i="7"/>
  <c r="R200" i="7" s="1"/>
  <c r="Q201" i="7"/>
  <c r="R201" i="7" s="1"/>
  <c r="Q202" i="7"/>
  <c r="R202" i="7" s="1"/>
  <c r="Q203" i="7"/>
  <c r="R203" i="7" s="1"/>
  <c r="Q204" i="7"/>
  <c r="R204" i="7" s="1"/>
  <c r="Q205" i="7"/>
  <c r="R205" i="7" s="1"/>
  <c r="Q206" i="7"/>
  <c r="R206" i="7" s="1"/>
  <c r="Q207" i="7"/>
  <c r="R207" i="7" s="1"/>
  <c r="Q208" i="7"/>
  <c r="R208" i="7" s="1"/>
  <c r="Q209" i="7"/>
  <c r="R209" i="7" s="1"/>
  <c r="Q210" i="7"/>
  <c r="R210" i="7" s="1"/>
  <c r="Q211" i="7"/>
  <c r="R211" i="7" s="1"/>
  <c r="Q212" i="7"/>
  <c r="R212" i="7" s="1"/>
  <c r="Q213" i="7"/>
  <c r="R213" i="7" s="1"/>
  <c r="Q86" i="7"/>
  <c r="R86" i="7" s="1"/>
  <c r="Q87" i="7"/>
  <c r="R87" i="7" s="1"/>
  <c r="Q88" i="7"/>
  <c r="R88" i="7" s="1"/>
  <c r="Q90" i="7"/>
  <c r="R90" i="7" s="1"/>
  <c r="Q91" i="7"/>
  <c r="R91" i="7" s="1"/>
  <c r="Q92" i="7"/>
  <c r="R92" i="7" s="1"/>
  <c r="Q105" i="7"/>
  <c r="R105" i="7" s="1"/>
  <c r="Q109" i="7"/>
  <c r="R109" i="7" s="1"/>
  <c r="Q6" i="5"/>
  <c r="R6" i="5" s="1"/>
  <c r="Q7" i="5"/>
  <c r="R7" i="5" s="1"/>
  <c r="Q8" i="5"/>
  <c r="R8" i="5" s="1"/>
  <c r="Q9" i="5"/>
  <c r="R9" i="5" s="1"/>
  <c r="Q10" i="5"/>
  <c r="R10" i="5" s="1"/>
  <c r="Q11" i="5"/>
  <c r="R11" i="5" s="1"/>
  <c r="Q12" i="5"/>
  <c r="R12" i="5" s="1"/>
  <c r="Q13" i="5"/>
  <c r="R13" i="5" s="1"/>
  <c r="Q14" i="5"/>
  <c r="R14" i="5" s="1"/>
  <c r="Q15" i="5"/>
  <c r="R15" i="5" s="1"/>
  <c r="Q16" i="5"/>
  <c r="R16" i="5" s="1"/>
  <c r="Q17" i="5"/>
  <c r="R17" i="5" s="1"/>
  <c r="Q18" i="5"/>
  <c r="R18" i="5" s="1"/>
  <c r="Q19" i="5"/>
  <c r="R19" i="5" s="1"/>
  <c r="Q20" i="5"/>
  <c r="R20" i="5" s="1"/>
  <c r="Q21" i="5"/>
  <c r="R21" i="5" s="1"/>
  <c r="Q22" i="5"/>
  <c r="R22" i="5" s="1"/>
  <c r="Q23" i="5"/>
  <c r="R23" i="5" s="1"/>
  <c r="Q24" i="5"/>
  <c r="R24" i="5" s="1"/>
  <c r="Q25" i="5"/>
  <c r="R25" i="5" s="1"/>
  <c r="Q26" i="5"/>
  <c r="R26" i="5" s="1"/>
  <c r="Q27" i="5"/>
  <c r="R27" i="5" s="1"/>
  <c r="Q28" i="5"/>
  <c r="R28" i="5" s="1"/>
  <c r="Q29" i="5"/>
  <c r="R29" i="5" s="1"/>
  <c r="Q30" i="5"/>
  <c r="R30" i="5" s="1"/>
  <c r="Q31" i="5"/>
  <c r="R31" i="5" s="1"/>
  <c r="Q32" i="5"/>
  <c r="R32" i="5" s="1"/>
  <c r="Q33" i="5"/>
  <c r="R33" i="5" s="1"/>
  <c r="Q34" i="5"/>
  <c r="R34" i="5" s="1"/>
  <c r="Q35" i="5"/>
  <c r="R35" i="5" s="1"/>
  <c r="Q36" i="5"/>
  <c r="R36" i="5" s="1"/>
  <c r="Q37" i="5"/>
  <c r="R37" i="5" s="1"/>
  <c r="Q38" i="5"/>
  <c r="R38" i="5" s="1"/>
  <c r="Q39" i="5"/>
  <c r="R39" i="5" s="1"/>
  <c r="Q40" i="5"/>
  <c r="R40" i="5" s="1"/>
  <c r="Q41" i="5"/>
  <c r="R41" i="5" s="1"/>
  <c r="Q42" i="5"/>
  <c r="R42" i="5" s="1"/>
  <c r="Q43" i="5"/>
  <c r="R43" i="5" s="1"/>
  <c r="Q44" i="5"/>
  <c r="R44" i="5" s="1"/>
  <c r="Q45" i="5"/>
  <c r="R45" i="5" s="1"/>
  <c r="Q46" i="5"/>
  <c r="R46" i="5" s="1"/>
  <c r="Q47" i="5"/>
  <c r="R47" i="5" s="1"/>
  <c r="Q48" i="5"/>
  <c r="R48" i="5" s="1"/>
  <c r="Q49" i="5"/>
  <c r="R49" i="5" s="1"/>
  <c r="Q50" i="5"/>
  <c r="R50" i="5" s="1"/>
  <c r="Q51" i="5"/>
  <c r="R51" i="5" s="1"/>
  <c r="Q52" i="5"/>
  <c r="R52" i="5" s="1"/>
  <c r="Q53" i="5"/>
  <c r="R53" i="5" s="1"/>
  <c r="Q54" i="5"/>
  <c r="R54" i="5" s="1"/>
  <c r="Q55" i="5"/>
  <c r="R55" i="5" s="1"/>
  <c r="Q56" i="5"/>
  <c r="R56" i="5" s="1"/>
  <c r="Q57" i="5"/>
  <c r="R57" i="5" s="1"/>
  <c r="Q58" i="5"/>
  <c r="R58" i="5" s="1"/>
  <c r="Q59" i="5"/>
  <c r="R59" i="5" s="1"/>
  <c r="Q60" i="5"/>
  <c r="R60" i="5" s="1"/>
  <c r="Q61" i="5"/>
  <c r="R61" i="5" s="1"/>
  <c r="Q62" i="5"/>
  <c r="R62" i="5" s="1"/>
  <c r="Q63" i="5"/>
  <c r="R63" i="5" s="1"/>
  <c r="Q64" i="5"/>
  <c r="R64" i="5" s="1"/>
  <c r="Q65" i="5"/>
  <c r="R65" i="5" s="1"/>
  <c r="Q66" i="5"/>
  <c r="R66" i="5" s="1"/>
  <c r="Q67" i="5"/>
  <c r="R67" i="5" s="1"/>
  <c r="Q68" i="5"/>
  <c r="R68" i="5" s="1"/>
  <c r="Q69" i="5"/>
  <c r="R69" i="5" s="1"/>
  <c r="Q70" i="5"/>
  <c r="R70" i="5" s="1"/>
  <c r="Q71" i="5"/>
  <c r="R71" i="5" s="1"/>
  <c r="Q72" i="5"/>
  <c r="R72" i="5" s="1"/>
  <c r="Q73" i="5"/>
  <c r="R73" i="5" s="1"/>
  <c r="Q74" i="5"/>
  <c r="R74" i="5" s="1"/>
  <c r="Q75" i="5"/>
  <c r="R75" i="5" s="1"/>
  <c r="Q76" i="5"/>
  <c r="R76" i="5" s="1"/>
  <c r="Q77" i="5"/>
  <c r="R77" i="5" s="1"/>
  <c r="Q78" i="5"/>
  <c r="R78" i="5" s="1"/>
  <c r="Q79" i="5"/>
  <c r="R79" i="5" s="1"/>
  <c r="Q80" i="5"/>
  <c r="R80" i="5" s="1"/>
  <c r="Q81" i="5"/>
  <c r="R81" i="5" s="1"/>
  <c r="Q82" i="5"/>
  <c r="R82" i="5" s="1"/>
  <c r="Q83" i="5"/>
  <c r="R83" i="5" s="1"/>
  <c r="Q84" i="5"/>
  <c r="R84" i="5" s="1"/>
  <c r="Q85" i="5"/>
  <c r="R85" i="5" s="1"/>
  <c r="Q86" i="5"/>
  <c r="R86" i="5" s="1"/>
  <c r="Q87" i="5"/>
  <c r="R87" i="5" s="1"/>
  <c r="Q88" i="5"/>
  <c r="R88" i="5" s="1"/>
  <c r="S88" i="5" s="1"/>
  <c r="Q89" i="5"/>
  <c r="R89" i="5" s="1"/>
  <c r="S89" i="5" s="1"/>
  <c r="Q90" i="5"/>
  <c r="R90" i="5" s="1"/>
  <c r="S90" i="5" s="1"/>
  <c r="Q95" i="5"/>
  <c r="R95" i="5" s="1"/>
  <c r="S95" i="5" s="1"/>
  <c r="Q96" i="5"/>
  <c r="R96" i="5" s="1"/>
  <c r="S96" i="5" s="1"/>
  <c r="Q98" i="5"/>
  <c r="R98" i="5" s="1"/>
  <c r="S98" i="5" s="1"/>
  <c r="Q100" i="5"/>
  <c r="R100" i="5" s="1"/>
  <c r="S100" i="5" s="1"/>
  <c r="Q102" i="5"/>
  <c r="R102" i="5" s="1"/>
  <c r="S102" i="5" s="1"/>
  <c r="Q110" i="5"/>
  <c r="R110" i="5" s="1"/>
  <c r="S110" i="5" s="1"/>
  <c r="Q111" i="5"/>
  <c r="R111" i="5" s="1"/>
  <c r="S111" i="5" s="1"/>
  <c r="Q114" i="5"/>
  <c r="R114" i="5" s="1"/>
  <c r="S114" i="5" s="1"/>
  <c r="Q115" i="5"/>
  <c r="R115" i="5" s="1"/>
  <c r="S115" i="5" s="1"/>
  <c r="Q116" i="5"/>
  <c r="R116" i="5" s="1"/>
  <c r="S116" i="5" s="1"/>
  <c r="Q117" i="5"/>
  <c r="R117" i="5" s="1"/>
  <c r="S117" i="5" s="1"/>
  <c r="Q118" i="5"/>
  <c r="R118" i="5" s="1"/>
  <c r="S118" i="5" s="1"/>
  <c r="Q120" i="5"/>
  <c r="R120" i="5" s="1"/>
  <c r="S120" i="5" s="1"/>
  <c r="Q121" i="5"/>
  <c r="R121" i="5" s="1"/>
  <c r="S121" i="5" s="1"/>
  <c r="Q123" i="5"/>
  <c r="R123" i="5" s="1"/>
  <c r="S123" i="5" s="1"/>
  <c r="Q129" i="5"/>
  <c r="R129" i="5" s="1"/>
  <c r="S129" i="5" s="1"/>
  <c r="Q132" i="5"/>
  <c r="R132" i="5" s="1"/>
  <c r="S132" i="5" s="1"/>
  <c r="Q135" i="5"/>
  <c r="R135" i="5" s="1"/>
  <c r="S135" i="5" s="1"/>
  <c r="Q140" i="5"/>
  <c r="R140" i="5" s="1"/>
  <c r="S140" i="5" s="1"/>
  <c r="C12" i="1"/>
  <c r="Q91" i="5"/>
  <c r="R91" i="5" s="1"/>
  <c r="S91" i="5" s="1"/>
  <c r="Q92" i="5"/>
  <c r="R92" i="5" s="1"/>
  <c r="S92" i="5" s="1"/>
  <c r="Q93" i="5"/>
  <c r="R93" i="5" s="1"/>
  <c r="S93" i="5" s="1"/>
  <c r="Q94" i="5"/>
  <c r="R94" i="5" s="1"/>
  <c r="S94" i="5" s="1"/>
  <c r="Q97" i="5"/>
  <c r="R97" i="5" s="1"/>
  <c r="S97" i="5" s="1"/>
  <c r="Q99" i="5"/>
  <c r="R99" i="5" s="1"/>
  <c r="S99" i="5" s="1"/>
  <c r="Q101" i="5"/>
  <c r="R101" i="5" s="1"/>
  <c r="S101" i="5" s="1"/>
  <c r="Q103" i="5"/>
  <c r="R103" i="5" s="1"/>
  <c r="S103" i="5" s="1"/>
  <c r="Q104" i="5"/>
  <c r="R104" i="5" s="1"/>
  <c r="S104" i="5" s="1"/>
  <c r="Q105" i="5"/>
  <c r="R105" i="5" s="1"/>
  <c r="S105" i="5" s="1"/>
  <c r="Q106" i="5"/>
  <c r="R106" i="5" s="1"/>
  <c r="S106" i="5" s="1"/>
  <c r="Q107" i="5"/>
  <c r="R107" i="5" s="1"/>
  <c r="S107" i="5" s="1"/>
  <c r="Q108" i="5"/>
  <c r="R108" i="5" s="1"/>
  <c r="S108" i="5" s="1"/>
  <c r="Q109" i="5"/>
  <c r="R109" i="5" s="1"/>
  <c r="S109" i="5" s="1"/>
  <c r="Q112" i="5"/>
  <c r="R112" i="5" s="1"/>
  <c r="S112" i="5" s="1"/>
  <c r="Q113" i="5"/>
  <c r="R113" i="5" s="1"/>
  <c r="S113" i="5" s="1"/>
  <c r="Q119" i="5"/>
  <c r="R119" i="5" s="1"/>
  <c r="S119" i="5" s="1"/>
  <c r="Q122" i="5"/>
  <c r="R122" i="5" s="1"/>
  <c r="S122" i="5" s="1"/>
  <c r="Q124" i="5"/>
  <c r="R124" i="5" s="1"/>
  <c r="S124" i="5" s="1"/>
  <c r="Q125" i="5"/>
  <c r="R125" i="5" s="1"/>
  <c r="S125" i="5" s="1"/>
  <c r="Q126" i="5"/>
  <c r="R126" i="5" s="1"/>
  <c r="S126" i="5" s="1"/>
  <c r="Q127" i="5"/>
  <c r="R127" i="5" s="1"/>
  <c r="S127" i="5" s="1"/>
  <c r="Q128" i="5"/>
  <c r="R128" i="5" s="1"/>
  <c r="S128" i="5" s="1"/>
  <c r="Q130" i="5"/>
  <c r="R130" i="5" s="1"/>
  <c r="S130" i="5" s="1"/>
  <c r="Q131" i="5"/>
  <c r="R131" i="5" s="1"/>
  <c r="S131" i="5" s="1"/>
  <c r="Q133" i="5"/>
  <c r="R133" i="5" s="1"/>
  <c r="S133" i="5" s="1"/>
  <c r="Q134" i="5"/>
  <c r="R134" i="5" s="1"/>
  <c r="S134" i="5" s="1"/>
  <c r="Q136" i="5"/>
  <c r="R136" i="5" s="1"/>
  <c r="S136" i="5" s="1"/>
  <c r="Q137" i="5"/>
  <c r="R137" i="5" s="1"/>
  <c r="S137" i="5" s="1"/>
  <c r="Q138" i="5"/>
  <c r="R138" i="5" s="1"/>
  <c r="S138" i="5" s="1"/>
  <c r="Q139" i="5"/>
  <c r="R139" i="5" s="1"/>
  <c r="S139" i="5" s="1"/>
  <c r="Q141" i="5"/>
  <c r="R141" i="5" s="1"/>
  <c r="S141" i="5" s="1"/>
  <c r="Q142" i="5"/>
  <c r="R142" i="5" s="1"/>
  <c r="S142" i="5" s="1"/>
  <c r="Q143" i="5"/>
  <c r="R143" i="5" s="1"/>
  <c r="S143" i="5" s="1"/>
  <c r="Q144" i="5"/>
  <c r="R144" i="5" s="1"/>
  <c r="S144" i="5" s="1"/>
  <c r="Q145" i="5"/>
  <c r="R145" i="5" s="1"/>
  <c r="S145" i="5" s="1"/>
  <c r="Q146" i="5"/>
  <c r="R146" i="5" s="1"/>
  <c r="S146" i="5" s="1"/>
  <c r="Q147" i="5"/>
  <c r="R147" i="5" s="1"/>
  <c r="S147" i="5" s="1"/>
  <c r="Q148" i="5"/>
  <c r="R148" i="5" s="1"/>
  <c r="S148" i="5" s="1"/>
  <c r="Q149" i="5"/>
  <c r="R149" i="5" s="1"/>
  <c r="S149" i="5" s="1"/>
  <c r="Q150" i="5"/>
  <c r="R150" i="5" s="1"/>
  <c r="S150" i="5" s="1"/>
  <c r="Q151" i="5"/>
  <c r="R151" i="5" s="1"/>
  <c r="S151" i="5" s="1"/>
  <c r="Q152" i="5"/>
  <c r="R152" i="5" s="1"/>
  <c r="S152" i="5" s="1"/>
  <c r="Q153" i="5"/>
  <c r="R153" i="5" s="1"/>
  <c r="S153" i="5" s="1"/>
  <c r="Q154" i="5"/>
  <c r="R154" i="5" s="1"/>
  <c r="S154" i="5" s="1"/>
  <c r="Q155" i="5"/>
  <c r="R155" i="5" s="1"/>
  <c r="S155" i="5" s="1"/>
  <c r="X2" i="2"/>
  <c r="W2" i="2"/>
  <c r="V2" i="2"/>
  <c r="P757" i="2"/>
  <c r="S2" i="2"/>
  <c r="P759" i="2"/>
  <c r="P756" i="2"/>
  <c r="P755" i="2"/>
  <c r="P758" i="2"/>
  <c r="P754" i="2"/>
  <c r="P753" i="2"/>
  <c r="L16" i="3" l="1"/>
  <c r="M16" i="3" s="1"/>
  <c r="AN13" i="4"/>
  <c r="AL8" i="4"/>
  <c r="L18" i="3"/>
  <c r="M18" i="3" s="1"/>
  <c r="L17" i="3"/>
  <c r="M17" i="3" s="1"/>
  <c r="AN10" i="4"/>
  <c r="AP4" i="4"/>
  <c r="AL5" i="4"/>
  <c r="L19" i="3"/>
  <c r="M19" i="3" s="1"/>
  <c r="L15" i="3"/>
  <c r="M15" i="3" s="1"/>
  <c r="L14" i="3"/>
  <c r="M14" i="3" s="1"/>
  <c r="L13" i="3"/>
  <c r="M13" i="3" s="1"/>
  <c r="L12" i="3"/>
  <c r="M12" i="3" s="1"/>
  <c r="L11" i="3"/>
  <c r="M11" i="3" s="1"/>
  <c r="L9" i="3"/>
  <c r="M9" i="3" s="1"/>
  <c r="L8" i="3"/>
  <c r="M8" i="3" s="1"/>
  <c r="L5" i="3"/>
  <c r="M5" i="3" s="1"/>
  <c r="AM8" i="4"/>
  <c r="P15" i="4"/>
  <c r="AD15" i="4"/>
  <c r="AM5" i="4"/>
  <c r="AK6" i="4"/>
  <c r="U15" i="4"/>
  <c r="AH15" i="4"/>
  <c r="D21" i="3"/>
  <c r="L4" i="3"/>
  <c r="Q214" i="7"/>
  <c r="R214" i="7" s="1"/>
  <c r="Q215" i="7"/>
  <c r="R215" i="7" s="1"/>
  <c r="Q216" i="7"/>
  <c r="R216" i="7" s="1"/>
  <c r="Q217" i="7"/>
  <c r="R217" i="7" s="1"/>
  <c r="Q218" i="7"/>
  <c r="R218" i="7" s="1"/>
  <c r="Q219" i="7"/>
  <c r="R219" i="7" s="1"/>
  <c r="Q220" i="7"/>
  <c r="R220" i="7" s="1"/>
  <c r="Q221" i="7"/>
  <c r="R221" i="7" s="1"/>
  <c r="Q222" i="7"/>
  <c r="R222" i="7" s="1"/>
  <c r="Q223" i="7"/>
  <c r="R223" i="7" s="1"/>
  <c r="Q224" i="7"/>
  <c r="R224" i="7" s="1"/>
  <c r="Q225" i="7"/>
  <c r="R225" i="7" s="1"/>
  <c r="Q226" i="7"/>
  <c r="R226" i="7" s="1"/>
  <c r="Q227" i="7"/>
  <c r="R227" i="7" s="1"/>
  <c r="Q228" i="7"/>
  <c r="R228" i="7" s="1"/>
  <c r="Q229" i="7"/>
  <c r="R229" i="7" s="1"/>
  <c r="Q230" i="7"/>
  <c r="R230" i="7" s="1"/>
  <c r="Q231" i="7"/>
  <c r="R231" i="7" s="1"/>
  <c r="Q232" i="7"/>
  <c r="R232" i="7" s="1"/>
  <c r="Q233" i="7"/>
  <c r="R233" i="7" s="1"/>
  <c r="Q234" i="7"/>
  <c r="R234" i="7" s="1"/>
  <c r="Q235" i="7"/>
  <c r="R235" i="7" s="1"/>
  <c r="Q236" i="7"/>
  <c r="R236" i="7" s="1"/>
  <c r="Q237" i="7"/>
  <c r="R237" i="7" s="1"/>
  <c r="Q238" i="7"/>
  <c r="R238" i="7" s="1"/>
  <c r="Q239" i="7"/>
  <c r="R239" i="7" s="1"/>
  <c r="Q240" i="7"/>
  <c r="R240" i="7" s="1"/>
  <c r="Q241" i="7"/>
  <c r="R241" i="7" s="1"/>
  <c r="Q242" i="7"/>
  <c r="R242" i="7" s="1"/>
  <c r="Q243" i="7"/>
  <c r="R243" i="7" s="1"/>
  <c r="Q244" i="7"/>
  <c r="R244" i="7" s="1"/>
  <c r="Q245" i="7"/>
  <c r="R245" i="7" s="1"/>
  <c r="Q246" i="7"/>
  <c r="R246" i="7" s="1"/>
  <c r="Q247" i="7"/>
  <c r="R247" i="7" s="1"/>
  <c r="Q248" i="7"/>
  <c r="R248" i="7" s="1"/>
  <c r="Q249" i="7"/>
  <c r="R249" i="7" s="1"/>
  <c r="Q250" i="7"/>
  <c r="R250" i="7" s="1"/>
  <c r="Q251" i="7"/>
  <c r="R251" i="7" s="1"/>
  <c r="Q252" i="7"/>
  <c r="R252" i="7" s="1"/>
  <c r="Q253" i="7"/>
  <c r="R253" i="7" s="1"/>
  <c r="Q254" i="7"/>
  <c r="R254" i="7" s="1"/>
  <c r="Q255" i="7"/>
  <c r="R255" i="7" s="1"/>
  <c r="Q256" i="7"/>
  <c r="R256" i="7" s="1"/>
  <c r="Q257" i="7"/>
  <c r="R257" i="7" s="1"/>
  <c r="Q258" i="7"/>
  <c r="R258" i="7" s="1"/>
  <c r="Q259" i="7"/>
  <c r="R259" i="7" s="1"/>
  <c r="Q260" i="7"/>
  <c r="R260" i="7" s="1"/>
  <c r="Q261" i="7"/>
  <c r="R261" i="7" s="1"/>
  <c r="Q262" i="7"/>
  <c r="R262" i="7" s="1"/>
  <c r="Q263" i="7"/>
  <c r="R263" i="7" s="1"/>
  <c r="Q264" i="7"/>
  <c r="R264" i="7" s="1"/>
  <c r="Q265" i="7"/>
  <c r="R265" i="7" s="1"/>
  <c r="Q266" i="7"/>
  <c r="R266" i="7" s="1"/>
  <c r="Q267" i="7"/>
  <c r="R267" i="7" s="1"/>
  <c r="Q268" i="7"/>
  <c r="R268" i="7" s="1"/>
  <c r="Q269" i="7"/>
  <c r="R269" i="7" s="1"/>
  <c r="Q270" i="7"/>
  <c r="R270" i="7" s="1"/>
  <c r="Q271" i="7"/>
  <c r="R271" i="7" s="1"/>
  <c r="Q272" i="7"/>
  <c r="R272" i="7" s="1"/>
  <c r="Q273" i="7"/>
  <c r="R273" i="7" s="1"/>
  <c r="Q274" i="7"/>
  <c r="R274" i="7" s="1"/>
  <c r="Q275" i="7"/>
  <c r="R275" i="7" s="1"/>
  <c r="Q276" i="7"/>
  <c r="R276" i="7" s="1"/>
  <c r="Q277" i="7"/>
  <c r="R277" i="7" s="1"/>
  <c r="Q278" i="7"/>
  <c r="R278" i="7" s="1"/>
  <c r="Q279" i="7"/>
  <c r="R279" i="7" s="1"/>
  <c r="Q280" i="7"/>
  <c r="R280" i="7" s="1"/>
  <c r="Q281" i="7"/>
  <c r="R281" i="7" s="1"/>
  <c r="Q282" i="7"/>
  <c r="R282" i="7" s="1"/>
  <c r="Q283" i="7"/>
  <c r="R283" i="7" s="1"/>
  <c r="Q284" i="7"/>
  <c r="R284" i="7" s="1"/>
  <c r="Q285" i="7"/>
  <c r="R285" i="7" s="1"/>
  <c r="Q286" i="7"/>
  <c r="R286" i="7" s="1"/>
  <c r="Q287" i="7"/>
  <c r="R287" i="7" s="1"/>
  <c r="Q288" i="7"/>
  <c r="R288" i="7" s="1"/>
  <c r="Q289" i="7"/>
  <c r="R289" i="7" s="1"/>
  <c r="Q290" i="7"/>
  <c r="R290" i="7" s="1"/>
  <c r="Q291" i="7"/>
  <c r="R291" i="7" s="1"/>
  <c r="Q292" i="7"/>
  <c r="R292" i="7" s="1"/>
  <c r="Q293" i="7"/>
  <c r="R293" i="7" s="1"/>
  <c r="Q294" i="7"/>
  <c r="R294" i="7" s="1"/>
  <c r="Q295" i="7"/>
  <c r="R295" i="7" s="1"/>
  <c r="Q296" i="7"/>
  <c r="R296" i="7" s="1"/>
  <c r="Q297" i="7"/>
  <c r="R297" i="7" s="1"/>
  <c r="Q298" i="7"/>
  <c r="R298" i="7" s="1"/>
  <c r="Q299" i="7"/>
  <c r="R299" i="7" s="1"/>
  <c r="Q300" i="7"/>
  <c r="R300" i="7" s="1"/>
  <c r="Q301" i="7"/>
  <c r="R301" i="7" s="1"/>
  <c r="Q302" i="7"/>
  <c r="R302" i="7" s="1"/>
  <c r="Q303" i="7"/>
  <c r="R303" i="7" s="1"/>
  <c r="Q304" i="7"/>
  <c r="R304" i="7" s="1"/>
  <c r="Q305" i="7"/>
  <c r="R305" i="7" s="1"/>
  <c r="Q306" i="7"/>
  <c r="R306" i="7" s="1"/>
  <c r="Q307" i="7"/>
  <c r="R307" i="7" s="1"/>
  <c r="Q308" i="7"/>
  <c r="R308" i="7" s="1"/>
  <c r="Q309" i="7"/>
  <c r="R309" i="7" s="1"/>
  <c r="Q310" i="7"/>
  <c r="R310" i="7" s="1"/>
  <c r="Q311" i="7"/>
  <c r="R311" i="7" s="1"/>
  <c r="Q312" i="7"/>
  <c r="R312" i="7" s="1"/>
  <c r="Q313" i="7"/>
  <c r="R313" i="7" s="1"/>
  <c r="Q314" i="7"/>
  <c r="R314" i="7" s="1"/>
  <c r="Q315" i="7"/>
  <c r="R315" i="7" s="1"/>
  <c r="Q316" i="7"/>
  <c r="R316" i="7" s="1"/>
  <c r="Q317" i="7"/>
  <c r="R317" i="7" s="1"/>
  <c r="Q318" i="7"/>
  <c r="R318" i="7" s="1"/>
  <c r="Q319" i="7"/>
  <c r="R319" i="7" s="1"/>
  <c r="Q320" i="7"/>
  <c r="R320" i="7" s="1"/>
  <c r="Q321" i="7"/>
  <c r="R321" i="7" s="1"/>
  <c r="Q322" i="7"/>
  <c r="R322" i="7" s="1"/>
  <c r="Q323" i="7"/>
  <c r="R323" i="7" s="1"/>
  <c r="Q324" i="7"/>
  <c r="R324" i="7" s="1"/>
  <c r="Q325" i="7"/>
  <c r="R325" i="7" s="1"/>
  <c r="Q326" i="7"/>
  <c r="R326" i="7" s="1"/>
  <c r="Q327" i="7"/>
  <c r="R327" i="7" s="1"/>
  <c r="Q328" i="7"/>
  <c r="R328" i="7" s="1"/>
  <c r="Q329" i="7"/>
  <c r="R329" i="7" s="1"/>
  <c r="Q330" i="7"/>
  <c r="R330" i="7" s="1"/>
  <c r="Q331" i="7"/>
  <c r="R331" i="7" s="1"/>
  <c r="Q332" i="7"/>
  <c r="R332" i="7" s="1"/>
  <c r="Q333" i="7"/>
  <c r="R333" i="7" s="1"/>
  <c r="Q334" i="7"/>
  <c r="R334" i="7" s="1"/>
  <c r="Q335" i="7"/>
  <c r="R335" i="7" s="1"/>
  <c r="Q336" i="7"/>
  <c r="R336" i="7" s="1"/>
  <c r="Q337" i="7"/>
  <c r="R337" i="7" s="1"/>
  <c r="Q338" i="7"/>
  <c r="R338" i="7" s="1"/>
  <c r="Q339" i="7"/>
  <c r="R339" i="7" s="1"/>
  <c r="Q340" i="7"/>
  <c r="R340" i="7" s="1"/>
  <c r="Q341" i="7"/>
  <c r="R341" i="7" s="1"/>
  <c r="Q342" i="7"/>
  <c r="R342" i="7" s="1"/>
  <c r="Q343" i="7"/>
  <c r="R343" i="7" s="1"/>
  <c r="Q344" i="7"/>
  <c r="R344" i="7" s="1"/>
  <c r="Q345" i="7"/>
  <c r="R345" i="7" s="1"/>
  <c r="Q346" i="7"/>
  <c r="R346" i="7" s="1"/>
  <c r="Q347" i="7"/>
  <c r="R347" i="7" s="1"/>
  <c r="Q348" i="7"/>
  <c r="R348" i="7" s="1"/>
  <c r="Q349" i="7"/>
  <c r="R349" i="7" s="1"/>
  <c r="Q350" i="7"/>
  <c r="R350" i="7" s="1"/>
  <c r="Q351" i="7"/>
  <c r="R351" i="7" s="1"/>
  <c r="Q352" i="7"/>
  <c r="R352" i="7" s="1"/>
  <c r="Q353" i="7"/>
  <c r="R353" i="7" s="1"/>
  <c r="Q354" i="7"/>
  <c r="R354" i="7" s="1"/>
  <c r="S354" i="7" s="1"/>
  <c r="Q355" i="7"/>
  <c r="R355" i="7" s="1"/>
  <c r="S355" i="7" s="1"/>
  <c r="Q356" i="7"/>
  <c r="R356" i="7" s="1"/>
  <c r="S356" i="7" s="1"/>
  <c r="Q357" i="7"/>
  <c r="R357" i="7" s="1"/>
  <c r="S357" i="7" s="1"/>
  <c r="Q358" i="7"/>
  <c r="R358" i="7" s="1"/>
  <c r="S358" i="7" s="1"/>
  <c r="Q359" i="7"/>
  <c r="R359" i="7" s="1"/>
  <c r="S359" i="7" s="1"/>
  <c r="Q360" i="7"/>
  <c r="R360" i="7" s="1"/>
  <c r="S360" i="7" s="1"/>
  <c r="Q361" i="7"/>
  <c r="R361" i="7" s="1"/>
  <c r="S361" i="7" s="1"/>
  <c r="Q362" i="7"/>
  <c r="R362" i="7" s="1"/>
  <c r="S362" i="7" s="1"/>
  <c r="Q363" i="7"/>
  <c r="R363" i="7" s="1"/>
  <c r="S363" i="7" s="1"/>
  <c r="Q364" i="7"/>
  <c r="R364" i="7" s="1"/>
  <c r="S364" i="7" s="1"/>
  <c r="Q365" i="7"/>
  <c r="R365" i="7" s="1"/>
  <c r="S365" i="7" s="1"/>
  <c r="Q366" i="7"/>
  <c r="R366" i="7" s="1"/>
  <c r="S366" i="7" s="1"/>
  <c r="Q367" i="7"/>
  <c r="R367" i="7" s="1"/>
  <c r="S367" i="7" s="1"/>
  <c r="Q368" i="7"/>
  <c r="R368" i="7" s="1"/>
  <c r="S368" i="7" s="1"/>
  <c r="Q369" i="7"/>
  <c r="R369" i="7" s="1"/>
  <c r="S369" i="7" s="1"/>
  <c r="Q370" i="7"/>
  <c r="R370" i="7" s="1"/>
  <c r="S370" i="7" s="1"/>
  <c r="Q371" i="7"/>
  <c r="R371" i="7" s="1"/>
  <c r="S371" i="7" s="1"/>
  <c r="Q372" i="7"/>
  <c r="R372" i="7" s="1"/>
  <c r="S372" i="7" s="1"/>
  <c r="Q373" i="7"/>
  <c r="R373" i="7" s="1"/>
  <c r="S373" i="7" s="1"/>
  <c r="Q374" i="7"/>
  <c r="R374" i="7" s="1"/>
  <c r="S374" i="7" s="1"/>
  <c r="Q375" i="7"/>
  <c r="R375" i="7" s="1"/>
  <c r="S375" i="7" s="1"/>
  <c r="Q376" i="7"/>
  <c r="R376" i="7" s="1"/>
  <c r="S376" i="7" s="1"/>
  <c r="Q377" i="7"/>
  <c r="R377" i="7" s="1"/>
  <c r="S377" i="7" s="1"/>
  <c r="Q378" i="7"/>
  <c r="R378" i="7" s="1"/>
  <c r="S378" i="7" s="1"/>
  <c r="Q379" i="7"/>
  <c r="R379" i="7" s="1"/>
  <c r="S379" i="7" s="1"/>
  <c r="Q380" i="7"/>
  <c r="R380" i="7" s="1"/>
  <c r="S380" i="7" s="1"/>
  <c r="Q381" i="7"/>
  <c r="R381" i="7" s="1"/>
  <c r="S381" i="7" s="1"/>
  <c r="Q382" i="7"/>
  <c r="R382" i="7" s="1"/>
  <c r="S382" i="7" s="1"/>
  <c r="Q383" i="7"/>
  <c r="R383" i="7" s="1"/>
  <c r="S383" i="7" s="1"/>
  <c r="Q384" i="7"/>
  <c r="R384" i="7" s="1"/>
  <c r="S384" i="7" s="1"/>
  <c r="Q385" i="7"/>
  <c r="R385" i="7" s="1"/>
  <c r="S385" i="7" s="1"/>
  <c r="Q386" i="7"/>
  <c r="R386" i="7" s="1"/>
  <c r="S386" i="7" s="1"/>
  <c r="Q387" i="7"/>
  <c r="R387" i="7" s="1"/>
  <c r="S387" i="7" s="1"/>
  <c r="Q388" i="7"/>
  <c r="R388" i="7" s="1"/>
  <c r="S388" i="7" s="1"/>
  <c r="Q389" i="7"/>
  <c r="R389" i="7" s="1"/>
  <c r="S389" i="7" s="1"/>
  <c r="Q390" i="7"/>
  <c r="R390" i="7" s="1"/>
  <c r="S390" i="7" s="1"/>
  <c r="Q391" i="7"/>
  <c r="R391" i="7" s="1"/>
  <c r="S391" i="7" s="1"/>
  <c r="Q392" i="7"/>
  <c r="R392" i="7" s="1"/>
  <c r="S392" i="7" s="1"/>
  <c r="Q393" i="7"/>
  <c r="R393" i="7" s="1"/>
  <c r="S393" i="7" s="1"/>
  <c r="Q394" i="7"/>
  <c r="R394" i="7" s="1"/>
  <c r="S394" i="7" s="1"/>
  <c r="Q395" i="7"/>
  <c r="R395" i="7" s="1"/>
  <c r="S395" i="7" s="1"/>
  <c r="Q396" i="7"/>
  <c r="R396" i="7" s="1"/>
  <c r="S396" i="7" s="1"/>
  <c r="Q397" i="7"/>
  <c r="R397" i="7" s="1"/>
  <c r="S397" i="7" s="1"/>
  <c r="Q398" i="7"/>
  <c r="R398" i="7" s="1"/>
  <c r="S398" i="7" s="1"/>
  <c r="Q399" i="7"/>
  <c r="R399" i="7" s="1"/>
  <c r="S399" i="7" s="1"/>
  <c r="Q400" i="7"/>
  <c r="R400" i="7" s="1"/>
  <c r="S400" i="7" s="1"/>
  <c r="Q401" i="7"/>
  <c r="R401" i="7" s="1"/>
  <c r="S401" i="7" s="1"/>
  <c r="Q402" i="7"/>
  <c r="R402" i="7" s="1"/>
  <c r="S402" i="7" s="1"/>
  <c r="Q403" i="7"/>
  <c r="R403" i="7" s="1"/>
  <c r="S403" i="7" s="1"/>
  <c r="Q404" i="7"/>
  <c r="R404" i="7" s="1"/>
  <c r="S404" i="7" s="1"/>
  <c r="Q405" i="7"/>
  <c r="R405" i="7" s="1"/>
  <c r="S405" i="7" s="1"/>
  <c r="Q406" i="7"/>
  <c r="R406" i="7" s="1"/>
  <c r="S406" i="7" s="1"/>
  <c r="Q407" i="7"/>
  <c r="R407" i="7" s="1"/>
  <c r="S407" i="7" s="1"/>
  <c r="Q408" i="7"/>
  <c r="R408" i="7" s="1"/>
  <c r="S408" i="7" s="1"/>
  <c r="Q409" i="7"/>
  <c r="R409" i="7" s="1"/>
  <c r="S409" i="7" s="1"/>
  <c r="Q410" i="7"/>
  <c r="R410" i="7" s="1"/>
  <c r="S410" i="7" s="1"/>
  <c r="Q411" i="7"/>
  <c r="R411" i="7" s="1"/>
  <c r="S411" i="7" s="1"/>
  <c r="Q412" i="7"/>
  <c r="R412" i="7" s="1"/>
  <c r="S412" i="7" s="1"/>
  <c r="Q413" i="7"/>
  <c r="R413" i="7" s="1"/>
  <c r="S413" i="7" s="1"/>
  <c r="Q414" i="7"/>
  <c r="R414" i="7" s="1"/>
  <c r="S414" i="7" s="1"/>
  <c r="Q415" i="7"/>
  <c r="R415" i="7" s="1"/>
  <c r="S415" i="7" s="1"/>
  <c r="Q416" i="7"/>
  <c r="R416" i="7" s="1"/>
  <c r="S416" i="7" s="1"/>
  <c r="Q417" i="7"/>
  <c r="R417" i="7" s="1"/>
  <c r="S417" i="7" s="1"/>
  <c r="Q418" i="7"/>
  <c r="R418" i="7" s="1"/>
  <c r="S418" i="7" s="1"/>
  <c r="Q419" i="7"/>
  <c r="R419" i="7" s="1"/>
  <c r="S419" i="7" s="1"/>
  <c r="Q420" i="7"/>
  <c r="R420" i="7" s="1"/>
  <c r="S420" i="7" s="1"/>
  <c r="Q421" i="7"/>
  <c r="R421" i="7" s="1"/>
  <c r="S421" i="7" s="1"/>
  <c r="Q422" i="7"/>
  <c r="R422" i="7" s="1"/>
  <c r="S422" i="7" s="1"/>
  <c r="Q423" i="7"/>
  <c r="R423" i="7" s="1"/>
  <c r="S423" i="7" s="1"/>
  <c r="Q424" i="7"/>
  <c r="R424" i="7" s="1"/>
  <c r="S424" i="7" s="1"/>
  <c r="Q425" i="7"/>
  <c r="R425" i="7" s="1"/>
  <c r="S425" i="7" s="1"/>
  <c r="Q426" i="7"/>
  <c r="R426" i="7" s="1"/>
  <c r="S426" i="7" s="1"/>
  <c r="Q427" i="7"/>
  <c r="R427" i="7" s="1"/>
  <c r="S427" i="7" s="1"/>
  <c r="Q428" i="7"/>
  <c r="R428" i="7" s="1"/>
  <c r="S428" i="7" s="1"/>
  <c r="Q429" i="7"/>
  <c r="R429" i="7" s="1"/>
  <c r="S429" i="7" s="1"/>
  <c r="Q430" i="7"/>
  <c r="R430" i="7" s="1"/>
  <c r="S430" i="7" s="1"/>
  <c r="Q431" i="7"/>
  <c r="R431" i="7" s="1"/>
  <c r="S431" i="7" s="1"/>
  <c r="Q432" i="7"/>
  <c r="R432" i="7" s="1"/>
  <c r="S432" i="7" s="1"/>
  <c r="Q433" i="7"/>
  <c r="R433" i="7" s="1"/>
  <c r="S433" i="7" s="1"/>
  <c r="Q434" i="7"/>
  <c r="R434" i="7" s="1"/>
  <c r="S434" i="7" s="1"/>
  <c r="Q435" i="7"/>
  <c r="R435" i="7" s="1"/>
  <c r="S435" i="7" s="1"/>
  <c r="Q436" i="7"/>
  <c r="R436" i="7" s="1"/>
  <c r="S436" i="7" s="1"/>
  <c r="Q437" i="7"/>
  <c r="R437" i="7" s="1"/>
  <c r="S437" i="7" s="1"/>
  <c r="Q438" i="7"/>
  <c r="R438" i="7" s="1"/>
  <c r="S438" i="7" s="1"/>
  <c r="Q439" i="7"/>
  <c r="R439" i="7" s="1"/>
  <c r="S439" i="7" s="1"/>
  <c r="Q440" i="7"/>
  <c r="R440" i="7" s="1"/>
  <c r="S440" i="7" s="1"/>
  <c r="Q441" i="7"/>
  <c r="R441" i="7" s="1"/>
  <c r="S441" i="7" s="1"/>
  <c r="Q442" i="7"/>
  <c r="R442" i="7" s="1"/>
  <c r="S442" i="7" s="1"/>
  <c r="Q443" i="7"/>
  <c r="R443" i="7" s="1"/>
  <c r="S443" i="7" s="1"/>
  <c r="Q444" i="7"/>
  <c r="R444" i="7" s="1"/>
  <c r="S444" i="7" s="1"/>
  <c r="Q445" i="7"/>
  <c r="R445" i="7" s="1"/>
  <c r="S445" i="7" s="1"/>
  <c r="Q446" i="7"/>
  <c r="R446" i="7" s="1"/>
  <c r="S446" i="7" s="1"/>
  <c r="Q447" i="7"/>
  <c r="R447" i="7" s="1"/>
  <c r="S447" i="7" s="1"/>
  <c r="Q448" i="7"/>
  <c r="R448" i="7" s="1"/>
  <c r="S448" i="7" s="1"/>
  <c r="Q449" i="7"/>
  <c r="R449" i="7" s="1"/>
  <c r="S449" i="7" s="1"/>
  <c r="Q450" i="7"/>
  <c r="R450" i="7" s="1"/>
  <c r="S450" i="7" s="1"/>
  <c r="Q451" i="7"/>
  <c r="R451" i="7" s="1"/>
  <c r="S451" i="7" s="1"/>
  <c r="Q452" i="7"/>
  <c r="R452" i="7" s="1"/>
  <c r="S452" i="7" s="1"/>
  <c r="Q453" i="7"/>
  <c r="R453" i="7" s="1"/>
  <c r="S453" i="7" s="1"/>
  <c r="Q454" i="7"/>
  <c r="R454" i="7" s="1"/>
  <c r="S454" i="7" s="1"/>
  <c r="Q455" i="7"/>
  <c r="R455" i="7" s="1"/>
  <c r="S455" i="7" s="1"/>
  <c r="Q456" i="7"/>
  <c r="R456" i="7" s="1"/>
  <c r="S456" i="7" s="1"/>
  <c r="Q457" i="7"/>
  <c r="R457" i="7" s="1"/>
  <c r="S457" i="7" s="1"/>
  <c r="Q458" i="7"/>
  <c r="R458" i="7" s="1"/>
  <c r="S458" i="7" s="1"/>
  <c r="Q459" i="7"/>
  <c r="R459" i="7" s="1"/>
  <c r="S459" i="7" s="1"/>
  <c r="Q460" i="7"/>
  <c r="R460" i="7" s="1"/>
  <c r="S460" i="7" s="1"/>
  <c r="Q461" i="7"/>
  <c r="R461" i="7" s="1"/>
  <c r="S461" i="7" s="1"/>
  <c r="Q462" i="7"/>
  <c r="R462" i="7" s="1"/>
  <c r="S462" i="7" s="1"/>
  <c r="Q463" i="7"/>
  <c r="R463" i="7" s="1"/>
  <c r="S463" i="7" s="1"/>
  <c r="Q464" i="7"/>
  <c r="R464" i="7" s="1"/>
  <c r="S464" i="7" s="1"/>
  <c r="Q465" i="7"/>
  <c r="R465" i="7" s="1"/>
  <c r="S465" i="7" s="1"/>
  <c r="Q466" i="7"/>
  <c r="R466" i="7" s="1"/>
  <c r="S466" i="7" s="1"/>
  <c r="Q467" i="7"/>
  <c r="R467" i="7" s="1"/>
  <c r="S467" i="7" s="1"/>
  <c r="Q468" i="7"/>
  <c r="R468" i="7" s="1"/>
  <c r="S468" i="7" s="1"/>
  <c r="Q469" i="7"/>
  <c r="R469" i="7" s="1"/>
  <c r="S469" i="7" s="1"/>
  <c r="Q470" i="7"/>
  <c r="R470" i="7" s="1"/>
  <c r="S470" i="7" s="1"/>
  <c r="Q471" i="7"/>
  <c r="R471" i="7" s="1"/>
  <c r="S471" i="7" s="1"/>
  <c r="Q472" i="7"/>
  <c r="R472" i="7" s="1"/>
  <c r="S472" i="7" s="1"/>
  <c r="Q473" i="7"/>
  <c r="R473" i="7" s="1"/>
  <c r="S473" i="7" s="1"/>
  <c r="Q474" i="7"/>
  <c r="R474" i="7" s="1"/>
  <c r="S474" i="7" s="1"/>
  <c r="Q475" i="7"/>
  <c r="R475" i="7" s="1"/>
  <c r="S475" i="7" s="1"/>
  <c r="Q476" i="7"/>
  <c r="R476" i="7" s="1"/>
  <c r="S476" i="7" s="1"/>
  <c r="Q477" i="7"/>
  <c r="R477" i="7" s="1"/>
  <c r="S477" i="7" s="1"/>
  <c r="Q478" i="7"/>
  <c r="R478" i="7" s="1"/>
  <c r="S478" i="7" s="1"/>
  <c r="Q479" i="7"/>
  <c r="R479" i="7" s="1"/>
  <c r="S479" i="7" s="1"/>
  <c r="Q480" i="7"/>
  <c r="R480" i="7" s="1"/>
  <c r="S480" i="7" s="1"/>
  <c r="Q481" i="7"/>
  <c r="R481" i="7" s="1"/>
  <c r="S481" i="7" s="1"/>
  <c r="Q482" i="7"/>
  <c r="R482" i="7" s="1"/>
  <c r="S482" i="7" s="1"/>
  <c r="Q483" i="7"/>
  <c r="R483" i="7" s="1"/>
  <c r="S483" i="7" s="1"/>
  <c r="Q484" i="7"/>
  <c r="R484" i="7" s="1"/>
  <c r="S484" i="7" s="1"/>
  <c r="Q485" i="7"/>
  <c r="R485" i="7" s="1"/>
  <c r="S485" i="7" s="1"/>
  <c r="Q486" i="7"/>
  <c r="R486" i="7" s="1"/>
  <c r="S486" i="7" s="1"/>
  <c r="Q487" i="7"/>
  <c r="R487" i="7" s="1"/>
  <c r="S487" i="7" s="1"/>
  <c r="Q488" i="7"/>
  <c r="R488" i="7" s="1"/>
  <c r="S488" i="7" s="1"/>
  <c r="Q489" i="7"/>
  <c r="R489" i="7" s="1"/>
  <c r="S489" i="7" s="1"/>
  <c r="Q490" i="7"/>
  <c r="R490" i="7" s="1"/>
  <c r="S490" i="7" s="1"/>
  <c r="Q491" i="7"/>
  <c r="R491" i="7" s="1"/>
  <c r="S491" i="7" s="1"/>
  <c r="Q492" i="7"/>
  <c r="R492" i="7" s="1"/>
  <c r="S492" i="7" s="1"/>
  <c r="Q493" i="7"/>
  <c r="R493" i="7" s="1"/>
  <c r="S493" i="7" s="1"/>
  <c r="Q494" i="7"/>
  <c r="R494" i="7" s="1"/>
  <c r="S494" i="7" s="1"/>
  <c r="Q495" i="7"/>
  <c r="R495" i="7" s="1"/>
  <c r="S495" i="7" s="1"/>
  <c r="Q496" i="7"/>
  <c r="R496" i="7" s="1"/>
  <c r="S496" i="7" s="1"/>
  <c r="Q497" i="7"/>
  <c r="R497" i="7" s="1"/>
  <c r="S497" i="7" s="1"/>
  <c r="Q498" i="7"/>
  <c r="R498" i="7" s="1"/>
  <c r="S498" i="7" s="1"/>
  <c r="Q499" i="7"/>
  <c r="R499" i="7" s="1"/>
  <c r="S499" i="7" s="1"/>
  <c r="Q500" i="7"/>
  <c r="R500" i="7" s="1"/>
  <c r="S500" i="7" s="1"/>
  <c r="Q501" i="7"/>
  <c r="R501" i="7" s="1"/>
  <c r="S501" i="7" s="1"/>
  <c r="Q502" i="7"/>
  <c r="R502" i="7" s="1"/>
  <c r="S502" i="7" s="1"/>
  <c r="Q503" i="7"/>
  <c r="R503" i="7" s="1"/>
  <c r="S503" i="7" s="1"/>
  <c r="Q504" i="7"/>
  <c r="R504" i="7" s="1"/>
  <c r="S504" i="7" s="1"/>
  <c r="Q505" i="7"/>
  <c r="R505" i="7" s="1"/>
  <c r="S505" i="7" s="1"/>
  <c r="AK3" i="4"/>
  <c r="E15" i="4"/>
  <c r="AO3" i="4"/>
  <c r="I15" i="4"/>
  <c r="J15" i="4"/>
  <c r="AP3" i="4"/>
  <c r="K5" i="4"/>
  <c r="AJ5" i="4"/>
  <c r="AB15" i="4"/>
  <c r="AI3" i="4"/>
  <c r="AJ12" i="4"/>
  <c r="K12" i="4"/>
  <c r="AJ13" i="4"/>
  <c r="K13" i="4"/>
  <c r="K7" i="4"/>
  <c r="AJ7" i="4"/>
  <c r="K8" i="4"/>
  <c r="AJ8" i="4"/>
  <c r="F15" i="4"/>
  <c r="AL3" i="4"/>
  <c r="AA3" i="4"/>
  <c r="T15" i="4"/>
  <c r="AJ6" i="4"/>
  <c r="K6" i="4"/>
  <c r="AJ10" i="4"/>
  <c r="K10" i="4"/>
  <c r="AN3" i="4"/>
  <c r="H15" i="4"/>
  <c r="K4" i="4"/>
  <c r="AJ4" i="4"/>
  <c r="K9" i="4"/>
  <c r="AJ9" i="4"/>
  <c r="K11" i="4"/>
  <c r="AJ11" i="4"/>
  <c r="AJ14" i="4"/>
  <c r="K14" i="4"/>
  <c r="D15" i="4"/>
  <c r="AJ3" i="4"/>
  <c r="K3" i="4"/>
  <c r="L15" i="4"/>
  <c r="S3" i="4"/>
  <c r="AM3" i="4"/>
  <c r="G15" i="4"/>
  <c r="N9" i="8"/>
  <c r="N10" i="8"/>
  <c r="N11" i="8"/>
  <c r="N12" i="8"/>
  <c r="N13" i="8"/>
  <c r="N14" i="8"/>
  <c r="N15" i="8"/>
  <c r="N16" i="8"/>
  <c r="N17" i="8"/>
  <c r="N18" i="8"/>
  <c r="N19" i="8"/>
  <c r="N20" i="8"/>
  <c r="N21" i="8"/>
  <c r="N22" i="8"/>
  <c r="N23" i="8"/>
  <c r="N24" i="8"/>
  <c r="N25" i="8"/>
  <c r="N26" i="8"/>
  <c r="N27" i="8"/>
  <c r="N28" i="8"/>
  <c r="N29" i="8"/>
  <c r="N30" i="8"/>
  <c r="N31" i="8"/>
  <c r="N32" i="8"/>
  <c r="N33" i="8"/>
  <c r="N34" i="8"/>
  <c r="N35" i="8"/>
  <c r="N36" i="8"/>
  <c r="N37" i="8"/>
  <c r="N38" i="8"/>
  <c r="N39" i="8"/>
  <c r="N40" i="8"/>
  <c r="N41" i="8"/>
  <c r="N42" i="8"/>
  <c r="N43" i="8"/>
  <c r="N44" i="8"/>
  <c r="N45" i="8"/>
  <c r="N46" i="8"/>
  <c r="N47" i="8"/>
  <c r="N48" i="8"/>
  <c r="N49" i="8"/>
  <c r="N50" i="8"/>
  <c r="N51" i="8"/>
  <c r="N52" i="8"/>
  <c r="N53" i="8"/>
  <c r="N54" i="8"/>
  <c r="N55" i="8"/>
  <c r="N56" i="8"/>
  <c r="N57" i="8"/>
  <c r="N58" i="8"/>
  <c r="N59" i="8"/>
  <c r="N60" i="8"/>
  <c r="N61" i="8"/>
  <c r="N62" i="8"/>
  <c r="N63" i="8"/>
  <c r="N64" i="8"/>
  <c r="N65" i="8"/>
  <c r="N66" i="8"/>
  <c r="N67" i="8"/>
  <c r="N68" i="8"/>
  <c r="N69" i="8"/>
  <c r="N70" i="8"/>
  <c r="N71" i="8"/>
  <c r="N72" i="8"/>
  <c r="N73" i="8"/>
  <c r="N74" i="8"/>
  <c r="N75" i="8"/>
  <c r="N76" i="8"/>
  <c r="N77" i="8"/>
  <c r="N78" i="8"/>
  <c r="N79" i="8"/>
  <c r="N80" i="8"/>
  <c r="N81" i="8"/>
  <c r="N82" i="8"/>
  <c r="N83" i="8"/>
  <c r="N84" i="8"/>
  <c r="N85" i="8"/>
  <c r="N86" i="8"/>
  <c r="N87" i="8"/>
  <c r="N88" i="8"/>
  <c r="N89" i="8"/>
  <c r="N90" i="8"/>
  <c r="N91" i="8"/>
  <c r="N92" i="8"/>
  <c r="N93" i="8"/>
  <c r="N94" i="8"/>
  <c r="N95" i="8"/>
  <c r="N96" i="8"/>
  <c r="N97" i="8"/>
  <c r="N98" i="8"/>
  <c r="N99" i="8"/>
  <c r="N100" i="8"/>
  <c r="N101" i="8"/>
  <c r="N102" i="8"/>
  <c r="N103" i="8"/>
  <c r="N104" i="8"/>
  <c r="N105" i="8"/>
  <c r="N106" i="8"/>
  <c r="N107" i="8"/>
  <c r="N108" i="8"/>
  <c r="N109" i="8"/>
  <c r="N110" i="8"/>
  <c r="N111" i="8"/>
  <c r="N112" i="8"/>
  <c r="N113" i="8"/>
  <c r="N114" i="8"/>
  <c r="N115" i="8"/>
  <c r="N116" i="8"/>
  <c r="N117" i="8"/>
  <c r="N118" i="8"/>
  <c r="N119" i="8"/>
  <c r="N120" i="8"/>
  <c r="N121" i="8"/>
  <c r="N122" i="8"/>
  <c r="N123" i="8"/>
  <c r="N124" i="8"/>
  <c r="N125" i="8"/>
  <c r="N126" i="8"/>
  <c r="N127" i="8"/>
  <c r="N128" i="8"/>
  <c r="N129" i="8"/>
  <c r="N130" i="8"/>
  <c r="N131" i="8"/>
  <c r="N132" i="8"/>
  <c r="N133" i="8"/>
  <c r="N134" i="8"/>
  <c r="N135" i="8"/>
  <c r="N136" i="8"/>
  <c r="N137" i="8"/>
  <c r="N138" i="8"/>
  <c r="N139" i="8"/>
  <c r="N140" i="8"/>
  <c r="N141" i="8"/>
  <c r="N142" i="8"/>
  <c r="N143" i="8"/>
  <c r="N144" i="8"/>
  <c r="N145" i="8"/>
  <c r="N146" i="8"/>
  <c r="N147" i="8"/>
  <c r="N148" i="8"/>
  <c r="N149" i="8"/>
  <c r="N150" i="8"/>
  <c r="N151" i="8"/>
  <c r="N152" i="8"/>
  <c r="N153" i="8"/>
  <c r="N154" i="8"/>
  <c r="N155" i="8"/>
  <c r="N156" i="8"/>
  <c r="N157" i="8"/>
  <c r="N158" i="8"/>
  <c r="N159" i="8"/>
  <c r="N160" i="8"/>
  <c r="N161" i="8"/>
  <c r="N162" i="8"/>
  <c r="N163" i="8"/>
  <c r="N164" i="8"/>
  <c r="N165" i="8"/>
  <c r="N166" i="8"/>
  <c r="N167" i="8"/>
  <c r="N168" i="8"/>
  <c r="N169" i="8"/>
  <c r="N170" i="8"/>
  <c r="N171" i="8"/>
  <c r="N172" i="8"/>
  <c r="N173" i="8"/>
  <c r="N174" i="8"/>
  <c r="N175" i="8"/>
  <c r="N176" i="8"/>
  <c r="N177" i="8"/>
  <c r="N178" i="8"/>
  <c r="N179" i="8"/>
  <c r="N180" i="8"/>
  <c r="N181" i="8"/>
  <c r="N182" i="8"/>
  <c r="N183" i="8"/>
  <c r="N184" i="8"/>
  <c r="N185" i="8"/>
  <c r="N186" i="8"/>
  <c r="N187" i="8"/>
  <c r="N188" i="8"/>
  <c r="N189" i="8"/>
  <c r="N190" i="8"/>
  <c r="N191" i="8"/>
  <c r="N192" i="8"/>
  <c r="N193" i="8"/>
  <c r="N194" i="8"/>
  <c r="N195" i="8"/>
  <c r="N196" i="8"/>
  <c r="N197" i="8"/>
  <c r="N198" i="8"/>
  <c r="N199" i="8"/>
  <c r="N200" i="8"/>
  <c r="N201" i="8"/>
  <c r="N202" i="8"/>
  <c r="N203" i="8"/>
  <c r="N204" i="8"/>
  <c r="N205" i="8"/>
  <c r="N206" i="8"/>
  <c r="N207" i="8"/>
  <c r="N208" i="8"/>
  <c r="N209" i="8"/>
  <c r="N210" i="8"/>
  <c r="N211" i="8"/>
  <c r="N212" i="8"/>
  <c r="N213" i="8"/>
  <c r="N214" i="8"/>
  <c r="N215" i="8"/>
  <c r="N216" i="8"/>
  <c r="N217" i="8"/>
  <c r="N218" i="8"/>
  <c r="N219" i="8"/>
  <c r="N220" i="8"/>
  <c r="N221" i="8"/>
  <c r="N222" i="8"/>
  <c r="N223" i="8"/>
  <c r="N224" i="8"/>
  <c r="N225" i="8"/>
  <c r="N226" i="8"/>
  <c r="N227" i="8"/>
  <c r="N228" i="8"/>
  <c r="N229" i="8"/>
  <c r="N230" i="8"/>
  <c r="N231" i="8"/>
  <c r="N232" i="8"/>
  <c r="N233" i="8"/>
  <c r="N234" i="8"/>
  <c r="N235" i="8"/>
  <c r="N236" i="8"/>
  <c r="N237" i="8"/>
  <c r="N238" i="8"/>
  <c r="N239" i="8"/>
  <c r="N240" i="8"/>
  <c r="N241" i="8"/>
  <c r="N242" i="8"/>
  <c r="N243" i="8"/>
  <c r="N244" i="8"/>
  <c r="N245" i="8"/>
  <c r="N246" i="8"/>
  <c r="N247" i="8"/>
  <c r="N248" i="8"/>
  <c r="N249" i="8"/>
  <c r="N250" i="8"/>
  <c r="N251" i="8"/>
  <c r="N252" i="8"/>
  <c r="N253" i="8"/>
  <c r="N254" i="8"/>
  <c r="N255" i="8"/>
  <c r="N256" i="8"/>
  <c r="N257" i="8"/>
  <c r="N258" i="8"/>
  <c r="N259" i="8"/>
  <c r="N260" i="8"/>
  <c r="N261" i="8"/>
  <c r="N262" i="8"/>
  <c r="N263" i="8"/>
  <c r="N264" i="8"/>
  <c r="N265" i="8"/>
  <c r="N266" i="8"/>
  <c r="N267" i="8"/>
  <c r="N268" i="8"/>
  <c r="N269" i="8"/>
  <c r="N270" i="8"/>
  <c r="N271" i="8"/>
  <c r="N272" i="8"/>
  <c r="N273" i="8"/>
  <c r="N274" i="8"/>
  <c r="N275" i="8"/>
  <c r="N276" i="8"/>
  <c r="N277" i="8"/>
  <c r="N278" i="8"/>
  <c r="N279" i="8"/>
  <c r="N280" i="8"/>
  <c r="N281" i="8"/>
  <c r="N282" i="8"/>
  <c r="N283" i="8"/>
  <c r="N284" i="8"/>
  <c r="N285" i="8"/>
  <c r="N286" i="8"/>
  <c r="N287" i="8"/>
  <c r="N288" i="8"/>
  <c r="N289" i="8"/>
  <c r="N290" i="8"/>
  <c r="N291" i="8"/>
  <c r="N292" i="8"/>
  <c r="N293" i="8"/>
  <c r="N294" i="8"/>
  <c r="N295" i="8"/>
  <c r="N296" i="8"/>
  <c r="N297" i="8"/>
  <c r="N298" i="8"/>
  <c r="N299" i="8"/>
  <c r="N300" i="8"/>
  <c r="N301" i="8"/>
  <c r="N302" i="8"/>
  <c r="N303" i="8"/>
  <c r="N304" i="8"/>
  <c r="N305" i="8"/>
  <c r="N306" i="8"/>
  <c r="N307" i="8"/>
  <c r="N308" i="8"/>
  <c r="N309" i="8"/>
  <c r="N310" i="8"/>
  <c r="N311" i="8"/>
  <c r="N312" i="8"/>
  <c r="N313" i="8"/>
  <c r="N314" i="8"/>
  <c r="N315" i="8"/>
  <c r="N316" i="8"/>
  <c r="N317" i="8"/>
  <c r="N318" i="8"/>
  <c r="N319" i="8"/>
  <c r="N320" i="8"/>
  <c r="N321" i="8"/>
  <c r="N322" i="8"/>
  <c r="N323" i="8"/>
  <c r="N324" i="8"/>
  <c r="N325" i="8"/>
  <c r="N326" i="8"/>
  <c r="N327" i="8"/>
  <c r="N328" i="8"/>
  <c r="N329" i="8"/>
  <c r="N330" i="8"/>
  <c r="N331" i="8"/>
  <c r="N332" i="8"/>
  <c r="N333" i="8"/>
  <c r="N334" i="8"/>
  <c r="N335" i="8"/>
  <c r="N336" i="8"/>
  <c r="N337" i="8"/>
  <c r="N338" i="8"/>
  <c r="N339" i="8"/>
  <c r="N340" i="8"/>
  <c r="N341" i="8"/>
  <c r="N342" i="8"/>
  <c r="N343" i="8"/>
  <c r="N344" i="8"/>
  <c r="N345" i="8"/>
  <c r="N346" i="8"/>
  <c r="N347" i="8"/>
  <c r="N348" i="8"/>
  <c r="N349" i="8"/>
  <c r="N350" i="8"/>
  <c r="N351" i="8"/>
  <c r="N352" i="8"/>
  <c r="N353" i="8"/>
  <c r="N354" i="8"/>
  <c r="N355" i="8"/>
  <c r="N356" i="8"/>
  <c r="N357" i="8"/>
  <c r="N358" i="8"/>
  <c r="N359" i="8"/>
  <c r="N360" i="8"/>
  <c r="N361" i="8"/>
  <c r="N362" i="8"/>
  <c r="N363" i="8"/>
  <c r="N364" i="8"/>
  <c r="N365" i="8"/>
  <c r="N366" i="8"/>
  <c r="N367" i="8"/>
  <c r="N368" i="8"/>
  <c r="N369" i="8"/>
  <c r="N370" i="8"/>
  <c r="N371" i="8"/>
  <c r="N372" i="8"/>
  <c r="N373" i="8"/>
  <c r="N374" i="8"/>
  <c r="N375" i="8"/>
  <c r="N376" i="8"/>
  <c r="N377" i="8"/>
  <c r="N378" i="8"/>
  <c r="N379" i="8"/>
  <c r="N380" i="8"/>
  <c r="N381" i="8"/>
  <c r="N382" i="8"/>
  <c r="N383" i="8"/>
  <c r="N384" i="8"/>
  <c r="N385" i="8"/>
  <c r="N386" i="8"/>
  <c r="N387" i="8"/>
  <c r="N388" i="8"/>
  <c r="N389" i="8"/>
  <c r="N390" i="8"/>
  <c r="N391" i="8"/>
  <c r="N392" i="8"/>
  <c r="N393" i="8"/>
  <c r="N394" i="8"/>
  <c r="N395" i="8"/>
  <c r="N396" i="8"/>
  <c r="N397" i="8"/>
  <c r="N398" i="8"/>
  <c r="N399" i="8"/>
  <c r="N400" i="8"/>
  <c r="N401" i="8"/>
  <c r="N402" i="8"/>
  <c r="N403" i="8"/>
  <c r="N404" i="8"/>
  <c r="N405" i="8"/>
  <c r="N406" i="8"/>
  <c r="N407" i="8"/>
  <c r="N408" i="8"/>
  <c r="L9" i="8"/>
  <c r="L10" i="8"/>
  <c r="L11" i="8"/>
  <c r="L12" i="8"/>
  <c r="L13" i="8"/>
  <c r="L14" i="8"/>
  <c r="L15" i="8"/>
  <c r="L16" i="8"/>
  <c r="L17" i="8"/>
  <c r="L18" i="8"/>
  <c r="L19" i="8"/>
  <c r="L20" i="8"/>
  <c r="L21" i="8"/>
  <c r="L22" i="8"/>
  <c r="L23" i="8"/>
  <c r="L24" i="8"/>
  <c r="L25" i="8"/>
  <c r="L26" i="8"/>
  <c r="L27" i="8"/>
  <c r="L28" i="8"/>
  <c r="L29" i="8"/>
  <c r="L30" i="8"/>
  <c r="L31" i="8"/>
  <c r="L32" i="8"/>
  <c r="L33" i="8"/>
  <c r="L34" i="8"/>
  <c r="L35" i="8"/>
  <c r="L36" i="8"/>
  <c r="L37" i="8"/>
  <c r="L38" i="8"/>
  <c r="C16" i="1"/>
  <c r="C20" i="1"/>
  <c r="C21" i="1"/>
  <c r="P760" i="2"/>
  <c r="C22" i="1" s="1"/>
  <c r="S7" i="4"/>
  <c r="S6" i="4"/>
  <c r="W15" i="4"/>
  <c r="AP6" i="4"/>
  <c r="AA13" i="4"/>
  <c r="AI5" i="4"/>
  <c r="AP13" i="4"/>
  <c r="AN6" i="4"/>
  <c r="S13" i="4"/>
  <c r="AM6" i="4"/>
  <c r="S5" i="4"/>
  <c r="AF15" i="4"/>
  <c r="X15" i="4"/>
  <c r="AA5" i="4"/>
  <c r="AP7" i="4"/>
  <c r="AM4" i="4"/>
  <c r="AK9" i="4"/>
  <c r="AN12" i="4"/>
  <c r="AI13" i="4"/>
  <c r="M15" i="4"/>
  <c r="AO6" i="4"/>
  <c r="AP14" i="4"/>
  <c r="AM10" i="4"/>
  <c r="AP12" i="4"/>
  <c r="S11" i="4"/>
  <c r="R15" i="4"/>
  <c r="AK5" i="4"/>
  <c r="N15" i="4"/>
  <c r="AO8" i="4"/>
  <c r="AI12" i="4"/>
  <c r="AM14" i="4"/>
  <c r="AK7" i="4"/>
  <c r="AK14" i="4"/>
  <c r="AA4" i="4"/>
  <c r="AM9" i="4"/>
  <c r="AG15" i="4"/>
  <c r="AA7" i="4"/>
  <c r="S12" i="4"/>
  <c r="V15" i="4"/>
  <c r="AN5" i="4"/>
  <c r="AN4" i="4"/>
  <c r="S9" i="4"/>
  <c r="O15" i="4"/>
  <c r="AK12" i="4"/>
  <c r="AN7" i="4"/>
  <c r="AN9" i="4"/>
  <c r="AA12" i="4"/>
  <c r="AC15" i="4"/>
  <c r="AP8" i="4"/>
  <c r="AL9" i="4"/>
  <c r="AA9" i="4"/>
  <c r="AI9" i="4"/>
  <c r="AL10" i="4"/>
  <c r="AA10" i="4"/>
  <c r="AN11" i="4"/>
  <c r="AL4" i="4"/>
  <c r="AO11" i="4"/>
  <c r="AK13" i="4"/>
  <c r="AO5" i="4"/>
  <c r="AK8" i="4"/>
  <c r="AO13" i="4"/>
  <c r="AP11" i="4"/>
  <c r="AI6" i="4"/>
  <c r="AL7" i="4"/>
  <c r="S14" i="4"/>
  <c r="S22" i="5"/>
  <c r="S24" i="5"/>
  <c r="S27" i="5"/>
  <c r="S30" i="5"/>
  <c r="S32" i="5"/>
  <c r="S34" i="5"/>
  <c r="S37" i="5"/>
  <c r="S40" i="5"/>
  <c r="S43" i="5"/>
  <c r="S46" i="5"/>
  <c r="S49" i="5"/>
  <c r="S52" i="5"/>
  <c r="S55" i="5"/>
  <c r="S58" i="5"/>
  <c r="S61" i="5"/>
  <c r="S64" i="5"/>
  <c r="S67" i="5"/>
  <c r="S70" i="5"/>
  <c r="S73" i="5"/>
  <c r="S76" i="5"/>
  <c r="S79" i="5"/>
  <c r="S82" i="5"/>
  <c r="S85" i="5"/>
  <c r="Y15" i="4"/>
  <c r="AL11" i="4"/>
  <c r="S8" i="4"/>
  <c r="AA14" i="4"/>
  <c r="AI4" i="4"/>
  <c r="AI7" i="4"/>
  <c r="AM11" i="4"/>
  <c r="Q15" i="4"/>
  <c r="S15" i="5"/>
  <c r="S16" i="5"/>
  <c r="S17" i="5"/>
  <c r="S29" i="5"/>
  <c r="S31" i="5"/>
  <c r="S33" i="5"/>
  <c r="S36" i="5"/>
  <c r="S39" i="5"/>
  <c r="S42" i="5"/>
  <c r="S44" i="5"/>
  <c r="S48" i="5"/>
  <c r="S51" i="5"/>
  <c r="S54" i="5"/>
  <c r="S56" i="5"/>
  <c r="S60" i="5"/>
  <c r="S62" i="5"/>
  <c r="S66" i="5"/>
  <c r="S69" i="5"/>
  <c r="S72" i="5"/>
  <c r="S75" i="5"/>
  <c r="S78" i="5"/>
  <c r="S80" i="5"/>
  <c r="S83" i="5"/>
  <c r="S86" i="5"/>
  <c r="AO7" i="4"/>
  <c r="AK10" i="4"/>
  <c r="AI11" i="4"/>
  <c r="AL13" i="4"/>
  <c r="AA8" i="4"/>
  <c r="AM12" i="4"/>
  <c r="AE15" i="4"/>
  <c r="AI8" i="4"/>
  <c r="S4" i="4"/>
  <c r="S6" i="5"/>
  <c r="S7" i="5"/>
  <c r="S8" i="5"/>
  <c r="S9" i="5"/>
  <c r="S10" i="5"/>
  <c r="S11" i="5"/>
  <c r="S12" i="5"/>
  <c r="S13" i="5"/>
  <c r="S14" i="5"/>
  <c r="S18" i="5"/>
  <c r="S19" i="5"/>
  <c r="S20" i="5"/>
  <c r="S21" i="5"/>
  <c r="S23" i="5"/>
  <c r="S25" i="5"/>
  <c r="S26" i="5"/>
  <c r="S28" i="5"/>
  <c r="S35" i="5"/>
  <c r="S38" i="5"/>
  <c r="S41" i="5"/>
  <c r="S45" i="5"/>
  <c r="S47" i="5"/>
  <c r="S50" i="5"/>
  <c r="S53" i="5"/>
  <c r="S57" i="5"/>
  <c r="S59" i="5"/>
  <c r="S63" i="5"/>
  <c r="S65" i="5"/>
  <c r="S68" i="5"/>
  <c r="S71" i="5"/>
  <c r="S74" i="5"/>
  <c r="S77" i="5"/>
  <c r="S81" i="5"/>
  <c r="S84" i="5"/>
  <c r="S87" i="5"/>
  <c r="AK4" i="4"/>
  <c r="AM7" i="4"/>
  <c r="S10" i="4"/>
  <c r="AA11" i="4"/>
  <c r="AO4" i="4"/>
  <c r="AO12" i="4"/>
  <c r="Z15" i="4"/>
  <c r="AI10" i="4"/>
  <c r="AO14" i="4"/>
  <c r="AI14" i="4"/>
  <c r="K15" i="4" l="1"/>
  <c r="L21" i="3"/>
  <c r="M21" i="3" s="1"/>
  <c r="M4" i="3"/>
  <c r="S6" i="7"/>
  <c r="S7" i="7"/>
  <c r="S8" i="7"/>
  <c r="S9" i="7"/>
  <c r="S10" i="7"/>
  <c r="S11" i="7"/>
  <c r="S15" i="7"/>
  <c r="S18" i="7"/>
  <c r="S22" i="7"/>
  <c r="S27" i="7"/>
  <c r="S34" i="7"/>
  <c r="S42" i="7"/>
  <c r="S49" i="7"/>
  <c r="S57" i="7"/>
  <c r="S17" i="7"/>
  <c r="S24" i="7"/>
  <c r="S13" i="7"/>
  <c r="S20" i="7"/>
  <c r="S25" i="7"/>
  <c r="S31" i="7"/>
  <c r="S38" i="7"/>
  <c r="S46" i="7"/>
  <c r="S53" i="7"/>
  <c r="S60" i="7"/>
  <c r="S21" i="7"/>
  <c r="S340" i="7"/>
  <c r="S221" i="7"/>
  <c r="S238" i="7"/>
  <c r="S245" i="7"/>
  <c r="S254" i="7"/>
  <c r="S281" i="7"/>
  <c r="S289" i="7"/>
  <c r="S297" i="7"/>
  <c r="S305" i="7"/>
  <c r="S313" i="7"/>
  <c r="S320" i="7"/>
  <c r="S328" i="7"/>
  <c r="S336" i="7"/>
  <c r="S349" i="7"/>
  <c r="S241" i="7"/>
  <c r="S262" i="7"/>
  <c r="S284" i="7"/>
  <c r="S292" i="7"/>
  <c r="S301" i="7"/>
  <c r="S309" i="7"/>
  <c r="S316" i="7"/>
  <c r="S325" i="7"/>
  <c r="S333" i="7"/>
  <c r="S343" i="7"/>
  <c r="S347" i="7"/>
  <c r="S232" i="7"/>
  <c r="S239" i="7"/>
  <c r="S265" i="7"/>
  <c r="S279" i="7"/>
  <c r="S287" i="7"/>
  <c r="S295" i="7"/>
  <c r="S303" i="7"/>
  <c r="S311" i="7"/>
  <c r="S319" i="7"/>
  <c r="S327" i="7"/>
  <c r="S335" i="7"/>
  <c r="S345" i="7"/>
  <c r="S350" i="7"/>
  <c r="S253" i="7"/>
  <c r="S268" i="7"/>
  <c r="S282" i="7"/>
  <c r="S290" i="7"/>
  <c r="S298" i="7"/>
  <c r="S307" i="7"/>
  <c r="S315" i="7"/>
  <c r="S323" i="7"/>
  <c r="S331" i="7"/>
  <c r="S338" i="7"/>
  <c r="S242" i="7"/>
  <c r="S250" i="7"/>
  <c r="S259" i="7"/>
  <c r="S280" i="7"/>
  <c r="S288" i="7"/>
  <c r="S296" i="7"/>
  <c r="S304" i="7"/>
  <c r="S312" i="7"/>
  <c r="S321" i="7"/>
  <c r="S330" i="7"/>
  <c r="S339" i="7"/>
  <c r="S348" i="7"/>
  <c r="S351" i="7"/>
  <c r="S235" i="7"/>
  <c r="S248" i="7"/>
  <c r="S256" i="7"/>
  <c r="S278" i="7"/>
  <c r="S285" i="7"/>
  <c r="S293" i="7"/>
  <c r="S300" i="7"/>
  <c r="S308" i="7"/>
  <c r="S317" i="7"/>
  <c r="S324" i="7"/>
  <c r="S332" i="7"/>
  <c r="S344" i="7"/>
  <c r="S352" i="7"/>
  <c r="S236" i="7"/>
  <c r="S244" i="7"/>
  <c r="S270" i="7"/>
  <c r="S286" i="7"/>
  <c r="S294" i="7"/>
  <c r="S302" i="7"/>
  <c r="S310" i="7"/>
  <c r="S318" i="7"/>
  <c r="S326" i="7"/>
  <c r="S334" i="7"/>
  <c r="S342" i="7"/>
  <c r="S346" i="7"/>
  <c r="S271" i="7"/>
  <c r="S272" i="7"/>
  <c r="S273" i="7"/>
  <c r="S274" i="7"/>
  <c r="S275" i="7"/>
  <c r="S276" i="7"/>
  <c r="S277" i="7"/>
  <c r="S283" i="7"/>
  <c r="S291" i="7"/>
  <c r="S299" i="7"/>
  <c r="S306" i="7"/>
  <c r="S314" i="7"/>
  <c r="S322" i="7"/>
  <c r="S329" i="7"/>
  <c r="S337" i="7"/>
  <c r="S341" i="7"/>
  <c r="S183" i="7"/>
  <c r="S29" i="7"/>
  <c r="S33" i="7"/>
  <c r="S36" i="7"/>
  <c r="S40" i="7"/>
  <c r="S184" i="7"/>
  <c r="S181" i="7"/>
  <c r="S182" i="7"/>
  <c r="S52" i="7"/>
  <c r="S44" i="7"/>
  <c r="S48" i="7"/>
  <c r="S185" i="7"/>
  <c r="S56" i="7"/>
  <c r="S61" i="7"/>
  <c r="S12" i="7"/>
  <c r="S14" i="7"/>
  <c r="S16" i="7"/>
  <c r="S19" i="7"/>
  <c r="S186" i="7"/>
  <c r="S191" i="7"/>
  <c r="S190" i="7"/>
  <c r="S189" i="7"/>
  <c r="S188" i="7"/>
  <c r="S187" i="7"/>
  <c r="S35" i="7"/>
  <c r="S39" i="7"/>
  <c r="S43" i="7"/>
  <c r="S194" i="7"/>
  <c r="S195" i="7"/>
  <c r="S193" i="7"/>
  <c r="S192" i="7"/>
  <c r="S32" i="7"/>
  <c r="S28" i="7"/>
  <c r="S26" i="7"/>
  <c r="S23" i="7"/>
  <c r="S196" i="7"/>
  <c r="S30" i="7"/>
  <c r="S37" i="7"/>
  <c r="S41" i="7"/>
  <c r="S45" i="7"/>
  <c r="S59" i="7"/>
  <c r="S197" i="7"/>
  <c r="S47" i="7"/>
  <c r="S51" i="7"/>
  <c r="S201" i="7"/>
  <c r="S202" i="7"/>
  <c r="S199" i="7"/>
  <c r="S198" i="7"/>
  <c r="S200" i="7"/>
  <c r="S55" i="7"/>
  <c r="S50" i="7"/>
  <c r="S203" i="7"/>
  <c r="S54" i="7"/>
  <c r="S58" i="7"/>
  <c r="S204" i="7"/>
  <c r="S62" i="7"/>
  <c r="S64" i="7"/>
  <c r="S206" i="7"/>
  <c r="S207" i="7"/>
  <c r="S208" i="7"/>
  <c r="S65" i="7"/>
  <c r="S66" i="7"/>
  <c r="S205" i="7"/>
  <c r="S71" i="7"/>
  <c r="S67" i="7"/>
  <c r="S68" i="7"/>
  <c r="S69" i="7"/>
  <c r="S70" i="7"/>
  <c r="S212" i="7"/>
  <c r="S72" i="7"/>
  <c r="S73" i="7"/>
  <c r="S211" i="7"/>
  <c r="S210" i="7"/>
  <c r="S209" i="7"/>
  <c r="S213" i="7"/>
  <c r="S214" i="7"/>
  <c r="S77" i="7"/>
  <c r="S74" i="7"/>
  <c r="S75" i="7"/>
  <c r="S76" i="7"/>
  <c r="S217" i="7"/>
  <c r="S218" i="7"/>
  <c r="S220" i="7"/>
  <c r="S219" i="7"/>
  <c r="S78" i="7"/>
  <c r="S79" i="7"/>
  <c r="S215" i="7"/>
  <c r="S216" i="7"/>
  <c r="S84" i="7"/>
  <c r="S83" i="7"/>
  <c r="S82" i="7"/>
  <c r="S81" i="7"/>
  <c r="S80" i="7"/>
  <c r="S226" i="7"/>
  <c r="S225" i="7"/>
  <c r="S86" i="7"/>
  <c r="S222" i="7"/>
  <c r="S223" i="7"/>
  <c r="S224" i="7"/>
  <c r="S89" i="7"/>
  <c r="S88" i="7"/>
  <c r="S87" i="7"/>
  <c r="S227" i="7"/>
  <c r="S85" i="7"/>
  <c r="S94" i="7"/>
  <c r="S95" i="7"/>
  <c r="S96" i="7"/>
  <c r="S91" i="7"/>
  <c r="S90" i="7"/>
  <c r="S92" i="7"/>
  <c r="S228" i="7"/>
  <c r="S93" i="7"/>
  <c r="S105" i="7"/>
  <c r="S100" i="7"/>
  <c r="S99" i="7"/>
  <c r="S229" i="7"/>
  <c r="S98" i="7"/>
  <c r="S97" i="7"/>
  <c r="S109" i="7"/>
  <c r="S101" i="7"/>
  <c r="S102" i="7"/>
  <c r="S230" i="7"/>
  <c r="S103" i="7"/>
  <c r="S104" i="7"/>
  <c r="S106" i="7"/>
  <c r="S107" i="7"/>
  <c r="S231" i="7"/>
  <c r="S108" i="7"/>
  <c r="S233" i="7"/>
  <c r="S113" i="7"/>
  <c r="S114" i="7"/>
  <c r="S110" i="7"/>
  <c r="S111" i="7"/>
  <c r="S112" i="7"/>
  <c r="S234" i="7"/>
  <c r="S119" i="7"/>
  <c r="S115" i="7"/>
  <c r="S116" i="7"/>
  <c r="S117" i="7"/>
  <c r="S118" i="7"/>
  <c r="S120" i="7"/>
  <c r="S237" i="7"/>
  <c r="S240" i="7"/>
  <c r="S121" i="7"/>
  <c r="S122" i="7"/>
  <c r="S123" i="7"/>
  <c r="S124" i="7"/>
  <c r="S125" i="7"/>
  <c r="S126" i="7"/>
  <c r="S131" i="7"/>
  <c r="S127" i="7"/>
  <c r="S128" i="7"/>
  <c r="S129" i="7"/>
  <c r="S130" i="7"/>
  <c r="S132" i="7"/>
  <c r="S243" i="7"/>
  <c r="S246" i="7"/>
  <c r="S133" i="7"/>
  <c r="S134" i="7"/>
  <c r="S135" i="7"/>
  <c r="S136" i="7"/>
  <c r="S137" i="7"/>
  <c r="S247" i="7"/>
  <c r="S138" i="7"/>
  <c r="S141" i="7"/>
  <c r="S140" i="7"/>
  <c r="S142" i="7"/>
  <c r="S143" i="7"/>
  <c r="S139" i="7"/>
  <c r="S249" i="7"/>
  <c r="S144" i="7"/>
  <c r="S251" i="7"/>
  <c r="S145" i="7"/>
  <c r="S150" i="7"/>
  <c r="S147" i="7"/>
  <c r="S149" i="7"/>
  <c r="S148" i="7"/>
  <c r="S146" i="7"/>
  <c r="S252" i="7"/>
  <c r="S155" i="7"/>
  <c r="S154" i="7"/>
  <c r="S153" i="7"/>
  <c r="S152" i="7"/>
  <c r="S151" i="7"/>
  <c r="S255" i="7"/>
  <c r="S156" i="7"/>
  <c r="S257" i="7"/>
  <c r="S258" i="7"/>
  <c r="S160" i="7"/>
  <c r="S161" i="7"/>
  <c r="S159" i="7"/>
  <c r="S158" i="7"/>
  <c r="S157" i="7"/>
  <c r="S162" i="7"/>
  <c r="S260" i="7"/>
  <c r="S163" i="7"/>
  <c r="S164" i="7"/>
  <c r="S165" i="7"/>
  <c r="S166" i="7"/>
  <c r="S167" i="7"/>
  <c r="S261" i="7"/>
  <c r="S168" i="7"/>
  <c r="S263" i="7"/>
  <c r="S171" i="7"/>
  <c r="S172" i="7"/>
  <c r="S173" i="7"/>
  <c r="S169" i="7"/>
  <c r="S170" i="7"/>
  <c r="S264" i="7"/>
  <c r="S174" i="7"/>
  <c r="S266" i="7"/>
  <c r="S175" i="7"/>
  <c r="S176" i="7"/>
  <c r="S178" i="7"/>
  <c r="S177" i="7"/>
  <c r="S267" i="7"/>
  <c r="S179" i="7"/>
  <c r="S180" i="7"/>
  <c r="S269" i="7"/>
  <c r="S63" i="7"/>
  <c r="S353" i="7"/>
  <c r="AQ3" i="4"/>
  <c r="AR3" i="4" s="1"/>
  <c r="AJ15" i="4"/>
  <c r="B9" i="8"/>
  <c r="C9" i="8"/>
  <c r="D9" i="8"/>
  <c r="E9" i="8"/>
  <c r="F9" i="8"/>
  <c r="G9" i="8"/>
  <c r="H9" i="8"/>
  <c r="I9" i="8"/>
  <c r="J9" i="8"/>
  <c r="B10" i="8"/>
  <c r="C10" i="8"/>
  <c r="D10" i="8"/>
  <c r="E10" i="8"/>
  <c r="F10" i="8"/>
  <c r="G10" i="8"/>
  <c r="H10" i="8"/>
  <c r="I10" i="8"/>
  <c r="J10" i="8"/>
  <c r="B11" i="8"/>
  <c r="C11" i="8"/>
  <c r="D11" i="8"/>
  <c r="E11" i="8"/>
  <c r="F11" i="8"/>
  <c r="G11" i="8"/>
  <c r="H11" i="8"/>
  <c r="I11" i="8"/>
  <c r="J11" i="8"/>
  <c r="B12" i="8"/>
  <c r="C12" i="8"/>
  <c r="D12" i="8"/>
  <c r="E12" i="8"/>
  <c r="F12" i="8"/>
  <c r="G12" i="8"/>
  <c r="H12" i="8"/>
  <c r="I12" i="8"/>
  <c r="J12" i="8"/>
  <c r="B13" i="8"/>
  <c r="C13" i="8"/>
  <c r="D13" i="8"/>
  <c r="E13" i="8"/>
  <c r="F13" i="8"/>
  <c r="G13" i="8"/>
  <c r="H13" i="8"/>
  <c r="I13" i="8"/>
  <c r="J13" i="8"/>
  <c r="B14" i="8"/>
  <c r="C14" i="8"/>
  <c r="D14" i="8"/>
  <c r="E14" i="8"/>
  <c r="F14" i="8"/>
  <c r="G14" i="8"/>
  <c r="H14" i="8"/>
  <c r="I14" i="8"/>
  <c r="J14" i="8"/>
  <c r="B15" i="8"/>
  <c r="C15" i="8"/>
  <c r="D15" i="8"/>
  <c r="E15" i="8"/>
  <c r="F15" i="8"/>
  <c r="G15" i="8"/>
  <c r="H15" i="8"/>
  <c r="I15" i="8"/>
  <c r="J15" i="8"/>
  <c r="B16" i="8"/>
  <c r="C16" i="8"/>
  <c r="D16" i="8"/>
  <c r="E16" i="8"/>
  <c r="F16" i="8"/>
  <c r="G16" i="8"/>
  <c r="H16" i="8"/>
  <c r="I16" i="8"/>
  <c r="J16" i="8"/>
  <c r="B17" i="8"/>
  <c r="C17" i="8"/>
  <c r="D17" i="8"/>
  <c r="E17" i="8"/>
  <c r="F17" i="8"/>
  <c r="G17" i="8"/>
  <c r="H17" i="8"/>
  <c r="I17" i="8"/>
  <c r="J17" i="8"/>
  <c r="B18" i="8"/>
  <c r="C18" i="8"/>
  <c r="D18" i="8"/>
  <c r="E18" i="8"/>
  <c r="F18" i="8"/>
  <c r="G18" i="8"/>
  <c r="H18" i="8"/>
  <c r="I18" i="8"/>
  <c r="J18" i="8"/>
  <c r="B19" i="8"/>
  <c r="C19" i="8"/>
  <c r="D19" i="8"/>
  <c r="E19" i="8"/>
  <c r="F19" i="8"/>
  <c r="G19" i="8"/>
  <c r="H19" i="8"/>
  <c r="I19" i="8"/>
  <c r="J19" i="8"/>
  <c r="B20" i="8"/>
  <c r="C20" i="8"/>
  <c r="D20" i="8"/>
  <c r="E20" i="8"/>
  <c r="F20" i="8"/>
  <c r="G20" i="8"/>
  <c r="H20" i="8"/>
  <c r="I20" i="8"/>
  <c r="J20" i="8"/>
  <c r="B21" i="8"/>
  <c r="C21" i="8"/>
  <c r="D21" i="8"/>
  <c r="E21" i="8"/>
  <c r="F21" i="8"/>
  <c r="G21" i="8"/>
  <c r="H21" i="8"/>
  <c r="I21" i="8"/>
  <c r="J21" i="8"/>
  <c r="B22" i="8"/>
  <c r="C22" i="8"/>
  <c r="D22" i="8"/>
  <c r="E22" i="8"/>
  <c r="F22" i="8"/>
  <c r="G22" i="8"/>
  <c r="H22" i="8"/>
  <c r="I22" i="8"/>
  <c r="J22" i="8"/>
  <c r="B23" i="8"/>
  <c r="C23" i="8"/>
  <c r="D23" i="8"/>
  <c r="E23" i="8"/>
  <c r="F23" i="8"/>
  <c r="G23" i="8"/>
  <c r="H23" i="8"/>
  <c r="I23" i="8"/>
  <c r="J23" i="8"/>
  <c r="B24" i="8"/>
  <c r="C24" i="8"/>
  <c r="D24" i="8"/>
  <c r="E24" i="8"/>
  <c r="F24" i="8"/>
  <c r="G24" i="8"/>
  <c r="H24" i="8"/>
  <c r="I24" i="8"/>
  <c r="J24" i="8"/>
  <c r="B25" i="8"/>
  <c r="C25" i="8"/>
  <c r="D25" i="8"/>
  <c r="E25" i="8"/>
  <c r="F25" i="8"/>
  <c r="G25" i="8"/>
  <c r="H25" i="8"/>
  <c r="I25" i="8"/>
  <c r="J25" i="8"/>
  <c r="B26" i="8"/>
  <c r="C26" i="8"/>
  <c r="D26" i="8"/>
  <c r="E26" i="8"/>
  <c r="F26" i="8"/>
  <c r="G26" i="8"/>
  <c r="H26" i="8"/>
  <c r="I26" i="8"/>
  <c r="J26" i="8"/>
  <c r="B27" i="8"/>
  <c r="C27" i="8"/>
  <c r="D27" i="8"/>
  <c r="E27" i="8"/>
  <c r="F27" i="8"/>
  <c r="G27" i="8"/>
  <c r="H27" i="8"/>
  <c r="I27" i="8"/>
  <c r="J27" i="8"/>
  <c r="B28" i="8"/>
  <c r="C28" i="8"/>
  <c r="D28" i="8"/>
  <c r="E28" i="8"/>
  <c r="F28" i="8"/>
  <c r="G28" i="8"/>
  <c r="H28" i="8"/>
  <c r="I28" i="8"/>
  <c r="J28" i="8"/>
  <c r="B29" i="8"/>
  <c r="C29" i="8"/>
  <c r="D29" i="8"/>
  <c r="E29" i="8"/>
  <c r="F29" i="8"/>
  <c r="G29" i="8"/>
  <c r="H29" i="8"/>
  <c r="I29" i="8"/>
  <c r="J29" i="8"/>
  <c r="B30" i="8"/>
  <c r="C30" i="8"/>
  <c r="D30" i="8"/>
  <c r="E30" i="8"/>
  <c r="F30" i="8"/>
  <c r="G30" i="8"/>
  <c r="H30" i="8"/>
  <c r="I30" i="8"/>
  <c r="J30" i="8"/>
  <c r="B31" i="8"/>
  <c r="C31" i="8"/>
  <c r="D31" i="8"/>
  <c r="E31" i="8"/>
  <c r="F31" i="8"/>
  <c r="G31" i="8"/>
  <c r="H31" i="8"/>
  <c r="I31" i="8"/>
  <c r="J31" i="8"/>
  <c r="B32" i="8"/>
  <c r="C32" i="8"/>
  <c r="D32" i="8"/>
  <c r="E32" i="8"/>
  <c r="F32" i="8"/>
  <c r="G32" i="8"/>
  <c r="H32" i="8"/>
  <c r="I32" i="8"/>
  <c r="J32" i="8"/>
  <c r="B33" i="8"/>
  <c r="C33" i="8"/>
  <c r="D33" i="8"/>
  <c r="E33" i="8"/>
  <c r="F33" i="8"/>
  <c r="G33" i="8"/>
  <c r="H33" i="8"/>
  <c r="I33" i="8"/>
  <c r="J33" i="8"/>
  <c r="B34" i="8"/>
  <c r="C34" i="8"/>
  <c r="D34" i="8"/>
  <c r="E34" i="8"/>
  <c r="F34" i="8"/>
  <c r="G34" i="8"/>
  <c r="H34" i="8"/>
  <c r="I34" i="8"/>
  <c r="J34" i="8"/>
  <c r="B35" i="8"/>
  <c r="C35" i="8"/>
  <c r="D35" i="8"/>
  <c r="E35" i="8"/>
  <c r="F35" i="8"/>
  <c r="G35" i="8"/>
  <c r="H35" i="8"/>
  <c r="I35" i="8"/>
  <c r="J35" i="8"/>
  <c r="B36" i="8"/>
  <c r="C36" i="8"/>
  <c r="D36" i="8"/>
  <c r="E36" i="8"/>
  <c r="F36" i="8"/>
  <c r="G36" i="8"/>
  <c r="H36" i="8"/>
  <c r="I36" i="8"/>
  <c r="J36" i="8"/>
  <c r="B37" i="8"/>
  <c r="C37" i="8"/>
  <c r="D37" i="8"/>
  <c r="E37" i="8"/>
  <c r="F37" i="8"/>
  <c r="G37" i="8"/>
  <c r="H37" i="8"/>
  <c r="I37" i="8"/>
  <c r="J37" i="8"/>
  <c r="B38" i="8"/>
  <c r="C38" i="8"/>
  <c r="D38" i="8"/>
  <c r="E38" i="8"/>
  <c r="F38" i="8"/>
  <c r="G38" i="8"/>
  <c r="H38" i="8"/>
  <c r="I38" i="8"/>
  <c r="J38" i="8"/>
  <c r="C6" i="5"/>
  <c r="C155" i="5"/>
  <c r="C154" i="5"/>
  <c r="C153" i="5"/>
  <c r="C152" i="5"/>
  <c r="C151" i="5"/>
  <c r="C150" i="5"/>
  <c r="C149" i="5"/>
  <c r="C148" i="5"/>
  <c r="C147" i="5"/>
  <c r="C146" i="5"/>
  <c r="C145" i="5"/>
  <c r="C144" i="5"/>
  <c r="C143" i="5"/>
  <c r="C142" i="5"/>
  <c r="C141" i="5"/>
  <c r="C140" i="5"/>
  <c r="C139" i="5"/>
  <c r="C137" i="5"/>
  <c r="C136" i="5"/>
  <c r="C133" i="5"/>
  <c r="C130" i="5"/>
  <c r="C129" i="5"/>
  <c r="C127" i="5"/>
  <c r="C124" i="5"/>
  <c r="C122" i="5"/>
  <c r="C121" i="5"/>
  <c r="C119" i="5"/>
  <c r="C118" i="5"/>
  <c r="C117" i="5"/>
  <c r="C116" i="5"/>
  <c r="C115" i="5"/>
  <c r="C111" i="5"/>
  <c r="C110" i="5"/>
  <c r="C109" i="5"/>
  <c r="C108" i="5"/>
  <c r="C107" i="5"/>
  <c r="C104" i="5"/>
  <c r="C103" i="5"/>
  <c r="C101" i="5"/>
  <c r="C99" i="5"/>
  <c r="C96" i="5"/>
  <c r="C95" i="5"/>
  <c r="C94" i="5"/>
  <c r="C92" i="5"/>
  <c r="C138" i="5"/>
  <c r="C135" i="5"/>
  <c r="C134" i="5"/>
  <c r="C132" i="5"/>
  <c r="C131" i="5"/>
  <c r="C128" i="5"/>
  <c r="C126" i="5"/>
  <c r="C125" i="5"/>
  <c r="C123" i="5"/>
  <c r="C120" i="5"/>
  <c r="C114" i="5"/>
  <c r="C113" i="5"/>
  <c r="C112" i="5"/>
  <c r="C106" i="5"/>
  <c r="C105" i="5"/>
  <c r="C102" i="5"/>
  <c r="C100" i="5"/>
  <c r="C98" i="5"/>
  <c r="C97" i="5"/>
  <c r="C93" i="5"/>
  <c r="C91" i="5"/>
  <c r="C90" i="5"/>
  <c r="C89" i="5"/>
  <c r="C88" i="5"/>
  <c r="C87" i="5"/>
  <c r="C86" i="5"/>
  <c r="C85" i="5"/>
  <c r="C84" i="5"/>
  <c r="C83" i="5"/>
  <c r="C82" i="5"/>
  <c r="C81" i="5"/>
  <c r="C80" i="5"/>
  <c r="C79" i="5"/>
  <c r="C78" i="5"/>
  <c r="C77" i="5"/>
  <c r="C76" i="5"/>
  <c r="C75" i="5"/>
  <c r="C74" i="5"/>
  <c r="C73" i="5"/>
  <c r="C72" i="5"/>
  <c r="C71" i="5"/>
  <c r="C70" i="5"/>
  <c r="C69" i="5"/>
  <c r="C68" i="5"/>
  <c r="C67" i="5"/>
  <c r="C66" i="5"/>
  <c r="C65" i="5"/>
  <c r="C64" i="5"/>
  <c r="C63" i="5"/>
  <c r="C62" i="5"/>
  <c r="C61" i="5"/>
  <c r="C60" i="5"/>
  <c r="C59" i="5"/>
  <c r="C58" i="5"/>
  <c r="C57" i="5"/>
  <c r="C56" i="5"/>
  <c r="C55" i="5"/>
  <c r="C54" i="5"/>
  <c r="C53" i="5"/>
  <c r="C52" i="5"/>
  <c r="C51" i="5"/>
  <c r="C50" i="5"/>
  <c r="C49" i="5"/>
  <c r="C48" i="5"/>
  <c r="C47" i="5"/>
  <c r="C46" i="5"/>
  <c r="C45" i="5"/>
  <c r="C44" i="5"/>
  <c r="C43" i="5"/>
  <c r="C42" i="5"/>
  <c r="C41" i="5"/>
  <c r="C40" i="5"/>
  <c r="C39" i="5"/>
  <c r="C38" i="5"/>
  <c r="C37" i="5"/>
  <c r="C36" i="5"/>
  <c r="C35" i="5"/>
  <c r="C34" i="5"/>
  <c r="C33" i="5"/>
  <c r="C32" i="5"/>
  <c r="C31" i="5"/>
  <c r="C30" i="5"/>
  <c r="C29" i="5"/>
  <c r="C28" i="5"/>
  <c r="C27" i="5"/>
  <c r="C26" i="5"/>
  <c r="C25" i="5"/>
  <c r="C24" i="5"/>
  <c r="C23" i="5"/>
  <c r="C22" i="5"/>
  <c r="C21" i="5"/>
  <c r="C20" i="5"/>
  <c r="C19" i="5"/>
  <c r="C18" i="5"/>
  <c r="C17" i="5"/>
  <c r="C16" i="5"/>
  <c r="C15" i="5"/>
  <c r="C14" i="5"/>
  <c r="C13" i="5"/>
  <c r="C12" i="5"/>
  <c r="C11" i="5"/>
  <c r="C10" i="5"/>
  <c r="C9" i="5"/>
  <c r="C8" i="5"/>
  <c r="C7" i="5"/>
  <c r="AK15" i="4"/>
  <c r="AO15" i="4"/>
  <c r="AP15" i="4"/>
  <c r="AQ5" i="4"/>
  <c r="AR5" i="4" s="1"/>
  <c r="AI15" i="4"/>
  <c r="AQ12" i="4"/>
  <c r="AR12" i="4" s="1"/>
  <c r="AQ13" i="4"/>
  <c r="AR13" i="4" s="1"/>
  <c r="AQ7" i="4"/>
  <c r="AR7" i="4" s="1"/>
  <c r="AQ8" i="4"/>
  <c r="AR8" i="4" s="1"/>
  <c r="AL15" i="4"/>
  <c r="AA15" i="4"/>
  <c r="AQ6" i="4"/>
  <c r="AR6" i="4" s="1"/>
  <c r="AQ10" i="4"/>
  <c r="AR10" i="4" s="1"/>
  <c r="AN15" i="4"/>
  <c r="AQ4" i="4"/>
  <c r="AR4" i="4" s="1"/>
  <c r="AQ9" i="4"/>
  <c r="AR9" i="4" s="1"/>
  <c r="AQ11" i="4"/>
  <c r="AR11" i="4" s="1"/>
  <c r="AQ14" i="4"/>
  <c r="AR14" i="4" s="1"/>
  <c r="S15" i="4"/>
  <c r="AM15" i="4"/>
  <c r="C35" i="7" l="1"/>
  <c r="C6" i="7"/>
  <c r="C163" i="7"/>
  <c r="C162" i="7"/>
  <c r="C161" i="7"/>
  <c r="C85" i="7"/>
  <c r="C429" i="7"/>
  <c r="C419" i="7"/>
  <c r="C415" i="7"/>
  <c r="C129" i="7"/>
  <c r="C427" i="7"/>
  <c r="C423" i="7"/>
  <c r="C421" i="7"/>
  <c r="C418" i="7"/>
  <c r="C416" i="7"/>
  <c r="C316" i="7"/>
  <c r="C505" i="7"/>
  <c r="C504" i="7"/>
  <c r="C503" i="7"/>
  <c r="C502" i="7"/>
  <c r="C501" i="7"/>
  <c r="C500" i="7"/>
  <c r="C499" i="7"/>
  <c r="C498" i="7"/>
  <c r="C497" i="7"/>
  <c r="C496" i="7"/>
  <c r="C495" i="7"/>
  <c r="C494" i="7"/>
  <c r="C493" i="7"/>
  <c r="C492" i="7"/>
  <c r="C491" i="7"/>
  <c r="C490" i="7"/>
  <c r="C489" i="7"/>
  <c r="C488" i="7"/>
  <c r="C487" i="7"/>
  <c r="C486" i="7"/>
  <c r="C485" i="7"/>
  <c r="C484" i="7"/>
  <c r="C483" i="7"/>
  <c r="C482" i="7"/>
  <c r="C481" i="7"/>
  <c r="C480" i="7"/>
  <c r="C479" i="7"/>
  <c r="C478" i="7"/>
  <c r="C477" i="7"/>
  <c r="C476" i="7"/>
  <c r="C475" i="7"/>
  <c r="C474" i="7"/>
  <c r="C473" i="7"/>
  <c r="C472" i="7"/>
  <c r="C471" i="7"/>
  <c r="C470" i="7"/>
  <c r="C469" i="7"/>
  <c r="C468" i="7"/>
  <c r="C467" i="7"/>
  <c r="C466" i="7"/>
  <c r="C465" i="7"/>
  <c r="C464" i="7"/>
  <c r="C463" i="7"/>
  <c r="C462" i="7"/>
  <c r="C461" i="7"/>
  <c r="C460" i="7"/>
  <c r="C459" i="7"/>
  <c r="C458" i="7"/>
  <c r="C457" i="7"/>
  <c r="C456" i="7"/>
  <c r="C455" i="7"/>
  <c r="C454" i="7"/>
  <c r="C453" i="7"/>
  <c r="C452" i="7"/>
  <c r="C451" i="7"/>
  <c r="C450" i="7"/>
  <c r="C449" i="7"/>
  <c r="C448" i="7"/>
  <c r="C447" i="7"/>
  <c r="C446" i="7"/>
  <c r="C445" i="7"/>
  <c r="C444" i="7"/>
  <c r="C443" i="7"/>
  <c r="C442" i="7"/>
  <c r="C441" i="7"/>
  <c r="C440" i="7"/>
  <c r="C439" i="7"/>
  <c r="C438" i="7"/>
  <c r="C437" i="7"/>
  <c r="C436" i="7"/>
  <c r="C435" i="7"/>
  <c r="C434" i="7"/>
  <c r="C433" i="7"/>
  <c r="C432" i="7"/>
  <c r="C431" i="7"/>
  <c r="C430" i="7"/>
  <c r="C428" i="7"/>
  <c r="C426" i="7"/>
  <c r="C425" i="7"/>
  <c r="C424" i="7"/>
  <c r="C422" i="7"/>
  <c r="C420" i="7"/>
  <c r="C417" i="7"/>
  <c r="C414" i="7"/>
  <c r="C128" i="7"/>
  <c r="C413" i="7"/>
  <c r="C412" i="7"/>
  <c r="C411" i="7"/>
  <c r="C410" i="7"/>
  <c r="C409" i="7"/>
  <c r="C408" i="7"/>
  <c r="C407" i="7"/>
  <c r="C406" i="7"/>
  <c r="C405" i="7"/>
  <c r="C404" i="7"/>
  <c r="C403" i="7"/>
  <c r="C402" i="7"/>
  <c r="C401" i="7"/>
  <c r="C400" i="7"/>
  <c r="C399" i="7"/>
  <c r="C398" i="7"/>
  <c r="O398" i="7" s="1"/>
  <c r="C397" i="7"/>
  <c r="C396" i="7"/>
  <c r="C395" i="7"/>
  <c r="C394" i="7"/>
  <c r="C393" i="7"/>
  <c r="C392" i="7"/>
  <c r="C391" i="7"/>
  <c r="C390" i="7"/>
  <c r="C389" i="7"/>
  <c r="C388" i="7"/>
  <c r="C387" i="7"/>
  <c r="C386" i="7"/>
  <c r="C385" i="7"/>
  <c r="C384" i="7"/>
  <c r="C383" i="7"/>
  <c r="C382" i="7"/>
  <c r="C381" i="7"/>
  <c r="C380" i="7"/>
  <c r="C379" i="7"/>
  <c r="C378" i="7"/>
  <c r="C377" i="7"/>
  <c r="C376" i="7"/>
  <c r="C375" i="7"/>
  <c r="C374" i="7"/>
  <c r="C373" i="7"/>
  <c r="C372" i="7"/>
  <c r="C371" i="7"/>
  <c r="C370" i="7"/>
  <c r="C369" i="7"/>
  <c r="C368" i="7"/>
  <c r="C367" i="7"/>
  <c r="C366" i="7"/>
  <c r="C365" i="7"/>
  <c r="C364" i="7"/>
  <c r="C363" i="7"/>
  <c r="C362" i="7"/>
  <c r="C361" i="7"/>
  <c r="C360" i="7"/>
  <c r="C359" i="7"/>
  <c r="C358" i="7"/>
  <c r="C357" i="7"/>
  <c r="C356" i="7"/>
  <c r="C355" i="7"/>
  <c r="C354" i="7"/>
  <c r="C353" i="7"/>
  <c r="C352" i="7"/>
  <c r="C351" i="7"/>
  <c r="C350" i="7"/>
  <c r="C349" i="7"/>
  <c r="C348" i="7"/>
  <c r="C347" i="7"/>
  <c r="C346" i="7"/>
  <c r="C345" i="7"/>
  <c r="C344" i="7"/>
  <c r="C343" i="7"/>
  <c r="C342" i="7"/>
  <c r="C341" i="7"/>
  <c r="C340" i="7"/>
  <c r="C339" i="7"/>
  <c r="C338" i="7"/>
  <c r="C337" i="7"/>
  <c r="C336" i="7"/>
  <c r="C335" i="7"/>
  <c r="C334" i="7"/>
  <c r="C333" i="7"/>
  <c r="C332" i="7"/>
  <c r="C331" i="7"/>
  <c r="C330" i="7"/>
  <c r="C329" i="7"/>
  <c r="C328" i="7"/>
  <c r="C327" i="7"/>
  <c r="C326" i="7"/>
  <c r="C325" i="7"/>
  <c r="C324" i="7"/>
  <c r="C323" i="7"/>
  <c r="C322" i="7"/>
  <c r="C321" i="7"/>
  <c r="C320" i="7"/>
  <c r="C319" i="7"/>
  <c r="C318" i="7"/>
  <c r="C317" i="7"/>
  <c r="C126" i="7"/>
  <c r="C315" i="7"/>
  <c r="C314" i="7"/>
  <c r="C313" i="7"/>
  <c r="C312" i="7"/>
  <c r="C311" i="7"/>
  <c r="C310" i="7"/>
  <c r="C309" i="7"/>
  <c r="C308" i="7"/>
  <c r="C307" i="7"/>
  <c r="C306" i="7"/>
  <c r="C305" i="7"/>
  <c r="C304" i="7"/>
  <c r="C303" i="7"/>
  <c r="C302" i="7"/>
  <c r="C301" i="7"/>
  <c r="C300" i="7"/>
  <c r="C299" i="7"/>
  <c r="C298" i="7"/>
  <c r="C297" i="7"/>
  <c r="C296" i="7"/>
  <c r="C295" i="7"/>
  <c r="C294" i="7"/>
  <c r="C293" i="7"/>
  <c r="C292" i="7"/>
  <c r="C291" i="7"/>
  <c r="C290" i="7"/>
  <c r="C289" i="7"/>
  <c r="C288" i="7"/>
  <c r="C287" i="7"/>
  <c r="C286" i="7"/>
  <c r="C285" i="7"/>
  <c r="C284" i="7"/>
  <c r="C283" i="7"/>
  <c r="C282" i="7"/>
  <c r="C281" i="7"/>
  <c r="C280" i="7"/>
  <c r="C279" i="7"/>
  <c r="C278" i="7"/>
  <c r="C277" i="7"/>
  <c r="C276" i="7"/>
  <c r="C275" i="7"/>
  <c r="C274" i="7"/>
  <c r="C273" i="7"/>
  <c r="C272" i="7"/>
  <c r="C271" i="7"/>
  <c r="C270" i="7"/>
  <c r="C269" i="7"/>
  <c r="C268" i="7"/>
  <c r="C267" i="7"/>
  <c r="C266" i="7"/>
  <c r="C265" i="7"/>
  <c r="C264" i="7"/>
  <c r="C263" i="7"/>
  <c r="C262" i="7"/>
  <c r="C261" i="7"/>
  <c r="C260" i="7"/>
  <c r="C259" i="7"/>
  <c r="C258" i="7"/>
  <c r="C257" i="7"/>
  <c r="C256" i="7"/>
  <c r="C255" i="7"/>
  <c r="C254" i="7"/>
  <c r="C253" i="7"/>
  <c r="C252" i="7"/>
  <c r="C251" i="7"/>
  <c r="C250" i="7"/>
  <c r="C249" i="7"/>
  <c r="C248" i="7"/>
  <c r="C247" i="7"/>
  <c r="C246" i="7"/>
  <c r="C245" i="7"/>
  <c r="C110" i="7"/>
  <c r="C109" i="7"/>
  <c r="C108" i="7"/>
  <c r="C94" i="7"/>
  <c r="C90" i="7"/>
  <c r="C244" i="7"/>
  <c r="C243" i="7"/>
  <c r="C242" i="7"/>
  <c r="C241" i="7"/>
  <c r="C240" i="7"/>
  <c r="C239" i="7"/>
  <c r="C238" i="7"/>
  <c r="C237" i="7"/>
  <c r="C236" i="7"/>
  <c r="C235" i="7"/>
  <c r="C234" i="7"/>
  <c r="C233" i="7"/>
  <c r="C232" i="7"/>
  <c r="C231" i="7"/>
  <c r="C230" i="7"/>
  <c r="C229" i="7"/>
  <c r="C228" i="7"/>
  <c r="C227" i="7"/>
  <c r="C226" i="7"/>
  <c r="C225" i="7"/>
  <c r="C224" i="7"/>
  <c r="C223" i="7"/>
  <c r="C144" i="7"/>
  <c r="C142" i="7"/>
  <c r="C140" i="7"/>
  <c r="C138" i="7"/>
  <c r="C136" i="7"/>
  <c r="C134" i="7"/>
  <c r="C132" i="7"/>
  <c r="C130" i="7"/>
  <c r="C125" i="7"/>
  <c r="C222" i="7"/>
  <c r="C221" i="7"/>
  <c r="C220" i="7"/>
  <c r="C219" i="7"/>
  <c r="C218" i="7"/>
  <c r="C217" i="7"/>
  <c r="C216" i="7"/>
  <c r="C215" i="7"/>
  <c r="C214" i="7"/>
  <c r="C213" i="7"/>
  <c r="C212" i="7"/>
  <c r="C211" i="7"/>
  <c r="C210" i="7"/>
  <c r="C209" i="7"/>
  <c r="C208" i="7"/>
  <c r="C207" i="7"/>
  <c r="C206" i="7"/>
  <c r="C205" i="7"/>
  <c r="C204" i="7"/>
  <c r="C203" i="7"/>
  <c r="C202" i="7"/>
  <c r="C201" i="7"/>
  <c r="C200" i="7"/>
  <c r="C199" i="7"/>
  <c r="C198" i="7"/>
  <c r="C197" i="7"/>
  <c r="C196" i="7"/>
  <c r="C195" i="7"/>
  <c r="C194" i="7"/>
  <c r="C193" i="7"/>
  <c r="C192" i="7"/>
  <c r="C191" i="7"/>
  <c r="C190" i="7"/>
  <c r="C189" i="7"/>
  <c r="C188" i="7"/>
  <c r="C187" i="7"/>
  <c r="C186" i="7"/>
  <c r="C185" i="7"/>
  <c r="C184" i="7"/>
  <c r="C183" i="7"/>
  <c r="C182" i="7"/>
  <c r="C181" i="7"/>
  <c r="C180" i="7"/>
  <c r="C179" i="7"/>
  <c r="C178" i="7"/>
  <c r="C177" i="7"/>
  <c r="C176" i="7"/>
  <c r="C175" i="7"/>
  <c r="C174" i="7"/>
  <c r="C173" i="7"/>
  <c r="C172" i="7"/>
  <c r="C171" i="7"/>
  <c r="C170" i="7"/>
  <c r="C169" i="7"/>
  <c r="C168" i="7"/>
  <c r="C167" i="7"/>
  <c r="C166" i="7"/>
  <c r="C165" i="7"/>
  <c r="C164" i="7"/>
  <c r="C160" i="7"/>
  <c r="C159" i="7"/>
  <c r="C158" i="7"/>
  <c r="C157" i="7"/>
  <c r="C156" i="7"/>
  <c r="C155" i="7"/>
  <c r="C154" i="7"/>
  <c r="C153" i="7"/>
  <c r="C152" i="7"/>
  <c r="C151" i="7"/>
  <c r="C150" i="7"/>
  <c r="C149" i="7"/>
  <c r="C148" i="7"/>
  <c r="C147" i="7"/>
  <c r="C146" i="7"/>
  <c r="C145" i="7"/>
  <c r="C143" i="7"/>
  <c r="C141" i="7"/>
  <c r="C139" i="7"/>
  <c r="C137" i="7"/>
  <c r="C135" i="7"/>
  <c r="C133" i="7"/>
  <c r="C131" i="7"/>
  <c r="C127" i="7"/>
  <c r="C124" i="7"/>
  <c r="C123" i="7"/>
  <c r="C122" i="7"/>
  <c r="C121" i="7"/>
  <c r="C120" i="7"/>
  <c r="C119" i="7"/>
  <c r="C118" i="7"/>
  <c r="C117" i="7"/>
  <c r="C116" i="7"/>
  <c r="C115" i="7"/>
  <c r="C114" i="7"/>
  <c r="C113" i="7"/>
  <c r="C112" i="7"/>
  <c r="C111" i="7"/>
  <c r="C107" i="7"/>
  <c r="C106" i="7"/>
  <c r="C105" i="7"/>
  <c r="C104" i="7"/>
  <c r="C103" i="7"/>
  <c r="C102" i="7"/>
  <c r="C101" i="7"/>
  <c r="C100" i="7"/>
  <c r="C99" i="7"/>
  <c r="C98" i="7"/>
  <c r="C97" i="7"/>
  <c r="C96" i="7"/>
  <c r="C95" i="7"/>
  <c r="C93" i="7"/>
  <c r="C92" i="7"/>
  <c r="C91" i="7"/>
  <c r="C89" i="7"/>
  <c r="C88" i="7"/>
  <c r="C87" i="7"/>
  <c r="C86" i="7"/>
  <c r="C84" i="7"/>
  <c r="C83" i="7"/>
  <c r="C82" i="7"/>
  <c r="C81" i="7"/>
  <c r="C80" i="7"/>
  <c r="C79" i="7"/>
  <c r="C78" i="7"/>
  <c r="C77" i="7"/>
  <c r="C76" i="7"/>
  <c r="C75" i="7"/>
  <c r="C74" i="7"/>
  <c r="C73" i="7"/>
  <c r="C72" i="7"/>
  <c r="C71" i="7"/>
  <c r="C70" i="7"/>
  <c r="C69" i="7"/>
  <c r="C68" i="7"/>
  <c r="C67" i="7"/>
  <c r="C66" i="7"/>
  <c r="C65" i="7"/>
  <c r="C64" i="7"/>
  <c r="C63" i="7"/>
  <c r="C62" i="7"/>
  <c r="C61" i="7"/>
  <c r="C60" i="7"/>
  <c r="C59" i="7"/>
  <c r="C58" i="7"/>
  <c r="C57" i="7"/>
  <c r="C56" i="7"/>
  <c r="C55" i="7"/>
  <c r="C54" i="7"/>
  <c r="C53" i="7"/>
  <c r="C52" i="7"/>
  <c r="C51" i="7"/>
  <c r="C50" i="7"/>
  <c r="C49" i="7"/>
  <c r="C48" i="7"/>
  <c r="C47" i="7"/>
  <c r="C46" i="7"/>
  <c r="C45" i="7"/>
  <c r="C44" i="7"/>
  <c r="C43" i="7"/>
  <c r="C42" i="7"/>
  <c r="C41" i="7"/>
  <c r="C40" i="7"/>
  <c r="C39" i="7"/>
  <c r="C38" i="7"/>
  <c r="C37" i="7"/>
  <c r="C36" i="7"/>
  <c r="C34" i="7"/>
  <c r="C33" i="7"/>
  <c r="C32" i="7"/>
  <c r="C31" i="7"/>
  <c r="C30" i="7"/>
  <c r="C29" i="7"/>
  <c r="C28" i="7"/>
  <c r="C27" i="7"/>
  <c r="C26" i="7"/>
  <c r="C25" i="7"/>
  <c r="C24" i="7"/>
  <c r="C23" i="7"/>
  <c r="C22" i="7"/>
  <c r="C21" i="7"/>
  <c r="C20" i="7"/>
  <c r="C19" i="7"/>
  <c r="C18" i="7"/>
  <c r="C17" i="7"/>
  <c r="C16" i="7"/>
  <c r="C15" i="7"/>
  <c r="C14" i="7"/>
  <c r="C13" i="7"/>
  <c r="C12" i="7"/>
  <c r="C11" i="7"/>
  <c r="C10" i="7"/>
  <c r="C9" i="7"/>
  <c r="C8" i="7"/>
  <c r="C7" i="7"/>
  <c r="D35" i="7"/>
  <c r="E35" i="7" s="1"/>
  <c r="F35" i="7"/>
  <c r="G35" i="7"/>
  <c r="H35" i="7"/>
  <c r="I35" i="7"/>
  <c r="J35" i="7"/>
  <c r="K35" i="7"/>
  <c r="L35" i="7"/>
  <c r="M35" i="7"/>
  <c r="N35" i="7"/>
  <c r="O35" i="7"/>
  <c r="P35" i="7"/>
  <c r="D6" i="5"/>
  <c r="E6" i="5" s="1"/>
  <c r="F6" i="5"/>
  <c r="G6" i="5"/>
  <c r="H6" i="5"/>
  <c r="I6" i="5"/>
  <c r="J6" i="5"/>
  <c r="K6" i="5"/>
  <c r="L6" i="5"/>
  <c r="M6" i="5"/>
  <c r="N6" i="5"/>
  <c r="O6" i="5"/>
  <c r="P6" i="5"/>
  <c r="A4" i="6"/>
  <c r="D155" i="5"/>
  <c r="E155" i="5"/>
  <c r="F155" i="5"/>
  <c r="G155" i="5"/>
  <c r="H155" i="5"/>
  <c r="I155" i="5"/>
  <c r="J155" i="5"/>
  <c r="K155" i="5"/>
  <c r="L155" i="5"/>
  <c r="M155" i="5"/>
  <c r="N155" i="5"/>
  <c r="O155" i="5"/>
  <c r="P155" i="5"/>
  <c r="A153" i="6"/>
  <c r="D154" i="5"/>
  <c r="E154" i="5"/>
  <c r="F154" i="5"/>
  <c r="G154" i="5"/>
  <c r="H154" i="5"/>
  <c r="I154" i="5"/>
  <c r="J154" i="5"/>
  <c r="K154" i="5"/>
  <c r="L154" i="5"/>
  <c r="M154" i="5"/>
  <c r="N154" i="5"/>
  <c r="O154" i="5"/>
  <c r="P154" i="5"/>
  <c r="A152" i="6"/>
  <c r="D153" i="5"/>
  <c r="E153" i="5"/>
  <c r="F153" i="5"/>
  <c r="G153" i="5"/>
  <c r="H153" i="5"/>
  <c r="I153" i="5"/>
  <c r="J153" i="5"/>
  <c r="K153" i="5"/>
  <c r="L153" i="5"/>
  <c r="M153" i="5"/>
  <c r="N153" i="5"/>
  <c r="O153" i="5"/>
  <c r="P153" i="5"/>
  <c r="A151" i="6"/>
  <c r="D152" i="5"/>
  <c r="E152" i="5"/>
  <c r="F152" i="5"/>
  <c r="G152" i="5"/>
  <c r="H152" i="5"/>
  <c r="I152" i="5"/>
  <c r="J152" i="5"/>
  <c r="K152" i="5"/>
  <c r="L152" i="5"/>
  <c r="M152" i="5"/>
  <c r="N152" i="5"/>
  <c r="O152" i="5"/>
  <c r="P152" i="5"/>
  <c r="A150" i="6"/>
  <c r="D151" i="5"/>
  <c r="E151" i="5"/>
  <c r="F151" i="5"/>
  <c r="G151" i="5"/>
  <c r="H151" i="5"/>
  <c r="I151" i="5"/>
  <c r="J151" i="5"/>
  <c r="K151" i="5"/>
  <c r="L151" i="5"/>
  <c r="M151" i="5"/>
  <c r="N151" i="5"/>
  <c r="O151" i="5"/>
  <c r="P151" i="5"/>
  <c r="A149" i="6"/>
  <c r="D150" i="5"/>
  <c r="E150" i="5"/>
  <c r="F150" i="5"/>
  <c r="G150" i="5"/>
  <c r="H150" i="5"/>
  <c r="I150" i="5"/>
  <c r="J150" i="5"/>
  <c r="K150" i="5"/>
  <c r="L150" i="5"/>
  <c r="M150" i="5"/>
  <c r="N150" i="5"/>
  <c r="O150" i="5"/>
  <c r="P150" i="5"/>
  <c r="A148" i="6"/>
  <c r="D149" i="5"/>
  <c r="E149" i="5"/>
  <c r="F149" i="5"/>
  <c r="G149" i="5"/>
  <c r="H149" i="5"/>
  <c r="I149" i="5"/>
  <c r="J149" i="5"/>
  <c r="K149" i="5"/>
  <c r="L149" i="5"/>
  <c r="M149" i="5"/>
  <c r="N149" i="5"/>
  <c r="O149" i="5"/>
  <c r="P149" i="5"/>
  <c r="A147" i="6"/>
  <c r="D148" i="5"/>
  <c r="E148" i="5"/>
  <c r="F148" i="5"/>
  <c r="G148" i="5"/>
  <c r="H148" i="5"/>
  <c r="I148" i="5"/>
  <c r="J148" i="5"/>
  <c r="K148" i="5"/>
  <c r="L148" i="5"/>
  <c r="M148" i="5"/>
  <c r="N148" i="5"/>
  <c r="O148" i="5"/>
  <c r="P148" i="5"/>
  <c r="A146" i="6"/>
  <c r="D147" i="5"/>
  <c r="E147" i="5"/>
  <c r="F147" i="5"/>
  <c r="G147" i="5"/>
  <c r="H147" i="5"/>
  <c r="I147" i="5"/>
  <c r="J147" i="5"/>
  <c r="K147" i="5"/>
  <c r="L147" i="5"/>
  <c r="M147" i="5"/>
  <c r="N147" i="5"/>
  <c r="O147" i="5"/>
  <c r="P147" i="5"/>
  <c r="A145" i="6"/>
  <c r="D146" i="5"/>
  <c r="E146" i="5"/>
  <c r="F146" i="5"/>
  <c r="G146" i="5"/>
  <c r="H146" i="5"/>
  <c r="I146" i="5"/>
  <c r="J146" i="5"/>
  <c r="K146" i="5"/>
  <c r="L146" i="5"/>
  <c r="M146" i="5"/>
  <c r="N146" i="5"/>
  <c r="O146" i="5"/>
  <c r="P146" i="5"/>
  <c r="A144" i="6"/>
  <c r="D145" i="5"/>
  <c r="E145" i="5"/>
  <c r="F145" i="5"/>
  <c r="G145" i="5"/>
  <c r="H145" i="5"/>
  <c r="I145" i="5"/>
  <c r="J145" i="5"/>
  <c r="K145" i="5"/>
  <c r="L145" i="5"/>
  <c r="M145" i="5"/>
  <c r="N145" i="5"/>
  <c r="O145" i="5"/>
  <c r="P145" i="5"/>
  <c r="A143" i="6"/>
  <c r="D144" i="5"/>
  <c r="E144" i="5"/>
  <c r="F144" i="5"/>
  <c r="G144" i="5"/>
  <c r="H144" i="5"/>
  <c r="I144" i="5"/>
  <c r="J144" i="5"/>
  <c r="K144" i="5"/>
  <c r="L144" i="5"/>
  <c r="M144" i="5"/>
  <c r="N144" i="5"/>
  <c r="O144" i="5"/>
  <c r="P144" i="5"/>
  <c r="A142" i="6"/>
  <c r="D143" i="5"/>
  <c r="E143" i="5"/>
  <c r="F143" i="5"/>
  <c r="H143" i="5"/>
  <c r="I143" i="5"/>
  <c r="J143" i="5"/>
  <c r="K143" i="5"/>
  <c r="L143" i="5"/>
  <c r="M143" i="5"/>
  <c r="N143" i="5"/>
  <c r="O143" i="5"/>
  <c r="P143" i="5"/>
  <c r="G143" i="5"/>
  <c r="A141" i="6"/>
  <c r="E142" i="5"/>
  <c r="G142" i="5"/>
  <c r="H142" i="5"/>
  <c r="J142" i="5"/>
  <c r="M142" i="5"/>
  <c r="D142" i="5"/>
  <c r="F142" i="5"/>
  <c r="I142" i="5"/>
  <c r="K142" i="5"/>
  <c r="L142" i="5"/>
  <c r="N142" i="5"/>
  <c r="O142" i="5"/>
  <c r="P142" i="5"/>
  <c r="A140" i="6"/>
  <c r="E141" i="5"/>
  <c r="G141" i="5"/>
  <c r="J141" i="5"/>
  <c r="L141" i="5"/>
  <c r="D141" i="5"/>
  <c r="F141" i="5"/>
  <c r="H141" i="5"/>
  <c r="I141" i="5"/>
  <c r="K141" i="5"/>
  <c r="M141" i="5"/>
  <c r="N141" i="5"/>
  <c r="O141" i="5"/>
  <c r="P141" i="5"/>
  <c r="A139" i="6"/>
  <c r="D140" i="5"/>
  <c r="E140" i="5"/>
  <c r="F140" i="5"/>
  <c r="G140" i="5"/>
  <c r="H140" i="5"/>
  <c r="I140" i="5"/>
  <c r="J140" i="5"/>
  <c r="K140" i="5"/>
  <c r="L140" i="5"/>
  <c r="M140" i="5"/>
  <c r="N140" i="5"/>
  <c r="O140" i="5"/>
  <c r="P140" i="5"/>
  <c r="A138" i="6"/>
  <c r="F139" i="5"/>
  <c r="H139" i="5"/>
  <c r="I139" i="5"/>
  <c r="L139" i="5"/>
  <c r="D139" i="5"/>
  <c r="E139" i="5"/>
  <c r="G139" i="5"/>
  <c r="J139" i="5"/>
  <c r="K139" i="5"/>
  <c r="M139" i="5"/>
  <c r="N139" i="5"/>
  <c r="O139" i="5"/>
  <c r="P139" i="5"/>
  <c r="A137" i="6"/>
  <c r="D137" i="5"/>
  <c r="F137" i="5"/>
  <c r="H137" i="5"/>
  <c r="I137" i="5"/>
  <c r="K137" i="5"/>
  <c r="M137" i="5"/>
  <c r="E137" i="5"/>
  <c r="G137" i="5"/>
  <c r="J137" i="5"/>
  <c r="L137" i="5"/>
  <c r="N137" i="5"/>
  <c r="O137" i="5"/>
  <c r="P137" i="5"/>
  <c r="A135" i="6"/>
  <c r="D136" i="5"/>
  <c r="G136" i="5"/>
  <c r="I136" i="5"/>
  <c r="J136" i="5"/>
  <c r="L136" i="5"/>
  <c r="E136" i="5"/>
  <c r="F136" i="5"/>
  <c r="H136" i="5"/>
  <c r="K136" i="5"/>
  <c r="M136" i="5"/>
  <c r="N136" i="5"/>
  <c r="O136" i="5"/>
  <c r="P136" i="5"/>
  <c r="A134" i="6"/>
  <c r="F133" i="5"/>
  <c r="H133" i="5"/>
  <c r="I133" i="5"/>
  <c r="D133" i="5"/>
  <c r="E133" i="5"/>
  <c r="G133" i="5"/>
  <c r="J133" i="5"/>
  <c r="K133" i="5"/>
  <c r="L133" i="5"/>
  <c r="M133" i="5"/>
  <c r="N133" i="5"/>
  <c r="O133" i="5"/>
  <c r="P133" i="5"/>
  <c r="A131" i="6"/>
  <c r="E130" i="5"/>
  <c r="G130" i="5"/>
  <c r="I130" i="5"/>
  <c r="K130" i="5"/>
  <c r="M130" i="5"/>
  <c r="N130" i="5"/>
  <c r="D130" i="5"/>
  <c r="F130" i="5"/>
  <c r="H130" i="5"/>
  <c r="J130" i="5"/>
  <c r="L130" i="5"/>
  <c r="O130" i="5"/>
  <c r="P130" i="5"/>
  <c r="A128" i="6"/>
  <c r="F129" i="5"/>
  <c r="G129" i="5"/>
  <c r="I129" i="5"/>
  <c r="K129" i="5"/>
  <c r="L129" i="5"/>
  <c r="M129" i="5"/>
  <c r="N129" i="5"/>
  <c r="O129" i="5"/>
  <c r="P129" i="5"/>
  <c r="D129" i="5"/>
  <c r="E129" i="5"/>
  <c r="H129" i="5"/>
  <c r="J129" i="5"/>
  <c r="A127" i="6"/>
  <c r="E127" i="5"/>
  <c r="G127" i="5"/>
  <c r="I127" i="5"/>
  <c r="K127" i="5"/>
  <c r="M127" i="5"/>
  <c r="D127" i="5"/>
  <c r="F127" i="5"/>
  <c r="H127" i="5"/>
  <c r="J127" i="5"/>
  <c r="L127" i="5"/>
  <c r="N127" i="5"/>
  <c r="O127" i="5"/>
  <c r="P127" i="5"/>
  <c r="A125" i="6"/>
  <c r="E124" i="5"/>
  <c r="F124" i="5"/>
  <c r="I124" i="5"/>
  <c r="J124" i="5"/>
  <c r="D124" i="5"/>
  <c r="G124" i="5"/>
  <c r="H124" i="5"/>
  <c r="K124" i="5"/>
  <c r="L124" i="5"/>
  <c r="M124" i="5"/>
  <c r="N124" i="5"/>
  <c r="O124" i="5"/>
  <c r="P124" i="5"/>
  <c r="A122" i="6"/>
  <c r="E122" i="5"/>
  <c r="G122" i="5"/>
  <c r="I122" i="5"/>
  <c r="L122" i="5"/>
  <c r="N122" i="5"/>
  <c r="D122" i="5"/>
  <c r="F122" i="5"/>
  <c r="H122" i="5"/>
  <c r="J122" i="5"/>
  <c r="K122" i="5"/>
  <c r="M122" i="5"/>
  <c r="O122" i="5"/>
  <c r="P122" i="5"/>
  <c r="A120" i="6"/>
  <c r="D121" i="5"/>
  <c r="F121" i="5"/>
  <c r="G121" i="5"/>
  <c r="J121" i="5"/>
  <c r="K121" i="5"/>
  <c r="M121" i="5"/>
  <c r="O121" i="5"/>
  <c r="P121" i="5"/>
  <c r="E121" i="5"/>
  <c r="H121" i="5"/>
  <c r="I121" i="5"/>
  <c r="L121" i="5"/>
  <c r="N121" i="5"/>
  <c r="A119" i="6"/>
  <c r="E119" i="5"/>
  <c r="H119" i="5"/>
  <c r="J119" i="5"/>
  <c r="L119" i="5"/>
  <c r="M119" i="5"/>
  <c r="D119" i="5"/>
  <c r="F119" i="5"/>
  <c r="G119" i="5"/>
  <c r="I119" i="5"/>
  <c r="K119" i="5"/>
  <c r="N119" i="5"/>
  <c r="O119" i="5"/>
  <c r="P119" i="5"/>
  <c r="A117" i="6"/>
  <c r="E118" i="5"/>
  <c r="G118" i="5"/>
  <c r="I118" i="5"/>
  <c r="K118" i="5"/>
  <c r="M118" i="5"/>
  <c r="N118" i="5"/>
  <c r="O118" i="5"/>
  <c r="P118" i="5"/>
  <c r="D118" i="5"/>
  <c r="F118" i="5"/>
  <c r="H118" i="5"/>
  <c r="J118" i="5"/>
  <c r="L118" i="5"/>
  <c r="A116" i="6"/>
  <c r="E117" i="5"/>
  <c r="G117" i="5"/>
  <c r="I117" i="5"/>
  <c r="K117" i="5"/>
  <c r="M117" i="5"/>
  <c r="N117" i="5"/>
  <c r="O117" i="5"/>
  <c r="P117" i="5"/>
  <c r="D117" i="5"/>
  <c r="F117" i="5"/>
  <c r="H117" i="5"/>
  <c r="J117" i="5"/>
  <c r="L117" i="5"/>
  <c r="A115" i="6"/>
  <c r="E116" i="5"/>
  <c r="G116" i="5"/>
  <c r="I116" i="5"/>
  <c r="K116" i="5"/>
  <c r="M116" i="5"/>
  <c r="N116" i="5"/>
  <c r="O116" i="5"/>
  <c r="P116" i="5"/>
  <c r="D116" i="5"/>
  <c r="F116" i="5"/>
  <c r="H116" i="5"/>
  <c r="J116" i="5"/>
  <c r="L116" i="5"/>
  <c r="A114" i="6"/>
  <c r="E115" i="5"/>
  <c r="F115" i="5"/>
  <c r="H115" i="5"/>
  <c r="J115" i="5"/>
  <c r="L115" i="5"/>
  <c r="N115" i="5"/>
  <c r="O115" i="5"/>
  <c r="P115" i="5"/>
  <c r="D115" i="5"/>
  <c r="G115" i="5"/>
  <c r="I115" i="5"/>
  <c r="K115" i="5"/>
  <c r="M115" i="5"/>
  <c r="A113" i="6"/>
  <c r="E111" i="5"/>
  <c r="G111" i="5"/>
  <c r="I111" i="5"/>
  <c r="K111" i="5"/>
  <c r="L111" i="5"/>
  <c r="N111" i="5"/>
  <c r="O111" i="5"/>
  <c r="P111" i="5"/>
  <c r="D111" i="5"/>
  <c r="F111" i="5"/>
  <c r="H111" i="5"/>
  <c r="J111" i="5"/>
  <c r="M111" i="5"/>
  <c r="A109" i="6"/>
  <c r="D110" i="5"/>
  <c r="E110" i="5"/>
  <c r="F110" i="5"/>
  <c r="G110" i="5"/>
  <c r="J110" i="5"/>
  <c r="K110" i="5"/>
  <c r="L110" i="5"/>
  <c r="N110" i="5"/>
  <c r="O110" i="5"/>
  <c r="P110" i="5"/>
  <c r="H110" i="5"/>
  <c r="I110" i="5"/>
  <c r="M110" i="5"/>
  <c r="A108" i="6"/>
  <c r="D109" i="5"/>
  <c r="E109" i="5"/>
  <c r="F109" i="5"/>
  <c r="G109" i="5"/>
  <c r="H109" i="5"/>
  <c r="I109" i="5"/>
  <c r="J109" i="5"/>
  <c r="K109" i="5"/>
  <c r="L109" i="5"/>
  <c r="M109" i="5"/>
  <c r="N109" i="5"/>
  <c r="O109" i="5"/>
  <c r="P109" i="5"/>
  <c r="A107" i="6"/>
  <c r="D108" i="5"/>
  <c r="E108" i="5"/>
  <c r="F108" i="5"/>
  <c r="G108" i="5"/>
  <c r="H108" i="5"/>
  <c r="I108" i="5"/>
  <c r="J108" i="5"/>
  <c r="K108" i="5"/>
  <c r="L108" i="5"/>
  <c r="M108" i="5"/>
  <c r="N108" i="5"/>
  <c r="O108" i="5"/>
  <c r="P108" i="5"/>
  <c r="A106" i="6"/>
  <c r="E107" i="5"/>
  <c r="G107" i="5"/>
  <c r="H107" i="5"/>
  <c r="J107" i="5"/>
  <c r="L107" i="5"/>
  <c r="N107" i="5"/>
  <c r="O107" i="5"/>
  <c r="P107" i="5"/>
  <c r="D107" i="5"/>
  <c r="F107" i="5"/>
  <c r="I107" i="5"/>
  <c r="K107" i="5"/>
  <c r="M107" i="5"/>
  <c r="A105" i="6"/>
  <c r="D104" i="5"/>
  <c r="E104" i="5"/>
  <c r="F104" i="5"/>
  <c r="G104" i="5"/>
  <c r="H104" i="5"/>
  <c r="I104" i="5"/>
  <c r="J104" i="5"/>
  <c r="L104" i="5"/>
  <c r="K104" i="5"/>
  <c r="M104" i="5"/>
  <c r="N104" i="5"/>
  <c r="O104" i="5"/>
  <c r="P104" i="5"/>
  <c r="A102" i="6"/>
  <c r="E103" i="5"/>
  <c r="H103" i="5"/>
  <c r="J103" i="5"/>
  <c r="D103" i="5"/>
  <c r="F103" i="5"/>
  <c r="G103" i="5"/>
  <c r="I103" i="5"/>
  <c r="K103" i="5"/>
  <c r="L103" i="5"/>
  <c r="M103" i="5"/>
  <c r="N103" i="5"/>
  <c r="O103" i="5"/>
  <c r="P103" i="5"/>
  <c r="A101" i="6"/>
  <c r="E101" i="5"/>
  <c r="G101" i="5"/>
  <c r="H101" i="5"/>
  <c r="J101" i="5"/>
  <c r="L101" i="5"/>
  <c r="D101" i="5"/>
  <c r="F101" i="5"/>
  <c r="I101" i="5"/>
  <c r="K101" i="5"/>
  <c r="M101" i="5"/>
  <c r="N101" i="5"/>
  <c r="O101" i="5"/>
  <c r="P101" i="5"/>
  <c r="A99" i="6"/>
  <c r="E99" i="5"/>
  <c r="G99" i="5"/>
  <c r="I99" i="5"/>
  <c r="K99" i="5"/>
  <c r="D99" i="5"/>
  <c r="F99" i="5"/>
  <c r="H99" i="5"/>
  <c r="J99" i="5"/>
  <c r="L99" i="5"/>
  <c r="M99" i="5"/>
  <c r="N99" i="5"/>
  <c r="O99" i="5"/>
  <c r="P99" i="5"/>
  <c r="A97" i="6"/>
  <c r="F96" i="5"/>
  <c r="G96" i="5"/>
  <c r="I96" i="5"/>
  <c r="K96" i="5"/>
  <c r="M96" i="5"/>
  <c r="N96" i="5"/>
  <c r="O96" i="5"/>
  <c r="P96" i="5"/>
  <c r="D96" i="5"/>
  <c r="E96" i="5"/>
  <c r="H96" i="5"/>
  <c r="J96" i="5"/>
  <c r="L96" i="5"/>
  <c r="A94" i="6"/>
  <c r="E95" i="5"/>
  <c r="F95" i="5"/>
  <c r="I95" i="5"/>
  <c r="K95" i="5"/>
  <c r="L95" i="5"/>
  <c r="N95" i="5"/>
  <c r="O95" i="5"/>
  <c r="P95" i="5"/>
  <c r="D95" i="5"/>
  <c r="G95" i="5"/>
  <c r="H95" i="5"/>
  <c r="J95" i="5"/>
  <c r="M95" i="5"/>
  <c r="A93" i="6"/>
  <c r="E94" i="5"/>
  <c r="G94" i="5"/>
  <c r="I94" i="5"/>
  <c r="K94" i="5"/>
  <c r="D94" i="5"/>
  <c r="F94" i="5"/>
  <c r="H94" i="5"/>
  <c r="J94" i="5"/>
  <c r="L94" i="5"/>
  <c r="M94" i="5"/>
  <c r="N94" i="5"/>
  <c r="O94" i="5"/>
  <c r="P94" i="5"/>
  <c r="A92" i="6"/>
  <c r="E92" i="5"/>
  <c r="F92" i="5"/>
  <c r="H92" i="5"/>
  <c r="J92" i="5"/>
  <c r="L92" i="5"/>
  <c r="D92" i="5"/>
  <c r="G92" i="5"/>
  <c r="I92" i="5"/>
  <c r="K92" i="5"/>
  <c r="M92" i="5"/>
  <c r="N92" i="5"/>
  <c r="O92" i="5"/>
  <c r="P92" i="5"/>
  <c r="A90" i="6"/>
  <c r="E138" i="5"/>
  <c r="G138" i="5"/>
  <c r="I138" i="5"/>
  <c r="K138" i="5"/>
  <c r="M138" i="5"/>
  <c r="N138" i="5"/>
  <c r="O138" i="5"/>
  <c r="P138" i="5"/>
  <c r="A136" i="6"/>
  <c r="D138" i="5"/>
  <c r="F138" i="5"/>
  <c r="H138" i="5"/>
  <c r="J138" i="5"/>
  <c r="L138" i="5"/>
  <c r="E135" i="5"/>
  <c r="H135" i="5"/>
  <c r="J135" i="5"/>
  <c r="K135" i="5"/>
  <c r="M135" i="5"/>
  <c r="A133" i="6"/>
  <c r="D135" i="5"/>
  <c r="F135" i="5"/>
  <c r="G135" i="5"/>
  <c r="I135" i="5"/>
  <c r="L135" i="5"/>
  <c r="N135" i="5"/>
  <c r="O135" i="5"/>
  <c r="P135" i="5"/>
  <c r="E134" i="5"/>
  <c r="G134" i="5"/>
  <c r="I134" i="5"/>
  <c r="K134" i="5"/>
  <c r="L134" i="5"/>
  <c r="M134" i="5"/>
  <c r="N134" i="5"/>
  <c r="O134" i="5"/>
  <c r="P134" i="5"/>
  <c r="A132" i="6"/>
  <c r="D134" i="5"/>
  <c r="F134" i="5"/>
  <c r="H134" i="5"/>
  <c r="J134" i="5"/>
  <c r="E132" i="5"/>
  <c r="G132" i="5"/>
  <c r="I132" i="5"/>
  <c r="A130" i="6"/>
  <c r="D132" i="5"/>
  <c r="F132" i="5"/>
  <c r="H132" i="5"/>
  <c r="J132" i="5"/>
  <c r="K132" i="5"/>
  <c r="L132" i="5"/>
  <c r="M132" i="5"/>
  <c r="N132" i="5"/>
  <c r="O132" i="5"/>
  <c r="P132" i="5"/>
  <c r="E131" i="5"/>
  <c r="F131" i="5"/>
  <c r="I131" i="5"/>
  <c r="J131" i="5"/>
  <c r="L131" i="5"/>
  <c r="M131" i="5"/>
  <c r="N131" i="5"/>
  <c r="O131" i="5"/>
  <c r="P131" i="5"/>
  <c r="A129" i="6"/>
  <c r="D131" i="5"/>
  <c r="G131" i="5"/>
  <c r="H131" i="5"/>
  <c r="K131" i="5"/>
  <c r="F128" i="5"/>
  <c r="H128" i="5"/>
  <c r="J128" i="5"/>
  <c r="L128" i="5"/>
  <c r="M128" i="5"/>
  <c r="N128" i="5"/>
  <c r="O128" i="5"/>
  <c r="P128" i="5"/>
  <c r="A126" i="6"/>
  <c r="D128" i="5"/>
  <c r="E128" i="5"/>
  <c r="G128" i="5"/>
  <c r="I128" i="5"/>
  <c r="K128" i="5"/>
  <c r="E126" i="5"/>
  <c r="H126" i="5"/>
  <c r="I126" i="5"/>
  <c r="J126" i="5"/>
  <c r="K126" i="5"/>
  <c r="L126" i="5"/>
  <c r="M126" i="5"/>
  <c r="N126" i="5"/>
  <c r="O126" i="5"/>
  <c r="A124" i="6"/>
  <c r="D126" i="5"/>
  <c r="F126" i="5"/>
  <c r="G126" i="5"/>
  <c r="P126" i="5"/>
  <c r="E125" i="5"/>
  <c r="G125" i="5"/>
  <c r="I125" i="5"/>
  <c r="K125" i="5"/>
  <c r="L125" i="5"/>
  <c r="M125" i="5"/>
  <c r="N125" i="5"/>
  <c r="O125" i="5"/>
  <c r="P125" i="5"/>
  <c r="A123" i="6"/>
  <c r="D125" i="5"/>
  <c r="F125" i="5"/>
  <c r="H125" i="5"/>
  <c r="J125" i="5"/>
  <c r="F123" i="5"/>
  <c r="H123" i="5"/>
  <c r="J123" i="5"/>
  <c r="K123" i="5"/>
  <c r="M123" i="5"/>
  <c r="A121" i="6"/>
  <c r="D123" i="5"/>
  <c r="E123" i="5"/>
  <c r="G123" i="5"/>
  <c r="I123" i="5"/>
  <c r="L123" i="5"/>
  <c r="N123" i="5"/>
  <c r="O123" i="5"/>
  <c r="P123" i="5"/>
  <c r="G120" i="5"/>
  <c r="I120" i="5"/>
  <c r="K120" i="5"/>
  <c r="A118" i="6"/>
  <c r="D120" i="5"/>
  <c r="E120" i="5"/>
  <c r="F120" i="5"/>
  <c r="H120" i="5"/>
  <c r="J120" i="5"/>
  <c r="L120" i="5"/>
  <c r="M120" i="5"/>
  <c r="N120" i="5"/>
  <c r="O120" i="5"/>
  <c r="P120" i="5"/>
  <c r="E114" i="5"/>
  <c r="G114" i="5"/>
  <c r="I114" i="5"/>
  <c r="J114" i="5"/>
  <c r="L114" i="5"/>
  <c r="A112" i="6"/>
  <c r="D114" i="5"/>
  <c r="F114" i="5"/>
  <c r="H114" i="5"/>
  <c r="K114" i="5"/>
  <c r="M114" i="5"/>
  <c r="N114" i="5"/>
  <c r="O114" i="5"/>
  <c r="P114" i="5"/>
  <c r="E113" i="5"/>
  <c r="G113" i="5"/>
  <c r="I113" i="5"/>
  <c r="K113" i="5"/>
  <c r="M113" i="5"/>
  <c r="N113" i="5"/>
  <c r="O113" i="5"/>
  <c r="P113" i="5"/>
  <c r="A111" i="6"/>
  <c r="D113" i="5"/>
  <c r="F113" i="5"/>
  <c r="H113" i="5"/>
  <c r="J113" i="5"/>
  <c r="L113" i="5"/>
  <c r="E112" i="5"/>
  <c r="G112" i="5"/>
  <c r="H112" i="5"/>
  <c r="J112" i="5"/>
  <c r="K112" i="5"/>
  <c r="M112" i="5"/>
  <c r="N112" i="5"/>
  <c r="O112" i="5"/>
  <c r="P112" i="5"/>
  <c r="A110" i="6"/>
  <c r="D112" i="5"/>
  <c r="F112" i="5"/>
  <c r="I112" i="5"/>
  <c r="L112" i="5"/>
  <c r="E106" i="5"/>
  <c r="H106" i="5"/>
  <c r="I106" i="5"/>
  <c r="K106" i="5"/>
  <c r="M106" i="5"/>
  <c r="O106" i="5"/>
  <c r="P106" i="5"/>
  <c r="A104" i="6"/>
  <c r="D106" i="5"/>
  <c r="F106" i="5"/>
  <c r="G106" i="5"/>
  <c r="J106" i="5"/>
  <c r="L106" i="5"/>
  <c r="N106" i="5"/>
  <c r="F105" i="5"/>
  <c r="H105" i="5"/>
  <c r="J105" i="5"/>
  <c r="M105" i="5"/>
  <c r="N105" i="5"/>
  <c r="O105" i="5"/>
  <c r="P105" i="5"/>
  <c r="A103" i="6"/>
  <c r="D105" i="5"/>
  <c r="E105" i="5"/>
  <c r="G105" i="5"/>
  <c r="I105" i="5"/>
  <c r="K105" i="5"/>
  <c r="L105" i="5"/>
  <c r="E102" i="5"/>
  <c r="G102" i="5"/>
  <c r="I102" i="5"/>
  <c r="L102" i="5"/>
  <c r="A100" i="6"/>
  <c r="D102" i="5"/>
  <c r="F102" i="5"/>
  <c r="H102" i="5"/>
  <c r="J102" i="5"/>
  <c r="K102" i="5"/>
  <c r="M102" i="5"/>
  <c r="N102" i="5"/>
  <c r="O102" i="5"/>
  <c r="P102" i="5"/>
  <c r="E100" i="5"/>
  <c r="H100" i="5"/>
  <c r="K100" i="5"/>
  <c r="A98" i="6"/>
  <c r="D100" i="5"/>
  <c r="F100" i="5"/>
  <c r="G100" i="5"/>
  <c r="I100" i="5"/>
  <c r="J100" i="5"/>
  <c r="L100" i="5"/>
  <c r="M100" i="5"/>
  <c r="N100" i="5"/>
  <c r="O100" i="5"/>
  <c r="P100" i="5"/>
  <c r="E98" i="5"/>
  <c r="H98" i="5"/>
  <c r="J98" i="5"/>
  <c r="K98" i="5"/>
  <c r="A96" i="6"/>
  <c r="D98" i="5"/>
  <c r="F98" i="5"/>
  <c r="G98" i="5"/>
  <c r="I98" i="5"/>
  <c r="L98" i="5"/>
  <c r="M98" i="5"/>
  <c r="N98" i="5"/>
  <c r="O98" i="5"/>
  <c r="P98" i="5"/>
  <c r="E97" i="5"/>
  <c r="G97" i="5"/>
  <c r="J97" i="5"/>
  <c r="L97" i="5"/>
  <c r="N97" i="5"/>
  <c r="O97" i="5"/>
  <c r="P97" i="5"/>
  <c r="A95" i="6"/>
  <c r="D97" i="5"/>
  <c r="F97" i="5"/>
  <c r="H97" i="5"/>
  <c r="I97" i="5"/>
  <c r="K97" i="5"/>
  <c r="M97" i="5"/>
  <c r="E93" i="5"/>
  <c r="G93" i="5"/>
  <c r="I93" i="5"/>
  <c r="K93" i="5"/>
  <c r="L93" i="5"/>
  <c r="N93" i="5"/>
  <c r="P93" i="5"/>
  <c r="A91" i="6"/>
  <c r="D93" i="5"/>
  <c r="F93" i="5"/>
  <c r="H93" i="5"/>
  <c r="J93" i="5"/>
  <c r="M93" i="5"/>
  <c r="O93" i="5"/>
  <c r="D91" i="5"/>
  <c r="F91" i="5"/>
  <c r="H91" i="5"/>
  <c r="K91" i="5"/>
  <c r="L91" i="5"/>
  <c r="N91" i="5"/>
  <c r="O91" i="5"/>
  <c r="P91" i="5"/>
  <c r="A89" i="6"/>
  <c r="E91" i="5"/>
  <c r="G91" i="5"/>
  <c r="I91" i="5"/>
  <c r="J91" i="5"/>
  <c r="M91" i="5"/>
  <c r="D90" i="5"/>
  <c r="E90" i="5"/>
  <c r="F90" i="5"/>
  <c r="G90" i="5"/>
  <c r="H90" i="5"/>
  <c r="I90" i="5"/>
  <c r="J90" i="5"/>
  <c r="K90" i="5"/>
  <c r="L90" i="5"/>
  <c r="M90" i="5"/>
  <c r="N90" i="5"/>
  <c r="O90" i="5"/>
  <c r="P90" i="5"/>
  <c r="A88" i="6"/>
  <c r="D89" i="5"/>
  <c r="E89" i="5"/>
  <c r="F89" i="5"/>
  <c r="G89" i="5"/>
  <c r="H89" i="5"/>
  <c r="I89" i="5"/>
  <c r="J89" i="5"/>
  <c r="K89" i="5"/>
  <c r="L89" i="5"/>
  <c r="M89" i="5"/>
  <c r="N89" i="5"/>
  <c r="O89" i="5"/>
  <c r="P89" i="5"/>
  <c r="A87" i="6"/>
  <c r="D88" i="5"/>
  <c r="E88" i="5"/>
  <c r="F88" i="5"/>
  <c r="G88" i="5"/>
  <c r="H88" i="5"/>
  <c r="I88" i="5"/>
  <c r="J88" i="5"/>
  <c r="K88" i="5"/>
  <c r="L88" i="5"/>
  <c r="M88" i="5"/>
  <c r="N88" i="5"/>
  <c r="O88" i="5"/>
  <c r="P88" i="5"/>
  <c r="A86" i="6"/>
  <c r="D87" i="5"/>
  <c r="E87" i="5" s="1"/>
  <c r="F87" i="5"/>
  <c r="G87" i="5"/>
  <c r="H87" i="5"/>
  <c r="I87" i="5"/>
  <c r="J87" i="5"/>
  <c r="K87" i="5"/>
  <c r="L87" i="5"/>
  <c r="M87" i="5"/>
  <c r="N87" i="5"/>
  <c r="O87" i="5"/>
  <c r="P87" i="5"/>
  <c r="A85" i="6"/>
  <c r="D86" i="5"/>
  <c r="E86" i="5" s="1"/>
  <c r="F86" i="5"/>
  <c r="G86" i="5"/>
  <c r="H86" i="5"/>
  <c r="I86" i="5"/>
  <c r="J86" i="5"/>
  <c r="K86" i="5"/>
  <c r="L86" i="5"/>
  <c r="M86" i="5"/>
  <c r="N86" i="5"/>
  <c r="O86" i="5"/>
  <c r="P86" i="5"/>
  <c r="A84" i="6"/>
  <c r="D85" i="5"/>
  <c r="E85" i="5" s="1"/>
  <c r="F85" i="5"/>
  <c r="G85" i="5"/>
  <c r="H85" i="5"/>
  <c r="I85" i="5"/>
  <c r="J85" i="5"/>
  <c r="K85" i="5"/>
  <c r="L85" i="5"/>
  <c r="M85" i="5"/>
  <c r="N85" i="5"/>
  <c r="O85" i="5"/>
  <c r="P85" i="5"/>
  <c r="A83" i="6"/>
  <c r="D84" i="5"/>
  <c r="E84" i="5" s="1"/>
  <c r="F84" i="5"/>
  <c r="G84" i="5"/>
  <c r="H84" i="5"/>
  <c r="I84" i="5"/>
  <c r="J84" i="5"/>
  <c r="K84" i="5"/>
  <c r="L84" i="5"/>
  <c r="M84" i="5"/>
  <c r="N84" i="5"/>
  <c r="O84" i="5"/>
  <c r="P84" i="5"/>
  <c r="A82" i="6"/>
  <c r="D83" i="5"/>
  <c r="E83" i="5" s="1"/>
  <c r="F83" i="5"/>
  <c r="G83" i="5"/>
  <c r="H83" i="5"/>
  <c r="I83" i="5"/>
  <c r="J83" i="5"/>
  <c r="K83" i="5"/>
  <c r="L83" i="5"/>
  <c r="M83" i="5"/>
  <c r="N83" i="5"/>
  <c r="O83" i="5"/>
  <c r="P83" i="5"/>
  <c r="A81" i="6"/>
  <c r="D82" i="5"/>
  <c r="E82" i="5" s="1"/>
  <c r="F82" i="5"/>
  <c r="G82" i="5"/>
  <c r="H82" i="5"/>
  <c r="I82" i="5"/>
  <c r="J82" i="5"/>
  <c r="K82" i="5"/>
  <c r="L82" i="5"/>
  <c r="M82" i="5"/>
  <c r="N82" i="5"/>
  <c r="O82" i="5"/>
  <c r="P82" i="5"/>
  <c r="A80" i="6"/>
  <c r="D81" i="5"/>
  <c r="E81" i="5" s="1"/>
  <c r="F81" i="5"/>
  <c r="G81" i="5"/>
  <c r="H81" i="5"/>
  <c r="I81" i="5"/>
  <c r="J81" i="5"/>
  <c r="K81" i="5"/>
  <c r="L81" i="5"/>
  <c r="M81" i="5"/>
  <c r="N81" i="5"/>
  <c r="O81" i="5"/>
  <c r="P81" i="5"/>
  <c r="A79" i="6"/>
  <c r="D80" i="5"/>
  <c r="E80" i="5" s="1"/>
  <c r="F80" i="5"/>
  <c r="G80" i="5"/>
  <c r="H80" i="5"/>
  <c r="I80" i="5"/>
  <c r="J80" i="5"/>
  <c r="K80" i="5"/>
  <c r="L80" i="5"/>
  <c r="M80" i="5"/>
  <c r="N80" i="5"/>
  <c r="O80" i="5"/>
  <c r="P80" i="5"/>
  <c r="A78" i="6"/>
  <c r="D79" i="5"/>
  <c r="E79" i="5" s="1"/>
  <c r="F79" i="5"/>
  <c r="G79" i="5"/>
  <c r="H79" i="5"/>
  <c r="I79" i="5"/>
  <c r="J79" i="5"/>
  <c r="K79" i="5"/>
  <c r="L79" i="5"/>
  <c r="M79" i="5"/>
  <c r="N79" i="5"/>
  <c r="O79" i="5"/>
  <c r="P79" i="5"/>
  <c r="A77" i="6"/>
  <c r="D78" i="5"/>
  <c r="E78" i="5" s="1"/>
  <c r="F78" i="5"/>
  <c r="G78" i="5"/>
  <c r="H78" i="5"/>
  <c r="I78" i="5"/>
  <c r="J78" i="5"/>
  <c r="K78" i="5"/>
  <c r="L78" i="5"/>
  <c r="M78" i="5"/>
  <c r="N78" i="5"/>
  <c r="O78" i="5"/>
  <c r="P78" i="5"/>
  <c r="A76" i="6"/>
  <c r="D77" i="5"/>
  <c r="E77" i="5" s="1"/>
  <c r="F77" i="5"/>
  <c r="G77" i="5"/>
  <c r="H77" i="5"/>
  <c r="I77" i="5"/>
  <c r="J77" i="5"/>
  <c r="K77" i="5"/>
  <c r="L77" i="5"/>
  <c r="M77" i="5"/>
  <c r="N77" i="5"/>
  <c r="O77" i="5"/>
  <c r="P77" i="5"/>
  <c r="A75" i="6"/>
  <c r="D76" i="5"/>
  <c r="E76" i="5" s="1"/>
  <c r="F76" i="5"/>
  <c r="G76" i="5"/>
  <c r="H76" i="5"/>
  <c r="I76" i="5"/>
  <c r="J76" i="5"/>
  <c r="K76" i="5"/>
  <c r="L76" i="5"/>
  <c r="M76" i="5"/>
  <c r="N76" i="5"/>
  <c r="O76" i="5"/>
  <c r="P76" i="5"/>
  <c r="A74" i="6"/>
  <c r="D75" i="5"/>
  <c r="E75" i="5" s="1"/>
  <c r="F75" i="5"/>
  <c r="G75" i="5"/>
  <c r="H75" i="5"/>
  <c r="I75" i="5"/>
  <c r="J75" i="5"/>
  <c r="K75" i="5"/>
  <c r="L75" i="5"/>
  <c r="M75" i="5"/>
  <c r="N75" i="5"/>
  <c r="O75" i="5"/>
  <c r="P75" i="5"/>
  <c r="A73" i="6"/>
  <c r="D74" i="5"/>
  <c r="E74" i="5" s="1"/>
  <c r="F74" i="5"/>
  <c r="G74" i="5"/>
  <c r="H74" i="5"/>
  <c r="I74" i="5"/>
  <c r="J74" i="5"/>
  <c r="K74" i="5"/>
  <c r="L74" i="5"/>
  <c r="M74" i="5"/>
  <c r="N74" i="5"/>
  <c r="O74" i="5"/>
  <c r="P74" i="5"/>
  <c r="A72" i="6"/>
  <c r="D73" i="5"/>
  <c r="E73" i="5" s="1"/>
  <c r="F73" i="5"/>
  <c r="G73" i="5"/>
  <c r="H73" i="5"/>
  <c r="I73" i="5"/>
  <c r="J73" i="5"/>
  <c r="K73" i="5"/>
  <c r="L73" i="5"/>
  <c r="M73" i="5"/>
  <c r="N73" i="5"/>
  <c r="O73" i="5"/>
  <c r="P73" i="5"/>
  <c r="A71" i="6"/>
  <c r="D72" i="5"/>
  <c r="E72" i="5" s="1"/>
  <c r="F72" i="5"/>
  <c r="G72" i="5"/>
  <c r="H72" i="5"/>
  <c r="I72" i="5"/>
  <c r="J72" i="5"/>
  <c r="K72" i="5"/>
  <c r="L72" i="5"/>
  <c r="M72" i="5"/>
  <c r="N72" i="5"/>
  <c r="O72" i="5"/>
  <c r="P72" i="5"/>
  <c r="A70" i="6"/>
  <c r="D71" i="5"/>
  <c r="E71" i="5" s="1"/>
  <c r="F71" i="5"/>
  <c r="G71" i="5"/>
  <c r="H71" i="5"/>
  <c r="I71" i="5"/>
  <c r="J71" i="5"/>
  <c r="K71" i="5"/>
  <c r="L71" i="5"/>
  <c r="M71" i="5"/>
  <c r="N71" i="5"/>
  <c r="O71" i="5"/>
  <c r="P71" i="5"/>
  <c r="A69" i="6"/>
  <c r="D70" i="5"/>
  <c r="E70" i="5" s="1"/>
  <c r="F70" i="5"/>
  <c r="G70" i="5"/>
  <c r="H70" i="5"/>
  <c r="I70" i="5"/>
  <c r="J70" i="5"/>
  <c r="K70" i="5"/>
  <c r="L70" i="5"/>
  <c r="M70" i="5"/>
  <c r="N70" i="5"/>
  <c r="O70" i="5"/>
  <c r="P70" i="5"/>
  <c r="A68" i="6"/>
  <c r="D69" i="5"/>
  <c r="E69" i="5" s="1"/>
  <c r="F69" i="5"/>
  <c r="G69" i="5"/>
  <c r="H69" i="5"/>
  <c r="I69" i="5"/>
  <c r="J69" i="5"/>
  <c r="K69" i="5"/>
  <c r="L69" i="5"/>
  <c r="M69" i="5"/>
  <c r="N69" i="5"/>
  <c r="O69" i="5"/>
  <c r="P69" i="5"/>
  <c r="A67" i="6"/>
  <c r="D68" i="5"/>
  <c r="E68" i="5" s="1"/>
  <c r="F68" i="5"/>
  <c r="G68" i="5"/>
  <c r="H68" i="5"/>
  <c r="I68" i="5"/>
  <c r="J68" i="5"/>
  <c r="K68" i="5"/>
  <c r="L68" i="5"/>
  <c r="M68" i="5"/>
  <c r="N68" i="5"/>
  <c r="O68" i="5"/>
  <c r="P68" i="5"/>
  <c r="A66" i="6"/>
  <c r="D67" i="5"/>
  <c r="E67" i="5" s="1"/>
  <c r="F67" i="5"/>
  <c r="G67" i="5"/>
  <c r="H67" i="5"/>
  <c r="I67" i="5"/>
  <c r="J67" i="5"/>
  <c r="K67" i="5"/>
  <c r="L67" i="5"/>
  <c r="M67" i="5"/>
  <c r="N67" i="5"/>
  <c r="O67" i="5"/>
  <c r="P67" i="5"/>
  <c r="A65" i="6"/>
  <c r="D66" i="5"/>
  <c r="E66" i="5" s="1"/>
  <c r="F66" i="5"/>
  <c r="G66" i="5"/>
  <c r="H66" i="5"/>
  <c r="I66" i="5"/>
  <c r="J66" i="5"/>
  <c r="K66" i="5"/>
  <c r="L66" i="5"/>
  <c r="M66" i="5"/>
  <c r="N66" i="5"/>
  <c r="O66" i="5"/>
  <c r="P66" i="5"/>
  <c r="A64" i="6"/>
  <c r="D65" i="5"/>
  <c r="E65" i="5" s="1"/>
  <c r="F65" i="5"/>
  <c r="G65" i="5"/>
  <c r="H65" i="5"/>
  <c r="I65" i="5"/>
  <c r="J65" i="5"/>
  <c r="K65" i="5"/>
  <c r="L65" i="5"/>
  <c r="M65" i="5"/>
  <c r="N65" i="5"/>
  <c r="O65" i="5"/>
  <c r="P65" i="5"/>
  <c r="A63" i="6"/>
  <c r="D64" i="5"/>
  <c r="E64" i="5" s="1"/>
  <c r="F64" i="5"/>
  <c r="G64" i="5"/>
  <c r="H64" i="5"/>
  <c r="I64" i="5"/>
  <c r="J64" i="5"/>
  <c r="K64" i="5"/>
  <c r="L64" i="5"/>
  <c r="M64" i="5"/>
  <c r="N64" i="5"/>
  <c r="O64" i="5"/>
  <c r="P64" i="5"/>
  <c r="A62" i="6"/>
  <c r="D63" i="5"/>
  <c r="E63" i="5" s="1"/>
  <c r="F63" i="5"/>
  <c r="G63" i="5"/>
  <c r="H63" i="5"/>
  <c r="I63" i="5"/>
  <c r="J63" i="5"/>
  <c r="K63" i="5"/>
  <c r="L63" i="5"/>
  <c r="M63" i="5"/>
  <c r="N63" i="5"/>
  <c r="O63" i="5"/>
  <c r="P63" i="5"/>
  <c r="A61" i="6"/>
  <c r="D62" i="5"/>
  <c r="E62" i="5" s="1"/>
  <c r="F62" i="5"/>
  <c r="G62" i="5"/>
  <c r="H62" i="5"/>
  <c r="I62" i="5"/>
  <c r="J62" i="5"/>
  <c r="K62" i="5"/>
  <c r="L62" i="5"/>
  <c r="M62" i="5"/>
  <c r="N62" i="5"/>
  <c r="O62" i="5"/>
  <c r="P62" i="5"/>
  <c r="A60" i="6"/>
  <c r="D61" i="5"/>
  <c r="E61" i="5" s="1"/>
  <c r="F61" i="5"/>
  <c r="G61" i="5"/>
  <c r="H61" i="5"/>
  <c r="I61" i="5"/>
  <c r="J61" i="5"/>
  <c r="K61" i="5"/>
  <c r="L61" i="5"/>
  <c r="M61" i="5"/>
  <c r="N61" i="5"/>
  <c r="O61" i="5"/>
  <c r="P61" i="5"/>
  <c r="A59" i="6"/>
  <c r="D60" i="5"/>
  <c r="E60" i="5" s="1"/>
  <c r="F60" i="5"/>
  <c r="G60" i="5"/>
  <c r="H60" i="5"/>
  <c r="I60" i="5"/>
  <c r="J60" i="5"/>
  <c r="K60" i="5"/>
  <c r="L60" i="5"/>
  <c r="M60" i="5"/>
  <c r="N60" i="5"/>
  <c r="O60" i="5"/>
  <c r="P60" i="5"/>
  <c r="A58" i="6"/>
  <c r="D59" i="5"/>
  <c r="E59" i="5" s="1"/>
  <c r="F59" i="5"/>
  <c r="G59" i="5"/>
  <c r="H59" i="5"/>
  <c r="I59" i="5"/>
  <c r="J59" i="5"/>
  <c r="K59" i="5"/>
  <c r="L59" i="5"/>
  <c r="M59" i="5"/>
  <c r="N59" i="5"/>
  <c r="O59" i="5"/>
  <c r="P59" i="5"/>
  <c r="A57" i="6"/>
  <c r="D58" i="5"/>
  <c r="E58" i="5" s="1"/>
  <c r="F58" i="5"/>
  <c r="G58" i="5"/>
  <c r="H58" i="5"/>
  <c r="I58" i="5"/>
  <c r="J58" i="5"/>
  <c r="K58" i="5"/>
  <c r="L58" i="5"/>
  <c r="M58" i="5"/>
  <c r="N58" i="5"/>
  <c r="O58" i="5"/>
  <c r="P58" i="5"/>
  <c r="A56" i="6"/>
  <c r="D57" i="5"/>
  <c r="E57" i="5" s="1"/>
  <c r="F57" i="5"/>
  <c r="G57" i="5"/>
  <c r="H57" i="5"/>
  <c r="I57" i="5"/>
  <c r="J57" i="5"/>
  <c r="K57" i="5"/>
  <c r="L57" i="5"/>
  <c r="M57" i="5"/>
  <c r="N57" i="5"/>
  <c r="O57" i="5"/>
  <c r="P57" i="5"/>
  <c r="A55" i="6"/>
  <c r="D56" i="5"/>
  <c r="E56" i="5" s="1"/>
  <c r="F56" i="5"/>
  <c r="G56" i="5"/>
  <c r="H56" i="5"/>
  <c r="I56" i="5"/>
  <c r="J56" i="5"/>
  <c r="K56" i="5"/>
  <c r="L56" i="5"/>
  <c r="M56" i="5"/>
  <c r="N56" i="5"/>
  <c r="O56" i="5"/>
  <c r="P56" i="5"/>
  <c r="A54" i="6"/>
  <c r="D55" i="5"/>
  <c r="E55" i="5" s="1"/>
  <c r="F55" i="5"/>
  <c r="G55" i="5"/>
  <c r="H55" i="5"/>
  <c r="I55" i="5"/>
  <c r="J55" i="5"/>
  <c r="K55" i="5"/>
  <c r="L55" i="5"/>
  <c r="M55" i="5"/>
  <c r="N55" i="5"/>
  <c r="O55" i="5"/>
  <c r="P55" i="5"/>
  <c r="A53" i="6"/>
  <c r="D54" i="5"/>
  <c r="E54" i="5" s="1"/>
  <c r="F54" i="5"/>
  <c r="G54" i="5"/>
  <c r="H54" i="5"/>
  <c r="I54" i="5"/>
  <c r="J54" i="5"/>
  <c r="K54" i="5"/>
  <c r="L54" i="5"/>
  <c r="M54" i="5"/>
  <c r="N54" i="5"/>
  <c r="O54" i="5"/>
  <c r="P54" i="5"/>
  <c r="A52" i="6"/>
  <c r="D53" i="5"/>
  <c r="E53" i="5" s="1"/>
  <c r="F53" i="5"/>
  <c r="G53" i="5"/>
  <c r="H53" i="5"/>
  <c r="I53" i="5"/>
  <c r="J53" i="5"/>
  <c r="K53" i="5"/>
  <c r="L53" i="5"/>
  <c r="M53" i="5"/>
  <c r="N53" i="5"/>
  <c r="O53" i="5"/>
  <c r="P53" i="5"/>
  <c r="A51" i="6"/>
  <c r="D52" i="5"/>
  <c r="E52" i="5" s="1"/>
  <c r="F52" i="5"/>
  <c r="G52" i="5"/>
  <c r="H52" i="5"/>
  <c r="I52" i="5"/>
  <c r="J52" i="5"/>
  <c r="K52" i="5"/>
  <c r="L52" i="5"/>
  <c r="M52" i="5"/>
  <c r="N52" i="5"/>
  <c r="O52" i="5"/>
  <c r="P52" i="5"/>
  <c r="A50" i="6"/>
  <c r="D51" i="5"/>
  <c r="E51" i="5" s="1"/>
  <c r="F51" i="5"/>
  <c r="G51" i="5"/>
  <c r="H51" i="5"/>
  <c r="I51" i="5"/>
  <c r="J51" i="5"/>
  <c r="K51" i="5"/>
  <c r="L51" i="5"/>
  <c r="M51" i="5"/>
  <c r="N51" i="5"/>
  <c r="O51" i="5"/>
  <c r="P51" i="5"/>
  <c r="A49" i="6"/>
  <c r="D50" i="5"/>
  <c r="E50" i="5" s="1"/>
  <c r="F50" i="5"/>
  <c r="G50" i="5"/>
  <c r="H50" i="5"/>
  <c r="I50" i="5"/>
  <c r="J50" i="5"/>
  <c r="K50" i="5"/>
  <c r="L50" i="5"/>
  <c r="M50" i="5"/>
  <c r="N50" i="5"/>
  <c r="O50" i="5"/>
  <c r="P50" i="5"/>
  <c r="A48" i="6"/>
  <c r="D49" i="5"/>
  <c r="E49" i="5" s="1"/>
  <c r="F49" i="5"/>
  <c r="G49" i="5"/>
  <c r="H49" i="5"/>
  <c r="I49" i="5"/>
  <c r="J49" i="5"/>
  <c r="K49" i="5"/>
  <c r="L49" i="5"/>
  <c r="M49" i="5"/>
  <c r="N49" i="5"/>
  <c r="O49" i="5"/>
  <c r="P49" i="5"/>
  <c r="A47" i="6"/>
  <c r="D48" i="5"/>
  <c r="E48" i="5" s="1"/>
  <c r="F48" i="5"/>
  <c r="G48" i="5"/>
  <c r="H48" i="5"/>
  <c r="I48" i="5"/>
  <c r="J48" i="5"/>
  <c r="K48" i="5"/>
  <c r="L48" i="5"/>
  <c r="M48" i="5"/>
  <c r="N48" i="5"/>
  <c r="O48" i="5"/>
  <c r="P48" i="5"/>
  <c r="A46" i="6"/>
  <c r="D47" i="5"/>
  <c r="E47" i="5" s="1"/>
  <c r="F47" i="5"/>
  <c r="G47" i="5"/>
  <c r="H47" i="5"/>
  <c r="I47" i="5"/>
  <c r="J47" i="5"/>
  <c r="K47" i="5"/>
  <c r="L47" i="5"/>
  <c r="M47" i="5"/>
  <c r="N47" i="5"/>
  <c r="O47" i="5"/>
  <c r="P47" i="5"/>
  <c r="A45" i="6"/>
  <c r="D46" i="5"/>
  <c r="E46" i="5" s="1"/>
  <c r="F46" i="5"/>
  <c r="G46" i="5"/>
  <c r="H46" i="5"/>
  <c r="I46" i="5"/>
  <c r="J46" i="5"/>
  <c r="K46" i="5"/>
  <c r="L46" i="5"/>
  <c r="M46" i="5"/>
  <c r="N46" i="5"/>
  <c r="O46" i="5"/>
  <c r="P46" i="5"/>
  <c r="A44" i="6"/>
  <c r="D45" i="5"/>
  <c r="E45" i="5" s="1"/>
  <c r="F45" i="5"/>
  <c r="G45" i="5"/>
  <c r="H45" i="5"/>
  <c r="I45" i="5"/>
  <c r="J45" i="5"/>
  <c r="K45" i="5"/>
  <c r="L45" i="5"/>
  <c r="M45" i="5"/>
  <c r="N45" i="5"/>
  <c r="O45" i="5"/>
  <c r="P45" i="5"/>
  <c r="A43" i="6"/>
  <c r="D44" i="5"/>
  <c r="E44" i="5" s="1"/>
  <c r="F44" i="5"/>
  <c r="G44" i="5"/>
  <c r="H44" i="5"/>
  <c r="I44" i="5"/>
  <c r="J44" i="5"/>
  <c r="K44" i="5"/>
  <c r="L44" i="5"/>
  <c r="M44" i="5"/>
  <c r="N44" i="5"/>
  <c r="O44" i="5"/>
  <c r="P44" i="5"/>
  <c r="A42" i="6"/>
  <c r="D43" i="5"/>
  <c r="E43" i="5" s="1"/>
  <c r="F43" i="5"/>
  <c r="G43" i="5"/>
  <c r="H43" i="5"/>
  <c r="I43" i="5"/>
  <c r="J43" i="5"/>
  <c r="K43" i="5"/>
  <c r="L43" i="5"/>
  <c r="M43" i="5"/>
  <c r="N43" i="5"/>
  <c r="O43" i="5"/>
  <c r="P43" i="5"/>
  <c r="A41" i="6"/>
  <c r="D42" i="5"/>
  <c r="E42" i="5" s="1"/>
  <c r="F42" i="5"/>
  <c r="G42" i="5"/>
  <c r="H42" i="5"/>
  <c r="I42" i="5"/>
  <c r="J42" i="5"/>
  <c r="K42" i="5"/>
  <c r="L42" i="5"/>
  <c r="M42" i="5"/>
  <c r="N42" i="5"/>
  <c r="O42" i="5"/>
  <c r="P42" i="5"/>
  <c r="A40" i="6"/>
  <c r="D41" i="5"/>
  <c r="E41" i="5" s="1"/>
  <c r="F41" i="5"/>
  <c r="G41" i="5"/>
  <c r="H41" i="5"/>
  <c r="I41" i="5"/>
  <c r="J41" i="5"/>
  <c r="K41" i="5"/>
  <c r="L41" i="5"/>
  <c r="M41" i="5"/>
  <c r="N41" i="5"/>
  <c r="O41" i="5"/>
  <c r="P41" i="5"/>
  <c r="A39" i="6"/>
  <c r="D40" i="5"/>
  <c r="E40" i="5" s="1"/>
  <c r="F40" i="5"/>
  <c r="G40" i="5"/>
  <c r="H40" i="5"/>
  <c r="I40" i="5"/>
  <c r="J40" i="5"/>
  <c r="K40" i="5"/>
  <c r="L40" i="5"/>
  <c r="M40" i="5"/>
  <c r="N40" i="5"/>
  <c r="O40" i="5"/>
  <c r="P40" i="5"/>
  <c r="A38" i="6"/>
  <c r="D39" i="5"/>
  <c r="E39" i="5" s="1"/>
  <c r="F39" i="5"/>
  <c r="G39" i="5"/>
  <c r="H39" i="5"/>
  <c r="I39" i="5"/>
  <c r="J39" i="5"/>
  <c r="K39" i="5"/>
  <c r="L39" i="5"/>
  <c r="M39" i="5"/>
  <c r="N39" i="5"/>
  <c r="O39" i="5"/>
  <c r="P39" i="5"/>
  <c r="A37" i="6"/>
  <c r="D38" i="5"/>
  <c r="E38" i="5" s="1"/>
  <c r="F38" i="5"/>
  <c r="G38" i="5"/>
  <c r="H38" i="5"/>
  <c r="I38" i="5"/>
  <c r="J38" i="5"/>
  <c r="K38" i="5"/>
  <c r="L38" i="5"/>
  <c r="M38" i="5"/>
  <c r="N38" i="5"/>
  <c r="O38" i="5"/>
  <c r="P38" i="5"/>
  <c r="A36" i="6"/>
  <c r="D37" i="5"/>
  <c r="E37" i="5" s="1"/>
  <c r="F37" i="5"/>
  <c r="G37" i="5"/>
  <c r="H37" i="5"/>
  <c r="I37" i="5"/>
  <c r="J37" i="5"/>
  <c r="K37" i="5"/>
  <c r="L37" i="5"/>
  <c r="M37" i="5"/>
  <c r="N37" i="5"/>
  <c r="O37" i="5"/>
  <c r="P37" i="5"/>
  <c r="A35" i="6"/>
  <c r="D36" i="5"/>
  <c r="E36" i="5" s="1"/>
  <c r="F36" i="5"/>
  <c r="G36" i="5"/>
  <c r="H36" i="5"/>
  <c r="I36" i="5"/>
  <c r="J36" i="5"/>
  <c r="K36" i="5"/>
  <c r="L36" i="5"/>
  <c r="M36" i="5"/>
  <c r="N36" i="5"/>
  <c r="O36" i="5"/>
  <c r="P36" i="5"/>
  <c r="A34" i="6"/>
  <c r="D35" i="5"/>
  <c r="E35" i="5" s="1"/>
  <c r="F35" i="5"/>
  <c r="G35" i="5"/>
  <c r="H35" i="5"/>
  <c r="I35" i="5"/>
  <c r="J35" i="5"/>
  <c r="K35" i="5"/>
  <c r="L35" i="5"/>
  <c r="M35" i="5"/>
  <c r="N35" i="5"/>
  <c r="O35" i="5"/>
  <c r="P35" i="5"/>
  <c r="A33" i="6"/>
  <c r="D34" i="5"/>
  <c r="E34" i="5" s="1"/>
  <c r="F34" i="5"/>
  <c r="G34" i="5"/>
  <c r="H34" i="5"/>
  <c r="I34" i="5"/>
  <c r="J34" i="5"/>
  <c r="K34" i="5"/>
  <c r="L34" i="5"/>
  <c r="M34" i="5"/>
  <c r="N34" i="5"/>
  <c r="O34" i="5"/>
  <c r="P34" i="5"/>
  <c r="A32" i="6"/>
  <c r="D33" i="5"/>
  <c r="E33" i="5" s="1"/>
  <c r="F33" i="5"/>
  <c r="G33" i="5"/>
  <c r="H33" i="5"/>
  <c r="I33" i="5"/>
  <c r="J33" i="5"/>
  <c r="K33" i="5"/>
  <c r="L33" i="5"/>
  <c r="M33" i="5"/>
  <c r="N33" i="5"/>
  <c r="O33" i="5"/>
  <c r="P33" i="5"/>
  <c r="A31" i="6"/>
  <c r="D32" i="5"/>
  <c r="E32" i="5" s="1"/>
  <c r="F32" i="5"/>
  <c r="G32" i="5"/>
  <c r="H32" i="5"/>
  <c r="I32" i="5"/>
  <c r="J32" i="5"/>
  <c r="K32" i="5"/>
  <c r="L32" i="5"/>
  <c r="M32" i="5"/>
  <c r="N32" i="5"/>
  <c r="O32" i="5"/>
  <c r="P32" i="5"/>
  <c r="A30" i="6"/>
  <c r="D31" i="5"/>
  <c r="E31" i="5" s="1"/>
  <c r="F31" i="5"/>
  <c r="G31" i="5"/>
  <c r="H31" i="5"/>
  <c r="I31" i="5"/>
  <c r="J31" i="5"/>
  <c r="K31" i="5"/>
  <c r="L31" i="5"/>
  <c r="M31" i="5"/>
  <c r="N31" i="5"/>
  <c r="O31" i="5"/>
  <c r="P31" i="5"/>
  <c r="A29" i="6"/>
  <c r="D30" i="5"/>
  <c r="E30" i="5" s="1"/>
  <c r="F30" i="5"/>
  <c r="G30" i="5"/>
  <c r="H30" i="5"/>
  <c r="I30" i="5"/>
  <c r="J30" i="5"/>
  <c r="K30" i="5"/>
  <c r="L30" i="5"/>
  <c r="M30" i="5"/>
  <c r="N30" i="5"/>
  <c r="O30" i="5"/>
  <c r="P30" i="5"/>
  <c r="A28" i="6"/>
  <c r="D29" i="5"/>
  <c r="E29" i="5" s="1"/>
  <c r="F29" i="5"/>
  <c r="G29" i="5"/>
  <c r="H29" i="5"/>
  <c r="I29" i="5"/>
  <c r="J29" i="5"/>
  <c r="K29" i="5"/>
  <c r="L29" i="5"/>
  <c r="M29" i="5"/>
  <c r="N29" i="5"/>
  <c r="O29" i="5"/>
  <c r="P29" i="5"/>
  <c r="A27" i="6"/>
  <c r="D28" i="5"/>
  <c r="E28" i="5" s="1"/>
  <c r="F28" i="5"/>
  <c r="G28" i="5"/>
  <c r="H28" i="5"/>
  <c r="I28" i="5"/>
  <c r="J28" i="5"/>
  <c r="K28" i="5"/>
  <c r="L28" i="5"/>
  <c r="M28" i="5"/>
  <c r="N28" i="5"/>
  <c r="O28" i="5"/>
  <c r="P28" i="5"/>
  <c r="A26" i="6"/>
  <c r="D27" i="5"/>
  <c r="E27" i="5" s="1"/>
  <c r="F27" i="5"/>
  <c r="G27" i="5"/>
  <c r="H27" i="5"/>
  <c r="I27" i="5"/>
  <c r="J27" i="5"/>
  <c r="K27" i="5"/>
  <c r="L27" i="5"/>
  <c r="M27" i="5"/>
  <c r="N27" i="5"/>
  <c r="O27" i="5"/>
  <c r="P27" i="5"/>
  <c r="A25" i="6"/>
  <c r="D26" i="5"/>
  <c r="E26" i="5" s="1"/>
  <c r="F26" i="5"/>
  <c r="G26" i="5"/>
  <c r="H26" i="5"/>
  <c r="I26" i="5"/>
  <c r="J26" i="5"/>
  <c r="K26" i="5"/>
  <c r="L26" i="5"/>
  <c r="M26" i="5"/>
  <c r="N26" i="5"/>
  <c r="O26" i="5"/>
  <c r="P26" i="5"/>
  <c r="A24" i="6"/>
  <c r="D25" i="5"/>
  <c r="E25" i="5" s="1"/>
  <c r="F25" i="5"/>
  <c r="G25" i="5"/>
  <c r="H25" i="5"/>
  <c r="I25" i="5"/>
  <c r="J25" i="5"/>
  <c r="K25" i="5"/>
  <c r="L25" i="5"/>
  <c r="M25" i="5"/>
  <c r="N25" i="5"/>
  <c r="O25" i="5"/>
  <c r="P25" i="5"/>
  <c r="A23" i="6"/>
  <c r="D24" i="5"/>
  <c r="E24" i="5" s="1"/>
  <c r="F24" i="5"/>
  <c r="G24" i="5"/>
  <c r="H24" i="5"/>
  <c r="I24" i="5"/>
  <c r="J24" i="5"/>
  <c r="K24" i="5"/>
  <c r="L24" i="5"/>
  <c r="M24" i="5"/>
  <c r="N24" i="5"/>
  <c r="O24" i="5"/>
  <c r="P24" i="5"/>
  <c r="A22" i="6"/>
  <c r="D23" i="5"/>
  <c r="E23" i="5" s="1"/>
  <c r="F23" i="5"/>
  <c r="G23" i="5"/>
  <c r="H23" i="5"/>
  <c r="I23" i="5"/>
  <c r="J23" i="5"/>
  <c r="K23" i="5"/>
  <c r="L23" i="5"/>
  <c r="M23" i="5"/>
  <c r="N23" i="5"/>
  <c r="O23" i="5"/>
  <c r="P23" i="5"/>
  <c r="A21" i="6"/>
  <c r="D22" i="5"/>
  <c r="E22" i="5" s="1"/>
  <c r="F22" i="5"/>
  <c r="G22" i="5"/>
  <c r="H22" i="5"/>
  <c r="I22" i="5"/>
  <c r="J22" i="5"/>
  <c r="K22" i="5"/>
  <c r="L22" i="5"/>
  <c r="M22" i="5"/>
  <c r="N22" i="5"/>
  <c r="O22" i="5"/>
  <c r="P22" i="5"/>
  <c r="A20" i="6"/>
  <c r="D21" i="5"/>
  <c r="E21" i="5" s="1"/>
  <c r="F21" i="5"/>
  <c r="G21" i="5"/>
  <c r="H21" i="5"/>
  <c r="I21" i="5"/>
  <c r="J21" i="5"/>
  <c r="K21" i="5"/>
  <c r="L21" i="5"/>
  <c r="M21" i="5"/>
  <c r="N21" i="5"/>
  <c r="O21" i="5"/>
  <c r="P21" i="5"/>
  <c r="A19" i="6"/>
  <c r="D20" i="5"/>
  <c r="E20" i="5" s="1"/>
  <c r="F20" i="5"/>
  <c r="G20" i="5"/>
  <c r="H20" i="5"/>
  <c r="I20" i="5"/>
  <c r="J20" i="5"/>
  <c r="K20" i="5"/>
  <c r="L20" i="5"/>
  <c r="M20" i="5"/>
  <c r="N20" i="5"/>
  <c r="O20" i="5"/>
  <c r="P20" i="5"/>
  <c r="A18" i="6"/>
  <c r="D19" i="5"/>
  <c r="E19" i="5" s="1"/>
  <c r="F19" i="5"/>
  <c r="G19" i="5"/>
  <c r="H19" i="5"/>
  <c r="I19" i="5"/>
  <c r="J19" i="5"/>
  <c r="K19" i="5"/>
  <c r="L19" i="5"/>
  <c r="M19" i="5"/>
  <c r="N19" i="5"/>
  <c r="O19" i="5"/>
  <c r="P19" i="5"/>
  <c r="A17" i="6"/>
  <c r="D18" i="5"/>
  <c r="E18" i="5" s="1"/>
  <c r="F18" i="5"/>
  <c r="G18" i="5"/>
  <c r="H18" i="5"/>
  <c r="I18" i="5"/>
  <c r="J18" i="5"/>
  <c r="K18" i="5"/>
  <c r="L18" i="5"/>
  <c r="M18" i="5"/>
  <c r="N18" i="5"/>
  <c r="O18" i="5"/>
  <c r="P18" i="5"/>
  <c r="A16" i="6"/>
  <c r="D17" i="5"/>
  <c r="E17" i="5" s="1"/>
  <c r="F17" i="5"/>
  <c r="G17" i="5"/>
  <c r="H17" i="5"/>
  <c r="I17" i="5"/>
  <c r="J17" i="5"/>
  <c r="K17" i="5"/>
  <c r="L17" i="5"/>
  <c r="M17" i="5"/>
  <c r="N17" i="5"/>
  <c r="O17" i="5"/>
  <c r="P17" i="5"/>
  <c r="A15" i="6"/>
  <c r="D16" i="5"/>
  <c r="E16" i="5" s="1"/>
  <c r="F16" i="5"/>
  <c r="G16" i="5"/>
  <c r="H16" i="5"/>
  <c r="I16" i="5"/>
  <c r="J16" i="5"/>
  <c r="K16" i="5"/>
  <c r="L16" i="5"/>
  <c r="M16" i="5"/>
  <c r="N16" i="5"/>
  <c r="O16" i="5"/>
  <c r="P16" i="5"/>
  <c r="A14" i="6"/>
  <c r="D15" i="5"/>
  <c r="E15" i="5" s="1"/>
  <c r="F15" i="5"/>
  <c r="G15" i="5"/>
  <c r="H15" i="5"/>
  <c r="I15" i="5"/>
  <c r="J15" i="5"/>
  <c r="K15" i="5"/>
  <c r="L15" i="5"/>
  <c r="M15" i="5"/>
  <c r="N15" i="5"/>
  <c r="O15" i="5"/>
  <c r="P15" i="5"/>
  <c r="A13" i="6"/>
  <c r="D14" i="5"/>
  <c r="E14" i="5" s="1"/>
  <c r="F14" i="5"/>
  <c r="G14" i="5"/>
  <c r="H14" i="5"/>
  <c r="I14" i="5"/>
  <c r="J14" i="5"/>
  <c r="K14" i="5"/>
  <c r="L14" i="5"/>
  <c r="M14" i="5"/>
  <c r="N14" i="5"/>
  <c r="O14" i="5"/>
  <c r="P14" i="5"/>
  <c r="A12" i="6"/>
  <c r="D13" i="5"/>
  <c r="E13" i="5" s="1"/>
  <c r="F13" i="5"/>
  <c r="G13" i="5"/>
  <c r="H13" i="5"/>
  <c r="I13" i="5"/>
  <c r="J13" i="5"/>
  <c r="K13" i="5"/>
  <c r="L13" i="5"/>
  <c r="M13" i="5"/>
  <c r="N13" i="5"/>
  <c r="O13" i="5"/>
  <c r="P13" i="5"/>
  <c r="A11" i="6"/>
  <c r="D12" i="5"/>
  <c r="E12" i="5" s="1"/>
  <c r="F12" i="5"/>
  <c r="G12" i="5"/>
  <c r="H12" i="5"/>
  <c r="I12" i="5"/>
  <c r="J12" i="5"/>
  <c r="K12" i="5"/>
  <c r="L12" i="5"/>
  <c r="M12" i="5"/>
  <c r="N12" i="5"/>
  <c r="O12" i="5"/>
  <c r="P12" i="5"/>
  <c r="A10" i="6"/>
  <c r="D11" i="5"/>
  <c r="E11" i="5" s="1"/>
  <c r="F11" i="5"/>
  <c r="G11" i="5"/>
  <c r="H11" i="5"/>
  <c r="I11" i="5"/>
  <c r="J11" i="5"/>
  <c r="K11" i="5"/>
  <c r="L11" i="5"/>
  <c r="M11" i="5"/>
  <c r="N11" i="5"/>
  <c r="O11" i="5"/>
  <c r="P11" i="5"/>
  <c r="A9" i="6"/>
  <c r="D10" i="5"/>
  <c r="E10" i="5" s="1"/>
  <c r="F10" i="5"/>
  <c r="G10" i="5"/>
  <c r="H10" i="5"/>
  <c r="I10" i="5"/>
  <c r="J10" i="5"/>
  <c r="K10" i="5"/>
  <c r="L10" i="5"/>
  <c r="M10" i="5"/>
  <c r="N10" i="5"/>
  <c r="O10" i="5"/>
  <c r="P10" i="5"/>
  <c r="A8" i="6"/>
  <c r="D9" i="5"/>
  <c r="E9" i="5" s="1"/>
  <c r="F9" i="5"/>
  <c r="G9" i="5"/>
  <c r="H9" i="5"/>
  <c r="I9" i="5"/>
  <c r="J9" i="5"/>
  <c r="K9" i="5"/>
  <c r="L9" i="5"/>
  <c r="M9" i="5"/>
  <c r="N9" i="5"/>
  <c r="O9" i="5"/>
  <c r="P9" i="5"/>
  <c r="A7" i="6"/>
  <c r="D8" i="5"/>
  <c r="E8" i="5" s="1"/>
  <c r="F8" i="5"/>
  <c r="G8" i="5"/>
  <c r="H8" i="5"/>
  <c r="I8" i="5"/>
  <c r="J8" i="5"/>
  <c r="K8" i="5"/>
  <c r="L8" i="5"/>
  <c r="M8" i="5"/>
  <c r="N8" i="5"/>
  <c r="O8" i="5"/>
  <c r="P8" i="5"/>
  <c r="A6" i="6"/>
  <c r="D7" i="5"/>
  <c r="E7" i="5" s="1"/>
  <c r="F7" i="5"/>
  <c r="G7" i="5"/>
  <c r="H7" i="5"/>
  <c r="I7" i="5"/>
  <c r="J7" i="5"/>
  <c r="K7" i="5"/>
  <c r="L7" i="5"/>
  <c r="M7" i="5"/>
  <c r="N7" i="5"/>
  <c r="O7" i="5"/>
  <c r="P7" i="5"/>
  <c r="A5" i="6"/>
  <c r="AR15" i="4"/>
  <c r="AR16" i="4" s="1"/>
  <c r="AQ15" i="4"/>
  <c r="D6" i="7" l="1"/>
  <c r="E6" i="7" s="1"/>
  <c r="F6" i="7"/>
  <c r="G6" i="7"/>
  <c r="H6" i="7"/>
  <c r="I6" i="7"/>
  <c r="J6" i="7"/>
  <c r="K6" i="7"/>
  <c r="L6" i="7"/>
  <c r="M6" i="7"/>
  <c r="N6" i="7"/>
  <c r="O6" i="7"/>
  <c r="P6" i="7"/>
  <c r="M163" i="7"/>
  <c r="N163" i="7"/>
  <c r="O163" i="7"/>
  <c r="P163" i="7"/>
  <c r="D163" i="7"/>
  <c r="E163" i="7" s="1"/>
  <c r="F163" i="7"/>
  <c r="G163" i="7"/>
  <c r="H163" i="7"/>
  <c r="I163" i="7"/>
  <c r="J163" i="7"/>
  <c r="K163" i="7"/>
  <c r="L163" i="7"/>
  <c r="M162" i="7"/>
  <c r="N162" i="7"/>
  <c r="O162" i="7"/>
  <c r="P162" i="7"/>
  <c r="D162" i="7"/>
  <c r="E162" i="7" s="1"/>
  <c r="F162" i="7"/>
  <c r="G162" i="7"/>
  <c r="H162" i="7"/>
  <c r="I162" i="7"/>
  <c r="J162" i="7"/>
  <c r="K162" i="7"/>
  <c r="L162" i="7"/>
  <c r="K161" i="7"/>
  <c r="P161" i="7"/>
  <c r="L161" i="7"/>
  <c r="M161" i="7"/>
  <c r="D161" i="7"/>
  <c r="E161" i="7" s="1"/>
  <c r="N161" i="7"/>
  <c r="F161" i="7"/>
  <c r="G161" i="7"/>
  <c r="H161" i="7"/>
  <c r="I161" i="7"/>
  <c r="J161" i="7"/>
  <c r="O161" i="7"/>
  <c r="F85" i="7"/>
  <c r="J85" i="7"/>
  <c r="D85" i="7"/>
  <c r="E85" i="7" s="1"/>
  <c r="P85" i="7"/>
  <c r="G85" i="7"/>
  <c r="H85" i="7"/>
  <c r="I85" i="7"/>
  <c r="K85" i="7"/>
  <c r="L85" i="7"/>
  <c r="M85" i="7"/>
  <c r="N85" i="7"/>
  <c r="O85" i="7"/>
  <c r="P415" i="7"/>
  <c r="M415" i="7"/>
  <c r="G415" i="7"/>
  <c r="D415" i="7"/>
  <c r="E415" i="7"/>
  <c r="F415" i="7"/>
  <c r="H415" i="7"/>
  <c r="I415" i="7"/>
  <c r="J415" i="7"/>
  <c r="K415" i="7"/>
  <c r="L415" i="7"/>
  <c r="N415" i="7"/>
  <c r="O415" i="7"/>
  <c r="P129" i="7"/>
  <c r="N129" i="7"/>
  <c r="D129" i="7"/>
  <c r="E129" i="7" s="1"/>
  <c r="F129" i="7"/>
  <c r="H129" i="7"/>
  <c r="O129" i="7"/>
  <c r="I129" i="7"/>
  <c r="J129" i="7"/>
  <c r="K129" i="7"/>
  <c r="L129" i="7"/>
  <c r="M129" i="7"/>
  <c r="G129" i="7"/>
  <c r="D505" i="7"/>
  <c r="F505" i="7"/>
  <c r="E505" i="7"/>
  <c r="P429" i="7"/>
  <c r="O429" i="7"/>
  <c r="K429" i="7"/>
  <c r="L429" i="7"/>
  <c r="I429" i="7"/>
  <c r="M429" i="7"/>
  <c r="N429" i="7"/>
  <c r="J429" i="7"/>
  <c r="H429" i="7"/>
  <c r="G429" i="7"/>
  <c r="F429" i="7"/>
  <c r="E429" i="7"/>
  <c r="D429" i="7"/>
  <c r="I419" i="7"/>
  <c r="K419" i="7"/>
  <c r="L419" i="7"/>
  <c r="M419" i="7"/>
  <c r="N419" i="7"/>
  <c r="P419" i="7"/>
  <c r="O419" i="7"/>
  <c r="E419" i="7"/>
  <c r="F419" i="7"/>
  <c r="G419" i="7"/>
  <c r="D419" i="7"/>
  <c r="H419" i="7"/>
  <c r="J419" i="7"/>
  <c r="O418" i="7"/>
  <c r="J418" i="7"/>
  <c r="I418" i="7"/>
  <c r="P418" i="7"/>
  <c r="H418" i="7"/>
  <c r="N418" i="7"/>
  <c r="M418" i="7"/>
  <c r="L418" i="7"/>
  <c r="K418" i="7"/>
  <c r="G418" i="7"/>
  <c r="F418" i="7"/>
  <c r="E418" i="7"/>
  <c r="D418" i="7"/>
  <c r="L416" i="7"/>
  <c r="F416" i="7"/>
  <c r="D416" i="7"/>
  <c r="E416" i="7"/>
  <c r="G416" i="7"/>
  <c r="H416" i="7"/>
  <c r="I416" i="7"/>
  <c r="J416" i="7"/>
  <c r="K416" i="7"/>
  <c r="M416" i="7"/>
  <c r="N416" i="7"/>
  <c r="O416" i="7"/>
  <c r="P416" i="7"/>
  <c r="F316" i="7"/>
  <c r="D316" i="7"/>
  <c r="E316" i="7" s="1"/>
  <c r="G316" i="7"/>
  <c r="H316" i="7"/>
  <c r="I316" i="7"/>
  <c r="J316" i="7"/>
  <c r="K316" i="7"/>
  <c r="L316" i="7"/>
  <c r="M316" i="7"/>
  <c r="N316" i="7"/>
  <c r="O316" i="7"/>
  <c r="P316" i="7"/>
  <c r="G505" i="7"/>
  <c r="N505" i="7"/>
  <c r="P505" i="7"/>
  <c r="O505" i="7"/>
  <c r="M505" i="7"/>
  <c r="L505" i="7"/>
  <c r="K505" i="7"/>
  <c r="J505" i="7"/>
  <c r="I505" i="7"/>
  <c r="H505" i="7"/>
  <c r="P504" i="7"/>
  <c r="O504" i="7"/>
  <c r="N504" i="7"/>
  <c r="M504" i="7"/>
  <c r="L504" i="7"/>
  <c r="K504" i="7"/>
  <c r="J504" i="7"/>
  <c r="I504" i="7"/>
  <c r="G504" i="7"/>
  <c r="F504" i="7"/>
  <c r="H504" i="7"/>
  <c r="E504" i="7"/>
  <c r="D504" i="7"/>
  <c r="H503" i="7"/>
  <c r="I503" i="7"/>
  <c r="J503" i="7"/>
  <c r="K503" i="7"/>
  <c r="M503" i="7"/>
  <c r="N503" i="7"/>
  <c r="O503" i="7"/>
  <c r="P503" i="7"/>
  <c r="L503" i="7"/>
  <c r="D503" i="7"/>
  <c r="E503" i="7"/>
  <c r="F503" i="7"/>
  <c r="G503" i="7"/>
  <c r="F502" i="7"/>
  <c r="E502" i="7"/>
  <c r="D502" i="7"/>
  <c r="G502" i="7"/>
  <c r="H502" i="7"/>
  <c r="I502" i="7"/>
  <c r="J502" i="7"/>
  <c r="K502" i="7"/>
  <c r="L502" i="7"/>
  <c r="M502" i="7"/>
  <c r="N502" i="7"/>
  <c r="O502" i="7"/>
  <c r="P502" i="7"/>
  <c r="P501" i="7"/>
  <c r="O501" i="7"/>
  <c r="N501" i="7"/>
  <c r="M501" i="7"/>
  <c r="L501" i="7"/>
  <c r="K501" i="7"/>
  <c r="J501" i="7"/>
  <c r="D501" i="7"/>
  <c r="I501" i="7"/>
  <c r="H501" i="7"/>
  <c r="G501" i="7"/>
  <c r="F501" i="7"/>
  <c r="E501" i="7"/>
  <c r="H500" i="7"/>
  <c r="D500" i="7"/>
  <c r="E500" i="7"/>
  <c r="F500" i="7"/>
  <c r="G500" i="7"/>
  <c r="K500" i="7"/>
  <c r="J500" i="7"/>
  <c r="I500" i="7"/>
  <c r="L500" i="7"/>
  <c r="M500" i="7"/>
  <c r="N500" i="7"/>
  <c r="O500" i="7"/>
  <c r="P500" i="7"/>
  <c r="D499" i="7"/>
  <c r="P499" i="7"/>
  <c r="E499" i="7"/>
  <c r="F499" i="7"/>
  <c r="G499" i="7"/>
  <c r="H499" i="7"/>
  <c r="I499" i="7"/>
  <c r="J499" i="7"/>
  <c r="K499" i="7"/>
  <c r="L499" i="7"/>
  <c r="M499" i="7"/>
  <c r="N499" i="7"/>
  <c r="O499" i="7"/>
  <c r="K498" i="7"/>
  <c r="L498" i="7"/>
  <c r="M498" i="7"/>
  <c r="N498" i="7"/>
  <c r="O498" i="7"/>
  <c r="P498" i="7"/>
  <c r="F498" i="7"/>
  <c r="D498" i="7"/>
  <c r="E498" i="7"/>
  <c r="G498" i="7"/>
  <c r="H498" i="7"/>
  <c r="I498" i="7"/>
  <c r="J498" i="7"/>
  <c r="K497" i="7"/>
  <c r="L497" i="7"/>
  <c r="M497" i="7"/>
  <c r="N497" i="7"/>
  <c r="O497" i="7"/>
  <c r="P497" i="7"/>
  <c r="D497" i="7"/>
  <c r="E497" i="7"/>
  <c r="F497" i="7"/>
  <c r="G497" i="7"/>
  <c r="H497" i="7"/>
  <c r="I497" i="7"/>
  <c r="J497" i="7"/>
  <c r="D496" i="7"/>
  <c r="K496" i="7"/>
  <c r="L496" i="7"/>
  <c r="M496" i="7"/>
  <c r="N496" i="7"/>
  <c r="O496" i="7"/>
  <c r="J496" i="7"/>
  <c r="E496" i="7"/>
  <c r="F496" i="7"/>
  <c r="G496" i="7"/>
  <c r="H496" i="7"/>
  <c r="I496" i="7"/>
  <c r="P496" i="7"/>
  <c r="K495" i="7"/>
  <c r="L495" i="7"/>
  <c r="M495" i="7"/>
  <c r="N495" i="7"/>
  <c r="O495" i="7"/>
  <c r="P495" i="7"/>
  <c r="D495" i="7"/>
  <c r="E495" i="7"/>
  <c r="F495" i="7"/>
  <c r="G495" i="7"/>
  <c r="H495" i="7"/>
  <c r="I495" i="7"/>
  <c r="J495" i="7"/>
  <c r="D494" i="7"/>
  <c r="E494" i="7"/>
  <c r="F494" i="7"/>
  <c r="G494" i="7"/>
  <c r="H494" i="7"/>
  <c r="I494" i="7"/>
  <c r="J494" i="7"/>
  <c r="K494" i="7"/>
  <c r="L494" i="7"/>
  <c r="M494" i="7"/>
  <c r="N494" i="7"/>
  <c r="O494" i="7"/>
  <c r="P494" i="7"/>
  <c r="L493" i="7"/>
  <c r="M493" i="7"/>
  <c r="N493" i="7"/>
  <c r="O493" i="7"/>
  <c r="P493" i="7"/>
  <c r="K493" i="7"/>
  <c r="D493" i="7"/>
  <c r="E493" i="7"/>
  <c r="F493" i="7"/>
  <c r="G493" i="7"/>
  <c r="H493" i="7"/>
  <c r="I493" i="7"/>
  <c r="J493" i="7"/>
  <c r="K492" i="7"/>
  <c r="L492" i="7"/>
  <c r="M492" i="7"/>
  <c r="N492" i="7"/>
  <c r="O492" i="7"/>
  <c r="P492" i="7"/>
  <c r="D492" i="7"/>
  <c r="E492" i="7"/>
  <c r="F492" i="7"/>
  <c r="G492" i="7"/>
  <c r="H492" i="7"/>
  <c r="I492" i="7"/>
  <c r="J492" i="7"/>
  <c r="L491" i="7"/>
  <c r="K491" i="7"/>
  <c r="P491" i="7"/>
  <c r="M491" i="7"/>
  <c r="N491" i="7"/>
  <c r="O491" i="7"/>
  <c r="D491" i="7"/>
  <c r="E491" i="7"/>
  <c r="F491" i="7"/>
  <c r="G491" i="7"/>
  <c r="H491" i="7"/>
  <c r="I491" i="7"/>
  <c r="J491" i="7"/>
  <c r="K490" i="7"/>
  <c r="L490" i="7"/>
  <c r="N490" i="7"/>
  <c r="O490" i="7"/>
  <c r="P490" i="7"/>
  <c r="M490" i="7"/>
  <c r="D490" i="7"/>
  <c r="E490" i="7"/>
  <c r="F490" i="7"/>
  <c r="G490" i="7"/>
  <c r="H490" i="7"/>
  <c r="I490" i="7"/>
  <c r="J490" i="7"/>
  <c r="K489" i="7"/>
  <c r="L489" i="7"/>
  <c r="M489" i="7"/>
  <c r="N489" i="7"/>
  <c r="O489" i="7"/>
  <c r="P489" i="7"/>
  <c r="D489" i="7"/>
  <c r="E489" i="7"/>
  <c r="F489" i="7"/>
  <c r="G489" i="7"/>
  <c r="H489" i="7"/>
  <c r="I489" i="7"/>
  <c r="J489" i="7"/>
  <c r="K488" i="7"/>
  <c r="L488" i="7"/>
  <c r="M488" i="7"/>
  <c r="N488" i="7"/>
  <c r="O488" i="7"/>
  <c r="P488" i="7"/>
  <c r="D488" i="7"/>
  <c r="E488" i="7"/>
  <c r="F488" i="7"/>
  <c r="G488" i="7"/>
  <c r="H488" i="7"/>
  <c r="I488" i="7"/>
  <c r="J488" i="7"/>
  <c r="E487" i="7"/>
  <c r="O487" i="7"/>
  <c r="P487" i="7"/>
  <c r="D487" i="7"/>
  <c r="L487" i="7"/>
  <c r="F487" i="7"/>
  <c r="G487" i="7"/>
  <c r="H487" i="7"/>
  <c r="I487" i="7"/>
  <c r="J487" i="7"/>
  <c r="K487" i="7"/>
  <c r="M487" i="7"/>
  <c r="N487" i="7"/>
  <c r="D486" i="7"/>
  <c r="E486" i="7"/>
  <c r="F486" i="7"/>
  <c r="G486" i="7"/>
  <c r="G128" i="7"/>
  <c r="O128" i="7"/>
  <c r="I128" i="7"/>
  <c r="J128" i="7"/>
  <c r="K128" i="7"/>
  <c r="L128" i="7"/>
  <c r="H128" i="7"/>
  <c r="M128" i="7"/>
  <c r="N128" i="7"/>
  <c r="P128" i="7"/>
  <c r="D128" i="7"/>
  <c r="E128" i="7" s="1"/>
  <c r="F128" i="7"/>
  <c r="D126" i="7"/>
  <c r="E126" i="7" s="1"/>
  <c r="F126" i="7"/>
  <c r="G126" i="7"/>
  <c r="H126" i="7"/>
  <c r="I126" i="7"/>
  <c r="J126" i="7"/>
  <c r="K126" i="7"/>
  <c r="L126" i="7"/>
  <c r="M126" i="7"/>
  <c r="N126" i="7"/>
  <c r="O126" i="7"/>
  <c r="P126" i="7"/>
  <c r="N427" i="7"/>
  <c r="M427" i="7"/>
  <c r="K427" i="7"/>
  <c r="H427" i="7"/>
  <c r="L427" i="7"/>
  <c r="D427" i="7"/>
  <c r="E427" i="7"/>
  <c r="I427" i="7"/>
  <c r="F427" i="7"/>
  <c r="G427" i="7"/>
  <c r="J427" i="7"/>
  <c r="P427" i="7"/>
  <c r="O427" i="7"/>
  <c r="H423" i="7"/>
  <c r="G423" i="7"/>
  <c r="F423" i="7"/>
  <c r="D423" i="7"/>
  <c r="E423" i="7"/>
  <c r="L423" i="7"/>
  <c r="P423" i="7"/>
  <c r="O423" i="7"/>
  <c r="N423" i="7"/>
  <c r="M423" i="7"/>
  <c r="K423" i="7"/>
  <c r="J423" i="7"/>
  <c r="I423" i="7"/>
  <c r="I421" i="7"/>
  <c r="M421" i="7"/>
  <c r="L421" i="7"/>
  <c r="K421" i="7"/>
  <c r="J421" i="7"/>
  <c r="F421" i="7"/>
  <c r="H421" i="7"/>
  <c r="G421" i="7"/>
  <c r="N421" i="7"/>
  <c r="E421" i="7"/>
  <c r="D421" i="7"/>
  <c r="P421" i="7"/>
  <c r="O421" i="7"/>
  <c r="I486" i="7"/>
  <c r="J486" i="7"/>
  <c r="K486" i="7"/>
  <c r="L486" i="7"/>
  <c r="M486" i="7"/>
  <c r="N486" i="7"/>
  <c r="P486" i="7"/>
  <c r="O486" i="7"/>
  <c r="H486" i="7"/>
  <c r="D485" i="7"/>
  <c r="E485" i="7"/>
  <c r="F485" i="7"/>
  <c r="G485" i="7"/>
  <c r="H485" i="7"/>
  <c r="I485" i="7"/>
  <c r="J485" i="7"/>
  <c r="K485" i="7"/>
  <c r="P485" i="7"/>
  <c r="O485" i="7"/>
  <c r="L485" i="7"/>
  <c r="N485" i="7"/>
  <c r="M485" i="7"/>
  <c r="D484" i="7"/>
  <c r="E484" i="7"/>
  <c r="F484" i="7"/>
  <c r="G484" i="7"/>
  <c r="H484" i="7"/>
  <c r="I484" i="7"/>
  <c r="K484" i="7"/>
  <c r="L484" i="7"/>
  <c r="M484" i="7"/>
  <c r="N484" i="7"/>
  <c r="O484" i="7"/>
  <c r="P484" i="7"/>
  <c r="J484" i="7"/>
  <c r="D483" i="7"/>
  <c r="E483" i="7"/>
  <c r="F483" i="7"/>
  <c r="G483" i="7"/>
  <c r="H483" i="7"/>
  <c r="I483" i="7"/>
  <c r="J483" i="7"/>
  <c r="K483" i="7"/>
  <c r="L483" i="7"/>
  <c r="M483" i="7"/>
  <c r="N483" i="7"/>
  <c r="O483" i="7"/>
  <c r="P483" i="7"/>
  <c r="D482" i="7"/>
  <c r="E482" i="7"/>
  <c r="F482" i="7"/>
  <c r="G482" i="7"/>
  <c r="H482" i="7"/>
  <c r="I482" i="7"/>
  <c r="J482" i="7"/>
  <c r="K482" i="7"/>
  <c r="L482" i="7"/>
  <c r="M482" i="7"/>
  <c r="N482" i="7"/>
  <c r="O482" i="7"/>
  <c r="P482" i="7"/>
  <c r="D481" i="7"/>
  <c r="E481" i="7"/>
  <c r="F481" i="7"/>
  <c r="G481" i="7"/>
  <c r="H481" i="7"/>
  <c r="I481" i="7"/>
  <c r="J481" i="7"/>
  <c r="K481" i="7"/>
  <c r="L481" i="7"/>
  <c r="M481" i="7"/>
  <c r="N481" i="7"/>
  <c r="O481" i="7"/>
  <c r="P481" i="7"/>
  <c r="D480" i="7"/>
  <c r="E480" i="7"/>
  <c r="F480" i="7"/>
  <c r="P480" i="7"/>
  <c r="G480" i="7"/>
  <c r="O480" i="7"/>
  <c r="N480" i="7"/>
  <c r="M480" i="7"/>
  <c r="L480" i="7"/>
  <c r="K480" i="7"/>
  <c r="J480" i="7"/>
  <c r="I480" i="7"/>
  <c r="H480" i="7"/>
  <c r="D479" i="7"/>
  <c r="E479" i="7"/>
  <c r="F479" i="7"/>
  <c r="G479" i="7"/>
  <c r="H479" i="7"/>
  <c r="I479" i="7"/>
  <c r="J479" i="7"/>
  <c r="M479" i="7"/>
  <c r="N479" i="7"/>
  <c r="O479" i="7"/>
  <c r="P479" i="7"/>
  <c r="L479" i="7"/>
  <c r="K479" i="7"/>
  <c r="H478" i="7"/>
  <c r="D478" i="7"/>
  <c r="E478" i="7"/>
  <c r="F478" i="7"/>
  <c r="G478" i="7"/>
  <c r="I478" i="7"/>
  <c r="J478" i="7"/>
  <c r="K478" i="7"/>
  <c r="L478" i="7"/>
  <c r="M478" i="7"/>
  <c r="N478" i="7"/>
  <c r="O478" i="7"/>
  <c r="P478" i="7"/>
  <c r="D477" i="7"/>
  <c r="E477" i="7"/>
  <c r="F477" i="7"/>
  <c r="G477" i="7"/>
  <c r="H477" i="7"/>
  <c r="I477" i="7"/>
  <c r="J477" i="7"/>
  <c r="K477" i="7"/>
  <c r="L477" i="7"/>
  <c r="M477" i="7"/>
  <c r="N477" i="7"/>
  <c r="O477" i="7"/>
  <c r="P477" i="7"/>
  <c r="D476" i="7"/>
  <c r="E476" i="7"/>
  <c r="F476" i="7"/>
  <c r="G476" i="7"/>
  <c r="H476" i="7"/>
  <c r="I476" i="7"/>
  <c r="J476" i="7"/>
  <c r="K476" i="7"/>
  <c r="L476" i="7"/>
  <c r="M476" i="7"/>
  <c r="N476" i="7"/>
  <c r="O476" i="7"/>
  <c r="P476" i="7"/>
  <c r="P475" i="7"/>
  <c r="O475" i="7"/>
  <c r="N475" i="7"/>
  <c r="M475" i="7"/>
  <c r="L475" i="7"/>
  <c r="K475" i="7"/>
  <c r="J475" i="7"/>
  <c r="D475" i="7"/>
  <c r="E475" i="7"/>
  <c r="F475" i="7"/>
  <c r="G475" i="7"/>
  <c r="H475" i="7"/>
  <c r="I475" i="7"/>
  <c r="E474" i="7"/>
  <c r="L474" i="7"/>
  <c r="M474" i="7"/>
  <c r="N474" i="7"/>
  <c r="O474" i="7"/>
  <c r="P474" i="7"/>
  <c r="I474" i="7"/>
  <c r="F474" i="7"/>
  <c r="D474" i="7"/>
  <c r="G474" i="7"/>
  <c r="H474" i="7"/>
  <c r="J474" i="7"/>
  <c r="K474" i="7"/>
  <c r="E473" i="7"/>
  <c r="F473" i="7"/>
  <c r="G473" i="7"/>
  <c r="H473" i="7"/>
  <c r="I473" i="7"/>
  <c r="P473" i="7"/>
  <c r="O473" i="7"/>
  <c r="N473" i="7"/>
  <c r="M473" i="7"/>
  <c r="K473" i="7"/>
  <c r="J473" i="7"/>
  <c r="D473" i="7"/>
  <c r="L473" i="7"/>
  <c r="F472" i="7"/>
  <c r="N472" i="7"/>
  <c r="E472" i="7"/>
  <c r="D472" i="7"/>
  <c r="M472" i="7"/>
  <c r="P472" i="7"/>
  <c r="L472" i="7"/>
  <c r="K472" i="7"/>
  <c r="J472" i="7"/>
  <c r="O472" i="7"/>
  <c r="I472" i="7"/>
  <c r="H472" i="7"/>
  <c r="G472" i="7"/>
  <c r="D471" i="7"/>
  <c r="E471" i="7"/>
  <c r="F471" i="7"/>
  <c r="G471" i="7"/>
  <c r="H471" i="7"/>
  <c r="I471" i="7"/>
  <c r="J471" i="7"/>
  <c r="K471" i="7"/>
  <c r="L471" i="7"/>
  <c r="M471" i="7"/>
  <c r="N471" i="7"/>
  <c r="O471" i="7"/>
  <c r="P471" i="7"/>
  <c r="F470" i="7"/>
  <c r="G470" i="7"/>
  <c r="H470" i="7"/>
  <c r="I470" i="7"/>
  <c r="J470" i="7"/>
  <c r="K470" i="7"/>
  <c r="M470" i="7"/>
  <c r="N470" i="7"/>
  <c r="O470" i="7"/>
  <c r="P470" i="7"/>
  <c r="D470" i="7"/>
  <c r="L470" i="7"/>
  <c r="E470" i="7"/>
  <c r="L469" i="7"/>
  <c r="E469" i="7"/>
  <c r="D469" i="7"/>
  <c r="F469" i="7"/>
  <c r="P469" i="7"/>
  <c r="O469" i="7"/>
  <c r="N469" i="7"/>
  <c r="M469" i="7"/>
  <c r="K469" i="7"/>
  <c r="J469" i="7"/>
  <c r="I469" i="7"/>
  <c r="H469" i="7"/>
  <c r="G469" i="7"/>
  <c r="K468" i="7"/>
  <c r="D468" i="7"/>
  <c r="P468" i="7"/>
  <c r="O468" i="7"/>
  <c r="N468" i="7"/>
  <c r="M468" i="7"/>
  <c r="L468" i="7"/>
  <c r="J468" i="7"/>
  <c r="I468" i="7"/>
  <c r="H468" i="7"/>
  <c r="G468" i="7"/>
  <c r="F468" i="7"/>
  <c r="E468" i="7"/>
  <c r="P467" i="7"/>
  <c r="O467" i="7"/>
  <c r="N467" i="7"/>
  <c r="M467" i="7"/>
  <c r="L467" i="7"/>
  <c r="K467" i="7"/>
  <c r="J467" i="7"/>
  <c r="I467" i="7"/>
  <c r="H467" i="7"/>
  <c r="G467" i="7"/>
  <c r="F467" i="7"/>
  <c r="E467" i="7"/>
  <c r="D467" i="7"/>
  <c r="D466" i="7"/>
  <c r="E466" i="7"/>
  <c r="F466" i="7"/>
  <c r="G466" i="7"/>
  <c r="H466" i="7"/>
  <c r="I466" i="7"/>
  <c r="K466" i="7"/>
  <c r="L466" i="7"/>
  <c r="M466" i="7"/>
  <c r="N466" i="7"/>
  <c r="O466" i="7"/>
  <c r="P466" i="7"/>
  <c r="J466" i="7"/>
  <c r="D465" i="7"/>
  <c r="E465" i="7"/>
  <c r="F465" i="7"/>
  <c r="G465" i="7"/>
  <c r="H465" i="7"/>
  <c r="I465" i="7"/>
  <c r="J465" i="7"/>
  <c r="K465" i="7"/>
  <c r="L465" i="7"/>
  <c r="M465" i="7"/>
  <c r="N465" i="7"/>
  <c r="O465" i="7"/>
  <c r="P465" i="7"/>
  <c r="D464" i="7"/>
  <c r="K464" i="7"/>
  <c r="L464" i="7"/>
  <c r="M464" i="7"/>
  <c r="O464" i="7"/>
  <c r="N464" i="7"/>
  <c r="P464" i="7"/>
  <c r="E464" i="7"/>
  <c r="F464" i="7"/>
  <c r="G464" i="7"/>
  <c r="H464" i="7"/>
  <c r="I464" i="7"/>
  <c r="J464" i="7"/>
  <c r="H463" i="7"/>
  <c r="G463" i="7"/>
  <c r="F463" i="7"/>
  <c r="E463" i="7"/>
  <c r="D463" i="7"/>
  <c r="I463" i="7"/>
  <c r="M463" i="7"/>
  <c r="P463" i="7"/>
  <c r="O463" i="7"/>
  <c r="N463" i="7"/>
  <c r="L463" i="7"/>
  <c r="K463" i="7"/>
  <c r="J463" i="7"/>
  <c r="L462" i="7"/>
  <c r="M462" i="7"/>
  <c r="N462" i="7"/>
  <c r="O462" i="7"/>
  <c r="P462" i="7"/>
  <c r="K462" i="7"/>
  <c r="J462" i="7"/>
  <c r="I462" i="7"/>
  <c r="H462" i="7"/>
  <c r="G462" i="7"/>
  <c r="F462" i="7"/>
  <c r="E462" i="7"/>
  <c r="D462" i="7"/>
  <c r="E461" i="7"/>
  <c r="F461" i="7"/>
  <c r="G461" i="7"/>
  <c r="H461" i="7"/>
  <c r="I461" i="7"/>
  <c r="J461" i="7"/>
  <c r="K461" i="7"/>
  <c r="L461" i="7"/>
  <c r="M461" i="7"/>
  <c r="N461" i="7"/>
  <c r="O461" i="7"/>
  <c r="P461" i="7"/>
  <c r="D461" i="7"/>
  <c r="D460" i="7"/>
  <c r="I460" i="7"/>
  <c r="H460" i="7"/>
  <c r="G460" i="7"/>
  <c r="F460" i="7"/>
  <c r="O460" i="7"/>
  <c r="L460" i="7"/>
  <c r="P460" i="7"/>
  <c r="N460" i="7"/>
  <c r="M460" i="7"/>
  <c r="E460" i="7"/>
  <c r="K460" i="7"/>
  <c r="J460" i="7"/>
  <c r="L459" i="7"/>
  <c r="M459" i="7"/>
  <c r="I459" i="7"/>
  <c r="N459" i="7"/>
  <c r="O459" i="7"/>
  <c r="K459" i="7"/>
  <c r="P459" i="7"/>
  <c r="J459" i="7"/>
  <c r="G459" i="7"/>
  <c r="E459" i="7"/>
  <c r="D459" i="7"/>
  <c r="H459" i="7"/>
  <c r="F459" i="7"/>
  <c r="D458" i="7"/>
  <c r="E458" i="7"/>
  <c r="F458" i="7"/>
  <c r="G458" i="7"/>
  <c r="H458" i="7"/>
  <c r="I458" i="7"/>
  <c r="J458" i="7"/>
  <c r="K458" i="7"/>
  <c r="L458" i="7"/>
  <c r="M458" i="7"/>
  <c r="N458" i="7"/>
  <c r="O458" i="7"/>
  <c r="P458" i="7"/>
  <c r="P457" i="7"/>
  <c r="J457" i="7"/>
  <c r="I457" i="7"/>
  <c r="H457" i="7"/>
  <c r="G457" i="7"/>
  <c r="F457" i="7"/>
  <c r="E457" i="7"/>
  <c r="D457" i="7"/>
  <c r="O457" i="7"/>
  <c r="N457" i="7"/>
  <c r="M457" i="7"/>
  <c r="L457" i="7"/>
  <c r="K457" i="7"/>
  <c r="D456" i="7"/>
  <c r="F456" i="7"/>
  <c r="G456" i="7"/>
  <c r="H456" i="7"/>
  <c r="I456" i="7"/>
  <c r="K456" i="7"/>
  <c r="L456" i="7"/>
  <c r="M456" i="7"/>
  <c r="N456" i="7"/>
  <c r="O456" i="7"/>
  <c r="P456" i="7"/>
  <c r="E456" i="7"/>
  <c r="J456" i="7"/>
  <c r="J455" i="7"/>
  <c r="I455" i="7"/>
  <c r="H455" i="7"/>
  <c r="G455" i="7"/>
  <c r="F455" i="7"/>
  <c r="E455" i="7"/>
  <c r="D455" i="7"/>
  <c r="O455" i="7"/>
  <c r="N455" i="7"/>
  <c r="M455" i="7"/>
  <c r="L455" i="7"/>
  <c r="P455" i="7"/>
  <c r="K455" i="7"/>
  <c r="I454" i="7"/>
  <c r="H454" i="7"/>
  <c r="G454" i="7"/>
  <c r="F454" i="7"/>
  <c r="E454" i="7"/>
  <c r="D454" i="7"/>
  <c r="J454" i="7"/>
  <c r="P454" i="7"/>
  <c r="O454" i="7"/>
  <c r="N454" i="7"/>
  <c r="M454" i="7"/>
  <c r="L454" i="7"/>
  <c r="K454" i="7"/>
  <c r="D453" i="7"/>
  <c r="E453" i="7"/>
  <c r="F453" i="7"/>
  <c r="G453" i="7"/>
  <c r="H453" i="7"/>
  <c r="I453" i="7"/>
  <c r="J453" i="7"/>
  <c r="K453" i="7"/>
  <c r="L453" i="7"/>
  <c r="M453" i="7"/>
  <c r="N453" i="7"/>
  <c r="P453" i="7"/>
  <c r="O453" i="7"/>
  <c r="D452" i="7"/>
  <c r="E452" i="7"/>
  <c r="F452" i="7"/>
  <c r="G452" i="7"/>
  <c r="H452" i="7"/>
  <c r="I452" i="7"/>
  <c r="J452" i="7"/>
  <c r="K452" i="7"/>
  <c r="L452" i="7"/>
  <c r="M452" i="7"/>
  <c r="N452" i="7"/>
  <c r="O452" i="7"/>
  <c r="P452" i="7"/>
  <c r="D451" i="7"/>
  <c r="E451" i="7"/>
  <c r="F451" i="7"/>
  <c r="G451" i="7"/>
  <c r="H451" i="7"/>
  <c r="I451" i="7"/>
  <c r="J451" i="7"/>
  <c r="K451" i="7"/>
  <c r="L451" i="7"/>
  <c r="M451" i="7"/>
  <c r="N451" i="7"/>
  <c r="O451" i="7"/>
  <c r="P451" i="7"/>
  <c r="D450" i="7"/>
  <c r="E450" i="7"/>
  <c r="F450" i="7"/>
  <c r="G450" i="7"/>
  <c r="H450" i="7"/>
  <c r="I450" i="7"/>
  <c r="J450" i="7"/>
  <c r="P450" i="7"/>
  <c r="K450" i="7"/>
  <c r="L450" i="7"/>
  <c r="M450" i="7"/>
  <c r="N450" i="7"/>
  <c r="O450" i="7"/>
  <c r="D449" i="7"/>
  <c r="K449" i="7"/>
  <c r="L449" i="7"/>
  <c r="N449" i="7"/>
  <c r="O449" i="7"/>
  <c r="P449" i="7"/>
  <c r="J449" i="7"/>
  <c r="E449" i="7"/>
  <c r="F449" i="7"/>
  <c r="G449" i="7"/>
  <c r="H449" i="7"/>
  <c r="I449" i="7"/>
  <c r="M449" i="7"/>
  <c r="O448" i="7"/>
  <c r="P448" i="7"/>
  <c r="N448" i="7"/>
  <c r="M448" i="7"/>
  <c r="L448" i="7"/>
  <c r="K448" i="7"/>
  <c r="J448" i="7"/>
  <c r="I448" i="7"/>
  <c r="H448" i="7"/>
  <c r="G448" i="7"/>
  <c r="F448" i="7"/>
  <c r="E448" i="7"/>
  <c r="D448" i="7"/>
  <c r="K447" i="7"/>
  <c r="L447" i="7"/>
  <c r="M447" i="7"/>
  <c r="N447" i="7"/>
  <c r="O447" i="7"/>
  <c r="P447" i="7"/>
  <c r="G447" i="7"/>
  <c r="F447" i="7"/>
  <c r="E447" i="7"/>
  <c r="D447" i="7"/>
  <c r="I447" i="7"/>
  <c r="H447" i="7"/>
  <c r="J447" i="7"/>
  <c r="D446" i="7"/>
  <c r="E446" i="7"/>
  <c r="F446" i="7"/>
  <c r="G446" i="7"/>
  <c r="H446" i="7"/>
  <c r="I446" i="7"/>
  <c r="J446" i="7"/>
  <c r="N446" i="7"/>
  <c r="K446" i="7"/>
  <c r="L446" i="7"/>
  <c r="M446" i="7"/>
  <c r="O446" i="7"/>
  <c r="P446" i="7"/>
  <c r="I445" i="7"/>
  <c r="H445" i="7"/>
  <c r="G445" i="7"/>
  <c r="F445" i="7"/>
  <c r="E445" i="7"/>
  <c r="D445" i="7"/>
  <c r="P445" i="7"/>
  <c r="O445" i="7"/>
  <c r="N445" i="7"/>
  <c r="M445" i="7"/>
  <c r="L445" i="7"/>
  <c r="K445" i="7"/>
  <c r="J445" i="7"/>
  <c r="D444" i="7"/>
  <c r="F444" i="7"/>
  <c r="G444" i="7"/>
  <c r="H444" i="7"/>
  <c r="E444" i="7"/>
  <c r="I444" i="7"/>
  <c r="J444" i="7"/>
  <c r="K444" i="7"/>
  <c r="L444" i="7"/>
  <c r="M444" i="7"/>
  <c r="N444" i="7"/>
  <c r="O444" i="7"/>
  <c r="P444" i="7"/>
  <c r="D443" i="7"/>
  <c r="E443" i="7"/>
  <c r="F443" i="7"/>
  <c r="H443" i="7"/>
  <c r="I443" i="7"/>
  <c r="O443" i="7"/>
  <c r="P443" i="7"/>
  <c r="N443" i="7"/>
  <c r="M443" i="7"/>
  <c r="L443" i="7"/>
  <c r="K443" i="7"/>
  <c r="J443" i="7"/>
  <c r="G443" i="7"/>
  <c r="D442" i="7"/>
  <c r="E442" i="7"/>
  <c r="F442" i="7"/>
  <c r="G442" i="7"/>
  <c r="H442" i="7"/>
  <c r="I442" i="7"/>
  <c r="J442" i="7"/>
  <c r="K442" i="7"/>
  <c r="L442" i="7"/>
  <c r="M442" i="7"/>
  <c r="N442" i="7"/>
  <c r="O442" i="7"/>
  <c r="P442" i="7"/>
  <c r="D441" i="7"/>
  <c r="E441" i="7"/>
  <c r="F441" i="7"/>
  <c r="P441" i="7"/>
  <c r="O441" i="7"/>
  <c r="N441" i="7"/>
  <c r="M441" i="7"/>
  <c r="L441" i="7"/>
  <c r="K441" i="7"/>
  <c r="J441" i="7"/>
  <c r="I441" i="7"/>
  <c r="H441" i="7"/>
  <c r="G441" i="7"/>
  <c r="D440" i="7"/>
  <c r="J440" i="7"/>
  <c r="I440" i="7"/>
  <c r="H440" i="7"/>
  <c r="G440" i="7"/>
  <c r="F440" i="7"/>
  <c r="E440" i="7"/>
  <c r="P440" i="7"/>
  <c r="O440" i="7"/>
  <c r="N440" i="7"/>
  <c r="M440" i="7"/>
  <c r="L440" i="7"/>
  <c r="K440" i="7"/>
  <c r="D439" i="7"/>
  <c r="P439" i="7"/>
  <c r="O439" i="7"/>
  <c r="N439" i="7"/>
  <c r="M439" i="7"/>
  <c r="G439" i="7"/>
  <c r="F439" i="7"/>
  <c r="E439" i="7"/>
  <c r="K439" i="7"/>
  <c r="J439" i="7"/>
  <c r="I439" i="7"/>
  <c r="H439" i="7"/>
  <c r="L439" i="7"/>
  <c r="E438" i="7"/>
  <c r="F438" i="7"/>
  <c r="G438" i="7"/>
  <c r="H438" i="7"/>
  <c r="I438" i="7"/>
  <c r="J438" i="7"/>
  <c r="K438" i="7"/>
  <c r="L438" i="7"/>
  <c r="M438" i="7"/>
  <c r="N438" i="7"/>
  <c r="O438" i="7"/>
  <c r="P438" i="7"/>
  <c r="D438" i="7"/>
  <c r="E437" i="7"/>
  <c r="P437" i="7"/>
  <c r="F437" i="7"/>
  <c r="G437" i="7"/>
  <c r="H437" i="7"/>
  <c r="I437" i="7"/>
  <c r="D437" i="7"/>
  <c r="J437" i="7"/>
  <c r="L437" i="7"/>
  <c r="K437" i="7"/>
  <c r="M437" i="7"/>
  <c r="N437" i="7"/>
  <c r="O437" i="7"/>
  <c r="J436" i="7"/>
  <c r="O436" i="7"/>
  <c r="N436" i="7"/>
  <c r="M436" i="7"/>
  <c r="L436" i="7"/>
  <c r="K436" i="7"/>
  <c r="I436" i="7"/>
  <c r="H436" i="7"/>
  <c r="G436" i="7"/>
  <c r="F436" i="7"/>
  <c r="E436" i="7"/>
  <c r="D436" i="7"/>
  <c r="P436" i="7"/>
  <c r="D435" i="7"/>
  <c r="E435" i="7"/>
  <c r="F435" i="7"/>
  <c r="G435" i="7"/>
  <c r="H435" i="7"/>
  <c r="I435" i="7"/>
  <c r="K435" i="7"/>
  <c r="J435" i="7"/>
  <c r="L435" i="7"/>
  <c r="M435" i="7"/>
  <c r="N435" i="7"/>
  <c r="O435" i="7"/>
  <c r="P435" i="7"/>
  <c r="E434" i="7"/>
  <c r="F434" i="7"/>
  <c r="G434" i="7"/>
  <c r="H434" i="7"/>
  <c r="I434" i="7"/>
  <c r="K434" i="7"/>
  <c r="L434" i="7"/>
  <c r="M434" i="7"/>
  <c r="N434" i="7"/>
  <c r="O434" i="7"/>
  <c r="J434" i="7"/>
  <c r="D434" i="7"/>
  <c r="P434" i="7"/>
  <c r="D433" i="7"/>
  <c r="E433" i="7"/>
  <c r="F433" i="7"/>
  <c r="G433" i="7"/>
  <c r="H433" i="7"/>
  <c r="I433" i="7"/>
  <c r="J433" i="7"/>
  <c r="K433" i="7"/>
  <c r="L433" i="7"/>
  <c r="M433" i="7"/>
  <c r="N433" i="7"/>
  <c r="O433" i="7"/>
  <c r="P433" i="7"/>
  <c r="M432" i="7"/>
  <c r="J432" i="7"/>
  <c r="K432" i="7"/>
  <c r="L432" i="7"/>
  <c r="N432" i="7"/>
  <c r="O432" i="7"/>
  <c r="P432" i="7"/>
  <c r="D432" i="7"/>
  <c r="E432" i="7"/>
  <c r="F432" i="7"/>
  <c r="G432" i="7"/>
  <c r="H432" i="7"/>
  <c r="I432" i="7"/>
  <c r="I431" i="7"/>
  <c r="J431" i="7"/>
  <c r="N431" i="7"/>
  <c r="K431" i="7"/>
  <c r="L431" i="7"/>
  <c r="M431" i="7"/>
  <c r="O431" i="7"/>
  <c r="P431" i="7"/>
  <c r="E431" i="7"/>
  <c r="D431" i="7"/>
  <c r="F431" i="7"/>
  <c r="G431" i="7"/>
  <c r="H431" i="7"/>
  <c r="K430" i="7"/>
  <c r="I430" i="7"/>
  <c r="H430" i="7"/>
  <c r="G430" i="7"/>
  <c r="F430" i="7"/>
  <c r="E430" i="7"/>
  <c r="J430" i="7"/>
  <c r="D430" i="7"/>
  <c r="P430" i="7"/>
  <c r="O430" i="7"/>
  <c r="N430" i="7"/>
  <c r="M430" i="7"/>
  <c r="L430" i="7"/>
  <c r="E428" i="7"/>
  <c r="F428" i="7"/>
  <c r="G428" i="7"/>
  <c r="H428" i="7"/>
  <c r="I428" i="7"/>
  <c r="J428" i="7"/>
  <c r="K428" i="7"/>
  <c r="D428" i="7"/>
  <c r="P428" i="7"/>
  <c r="O428" i="7"/>
  <c r="N428" i="7"/>
  <c r="M428" i="7"/>
  <c r="L428" i="7"/>
  <c r="O426" i="7"/>
  <c r="P426" i="7"/>
  <c r="N426" i="7"/>
  <c r="M426" i="7"/>
  <c r="L426" i="7"/>
  <c r="K426" i="7"/>
  <c r="J426" i="7"/>
  <c r="I426" i="7"/>
  <c r="D426" i="7"/>
  <c r="H426" i="7"/>
  <c r="G426" i="7"/>
  <c r="F426" i="7"/>
  <c r="E426" i="7"/>
  <c r="E425" i="7"/>
  <c r="M425" i="7"/>
  <c r="L425" i="7"/>
  <c r="K425" i="7"/>
  <c r="J425" i="7"/>
  <c r="I425" i="7"/>
  <c r="H425" i="7"/>
  <c r="G425" i="7"/>
  <c r="F425" i="7"/>
  <c r="O425" i="7"/>
  <c r="N425" i="7"/>
  <c r="P425" i="7"/>
  <c r="D425" i="7"/>
  <c r="P424" i="7"/>
  <c r="N424" i="7"/>
  <c r="O424" i="7"/>
  <c r="L424" i="7"/>
  <c r="K424" i="7"/>
  <c r="J424" i="7"/>
  <c r="D424" i="7"/>
  <c r="I424" i="7"/>
  <c r="H424" i="7"/>
  <c r="G424" i="7"/>
  <c r="F424" i="7"/>
  <c r="E424" i="7"/>
  <c r="M424" i="7"/>
  <c r="M422" i="7"/>
  <c r="P422" i="7"/>
  <c r="O422" i="7"/>
  <c r="N422" i="7"/>
  <c r="L422" i="7"/>
  <c r="K422" i="7"/>
  <c r="J422" i="7"/>
  <c r="I422" i="7"/>
  <c r="H422" i="7"/>
  <c r="G422" i="7"/>
  <c r="F422" i="7"/>
  <c r="E422" i="7"/>
  <c r="D422" i="7"/>
  <c r="O420" i="7"/>
  <c r="P420" i="7"/>
  <c r="F420" i="7"/>
  <c r="G420" i="7"/>
  <c r="H420" i="7"/>
  <c r="J420" i="7"/>
  <c r="K420" i="7"/>
  <c r="N420" i="7"/>
  <c r="M420" i="7"/>
  <c r="L420" i="7"/>
  <c r="I420" i="7"/>
  <c r="D420" i="7"/>
  <c r="E420" i="7"/>
  <c r="D417" i="7"/>
  <c r="E417" i="7"/>
  <c r="F417" i="7"/>
  <c r="G417" i="7"/>
  <c r="H417" i="7"/>
  <c r="I417" i="7"/>
  <c r="J417" i="7"/>
  <c r="P417" i="7"/>
  <c r="O417" i="7"/>
  <c r="M417" i="7"/>
  <c r="L417" i="7"/>
  <c r="K417" i="7"/>
  <c r="N417" i="7"/>
  <c r="D414" i="7"/>
  <c r="M414" i="7"/>
  <c r="L414" i="7"/>
  <c r="K414" i="7"/>
  <c r="J414" i="7"/>
  <c r="P414" i="7"/>
  <c r="O414" i="7"/>
  <c r="N414" i="7"/>
  <c r="E414" i="7"/>
  <c r="F414" i="7"/>
  <c r="G414" i="7"/>
  <c r="H414" i="7"/>
  <c r="I414" i="7"/>
  <c r="E413" i="7"/>
  <c r="K413" i="7"/>
  <c r="D413" i="7"/>
  <c r="F413" i="7"/>
  <c r="G413" i="7"/>
  <c r="H413" i="7"/>
  <c r="I413" i="7"/>
  <c r="J413" i="7"/>
  <c r="L413" i="7"/>
  <c r="M413" i="7"/>
  <c r="N413" i="7"/>
  <c r="O413" i="7"/>
  <c r="P413" i="7"/>
  <c r="O412" i="7"/>
  <c r="N412" i="7"/>
  <c r="M412" i="7"/>
  <c r="K412" i="7"/>
  <c r="J412" i="7"/>
  <c r="I412" i="7"/>
  <c r="H412" i="7"/>
  <c r="G412" i="7"/>
  <c r="F412" i="7"/>
  <c r="E412" i="7"/>
  <c r="D412" i="7"/>
  <c r="P412" i="7"/>
  <c r="L412" i="7"/>
  <c r="D411" i="7"/>
  <c r="G411" i="7"/>
  <c r="H411" i="7"/>
  <c r="I411" i="7"/>
  <c r="J411" i="7"/>
  <c r="K411" i="7"/>
  <c r="L411" i="7"/>
  <c r="E411" i="7"/>
  <c r="F411" i="7"/>
  <c r="M411" i="7"/>
  <c r="N411" i="7"/>
  <c r="O411" i="7"/>
  <c r="P411" i="7"/>
  <c r="E410" i="7"/>
  <c r="G410" i="7"/>
  <c r="H410" i="7"/>
  <c r="I410" i="7"/>
  <c r="J410" i="7"/>
  <c r="K410" i="7"/>
  <c r="L410" i="7"/>
  <c r="M410" i="7"/>
  <c r="N410" i="7"/>
  <c r="O410" i="7"/>
  <c r="P410" i="7"/>
  <c r="D410" i="7"/>
  <c r="F410" i="7"/>
  <c r="H409" i="7"/>
  <c r="J409" i="7"/>
  <c r="I409" i="7"/>
  <c r="O409" i="7"/>
  <c r="N409" i="7"/>
  <c r="M409" i="7"/>
  <c r="L409" i="7"/>
  <c r="K409" i="7"/>
  <c r="G409" i="7"/>
  <c r="F409" i="7"/>
  <c r="E409" i="7"/>
  <c r="D409" i="7"/>
  <c r="P409" i="7"/>
  <c r="G408" i="7"/>
  <c r="L408" i="7"/>
  <c r="K408" i="7"/>
  <c r="J408" i="7"/>
  <c r="I408" i="7"/>
  <c r="H408" i="7"/>
  <c r="F408" i="7"/>
  <c r="E408" i="7"/>
  <c r="D408" i="7"/>
  <c r="M408" i="7"/>
  <c r="N408" i="7"/>
  <c r="O408" i="7"/>
  <c r="P408" i="7"/>
  <c r="M407" i="7"/>
  <c r="N407" i="7"/>
  <c r="O407" i="7"/>
  <c r="P407" i="7"/>
  <c r="F407" i="7"/>
  <c r="G407" i="7"/>
  <c r="H407" i="7"/>
  <c r="I407" i="7"/>
  <c r="J407" i="7"/>
  <c r="K407" i="7"/>
  <c r="L407" i="7"/>
  <c r="D407" i="7"/>
  <c r="E407" i="7"/>
  <c r="K406" i="7"/>
  <c r="L406" i="7"/>
  <c r="M406" i="7"/>
  <c r="N406" i="7"/>
  <c r="O406" i="7"/>
  <c r="P406" i="7"/>
  <c r="D406" i="7"/>
  <c r="E406" i="7"/>
  <c r="F406" i="7"/>
  <c r="G406" i="7"/>
  <c r="H406" i="7"/>
  <c r="I406" i="7"/>
  <c r="J406" i="7"/>
  <c r="P405" i="7"/>
  <c r="O405" i="7"/>
  <c r="N405" i="7"/>
  <c r="M405" i="7"/>
  <c r="L405" i="7"/>
  <c r="K405" i="7"/>
  <c r="J405" i="7"/>
  <c r="I405" i="7"/>
  <c r="G405" i="7"/>
  <c r="F405" i="7"/>
  <c r="E405" i="7"/>
  <c r="D405" i="7"/>
  <c r="H405" i="7"/>
  <c r="D404" i="7"/>
  <c r="F404" i="7"/>
  <c r="E404" i="7"/>
  <c r="P404" i="7"/>
  <c r="K404" i="7"/>
  <c r="J404" i="7"/>
  <c r="I404" i="7"/>
  <c r="H404" i="7"/>
  <c r="G404" i="7"/>
  <c r="L404" i="7"/>
  <c r="M404" i="7"/>
  <c r="N404" i="7"/>
  <c r="O404" i="7"/>
  <c r="M403" i="7"/>
  <c r="N403" i="7"/>
  <c r="O403" i="7"/>
  <c r="P403" i="7"/>
  <c r="F403" i="7"/>
  <c r="G403" i="7"/>
  <c r="H403" i="7"/>
  <c r="I403" i="7"/>
  <c r="J403" i="7"/>
  <c r="K403" i="7"/>
  <c r="L403" i="7"/>
  <c r="D403" i="7"/>
  <c r="E403" i="7"/>
  <c r="F402" i="7"/>
  <c r="G402" i="7"/>
  <c r="H402" i="7"/>
  <c r="I402" i="7"/>
  <c r="J402" i="7"/>
  <c r="K402" i="7"/>
  <c r="L402" i="7"/>
  <c r="M402" i="7"/>
  <c r="N402" i="7"/>
  <c r="O402" i="7"/>
  <c r="P402" i="7"/>
  <c r="D402" i="7"/>
  <c r="E402" i="7"/>
  <c r="J401" i="7"/>
  <c r="K401" i="7"/>
  <c r="L401" i="7"/>
  <c r="M401" i="7"/>
  <c r="N401" i="7"/>
  <c r="O401" i="7"/>
  <c r="P401" i="7"/>
  <c r="D401" i="7"/>
  <c r="E401" i="7"/>
  <c r="F401" i="7"/>
  <c r="G401" i="7"/>
  <c r="H401" i="7"/>
  <c r="I401" i="7"/>
  <c r="E400" i="7"/>
  <c r="N400" i="7"/>
  <c r="O400" i="7"/>
  <c r="P400" i="7"/>
  <c r="F400" i="7"/>
  <c r="G400" i="7"/>
  <c r="H400" i="7"/>
  <c r="I400" i="7"/>
  <c r="J400" i="7"/>
  <c r="K400" i="7"/>
  <c r="L400" i="7"/>
  <c r="M400" i="7"/>
  <c r="D400" i="7"/>
  <c r="O399" i="7"/>
  <c r="N399" i="7"/>
  <c r="M399" i="7"/>
  <c r="L399" i="7"/>
  <c r="K399" i="7"/>
  <c r="J399" i="7"/>
  <c r="I399" i="7"/>
  <c r="H399" i="7"/>
  <c r="G399" i="7"/>
  <c r="F399" i="7"/>
  <c r="E399" i="7"/>
  <c r="D399" i="7"/>
  <c r="P399" i="7"/>
  <c r="M398" i="7"/>
  <c r="F398" i="7"/>
  <c r="E398" i="7"/>
  <c r="D398" i="7"/>
  <c r="P398" i="7"/>
  <c r="N398" i="7"/>
  <c r="L398" i="7"/>
  <c r="K398" i="7"/>
  <c r="J398" i="7"/>
  <c r="I398" i="7"/>
  <c r="H398" i="7"/>
  <c r="G398" i="7"/>
  <c r="N397" i="7"/>
  <c r="O397" i="7"/>
  <c r="P397" i="7"/>
  <c r="I397" i="7"/>
  <c r="E397" i="7"/>
  <c r="F397" i="7"/>
  <c r="G397" i="7"/>
  <c r="H397" i="7"/>
  <c r="D397" i="7"/>
  <c r="J397" i="7"/>
  <c r="K397" i="7"/>
  <c r="L397" i="7"/>
  <c r="M397" i="7"/>
  <c r="D396" i="7"/>
  <c r="F396" i="7"/>
  <c r="G396" i="7"/>
  <c r="H396" i="7"/>
  <c r="I396" i="7"/>
  <c r="J396" i="7"/>
  <c r="K396" i="7"/>
  <c r="L396" i="7"/>
  <c r="M396" i="7"/>
  <c r="N396" i="7"/>
  <c r="O396" i="7"/>
  <c r="P396" i="7"/>
  <c r="E396" i="7"/>
  <c r="O395" i="7"/>
  <c r="P395" i="7"/>
  <c r="D395" i="7"/>
  <c r="E395" i="7"/>
  <c r="F395" i="7"/>
  <c r="G395" i="7"/>
  <c r="H395" i="7"/>
  <c r="I395" i="7"/>
  <c r="J395" i="7"/>
  <c r="K395" i="7"/>
  <c r="L395" i="7"/>
  <c r="M395" i="7"/>
  <c r="N395" i="7"/>
  <c r="G394" i="7"/>
  <c r="E394" i="7"/>
  <c r="F394" i="7"/>
  <c r="H394" i="7"/>
  <c r="O394" i="7"/>
  <c r="I394" i="7"/>
  <c r="J394" i="7"/>
  <c r="K394" i="7"/>
  <c r="L394" i="7"/>
  <c r="M394" i="7"/>
  <c r="N394" i="7"/>
  <c r="D394" i="7"/>
  <c r="P394" i="7"/>
  <c r="M393" i="7"/>
  <c r="O393" i="7"/>
  <c r="N393" i="7"/>
  <c r="P393" i="7"/>
  <c r="D393" i="7"/>
  <c r="E393" i="7"/>
  <c r="F393" i="7"/>
  <c r="G393" i="7"/>
  <c r="H393" i="7"/>
  <c r="I393" i="7"/>
  <c r="J393" i="7"/>
  <c r="K393" i="7"/>
  <c r="L393" i="7"/>
  <c r="K392" i="7"/>
  <c r="O392" i="7"/>
  <c r="N392" i="7"/>
  <c r="M392" i="7"/>
  <c r="L392" i="7"/>
  <c r="J392" i="7"/>
  <c r="I392" i="7"/>
  <c r="H392" i="7"/>
  <c r="G392" i="7"/>
  <c r="F392" i="7"/>
  <c r="E392" i="7"/>
  <c r="D392" i="7"/>
  <c r="P392" i="7"/>
  <c r="D391" i="7"/>
  <c r="E391" i="7"/>
  <c r="F391" i="7"/>
  <c r="G391" i="7"/>
  <c r="H391" i="7"/>
  <c r="I391" i="7"/>
  <c r="J391" i="7"/>
  <c r="N391" i="7"/>
  <c r="K391" i="7"/>
  <c r="L391" i="7"/>
  <c r="M391" i="7"/>
  <c r="O391" i="7"/>
  <c r="P391" i="7"/>
  <c r="P390" i="7"/>
  <c r="O390" i="7"/>
  <c r="D390" i="7"/>
  <c r="E390" i="7"/>
  <c r="F390" i="7"/>
  <c r="G390" i="7"/>
  <c r="H390" i="7"/>
  <c r="I390" i="7"/>
  <c r="J390" i="7"/>
  <c r="K390" i="7"/>
  <c r="N390" i="7"/>
  <c r="L390" i="7"/>
  <c r="M390" i="7"/>
  <c r="D389" i="7"/>
  <c r="K389" i="7"/>
  <c r="P389" i="7"/>
  <c r="O389" i="7"/>
  <c r="N389" i="7"/>
  <c r="M389" i="7"/>
  <c r="L389" i="7"/>
  <c r="J389" i="7"/>
  <c r="I389" i="7"/>
  <c r="H389" i="7"/>
  <c r="G389" i="7"/>
  <c r="F389" i="7"/>
  <c r="E389" i="7"/>
  <c r="F388" i="7"/>
  <c r="E388" i="7"/>
  <c r="D388" i="7"/>
  <c r="P388" i="7"/>
  <c r="O388" i="7"/>
  <c r="N388" i="7"/>
  <c r="M388" i="7"/>
  <c r="L388" i="7"/>
  <c r="K388" i="7"/>
  <c r="J388" i="7"/>
  <c r="I388" i="7"/>
  <c r="H388" i="7"/>
  <c r="G388" i="7"/>
  <c r="G387" i="7"/>
  <c r="K387" i="7"/>
  <c r="L387" i="7"/>
  <c r="M387" i="7"/>
  <c r="N387" i="7"/>
  <c r="P387" i="7"/>
  <c r="O387" i="7"/>
  <c r="D387" i="7"/>
  <c r="E387" i="7"/>
  <c r="F387" i="7"/>
  <c r="H387" i="7"/>
  <c r="I387" i="7"/>
  <c r="J387" i="7"/>
  <c r="L386" i="7"/>
  <c r="K386" i="7"/>
  <c r="J386" i="7"/>
  <c r="I386" i="7"/>
  <c r="H386" i="7"/>
  <c r="G386" i="7"/>
  <c r="F386" i="7"/>
  <c r="E386" i="7"/>
  <c r="D386" i="7"/>
  <c r="M386" i="7"/>
  <c r="N386" i="7"/>
  <c r="O386" i="7"/>
  <c r="P386" i="7"/>
  <c r="F385" i="7"/>
  <c r="N385" i="7"/>
  <c r="O385" i="7"/>
  <c r="P385" i="7"/>
  <c r="D385" i="7"/>
  <c r="E385" i="7"/>
  <c r="I385" i="7"/>
  <c r="G385" i="7"/>
  <c r="H385" i="7"/>
  <c r="J385" i="7"/>
  <c r="K385" i="7"/>
  <c r="L385" i="7"/>
  <c r="M385" i="7"/>
  <c r="O384" i="7"/>
  <c r="N384" i="7"/>
  <c r="M384" i="7"/>
  <c r="L384" i="7"/>
  <c r="K384" i="7"/>
  <c r="J384" i="7"/>
  <c r="F384" i="7"/>
  <c r="I384" i="7"/>
  <c r="H384" i="7"/>
  <c r="G384" i="7"/>
  <c r="E384" i="7"/>
  <c r="D384" i="7"/>
  <c r="P384" i="7"/>
  <c r="N383" i="7"/>
  <c r="O383" i="7"/>
  <c r="P383" i="7"/>
  <c r="D383" i="7"/>
  <c r="E383" i="7"/>
  <c r="F383" i="7"/>
  <c r="G383" i="7"/>
  <c r="H383" i="7"/>
  <c r="I383" i="7"/>
  <c r="J383" i="7"/>
  <c r="K383" i="7"/>
  <c r="L383" i="7"/>
  <c r="M383" i="7"/>
  <c r="J382" i="7"/>
  <c r="L382" i="7"/>
  <c r="M382" i="7"/>
  <c r="H382" i="7"/>
  <c r="N382" i="7"/>
  <c r="E382" i="7"/>
  <c r="F382" i="7"/>
  <c r="G382" i="7"/>
  <c r="D382" i="7"/>
  <c r="O382" i="7"/>
  <c r="I382" i="7"/>
  <c r="P382" i="7"/>
  <c r="K382" i="7"/>
  <c r="H381" i="7"/>
  <c r="I381" i="7"/>
  <c r="N381" i="7"/>
  <c r="J381" i="7"/>
  <c r="K381" i="7"/>
  <c r="L381" i="7"/>
  <c r="M381" i="7"/>
  <c r="O381" i="7"/>
  <c r="P381" i="7"/>
  <c r="F381" i="7"/>
  <c r="G381" i="7"/>
  <c r="D381" i="7"/>
  <c r="E381" i="7"/>
  <c r="M380" i="7"/>
  <c r="F380" i="7"/>
  <c r="D380" i="7"/>
  <c r="P380" i="7"/>
  <c r="O380" i="7"/>
  <c r="G380" i="7"/>
  <c r="E380" i="7"/>
  <c r="H380" i="7"/>
  <c r="I380" i="7"/>
  <c r="J380" i="7"/>
  <c r="K380" i="7"/>
  <c r="L380" i="7"/>
  <c r="N380" i="7"/>
  <c r="O379" i="7"/>
  <c r="P379" i="7"/>
  <c r="F379" i="7"/>
  <c r="D379" i="7"/>
  <c r="E379" i="7"/>
  <c r="G379" i="7"/>
  <c r="H379" i="7"/>
  <c r="I379" i="7"/>
  <c r="J379" i="7"/>
  <c r="K379" i="7"/>
  <c r="L379" i="7"/>
  <c r="M379" i="7"/>
  <c r="N379" i="7"/>
  <c r="P378" i="7"/>
  <c r="O378" i="7"/>
  <c r="D378" i="7"/>
  <c r="E378" i="7"/>
  <c r="F378" i="7"/>
  <c r="G378" i="7"/>
  <c r="H378" i="7"/>
  <c r="I378" i="7"/>
  <c r="J378" i="7"/>
  <c r="K378" i="7"/>
  <c r="L378" i="7"/>
  <c r="M378" i="7"/>
  <c r="N378" i="7"/>
  <c r="I377" i="7"/>
  <c r="H377" i="7"/>
  <c r="G377" i="7"/>
  <c r="F377" i="7"/>
  <c r="D377" i="7"/>
  <c r="E377" i="7"/>
  <c r="P377" i="7"/>
  <c r="O377" i="7"/>
  <c r="N377" i="7"/>
  <c r="M377" i="7"/>
  <c r="L377" i="7"/>
  <c r="K377" i="7"/>
  <c r="J377" i="7"/>
  <c r="I376" i="7"/>
  <c r="H376" i="7"/>
  <c r="G376" i="7"/>
  <c r="F376" i="7"/>
  <c r="E376" i="7"/>
  <c r="D376" i="7"/>
  <c r="P376" i="7"/>
  <c r="N376" i="7"/>
  <c r="M376" i="7"/>
  <c r="L376" i="7"/>
  <c r="K376" i="7"/>
  <c r="J376" i="7"/>
  <c r="O376" i="7"/>
  <c r="M375" i="7"/>
  <c r="N375" i="7"/>
  <c r="O375" i="7"/>
  <c r="P375" i="7"/>
  <c r="E375" i="7"/>
  <c r="D375" i="7"/>
  <c r="F375" i="7"/>
  <c r="G375" i="7"/>
  <c r="H375" i="7"/>
  <c r="I375" i="7"/>
  <c r="J375" i="7"/>
  <c r="K375" i="7"/>
  <c r="L375" i="7"/>
  <c r="N374" i="7"/>
  <c r="J374" i="7"/>
  <c r="H374" i="7"/>
  <c r="G374" i="7"/>
  <c r="F374" i="7"/>
  <c r="O374" i="7"/>
  <c r="E374" i="7"/>
  <c r="D374" i="7"/>
  <c r="P374" i="7"/>
  <c r="M374" i="7"/>
  <c r="L374" i="7"/>
  <c r="I374" i="7"/>
  <c r="K374" i="7"/>
  <c r="N373" i="7"/>
  <c r="P373" i="7"/>
  <c r="O373" i="7"/>
  <c r="M373" i="7"/>
  <c r="L373" i="7"/>
  <c r="K373" i="7"/>
  <c r="J373" i="7"/>
  <c r="I373" i="7"/>
  <c r="H373" i="7"/>
  <c r="G373" i="7"/>
  <c r="F373" i="7"/>
  <c r="E373" i="7"/>
  <c r="D373" i="7"/>
  <c r="J372" i="7"/>
  <c r="K372" i="7"/>
  <c r="I372" i="7"/>
  <c r="L372" i="7"/>
  <c r="N372" i="7"/>
  <c r="O372" i="7"/>
  <c r="P372" i="7"/>
  <c r="M372" i="7"/>
  <c r="D372" i="7"/>
  <c r="E372" i="7"/>
  <c r="F372" i="7"/>
  <c r="G372" i="7"/>
  <c r="H372" i="7"/>
  <c r="L371" i="7"/>
  <c r="P371" i="7"/>
  <c r="O371" i="7"/>
  <c r="N371" i="7"/>
  <c r="M371" i="7"/>
  <c r="K371" i="7"/>
  <c r="J371" i="7"/>
  <c r="I371" i="7"/>
  <c r="H371" i="7"/>
  <c r="G371" i="7"/>
  <c r="F371" i="7"/>
  <c r="E371" i="7"/>
  <c r="D371" i="7"/>
  <c r="M370" i="7"/>
  <c r="F370" i="7"/>
  <c r="E370" i="7"/>
  <c r="D370" i="7"/>
  <c r="P370" i="7"/>
  <c r="N370" i="7"/>
  <c r="L370" i="7"/>
  <c r="O370" i="7"/>
  <c r="K370" i="7"/>
  <c r="J370" i="7"/>
  <c r="I370" i="7"/>
  <c r="H370" i="7"/>
  <c r="G370" i="7"/>
  <c r="G369" i="7"/>
  <c r="H369" i="7"/>
  <c r="I369" i="7"/>
  <c r="J369" i="7"/>
  <c r="K369" i="7"/>
  <c r="L369" i="7"/>
  <c r="M369" i="7"/>
  <c r="N369" i="7"/>
  <c r="O369" i="7"/>
  <c r="P369" i="7"/>
  <c r="D369" i="7"/>
  <c r="E369" i="7"/>
  <c r="F369" i="7"/>
  <c r="H368" i="7"/>
  <c r="G368" i="7"/>
  <c r="O368" i="7"/>
  <c r="I368" i="7"/>
  <c r="J368" i="7"/>
  <c r="K368" i="7"/>
  <c r="F368" i="7"/>
  <c r="L368" i="7"/>
  <c r="M368" i="7"/>
  <c r="P368" i="7"/>
  <c r="D368" i="7"/>
  <c r="E368" i="7"/>
  <c r="N368" i="7"/>
  <c r="D367" i="7"/>
  <c r="K367" i="7"/>
  <c r="L367" i="7"/>
  <c r="M367" i="7"/>
  <c r="J367" i="7"/>
  <c r="O367" i="7"/>
  <c r="P367" i="7"/>
  <c r="N367" i="7"/>
  <c r="E367" i="7"/>
  <c r="F367" i="7"/>
  <c r="G367" i="7"/>
  <c r="H367" i="7"/>
  <c r="I367" i="7"/>
  <c r="D366" i="7"/>
  <c r="E366" i="7"/>
  <c r="F366" i="7"/>
  <c r="G366" i="7"/>
  <c r="I366" i="7"/>
  <c r="J366" i="7"/>
  <c r="K366" i="7"/>
  <c r="L366" i="7"/>
  <c r="H366" i="7"/>
  <c r="N366" i="7"/>
  <c r="O366" i="7"/>
  <c r="P366" i="7"/>
  <c r="M366" i="7"/>
  <c r="F365" i="7"/>
  <c r="G365" i="7"/>
  <c r="H365" i="7"/>
  <c r="I365" i="7"/>
  <c r="J365" i="7"/>
  <c r="M365" i="7"/>
  <c r="P365" i="7"/>
  <c r="O365" i="7"/>
  <c r="L365" i="7"/>
  <c r="K365" i="7"/>
  <c r="D365" i="7"/>
  <c r="E365" i="7"/>
  <c r="N365" i="7"/>
  <c r="I364" i="7"/>
  <c r="H364" i="7"/>
  <c r="G364" i="7"/>
  <c r="F364" i="7"/>
  <c r="E364" i="7"/>
  <c r="D364" i="7"/>
  <c r="L364" i="7"/>
  <c r="K364" i="7"/>
  <c r="J364" i="7"/>
  <c r="P364" i="7"/>
  <c r="O364" i="7"/>
  <c r="N364" i="7"/>
  <c r="M364" i="7"/>
  <c r="J363" i="7"/>
  <c r="K363" i="7"/>
  <c r="L363" i="7"/>
  <c r="N363" i="7"/>
  <c r="O363" i="7"/>
  <c r="P363" i="7"/>
  <c r="F363" i="7"/>
  <c r="M363" i="7"/>
  <c r="D363" i="7"/>
  <c r="E363" i="7"/>
  <c r="G363" i="7"/>
  <c r="H363" i="7"/>
  <c r="I363" i="7"/>
  <c r="K362" i="7"/>
  <c r="L362" i="7"/>
  <c r="M362" i="7"/>
  <c r="N362" i="7"/>
  <c r="O362" i="7"/>
  <c r="P362" i="7"/>
  <c r="D362" i="7"/>
  <c r="E362" i="7"/>
  <c r="F362" i="7"/>
  <c r="G362" i="7"/>
  <c r="H362" i="7"/>
  <c r="I362" i="7"/>
  <c r="J362" i="7"/>
  <c r="H361" i="7"/>
  <c r="D361" i="7"/>
  <c r="E361" i="7"/>
  <c r="F361" i="7"/>
  <c r="G361" i="7"/>
  <c r="L361" i="7"/>
  <c r="I361" i="7"/>
  <c r="J361" i="7"/>
  <c r="K361" i="7"/>
  <c r="M361" i="7"/>
  <c r="N361" i="7"/>
  <c r="O361" i="7"/>
  <c r="P361" i="7"/>
  <c r="I360" i="7"/>
  <c r="H360" i="7"/>
  <c r="G360" i="7"/>
  <c r="F360" i="7"/>
  <c r="E360" i="7"/>
  <c r="M360" i="7"/>
  <c r="N360" i="7"/>
  <c r="D360" i="7"/>
  <c r="J360" i="7"/>
  <c r="O360" i="7"/>
  <c r="P360" i="7"/>
  <c r="K360" i="7"/>
  <c r="L360" i="7"/>
  <c r="G359" i="7"/>
  <c r="H359" i="7"/>
  <c r="I359" i="7"/>
  <c r="K359" i="7"/>
  <c r="L359" i="7"/>
  <c r="M359" i="7"/>
  <c r="N359" i="7"/>
  <c r="O359" i="7"/>
  <c r="P359" i="7"/>
  <c r="J359" i="7"/>
  <c r="E359" i="7"/>
  <c r="D359" i="7"/>
  <c r="F359" i="7"/>
  <c r="M358" i="7"/>
  <c r="N358" i="7"/>
  <c r="O358" i="7"/>
  <c r="P358" i="7"/>
  <c r="F358" i="7"/>
  <c r="E358" i="7"/>
  <c r="D358" i="7"/>
  <c r="H358" i="7"/>
  <c r="I358" i="7"/>
  <c r="J358" i="7"/>
  <c r="K358" i="7"/>
  <c r="L358" i="7"/>
  <c r="G358" i="7"/>
  <c r="D357" i="7"/>
  <c r="E357" i="7"/>
  <c r="F357" i="7"/>
  <c r="G357" i="7"/>
  <c r="H357" i="7"/>
  <c r="I357" i="7"/>
  <c r="J357" i="7"/>
  <c r="K357" i="7"/>
  <c r="L357" i="7"/>
  <c r="M357" i="7"/>
  <c r="N357" i="7"/>
  <c r="O357" i="7"/>
  <c r="P357" i="7"/>
  <c r="H356" i="7"/>
  <c r="I356" i="7"/>
  <c r="M356" i="7"/>
  <c r="L356" i="7"/>
  <c r="N356" i="7"/>
  <c r="O356" i="7"/>
  <c r="P356" i="7"/>
  <c r="D356" i="7"/>
  <c r="E356" i="7"/>
  <c r="G356" i="7"/>
  <c r="F356" i="7"/>
  <c r="K356" i="7"/>
  <c r="J356" i="7"/>
  <c r="K355" i="7"/>
  <c r="L355" i="7"/>
  <c r="M355" i="7"/>
  <c r="N355" i="7"/>
  <c r="O355" i="7"/>
  <c r="P355" i="7"/>
  <c r="E355" i="7"/>
  <c r="F355" i="7"/>
  <c r="D355" i="7"/>
  <c r="G355" i="7"/>
  <c r="H355" i="7"/>
  <c r="I355" i="7"/>
  <c r="J355" i="7"/>
  <c r="D354" i="7"/>
  <c r="F354" i="7"/>
  <c r="G354" i="7"/>
  <c r="H354" i="7"/>
  <c r="I354" i="7"/>
  <c r="P354" i="7"/>
  <c r="J354" i="7"/>
  <c r="K354" i="7"/>
  <c r="L354" i="7"/>
  <c r="M354" i="7"/>
  <c r="N354" i="7"/>
  <c r="O354" i="7"/>
  <c r="E354" i="7"/>
  <c r="J353" i="7"/>
  <c r="H353" i="7"/>
  <c r="G353" i="7"/>
  <c r="K353" i="7"/>
  <c r="F353" i="7"/>
  <c r="D353" i="7"/>
  <c r="E353" i="7" s="1"/>
  <c r="I353" i="7"/>
  <c r="L353" i="7"/>
  <c r="M353" i="7"/>
  <c r="N353" i="7"/>
  <c r="O353" i="7"/>
  <c r="P353" i="7"/>
  <c r="P352" i="7"/>
  <c r="J352" i="7"/>
  <c r="I352" i="7"/>
  <c r="H352" i="7"/>
  <c r="G352" i="7"/>
  <c r="F352" i="7"/>
  <c r="O352" i="7"/>
  <c r="N352" i="7"/>
  <c r="M352" i="7"/>
  <c r="L352" i="7"/>
  <c r="K352" i="7"/>
  <c r="D352" i="7"/>
  <c r="E352" i="7" s="1"/>
  <c r="O351" i="7"/>
  <c r="N351" i="7"/>
  <c r="M351" i="7"/>
  <c r="L351" i="7"/>
  <c r="K351" i="7"/>
  <c r="J351" i="7"/>
  <c r="I351" i="7"/>
  <c r="H351" i="7"/>
  <c r="G351" i="7"/>
  <c r="F351" i="7"/>
  <c r="D351" i="7"/>
  <c r="E351" i="7" s="1"/>
  <c r="P351" i="7"/>
  <c r="F350" i="7"/>
  <c r="L350" i="7"/>
  <c r="P350" i="7"/>
  <c r="O350" i="7"/>
  <c r="N350" i="7"/>
  <c r="K350" i="7"/>
  <c r="M350" i="7"/>
  <c r="G350" i="7"/>
  <c r="J350" i="7"/>
  <c r="I350" i="7"/>
  <c r="H350" i="7"/>
  <c r="D350" i="7"/>
  <c r="E350" i="7" s="1"/>
  <c r="K349" i="7"/>
  <c r="D349" i="7"/>
  <c r="E349" i="7" s="1"/>
  <c r="F349" i="7"/>
  <c r="G349" i="7"/>
  <c r="H349" i="7"/>
  <c r="I349" i="7"/>
  <c r="J349" i="7"/>
  <c r="L349" i="7"/>
  <c r="M349" i="7"/>
  <c r="N349" i="7"/>
  <c r="O349" i="7"/>
  <c r="P349" i="7"/>
  <c r="F348" i="7"/>
  <c r="G348" i="7"/>
  <c r="I348" i="7"/>
  <c r="J348" i="7"/>
  <c r="K348" i="7"/>
  <c r="M348" i="7"/>
  <c r="N348" i="7"/>
  <c r="O348" i="7"/>
  <c r="P348" i="7"/>
  <c r="H348" i="7"/>
  <c r="L348" i="7"/>
  <c r="D348" i="7"/>
  <c r="E348" i="7" s="1"/>
  <c r="N347" i="7"/>
  <c r="D347" i="7"/>
  <c r="E347" i="7" s="1"/>
  <c r="F347" i="7"/>
  <c r="M347" i="7"/>
  <c r="K347" i="7"/>
  <c r="G347" i="7"/>
  <c r="L347" i="7"/>
  <c r="J347" i="7"/>
  <c r="I347" i="7"/>
  <c r="H347" i="7"/>
  <c r="P347" i="7"/>
  <c r="O347" i="7"/>
  <c r="M346" i="7"/>
  <c r="N346" i="7"/>
  <c r="O346" i="7"/>
  <c r="P346" i="7"/>
  <c r="D346" i="7"/>
  <c r="E346" i="7" s="1"/>
  <c r="F346" i="7"/>
  <c r="G346" i="7"/>
  <c r="H346" i="7"/>
  <c r="I346" i="7"/>
  <c r="J346" i="7"/>
  <c r="K346" i="7"/>
  <c r="L346" i="7"/>
  <c r="I345" i="7"/>
  <c r="J345" i="7"/>
  <c r="L345" i="7"/>
  <c r="N345" i="7"/>
  <c r="P345" i="7"/>
  <c r="O345" i="7"/>
  <c r="K345" i="7"/>
  <c r="M345" i="7"/>
  <c r="D345" i="7"/>
  <c r="E345" i="7" s="1"/>
  <c r="F345" i="7"/>
  <c r="G345" i="7"/>
  <c r="H345" i="7"/>
  <c r="I344" i="7"/>
  <c r="O344" i="7"/>
  <c r="D344" i="7"/>
  <c r="E344" i="7" s="1"/>
  <c r="F344" i="7"/>
  <c r="N344" i="7"/>
  <c r="P344" i="7"/>
  <c r="K344" i="7"/>
  <c r="M344" i="7"/>
  <c r="L344" i="7"/>
  <c r="J344" i="7"/>
  <c r="H344" i="7"/>
  <c r="G344" i="7"/>
  <c r="L343" i="7"/>
  <c r="M343" i="7"/>
  <c r="N343" i="7"/>
  <c r="O343" i="7"/>
  <c r="P343" i="7"/>
  <c r="J343" i="7"/>
  <c r="K343" i="7"/>
  <c r="D343" i="7"/>
  <c r="E343" i="7" s="1"/>
  <c r="F343" i="7"/>
  <c r="G343" i="7"/>
  <c r="H343" i="7"/>
  <c r="I343" i="7"/>
  <c r="M342" i="7"/>
  <c r="L342" i="7"/>
  <c r="K342" i="7"/>
  <c r="J342" i="7"/>
  <c r="H342" i="7"/>
  <c r="G342" i="7"/>
  <c r="O342" i="7"/>
  <c r="F342" i="7"/>
  <c r="P342" i="7"/>
  <c r="I342" i="7"/>
  <c r="D342" i="7"/>
  <c r="E342" i="7" s="1"/>
  <c r="N342" i="7"/>
  <c r="M341" i="7"/>
  <c r="N341" i="7"/>
  <c r="O341" i="7"/>
  <c r="P341" i="7"/>
  <c r="D341" i="7"/>
  <c r="E341" i="7" s="1"/>
  <c r="F341" i="7"/>
  <c r="G341" i="7"/>
  <c r="H341" i="7"/>
  <c r="I341" i="7"/>
  <c r="J341" i="7"/>
  <c r="K341" i="7"/>
  <c r="L341" i="7"/>
  <c r="M340" i="7"/>
  <c r="N340" i="7"/>
  <c r="P340" i="7"/>
  <c r="L340" i="7"/>
  <c r="O340" i="7"/>
  <c r="D340" i="7"/>
  <c r="E340" i="7" s="1"/>
  <c r="F340" i="7"/>
  <c r="G340" i="7"/>
  <c r="H340" i="7"/>
  <c r="I340" i="7"/>
  <c r="J340" i="7"/>
  <c r="K340" i="7"/>
  <c r="P339" i="7"/>
  <c r="F339" i="7"/>
  <c r="G339" i="7"/>
  <c r="H339" i="7"/>
  <c r="I339" i="7"/>
  <c r="J339" i="7"/>
  <c r="K339" i="7"/>
  <c r="L339" i="7"/>
  <c r="M339" i="7"/>
  <c r="D339" i="7"/>
  <c r="E339" i="7" s="1"/>
  <c r="O339" i="7"/>
  <c r="N339" i="7"/>
  <c r="G338" i="7"/>
  <c r="F338" i="7"/>
  <c r="D338" i="7"/>
  <c r="E338" i="7" s="1"/>
  <c r="N338" i="7"/>
  <c r="P338" i="7"/>
  <c r="O338" i="7"/>
  <c r="M338" i="7"/>
  <c r="L338" i="7"/>
  <c r="K338" i="7"/>
  <c r="J338" i="7"/>
  <c r="I338" i="7"/>
  <c r="H338" i="7"/>
  <c r="J337" i="7"/>
  <c r="D337" i="7"/>
  <c r="E337" i="7" s="1"/>
  <c r="K337" i="7"/>
  <c r="M337" i="7"/>
  <c r="L337" i="7"/>
  <c r="N337" i="7"/>
  <c r="O337" i="7"/>
  <c r="P337" i="7"/>
  <c r="F337" i="7"/>
  <c r="G337" i="7"/>
  <c r="H337" i="7"/>
  <c r="I337" i="7"/>
  <c r="J336" i="7"/>
  <c r="K336" i="7"/>
  <c r="O336" i="7"/>
  <c r="M336" i="7"/>
  <c r="N336" i="7"/>
  <c r="P336" i="7"/>
  <c r="L336" i="7"/>
  <c r="D336" i="7"/>
  <c r="E336" i="7" s="1"/>
  <c r="F336" i="7"/>
  <c r="G336" i="7"/>
  <c r="H336" i="7"/>
  <c r="I336" i="7"/>
  <c r="M335" i="7"/>
  <c r="F335" i="7"/>
  <c r="G335" i="7"/>
  <c r="H335" i="7"/>
  <c r="I335" i="7"/>
  <c r="J335" i="7"/>
  <c r="K335" i="7"/>
  <c r="P335" i="7"/>
  <c r="O335" i="7"/>
  <c r="D335" i="7"/>
  <c r="E335" i="7" s="1"/>
  <c r="N335" i="7"/>
  <c r="L335" i="7"/>
  <c r="F334" i="7"/>
  <c r="O334" i="7"/>
  <c r="P334" i="7"/>
  <c r="N334" i="7"/>
  <c r="M334" i="7"/>
  <c r="L334" i="7"/>
  <c r="K334" i="7"/>
  <c r="J334" i="7"/>
  <c r="I334" i="7"/>
  <c r="H334" i="7"/>
  <c r="G334" i="7"/>
  <c r="D334" i="7"/>
  <c r="E334" i="7" s="1"/>
  <c r="L333" i="7"/>
  <c r="H333" i="7"/>
  <c r="D333" i="7"/>
  <c r="E333" i="7" s="1"/>
  <c r="F333" i="7"/>
  <c r="G333" i="7"/>
  <c r="I333" i="7"/>
  <c r="J333" i="7"/>
  <c r="K333" i="7"/>
  <c r="M333" i="7"/>
  <c r="P333" i="7"/>
  <c r="O333" i="7"/>
  <c r="N333" i="7"/>
  <c r="P332" i="7"/>
  <c r="J332" i="7"/>
  <c r="K332" i="7"/>
  <c r="L332" i="7"/>
  <c r="M332" i="7"/>
  <c r="O332" i="7"/>
  <c r="H332" i="7"/>
  <c r="G332" i="7"/>
  <c r="F332" i="7"/>
  <c r="I332" i="7"/>
  <c r="D332" i="7"/>
  <c r="E332" i="7" s="1"/>
  <c r="N332" i="7"/>
  <c r="H331" i="7"/>
  <c r="I331" i="7"/>
  <c r="J331" i="7"/>
  <c r="K331" i="7"/>
  <c r="L331" i="7"/>
  <c r="M331" i="7"/>
  <c r="N331" i="7"/>
  <c r="O331" i="7"/>
  <c r="P331" i="7"/>
  <c r="D331" i="7"/>
  <c r="E331" i="7" s="1"/>
  <c r="F331" i="7"/>
  <c r="G331" i="7"/>
  <c r="N330" i="7"/>
  <c r="D330" i="7"/>
  <c r="E330" i="7" s="1"/>
  <c r="F330" i="7"/>
  <c r="G330" i="7"/>
  <c r="H330" i="7"/>
  <c r="I330" i="7"/>
  <c r="J330" i="7"/>
  <c r="K330" i="7"/>
  <c r="L330" i="7"/>
  <c r="O330" i="7"/>
  <c r="M330" i="7"/>
  <c r="P330" i="7"/>
  <c r="D329" i="7"/>
  <c r="E329" i="7" s="1"/>
  <c r="P329" i="7"/>
  <c r="K329" i="7"/>
  <c r="O329" i="7"/>
  <c r="F329" i="7"/>
  <c r="G329" i="7"/>
  <c r="H329" i="7"/>
  <c r="J329" i="7"/>
  <c r="L329" i="7"/>
  <c r="M329" i="7"/>
  <c r="N329" i="7"/>
  <c r="I329" i="7"/>
  <c r="P328" i="7"/>
  <c r="F328" i="7"/>
  <c r="G328" i="7"/>
  <c r="H328" i="7"/>
  <c r="I328" i="7"/>
  <c r="J328" i="7"/>
  <c r="D328" i="7"/>
  <c r="E328" i="7" s="1"/>
  <c r="K328" i="7"/>
  <c r="L328" i="7"/>
  <c r="M328" i="7"/>
  <c r="N328" i="7"/>
  <c r="O328" i="7"/>
  <c r="J327" i="7"/>
  <c r="P327" i="7"/>
  <c r="O327" i="7"/>
  <c r="N327" i="7"/>
  <c r="L327" i="7"/>
  <c r="K327" i="7"/>
  <c r="I327" i="7"/>
  <c r="H327" i="7"/>
  <c r="G327" i="7"/>
  <c r="M327" i="7"/>
  <c r="F327" i="7"/>
  <c r="D327" i="7"/>
  <c r="E327" i="7" s="1"/>
  <c r="P326" i="7"/>
  <c r="O326" i="7"/>
  <c r="N326" i="7"/>
  <c r="M326" i="7"/>
  <c r="L326" i="7"/>
  <c r="K326" i="7"/>
  <c r="J326" i="7"/>
  <c r="I326" i="7"/>
  <c r="H326" i="7"/>
  <c r="G326" i="7"/>
  <c r="F326" i="7"/>
  <c r="D326" i="7"/>
  <c r="E326" i="7" s="1"/>
  <c r="H325" i="7"/>
  <c r="D325" i="7"/>
  <c r="E325" i="7" s="1"/>
  <c r="F325" i="7"/>
  <c r="M325" i="7"/>
  <c r="P325" i="7"/>
  <c r="I325" i="7"/>
  <c r="J325" i="7"/>
  <c r="G325" i="7"/>
  <c r="K325" i="7"/>
  <c r="L325" i="7"/>
  <c r="N325" i="7"/>
  <c r="O325" i="7"/>
  <c r="F324" i="7"/>
  <c r="G324" i="7"/>
  <c r="H324" i="7"/>
  <c r="J324" i="7"/>
  <c r="K324" i="7"/>
  <c r="L324" i="7"/>
  <c r="M324" i="7"/>
  <c r="N324" i="7"/>
  <c r="O324" i="7"/>
  <c r="P324" i="7"/>
  <c r="I324" i="7"/>
  <c r="D324" i="7"/>
  <c r="E324" i="7" s="1"/>
  <c r="G323" i="7"/>
  <c r="H323" i="7"/>
  <c r="D323" i="7"/>
  <c r="E323" i="7" s="1"/>
  <c r="F323" i="7"/>
  <c r="L323" i="7"/>
  <c r="I323" i="7"/>
  <c r="J323" i="7"/>
  <c r="K323" i="7"/>
  <c r="M323" i="7"/>
  <c r="N323" i="7"/>
  <c r="O323" i="7"/>
  <c r="P323" i="7"/>
  <c r="H322" i="7"/>
  <c r="I322" i="7"/>
  <c r="J322" i="7"/>
  <c r="K322" i="7"/>
  <c r="L322" i="7"/>
  <c r="M322" i="7"/>
  <c r="O322" i="7"/>
  <c r="P322" i="7"/>
  <c r="N322" i="7"/>
  <c r="G322" i="7"/>
  <c r="D322" i="7"/>
  <c r="E322" i="7" s="1"/>
  <c r="F322" i="7"/>
  <c r="G321" i="7"/>
  <c r="J321" i="7"/>
  <c r="P321" i="7"/>
  <c r="O321" i="7"/>
  <c r="N321" i="7"/>
  <c r="M321" i="7"/>
  <c r="L321" i="7"/>
  <c r="D321" i="7"/>
  <c r="E321" i="7" s="1"/>
  <c r="F321" i="7"/>
  <c r="I321" i="7"/>
  <c r="H321" i="7"/>
  <c r="K321" i="7"/>
  <c r="M320" i="7"/>
  <c r="D320" i="7"/>
  <c r="E320" i="7" s="1"/>
  <c r="F320" i="7"/>
  <c r="G320" i="7"/>
  <c r="H320" i="7"/>
  <c r="I320" i="7"/>
  <c r="J320" i="7"/>
  <c r="K320" i="7"/>
  <c r="L320" i="7"/>
  <c r="N320" i="7"/>
  <c r="O320" i="7"/>
  <c r="P320" i="7"/>
  <c r="P319" i="7"/>
  <c r="K319" i="7"/>
  <c r="L319" i="7"/>
  <c r="M319" i="7"/>
  <c r="N319" i="7"/>
  <c r="O319" i="7"/>
  <c r="G319" i="7"/>
  <c r="D319" i="7"/>
  <c r="E319" i="7" s="1"/>
  <c r="J319" i="7"/>
  <c r="I319" i="7"/>
  <c r="H319" i="7"/>
  <c r="F319" i="7"/>
  <c r="P318" i="7"/>
  <c r="D318" i="7"/>
  <c r="E318" i="7" s="1"/>
  <c r="F318" i="7"/>
  <c r="O318" i="7"/>
  <c r="N318" i="7"/>
  <c r="M318" i="7"/>
  <c r="H318" i="7"/>
  <c r="L318" i="7"/>
  <c r="K318" i="7"/>
  <c r="J318" i="7"/>
  <c r="I318" i="7"/>
  <c r="G318" i="7"/>
  <c r="L317" i="7"/>
  <c r="D317" i="7"/>
  <c r="E317" i="7" s="1"/>
  <c r="G317" i="7"/>
  <c r="I317" i="7"/>
  <c r="J317" i="7"/>
  <c r="K317" i="7"/>
  <c r="M317" i="7"/>
  <c r="F317" i="7"/>
  <c r="P317" i="7"/>
  <c r="O317" i="7"/>
  <c r="N317" i="7"/>
  <c r="H317" i="7"/>
  <c r="P315" i="7"/>
  <c r="J315" i="7"/>
  <c r="I315" i="7"/>
  <c r="H315" i="7"/>
  <c r="G315" i="7"/>
  <c r="F315" i="7"/>
  <c r="D315" i="7"/>
  <c r="E315" i="7" s="1"/>
  <c r="N315" i="7"/>
  <c r="M315" i="7"/>
  <c r="L315" i="7"/>
  <c r="O315" i="7"/>
  <c r="K315" i="7"/>
  <c r="K314" i="7"/>
  <c r="L314" i="7"/>
  <c r="M314" i="7"/>
  <c r="N314" i="7"/>
  <c r="O314" i="7"/>
  <c r="P314" i="7"/>
  <c r="F314" i="7"/>
  <c r="D314" i="7"/>
  <c r="E314" i="7" s="1"/>
  <c r="G314" i="7"/>
  <c r="H314" i="7"/>
  <c r="I314" i="7"/>
  <c r="J314" i="7"/>
  <c r="P313" i="7"/>
  <c r="O313" i="7"/>
  <c r="N313" i="7"/>
  <c r="M313" i="7"/>
  <c r="L313" i="7"/>
  <c r="K313" i="7"/>
  <c r="I313" i="7"/>
  <c r="G313" i="7"/>
  <c r="H313" i="7"/>
  <c r="F313" i="7"/>
  <c r="D313" i="7"/>
  <c r="E313" i="7" s="1"/>
  <c r="J313" i="7"/>
  <c r="F312" i="7"/>
  <c r="L312" i="7"/>
  <c r="J312" i="7"/>
  <c r="I312" i="7"/>
  <c r="H312" i="7"/>
  <c r="G312" i="7"/>
  <c r="M312" i="7"/>
  <c r="K312" i="7"/>
  <c r="D312" i="7"/>
  <c r="E312" i="7" s="1"/>
  <c r="N312" i="7"/>
  <c r="O312" i="7"/>
  <c r="P312" i="7"/>
  <c r="M311" i="7"/>
  <c r="P311" i="7"/>
  <c r="O311" i="7"/>
  <c r="N311" i="7"/>
  <c r="F311" i="7"/>
  <c r="D311" i="7"/>
  <c r="E311" i="7" s="1"/>
  <c r="L311" i="7"/>
  <c r="K311" i="7"/>
  <c r="G311" i="7"/>
  <c r="H311" i="7"/>
  <c r="I311" i="7"/>
  <c r="J311" i="7"/>
  <c r="G310" i="7"/>
  <c r="K310" i="7"/>
  <c r="L310" i="7"/>
  <c r="M310" i="7"/>
  <c r="N310" i="7"/>
  <c r="H310" i="7"/>
  <c r="P310" i="7"/>
  <c r="J310" i="7"/>
  <c r="I310" i="7"/>
  <c r="D310" i="7"/>
  <c r="E310" i="7" s="1"/>
  <c r="F310" i="7"/>
  <c r="O310" i="7"/>
  <c r="I309" i="7"/>
  <c r="J309" i="7"/>
  <c r="K309" i="7"/>
  <c r="L309" i="7"/>
  <c r="M309" i="7"/>
  <c r="N309" i="7"/>
  <c r="O309" i="7"/>
  <c r="P309" i="7"/>
  <c r="D309" i="7"/>
  <c r="E309" i="7" s="1"/>
  <c r="F309" i="7"/>
  <c r="G309" i="7"/>
  <c r="H309" i="7"/>
  <c r="L308" i="7"/>
  <c r="J308" i="7"/>
  <c r="F308" i="7"/>
  <c r="D308" i="7"/>
  <c r="E308" i="7" s="1"/>
  <c r="G308" i="7"/>
  <c r="H308" i="7"/>
  <c r="M308" i="7"/>
  <c r="I308" i="7"/>
  <c r="K308" i="7"/>
  <c r="P308" i="7"/>
  <c r="O308" i="7"/>
  <c r="N308" i="7"/>
  <c r="L307" i="7"/>
  <c r="D307" i="7"/>
  <c r="E307" i="7" s="1"/>
  <c r="P307" i="7"/>
  <c r="O307" i="7"/>
  <c r="N307" i="7"/>
  <c r="M307" i="7"/>
  <c r="K307" i="7"/>
  <c r="J307" i="7"/>
  <c r="I307" i="7"/>
  <c r="H307" i="7"/>
  <c r="G307" i="7"/>
  <c r="F307" i="7"/>
  <c r="K306" i="7"/>
  <c r="F306" i="7"/>
  <c r="D306" i="7"/>
  <c r="E306" i="7" s="1"/>
  <c r="G306" i="7"/>
  <c r="H306" i="7"/>
  <c r="I306" i="7"/>
  <c r="L306" i="7"/>
  <c r="M306" i="7"/>
  <c r="N306" i="7"/>
  <c r="O306" i="7"/>
  <c r="P306" i="7"/>
  <c r="J306" i="7"/>
  <c r="H305" i="7"/>
  <c r="K305" i="7"/>
  <c r="L305" i="7"/>
  <c r="D305" i="7"/>
  <c r="E305" i="7" s="1"/>
  <c r="F305" i="7"/>
  <c r="J305" i="7"/>
  <c r="M305" i="7"/>
  <c r="N305" i="7"/>
  <c r="O305" i="7"/>
  <c r="P305" i="7"/>
  <c r="G305" i="7"/>
  <c r="I305" i="7"/>
  <c r="N304" i="7"/>
  <c r="P304" i="7"/>
  <c r="M304" i="7"/>
  <c r="L304" i="7"/>
  <c r="K304" i="7"/>
  <c r="J304" i="7"/>
  <c r="I304" i="7"/>
  <c r="H304" i="7"/>
  <c r="G304" i="7"/>
  <c r="F304" i="7"/>
  <c r="D304" i="7"/>
  <c r="E304" i="7" s="1"/>
  <c r="O304" i="7"/>
  <c r="N303" i="7"/>
  <c r="L303" i="7"/>
  <c r="K303" i="7"/>
  <c r="J303" i="7"/>
  <c r="I303" i="7"/>
  <c r="H303" i="7"/>
  <c r="G303" i="7"/>
  <c r="F303" i="7"/>
  <c r="D303" i="7"/>
  <c r="E303" i="7" s="1"/>
  <c r="M303" i="7"/>
  <c r="P303" i="7"/>
  <c r="O303" i="7"/>
  <c r="D302" i="7"/>
  <c r="E302" i="7" s="1"/>
  <c r="F302" i="7"/>
  <c r="G302" i="7"/>
  <c r="H302" i="7"/>
  <c r="I302" i="7"/>
  <c r="P302" i="7"/>
  <c r="J302" i="7"/>
  <c r="K302" i="7"/>
  <c r="L302" i="7"/>
  <c r="M302" i="7"/>
  <c r="N302" i="7"/>
  <c r="O302" i="7"/>
  <c r="H301" i="7"/>
  <c r="D301" i="7"/>
  <c r="E301" i="7" s="1"/>
  <c r="F301" i="7"/>
  <c r="G301" i="7"/>
  <c r="I301" i="7"/>
  <c r="J301" i="7"/>
  <c r="K301" i="7"/>
  <c r="L301" i="7"/>
  <c r="M301" i="7"/>
  <c r="N301" i="7"/>
  <c r="O301" i="7"/>
  <c r="P301" i="7"/>
  <c r="G300" i="7"/>
  <c r="D300" i="7"/>
  <c r="E300" i="7" s="1"/>
  <c r="F300" i="7"/>
  <c r="H300" i="7"/>
  <c r="I300" i="7"/>
  <c r="J300" i="7"/>
  <c r="K300" i="7"/>
  <c r="L300" i="7"/>
  <c r="M300" i="7"/>
  <c r="N300" i="7"/>
  <c r="O300" i="7"/>
  <c r="P300" i="7"/>
  <c r="J299" i="7"/>
  <c r="H299" i="7"/>
  <c r="I299" i="7"/>
  <c r="M299" i="7"/>
  <c r="L299" i="7"/>
  <c r="K299" i="7"/>
  <c r="N299" i="7"/>
  <c r="G299" i="7"/>
  <c r="O299" i="7"/>
  <c r="P299" i="7"/>
  <c r="F299" i="7"/>
  <c r="D299" i="7"/>
  <c r="E299" i="7" s="1"/>
  <c r="L298" i="7"/>
  <c r="G298" i="7"/>
  <c r="N298" i="7"/>
  <c r="M298" i="7"/>
  <c r="D298" i="7"/>
  <c r="E298" i="7" s="1"/>
  <c r="F298" i="7"/>
  <c r="H298" i="7"/>
  <c r="I298" i="7"/>
  <c r="J298" i="7"/>
  <c r="K298" i="7"/>
  <c r="O298" i="7"/>
  <c r="P298" i="7"/>
  <c r="L297" i="7"/>
  <c r="M297" i="7"/>
  <c r="K297" i="7"/>
  <c r="N297" i="7"/>
  <c r="O297" i="7"/>
  <c r="P297" i="7"/>
  <c r="I297" i="7"/>
  <c r="H297" i="7"/>
  <c r="G297" i="7"/>
  <c r="F297" i="7"/>
  <c r="J297" i="7"/>
  <c r="D297" i="7"/>
  <c r="E297" i="7" s="1"/>
  <c r="L296" i="7"/>
  <c r="M296" i="7"/>
  <c r="D296" i="7"/>
  <c r="E296" i="7" s="1"/>
  <c r="F296" i="7"/>
  <c r="G296" i="7"/>
  <c r="I296" i="7"/>
  <c r="J296" i="7"/>
  <c r="K296" i="7"/>
  <c r="P296" i="7"/>
  <c r="O296" i="7"/>
  <c r="N296" i="7"/>
  <c r="H296" i="7"/>
  <c r="K295" i="7"/>
  <c r="J295" i="7"/>
  <c r="I295" i="7"/>
  <c r="G295" i="7"/>
  <c r="F295" i="7"/>
  <c r="D295" i="7"/>
  <c r="E295" i="7" s="1"/>
  <c r="H295" i="7"/>
  <c r="P295" i="7"/>
  <c r="O295" i="7"/>
  <c r="N295" i="7"/>
  <c r="M295" i="7"/>
  <c r="L295" i="7"/>
  <c r="P294" i="7"/>
  <c r="O294" i="7"/>
  <c r="L294" i="7"/>
  <c r="N294" i="7"/>
  <c r="M294" i="7"/>
  <c r="F294" i="7"/>
  <c r="G294" i="7"/>
  <c r="H294" i="7"/>
  <c r="I294" i="7"/>
  <c r="J294" i="7"/>
  <c r="K294" i="7"/>
  <c r="D294" i="7"/>
  <c r="E294" i="7" s="1"/>
  <c r="D293" i="7"/>
  <c r="E293" i="7" s="1"/>
  <c r="H293" i="7"/>
  <c r="P293" i="7"/>
  <c r="O293" i="7"/>
  <c r="N293" i="7"/>
  <c r="M293" i="7"/>
  <c r="L293" i="7"/>
  <c r="K293" i="7"/>
  <c r="J293" i="7"/>
  <c r="I293" i="7"/>
  <c r="G293" i="7"/>
  <c r="F293" i="7"/>
  <c r="N292" i="7"/>
  <c r="M292" i="7"/>
  <c r="D292" i="7"/>
  <c r="E292" i="7" s="1"/>
  <c r="F292" i="7"/>
  <c r="G292" i="7"/>
  <c r="H292" i="7"/>
  <c r="I292" i="7"/>
  <c r="J292" i="7"/>
  <c r="K292" i="7"/>
  <c r="L292" i="7"/>
  <c r="O292" i="7"/>
  <c r="P292" i="7"/>
  <c r="K291" i="7"/>
  <c r="L291" i="7"/>
  <c r="M291" i="7"/>
  <c r="N291" i="7"/>
  <c r="O291" i="7"/>
  <c r="P291" i="7"/>
  <c r="J291" i="7"/>
  <c r="D291" i="7"/>
  <c r="E291" i="7" s="1"/>
  <c r="F291" i="7"/>
  <c r="G291" i="7"/>
  <c r="H291" i="7"/>
  <c r="I291" i="7"/>
  <c r="D290" i="7"/>
  <c r="E290" i="7" s="1"/>
  <c r="F290" i="7"/>
  <c r="G290" i="7"/>
  <c r="I290" i="7"/>
  <c r="J290" i="7"/>
  <c r="K290" i="7"/>
  <c r="P290" i="7"/>
  <c r="O290" i="7"/>
  <c r="N290" i="7"/>
  <c r="M290" i="7"/>
  <c r="H290" i="7"/>
  <c r="L290" i="7"/>
  <c r="F289" i="7"/>
  <c r="D289" i="7"/>
  <c r="E289" i="7" s="1"/>
  <c r="I289" i="7"/>
  <c r="N289" i="7"/>
  <c r="H289" i="7"/>
  <c r="G289" i="7"/>
  <c r="M289" i="7"/>
  <c r="L289" i="7"/>
  <c r="P289" i="7"/>
  <c r="K289" i="7"/>
  <c r="J289" i="7"/>
  <c r="O289" i="7"/>
  <c r="M288" i="7"/>
  <c r="L288" i="7"/>
  <c r="K288" i="7"/>
  <c r="J288" i="7"/>
  <c r="I288" i="7"/>
  <c r="H288" i="7"/>
  <c r="G288" i="7"/>
  <c r="F288" i="7"/>
  <c r="D288" i="7"/>
  <c r="E288" i="7" s="1"/>
  <c r="P288" i="7"/>
  <c r="O288" i="7"/>
  <c r="N288" i="7"/>
  <c r="J287" i="7"/>
  <c r="P287" i="7"/>
  <c r="D287" i="7"/>
  <c r="E287" i="7" s="1"/>
  <c r="F287" i="7"/>
  <c r="G287" i="7"/>
  <c r="H287" i="7"/>
  <c r="I287" i="7"/>
  <c r="K287" i="7"/>
  <c r="L287" i="7"/>
  <c r="M287" i="7"/>
  <c r="N287" i="7"/>
  <c r="O287" i="7"/>
  <c r="D286" i="7"/>
  <c r="E286" i="7" s="1"/>
  <c r="F286" i="7"/>
  <c r="G286" i="7"/>
  <c r="H286" i="7"/>
  <c r="I286" i="7"/>
  <c r="J286" i="7"/>
  <c r="K286" i="7"/>
  <c r="L286" i="7"/>
  <c r="M286" i="7"/>
  <c r="N286" i="7"/>
  <c r="O286" i="7"/>
  <c r="P286" i="7"/>
  <c r="H285" i="7"/>
  <c r="I285" i="7"/>
  <c r="F285" i="7"/>
  <c r="G285" i="7"/>
  <c r="D285" i="7"/>
  <c r="E285" i="7" s="1"/>
  <c r="J285" i="7"/>
  <c r="K285" i="7"/>
  <c r="L285" i="7"/>
  <c r="M285" i="7"/>
  <c r="N285" i="7"/>
  <c r="O285" i="7"/>
  <c r="P285" i="7"/>
  <c r="D284" i="7"/>
  <c r="E284" i="7" s="1"/>
  <c r="F284" i="7"/>
  <c r="G284" i="7"/>
  <c r="H284" i="7"/>
  <c r="I284" i="7"/>
  <c r="J284" i="7"/>
  <c r="K284" i="7"/>
  <c r="L284" i="7"/>
  <c r="M284" i="7"/>
  <c r="N284" i="7"/>
  <c r="O284" i="7"/>
  <c r="P284" i="7"/>
  <c r="D283" i="7"/>
  <c r="E283" i="7" s="1"/>
  <c r="F283" i="7"/>
  <c r="G283" i="7"/>
  <c r="H283" i="7"/>
  <c r="I283" i="7"/>
  <c r="J283" i="7"/>
  <c r="K283" i="7"/>
  <c r="L283" i="7"/>
  <c r="M283" i="7"/>
  <c r="N283" i="7"/>
  <c r="O283" i="7"/>
  <c r="P283" i="7"/>
  <c r="D282" i="7"/>
  <c r="E282" i="7" s="1"/>
  <c r="F282" i="7"/>
  <c r="G282" i="7"/>
  <c r="H282" i="7"/>
  <c r="I282" i="7"/>
  <c r="J282" i="7"/>
  <c r="K282" i="7"/>
  <c r="L282" i="7"/>
  <c r="M282" i="7"/>
  <c r="N282" i="7"/>
  <c r="O282" i="7"/>
  <c r="P282" i="7"/>
  <c r="D281" i="7"/>
  <c r="E281" i="7" s="1"/>
  <c r="F281" i="7"/>
  <c r="G281" i="7"/>
  <c r="H281" i="7"/>
  <c r="I281" i="7"/>
  <c r="J281" i="7"/>
  <c r="K281" i="7"/>
  <c r="L281" i="7"/>
  <c r="M281" i="7"/>
  <c r="N281" i="7"/>
  <c r="O281" i="7"/>
  <c r="P281" i="7"/>
  <c r="N280" i="7"/>
  <c r="P280" i="7"/>
  <c r="O280" i="7"/>
  <c r="M280" i="7"/>
  <c r="L280" i="7"/>
  <c r="K280" i="7"/>
  <c r="J280" i="7"/>
  <c r="I280" i="7"/>
  <c r="H280" i="7"/>
  <c r="G280" i="7"/>
  <c r="F280" i="7"/>
  <c r="D280" i="7"/>
  <c r="E280" i="7" s="1"/>
  <c r="I279" i="7"/>
  <c r="H279" i="7"/>
  <c r="G279" i="7"/>
  <c r="F279" i="7"/>
  <c r="D279" i="7"/>
  <c r="E279" i="7" s="1"/>
  <c r="J279" i="7"/>
  <c r="P279" i="7"/>
  <c r="O279" i="7"/>
  <c r="N279" i="7"/>
  <c r="M279" i="7"/>
  <c r="L279" i="7"/>
  <c r="K279" i="7"/>
  <c r="H278" i="7"/>
  <c r="I278" i="7"/>
  <c r="G278" i="7"/>
  <c r="F278" i="7"/>
  <c r="D278" i="7"/>
  <c r="E278" i="7" s="1"/>
  <c r="J278" i="7"/>
  <c r="L278" i="7"/>
  <c r="O278" i="7"/>
  <c r="N278" i="7"/>
  <c r="M278" i="7"/>
  <c r="K278" i="7"/>
  <c r="P278" i="7"/>
  <c r="N277" i="7"/>
  <c r="F277" i="7"/>
  <c r="D277" i="7"/>
  <c r="E277" i="7" s="1"/>
  <c r="G277" i="7"/>
  <c r="H277" i="7"/>
  <c r="I277" i="7"/>
  <c r="J277" i="7"/>
  <c r="K277" i="7"/>
  <c r="L277" i="7"/>
  <c r="M277" i="7"/>
  <c r="O277" i="7"/>
  <c r="P277" i="7"/>
  <c r="L276" i="7"/>
  <c r="M276" i="7"/>
  <c r="N276" i="7"/>
  <c r="O276" i="7"/>
  <c r="P276" i="7"/>
  <c r="K276" i="7"/>
  <c r="D276" i="7"/>
  <c r="E276" i="7" s="1"/>
  <c r="F276" i="7"/>
  <c r="G276" i="7"/>
  <c r="H276" i="7"/>
  <c r="I276" i="7"/>
  <c r="J276" i="7"/>
  <c r="K275" i="7"/>
  <c r="L275" i="7"/>
  <c r="M275" i="7"/>
  <c r="N275" i="7"/>
  <c r="O275" i="7"/>
  <c r="P275" i="7"/>
  <c r="D275" i="7"/>
  <c r="E275" i="7" s="1"/>
  <c r="F275" i="7"/>
  <c r="G275" i="7"/>
  <c r="H275" i="7"/>
  <c r="I275" i="7"/>
  <c r="J275" i="7"/>
  <c r="K274" i="7"/>
  <c r="L274" i="7"/>
  <c r="M274" i="7"/>
  <c r="N274" i="7"/>
  <c r="O274" i="7"/>
  <c r="P274" i="7"/>
  <c r="D274" i="7"/>
  <c r="E274" i="7" s="1"/>
  <c r="F274" i="7"/>
  <c r="G274" i="7"/>
  <c r="H274" i="7"/>
  <c r="I274" i="7"/>
  <c r="J274" i="7"/>
  <c r="H273" i="7"/>
  <c r="G273" i="7"/>
  <c r="D273" i="7"/>
  <c r="E273" i="7" s="1"/>
  <c r="F273" i="7"/>
  <c r="O273" i="7"/>
  <c r="N273" i="7"/>
  <c r="M273" i="7"/>
  <c r="L273" i="7"/>
  <c r="K273" i="7"/>
  <c r="J273" i="7"/>
  <c r="I273" i="7"/>
  <c r="P273" i="7"/>
  <c r="M272" i="7"/>
  <c r="N272" i="7"/>
  <c r="O272" i="7"/>
  <c r="P272" i="7"/>
  <c r="F272" i="7"/>
  <c r="D272" i="7"/>
  <c r="E272" i="7" s="1"/>
  <c r="G272" i="7"/>
  <c r="H272" i="7"/>
  <c r="I272" i="7"/>
  <c r="J272" i="7"/>
  <c r="K272" i="7"/>
  <c r="L272" i="7"/>
  <c r="G271" i="7"/>
  <c r="O271" i="7"/>
  <c r="J271" i="7"/>
  <c r="D271" i="7"/>
  <c r="E271" i="7" s="1"/>
  <c r="F271" i="7"/>
  <c r="K271" i="7"/>
  <c r="H271" i="7"/>
  <c r="I271" i="7"/>
  <c r="P271" i="7"/>
  <c r="N271" i="7"/>
  <c r="M271" i="7"/>
  <c r="L271" i="7"/>
  <c r="J270" i="7"/>
  <c r="K270" i="7"/>
  <c r="L270" i="7"/>
  <c r="H270" i="7"/>
  <c r="P270" i="7"/>
  <c r="N270" i="7"/>
  <c r="O270" i="7"/>
  <c r="M270" i="7"/>
  <c r="D270" i="7"/>
  <c r="E270" i="7" s="1"/>
  <c r="F270" i="7"/>
  <c r="G270" i="7"/>
  <c r="I270" i="7"/>
  <c r="M269" i="7"/>
  <c r="L269" i="7"/>
  <c r="K269" i="7"/>
  <c r="J269" i="7"/>
  <c r="I269" i="7"/>
  <c r="H269" i="7"/>
  <c r="G269" i="7"/>
  <c r="F269" i="7"/>
  <c r="D269" i="7"/>
  <c r="E269" i="7" s="1"/>
  <c r="P269" i="7"/>
  <c r="O269" i="7"/>
  <c r="N269" i="7"/>
  <c r="J268" i="7"/>
  <c r="K268" i="7"/>
  <c r="L268" i="7"/>
  <c r="M268" i="7"/>
  <c r="N268" i="7"/>
  <c r="O268" i="7"/>
  <c r="P268" i="7"/>
  <c r="D268" i="7"/>
  <c r="E268" i="7" s="1"/>
  <c r="F268" i="7"/>
  <c r="G268" i="7"/>
  <c r="H268" i="7"/>
  <c r="I268" i="7"/>
  <c r="J267" i="7"/>
  <c r="P267" i="7"/>
  <c r="O267" i="7"/>
  <c r="N267" i="7"/>
  <c r="M267" i="7"/>
  <c r="L267" i="7"/>
  <c r="K267" i="7"/>
  <c r="F267" i="7"/>
  <c r="I267" i="7"/>
  <c r="H267" i="7"/>
  <c r="G267" i="7"/>
  <c r="D267" i="7"/>
  <c r="E267" i="7" s="1"/>
  <c r="G266" i="7"/>
  <c r="D266" i="7"/>
  <c r="E266" i="7" s="1"/>
  <c r="P266" i="7"/>
  <c r="O266" i="7"/>
  <c r="N266" i="7"/>
  <c r="M266" i="7"/>
  <c r="L266" i="7"/>
  <c r="F266" i="7"/>
  <c r="K266" i="7"/>
  <c r="J266" i="7"/>
  <c r="I266" i="7"/>
  <c r="H266" i="7"/>
  <c r="L265" i="7"/>
  <c r="F265" i="7"/>
  <c r="D265" i="7"/>
  <c r="E265" i="7" s="1"/>
  <c r="P265" i="7"/>
  <c r="O265" i="7"/>
  <c r="N265" i="7"/>
  <c r="G265" i="7"/>
  <c r="M265" i="7"/>
  <c r="K265" i="7"/>
  <c r="J265" i="7"/>
  <c r="I265" i="7"/>
  <c r="H265" i="7"/>
  <c r="H264" i="7"/>
  <c r="G264" i="7"/>
  <c r="F264" i="7"/>
  <c r="D264" i="7"/>
  <c r="E264" i="7" s="1"/>
  <c r="P264" i="7"/>
  <c r="I264" i="7"/>
  <c r="O264" i="7"/>
  <c r="N264" i="7"/>
  <c r="M264" i="7"/>
  <c r="L264" i="7"/>
  <c r="K264" i="7"/>
  <c r="J264" i="7"/>
  <c r="L263" i="7"/>
  <c r="M263" i="7"/>
  <c r="N263" i="7"/>
  <c r="O263" i="7"/>
  <c r="P263" i="7"/>
  <c r="I263" i="7"/>
  <c r="H263" i="7"/>
  <c r="G263" i="7"/>
  <c r="F263" i="7"/>
  <c r="J263" i="7"/>
  <c r="D263" i="7"/>
  <c r="E263" i="7" s="1"/>
  <c r="K263" i="7"/>
  <c r="I262" i="7"/>
  <c r="J262" i="7"/>
  <c r="K262" i="7"/>
  <c r="L262" i="7"/>
  <c r="M262" i="7"/>
  <c r="N262" i="7"/>
  <c r="O262" i="7"/>
  <c r="P262" i="7"/>
  <c r="D262" i="7"/>
  <c r="E262" i="7" s="1"/>
  <c r="F262" i="7"/>
  <c r="G262" i="7"/>
  <c r="H262" i="7"/>
  <c r="N261" i="7"/>
  <c r="I261" i="7"/>
  <c r="M261" i="7"/>
  <c r="J261" i="7"/>
  <c r="K261" i="7"/>
  <c r="O261" i="7"/>
  <c r="L261" i="7"/>
  <c r="P261" i="7"/>
  <c r="D261" i="7"/>
  <c r="E261" i="7" s="1"/>
  <c r="F261" i="7"/>
  <c r="G261" i="7"/>
  <c r="H261" i="7"/>
  <c r="N260" i="7"/>
  <c r="M260" i="7"/>
  <c r="J260" i="7"/>
  <c r="K260" i="7"/>
  <c r="P260" i="7"/>
  <c r="L260" i="7"/>
  <c r="O260" i="7"/>
  <c r="D260" i="7"/>
  <c r="E260" i="7" s="1"/>
  <c r="F260" i="7"/>
  <c r="G260" i="7"/>
  <c r="H260" i="7"/>
  <c r="I260" i="7"/>
  <c r="P259" i="7"/>
  <c r="O259" i="7"/>
  <c r="N259" i="7"/>
  <c r="K259" i="7"/>
  <c r="J259" i="7"/>
  <c r="I259" i="7"/>
  <c r="H259" i="7"/>
  <c r="M259" i="7"/>
  <c r="F259" i="7"/>
  <c r="D259" i="7"/>
  <c r="E259" i="7" s="1"/>
  <c r="L259" i="7"/>
  <c r="G259" i="7"/>
  <c r="J258" i="7"/>
  <c r="I258" i="7"/>
  <c r="H258" i="7"/>
  <c r="G258" i="7"/>
  <c r="F258" i="7"/>
  <c r="D258" i="7"/>
  <c r="E258" i="7" s="1"/>
  <c r="P258" i="7"/>
  <c r="O258" i="7"/>
  <c r="M258" i="7"/>
  <c r="L258" i="7"/>
  <c r="N258" i="7"/>
  <c r="K258" i="7"/>
  <c r="I257" i="7"/>
  <c r="D257" i="7"/>
  <c r="E257" i="7" s="1"/>
  <c r="F257" i="7"/>
  <c r="G257" i="7"/>
  <c r="H257" i="7"/>
  <c r="J257" i="7"/>
  <c r="K257" i="7"/>
  <c r="L257" i="7"/>
  <c r="M257" i="7"/>
  <c r="N257" i="7"/>
  <c r="O257" i="7"/>
  <c r="P257" i="7"/>
  <c r="N256" i="7"/>
  <c r="M256" i="7"/>
  <c r="K256" i="7"/>
  <c r="J256" i="7"/>
  <c r="I256" i="7"/>
  <c r="H256" i="7"/>
  <c r="G256" i="7"/>
  <c r="F256" i="7"/>
  <c r="D256" i="7"/>
  <c r="E256" i="7" s="1"/>
  <c r="P256" i="7"/>
  <c r="O256" i="7"/>
  <c r="L256" i="7"/>
  <c r="J255" i="7"/>
  <c r="K255" i="7"/>
  <c r="L255" i="7"/>
  <c r="M255" i="7"/>
  <c r="O255" i="7"/>
  <c r="P255" i="7"/>
  <c r="N255" i="7"/>
  <c r="D255" i="7"/>
  <c r="E255" i="7" s="1"/>
  <c r="F255" i="7"/>
  <c r="G255" i="7"/>
  <c r="H255" i="7"/>
  <c r="I255" i="7"/>
  <c r="P254" i="7"/>
  <c r="O254" i="7"/>
  <c r="N254" i="7"/>
  <c r="M254" i="7"/>
  <c r="L254" i="7"/>
  <c r="K254" i="7"/>
  <c r="D254" i="7"/>
  <c r="E254" i="7" s="1"/>
  <c r="J254" i="7"/>
  <c r="I254" i="7"/>
  <c r="H254" i="7"/>
  <c r="G254" i="7"/>
  <c r="F254" i="7"/>
  <c r="L253" i="7"/>
  <c r="K253" i="7"/>
  <c r="N253" i="7"/>
  <c r="O253" i="7"/>
  <c r="P253" i="7"/>
  <c r="M253" i="7"/>
  <c r="D253" i="7"/>
  <c r="E253" i="7" s="1"/>
  <c r="J253" i="7"/>
  <c r="I253" i="7"/>
  <c r="H253" i="7"/>
  <c r="G253" i="7"/>
  <c r="F253" i="7"/>
  <c r="G252" i="7"/>
  <c r="D252" i="7"/>
  <c r="E252" i="7" s="1"/>
  <c r="F252" i="7"/>
  <c r="H252" i="7"/>
  <c r="I252" i="7"/>
  <c r="J252" i="7"/>
  <c r="K252" i="7"/>
  <c r="L252" i="7"/>
  <c r="M252" i="7"/>
  <c r="N252" i="7"/>
  <c r="O252" i="7"/>
  <c r="P252" i="7"/>
  <c r="M251" i="7"/>
  <c r="K251" i="7"/>
  <c r="J251" i="7"/>
  <c r="I251" i="7"/>
  <c r="L251" i="7"/>
  <c r="H251" i="7"/>
  <c r="F251" i="7"/>
  <c r="G251" i="7"/>
  <c r="D251" i="7"/>
  <c r="E251" i="7" s="1"/>
  <c r="P251" i="7"/>
  <c r="O251" i="7"/>
  <c r="N251" i="7"/>
  <c r="L250" i="7"/>
  <c r="H250" i="7"/>
  <c r="D250" i="7"/>
  <c r="E250" i="7" s="1"/>
  <c r="F250" i="7"/>
  <c r="G250" i="7"/>
  <c r="J250" i="7"/>
  <c r="K250" i="7"/>
  <c r="I250" i="7"/>
  <c r="M250" i="7"/>
  <c r="N250" i="7"/>
  <c r="O250" i="7"/>
  <c r="P250" i="7"/>
  <c r="H249" i="7"/>
  <c r="G249" i="7"/>
  <c r="F249" i="7"/>
  <c r="D249" i="7"/>
  <c r="E249" i="7" s="1"/>
  <c r="J249" i="7"/>
  <c r="K249" i="7"/>
  <c r="L249" i="7"/>
  <c r="I249" i="7"/>
  <c r="M249" i="7"/>
  <c r="N249" i="7"/>
  <c r="O249" i="7"/>
  <c r="P249" i="7"/>
  <c r="D248" i="7"/>
  <c r="E248" i="7" s="1"/>
  <c r="F248" i="7"/>
  <c r="G248" i="7"/>
  <c r="H248" i="7"/>
  <c r="P248" i="7"/>
  <c r="J248" i="7"/>
  <c r="O248" i="7"/>
  <c r="N248" i="7"/>
  <c r="M248" i="7"/>
  <c r="L248" i="7"/>
  <c r="K248" i="7"/>
  <c r="I248" i="7"/>
  <c r="D247" i="7"/>
  <c r="E247" i="7" s="1"/>
  <c r="F247" i="7"/>
  <c r="G247" i="7"/>
  <c r="H247" i="7"/>
  <c r="I247" i="7"/>
  <c r="J247" i="7"/>
  <c r="K247" i="7"/>
  <c r="L247" i="7"/>
  <c r="M247" i="7"/>
  <c r="N247" i="7"/>
  <c r="O247" i="7"/>
  <c r="P247" i="7"/>
  <c r="G246" i="7"/>
  <c r="O246" i="7"/>
  <c r="P246" i="7"/>
  <c r="D246" i="7"/>
  <c r="E246" i="7" s="1"/>
  <c r="F246" i="7"/>
  <c r="N246" i="7"/>
  <c r="H246" i="7"/>
  <c r="I246" i="7"/>
  <c r="J246" i="7"/>
  <c r="K246" i="7"/>
  <c r="L246" i="7"/>
  <c r="M246" i="7"/>
  <c r="D245" i="7"/>
  <c r="E245" i="7" s="1"/>
  <c r="F245" i="7"/>
  <c r="G245" i="7"/>
  <c r="I245" i="7"/>
  <c r="K245" i="7"/>
  <c r="J245" i="7"/>
  <c r="H245" i="7"/>
  <c r="L245" i="7"/>
  <c r="M245" i="7"/>
  <c r="N245" i="7"/>
  <c r="O245" i="7"/>
  <c r="P245" i="7"/>
  <c r="P110" i="7"/>
  <c r="O110" i="7"/>
  <c r="N110" i="7"/>
  <c r="F110" i="7"/>
  <c r="D110" i="7"/>
  <c r="E110" i="7" s="1"/>
  <c r="G110" i="7"/>
  <c r="H110" i="7"/>
  <c r="I110" i="7"/>
  <c r="J110" i="7"/>
  <c r="K110" i="7"/>
  <c r="L110" i="7"/>
  <c r="M110" i="7"/>
  <c r="I109" i="7"/>
  <c r="M109" i="7"/>
  <c r="G109" i="7"/>
  <c r="K109" i="7"/>
  <c r="J109" i="7"/>
  <c r="H109" i="7"/>
  <c r="F109" i="7"/>
  <c r="D109" i="7"/>
  <c r="E109" i="7" s="1"/>
  <c r="L109" i="7"/>
  <c r="N109" i="7"/>
  <c r="O109" i="7"/>
  <c r="P109" i="7"/>
  <c r="G108" i="7"/>
  <c r="I108" i="7"/>
  <c r="K108" i="7"/>
  <c r="L108" i="7"/>
  <c r="M108" i="7"/>
  <c r="N108" i="7"/>
  <c r="O108" i="7"/>
  <c r="P108" i="7"/>
  <c r="D108" i="7"/>
  <c r="E108" i="7" s="1"/>
  <c r="F108" i="7"/>
  <c r="H108" i="7"/>
  <c r="J108" i="7"/>
  <c r="P94" i="7"/>
  <c r="G94" i="7"/>
  <c r="I94" i="7"/>
  <c r="J94" i="7"/>
  <c r="L94" i="7"/>
  <c r="O94" i="7"/>
  <c r="D94" i="7"/>
  <c r="E94" i="7" s="1"/>
  <c r="F94" i="7"/>
  <c r="H94" i="7"/>
  <c r="K94" i="7"/>
  <c r="M94" i="7"/>
  <c r="N94" i="7"/>
  <c r="J90" i="7"/>
  <c r="O90" i="7"/>
  <c r="K90" i="7"/>
  <c r="N90" i="7"/>
  <c r="M90" i="7"/>
  <c r="P90" i="7"/>
  <c r="L90" i="7"/>
  <c r="F90" i="7"/>
  <c r="I90" i="7"/>
  <c r="H90" i="7"/>
  <c r="G90" i="7"/>
  <c r="D90" i="7"/>
  <c r="E90" i="7" s="1"/>
  <c r="I244" i="7"/>
  <c r="H244" i="7"/>
  <c r="G244" i="7"/>
  <c r="F244" i="7"/>
  <c r="D244" i="7"/>
  <c r="E244" i="7" s="1"/>
  <c r="L244" i="7"/>
  <c r="K244" i="7"/>
  <c r="M244" i="7"/>
  <c r="N244" i="7"/>
  <c r="O244" i="7"/>
  <c r="P244" i="7"/>
  <c r="J244" i="7"/>
  <c r="D243" i="7"/>
  <c r="E243" i="7" s="1"/>
  <c r="G243" i="7"/>
  <c r="H243" i="7"/>
  <c r="K243" i="7"/>
  <c r="L243" i="7"/>
  <c r="M243" i="7"/>
  <c r="I243" i="7"/>
  <c r="O243" i="7"/>
  <c r="N243" i="7"/>
  <c r="F243" i="7"/>
  <c r="J243" i="7"/>
  <c r="P243" i="7"/>
  <c r="K242" i="7"/>
  <c r="J242" i="7"/>
  <c r="I242" i="7"/>
  <c r="H242" i="7"/>
  <c r="G242" i="7"/>
  <c r="F242" i="7"/>
  <c r="D242" i="7"/>
  <c r="E242" i="7" s="1"/>
  <c r="P242" i="7"/>
  <c r="O242" i="7"/>
  <c r="N242" i="7"/>
  <c r="M242" i="7"/>
  <c r="L242" i="7"/>
  <c r="N241" i="7"/>
  <c r="M241" i="7"/>
  <c r="L241" i="7"/>
  <c r="P241" i="7"/>
  <c r="O241" i="7"/>
  <c r="F241" i="7"/>
  <c r="K241" i="7"/>
  <c r="J241" i="7"/>
  <c r="H241" i="7"/>
  <c r="I241" i="7"/>
  <c r="G241" i="7"/>
  <c r="D241" i="7"/>
  <c r="E241" i="7" s="1"/>
  <c r="D240" i="7"/>
  <c r="E240" i="7" s="1"/>
  <c r="F240" i="7"/>
  <c r="G240" i="7"/>
  <c r="H240" i="7"/>
  <c r="I240" i="7"/>
  <c r="J240" i="7"/>
  <c r="K240" i="7"/>
  <c r="L240" i="7"/>
  <c r="M240" i="7"/>
  <c r="N240" i="7"/>
  <c r="O240" i="7"/>
  <c r="P240" i="7"/>
  <c r="M239" i="7"/>
  <c r="O239" i="7"/>
  <c r="I239" i="7"/>
  <c r="P239" i="7"/>
  <c r="N239" i="7"/>
  <c r="L239" i="7"/>
  <c r="K239" i="7"/>
  <c r="J239" i="7"/>
  <c r="H239" i="7"/>
  <c r="G239" i="7"/>
  <c r="F239" i="7"/>
  <c r="D239" i="7"/>
  <c r="E239" i="7" s="1"/>
  <c r="P238" i="7"/>
  <c r="M238" i="7"/>
  <c r="L238" i="7"/>
  <c r="J238" i="7"/>
  <c r="H238" i="7"/>
  <c r="G238" i="7"/>
  <c r="F238" i="7"/>
  <c r="D238" i="7"/>
  <c r="E238" i="7" s="1"/>
  <c r="O238" i="7"/>
  <c r="N238" i="7"/>
  <c r="I238" i="7"/>
  <c r="K238" i="7"/>
  <c r="J237" i="7"/>
  <c r="M237" i="7"/>
  <c r="O237" i="7"/>
  <c r="L237" i="7"/>
  <c r="K237" i="7"/>
  <c r="I237" i="7"/>
  <c r="H237" i="7"/>
  <c r="G237" i="7"/>
  <c r="F237" i="7"/>
  <c r="D237" i="7"/>
  <c r="E237" i="7" s="1"/>
  <c r="N237" i="7"/>
  <c r="P237" i="7"/>
  <c r="P236" i="7"/>
  <c r="O236" i="7"/>
  <c r="D236" i="7"/>
  <c r="E236" i="7" s="1"/>
  <c r="F236" i="7"/>
  <c r="G236" i="7"/>
  <c r="H236" i="7"/>
  <c r="I236" i="7"/>
  <c r="J236" i="7"/>
  <c r="K236" i="7"/>
  <c r="L236" i="7"/>
  <c r="M236" i="7"/>
  <c r="N236" i="7"/>
  <c r="L235" i="7"/>
  <c r="M235" i="7"/>
  <c r="N235" i="7"/>
  <c r="O235" i="7"/>
  <c r="P235" i="7"/>
  <c r="D235" i="7"/>
  <c r="E235" i="7" s="1"/>
  <c r="F235" i="7"/>
  <c r="G235" i="7"/>
  <c r="H235" i="7"/>
  <c r="I235" i="7"/>
  <c r="J235" i="7"/>
  <c r="K235" i="7"/>
  <c r="I234" i="7"/>
  <c r="O234" i="7"/>
  <c r="N234" i="7"/>
  <c r="M234" i="7"/>
  <c r="L234" i="7"/>
  <c r="K234" i="7"/>
  <c r="J234" i="7"/>
  <c r="H234" i="7"/>
  <c r="P234" i="7"/>
  <c r="G234" i="7"/>
  <c r="F234" i="7"/>
  <c r="D234" i="7"/>
  <c r="E234" i="7" s="1"/>
  <c r="J233" i="7"/>
  <c r="K233" i="7"/>
  <c r="L233" i="7"/>
  <c r="M233" i="7"/>
  <c r="N233" i="7"/>
  <c r="O233" i="7"/>
  <c r="P233" i="7"/>
  <c r="I233" i="7"/>
  <c r="G233" i="7"/>
  <c r="H233" i="7"/>
  <c r="D233" i="7"/>
  <c r="E233" i="7" s="1"/>
  <c r="F233" i="7"/>
  <c r="D232" i="7"/>
  <c r="E232" i="7" s="1"/>
  <c r="J232" i="7"/>
  <c r="I232" i="7"/>
  <c r="H232" i="7"/>
  <c r="G232" i="7"/>
  <c r="F232" i="7"/>
  <c r="N232" i="7"/>
  <c r="P232" i="7"/>
  <c r="O232" i="7"/>
  <c r="M232" i="7"/>
  <c r="L232" i="7"/>
  <c r="K232" i="7"/>
  <c r="N231" i="7"/>
  <c r="M231" i="7"/>
  <c r="L231" i="7"/>
  <c r="K231" i="7"/>
  <c r="J231" i="7"/>
  <c r="H231" i="7"/>
  <c r="G231" i="7"/>
  <c r="F231" i="7"/>
  <c r="D231" i="7"/>
  <c r="E231" i="7" s="1"/>
  <c r="I231" i="7"/>
  <c r="P231" i="7"/>
  <c r="O231" i="7"/>
  <c r="P230" i="7"/>
  <c r="O230" i="7"/>
  <c r="N230" i="7"/>
  <c r="M230" i="7"/>
  <c r="K230" i="7"/>
  <c r="J230" i="7"/>
  <c r="I230" i="7"/>
  <c r="H230" i="7"/>
  <c r="G230" i="7"/>
  <c r="F230" i="7"/>
  <c r="L230" i="7"/>
  <c r="D230" i="7"/>
  <c r="E230" i="7" s="1"/>
  <c r="F229" i="7"/>
  <c r="G229" i="7"/>
  <c r="H229" i="7"/>
  <c r="I229" i="7"/>
  <c r="J229" i="7"/>
  <c r="K229" i="7"/>
  <c r="L229" i="7"/>
  <c r="M229" i="7"/>
  <c r="N229" i="7"/>
  <c r="P229" i="7"/>
  <c r="O229" i="7"/>
  <c r="D229" i="7"/>
  <c r="E229" i="7" s="1"/>
  <c r="O228" i="7"/>
  <c r="H228" i="7"/>
  <c r="G228" i="7"/>
  <c r="F228" i="7"/>
  <c r="P228" i="7"/>
  <c r="N228" i="7"/>
  <c r="M228" i="7"/>
  <c r="L228" i="7"/>
  <c r="D228" i="7"/>
  <c r="E228" i="7" s="1"/>
  <c r="K228" i="7"/>
  <c r="J228" i="7"/>
  <c r="I228" i="7"/>
  <c r="F227" i="7"/>
  <c r="D227" i="7"/>
  <c r="E227" i="7" s="1"/>
  <c r="N227" i="7"/>
  <c r="K227" i="7"/>
  <c r="J227" i="7"/>
  <c r="P227" i="7"/>
  <c r="O227" i="7"/>
  <c r="M227" i="7"/>
  <c r="L227" i="7"/>
  <c r="I227" i="7"/>
  <c r="H227" i="7"/>
  <c r="G227" i="7"/>
  <c r="I226" i="7"/>
  <c r="H226" i="7"/>
  <c r="G226" i="7"/>
  <c r="F226" i="7"/>
  <c r="D226" i="7"/>
  <c r="E226" i="7" s="1"/>
  <c r="J226" i="7"/>
  <c r="P226" i="7"/>
  <c r="O226" i="7"/>
  <c r="N226" i="7"/>
  <c r="M226" i="7"/>
  <c r="L226" i="7"/>
  <c r="K226" i="7"/>
  <c r="L225" i="7"/>
  <c r="J225" i="7"/>
  <c r="K225" i="7"/>
  <c r="O225" i="7"/>
  <c r="P225" i="7"/>
  <c r="M225" i="7"/>
  <c r="N225" i="7"/>
  <c r="F225" i="7"/>
  <c r="G225" i="7"/>
  <c r="H225" i="7"/>
  <c r="I225" i="7"/>
  <c r="D225" i="7"/>
  <c r="E225" i="7" s="1"/>
  <c r="H224" i="7"/>
  <c r="M224" i="7"/>
  <c r="N224" i="7"/>
  <c r="O224" i="7"/>
  <c r="P224" i="7"/>
  <c r="G224" i="7"/>
  <c r="L224" i="7"/>
  <c r="D224" i="7"/>
  <c r="E224" i="7" s="1"/>
  <c r="F224" i="7"/>
  <c r="I224" i="7"/>
  <c r="J224" i="7"/>
  <c r="K224" i="7"/>
  <c r="M223" i="7"/>
  <c r="N223" i="7"/>
  <c r="O223" i="7"/>
  <c r="P223" i="7"/>
  <c r="F223" i="7"/>
  <c r="K223" i="7"/>
  <c r="G223" i="7"/>
  <c r="D223" i="7"/>
  <c r="E223" i="7" s="1"/>
  <c r="H223" i="7"/>
  <c r="I223" i="7"/>
  <c r="J223" i="7"/>
  <c r="L223" i="7"/>
  <c r="P144" i="7"/>
  <c r="O144" i="7"/>
  <c r="L144" i="7"/>
  <c r="F144" i="7"/>
  <c r="G144" i="7"/>
  <c r="I144" i="7"/>
  <c r="D144" i="7"/>
  <c r="E144" i="7" s="1"/>
  <c r="H144" i="7"/>
  <c r="J144" i="7"/>
  <c r="K144" i="7"/>
  <c r="M144" i="7"/>
  <c r="N144" i="7"/>
  <c r="P142" i="7"/>
  <c r="L142" i="7"/>
  <c r="J142" i="7"/>
  <c r="G142" i="7"/>
  <c r="D142" i="7"/>
  <c r="E142" i="7" s="1"/>
  <c r="H142" i="7"/>
  <c r="I142" i="7"/>
  <c r="K142" i="7"/>
  <c r="M142" i="7"/>
  <c r="O142" i="7"/>
  <c r="N142" i="7"/>
  <c r="F142" i="7"/>
  <c r="L140" i="7"/>
  <c r="K140" i="7"/>
  <c r="J140" i="7"/>
  <c r="I140" i="7"/>
  <c r="H140" i="7"/>
  <c r="G140" i="7"/>
  <c r="F140" i="7"/>
  <c r="D140" i="7"/>
  <c r="E140" i="7" s="1"/>
  <c r="P140" i="7"/>
  <c r="O140" i="7"/>
  <c r="N140" i="7"/>
  <c r="M140" i="7"/>
  <c r="D138" i="7"/>
  <c r="E138" i="7" s="1"/>
  <c r="P138" i="7"/>
  <c r="O138" i="7"/>
  <c r="N138" i="7"/>
  <c r="M138" i="7"/>
  <c r="L138" i="7"/>
  <c r="K138" i="7"/>
  <c r="J138" i="7"/>
  <c r="I138" i="7"/>
  <c r="H138" i="7"/>
  <c r="G138" i="7"/>
  <c r="F138" i="7"/>
  <c r="P136" i="7"/>
  <c r="D136" i="7"/>
  <c r="E136" i="7" s="1"/>
  <c r="F136" i="7"/>
  <c r="G136" i="7"/>
  <c r="I136" i="7"/>
  <c r="J136" i="7"/>
  <c r="K136" i="7"/>
  <c r="L136" i="7"/>
  <c r="M136" i="7"/>
  <c r="N136" i="7"/>
  <c r="H136" i="7"/>
  <c r="O136" i="7"/>
  <c r="G134" i="7"/>
  <c r="H134" i="7"/>
  <c r="D134" i="7"/>
  <c r="E134" i="7" s="1"/>
  <c r="N134" i="7"/>
  <c r="P134" i="7"/>
  <c r="L134" i="7"/>
  <c r="O134" i="7"/>
  <c r="M134" i="7"/>
  <c r="F134" i="7"/>
  <c r="K134" i="7"/>
  <c r="J134" i="7"/>
  <c r="I134" i="7"/>
  <c r="O132" i="7"/>
  <c r="L132" i="7"/>
  <c r="P132" i="7"/>
  <c r="N132" i="7"/>
  <c r="M132" i="7"/>
  <c r="K132" i="7"/>
  <c r="J132" i="7"/>
  <c r="I132" i="7"/>
  <c r="H132" i="7"/>
  <c r="G132" i="7"/>
  <c r="F132" i="7"/>
  <c r="D132" i="7"/>
  <c r="E132" i="7" s="1"/>
  <c r="P130" i="7"/>
  <c r="I130" i="7"/>
  <c r="D130" i="7"/>
  <c r="E130" i="7" s="1"/>
  <c r="F130" i="7"/>
  <c r="G130" i="7"/>
  <c r="H130" i="7"/>
  <c r="J130" i="7"/>
  <c r="K130" i="7"/>
  <c r="L130" i="7"/>
  <c r="M130" i="7"/>
  <c r="N130" i="7"/>
  <c r="O130" i="7"/>
  <c r="P125" i="7"/>
  <c r="O125" i="7"/>
  <c r="K125" i="7"/>
  <c r="L125" i="7"/>
  <c r="M125" i="7"/>
  <c r="N125" i="7"/>
  <c r="I125" i="7"/>
  <c r="J125" i="7"/>
  <c r="D125" i="7"/>
  <c r="E125" i="7" s="1"/>
  <c r="F125" i="7"/>
  <c r="G125" i="7"/>
  <c r="H125" i="7"/>
  <c r="K222" i="7"/>
  <c r="L222" i="7"/>
  <c r="M222" i="7"/>
  <c r="O222" i="7"/>
  <c r="P222" i="7"/>
  <c r="G222" i="7"/>
  <c r="D222" i="7"/>
  <c r="E222" i="7" s="1"/>
  <c r="F222" i="7"/>
  <c r="H222" i="7"/>
  <c r="I222" i="7"/>
  <c r="J222" i="7"/>
  <c r="N222" i="7"/>
  <c r="N221" i="7"/>
  <c r="O221" i="7"/>
  <c r="P221" i="7"/>
  <c r="D221" i="7"/>
  <c r="E221" i="7" s="1"/>
  <c r="F221" i="7"/>
  <c r="G221" i="7"/>
  <c r="H221" i="7"/>
  <c r="I221" i="7"/>
  <c r="J221" i="7"/>
  <c r="K221" i="7"/>
  <c r="L221" i="7"/>
  <c r="M221" i="7"/>
  <c r="L220" i="7"/>
  <c r="M220" i="7"/>
  <c r="N220" i="7"/>
  <c r="O220" i="7"/>
  <c r="P220" i="7"/>
  <c r="F220" i="7"/>
  <c r="G220" i="7"/>
  <c r="H220" i="7"/>
  <c r="I220" i="7"/>
  <c r="J220" i="7"/>
  <c r="K220" i="7"/>
  <c r="D220" i="7"/>
  <c r="E220" i="7" s="1"/>
  <c r="D219" i="7"/>
  <c r="E219" i="7" s="1"/>
  <c r="F219" i="7"/>
  <c r="G219" i="7"/>
  <c r="J219" i="7"/>
  <c r="K219" i="7"/>
  <c r="L219" i="7"/>
  <c r="M219" i="7"/>
  <c r="N219" i="7"/>
  <c r="O219" i="7"/>
  <c r="P219" i="7"/>
  <c r="H219" i="7"/>
  <c r="I219" i="7"/>
  <c r="D218" i="7"/>
  <c r="E218" i="7" s="1"/>
  <c r="M218" i="7"/>
  <c r="N218" i="7"/>
  <c r="O218" i="7"/>
  <c r="P218" i="7"/>
  <c r="F218" i="7"/>
  <c r="G218" i="7"/>
  <c r="H218" i="7"/>
  <c r="J218" i="7"/>
  <c r="K218" i="7"/>
  <c r="L218" i="7"/>
  <c r="I218" i="7"/>
  <c r="G217" i="7"/>
  <c r="F217" i="7"/>
  <c r="D217" i="7"/>
  <c r="E217" i="7" s="1"/>
  <c r="N217" i="7"/>
  <c r="P217" i="7"/>
  <c r="O217" i="7"/>
  <c r="M217" i="7"/>
  <c r="L217" i="7"/>
  <c r="K217" i="7"/>
  <c r="J217" i="7"/>
  <c r="I217" i="7"/>
  <c r="H217" i="7"/>
  <c r="N216" i="7"/>
  <c r="M216" i="7"/>
  <c r="L216" i="7"/>
  <c r="K216" i="7"/>
  <c r="D216" i="7"/>
  <c r="E216" i="7" s="1"/>
  <c r="J216" i="7"/>
  <c r="G216" i="7"/>
  <c r="H216" i="7"/>
  <c r="I216" i="7"/>
  <c r="F216" i="7"/>
  <c r="P216" i="7"/>
  <c r="O216" i="7"/>
  <c r="I215" i="7"/>
  <c r="K215" i="7"/>
  <c r="J215" i="7"/>
  <c r="L215" i="7"/>
  <c r="G215" i="7"/>
  <c r="H215" i="7"/>
  <c r="M215" i="7"/>
  <c r="P215" i="7"/>
  <c r="O215" i="7"/>
  <c r="N215" i="7"/>
  <c r="D215" i="7"/>
  <c r="E215" i="7" s="1"/>
  <c r="F215" i="7"/>
  <c r="F214" i="7"/>
  <c r="O214" i="7"/>
  <c r="P214" i="7"/>
  <c r="J214" i="7"/>
  <c r="K214" i="7"/>
  <c r="L214" i="7"/>
  <c r="M214" i="7"/>
  <c r="N214" i="7"/>
  <c r="G214" i="7"/>
  <c r="H214" i="7"/>
  <c r="D214" i="7"/>
  <c r="E214" i="7" s="1"/>
  <c r="I214" i="7"/>
  <c r="J213" i="7"/>
  <c r="K213" i="7"/>
  <c r="L213" i="7"/>
  <c r="M213" i="7"/>
  <c r="D213" i="7"/>
  <c r="E213" i="7" s="1"/>
  <c r="F213" i="7"/>
  <c r="H213" i="7"/>
  <c r="N213" i="7"/>
  <c r="O213" i="7"/>
  <c r="I213" i="7"/>
  <c r="P213" i="7"/>
  <c r="G213" i="7"/>
  <c r="I212" i="7"/>
  <c r="F212" i="7"/>
  <c r="J212" i="7"/>
  <c r="D212" i="7"/>
  <c r="E212" i="7" s="1"/>
  <c r="H212" i="7"/>
  <c r="G212" i="7"/>
  <c r="P212" i="7"/>
  <c r="O212" i="7"/>
  <c r="N212" i="7"/>
  <c r="M212" i="7"/>
  <c r="L212" i="7"/>
  <c r="K212" i="7"/>
  <c r="J211" i="7"/>
  <c r="F211" i="7"/>
  <c r="G211" i="7"/>
  <c r="H211" i="7"/>
  <c r="I211" i="7"/>
  <c r="K211" i="7"/>
  <c r="L211" i="7"/>
  <c r="M211" i="7"/>
  <c r="N211" i="7"/>
  <c r="O211" i="7"/>
  <c r="D211" i="7"/>
  <c r="E211" i="7" s="1"/>
  <c r="P211" i="7"/>
  <c r="F210" i="7"/>
  <c r="G210" i="7"/>
  <c r="H210" i="7"/>
  <c r="I210" i="7"/>
  <c r="J210" i="7"/>
  <c r="K210" i="7"/>
  <c r="L210" i="7"/>
  <c r="D210" i="7"/>
  <c r="E210" i="7" s="1"/>
  <c r="P210" i="7"/>
  <c r="O210" i="7"/>
  <c r="N210" i="7"/>
  <c r="M210" i="7"/>
  <c r="J209" i="7"/>
  <c r="I209" i="7"/>
  <c r="H209" i="7"/>
  <c r="P209" i="7"/>
  <c r="K209" i="7"/>
  <c r="L209" i="7"/>
  <c r="M209" i="7"/>
  <c r="G209" i="7"/>
  <c r="D209" i="7"/>
  <c r="E209" i="7" s="1"/>
  <c r="F209" i="7"/>
  <c r="N209" i="7"/>
  <c r="O209" i="7"/>
  <c r="K208" i="7"/>
  <c r="D208" i="7"/>
  <c r="E208" i="7" s="1"/>
  <c r="F208" i="7"/>
  <c r="G208" i="7"/>
  <c r="H208" i="7"/>
  <c r="I208" i="7"/>
  <c r="J208" i="7"/>
  <c r="P208" i="7"/>
  <c r="L208" i="7"/>
  <c r="M208" i="7"/>
  <c r="N208" i="7"/>
  <c r="O208" i="7"/>
  <c r="G207" i="7"/>
  <c r="D207" i="7"/>
  <c r="E207" i="7" s="1"/>
  <c r="H207" i="7"/>
  <c r="I207" i="7"/>
  <c r="J207" i="7"/>
  <c r="K207" i="7"/>
  <c r="L207" i="7"/>
  <c r="M207" i="7"/>
  <c r="N207" i="7"/>
  <c r="O207" i="7"/>
  <c r="F207" i="7"/>
  <c r="P207" i="7"/>
  <c r="I206" i="7"/>
  <c r="J206" i="7"/>
  <c r="K206" i="7"/>
  <c r="L206" i="7"/>
  <c r="M206" i="7"/>
  <c r="N206" i="7"/>
  <c r="O206" i="7"/>
  <c r="P206" i="7"/>
  <c r="F206" i="7"/>
  <c r="H206" i="7"/>
  <c r="G206" i="7"/>
  <c r="D206" i="7"/>
  <c r="E206" i="7" s="1"/>
  <c r="L205" i="7"/>
  <c r="M205" i="7"/>
  <c r="N205" i="7"/>
  <c r="G205" i="7"/>
  <c r="F205" i="7"/>
  <c r="H205" i="7"/>
  <c r="I205" i="7"/>
  <c r="D205" i="7"/>
  <c r="E205" i="7" s="1"/>
  <c r="P205" i="7"/>
  <c r="O205" i="7"/>
  <c r="K205" i="7"/>
  <c r="J205" i="7"/>
  <c r="J204" i="7"/>
  <c r="I204" i="7"/>
  <c r="H204" i="7"/>
  <c r="G204" i="7"/>
  <c r="F204" i="7"/>
  <c r="D204" i="7"/>
  <c r="E204" i="7" s="1"/>
  <c r="M204" i="7"/>
  <c r="P204" i="7"/>
  <c r="O204" i="7"/>
  <c r="N204" i="7"/>
  <c r="L204" i="7"/>
  <c r="K204" i="7"/>
  <c r="M203" i="7"/>
  <c r="J203" i="7"/>
  <c r="I203" i="7"/>
  <c r="H203" i="7"/>
  <c r="G203" i="7"/>
  <c r="F203" i="7"/>
  <c r="D203" i="7"/>
  <c r="E203" i="7" s="1"/>
  <c r="P203" i="7"/>
  <c r="K203" i="7"/>
  <c r="L203" i="7"/>
  <c r="N203" i="7"/>
  <c r="O203" i="7"/>
  <c r="D202" i="7"/>
  <c r="E202" i="7" s="1"/>
  <c r="F202" i="7"/>
  <c r="G202" i="7"/>
  <c r="H202" i="7"/>
  <c r="I202" i="7"/>
  <c r="J202" i="7"/>
  <c r="K202" i="7"/>
  <c r="M202" i="7"/>
  <c r="P202" i="7"/>
  <c r="O202" i="7"/>
  <c r="L202" i="7"/>
  <c r="N202" i="7"/>
  <c r="K201" i="7"/>
  <c r="J201" i="7"/>
  <c r="I201" i="7"/>
  <c r="H201" i="7"/>
  <c r="F201" i="7"/>
  <c r="D201" i="7"/>
  <c r="E201" i="7" s="1"/>
  <c r="P201" i="7"/>
  <c r="G201" i="7"/>
  <c r="O201" i="7"/>
  <c r="N201" i="7"/>
  <c r="M201" i="7"/>
  <c r="L201" i="7"/>
  <c r="I200" i="7"/>
  <c r="K200" i="7"/>
  <c r="J200" i="7"/>
  <c r="L200" i="7"/>
  <c r="M200" i="7"/>
  <c r="N200" i="7"/>
  <c r="D200" i="7"/>
  <c r="E200" i="7" s="1"/>
  <c r="F200" i="7"/>
  <c r="G200" i="7"/>
  <c r="H200" i="7"/>
  <c r="O200" i="7"/>
  <c r="P200" i="7"/>
  <c r="I199" i="7"/>
  <c r="J199" i="7"/>
  <c r="K199" i="7"/>
  <c r="L199" i="7"/>
  <c r="H199" i="7"/>
  <c r="G199" i="7"/>
  <c r="F199" i="7"/>
  <c r="D199" i="7"/>
  <c r="E199" i="7" s="1"/>
  <c r="P199" i="7"/>
  <c r="O199" i="7"/>
  <c r="N199" i="7"/>
  <c r="M199" i="7"/>
  <c r="J198" i="7"/>
  <c r="D198" i="7"/>
  <c r="E198" i="7" s="1"/>
  <c r="F198" i="7"/>
  <c r="G198" i="7"/>
  <c r="H198" i="7"/>
  <c r="I198" i="7"/>
  <c r="K198" i="7"/>
  <c r="L198" i="7"/>
  <c r="M198" i="7"/>
  <c r="N198" i="7"/>
  <c r="O198" i="7"/>
  <c r="P198" i="7"/>
  <c r="K197" i="7"/>
  <c r="P197" i="7"/>
  <c r="O197" i="7"/>
  <c r="N197" i="7"/>
  <c r="M197" i="7"/>
  <c r="L197" i="7"/>
  <c r="J197" i="7"/>
  <c r="D197" i="7"/>
  <c r="E197" i="7" s="1"/>
  <c r="F197" i="7"/>
  <c r="G197" i="7"/>
  <c r="H197" i="7"/>
  <c r="I197" i="7"/>
  <c r="D196" i="7"/>
  <c r="E196" i="7" s="1"/>
  <c r="F196" i="7"/>
  <c r="K196" i="7"/>
  <c r="P196" i="7"/>
  <c r="M196" i="7"/>
  <c r="O196" i="7"/>
  <c r="N196" i="7"/>
  <c r="L196" i="7"/>
  <c r="J196" i="7"/>
  <c r="I196" i="7"/>
  <c r="H196" i="7"/>
  <c r="G196" i="7"/>
  <c r="K195" i="7"/>
  <c r="G195" i="7"/>
  <c r="P195" i="7"/>
  <c r="D195" i="7"/>
  <c r="E195" i="7" s="1"/>
  <c r="O195" i="7"/>
  <c r="N195" i="7"/>
  <c r="M195" i="7"/>
  <c r="L195" i="7"/>
  <c r="J195" i="7"/>
  <c r="I195" i="7"/>
  <c r="H195" i="7"/>
  <c r="F195" i="7"/>
  <c r="P194" i="7"/>
  <c r="O194" i="7"/>
  <c r="N194" i="7"/>
  <c r="M194" i="7"/>
  <c r="L194" i="7"/>
  <c r="J194" i="7"/>
  <c r="I194" i="7"/>
  <c r="H194" i="7"/>
  <c r="G194" i="7"/>
  <c r="K194" i="7"/>
  <c r="D194" i="7"/>
  <c r="E194" i="7" s="1"/>
  <c r="F194" i="7"/>
  <c r="F193" i="7"/>
  <c r="D193" i="7"/>
  <c r="E193" i="7" s="1"/>
  <c r="G193" i="7"/>
  <c r="H193" i="7"/>
  <c r="I193" i="7"/>
  <c r="J193" i="7"/>
  <c r="K193" i="7"/>
  <c r="L193" i="7"/>
  <c r="M193" i="7"/>
  <c r="N193" i="7"/>
  <c r="O193" i="7"/>
  <c r="P193" i="7"/>
  <c r="O192" i="7"/>
  <c r="D192" i="7"/>
  <c r="E192" i="7" s="1"/>
  <c r="N192" i="7"/>
  <c r="K192" i="7"/>
  <c r="P192" i="7"/>
  <c r="M192" i="7"/>
  <c r="L192" i="7"/>
  <c r="I192" i="7"/>
  <c r="H192" i="7"/>
  <c r="J192" i="7"/>
  <c r="G192" i="7"/>
  <c r="F192" i="7"/>
  <c r="M191" i="7"/>
  <c r="I191" i="7"/>
  <c r="J191" i="7"/>
  <c r="K191" i="7"/>
  <c r="L191" i="7"/>
  <c r="G191" i="7"/>
  <c r="F191" i="7"/>
  <c r="D191" i="7"/>
  <c r="E191" i="7" s="1"/>
  <c r="H191" i="7"/>
  <c r="O191" i="7"/>
  <c r="P191" i="7"/>
  <c r="N191" i="7"/>
  <c r="D190" i="7"/>
  <c r="E190" i="7" s="1"/>
  <c r="P190" i="7"/>
  <c r="M190" i="7"/>
  <c r="L190" i="7"/>
  <c r="K190" i="7"/>
  <c r="J190" i="7"/>
  <c r="I190" i="7"/>
  <c r="H190" i="7"/>
  <c r="N190" i="7"/>
  <c r="O190" i="7"/>
  <c r="G190" i="7"/>
  <c r="F190" i="7"/>
  <c r="N189" i="7"/>
  <c r="G189" i="7"/>
  <c r="K189" i="7"/>
  <c r="O189" i="7"/>
  <c r="J189" i="7"/>
  <c r="I189" i="7"/>
  <c r="L189" i="7"/>
  <c r="M189" i="7"/>
  <c r="P189" i="7"/>
  <c r="H189" i="7"/>
  <c r="F189" i="7"/>
  <c r="D189" i="7"/>
  <c r="E189" i="7" s="1"/>
  <c r="J188" i="7"/>
  <c r="L188" i="7"/>
  <c r="M188" i="7"/>
  <c r="P188" i="7"/>
  <c r="O188" i="7"/>
  <c r="F188" i="7"/>
  <c r="D188" i="7"/>
  <c r="E188" i="7" s="1"/>
  <c r="G188" i="7"/>
  <c r="K188" i="7"/>
  <c r="H188" i="7"/>
  <c r="I188" i="7"/>
  <c r="N188" i="7"/>
  <c r="D187" i="7"/>
  <c r="E187" i="7" s="1"/>
  <c r="F187" i="7"/>
  <c r="P187" i="7"/>
  <c r="O187" i="7"/>
  <c r="N187" i="7"/>
  <c r="M187" i="7"/>
  <c r="L187" i="7"/>
  <c r="K187" i="7"/>
  <c r="J187" i="7"/>
  <c r="I187" i="7"/>
  <c r="H187" i="7"/>
  <c r="G187" i="7"/>
  <c r="I186" i="7"/>
  <c r="K186" i="7"/>
  <c r="L186" i="7"/>
  <c r="J186" i="7"/>
  <c r="M186" i="7"/>
  <c r="N186" i="7"/>
  <c r="O186" i="7"/>
  <c r="P186" i="7"/>
  <c r="H186" i="7"/>
  <c r="G186" i="7"/>
  <c r="F186" i="7"/>
  <c r="D186" i="7"/>
  <c r="E186" i="7" s="1"/>
  <c r="I185" i="7"/>
  <c r="J185" i="7"/>
  <c r="K185" i="7"/>
  <c r="M185" i="7"/>
  <c r="N185" i="7"/>
  <c r="O185" i="7"/>
  <c r="P185" i="7"/>
  <c r="D185" i="7"/>
  <c r="E185" i="7" s="1"/>
  <c r="L185" i="7"/>
  <c r="G185" i="7"/>
  <c r="F185" i="7"/>
  <c r="H185" i="7"/>
  <c r="K184" i="7"/>
  <c r="L184" i="7"/>
  <c r="M184" i="7"/>
  <c r="N184" i="7"/>
  <c r="O184" i="7"/>
  <c r="P184" i="7"/>
  <c r="D184" i="7"/>
  <c r="E184" i="7" s="1"/>
  <c r="F184" i="7"/>
  <c r="G184" i="7"/>
  <c r="H184" i="7"/>
  <c r="I184" i="7"/>
  <c r="J184" i="7"/>
  <c r="G183" i="7"/>
  <c r="H183" i="7"/>
  <c r="F183" i="7"/>
  <c r="D183" i="7"/>
  <c r="E183" i="7" s="1"/>
  <c r="M183" i="7"/>
  <c r="L183" i="7"/>
  <c r="K183" i="7"/>
  <c r="J183" i="7"/>
  <c r="I183" i="7"/>
  <c r="O183" i="7"/>
  <c r="N183" i="7"/>
  <c r="P183" i="7"/>
  <c r="P182" i="7"/>
  <c r="O182" i="7"/>
  <c r="N182" i="7"/>
  <c r="M182" i="7"/>
  <c r="L182" i="7"/>
  <c r="K182" i="7"/>
  <c r="I182" i="7"/>
  <c r="H182" i="7"/>
  <c r="G182" i="7"/>
  <c r="F182" i="7"/>
  <c r="D182" i="7"/>
  <c r="E182" i="7" s="1"/>
  <c r="J182" i="7"/>
  <c r="M181" i="7"/>
  <c r="N181" i="7"/>
  <c r="O181" i="7"/>
  <c r="P181" i="7"/>
  <c r="K181" i="7"/>
  <c r="D181" i="7"/>
  <c r="E181" i="7" s="1"/>
  <c r="F181" i="7"/>
  <c r="G181" i="7"/>
  <c r="H181" i="7"/>
  <c r="I181" i="7"/>
  <c r="J181" i="7"/>
  <c r="L181" i="7"/>
  <c r="H180" i="7"/>
  <c r="D180" i="7"/>
  <c r="E180" i="7" s="1"/>
  <c r="O180" i="7"/>
  <c r="P180" i="7"/>
  <c r="N180" i="7"/>
  <c r="L180" i="7"/>
  <c r="M180" i="7"/>
  <c r="K180" i="7"/>
  <c r="J180" i="7"/>
  <c r="I180" i="7"/>
  <c r="G180" i="7"/>
  <c r="F180" i="7"/>
  <c r="D179" i="7"/>
  <c r="P179" i="7"/>
  <c r="O179" i="7"/>
  <c r="N179" i="7"/>
  <c r="M179" i="7"/>
  <c r="L179" i="7"/>
  <c r="K179" i="7"/>
  <c r="I179" i="7"/>
  <c r="H179" i="7"/>
  <c r="J179" i="7"/>
  <c r="G179" i="7"/>
  <c r="F179" i="7"/>
  <c r="E179" i="7"/>
  <c r="I178" i="7"/>
  <c r="N178" i="7"/>
  <c r="D178" i="7"/>
  <c r="E178" i="7" s="1"/>
  <c r="F178" i="7"/>
  <c r="P178" i="7"/>
  <c r="O178" i="7"/>
  <c r="M178" i="7"/>
  <c r="L178" i="7"/>
  <c r="K178" i="7"/>
  <c r="J178" i="7"/>
  <c r="G178" i="7"/>
  <c r="H178" i="7"/>
  <c r="N177" i="7"/>
  <c r="P177" i="7"/>
  <c r="O177" i="7"/>
  <c r="M177" i="7"/>
  <c r="L177" i="7"/>
  <c r="K177" i="7"/>
  <c r="I177" i="7"/>
  <c r="H177" i="7"/>
  <c r="G177" i="7"/>
  <c r="F177" i="7"/>
  <c r="D177" i="7"/>
  <c r="E177" i="7" s="1"/>
  <c r="J177" i="7"/>
  <c r="H176" i="7"/>
  <c r="G176" i="7"/>
  <c r="F176" i="7"/>
  <c r="D176" i="7"/>
  <c r="E176" i="7" s="1"/>
  <c r="I176" i="7"/>
  <c r="K176" i="7"/>
  <c r="L176" i="7"/>
  <c r="M176" i="7"/>
  <c r="O176" i="7"/>
  <c r="P176" i="7"/>
  <c r="N176" i="7"/>
  <c r="J176" i="7"/>
  <c r="J175" i="7"/>
  <c r="I175" i="7"/>
  <c r="H175" i="7"/>
  <c r="F175" i="7"/>
  <c r="D175" i="7"/>
  <c r="E175" i="7" s="1"/>
  <c r="G175" i="7"/>
  <c r="P175" i="7"/>
  <c r="O175" i="7"/>
  <c r="N175" i="7"/>
  <c r="M175" i="7"/>
  <c r="L175" i="7"/>
  <c r="K175" i="7"/>
  <c r="G174" i="7"/>
  <c r="I174" i="7"/>
  <c r="D174" i="7"/>
  <c r="E174" i="7" s="1"/>
  <c r="H174" i="7"/>
  <c r="F174" i="7"/>
  <c r="M174" i="7"/>
  <c r="J174" i="7"/>
  <c r="K174" i="7"/>
  <c r="L174" i="7"/>
  <c r="N174" i="7"/>
  <c r="O174" i="7"/>
  <c r="P174" i="7"/>
  <c r="D173" i="7"/>
  <c r="E173" i="7" s="1"/>
  <c r="F173" i="7"/>
  <c r="H173" i="7"/>
  <c r="N173" i="7"/>
  <c r="O173" i="7"/>
  <c r="M173" i="7"/>
  <c r="P173" i="7"/>
  <c r="L173" i="7"/>
  <c r="K173" i="7"/>
  <c r="G173" i="7"/>
  <c r="J173" i="7"/>
  <c r="I173" i="7"/>
  <c r="D172" i="7"/>
  <c r="E172" i="7" s="1"/>
  <c r="M172" i="7"/>
  <c r="P172" i="7"/>
  <c r="O172" i="7"/>
  <c r="N172" i="7"/>
  <c r="L172" i="7"/>
  <c r="K172" i="7"/>
  <c r="J172" i="7"/>
  <c r="I172" i="7"/>
  <c r="H172" i="7"/>
  <c r="G172" i="7"/>
  <c r="F172" i="7"/>
  <c r="J171" i="7"/>
  <c r="D171" i="7"/>
  <c r="E171" i="7" s="1"/>
  <c r="N171" i="7"/>
  <c r="M171" i="7"/>
  <c r="L171" i="7"/>
  <c r="K171" i="7"/>
  <c r="I171" i="7"/>
  <c r="H171" i="7"/>
  <c r="G171" i="7"/>
  <c r="F171" i="7"/>
  <c r="O171" i="7"/>
  <c r="P171" i="7"/>
  <c r="P170" i="7"/>
  <c r="O170" i="7"/>
  <c r="J170" i="7"/>
  <c r="D170" i="7"/>
  <c r="E170" i="7" s="1"/>
  <c r="F170" i="7"/>
  <c r="G170" i="7"/>
  <c r="H170" i="7"/>
  <c r="I170" i="7"/>
  <c r="K170" i="7"/>
  <c r="L170" i="7"/>
  <c r="M170" i="7"/>
  <c r="N170" i="7"/>
  <c r="H169" i="7"/>
  <c r="D169" i="7"/>
  <c r="E169" i="7" s="1"/>
  <c r="F169" i="7"/>
  <c r="G169" i="7"/>
  <c r="I169" i="7"/>
  <c r="J169" i="7"/>
  <c r="K169" i="7"/>
  <c r="L169" i="7"/>
  <c r="M169" i="7"/>
  <c r="N169" i="7"/>
  <c r="O169" i="7"/>
  <c r="P169" i="7"/>
  <c r="J168" i="7"/>
  <c r="M168" i="7"/>
  <c r="P168" i="7"/>
  <c r="H168" i="7"/>
  <c r="G168" i="7"/>
  <c r="I168" i="7"/>
  <c r="F168" i="7"/>
  <c r="D168" i="7"/>
  <c r="E168" i="7" s="1"/>
  <c r="K168" i="7"/>
  <c r="L168" i="7"/>
  <c r="N168" i="7"/>
  <c r="O168" i="7"/>
  <c r="N167" i="7"/>
  <c r="P167" i="7"/>
  <c r="O167" i="7"/>
  <c r="M167" i="7"/>
  <c r="L167" i="7"/>
  <c r="K167" i="7"/>
  <c r="J167" i="7"/>
  <c r="I167" i="7"/>
  <c r="H167" i="7"/>
  <c r="G167" i="7"/>
  <c r="F167" i="7"/>
  <c r="D167" i="7"/>
  <c r="E167" i="7" s="1"/>
  <c r="K166" i="7"/>
  <c r="J166" i="7"/>
  <c r="I166" i="7"/>
  <c r="H166" i="7"/>
  <c r="M166" i="7"/>
  <c r="G166" i="7"/>
  <c r="F166" i="7"/>
  <c r="D166" i="7"/>
  <c r="E166" i="7" s="1"/>
  <c r="P166" i="7"/>
  <c r="N166" i="7"/>
  <c r="O166" i="7"/>
  <c r="L166" i="7"/>
  <c r="J165" i="7"/>
  <c r="I165" i="7"/>
  <c r="F165" i="7"/>
  <c r="G165" i="7"/>
  <c r="H165" i="7"/>
  <c r="D165" i="7"/>
  <c r="E165" i="7" s="1"/>
  <c r="O165" i="7"/>
  <c r="P165" i="7"/>
  <c r="K165" i="7"/>
  <c r="L165" i="7"/>
  <c r="M165" i="7"/>
  <c r="N165" i="7"/>
  <c r="L164" i="7"/>
  <c r="K164" i="7"/>
  <c r="F164" i="7"/>
  <c r="G164" i="7"/>
  <c r="H164" i="7"/>
  <c r="I164" i="7"/>
  <c r="J164" i="7"/>
  <c r="D164" i="7"/>
  <c r="E164" i="7" s="1"/>
  <c r="P164" i="7"/>
  <c r="O164" i="7"/>
  <c r="N164" i="7"/>
  <c r="M164" i="7"/>
  <c r="I160" i="7"/>
  <c r="J160" i="7"/>
  <c r="K160" i="7"/>
  <c r="L160" i="7"/>
  <c r="M160" i="7"/>
  <c r="N160" i="7"/>
  <c r="O160" i="7"/>
  <c r="P160" i="7"/>
  <c r="D160" i="7"/>
  <c r="E160" i="7" s="1"/>
  <c r="F160" i="7"/>
  <c r="G160" i="7"/>
  <c r="H160" i="7"/>
  <c r="D159" i="7"/>
  <c r="E159" i="7" s="1"/>
  <c r="F159" i="7"/>
  <c r="G159" i="7"/>
  <c r="H159" i="7"/>
  <c r="I159" i="7"/>
  <c r="J159" i="7"/>
  <c r="K159" i="7"/>
  <c r="L159" i="7"/>
  <c r="M159" i="7"/>
  <c r="N159" i="7"/>
  <c r="O159" i="7"/>
  <c r="P159" i="7"/>
  <c r="G158" i="7"/>
  <c r="J158" i="7"/>
  <c r="N158" i="7"/>
  <c r="D158" i="7"/>
  <c r="E158" i="7" s="1"/>
  <c r="F158" i="7"/>
  <c r="H158" i="7"/>
  <c r="I158" i="7"/>
  <c r="K158" i="7"/>
  <c r="L158" i="7"/>
  <c r="M158" i="7"/>
  <c r="O158" i="7"/>
  <c r="P158" i="7"/>
  <c r="O157" i="7"/>
  <c r="J157" i="7"/>
  <c r="G157" i="7"/>
  <c r="I157" i="7"/>
  <c r="M157" i="7"/>
  <c r="P157" i="7"/>
  <c r="N157" i="7"/>
  <c r="L157" i="7"/>
  <c r="K157" i="7"/>
  <c r="H157" i="7"/>
  <c r="F157" i="7"/>
  <c r="D157" i="7"/>
  <c r="E157" i="7" s="1"/>
  <c r="P156" i="7"/>
  <c r="N156" i="7"/>
  <c r="J156" i="7"/>
  <c r="F156" i="7"/>
  <c r="K156" i="7"/>
  <c r="H156" i="7"/>
  <c r="L156" i="7"/>
  <c r="O156" i="7"/>
  <c r="I156" i="7"/>
  <c r="G156" i="7"/>
  <c r="D156" i="7"/>
  <c r="E156" i="7" s="1"/>
  <c r="M156" i="7"/>
  <c r="K155" i="7"/>
  <c r="H155" i="7"/>
  <c r="J155" i="7"/>
  <c r="M155" i="7"/>
  <c r="N155" i="7"/>
  <c r="P155" i="7"/>
  <c r="D155" i="7"/>
  <c r="E155" i="7" s="1"/>
  <c r="O155" i="7"/>
  <c r="L155" i="7"/>
  <c r="F155" i="7"/>
  <c r="G155" i="7"/>
  <c r="I155" i="7"/>
  <c r="D154" i="7"/>
  <c r="G154" i="7"/>
  <c r="J154" i="7"/>
  <c r="M154" i="7"/>
  <c r="P154" i="7"/>
  <c r="E154" i="7"/>
  <c r="O154" i="7"/>
  <c r="H154" i="7"/>
  <c r="K154" i="7"/>
  <c r="F154" i="7"/>
  <c r="I154" i="7"/>
  <c r="L154" i="7"/>
  <c r="N154" i="7"/>
  <c r="J153" i="7"/>
  <c r="F153" i="7"/>
  <c r="P153" i="7"/>
  <c r="M153" i="7"/>
  <c r="H153" i="7"/>
  <c r="I153" i="7"/>
  <c r="N153" i="7"/>
  <c r="O153" i="7"/>
  <c r="L153" i="7"/>
  <c r="K153" i="7"/>
  <c r="D153" i="7"/>
  <c r="E153" i="7" s="1"/>
  <c r="G153" i="7"/>
  <c r="M152" i="7"/>
  <c r="O152" i="7"/>
  <c r="P152" i="7"/>
  <c r="L152" i="7"/>
  <c r="I152" i="7"/>
  <c r="F152" i="7"/>
  <c r="N152" i="7"/>
  <c r="D152" i="7"/>
  <c r="E152" i="7" s="1"/>
  <c r="G152" i="7"/>
  <c r="K152" i="7"/>
  <c r="H152" i="7"/>
  <c r="J152" i="7"/>
  <c r="O151" i="7"/>
  <c r="N151" i="7"/>
  <c r="I151" i="7"/>
  <c r="F151" i="7"/>
  <c r="K151" i="7"/>
  <c r="G151" i="7"/>
  <c r="L151" i="7"/>
  <c r="D151" i="7"/>
  <c r="E151" i="7" s="1"/>
  <c r="P151" i="7"/>
  <c r="M151" i="7"/>
  <c r="J151" i="7"/>
  <c r="H151" i="7"/>
  <c r="L150" i="7"/>
  <c r="I150" i="7"/>
  <c r="P150" i="7"/>
  <c r="N150" i="7"/>
  <c r="K150" i="7"/>
  <c r="G150" i="7"/>
  <c r="F150" i="7"/>
  <c r="O150" i="7"/>
  <c r="D150" i="7"/>
  <c r="E150" i="7" s="1"/>
  <c r="J150" i="7"/>
  <c r="H150" i="7"/>
  <c r="M150" i="7"/>
  <c r="L149" i="7"/>
  <c r="O149" i="7"/>
  <c r="F149" i="7"/>
  <c r="D149" i="7"/>
  <c r="E149" i="7" s="1"/>
  <c r="H149" i="7"/>
  <c r="I149" i="7"/>
  <c r="K149" i="7"/>
  <c r="M149" i="7"/>
  <c r="N149" i="7"/>
  <c r="P149" i="7"/>
  <c r="G149" i="7"/>
  <c r="J149" i="7"/>
  <c r="P148" i="7"/>
  <c r="F148" i="7"/>
  <c r="J148" i="7"/>
  <c r="M148" i="7"/>
  <c r="O148" i="7"/>
  <c r="N148" i="7"/>
  <c r="L148" i="7"/>
  <c r="K148" i="7"/>
  <c r="I148" i="7"/>
  <c r="H148" i="7"/>
  <c r="G148" i="7"/>
  <c r="D148" i="7"/>
  <c r="E148" i="7" s="1"/>
  <c r="L147" i="7"/>
  <c r="M147" i="7"/>
  <c r="F147" i="7"/>
  <c r="H147" i="7"/>
  <c r="P147" i="7"/>
  <c r="O147" i="7"/>
  <c r="J147" i="7"/>
  <c r="N147" i="7"/>
  <c r="K147" i="7"/>
  <c r="I147" i="7"/>
  <c r="G147" i="7"/>
  <c r="D147" i="7"/>
  <c r="E147" i="7" s="1"/>
  <c r="P146" i="7"/>
  <c r="F146" i="7"/>
  <c r="D146" i="7"/>
  <c r="E146" i="7" s="1"/>
  <c r="M146" i="7"/>
  <c r="I146" i="7"/>
  <c r="J146" i="7"/>
  <c r="H146" i="7"/>
  <c r="G146" i="7"/>
  <c r="K146" i="7"/>
  <c r="L146" i="7"/>
  <c r="N146" i="7"/>
  <c r="O146" i="7"/>
  <c r="L145" i="7"/>
  <c r="D145" i="7"/>
  <c r="E145" i="7" s="1"/>
  <c r="I145" i="7"/>
  <c r="J145" i="7"/>
  <c r="M145" i="7"/>
  <c r="N145" i="7"/>
  <c r="P145" i="7"/>
  <c r="G145" i="7"/>
  <c r="O145" i="7"/>
  <c r="K145" i="7"/>
  <c r="H145" i="7"/>
  <c r="F145" i="7"/>
  <c r="P143" i="7"/>
  <c r="O143" i="7"/>
  <c r="I143" i="7"/>
  <c r="N143" i="7"/>
  <c r="F143" i="7"/>
  <c r="G143" i="7"/>
  <c r="J143" i="7"/>
  <c r="L143" i="7"/>
  <c r="D143" i="7"/>
  <c r="E143" i="7" s="1"/>
  <c r="H143" i="7"/>
  <c r="K143" i="7"/>
  <c r="M143" i="7"/>
  <c r="K141" i="7"/>
  <c r="H141" i="7"/>
  <c r="O141" i="7"/>
  <c r="P141" i="7"/>
  <c r="L141" i="7"/>
  <c r="F141" i="7"/>
  <c r="N141" i="7"/>
  <c r="G141" i="7"/>
  <c r="I141" i="7"/>
  <c r="D141" i="7"/>
  <c r="E141" i="7" s="1"/>
  <c r="J141" i="7"/>
  <c r="M141" i="7"/>
  <c r="H139" i="7"/>
  <c r="I139" i="7"/>
  <c r="J139" i="7"/>
  <c r="P139" i="7"/>
  <c r="D139" i="7"/>
  <c r="E139" i="7" s="1"/>
  <c r="F139" i="7"/>
  <c r="G139" i="7"/>
  <c r="L139" i="7"/>
  <c r="M139" i="7"/>
  <c r="N139" i="7"/>
  <c r="O139" i="7"/>
  <c r="K139" i="7"/>
  <c r="O137" i="7"/>
  <c r="N137" i="7"/>
  <c r="M137" i="7"/>
  <c r="L137" i="7"/>
  <c r="J137" i="7"/>
  <c r="H137" i="7"/>
  <c r="I137" i="7"/>
  <c r="D137" i="7"/>
  <c r="E137" i="7" s="1"/>
  <c r="F137" i="7"/>
  <c r="G137" i="7"/>
  <c r="P137" i="7"/>
  <c r="K137" i="7"/>
  <c r="I135" i="7"/>
  <c r="P135" i="7"/>
  <c r="H135" i="7"/>
  <c r="G135" i="7"/>
  <c r="F135" i="7"/>
  <c r="D135" i="7"/>
  <c r="E135" i="7" s="1"/>
  <c r="O135" i="7"/>
  <c r="N135" i="7"/>
  <c r="M135" i="7"/>
  <c r="L135" i="7"/>
  <c r="K135" i="7"/>
  <c r="J135" i="7"/>
  <c r="J133" i="7"/>
  <c r="F133" i="7"/>
  <c r="G133" i="7"/>
  <c r="O133" i="7"/>
  <c r="D133" i="7"/>
  <c r="E133" i="7" s="1"/>
  <c r="P133" i="7"/>
  <c r="N133" i="7"/>
  <c r="M133" i="7"/>
  <c r="H133" i="7"/>
  <c r="L133" i="7"/>
  <c r="I133" i="7"/>
  <c r="K133" i="7"/>
  <c r="F131" i="7"/>
  <c r="D131" i="7"/>
  <c r="E131" i="7" s="1"/>
  <c r="K131" i="7"/>
  <c r="L131" i="7"/>
  <c r="N131" i="7"/>
  <c r="O131" i="7"/>
  <c r="P131" i="7"/>
  <c r="M131" i="7"/>
  <c r="J131" i="7"/>
  <c r="I131" i="7"/>
  <c r="H131" i="7"/>
  <c r="G131" i="7"/>
  <c r="M127" i="7"/>
  <c r="D127" i="7"/>
  <c r="E127" i="7" s="1"/>
  <c r="F127" i="7"/>
  <c r="O127" i="7"/>
  <c r="P127" i="7"/>
  <c r="N127" i="7"/>
  <c r="L127" i="7"/>
  <c r="K127" i="7"/>
  <c r="J127" i="7"/>
  <c r="I127" i="7"/>
  <c r="H127" i="7"/>
  <c r="G127" i="7"/>
  <c r="N124" i="7"/>
  <c r="G124" i="7"/>
  <c r="M124" i="7"/>
  <c r="K124" i="7"/>
  <c r="J124" i="7"/>
  <c r="I124" i="7"/>
  <c r="O124" i="7"/>
  <c r="L124" i="7"/>
  <c r="H124" i="7"/>
  <c r="F124" i="7"/>
  <c r="D124" i="7"/>
  <c r="E124" i="7" s="1"/>
  <c r="P124" i="7"/>
  <c r="N123" i="7"/>
  <c r="K123" i="7"/>
  <c r="O123" i="7"/>
  <c r="P123" i="7"/>
  <c r="D123" i="7"/>
  <c r="E123" i="7" s="1"/>
  <c r="F123" i="7"/>
  <c r="G123" i="7"/>
  <c r="H123" i="7"/>
  <c r="I123" i="7"/>
  <c r="J123" i="7"/>
  <c r="L123" i="7"/>
  <c r="M123" i="7"/>
  <c r="G122" i="7"/>
  <c r="H122" i="7"/>
  <c r="I122" i="7"/>
  <c r="K122" i="7"/>
  <c r="L122" i="7"/>
  <c r="M122" i="7"/>
  <c r="N122" i="7"/>
  <c r="O122" i="7"/>
  <c r="P122" i="7"/>
  <c r="J122" i="7"/>
  <c r="F122" i="7"/>
  <c r="D122" i="7"/>
  <c r="E122" i="7" s="1"/>
  <c r="L121" i="7"/>
  <c r="P121" i="7"/>
  <c r="M121" i="7"/>
  <c r="O121" i="7"/>
  <c r="N121" i="7"/>
  <c r="D121" i="7"/>
  <c r="E121" i="7" s="1"/>
  <c r="F121" i="7"/>
  <c r="G121" i="7"/>
  <c r="H121" i="7"/>
  <c r="I121" i="7"/>
  <c r="J121" i="7"/>
  <c r="K121" i="7"/>
  <c r="J120" i="7"/>
  <c r="F120" i="7"/>
  <c r="O120" i="7"/>
  <c r="N120" i="7"/>
  <c r="D120" i="7"/>
  <c r="E120" i="7" s="1"/>
  <c r="H120" i="7"/>
  <c r="G120" i="7"/>
  <c r="I120" i="7"/>
  <c r="P120" i="7"/>
  <c r="M120" i="7"/>
  <c r="L120" i="7"/>
  <c r="K120" i="7"/>
  <c r="D119" i="7"/>
  <c r="E119" i="7" s="1"/>
  <c r="J119" i="7"/>
  <c r="F119" i="7"/>
  <c r="K119" i="7"/>
  <c r="L119" i="7"/>
  <c r="N119" i="7"/>
  <c r="O119" i="7"/>
  <c r="P119" i="7"/>
  <c r="G119" i="7"/>
  <c r="H119" i="7"/>
  <c r="I119" i="7"/>
  <c r="M119" i="7"/>
  <c r="M118" i="7"/>
  <c r="H118" i="7"/>
  <c r="P118" i="7"/>
  <c r="O118" i="7"/>
  <c r="N118" i="7"/>
  <c r="D118" i="7"/>
  <c r="E118" i="7" s="1"/>
  <c r="F118" i="7"/>
  <c r="G118" i="7"/>
  <c r="I118" i="7"/>
  <c r="J118" i="7"/>
  <c r="K118" i="7"/>
  <c r="L118" i="7"/>
  <c r="D117" i="7"/>
  <c r="F117" i="7"/>
  <c r="K117" i="7"/>
  <c r="H117" i="7"/>
  <c r="L117" i="7"/>
  <c r="P117" i="7"/>
  <c r="M117" i="7"/>
  <c r="O117" i="7"/>
  <c r="N117" i="7"/>
  <c r="J117" i="7"/>
  <c r="I117" i="7"/>
  <c r="G117" i="7"/>
  <c r="E117" i="7"/>
  <c r="J116" i="7"/>
  <c r="F116" i="7"/>
  <c r="M116" i="7"/>
  <c r="D116" i="7"/>
  <c r="E116" i="7" s="1"/>
  <c r="I116" i="7"/>
  <c r="O116" i="7"/>
  <c r="K116" i="7"/>
  <c r="G116" i="7"/>
  <c r="H116" i="7"/>
  <c r="P116" i="7"/>
  <c r="N116" i="7"/>
  <c r="L116" i="7"/>
  <c r="F115" i="7"/>
  <c r="H115" i="7"/>
  <c r="K115" i="7"/>
  <c r="M115" i="7"/>
  <c r="J115" i="7"/>
  <c r="O115" i="7"/>
  <c r="N115" i="7"/>
  <c r="L115" i="7"/>
  <c r="I115" i="7"/>
  <c r="G115" i="7"/>
  <c r="D115" i="7"/>
  <c r="E115" i="7" s="1"/>
  <c r="P115" i="7"/>
  <c r="M114" i="7"/>
  <c r="N114" i="7"/>
  <c r="P114" i="7"/>
  <c r="L114" i="7"/>
  <c r="O114" i="7"/>
  <c r="J114" i="7"/>
  <c r="K114" i="7"/>
  <c r="H114" i="7"/>
  <c r="D114" i="7"/>
  <c r="E114" i="7" s="1"/>
  <c r="F114" i="7"/>
  <c r="I114" i="7"/>
  <c r="G114" i="7"/>
  <c r="F113" i="7"/>
  <c r="I113" i="7"/>
  <c r="O113" i="7"/>
  <c r="L113" i="7"/>
  <c r="K113" i="7"/>
  <c r="H113" i="7"/>
  <c r="P113" i="7"/>
  <c r="J113" i="7"/>
  <c r="G113" i="7"/>
  <c r="D113" i="7"/>
  <c r="E113" i="7" s="1"/>
  <c r="M113" i="7"/>
  <c r="N113" i="7"/>
  <c r="O112" i="7"/>
  <c r="F112" i="7"/>
  <c r="G112" i="7"/>
  <c r="L112" i="7"/>
  <c r="P112" i="7"/>
  <c r="K112" i="7"/>
  <c r="H112" i="7"/>
  <c r="J112" i="7"/>
  <c r="D112" i="7"/>
  <c r="E112" i="7" s="1"/>
  <c r="I112" i="7"/>
  <c r="N112" i="7"/>
  <c r="M112" i="7"/>
  <c r="N111" i="7"/>
  <c r="K111" i="7"/>
  <c r="F111" i="7"/>
  <c r="P111" i="7"/>
  <c r="M111" i="7"/>
  <c r="H111" i="7"/>
  <c r="O111" i="7"/>
  <c r="J111" i="7"/>
  <c r="G111" i="7"/>
  <c r="D111" i="7"/>
  <c r="E111" i="7" s="1"/>
  <c r="I111" i="7"/>
  <c r="L111" i="7"/>
  <c r="N107" i="7"/>
  <c r="K107" i="7"/>
  <c r="G107" i="7"/>
  <c r="M107" i="7"/>
  <c r="D107" i="7"/>
  <c r="E107" i="7" s="1"/>
  <c r="O107" i="7"/>
  <c r="H107" i="7"/>
  <c r="F107" i="7"/>
  <c r="J107" i="7"/>
  <c r="I107" i="7"/>
  <c r="P107" i="7"/>
  <c r="L107" i="7"/>
  <c r="P106" i="7"/>
  <c r="M106" i="7"/>
  <c r="G106" i="7"/>
  <c r="J106" i="7"/>
  <c r="I106" i="7"/>
  <c r="H106" i="7"/>
  <c r="O106" i="7"/>
  <c r="N106" i="7"/>
  <c r="F106" i="7"/>
  <c r="K106" i="7"/>
  <c r="D106" i="7"/>
  <c r="E106" i="7" s="1"/>
  <c r="L106" i="7"/>
  <c r="G105" i="7"/>
  <c r="O105" i="7"/>
  <c r="H105" i="7"/>
  <c r="M105" i="7"/>
  <c r="L105" i="7"/>
  <c r="K105" i="7"/>
  <c r="P105" i="7"/>
  <c r="I105" i="7"/>
  <c r="D105" i="7"/>
  <c r="E105" i="7" s="1"/>
  <c r="F105" i="7"/>
  <c r="N105" i="7"/>
  <c r="J105" i="7"/>
  <c r="K104" i="7"/>
  <c r="H104" i="7"/>
  <c r="G104" i="7"/>
  <c r="P104" i="7"/>
  <c r="M104" i="7"/>
  <c r="I104" i="7"/>
  <c r="D104" i="7"/>
  <c r="E104" i="7" s="1"/>
  <c r="J104" i="7"/>
  <c r="N104" i="7"/>
  <c r="L104" i="7"/>
  <c r="O104" i="7"/>
  <c r="F104" i="7"/>
  <c r="I103" i="7"/>
  <c r="H103" i="7"/>
  <c r="P103" i="7"/>
  <c r="J103" i="7"/>
  <c r="F103" i="7"/>
  <c r="N103" i="7"/>
  <c r="L103" i="7"/>
  <c r="O103" i="7"/>
  <c r="G103" i="7"/>
  <c r="D103" i="7"/>
  <c r="E103" i="7" s="1"/>
  <c r="M103" i="7"/>
  <c r="K103" i="7"/>
  <c r="H102" i="7"/>
  <c r="N102" i="7"/>
  <c r="K102" i="7"/>
  <c r="F102" i="7"/>
  <c r="D102" i="7"/>
  <c r="E102" i="7" s="1"/>
  <c r="I102" i="7"/>
  <c r="J102" i="7"/>
  <c r="O102" i="7"/>
  <c r="L102" i="7"/>
  <c r="P102" i="7"/>
  <c r="M102" i="7"/>
  <c r="G102" i="7"/>
  <c r="P101" i="7"/>
  <c r="D101" i="7"/>
  <c r="E101" i="7" s="1"/>
  <c r="L101" i="7"/>
  <c r="H101" i="7"/>
  <c r="O101" i="7"/>
  <c r="F101" i="7"/>
  <c r="K101" i="7"/>
  <c r="I101" i="7"/>
  <c r="N101" i="7"/>
  <c r="G101" i="7"/>
  <c r="J101" i="7"/>
  <c r="M101" i="7"/>
  <c r="N100" i="7"/>
  <c r="L100" i="7"/>
  <c r="M100" i="7"/>
  <c r="P100" i="7"/>
  <c r="J100" i="7"/>
  <c r="G100" i="7"/>
  <c r="I100" i="7"/>
  <c r="O100" i="7"/>
  <c r="K100" i="7"/>
  <c r="F100" i="7"/>
  <c r="D100" i="7"/>
  <c r="E100" i="7" s="1"/>
  <c r="H100" i="7"/>
  <c r="G99" i="7"/>
  <c r="K99" i="7"/>
  <c r="I99" i="7"/>
  <c r="F99" i="7"/>
  <c r="J99" i="7"/>
  <c r="M99" i="7"/>
  <c r="P99" i="7"/>
  <c r="N99" i="7"/>
  <c r="H99" i="7"/>
  <c r="D99" i="7"/>
  <c r="E99" i="7" s="1"/>
  <c r="O99" i="7"/>
  <c r="L99" i="7"/>
  <c r="L98" i="7"/>
  <c r="D98" i="7"/>
  <c r="E98" i="7" s="1"/>
  <c r="G98" i="7"/>
  <c r="P98" i="7"/>
  <c r="M98" i="7"/>
  <c r="J98" i="7"/>
  <c r="F98" i="7"/>
  <c r="I98" i="7"/>
  <c r="O98" i="7"/>
  <c r="H98" i="7"/>
  <c r="K98" i="7"/>
  <c r="N98" i="7"/>
  <c r="P97" i="7"/>
  <c r="M97" i="7"/>
  <c r="L97" i="7"/>
  <c r="I97" i="7"/>
  <c r="F97" i="7"/>
  <c r="D97" i="7"/>
  <c r="E97" i="7" s="1"/>
  <c r="H97" i="7"/>
  <c r="O97" i="7"/>
  <c r="G97" i="7"/>
  <c r="J97" i="7"/>
  <c r="N97" i="7"/>
  <c r="K97" i="7"/>
  <c r="O96" i="7"/>
  <c r="P96" i="7"/>
  <c r="J96" i="7"/>
  <c r="H96" i="7"/>
  <c r="M96" i="7"/>
  <c r="N96" i="7"/>
  <c r="L96" i="7"/>
  <c r="I96" i="7"/>
  <c r="D96" i="7"/>
  <c r="E96" i="7" s="1"/>
  <c r="K96" i="7"/>
  <c r="G96" i="7"/>
  <c r="F96" i="7"/>
  <c r="L95" i="7"/>
  <c r="P95" i="7"/>
  <c r="K95" i="7"/>
  <c r="N95" i="7"/>
  <c r="G95" i="7"/>
  <c r="F95" i="7"/>
  <c r="D95" i="7"/>
  <c r="E95" i="7" s="1"/>
  <c r="M95" i="7"/>
  <c r="O95" i="7"/>
  <c r="H95" i="7"/>
  <c r="I95" i="7"/>
  <c r="J95" i="7"/>
  <c r="P93" i="7"/>
  <c r="I93" i="7"/>
  <c r="L93" i="7"/>
  <c r="H93" i="7"/>
  <c r="O93" i="7"/>
  <c r="M93" i="7"/>
  <c r="N93" i="7"/>
  <c r="F93" i="7"/>
  <c r="J93" i="7"/>
  <c r="K93" i="7"/>
  <c r="G93" i="7"/>
  <c r="D93" i="7"/>
  <c r="E93" i="7" s="1"/>
  <c r="K92" i="7"/>
  <c r="F92" i="7"/>
  <c r="H92" i="7"/>
  <c r="P92" i="7"/>
  <c r="L92" i="7"/>
  <c r="J92" i="7"/>
  <c r="N92" i="7"/>
  <c r="O92" i="7"/>
  <c r="M92" i="7"/>
  <c r="I92" i="7"/>
  <c r="G92" i="7"/>
  <c r="D92" i="7"/>
  <c r="E92" i="7" s="1"/>
  <c r="H91" i="7"/>
  <c r="D91" i="7"/>
  <c r="E91" i="7" s="1"/>
  <c r="G91" i="7"/>
  <c r="K91" i="7"/>
  <c r="P91" i="7"/>
  <c r="O91" i="7"/>
  <c r="J91" i="7"/>
  <c r="M91" i="7"/>
  <c r="I91" i="7"/>
  <c r="N91" i="7"/>
  <c r="F91" i="7"/>
  <c r="L91" i="7"/>
  <c r="G89" i="7"/>
  <c r="L89" i="7"/>
  <c r="D89" i="7"/>
  <c r="E89" i="7" s="1"/>
  <c r="O89" i="7"/>
  <c r="N89" i="7"/>
  <c r="M89" i="7"/>
  <c r="J89" i="7"/>
  <c r="I89" i="7"/>
  <c r="H89" i="7"/>
  <c r="K89" i="7"/>
  <c r="P89" i="7"/>
  <c r="F89" i="7"/>
  <c r="H88" i="7"/>
  <c r="D88" i="7"/>
  <c r="E88" i="7" s="1"/>
  <c r="K88" i="7"/>
  <c r="F88" i="7"/>
  <c r="L88" i="7"/>
  <c r="M88" i="7"/>
  <c r="P88" i="7"/>
  <c r="I88" i="7"/>
  <c r="J88" i="7"/>
  <c r="N88" i="7"/>
  <c r="O88" i="7"/>
  <c r="G88" i="7"/>
  <c r="K87" i="7"/>
  <c r="D87" i="7"/>
  <c r="E87" i="7" s="1"/>
  <c r="O87" i="7"/>
  <c r="J87" i="7"/>
  <c r="L87" i="7"/>
  <c r="P87" i="7"/>
  <c r="M87" i="7"/>
  <c r="G87" i="7"/>
  <c r="N87" i="7"/>
  <c r="I87" i="7"/>
  <c r="H87" i="7"/>
  <c r="F87" i="7"/>
  <c r="P86" i="7"/>
  <c r="F86" i="7"/>
  <c r="L86" i="7"/>
  <c r="G86" i="7"/>
  <c r="D86" i="7"/>
  <c r="E86" i="7" s="1"/>
  <c r="M86" i="7"/>
  <c r="N86" i="7"/>
  <c r="K86" i="7"/>
  <c r="H86" i="7"/>
  <c r="I86" i="7"/>
  <c r="J86" i="7"/>
  <c r="O86" i="7"/>
  <c r="J84" i="7"/>
  <c r="D84" i="7"/>
  <c r="E84" i="7" s="1"/>
  <c r="F84" i="7"/>
  <c r="G84" i="7"/>
  <c r="H84" i="7"/>
  <c r="I84" i="7"/>
  <c r="K84" i="7"/>
  <c r="L84" i="7"/>
  <c r="M84" i="7"/>
  <c r="N84" i="7"/>
  <c r="O84" i="7"/>
  <c r="P84" i="7"/>
  <c r="N83" i="7"/>
  <c r="K83" i="7"/>
  <c r="D83" i="7"/>
  <c r="E83" i="7" s="1"/>
  <c r="F83" i="7"/>
  <c r="G83" i="7"/>
  <c r="H83" i="7"/>
  <c r="I83" i="7"/>
  <c r="J83" i="7"/>
  <c r="L83" i="7"/>
  <c r="M83" i="7"/>
  <c r="O83" i="7"/>
  <c r="P83" i="7"/>
  <c r="D82" i="7"/>
  <c r="E82" i="7" s="1"/>
  <c r="F82" i="7"/>
  <c r="G82" i="7"/>
  <c r="H82" i="7"/>
  <c r="I82" i="7"/>
  <c r="J82" i="7"/>
  <c r="K82" i="7"/>
  <c r="L82" i="7"/>
  <c r="M82" i="7"/>
  <c r="N82" i="7"/>
  <c r="O82" i="7"/>
  <c r="P82" i="7"/>
  <c r="D81" i="7"/>
  <c r="E81" i="7" s="1"/>
  <c r="F81" i="7"/>
  <c r="G81" i="7"/>
  <c r="H81" i="7"/>
  <c r="I81" i="7"/>
  <c r="J81" i="7"/>
  <c r="L81" i="7"/>
  <c r="M81" i="7"/>
  <c r="N81" i="7"/>
  <c r="O81" i="7"/>
  <c r="P81" i="7"/>
  <c r="K81" i="7"/>
  <c r="K80" i="7"/>
  <c r="F80" i="7"/>
  <c r="G80" i="7"/>
  <c r="H80" i="7"/>
  <c r="N80" i="7"/>
  <c r="I80" i="7"/>
  <c r="J80" i="7"/>
  <c r="D80" i="7"/>
  <c r="E80" i="7" s="1"/>
  <c r="L80" i="7"/>
  <c r="M80" i="7"/>
  <c r="O80" i="7"/>
  <c r="P80" i="7"/>
  <c r="K79" i="7"/>
  <c r="M79" i="7"/>
  <c r="H79" i="7"/>
  <c r="O79" i="7"/>
  <c r="F79" i="7"/>
  <c r="D79" i="7"/>
  <c r="E79" i="7" s="1"/>
  <c r="G79" i="7"/>
  <c r="I79" i="7"/>
  <c r="J79" i="7"/>
  <c r="L79" i="7"/>
  <c r="N79" i="7"/>
  <c r="P79" i="7"/>
  <c r="G78" i="7"/>
  <c r="N78" i="7"/>
  <c r="D78" i="7"/>
  <c r="E78" i="7" s="1"/>
  <c r="I78" i="7"/>
  <c r="O78" i="7"/>
  <c r="P78" i="7"/>
  <c r="F78" i="7"/>
  <c r="H78" i="7"/>
  <c r="J78" i="7"/>
  <c r="K78" i="7"/>
  <c r="L78" i="7"/>
  <c r="M78" i="7"/>
  <c r="N77" i="7"/>
  <c r="O77" i="7"/>
  <c r="P77" i="7"/>
  <c r="D77" i="7"/>
  <c r="E77" i="7" s="1"/>
  <c r="F77" i="7"/>
  <c r="G77" i="7"/>
  <c r="H77" i="7"/>
  <c r="I77" i="7"/>
  <c r="J77" i="7"/>
  <c r="K77" i="7"/>
  <c r="L77" i="7"/>
  <c r="M77" i="7"/>
  <c r="L76" i="7"/>
  <c r="N76" i="7"/>
  <c r="O76" i="7"/>
  <c r="D76" i="7"/>
  <c r="E76" i="7" s="1"/>
  <c r="F76" i="7"/>
  <c r="G76" i="7"/>
  <c r="H76" i="7"/>
  <c r="I76" i="7"/>
  <c r="J76" i="7"/>
  <c r="K76" i="7"/>
  <c r="P76" i="7"/>
  <c r="M76" i="7"/>
  <c r="O75" i="7"/>
  <c r="P75" i="7"/>
  <c r="J75" i="7"/>
  <c r="D75" i="7"/>
  <c r="E75" i="7" s="1"/>
  <c r="F75" i="7"/>
  <c r="G75" i="7"/>
  <c r="H75" i="7"/>
  <c r="I75" i="7"/>
  <c r="K75" i="7"/>
  <c r="L75" i="7"/>
  <c r="M75" i="7"/>
  <c r="N75" i="7"/>
  <c r="N74" i="7"/>
  <c r="O74" i="7"/>
  <c r="P74" i="7"/>
  <c r="D74" i="7"/>
  <c r="E74" i="7" s="1"/>
  <c r="F74" i="7"/>
  <c r="G74" i="7"/>
  <c r="H74" i="7"/>
  <c r="I74" i="7"/>
  <c r="J74" i="7"/>
  <c r="K74" i="7"/>
  <c r="L74" i="7"/>
  <c r="M74" i="7"/>
  <c r="N73" i="7"/>
  <c r="O73" i="7"/>
  <c r="P73" i="7"/>
  <c r="D73" i="7"/>
  <c r="E73" i="7" s="1"/>
  <c r="F73" i="7"/>
  <c r="G73" i="7"/>
  <c r="H73" i="7"/>
  <c r="I73" i="7"/>
  <c r="J73" i="7"/>
  <c r="K73" i="7"/>
  <c r="L73" i="7"/>
  <c r="M73" i="7"/>
  <c r="D72" i="7"/>
  <c r="E72" i="7" s="1"/>
  <c r="F72" i="7"/>
  <c r="G72" i="7"/>
  <c r="H72" i="7"/>
  <c r="I72" i="7"/>
  <c r="J72" i="7"/>
  <c r="K72" i="7"/>
  <c r="L72" i="7"/>
  <c r="M72" i="7"/>
  <c r="N72" i="7"/>
  <c r="O72" i="7"/>
  <c r="P72" i="7"/>
  <c r="H71" i="7"/>
  <c r="F71" i="7"/>
  <c r="G71" i="7"/>
  <c r="D71" i="7"/>
  <c r="E71" i="7" s="1"/>
  <c r="I71" i="7"/>
  <c r="J71" i="7"/>
  <c r="K71" i="7"/>
  <c r="L71" i="7"/>
  <c r="M71" i="7"/>
  <c r="N71" i="7"/>
  <c r="O71" i="7"/>
  <c r="P71" i="7"/>
  <c r="O70" i="7"/>
  <c r="P70" i="7"/>
  <c r="N70" i="7"/>
  <c r="D70" i="7"/>
  <c r="E70" i="7" s="1"/>
  <c r="F70" i="7"/>
  <c r="G70" i="7"/>
  <c r="H70" i="7"/>
  <c r="I70" i="7"/>
  <c r="J70" i="7"/>
  <c r="K70" i="7"/>
  <c r="L70" i="7"/>
  <c r="M70" i="7"/>
  <c r="N69" i="7"/>
  <c r="O69" i="7"/>
  <c r="P69" i="7"/>
  <c r="D69" i="7"/>
  <c r="E69" i="7" s="1"/>
  <c r="F69" i="7"/>
  <c r="G69" i="7"/>
  <c r="H69" i="7"/>
  <c r="I69" i="7"/>
  <c r="J69" i="7"/>
  <c r="K69" i="7"/>
  <c r="L69" i="7"/>
  <c r="M69" i="7"/>
  <c r="K68" i="7"/>
  <c r="D68" i="7"/>
  <c r="E68" i="7" s="1"/>
  <c r="F68" i="7"/>
  <c r="G68" i="7"/>
  <c r="H68" i="7"/>
  <c r="I68" i="7"/>
  <c r="J68" i="7"/>
  <c r="L68" i="7"/>
  <c r="M68" i="7"/>
  <c r="N68" i="7"/>
  <c r="O68" i="7"/>
  <c r="P68" i="7"/>
  <c r="N67" i="7"/>
  <c r="O67" i="7"/>
  <c r="L67" i="7"/>
  <c r="D67" i="7"/>
  <c r="E67" i="7" s="1"/>
  <c r="F67" i="7"/>
  <c r="G67" i="7"/>
  <c r="H67" i="7"/>
  <c r="I67" i="7"/>
  <c r="J67" i="7"/>
  <c r="K67" i="7"/>
  <c r="P67" i="7"/>
  <c r="M67" i="7"/>
  <c r="N66" i="7"/>
  <c r="O66" i="7"/>
  <c r="P66" i="7"/>
  <c r="D66" i="7"/>
  <c r="E66" i="7" s="1"/>
  <c r="F66" i="7"/>
  <c r="G66" i="7"/>
  <c r="H66" i="7"/>
  <c r="I66" i="7"/>
  <c r="J66" i="7"/>
  <c r="K66" i="7"/>
  <c r="L66" i="7"/>
  <c r="M66" i="7"/>
  <c r="L65" i="7"/>
  <c r="D65" i="7"/>
  <c r="E65" i="7" s="1"/>
  <c r="F65" i="7"/>
  <c r="G65" i="7"/>
  <c r="H65" i="7"/>
  <c r="I65" i="7"/>
  <c r="J65" i="7"/>
  <c r="K65" i="7"/>
  <c r="M65" i="7"/>
  <c r="N65" i="7"/>
  <c r="O65" i="7"/>
  <c r="P65" i="7"/>
  <c r="H64" i="7"/>
  <c r="F64" i="7"/>
  <c r="G64" i="7"/>
  <c r="D64" i="7"/>
  <c r="E64" i="7" s="1"/>
  <c r="I64" i="7"/>
  <c r="J64" i="7"/>
  <c r="K64" i="7"/>
  <c r="L64" i="7"/>
  <c r="M64" i="7"/>
  <c r="N64" i="7"/>
  <c r="O64" i="7"/>
  <c r="P64" i="7"/>
  <c r="N63" i="7"/>
  <c r="O63" i="7"/>
  <c r="P63" i="7"/>
  <c r="D63" i="7"/>
  <c r="E63" i="7" s="1"/>
  <c r="F63" i="7"/>
  <c r="G63" i="7"/>
  <c r="H63" i="7"/>
  <c r="I63" i="7"/>
  <c r="J63" i="7"/>
  <c r="K63" i="7"/>
  <c r="L63" i="7"/>
  <c r="M63" i="7"/>
  <c r="N62" i="7"/>
  <c r="O62" i="7"/>
  <c r="P62" i="7"/>
  <c r="D62" i="7"/>
  <c r="E62" i="7" s="1"/>
  <c r="F62" i="7"/>
  <c r="G62" i="7"/>
  <c r="H62" i="7"/>
  <c r="I62" i="7"/>
  <c r="J62" i="7"/>
  <c r="K62" i="7"/>
  <c r="L62" i="7"/>
  <c r="M62" i="7"/>
  <c r="L61" i="7"/>
  <c r="N61" i="7"/>
  <c r="J61" i="7"/>
  <c r="D61" i="7"/>
  <c r="E61" i="7" s="1"/>
  <c r="F61" i="7"/>
  <c r="G61" i="7"/>
  <c r="H61" i="7"/>
  <c r="I61" i="7"/>
  <c r="O61" i="7"/>
  <c r="K61" i="7"/>
  <c r="P61" i="7"/>
  <c r="M61" i="7"/>
  <c r="O60" i="7"/>
  <c r="P60" i="7"/>
  <c r="J60" i="7"/>
  <c r="D60" i="7"/>
  <c r="E60" i="7" s="1"/>
  <c r="F60" i="7"/>
  <c r="G60" i="7"/>
  <c r="H60" i="7"/>
  <c r="I60" i="7"/>
  <c r="K60" i="7"/>
  <c r="L60" i="7"/>
  <c r="M60" i="7"/>
  <c r="N60" i="7"/>
  <c r="N59" i="7"/>
  <c r="O59" i="7"/>
  <c r="P59" i="7"/>
  <c r="D59" i="7"/>
  <c r="E59" i="7" s="1"/>
  <c r="F59" i="7"/>
  <c r="G59" i="7"/>
  <c r="H59" i="7"/>
  <c r="I59" i="7"/>
  <c r="J59" i="7"/>
  <c r="K59" i="7"/>
  <c r="L59" i="7"/>
  <c r="M59" i="7"/>
  <c r="N58" i="7"/>
  <c r="O58" i="7"/>
  <c r="P58" i="7"/>
  <c r="D58" i="7"/>
  <c r="E58" i="7" s="1"/>
  <c r="F58" i="7"/>
  <c r="G58" i="7"/>
  <c r="H58" i="7"/>
  <c r="I58" i="7"/>
  <c r="J58" i="7"/>
  <c r="K58" i="7"/>
  <c r="L58" i="7"/>
  <c r="M58" i="7"/>
  <c r="D57" i="7"/>
  <c r="E57" i="7" s="1"/>
  <c r="F57" i="7"/>
  <c r="G57" i="7"/>
  <c r="H57" i="7"/>
  <c r="I57" i="7"/>
  <c r="J57" i="7"/>
  <c r="K57" i="7"/>
  <c r="L57" i="7"/>
  <c r="M57" i="7"/>
  <c r="N57" i="7"/>
  <c r="O57" i="7"/>
  <c r="P57" i="7"/>
  <c r="G56" i="7"/>
  <c r="F56" i="7"/>
  <c r="D56" i="7"/>
  <c r="E56" i="7" s="1"/>
  <c r="H56" i="7"/>
  <c r="I56" i="7"/>
  <c r="J56" i="7"/>
  <c r="K56" i="7"/>
  <c r="L56" i="7"/>
  <c r="M56" i="7"/>
  <c r="N56" i="7"/>
  <c r="O56" i="7"/>
  <c r="P56" i="7"/>
  <c r="P55" i="7"/>
  <c r="N55" i="7"/>
  <c r="O55" i="7"/>
  <c r="D55" i="7"/>
  <c r="E55" i="7" s="1"/>
  <c r="F55" i="7"/>
  <c r="G55" i="7"/>
  <c r="H55" i="7"/>
  <c r="I55" i="7"/>
  <c r="J55" i="7"/>
  <c r="K55" i="7"/>
  <c r="L55" i="7"/>
  <c r="M55" i="7"/>
  <c r="N54" i="7"/>
  <c r="P54" i="7"/>
  <c r="O54" i="7"/>
  <c r="D54" i="7"/>
  <c r="E54" i="7" s="1"/>
  <c r="F54" i="7"/>
  <c r="G54" i="7"/>
  <c r="H54" i="7"/>
  <c r="I54" i="7"/>
  <c r="J54" i="7"/>
  <c r="K54" i="7"/>
  <c r="L54" i="7"/>
  <c r="M54" i="7"/>
  <c r="J53" i="7"/>
  <c r="D53" i="7"/>
  <c r="E53" i="7" s="1"/>
  <c r="F53" i="7"/>
  <c r="G53" i="7"/>
  <c r="H53" i="7"/>
  <c r="I53" i="7"/>
  <c r="K53" i="7"/>
  <c r="L53" i="7"/>
  <c r="M53" i="7"/>
  <c r="N53" i="7"/>
  <c r="O53" i="7"/>
  <c r="P53" i="7"/>
  <c r="N52" i="7"/>
  <c r="O52" i="7"/>
  <c r="J52" i="7"/>
  <c r="D52" i="7"/>
  <c r="E52" i="7" s="1"/>
  <c r="F52" i="7"/>
  <c r="G52" i="7"/>
  <c r="H52" i="7"/>
  <c r="I52" i="7"/>
  <c r="P52" i="7"/>
  <c r="K52" i="7"/>
  <c r="L52" i="7"/>
  <c r="M52" i="7"/>
  <c r="N51" i="7"/>
  <c r="O51" i="7"/>
  <c r="P51" i="7"/>
  <c r="D51" i="7"/>
  <c r="E51" i="7" s="1"/>
  <c r="F51" i="7"/>
  <c r="G51" i="7"/>
  <c r="H51" i="7"/>
  <c r="I51" i="7"/>
  <c r="J51" i="7"/>
  <c r="K51" i="7"/>
  <c r="L51" i="7"/>
  <c r="M51" i="7"/>
  <c r="F50" i="7"/>
  <c r="D50" i="7"/>
  <c r="E50" i="7" s="1"/>
  <c r="G50" i="7"/>
  <c r="H50" i="7"/>
  <c r="I50" i="7"/>
  <c r="J50" i="7"/>
  <c r="K50" i="7"/>
  <c r="L50" i="7"/>
  <c r="M50" i="7"/>
  <c r="N50" i="7"/>
  <c r="O50" i="7"/>
  <c r="P50" i="7"/>
  <c r="G49" i="7"/>
  <c r="F49" i="7"/>
  <c r="D49" i="7"/>
  <c r="E49" i="7" s="1"/>
  <c r="H49" i="7"/>
  <c r="I49" i="7"/>
  <c r="J49" i="7"/>
  <c r="K49" i="7"/>
  <c r="L49" i="7"/>
  <c r="M49" i="7"/>
  <c r="N49" i="7"/>
  <c r="O49" i="7"/>
  <c r="P49" i="7"/>
  <c r="O48" i="7"/>
  <c r="P48" i="7"/>
  <c r="N48" i="7"/>
  <c r="D48" i="7"/>
  <c r="E48" i="7" s="1"/>
  <c r="F48" i="7"/>
  <c r="G48" i="7"/>
  <c r="H48" i="7"/>
  <c r="I48" i="7"/>
  <c r="J48" i="7"/>
  <c r="K48" i="7"/>
  <c r="L48" i="7"/>
  <c r="M48" i="7"/>
  <c r="N47" i="7"/>
  <c r="O47" i="7"/>
  <c r="P47" i="7"/>
  <c r="D47" i="7"/>
  <c r="E47" i="7" s="1"/>
  <c r="F47" i="7"/>
  <c r="G47" i="7"/>
  <c r="H47" i="7"/>
  <c r="I47" i="7"/>
  <c r="J47" i="7"/>
  <c r="K47" i="7"/>
  <c r="L47" i="7"/>
  <c r="M47" i="7"/>
  <c r="L46" i="7"/>
  <c r="N46" i="7"/>
  <c r="O46" i="7"/>
  <c r="D46" i="7"/>
  <c r="E46" i="7" s="1"/>
  <c r="F46" i="7"/>
  <c r="G46" i="7"/>
  <c r="H46" i="7"/>
  <c r="I46" i="7"/>
  <c r="J46" i="7"/>
  <c r="K46" i="7"/>
  <c r="P46" i="7"/>
  <c r="M46" i="7"/>
  <c r="O45" i="7"/>
  <c r="P45" i="7"/>
  <c r="J45" i="7"/>
  <c r="D45" i="7"/>
  <c r="E45" i="7" s="1"/>
  <c r="F45" i="7"/>
  <c r="G45" i="7"/>
  <c r="H45" i="7"/>
  <c r="I45" i="7"/>
  <c r="K45" i="7"/>
  <c r="L45" i="7"/>
  <c r="M45" i="7"/>
  <c r="N45" i="7"/>
  <c r="N44" i="7"/>
  <c r="O44" i="7"/>
  <c r="P44" i="7"/>
  <c r="D44" i="7"/>
  <c r="E44" i="7" s="1"/>
  <c r="F44" i="7"/>
  <c r="G44" i="7"/>
  <c r="H44" i="7"/>
  <c r="I44" i="7"/>
  <c r="J44" i="7"/>
  <c r="K44" i="7"/>
  <c r="L44" i="7"/>
  <c r="M44" i="7"/>
  <c r="N43" i="7"/>
  <c r="O43" i="7"/>
  <c r="P43" i="7"/>
  <c r="D43" i="7"/>
  <c r="E43" i="7" s="1"/>
  <c r="F43" i="7"/>
  <c r="G43" i="7"/>
  <c r="H43" i="7"/>
  <c r="I43" i="7"/>
  <c r="J43" i="7"/>
  <c r="K43" i="7"/>
  <c r="L43" i="7"/>
  <c r="M43" i="7"/>
  <c r="D42" i="7"/>
  <c r="E42" i="7" s="1"/>
  <c r="F42" i="7"/>
  <c r="G42" i="7"/>
  <c r="H42" i="7"/>
  <c r="I42" i="7"/>
  <c r="J42" i="7"/>
  <c r="K42" i="7"/>
  <c r="L42" i="7"/>
  <c r="M42" i="7"/>
  <c r="N42" i="7"/>
  <c r="O42" i="7"/>
  <c r="P42" i="7"/>
  <c r="G41" i="7"/>
  <c r="F41" i="7"/>
  <c r="D41" i="7"/>
  <c r="E41" i="7" s="1"/>
  <c r="H41" i="7"/>
  <c r="I41" i="7"/>
  <c r="J41" i="7"/>
  <c r="K41" i="7"/>
  <c r="L41" i="7"/>
  <c r="M41" i="7"/>
  <c r="N41" i="7"/>
  <c r="O41" i="7"/>
  <c r="P41" i="7"/>
  <c r="N40" i="7"/>
  <c r="O40" i="7"/>
  <c r="P40" i="7"/>
  <c r="D40" i="7"/>
  <c r="E40" i="7" s="1"/>
  <c r="F40" i="7"/>
  <c r="G40" i="7"/>
  <c r="H40" i="7"/>
  <c r="I40" i="7"/>
  <c r="J40" i="7"/>
  <c r="K40" i="7"/>
  <c r="L40" i="7"/>
  <c r="M40" i="7"/>
  <c r="N39" i="7"/>
  <c r="O39" i="7"/>
  <c r="P39" i="7"/>
  <c r="D39" i="7"/>
  <c r="E39" i="7" s="1"/>
  <c r="F39" i="7"/>
  <c r="G39" i="7"/>
  <c r="H39" i="7"/>
  <c r="I39" i="7"/>
  <c r="J39" i="7"/>
  <c r="K39" i="7"/>
  <c r="L39" i="7"/>
  <c r="M39" i="7"/>
  <c r="L38" i="7"/>
  <c r="N38" i="7"/>
  <c r="O38" i="7"/>
  <c r="D38" i="7"/>
  <c r="E38" i="7" s="1"/>
  <c r="F38" i="7"/>
  <c r="G38" i="7"/>
  <c r="H38" i="7"/>
  <c r="I38" i="7"/>
  <c r="J38" i="7"/>
  <c r="K38" i="7"/>
  <c r="P38" i="7"/>
  <c r="M38" i="7"/>
  <c r="O37" i="7"/>
  <c r="P37" i="7"/>
  <c r="K37" i="7"/>
  <c r="D37" i="7"/>
  <c r="E37" i="7" s="1"/>
  <c r="F37" i="7"/>
  <c r="G37" i="7"/>
  <c r="H37" i="7"/>
  <c r="I37" i="7"/>
  <c r="J37" i="7"/>
  <c r="L37" i="7"/>
  <c r="M37" i="7"/>
  <c r="N37" i="7"/>
  <c r="N36" i="7"/>
  <c r="O36" i="7"/>
  <c r="P36" i="7"/>
  <c r="D36" i="7"/>
  <c r="E36" i="7" s="1"/>
  <c r="F36" i="7"/>
  <c r="G36" i="7"/>
  <c r="H36" i="7"/>
  <c r="I36" i="7"/>
  <c r="J36" i="7"/>
  <c r="K36" i="7"/>
  <c r="L36" i="7"/>
  <c r="M36" i="7"/>
  <c r="O34" i="7"/>
  <c r="P34" i="7"/>
  <c r="I34" i="7"/>
  <c r="D34" i="7"/>
  <c r="E34" i="7" s="1"/>
  <c r="F34" i="7"/>
  <c r="G34" i="7"/>
  <c r="H34" i="7"/>
  <c r="J34" i="7"/>
  <c r="K34" i="7"/>
  <c r="L34" i="7"/>
  <c r="M34" i="7"/>
  <c r="N34" i="7"/>
  <c r="D33" i="7"/>
  <c r="E33" i="7" s="1"/>
  <c r="F33" i="7"/>
  <c r="G33" i="7"/>
  <c r="H33" i="7"/>
  <c r="I33" i="7"/>
  <c r="J33" i="7"/>
  <c r="K33" i="7"/>
  <c r="L33" i="7"/>
  <c r="M33" i="7"/>
  <c r="N33" i="7"/>
  <c r="O33" i="7"/>
  <c r="P33" i="7"/>
  <c r="G32" i="7"/>
  <c r="D32" i="7"/>
  <c r="E32" i="7" s="1"/>
  <c r="F32" i="7"/>
  <c r="H32" i="7"/>
  <c r="I32" i="7"/>
  <c r="J32" i="7"/>
  <c r="K32" i="7"/>
  <c r="L32" i="7"/>
  <c r="M32" i="7"/>
  <c r="N32" i="7"/>
  <c r="O32" i="7"/>
  <c r="P32" i="7"/>
  <c r="O31" i="7"/>
  <c r="P31" i="7"/>
  <c r="N31" i="7"/>
  <c r="D31" i="7"/>
  <c r="E31" i="7" s="1"/>
  <c r="F31" i="7"/>
  <c r="G31" i="7"/>
  <c r="H31" i="7"/>
  <c r="I31" i="7"/>
  <c r="J31" i="7"/>
  <c r="K31" i="7"/>
  <c r="L31" i="7"/>
  <c r="M31" i="7"/>
  <c r="O30" i="7"/>
  <c r="P30" i="7"/>
  <c r="G30" i="7"/>
  <c r="D30" i="7"/>
  <c r="E30" i="7" s="1"/>
  <c r="F30" i="7"/>
  <c r="H30" i="7"/>
  <c r="I30" i="7"/>
  <c r="J30" i="7"/>
  <c r="K30" i="7"/>
  <c r="L30" i="7"/>
  <c r="M30" i="7"/>
  <c r="N30" i="7"/>
  <c r="L29" i="7"/>
  <c r="N29" i="7"/>
  <c r="O29" i="7"/>
  <c r="D29" i="7"/>
  <c r="E29" i="7" s="1"/>
  <c r="F29" i="7"/>
  <c r="G29" i="7"/>
  <c r="H29" i="7"/>
  <c r="I29" i="7"/>
  <c r="J29" i="7"/>
  <c r="K29" i="7"/>
  <c r="P29" i="7"/>
  <c r="M29" i="7"/>
  <c r="O28" i="7"/>
  <c r="P28" i="7"/>
  <c r="J28" i="7"/>
  <c r="D28" i="7"/>
  <c r="E28" i="7" s="1"/>
  <c r="F28" i="7"/>
  <c r="G28" i="7"/>
  <c r="H28" i="7"/>
  <c r="I28" i="7"/>
  <c r="K28" i="7"/>
  <c r="L28" i="7"/>
  <c r="M28" i="7"/>
  <c r="N28" i="7"/>
  <c r="N27" i="7"/>
  <c r="O27" i="7"/>
  <c r="P27" i="7"/>
  <c r="D27" i="7"/>
  <c r="E27" i="7" s="1"/>
  <c r="F27" i="7"/>
  <c r="G27" i="7"/>
  <c r="H27" i="7"/>
  <c r="I27" i="7"/>
  <c r="J27" i="7"/>
  <c r="K27" i="7"/>
  <c r="L27" i="7"/>
  <c r="M27" i="7"/>
  <c r="N26" i="7"/>
  <c r="O26" i="7"/>
  <c r="P26" i="7"/>
  <c r="D26" i="7"/>
  <c r="E26" i="7" s="1"/>
  <c r="F26" i="7"/>
  <c r="G26" i="7"/>
  <c r="H26" i="7"/>
  <c r="I26" i="7"/>
  <c r="J26" i="7"/>
  <c r="K26" i="7"/>
  <c r="L26" i="7"/>
  <c r="M26" i="7"/>
  <c r="D25" i="7"/>
  <c r="E25" i="7" s="1"/>
  <c r="F25" i="7"/>
  <c r="G25" i="7"/>
  <c r="H25" i="7"/>
  <c r="I25" i="7"/>
  <c r="J25" i="7"/>
  <c r="K25" i="7"/>
  <c r="L25" i="7"/>
  <c r="M25" i="7"/>
  <c r="N25" i="7"/>
  <c r="O25" i="7"/>
  <c r="P25" i="7"/>
  <c r="H24" i="7"/>
  <c r="F24" i="7"/>
  <c r="G24" i="7"/>
  <c r="D24" i="7"/>
  <c r="E24" i="7" s="1"/>
  <c r="I24" i="7"/>
  <c r="J24" i="7"/>
  <c r="K24" i="7"/>
  <c r="L24" i="7"/>
  <c r="M24" i="7"/>
  <c r="N24" i="7"/>
  <c r="O24" i="7"/>
  <c r="P24" i="7"/>
  <c r="O23" i="7"/>
  <c r="P23" i="7"/>
  <c r="N23" i="7"/>
  <c r="D23" i="7"/>
  <c r="E23" i="7" s="1"/>
  <c r="F23" i="7"/>
  <c r="G23" i="7"/>
  <c r="H23" i="7"/>
  <c r="I23" i="7"/>
  <c r="J23" i="7"/>
  <c r="K23" i="7"/>
  <c r="L23" i="7"/>
  <c r="M23" i="7"/>
  <c r="N22" i="7"/>
  <c r="O22" i="7"/>
  <c r="P22" i="7"/>
  <c r="D22" i="7"/>
  <c r="E22" i="7" s="1"/>
  <c r="F22" i="7"/>
  <c r="G22" i="7"/>
  <c r="H22" i="7"/>
  <c r="I22" i="7"/>
  <c r="J22" i="7"/>
  <c r="K22" i="7"/>
  <c r="L22" i="7"/>
  <c r="M22" i="7"/>
  <c r="L21" i="7"/>
  <c r="N21" i="7"/>
  <c r="O21" i="7"/>
  <c r="D21" i="7"/>
  <c r="E21" i="7" s="1"/>
  <c r="F21" i="7"/>
  <c r="G21" i="7"/>
  <c r="H21" i="7"/>
  <c r="I21" i="7"/>
  <c r="J21" i="7"/>
  <c r="K21" i="7"/>
  <c r="P21" i="7"/>
  <c r="M21" i="7"/>
  <c r="O20" i="7"/>
  <c r="P20" i="7"/>
  <c r="M20" i="7"/>
  <c r="D20" i="7"/>
  <c r="E20" i="7" s="1"/>
  <c r="F20" i="7"/>
  <c r="G20" i="7"/>
  <c r="H20" i="7"/>
  <c r="I20" i="7"/>
  <c r="J20" i="7"/>
  <c r="K20" i="7"/>
  <c r="L20" i="7"/>
  <c r="N20" i="7"/>
  <c r="N19" i="7"/>
  <c r="O19" i="7"/>
  <c r="P19" i="7"/>
  <c r="D19" i="7"/>
  <c r="E19" i="7" s="1"/>
  <c r="F19" i="7"/>
  <c r="G19" i="7"/>
  <c r="H19" i="7"/>
  <c r="I19" i="7"/>
  <c r="J19" i="7"/>
  <c r="K19" i="7"/>
  <c r="L19" i="7"/>
  <c r="M19" i="7"/>
  <c r="O18" i="7"/>
  <c r="P18" i="7"/>
  <c r="L18" i="7"/>
  <c r="D18" i="7"/>
  <c r="E18" i="7" s="1"/>
  <c r="F18" i="7"/>
  <c r="G18" i="7"/>
  <c r="H18" i="7"/>
  <c r="I18" i="7"/>
  <c r="J18" i="7"/>
  <c r="K18" i="7"/>
  <c r="M18" i="7"/>
  <c r="N18" i="7"/>
  <c r="D17" i="7"/>
  <c r="E17" i="7" s="1"/>
  <c r="F17" i="7"/>
  <c r="G17" i="7"/>
  <c r="H17" i="7"/>
  <c r="I17" i="7"/>
  <c r="J17" i="7"/>
  <c r="K17" i="7"/>
  <c r="L17" i="7"/>
  <c r="M17" i="7"/>
  <c r="N17" i="7"/>
  <c r="O17" i="7"/>
  <c r="P17" i="7"/>
  <c r="H16" i="7"/>
  <c r="F16" i="7"/>
  <c r="G16" i="7"/>
  <c r="D16" i="7"/>
  <c r="E16" i="7" s="1"/>
  <c r="I16" i="7"/>
  <c r="J16" i="7"/>
  <c r="K16" i="7"/>
  <c r="L16" i="7"/>
  <c r="M16" i="7"/>
  <c r="N16" i="7"/>
  <c r="O16" i="7"/>
  <c r="P16" i="7"/>
  <c r="N15" i="7"/>
  <c r="O15" i="7"/>
  <c r="P15" i="7"/>
  <c r="D15" i="7"/>
  <c r="E15" i="7" s="1"/>
  <c r="F15" i="7"/>
  <c r="G15" i="7"/>
  <c r="H15" i="7"/>
  <c r="I15" i="7"/>
  <c r="J15" i="7"/>
  <c r="K15" i="7"/>
  <c r="L15" i="7"/>
  <c r="M15" i="7"/>
  <c r="N14" i="7"/>
  <c r="O14" i="7"/>
  <c r="P14" i="7"/>
  <c r="D14" i="7"/>
  <c r="E14" i="7" s="1"/>
  <c r="F14" i="7"/>
  <c r="G14" i="7"/>
  <c r="H14" i="7"/>
  <c r="I14" i="7"/>
  <c r="J14" i="7"/>
  <c r="K14" i="7"/>
  <c r="L14" i="7"/>
  <c r="M14" i="7"/>
  <c r="M13" i="7"/>
  <c r="N13" i="7"/>
  <c r="O13" i="7"/>
  <c r="D13" i="7"/>
  <c r="E13" i="7" s="1"/>
  <c r="F13" i="7"/>
  <c r="G13" i="7"/>
  <c r="H13" i="7"/>
  <c r="I13" i="7"/>
  <c r="J13" i="7"/>
  <c r="K13" i="7"/>
  <c r="L13" i="7"/>
  <c r="P13" i="7"/>
  <c r="O12" i="7"/>
  <c r="P12" i="7"/>
  <c r="L12" i="7"/>
  <c r="D12" i="7"/>
  <c r="E12" i="7" s="1"/>
  <c r="F12" i="7"/>
  <c r="G12" i="7"/>
  <c r="H12" i="7"/>
  <c r="I12" i="7"/>
  <c r="J12" i="7"/>
  <c r="K12" i="7"/>
  <c r="M12" i="7"/>
  <c r="N12" i="7"/>
  <c r="N11" i="7"/>
  <c r="O11" i="7"/>
  <c r="P11" i="7"/>
  <c r="D11" i="7"/>
  <c r="E11" i="7" s="1"/>
  <c r="F11" i="7"/>
  <c r="G11" i="7"/>
  <c r="H11" i="7"/>
  <c r="I11" i="7"/>
  <c r="J11" i="7"/>
  <c r="K11" i="7"/>
  <c r="L11" i="7"/>
  <c r="M11" i="7"/>
  <c r="N10" i="7"/>
  <c r="O10" i="7"/>
  <c r="P10" i="7"/>
  <c r="D10" i="7"/>
  <c r="E10" i="7" s="1"/>
  <c r="F10" i="7"/>
  <c r="G10" i="7"/>
  <c r="H10" i="7"/>
  <c r="I10" i="7"/>
  <c r="J10" i="7"/>
  <c r="K10" i="7"/>
  <c r="L10" i="7"/>
  <c r="M10" i="7"/>
  <c r="F9" i="7"/>
  <c r="N9" i="7"/>
  <c r="O9" i="7"/>
  <c r="D9" i="7"/>
  <c r="E9" i="7" s="1"/>
  <c r="K9" i="7"/>
  <c r="G9" i="7"/>
  <c r="H9" i="7"/>
  <c r="I9" i="7"/>
  <c r="J9" i="7"/>
  <c r="P9" i="7"/>
  <c r="L9" i="7"/>
  <c r="M9" i="7"/>
  <c r="N8" i="7"/>
  <c r="O8" i="7"/>
  <c r="P8" i="7"/>
  <c r="D8" i="7"/>
  <c r="E8" i="7" s="1"/>
  <c r="F8" i="7"/>
  <c r="G8" i="7"/>
  <c r="H8" i="7"/>
  <c r="I8" i="7"/>
  <c r="J8" i="7"/>
  <c r="K8" i="7"/>
  <c r="L8" i="7"/>
  <c r="M8" i="7"/>
  <c r="D7" i="7"/>
  <c r="E7" i="7" s="1"/>
  <c r="F7" i="7"/>
  <c r="G7" i="7"/>
  <c r="H7" i="7"/>
  <c r="I7" i="7"/>
  <c r="J7" i="7"/>
  <c r="K7" i="7"/>
  <c r="L7" i="7"/>
  <c r="M7" i="7"/>
  <c r="N7" i="7"/>
  <c r="O7" i="7"/>
  <c r="P7" i="7"/>
  <c r="E4" i="6"/>
  <c r="H4" i="6"/>
  <c r="L4" i="6"/>
  <c r="N4" i="6"/>
  <c r="Q4" i="6"/>
  <c r="R4" i="6"/>
  <c r="B4" i="6"/>
  <c r="D4" i="6"/>
  <c r="G4" i="6"/>
  <c r="J4" i="6"/>
  <c r="K4" i="6"/>
  <c r="O4" i="6"/>
  <c r="C4" i="6"/>
  <c r="F4" i="6"/>
  <c r="I4" i="6"/>
  <c r="M4" i="6"/>
  <c r="P4" i="6"/>
  <c r="B153" i="6"/>
  <c r="C153" i="6"/>
  <c r="D153" i="6"/>
  <c r="E153" i="6"/>
  <c r="F153" i="6"/>
  <c r="G153" i="6"/>
  <c r="H153" i="6"/>
  <c r="I153" i="6"/>
  <c r="J153" i="6"/>
  <c r="K153" i="6"/>
  <c r="L153" i="6"/>
  <c r="M153" i="6"/>
  <c r="N153" i="6"/>
  <c r="O153" i="6"/>
  <c r="P153" i="6"/>
  <c r="Q153" i="6"/>
  <c r="R153" i="6"/>
  <c r="B152" i="6"/>
  <c r="C152" i="6"/>
  <c r="D152" i="6"/>
  <c r="E152" i="6"/>
  <c r="F152" i="6"/>
  <c r="G152" i="6"/>
  <c r="H152" i="6"/>
  <c r="I152" i="6"/>
  <c r="J152" i="6"/>
  <c r="K152" i="6"/>
  <c r="L152" i="6"/>
  <c r="M152" i="6"/>
  <c r="N152" i="6"/>
  <c r="O152" i="6"/>
  <c r="P152" i="6"/>
  <c r="Q152" i="6"/>
  <c r="R152" i="6"/>
  <c r="B151" i="6"/>
  <c r="C151" i="6"/>
  <c r="D151" i="6"/>
  <c r="E151" i="6"/>
  <c r="F151" i="6"/>
  <c r="G151" i="6"/>
  <c r="H151" i="6"/>
  <c r="I151" i="6"/>
  <c r="J151" i="6"/>
  <c r="K151" i="6"/>
  <c r="L151" i="6"/>
  <c r="M151" i="6"/>
  <c r="N151" i="6"/>
  <c r="O151" i="6"/>
  <c r="P151" i="6"/>
  <c r="Q151" i="6"/>
  <c r="R151" i="6"/>
  <c r="B150" i="6"/>
  <c r="C150" i="6"/>
  <c r="D150" i="6"/>
  <c r="E150" i="6"/>
  <c r="F150" i="6"/>
  <c r="G150" i="6"/>
  <c r="H150" i="6"/>
  <c r="I150" i="6"/>
  <c r="J150" i="6"/>
  <c r="K150" i="6"/>
  <c r="L150" i="6"/>
  <c r="M150" i="6"/>
  <c r="N150" i="6"/>
  <c r="O150" i="6"/>
  <c r="P150" i="6"/>
  <c r="Q150" i="6"/>
  <c r="R150" i="6"/>
  <c r="B149" i="6"/>
  <c r="C149" i="6"/>
  <c r="D149" i="6"/>
  <c r="E149" i="6"/>
  <c r="F149" i="6"/>
  <c r="G149" i="6"/>
  <c r="H149" i="6"/>
  <c r="I149" i="6"/>
  <c r="J149" i="6"/>
  <c r="K149" i="6"/>
  <c r="L149" i="6"/>
  <c r="M149" i="6"/>
  <c r="N149" i="6"/>
  <c r="O149" i="6"/>
  <c r="P149" i="6"/>
  <c r="Q149" i="6"/>
  <c r="R149" i="6"/>
  <c r="B148" i="6"/>
  <c r="C148" i="6"/>
  <c r="D148" i="6"/>
  <c r="E148" i="6"/>
  <c r="F148" i="6"/>
  <c r="G148" i="6"/>
  <c r="H148" i="6"/>
  <c r="I148" i="6"/>
  <c r="J148" i="6"/>
  <c r="K148" i="6"/>
  <c r="L148" i="6"/>
  <c r="M148" i="6"/>
  <c r="N148" i="6"/>
  <c r="O148" i="6"/>
  <c r="P148" i="6"/>
  <c r="Q148" i="6"/>
  <c r="R148" i="6"/>
  <c r="B147" i="6"/>
  <c r="C147" i="6"/>
  <c r="D147" i="6"/>
  <c r="E147" i="6"/>
  <c r="F147" i="6"/>
  <c r="G147" i="6"/>
  <c r="H147" i="6"/>
  <c r="I147" i="6"/>
  <c r="J147" i="6"/>
  <c r="K147" i="6"/>
  <c r="L147" i="6"/>
  <c r="M147" i="6"/>
  <c r="N147" i="6"/>
  <c r="O147" i="6"/>
  <c r="P147" i="6"/>
  <c r="Q147" i="6"/>
  <c r="R147" i="6"/>
  <c r="B146" i="6"/>
  <c r="C146" i="6"/>
  <c r="D146" i="6"/>
  <c r="E146" i="6"/>
  <c r="F146" i="6"/>
  <c r="G146" i="6"/>
  <c r="H146" i="6"/>
  <c r="I146" i="6"/>
  <c r="J146" i="6"/>
  <c r="K146" i="6"/>
  <c r="L146" i="6"/>
  <c r="M146" i="6"/>
  <c r="N146" i="6"/>
  <c r="O146" i="6"/>
  <c r="P146" i="6"/>
  <c r="Q146" i="6"/>
  <c r="R146" i="6"/>
  <c r="B145" i="6"/>
  <c r="C145" i="6"/>
  <c r="D145" i="6"/>
  <c r="E145" i="6"/>
  <c r="F145" i="6"/>
  <c r="G145" i="6"/>
  <c r="H145" i="6"/>
  <c r="I145" i="6"/>
  <c r="J145" i="6"/>
  <c r="K145" i="6"/>
  <c r="L145" i="6"/>
  <c r="M145" i="6"/>
  <c r="N145" i="6"/>
  <c r="O145" i="6"/>
  <c r="P145" i="6"/>
  <c r="Q145" i="6"/>
  <c r="R145" i="6"/>
  <c r="B144" i="6"/>
  <c r="C144" i="6"/>
  <c r="D144" i="6"/>
  <c r="E144" i="6"/>
  <c r="F144" i="6"/>
  <c r="G144" i="6"/>
  <c r="H144" i="6"/>
  <c r="I144" i="6"/>
  <c r="J144" i="6"/>
  <c r="K144" i="6"/>
  <c r="L144" i="6"/>
  <c r="M144" i="6"/>
  <c r="N144" i="6"/>
  <c r="O144" i="6"/>
  <c r="P144" i="6"/>
  <c r="Q144" i="6"/>
  <c r="R144" i="6"/>
  <c r="B143" i="6"/>
  <c r="C143" i="6"/>
  <c r="D143" i="6"/>
  <c r="E143" i="6"/>
  <c r="F143" i="6"/>
  <c r="G143" i="6"/>
  <c r="H143" i="6"/>
  <c r="I143" i="6"/>
  <c r="J143" i="6"/>
  <c r="K143" i="6"/>
  <c r="L143" i="6"/>
  <c r="M143" i="6"/>
  <c r="N143" i="6"/>
  <c r="O143" i="6"/>
  <c r="P143" i="6"/>
  <c r="Q143" i="6"/>
  <c r="R143" i="6"/>
  <c r="B142" i="6"/>
  <c r="C142" i="6"/>
  <c r="D142" i="6"/>
  <c r="E142" i="6"/>
  <c r="F142" i="6"/>
  <c r="G142" i="6"/>
  <c r="H142" i="6"/>
  <c r="I142" i="6"/>
  <c r="J142" i="6"/>
  <c r="K142" i="6"/>
  <c r="L142" i="6"/>
  <c r="M142" i="6"/>
  <c r="N142" i="6"/>
  <c r="O142" i="6"/>
  <c r="P142" i="6"/>
  <c r="Q142" i="6"/>
  <c r="R142" i="6"/>
  <c r="B141" i="6"/>
  <c r="C141" i="6"/>
  <c r="D141" i="6"/>
  <c r="E141" i="6"/>
  <c r="F141" i="6"/>
  <c r="G141" i="6"/>
  <c r="H141" i="6"/>
  <c r="I141" i="6"/>
  <c r="J141" i="6"/>
  <c r="K141" i="6"/>
  <c r="L141" i="6"/>
  <c r="M141" i="6"/>
  <c r="N141" i="6"/>
  <c r="O141" i="6"/>
  <c r="P141" i="6"/>
  <c r="Q141" i="6"/>
  <c r="R141" i="6"/>
  <c r="B140" i="6"/>
  <c r="C140" i="6"/>
  <c r="D140" i="6"/>
  <c r="E140" i="6"/>
  <c r="F140" i="6"/>
  <c r="G140" i="6"/>
  <c r="H140" i="6"/>
  <c r="I140" i="6"/>
  <c r="J140" i="6"/>
  <c r="K140" i="6"/>
  <c r="L140" i="6"/>
  <c r="M140" i="6"/>
  <c r="N140" i="6"/>
  <c r="O140" i="6"/>
  <c r="P140" i="6"/>
  <c r="Q140" i="6"/>
  <c r="R140" i="6"/>
  <c r="B139" i="6"/>
  <c r="C139" i="6"/>
  <c r="D139" i="6"/>
  <c r="E139" i="6"/>
  <c r="F139" i="6"/>
  <c r="G139" i="6"/>
  <c r="H139" i="6"/>
  <c r="I139" i="6"/>
  <c r="J139" i="6"/>
  <c r="K139" i="6"/>
  <c r="L139" i="6"/>
  <c r="M139" i="6"/>
  <c r="N139" i="6"/>
  <c r="O139" i="6"/>
  <c r="P139" i="6"/>
  <c r="Q139" i="6"/>
  <c r="R139" i="6"/>
  <c r="B138" i="6"/>
  <c r="C138" i="6"/>
  <c r="D138" i="6"/>
  <c r="E138" i="6"/>
  <c r="F138" i="6"/>
  <c r="G138" i="6"/>
  <c r="H138" i="6"/>
  <c r="I138" i="6"/>
  <c r="J138" i="6"/>
  <c r="K138" i="6"/>
  <c r="L138" i="6"/>
  <c r="M138" i="6"/>
  <c r="N138" i="6"/>
  <c r="O138" i="6"/>
  <c r="P138" i="6"/>
  <c r="Q138" i="6"/>
  <c r="R138" i="6"/>
  <c r="B137" i="6"/>
  <c r="C137" i="6"/>
  <c r="D137" i="6"/>
  <c r="E137" i="6"/>
  <c r="F137" i="6"/>
  <c r="G137" i="6"/>
  <c r="H137" i="6"/>
  <c r="I137" i="6"/>
  <c r="J137" i="6"/>
  <c r="K137" i="6"/>
  <c r="L137" i="6"/>
  <c r="M137" i="6"/>
  <c r="N137" i="6"/>
  <c r="O137" i="6"/>
  <c r="P137" i="6"/>
  <c r="Q137" i="6"/>
  <c r="R137" i="6"/>
  <c r="B135" i="6"/>
  <c r="C135" i="6"/>
  <c r="D135" i="6"/>
  <c r="E135" i="6"/>
  <c r="F135" i="6"/>
  <c r="G135" i="6"/>
  <c r="H135" i="6"/>
  <c r="I135" i="6"/>
  <c r="J135" i="6"/>
  <c r="K135" i="6"/>
  <c r="L135" i="6"/>
  <c r="M135" i="6"/>
  <c r="N135" i="6"/>
  <c r="O135" i="6"/>
  <c r="P135" i="6"/>
  <c r="Q135" i="6"/>
  <c r="R135" i="6"/>
  <c r="B134" i="6"/>
  <c r="C134" i="6"/>
  <c r="D134" i="6"/>
  <c r="E134" i="6"/>
  <c r="F134" i="6"/>
  <c r="G134" i="6"/>
  <c r="H134" i="6"/>
  <c r="I134" i="6"/>
  <c r="J134" i="6"/>
  <c r="K134" i="6"/>
  <c r="L134" i="6"/>
  <c r="M134" i="6"/>
  <c r="N134" i="6"/>
  <c r="O134" i="6"/>
  <c r="P134" i="6"/>
  <c r="Q134" i="6"/>
  <c r="R134" i="6"/>
  <c r="B131" i="6"/>
  <c r="C131" i="6"/>
  <c r="D131" i="6"/>
  <c r="E131" i="6"/>
  <c r="F131" i="6"/>
  <c r="G131" i="6"/>
  <c r="H131" i="6"/>
  <c r="I131" i="6"/>
  <c r="J131" i="6"/>
  <c r="K131" i="6"/>
  <c r="L131" i="6"/>
  <c r="M131" i="6"/>
  <c r="N131" i="6"/>
  <c r="O131" i="6"/>
  <c r="P131" i="6"/>
  <c r="Q131" i="6"/>
  <c r="R131" i="6"/>
  <c r="B128" i="6"/>
  <c r="C128" i="6"/>
  <c r="D128" i="6"/>
  <c r="E128" i="6"/>
  <c r="F128" i="6"/>
  <c r="G128" i="6"/>
  <c r="H128" i="6"/>
  <c r="I128" i="6"/>
  <c r="J128" i="6"/>
  <c r="K128" i="6"/>
  <c r="L128" i="6"/>
  <c r="M128" i="6"/>
  <c r="N128" i="6"/>
  <c r="O128" i="6"/>
  <c r="P128" i="6"/>
  <c r="Q128" i="6"/>
  <c r="R128" i="6"/>
  <c r="B127" i="6"/>
  <c r="C127" i="6"/>
  <c r="D127" i="6"/>
  <c r="E127" i="6"/>
  <c r="F127" i="6"/>
  <c r="G127" i="6"/>
  <c r="H127" i="6"/>
  <c r="I127" i="6"/>
  <c r="J127" i="6"/>
  <c r="K127" i="6"/>
  <c r="L127" i="6"/>
  <c r="M127" i="6"/>
  <c r="N127" i="6"/>
  <c r="O127" i="6"/>
  <c r="P127" i="6"/>
  <c r="Q127" i="6"/>
  <c r="R127" i="6"/>
  <c r="B125" i="6"/>
  <c r="C125" i="6"/>
  <c r="D125" i="6"/>
  <c r="E125" i="6"/>
  <c r="F125" i="6"/>
  <c r="G125" i="6"/>
  <c r="H125" i="6"/>
  <c r="I125" i="6"/>
  <c r="J125" i="6"/>
  <c r="K125" i="6"/>
  <c r="L125" i="6"/>
  <c r="M125" i="6"/>
  <c r="N125" i="6"/>
  <c r="O125" i="6"/>
  <c r="P125" i="6"/>
  <c r="Q125" i="6"/>
  <c r="R125" i="6"/>
  <c r="B122" i="6"/>
  <c r="C122" i="6"/>
  <c r="D122" i="6"/>
  <c r="E122" i="6"/>
  <c r="F122" i="6"/>
  <c r="G122" i="6"/>
  <c r="H122" i="6"/>
  <c r="I122" i="6"/>
  <c r="J122" i="6"/>
  <c r="K122" i="6"/>
  <c r="L122" i="6"/>
  <c r="M122" i="6"/>
  <c r="N122" i="6"/>
  <c r="O122" i="6"/>
  <c r="P122" i="6"/>
  <c r="Q122" i="6"/>
  <c r="R122" i="6"/>
  <c r="B120" i="6"/>
  <c r="C120" i="6"/>
  <c r="D120" i="6"/>
  <c r="E120" i="6"/>
  <c r="F120" i="6"/>
  <c r="G120" i="6"/>
  <c r="H120" i="6"/>
  <c r="I120" i="6"/>
  <c r="J120" i="6"/>
  <c r="K120" i="6"/>
  <c r="L120" i="6"/>
  <c r="M120" i="6"/>
  <c r="N120" i="6"/>
  <c r="O120" i="6"/>
  <c r="P120" i="6"/>
  <c r="Q120" i="6"/>
  <c r="R120" i="6"/>
  <c r="B119" i="6"/>
  <c r="C119" i="6"/>
  <c r="D119" i="6"/>
  <c r="E119" i="6"/>
  <c r="F119" i="6"/>
  <c r="G119" i="6"/>
  <c r="H119" i="6"/>
  <c r="I119" i="6"/>
  <c r="J119" i="6"/>
  <c r="K119" i="6"/>
  <c r="L119" i="6"/>
  <c r="M119" i="6"/>
  <c r="N119" i="6"/>
  <c r="O119" i="6"/>
  <c r="P119" i="6"/>
  <c r="Q119" i="6"/>
  <c r="R119" i="6"/>
  <c r="B117" i="6"/>
  <c r="C117" i="6"/>
  <c r="D117" i="6"/>
  <c r="E117" i="6"/>
  <c r="F117" i="6"/>
  <c r="G117" i="6"/>
  <c r="H117" i="6"/>
  <c r="I117" i="6"/>
  <c r="J117" i="6"/>
  <c r="K117" i="6"/>
  <c r="L117" i="6"/>
  <c r="M117" i="6"/>
  <c r="N117" i="6"/>
  <c r="O117" i="6"/>
  <c r="P117" i="6"/>
  <c r="Q117" i="6"/>
  <c r="R117" i="6"/>
  <c r="B116" i="6"/>
  <c r="C116" i="6"/>
  <c r="D116" i="6"/>
  <c r="E116" i="6"/>
  <c r="F116" i="6"/>
  <c r="G116" i="6"/>
  <c r="H116" i="6"/>
  <c r="I116" i="6"/>
  <c r="J116" i="6"/>
  <c r="K116" i="6"/>
  <c r="L116" i="6"/>
  <c r="M116" i="6"/>
  <c r="N116" i="6"/>
  <c r="O116" i="6"/>
  <c r="P116" i="6"/>
  <c r="Q116" i="6"/>
  <c r="R116" i="6"/>
  <c r="B115" i="6"/>
  <c r="C115" i="6"/>
  <c r="D115" i="6"/>
  <c r="E115" i="6"/>
  <c r="F115" i="6"/>
  <c r="G115" i="6"/>
  <c r="H115" i="6"/>
  <c r="I115" i="6"/>
  <c r="J115" i="6"/>
  <c r="K115" i="6"/>
  <c r="L115" i="6"/>
  <c r="M115" i="6"/>
  <c r="N115" i="6"/>
  <c r="O115" i="6"/>
  <c r="P115" i="6"/>
  <c r="Q115" i="6"/>
  <c r="R115" i="6"/>
  <c r="B114" i="6"/>
  <c r="C114" i="6"/>
  <c r="D114" i="6"/>
  <c r="E114" i="6"/>
  <c r="F114" i="6"/>
  <c r="G114" i="6"/>
  <c r="H114" i="6"/>
  <c r="I114" i="6"/>
  <c r="J114" i="6"/>
  <c r="K114" i="6"/>
  <c r="L114" i="6"/>
  <c r="M114" i="6"/>
  <c r="N114" i="6"/>
  <c r="O114" i="6"/>
  <c r="P114" i="6"/>
  <c r="Q114" i="6"/>
  <c r="R114" i="6"/>
  <c r="B113" i="6"/>
  <c r="C113" i="6"/>
  <c r="D113" i="6"/>
  <c r="E113" i="6"/>
  <c r="F113" i="6"/>
  <c r="G113" i="6"/>
  <c r="H113" i="6"/>
  <c r="I113" i="6"/>
  <c r="J113" i="6"/>
  <c r="K113" i="6"/>
  <c r="L113" i="6"/>
  <c r="M113" i="6"/>
  <c r="N113" i="6"/>
  <c r="O113" i="6"/>
  <c r="P113" i="6"/>
  <c r="Q113" i="6"/>
  <c r="R113" i="6"/>
  <c r="B109" i="6"/>
  <c r="C109" i="6"/>
  <c r="D109" i="6"/>
  <c r="E109" i="6"/>
  <c r="F109" i="6"/>
  <c r="G109" i="6"/>
  <c r="H109" i="6"/>
  <c r="I109" i="6"/>
  <c r="J109" i="6"/>
  <c r="K109" i="6"/>
  <c r="L109" i="6"/>
  <c r="M109" i="6"/>
  <c r="N109" i="6"/>
  <c r="O109" i="6"/>
  <c r="P109" i="6"/>
  <c r="Q109" i="6"/>
  <c r="R109" i="6"/>
  <c r="B108" i="6"/>
  <c r="C108" i="6"/>
  <c r="D108" i="6"/>
  <c r="E108" i="6"/>
  <c r="F108" i="6"/>
  <c r="G108" i="6"/>
  <c r="H108" i="6"/>
  <c r="I108" i="6"/>
  <c r="J108" i="6"/>
  <c r="K108" i="6"/>
  <c r="L108" i="6"/>
  <c r="M108" i="6"/>
  <c r="N108" i="6"/>
  <c r="O108" i="6"/>
  <c r="P108" i="6"/>
  <c r="Q108" i="6"/>
  <c r="R108" i="6"/>
  <c r="B107" i="6"/>
  <c r="C107" i="6"/>
  <c r="D107" i="6"/>
  <c r="E107" i="6"/>
  <c r="F107" i="6"/>
  <c r="G107" i="6"/>
  <c r="H107" i="6"/>
  <c r="I107" i="6"/>
  <c r="J107" i="6"/>
  <c r="K107" i="6"/>
  <c r="L107" i="6"/>
  <c r="M107" i="6"/>
  <c r="N107" i="6"/>
  <c r="O107" i="6"/>
  <c r="P107" i="6"/>
  <c r="Q107" i="6"/>
  <c r="R107" i="6"/>
  <c r="B106" i="6"/>
  <c r="C106" i="6"/>
  <c r="D106" i="6"/>
  <c r="E106" i="6"/>
  <c r="F106" i="6"/>
  <c r="G106" i="6"/>
  <c r="H106" i="6"/>
  <c r="I106" i="6"/>
  <c r="J106" i="6"/>
  <c r="K106" i="6"/>
  <c r="L106" i="6"/>
  <c r="M106" i="6"/>
  <c r="N106" i="6"/>
  <c r="O106" i="6"/>
  <c r="P106" i="6"/>
  <c r="Q106" i="6"/>
  <c r="R106" i="6"/>
  <c r="B105" i="6"/>
  <c r="C105" i="6"/>
  <c r="D105" i="6"/>
  <c r="E105" i="6"/>
  <c r="F105" i="6"/>
  <c r="G105" i="6"/>
  <c r="H105" i="6"/>
  <c r="I105" i="6"/>
  <c r="J105" i="6"/>
  <c r="K105" i="6"/>
  <c r="L105" i="6"/>
  <c r="M105" i="6"/>
  <c r="N105" i="6"/>
  <c r="O105" i="6"/>
  <c r="P105" i="6"/>
  <c r="Q105" i="6"/>
  <c r="R105" i="6"/>
  <c r="B102" i="6"/>
  <c r="C102" i="6"/>
  <c r="D102" i="6"/>
  <c r="E102" i="6"/>
  <c r="F102" i="6"/>
  <c r="G102" i="6"/>
  <c r="H102" i="6"/>
  <c r="I102" i="6"/>
  <c r="J102" i="6"/>
  <c r="K102" i="6"/>
  <c r="L102" i="6"/>
  <c r="M102" i="6"/>
  <c r="N102" i="6"/>
  <c r="O102" i="6"/>
  <c r="P102" i="6"/>
  <c r="Q102" i="6"/>
  <c r="R102" i="6"/>
  <c r="B101" i="6"/>
  <c r="C101" i="6"/>
  <c r="D101" i="6"/>
  <c r="E101" i="6"/>
  <c r="F101" i="6"/>
  <c r="G101" i="6"/>
  <c r="H101" i="6"/>
  <c r="I101" i="6"/>
  <c r="J101" i="6"/>
  <c r="K101" i="6"/>
  <c r="L101" i="6"/>
  <c r="M101" i="6"/>
  <c r="N101" i="6"/>
  <c r="O101" i="6"/>
  <c r="P101" i="6"/>
  <c r="Q101" i="6"/>
  <c r="R101" i="6"/>
  <c r="B99" i="6"/>
  <c r="C99" i="6"/>
  <c r="D99" i="6"/>
  <c r="E99" i="6"/>
  <c r="F99" i="6"/>
  <c r="G99" i="6"/>
  <c r="H99" i="6"/>
  <c r="I99" i="6"/>
  <c r="J99" i="6"/>
  <c r="K99" i="6"/>
  <c r="L99" i="6"/>
  <c r="M99" i="6"/>
  <c r="N99" i="6"/>
  <c r="O99" i="6"/>
  <c r="P99" i="6"/>
  <c r="Q99" i="6"/>
  <c r="R99" i="6"/>
  <c r="B97" i="6"/>
  <c r="C97" i="6"/>
  <c r="D97" i="6"/>
  <c r="E97" i="6"/>
  <c r="F97" i="6"/>
  <c r="G97" i="6"/>
  <c r="H97" i="6"/>
  <c r="I97" i="6"/>
  <c r="J97" i="6"/>
  <c r="K97" i="6"/>
  <c r="L97" i="6"/>
  <c r="M97" i="6"/>
  <c r="N97" i="6"/>
  <c r="O97" i="6"/>
  <c r="P97" i="6"/>
  <c r="Q97" i="6"/>
  <c r="R97" i="6"/>
  <c r="B94" i="6"/>
  <c r="C94" i="6"/>
  <c r="D94" i="6"/>
  <c r="E94" i="6"/>
  <c r="F94" i="6"/>
  <c r="G94" i="6"/>
  <c r="H94" i="6"/>
  <c r="I94" i="6"/>
  <c r="J94" i="6"/>
  <c r="K94" i="6"/>
  <c r="L94" i="6"/>
  <c r="M94" i="6"/>
  <c r="N94" i="6"/>
  <c r="O94" i="6"/>
  <c r="P94" i="6"/>
  <c r="Q94" i="6"/>
  <c r="R94" i="6"/>
  <c r="B93" i="6"/>
  <c r="C93" i="6"/>
  <c r="D93" i="6"/>
  <c r="E93" i="6"/>
  <c r="F93" i="6"/>
  <c r="G93" i="6"/>
  <c r="H93" i="6"/>
  <c r="I93" i="6"/>
  <c r="J93" i="6"/>
  <c r="K93" i="6"/>
  <c r="L93" i="6"/>
  <c r="M93" i="6"/>
  <c r="N93" i="6"/>
  <c r="O93" i="6"/>
  <c r="P93" i="6"/>
  <c r="Q93" i="6"/>
  <c r="R93" i="6"/>
  <c r="B92" i="6"/>
  <c r="C92" i="6"/>
  <c r="D92" i="6"/>
  <c r="E92" i="6"/>
  <c r="F92" i="6"/>
  <c r="G92" i="6"/>
  <c r="H92" i="6"/>
  <c r="I92" i="6"/>
  <c r="J92" i="6"/>
  <c r="K92" i="6"/>
  <c r="L92" i="6"/>
  <c r="M92" i="6"/>
  <c r="N92" i="6"/>
  <c r="O92" i="6"/>
  <c r="P92" i="6"/>
  <c r="Q92" i="6"/>
  <c r="R92" i="6"/>
  <c r="B90" i="6"/>
  <c r="C90" i="6"/>
  <c r="D90" i="6"/>
  <c r="E90" i="6"/>
  <c r="F90" i="6"/>
  <c r="G90" i="6"/>
  <c r="H90" i="6"/>
  <c r="I90" i="6"/>
  <c r="J90" i="6"/>
  <c r="K90" i="6"/>
  <c r="L90" i="6"/>
  <c r="M90" i="6"/>
  <c r="N90" i="6"/>
  <c r="O90" i="6"/>
  <c r="P90" i="6"/>
  <c r="Q90" i="6"/>
  <c r="R90" i="6"/>
  <c r="B136" i="6"/>
  <c r="C136" i="6"/>
  <c r="D136" i="6"/>
  <c r="E136" i="6"/>
  <c r="F136" i="6"/>
  <c r="G136" i="6"/>
  <c r="H136" i="6"/>
  <c r="I136" i="6"/>
  <c r="J136" i="6"/>
  <c r="K136" i="6"/>
  <c r="L136" i="6"/>
  <c r="M136" i="6"/>
  <c r="N136" i="6"/>
  <c r="O136" i="6"/>
  <c r="P136" i="6"/>
  <c r="Q136" i="6"/>
  <c r="R136" i="6"/>
  <c r="B133" i="6"/>
  <c r="C133" i="6"/>
  <c r="D133" i="6"/>
  <c r="E133" i="6"/>
  <c r="F133" i="6"/>
  <c r="G133" i="6"/>
  <c r="H133" i="6"/>
  <c r="I133" i="6"/>
  <c r="J133" i="6"/>
  <c r="K133" i="6"/>
  <c r="L133" i="6"/>
  <c r="M133" i="6"/>
  <c r="N133" i="6"/>
  <c r="O133" i="6"/>
  <c r="P133" i="6"/>
  <c r="Q133" i="6"/>
  <c r="R133" i="6"/>
  <c r="B132" i="6"/>
  <c r="C132" i="6"/>
  <c r="D132" i="6"/>
  <c r="E132" i="6"/>
  <c r="F132" i="6"/>
  <c r="G132" i="6"/>
  <c r="H132" i="6"/>
  <c r="I132" i="6"/>
  <c r="J132" i="6"/>
  <c r="K132" i="6"/>
  <c r="L132" i="6"/>
  <c r="M132" i="6"/>
  <c r="N132" i="6"/>
  <c r="O132" i="6"/>
  <c r="P132" i="6"/>
  <c r="Q132" i="6"/>
  <c r="R132" i="6"/>
  <c r="B130" i="6"/>
  <c r="C130" i="6"/>
  <c r="D130" i="6"/>
  <c r="E130" i="6"/>
  <c r="F130" i="6"/>
  <c r="G130" i="6"/>
  <c r="H130" i="6"/>
  <c r="I130" i="6"/>
  <c r="J130" i="6"/>
  <c r="K130" i="6"/>
  <c r="L130" i="6"/>
  <c r="M130" i="6"/>
  <c r="N130" i="6"/>
  <c r="O130" i="6"/>
  <c r="P130" i="6"/>
  <c r="Q130" i="6"/>
  <c r="R130" i="6"/>
  <c r="B129" i="6"/>
  <c r="C129" i="6"/>
  <c r="D129" i="6"/>
  <c r="E129" i="6"/>
  <c r="F129" i="6"/>
  <c r="G129" i="6"/>
  <c r="H129" i="6"/>
  <c r="I129" i="6"/>
  <c r="J129" i="6"/>
  <c r="K129" i="6"/>
  <c r="L129" i="6"/>
  <c r="M129" i="6"/>
  <c r="N129" i="6"/>
  <c r="O129" i="6"/>
  <c r="P129" i="6"/>
  <c r="Q129" i="6"/>
  <c r="R129" i="6"/>
  <c r="B126" i="6"/>
  <c r="C126" i="6"/>
  <c r="D126" i="6"/>
  <c r="E126" i="6"/>
  <c r="F126" i="6"/>
  <c r="G126" i="6"/>
  <c r="H126" i="6"/>
  <c r="I126" i="6"/>
  <c r="J126" i="6"/>
  <c r="K126" i="6"/>
  <c r="L126" i="6"/>
  <c r="M126" i="6"/>
  <c r="N126" i="6"/>
  <c r="O126" i="6"/>
  <c r="P126" i="6"/>
  <c r="Q126" i="6"/>
  <c r="R126" i="6"/>
  <c r="B124" i="6"/>
  <c r="C124" i="6"/>
  <c r="D124" i="6"/>
  <c r="E124" i="6"/>
  <c r="F124" i="6"/>
  <c r="G124" i="6"/>
  <c r="H124" i="6"/>
  <c r="I124" i="6"/>
  <c r="J124" i="6"/>
  <c r="K124" i="6"/>
  <c r="L124" i="6"/>
  <c r="M124" i="6"/>
  <c r="N124" i="6"/>
  <c r="O124" i="6"/>
  <c r="P124" i="6"/>
  <c r="Q124" i="6"/>
  <c r="R124" i="6"/>
  <c r="B123" i="6"/>
  <c r="C123" i="6"/>
  <c r="D123" i="6"/>
  <c r="E123" i="6"/>
  <c r="F123" i="6"/>
  <c r="G123" i="6"/>
  <c r="H123" i="6"/>
  <c r="I123" i="6"/>
  <c r="J123" i="6"/>
  <c r="K123" i="6"/>
  <c r="L123" i="6"/>
  <c r="M123" i="6"/>
  <c r="N123" i="6"/>
  <c r="O123" i="6"/>
  <c r="P123" i="6"/>
  <c r="Q123" i="6"/>
  <c r="R123" i="6"/>
  <c r="B121" i="6"/>
  <c r="C121" i="6"/>
  <c r="D121" i="6"/>
  <c r="E121" i="6"/>
  <c r="F121" i="6"/>
  <c r="G121" i="6"/>
  <c r="H121" i="6"/>
  <c r="I121" i="6"/>
  <c r="J121" i="6"/>
  <c r="K121" i="6"/>
  <c r="L121" i="6"/>
  <c r="M121" i="6"/>
  <c r="N121" i="6"/>
  <c r="O121" i="6"/>
  <c r="P121" i="6"/>
  <c r="Q121" i="6"/>
  <c r="R121" i="6"/>
  <c r="B118" i="6"/>
  <c r="C118" i="6"/>
  <c r="D118" i="6"/>
  <c r="E118" i="6"/>
  <c r="F118" i="6"/>
  <c r="G118" i="6"/>
  <c r="H118" i="6"/>
  <c r="I118" i="6"/>
  <c r="J118" i="6"/>
  <c r="K118" i="6"/>
  <c r="L118" i="6"/>
  <c r="M118" i="6"/>
  <c r="N118" i="6"/>
  <c r="O118" i="6"/>
  <c r="P118" i="6"/>
  <c r="Q118" i="6"/>
  <c r="R118" i="6"/>
  <c r="B112" i="6"/>
  <c r="C112" i="6"/>
  <c r="D112" i="6"/>
  <c r="E112" i="6"/>
  <c r="F112" i="6"/>
  <c r="G112" i="6"/>
  <c r="H112" i="6"/>
  <c r="I112" i="6"/>
  <c r="J112" i="6"/>
  <c r="K112" i="6"/>
  <c r="L112" i="6"/>
  <c r="M112" i="6"/>
  <c r="N112" i="6"/>
  <c r="O112" i="6"/>
  <c r="P112" i="6"/>
  <c r="Q112" i="6"/>
  <c r="R112" i="6"/>
  <c r="B111" i="6"/>
  <c r="C111" i="6"/>
  <c r="D111" i="6"/>
  <c r="E111" i="6"/>
  <c r="F111" i="6"/>
  <c r="G111" i="6"/>
  <c r="H111" i="6"/>
  <c r="I111" i="6"/>
  <c r="J111" i="6"/>
  <c r="K111" i="6"/>
  <c r="L111" i="6"/>
  <c r="M111" i="6"/>
  <c r="N111" i="6"/>
  <c r="O111" i="6"/>
  <c r="P111" i="6"/>
  <c r="Q111" i="6"/>
  <c r="R111" i="6"/>
  <c r="B110" i="6"/>
  <c r="C110" i="6"/>
  <c r="D110" i="6"/>
  <c r="E110" i="6"/>
  <c r="F110" i="6"/>
  <c r="G110" i="6"/>
  <c r="H110" i="6"/>
  <c r="I110" i="6"/>
  <c r="J110" i="6"/>
  <c r="K110" i="6"/>
  <c r="L110" i="6"/>
  <c r="M110" i="6"/>
  <c r="N110" i="6"/>
  <c r="O110" i="6"/>
  <c r="P110" i="6"/>
  <c r="Q110" i="6"/>
  <c r="R110" i="6"/>
  <c r="B104" i="6"/>
  <c r="C104" i="6"/>
  <c r="D104" i="6"/>
  <c r="E104" i="6"/>
  <c r="F104" i="6"/>
  <c r="G104" i="6"/>
  <c r="H104" i="6"/>
  <c r="I104" i="6"/>
  <c r="J104" i="6"/>
  <c r="K104" i="6"/>
  <c r="L104" i="6"/>
  <c r="M104" i="6"/>
  <c r="N104" i="6"/>
  <c r="O104" i="6"/>
  <c r="P104" i="6"/>
  <c r="Q104" i="6"/>
  <c r="R104" i="6"/>
  <c r="B103" i="6"/>
  <c r="C103" i="6"/>
  <c r="D103" i="6"/>
  <c r="E103" i="6"/>
  <c r="F103" i="6"/>
  <c r="G103" i="6"/>
  <c r="H103" i="6"/>
  <c r="I103" i="6"/>
  <c r="J103" i="6"/>
  <c r="K103" i="6"/>
  <c r="L103" i="6"/>
  <c r="M103" i="6"/>
  <c r="N103" i="6"/>
  <c r="O103" i="6"/>
  <c r="P103" i="6"/>
  <c r="Q103" i="6"/>
  <c r="R103" i="6"/>
  <c r="B100" i="6"/>
  <c r="C100" i="6"/>
  <c r="D100" i="6"/>
  <c r="E100" i="6"/>
  <c r="F100" i="6"/>
  <c r="G100" i="6"/>
  <c r="H100" i="6"/>
  <c r="I100" i="6"/>
  <c r="J100" i="6"/>
  <c r="K100" i="6"/>
  <c r="L100" i="6"/>
  <c r="M100" i="6"/>
  <c r="N100" i="6"/>
  <c r="O100" i="6"/>
  <c r="P100" i="6"/>
  <c r="Q100" i="6"/>
  <c r="R100" i="6"/>
  <c r="B98" i="6"/>
  <c r="C98" i="6"/>
  <c r="D98" i="6"/>
  <c r="E98" i="6"/>
  <c r="F98" i="6"/>
  <c r="G98" i="6"/>
  <c r="H98" i="6"/>
  <c r="I98" i="6"/>
  <c r="J98" i="6"/>
  <c r="K98" i="6"/>
  <c r="L98" i="6"/>
  <c r="M98" i="6"/>
  <c r="N98" i="6"/>
  <c r="O98" i="6"/>
  <c r="P98" i="6"/>
  <c r="Q98" i="6"/>
  <c r="R98" i="6"/>
  <c r="B96" i="6"/>
  <c r="C96" i="6"/>
  <c r="D96" i="6"/>
  <c r="E96" i="6"/>
  <c r="F96" i="6"/>
  <c r="G96" i="6"/>
  <c r="H96" i="6"/>
  <c r="I96" i="6"/>
  <c r="J96" i="6"/>
  <c r="K96" i="6"/>
  <c r="L96" i="6"/>
  <c r="M96" i="6"/>
  <c r="N96" i="6"/>
  <c r="O96" i="6"/>
  <c r="P96" i="6"/>
  <c r="Q96" i="6"/>
  <c r="R96" i="6"/>
  <c r="B95" i="6"/>
  <c r="C95" i="6"/>
  <c r="D95" i="6"/>
  <c r="E95" i="6"/>
  <c r="F95" i="6"/>
  <c r="G95" i="6"/>
  <c r="H95" i="6"/>
  <c r="I95" i="6"/>
  <c r="J95" i="6"/>
  <c r="K95" i="6"/>
  <c r="L95" i="6"/>
  <c r="M95" i="6"/>
  <c r="N95" i="6"/>
  <c r="O95" i="6"/>
  <c r="P95" i="6"/>
  <c r="Q95" i="6"/>
  <c r="R95" i="6"/>
  <c r="B91" i="6"/>
  <c r="C91" i="6"/>
  <c r="D91" i="6"/>
  <c r="E91" i="6"/>
  <c r="F91" i="6"/>
  <c r="G91" i="6"/>
  <c r="H91" i="6"/>
  <c r="I91" i="6"/>
  <c r="J91" i="6"/>
  <c r="K91" i="6"/>
  <c r="L91" i="6"/>
  <c r="M91" i="6"/>
  <c r="N91" i="6"/>
  <c r="O91" i="6"/>
  <c r="P91" i="6"/>
  <c r="Q91" i="6"/>
  <c r="R91" i="6"/>
  <c r="B89" i="6"/>
  <c r="C89" i="6"/>
  <c r="D89" i="6"/>
  <c r="E89" i="6"/>
  <c r="F89" i="6"/>
  <c r="G89" i="6"/>
  <c r="H89" i="6"/>
  <c r="I89" i="6"/>
  <c r="J89" i="6"/>
  <c r="K89" i="6"/>
  <c r="L89" i="6"/>
  <c r="M89" i="6"/>
  <c r="N89" i="6"/>
  <c r="O89" i="6"/>
  <c r="P89" i="6"/>
  <c r="Q89" i="6"/>
  <c r="R89" i="6"/>
  <c r="B88" i="6"/>
  <c r="C88" i="6"/>
  <c r="D88" i="6"/>
  <c r="E88" i="6"/>
  <c r="F88" i="6"/>
  <c r="G88" i="6"/>
  <c r="H88" i="6"/>
  <c r="I88" i="6"/>
  <c r="J88" i="6"/>
  <c r="K88" i="6"/>
  <c r="L88" i="6"/>
  <c r="M88" i="6"/>
  <c r="N88" i="6"/>
  <c r="O88" i="6"/>
  <c r="P88" i="6"/>
  <c r="Q88" i="6"/>
  <c r="R88" i="6"/>
  <c r="B87" i="6"/>
  <c r="C87" i="6"/>
  <c r="D87" i="6"/>
  <c r="E87" i="6"/>
  <c r="F87" i="6"/>
  <c r="G87" i="6"/>
  <c r="H87" i="6"/>
  <c r="I87" i="6"/>
  <c r="J87" i="6"/>
  <c r="K87" i="6"/>
  <c r="L87" i="6"/>
  <c r="M87" i="6"/>
  <c r="N87" i="6"/>
  <c r="O87" i="6"/>
  <c r="P87" i="6"/>
  <c r="Q87" i="6"/>
  <c r="R87" i="6"/>
  <c r="B86" i="6"/>
  <c r="C86" i="6"/>
  <c r="D86" i="6"/>
  <c r="E86" i="6"/>
  <c r="F86" i="6"/>
  <c r="G86" i="6"/>
  <c r="H86" i="6"/>
  <c r="I86" i="6"/>
  <c r="J86" i="6"/>
  <c r="K86" i="6"/>
  <c r="L86" i="6"/>
  <c r="M86" i="6"/>
  <c r="N86" i="6"/>
  <c r="O86" i="6"/>
  <c r="P86" i="6"/>
  <c r="Q86" i="6"/>
  <c r="R86" i="6"/>
  <c r="B85" i="6"/>
  <c r="C85" i="6"/>
  <c r="D85" i="6"/>
  <c r="E85" i="6"/>
  <c r="F85" i="6"/>
  <c r="G85" i="6"/>
  <c r="H85" i="6"/>
  <c r="I85" i="6"/>
  <c r="J85" i="6"/>
  <c r="K85" i="6"/>
  <c r="L85" i="6"/>
  <c r="M85" i="6"/>
  <c r="N85" i="6"/>
  <c r="O85" i="6"/>
  <c r="P85" i="6"/>
  <c r="Q85" i="6"/>
  <c r="R85" i="6"/>
  <c r="B84" i="6"/>
  <c r="C84" i="6"/>
  <c r="D84" i="6"/>
  <c r="E84" i="6"/>
  <c r="F84" i="6"/>
  <c r="G84" i="6"/>
  <c r="H84" i="6"/>
  <c r="I84" i="6"/>
  <c r="J84" i="6"/>
  <c r="K84" i="6"/>
  <c r="L84" i="6"/>
  <c r="M84" i="6"/>
  <c r="N84" i="6"/>
  <c r="O84" i="6"/>
  <c r="P84" i="6"/>
  <c r="Q84" i="6"/>
  <c r="R84" i="6"/>
  <c r="B83" i="6"/>
  <c r="C83" i="6"/>
  <c r="D83" i="6"/>
  <c r="E83" i="6"/>
  <c r="F83" i="6"/>
  <c r="G83" i="6"/>
  <c r="H83" i="6"/>
  <c r="I83" i="6"/>
  <c r="J83" i="6"/>
  <c r="K83" i="6"/>
  <c r="L83" i="6"/>
  <c r="M83" i="6"/>
  <c r="N83" i="6"/>
  <c r="O83" i="6"/>
  <c r="P83" i="6"/>
  <c r="Q83" i="6"/>
  <c r="R83" i="6"/>
  <c r="B82" i="6"/>
  <c r="C82" i="6"/>
  <c r="D82" i="6"/>
  <c r="E82" i="6"/>
  <c r="F82" i="6"/>
  <c r="G82" i="6"/>
  <c r="H82" i="6"/>
  <c r="I82" i="6"/>
  <c r="J82" i="6"/>
  <c r="K82" i="6"/>
  <c r="L82" i="6"/>
  <c r="M82" i="6"/>
  <c r="N82" i="6"/>
  <c r="O82" i="6"/>
  <c r="P82" i="6"/>
  <c r="Q82" i="6"/>
  <c r="R82" i="6"/>
  <c r="B81" i="6"/>
  <c r="C81" i="6"/>
  <c r="D81" i="6"/>
  <c r="E81" i="6"/>
  <c r="F81" i="6"/>
  <c r="G81" i="6"/>
  <c r="H81" i="6"/>
  <c r="I81" i="6"/>
  <c r="J81" i="6"/>
  <c r="K81" i="6"/>
  <c r="L81" i="6"/>
  <c r="M81" i="6"/>
  <c r="N81" i="6"/>
  <c r="O81" i="6"/>
  <c r="P81" i="6"/>
  <c r="Q81" i="6"/>
  <c r="R81" i="6"/>
  <c r="B80" i="6"/>
  <c r="C80" i="6"/>
  <c r="D80" i="6"/>
  <c r="E80" i="6"/>
  <c r="F80" i="6"/>
  <c r="G80" i="6"/>
  <c r="H80" i="6"/>
  <c r="I80" i="6"/>
  <c r="J80" i="6"/>
  <c r="K80" i="6"/>
  <c r="L80" i="6"/>
  <c r="M80" i="6"/>
  <c r="N80" i="6"/>
  <c r="O80" i="6"/>
  <c r="P80" i="6"/>
  <c r="Q80" i="6"/>
  <c r="R80" i="6"/>
  <c r="B79" i="6"/>
  <c r="C79" i="6"/>
  <c r="D79" i="6"/>
  <c r="E79" i="6"/>
  <c r="F79" i="6"/>
  <c r="G79" i="6"/>
  <c r="H79" i="6"/>
  <c r="I79" i="6"/>
  <c r="J79" i="6"/>
  <c r="K79" i="6"/>
  <c r="L79" i="6"/>
  <c r="M79" i="6"/>
  <c r="N79" i="6"/>
  <c r="O79" i="6"/>
  <c r="P79" i="6"/>
  <c r="Q79" i="6"/>
  <c r="R79" i="6"/>
  <c r="B78" i="6"/>
  <c r="C78" i="6"/>
  <c r="D78" i="6"/>
  <c r="E78" i="6"/>
  <c r="F78" i="6"/>
  <c r="G78" i="6"/>
  <c r="H78" i="6"/>
  <c r="I78" i="6"/>
  <c r="J78" i="6"/>
  <c r="K78" i="6"/>
  <c r="L78" i="6"/>
  <c r="M78" i="6"/>
  <c r="N78" i="6"/>
  <c r="O78" i="6"/>
  <c r="P78" i="6"/>
  <c r="Q78" i="6"/>
  <c r="R78" i="6"/>
  <c r="B77" i="6"/>
  <c r="C77" i="6"/>
  <c r="D77" i="6"/>
  <c r="E77" i="6"/>
  <c r="F77" i="6"/>
  <c r="G77" i="6"/>
  <c r="H77" i="6"/>
  <c r="I77" i="6"/>
  <c r="J77" i="6"/>
  <c r="K77" i="6"/>
  <c r="L77" i="6"/>
  <c r="M77" i="6"/>
  <c r="N77" i="6"/>
  <c r="O77" i="6"/>
  <c r="P77" i="6"/>
  <c r="Q77" i="6"/>
  <c r="R77" i="6"/>
  <c r="B76" i="6"/>
  <c r="C76" i="6"/>
  <c r="D76" i="6"/>
  <c r="E76" i="6"/>
  <c r="F76" i="6"/>
  <c r="G76" i="6"/>
  <c r="H76" i="6"/>
  <c r="I76" i="6"/>
  <c r="J76" i="6"/>
  <c r="K76" i="6"/>
  <c r="L76" i="6"/>
  <c r="M76" i="6"/>
  <c r="N76" i="6"/>
  <c r="O76" i="6"/>
  <c r="P76" i="6"/>
  <c r="Q76" i="6"/>
  <c r="R76" i="6"/>
  <c r="B75" i="6"/>
  <c r="C75" i="6"/>
  <c r="D75" i="6"/>
  <c r="E75" i="6"/>
  <c r="F75" i="6"/>
  <c r="G75" i="6"/>
  <c r="H75" i="6"/>
  <c r="I75" i="6"/>
  <c r="J75" i="6"/>
  <c r="K75" i="6"/>
  <c r="L75" i="6"/>
  <c r="M75" i="6"/>
  <c r="N75" i="6"/>
  <c r="O75" i="6"/>
  <c r="P75" i="6"/>
  <c r="Q75" i="6"/>
  <c r="R75" i="6"/>
  <c r="B74" i="6"/>
  <c r="C74" i="6"/>
  <c r="D74" i="6"/>
  <c r="E74" i="6"/>
  <c r="F74" i="6"/>
  <c r="G74" i="6"/>
  <c r="H74" i="6"/>
  <c r="I74" i="6"/>
  <c r="J74" i="6"/>
  <c r="K74" i="6"/>
  <c r="L74" i="6"/>
  <c r="M74" i="6"/>
  <c r="N74" i="6"/>
  <c r="O74" i="6"/>
  <c r="P74" i="6"/>
  <c r="Q74" i="6"/>
  <c r="R74" i="6"/>
  <c r="B73" i="6"/>
  <c r="C73" i="6"/>
  <c r="D73" i="6"/>
  <c r="E73" i="6"/>
  <c r="F73" i="6"/>
  <c r="G73" i="6"/>
  <c r="H73" i="6"/>
  <c r="I73" i="6"/>
  <c r="J73" i="6"/>
  <c r="K73" i="6"/>
  <c r="L73" i="6"/>
  <c r="M73" i="6"/>
  <c r="N73" i="6"/>
  <c r="O73" i="6"/>
  <c r="P73" i="6"/>
  <c r="Q73" i="6"/>
  <c r="R73" i="6"/>
  <c r="B72" i="6"/>
  <c r="C72" i="6"/>
  <c r="D72" i="6"/>
  <c r="E72" i="6"/>
  <c r="F72" i="6"/>
  <c r="G72" i="6"/>
  <c r="H72" i="6"/>
  <c r="I72" i="6"/>
  <c r="J72" i="6"/>
  <c r="K72" i="6"/>
  <c r="L72" i="6"/>
  <c r="M72" i="6"/>
  <c r="N72" i="6"/>
  <c r="O72" i="6"/>
  <c r="P72" i="6"/>
  <c r="Q72" i="6"/>
  <c r="R72" i="6"/>
  <c r="B71" i="6"/>
  <c r="C71" i="6"/>
  <c r="D71" i="6"/>
  <c r="E71" i="6"/>
  <c r="F71" i="6"/>
  <c r="G71" i="6"/>
  <c r="H71" i="6"/>
  <c r="I71" i="6"/>
  <c r="J71" i="6"/>
  <c r="K71" i="6"/>
  <c r="L71" i="6"/>
  <c r="M71" i="6"/>
  <c r="N71" i="6"/>
  <c r="O71" i="6"/>
  <c r="P71" i="6"/>
  <c r="Q71" i="6"/>
  <c r="R71" i="6"/>
  <c r="B70" i="6"/>
  <c r="C70" i="6"/>
  <c r="D70" i="6"/>
  <c r="E70" i="6"/>
  <c r="F70" i="6"/>
  <c r="G70" i="6"/>
  <c r="H70" i="6"/>
  <c r="I70" i="6"/>
  <c r="J70" i="6"/>
  <c r="K70" i="6"/>
  <c r="L70" i="6"/>
  <c r="M70" i="6"/>
  <c r="N70" i="6"/>
  <c r="O70" i="6"/>
  <c r="P70" i="6"/>
  <c r="Q70" i="6"/>
  <c r="R70" i="6"/>
  <c r="B69" i="6"/>
  <c r="C69" i="6"/>
  <c r="D69" i="6"/>
  <c r="E69" i="6"/>
  <c r="F69" i="6"/>
  <c r="G69" i="6"/>
  <c r="H69" i="6"/>
  <c r="I69" i="6"/>
  <c r="J69" i="6"/>
  <c r="K69" i="6"/>
  <c r="L69" i="6"/>
  <c r="M69" i="6"/>
  <c r="N69" i="6"/>
  <c r="O69" i="6"/>
  <c r="P69" i="6"/>
  <c r="Q69" i="6"/>
  <c r="R69" i="6"/>
  <c r="B68" i="6"/>
  <c r="C68" i="6"/>
  <c r="D68" i="6"/>
  <c r="E68" i="6"/>
  <c r="F68" i="6"/>
  <c r="G68" i="6"/>
  <c r="H68" i="6"/>
  <c r="I68" i="6"/>
  <c r="J68" i="6"/>
  <c r="K68" i="6"/>
  <c r="L68" i="6"/>
  <c r="M68" i="6"/>
  <c r="N68" i="6"/>
  <c r="O68" i="6"/>
  <c r="P68" i="6"/>
  <c r="Q68" i="6"/>
  <c r="R68" i="6"/>
  <c r="B67" i="6"/>
  <c r="C67" i="6"/>
  <c r="D67" i="6"/>
  <c r="E67" i="6"/>
  <c r="F67" i="6"/>
  <c r="G67" i="6"/>
  <c r="H67" i="6"/>
  <c r="I67" i="6"/>
  <c r="J67" i="6"/>
  <c r="K67" i="6"/>
  <c r="L67" i="6"/>
  <c r="M67" i="6"/>
  <c r="N67" i="6"/>
  <c r="O67" i="6"/>
  <c r="P67" i="6"/>
  <c r="Q67" i="6"/>
  <c r="R67" i="6"/>
  <c r="B66" i="6"/>
  <c r="C66" i="6"/>
  <c r="D66" i="6"/>
  <c r="E66" i="6"/>
  <c r="F66" i="6"/>
  <c r="G66" i="6"/>
  <c r="H66" i="6"/>
  <c r="I66" i="6"/>
  <c r="J66" i="6"/>
  <c r="K66" i="6"/>
  <c r="L66" i="6"/>
  <c r="M66" i="6"/>
  <c r="N66" i="6"/>
  <c r="O66" i="6"/>
  <c r="P66" i="6"/>
  <c r="Q66" i="6"/>
  <c r="R66" i="6"/>
  <c r="B65" i="6"/>
  <c r="C65" i="6"/>
  <c r="D65" i="6"/>
  <c r="E65" i="6"/>
  <c r="F65" i="6"/>
  <c r="G65" i="6"/>
  <c r="H65" i="6"/>
  <c r="I65" i="6"/>
  <c r="J65" i="6"/>
  <c r="K65" i="6"/>
  <c r="L65" i="6"/>
  <c r="M65" i="6"/>
  <c r="N65" i="6"/>
  <c r="O65" i="6"/>
  <c r="P65" i="6"/>
  <c r="Q65" i="6"/>
  <c r="R65" i="6"/>
  <c r="B64" i="6"/>
  <c r="C64" i="6"/>
  <c r="D64" i="6"/>
  <c r="E64" i="6"/>
  <c r="F64" i="6"/>
  <c r="G64" i="6"/>
  <c r="H64" i="6"/>
  <c r="I64" i="6"/>
  <c r="J64" i="6"/>
  <c r="K64" i="6"/>
  <c r="L64" i="6"/>
  <c r="M64" i="6"/>
  <c r="N64" i="6"/>
  <c r="O64" i="6"/>
  <c r="P64" i="6"/>
  <c r="Q64" i="6"/>
  <c r="R64" i="6"/>
  <c r="B63" i="6"/>
  <c r="C63" i="6"/>
  <c r="D63" i="6"/>
  <c r="E63" i="6"/>
  <c r="F63" i="6"/>
  <c r="G63" i="6"/>
  <c r="H63" i="6"/>
  <c r="I63" i="6"/>
  <c r="J63" i="6"/>
  <c r="K63" i="6"/>
  <c r="L63" i="6"/>
  <c r="M63" i="6"/>
  <c r="N63" i="6"/>
  <c r="O63" i="6"/>
  <c r="P63" i="6"/>
  <c r="Q63" i="6"/>
  <c r="R63" i="6"/>
  <c r="B62" i="6"/>
  <c r="C62" i="6"/>
  <c r="D62" i="6"/>
  <c r="E62" i="6"/>
  <c r="F62" i="6"/>
  <c r="G62" i="6"/>
  <c r="H62" i="6"/>
  <c r="I62" i="6"/>
  <c r="J62" i="6"/>
  <c r="K62" i="6"/>
  <c r="L62" i="6"/>
  <c r="M62" i="6"/>
  <c r="N62" i="6"/>
  <c r="O62" i="6"/>
  <c r="P62" i="6"/>
  <c r="Q62" i="6"/>
  <c r="R62" i="6"/>
  <c r="B61" i="6"/>
  <c r="C61" i="6"/>
  <c r="D61" i="6"/>
  <c r="E61" i="6"/>
  <c r="F61" i="6"/>
  <c r="G61" i="6"/>
  <c r="H61" i="6"/>
  <c r="I61" i="6"/>
  <c r="J61" i="6"/>
  <c r="K61" i="6"/>
  <c r="L61" i="6"/>
  <c r="M61" i="6"/>
  <c r="N61" i="6"/>
  <c r="O61" i="6"/>
  <c r="P61" i="6"/>
  <c r="Q61" i="6"/>
  <c r="R61" i="6"/>
  <c r="B60" i="6"/>
  <c r="C60" i="6"/>
  <c r="D60" i="6"/>
  <c r="E60" i="6"/>
  <c r="F60" i="6"/>
  <c r="G60" i="6"/>
  <c r="H60" i="6"/>
  <c r="I60" i="6"/>
  <c r="J60" i="6"/>
  <c r="K60" i="6"/>
  <c r="L60" i="6"/>
  <c r="M60" i="6"/>
  <c r="N60" i="6"/>
  <c r="O60" i="6"/>
  <c r="P60" i="6"/>
  <c r="Q60" i="6"/>
  <c r="R60" i="6"/>
  <c r="B59" i="6"/>
  <c r="C59" i="6"/>
  <c r="D59" i="6"/>
  <c r="E59" i="6"/>
  <c r="F59" i="6"/>
  <c r="G59" i="6"/>
  <c r="H59" i="6"/>
  <c r="I59" i="6"/>
  <c r="J59" i="6"/>
  <c r="K59" i="6"/>
  <c r="L59" i="6"/>
  <c r="M59" i="6"/>
  <c r="N59" i="6"/>
  <c r="O59" i="6"/>
  <c r="P59" i="6"/>
  <c r="Q59" i="6"/>
  <c r="R59" i="6"/>
  <c r="D58" i="6"/>
  <c r="F58" i="6"/>
  <c r="G58" i="6"/>
  <c r="H58" i="6"/>
  <c r="K58" i="6"/>
  <c r="L58" i="6"/>
  <c r="M58" i="6"/>
  <c r="N58" i="6"/>
  <c r="O58" i="6"/>
  <c r="P58" i="6"/>
  <c r="Q58" i="6"/>
  <c r="R58" i="6"/>
  <c r="B58" i="6"/>
  <c r="I58" i="6"/>
  <c r="C58" i="6"/>
  <c r="E58" i="6"/>
  <c r="J58" i="6"/>
  <c r="D57" i="6"/>
  <c r="H57" i="6"/>
  <c r="K57" i="6"/>
  <c r="N57" i="6"/>
  <c r="P57" i="6"/>
  <c r="R57" i="6"/>
  <c r="B57" i="6"/>
  <c r="E57" i="6"/>
  <c r="G57" i="6"/>
  <c r="J57" i="6"/>
  <c r="M57" i="6"/>
  <c r="C57" i="6"/>
  <c r="F57" i="6"/>
  <c r="I57" i="6"/>
  <c r="L57" i="6"/>
  <c r="O57" i="6"/>
  <c r="Q57" i="6"/>
  <c r="E56" i="6"/>
  <c r="J56" i="6"/>
  <c r="C56" i="6"/>
  <c r="D56" i="6"/>
  <c r="G56" i="6"/>
  <c r="K56" i="6"/>
  <c r="M56" i="6"/>
  <c r="O56" i="6"/>
  <c r="Q56" i="6"/>
  <c r="R56" i="6"/>
  <c r="B56" i="6"/>
  <c r="F56" i="6"/>
  <c r="H56" i="6"/>
  <c r="I56" i="6"/>
  <c r="L56" i="6"/>
  <c r="N56" i="6"/>
  <c r="P56" i="6"/>
  <c r="D55" i="6"/>
  <c r="G55" i="6"/>
  <c r="I55" i="6"/>
  <c r="L55" i="6"/>
  <c r="N55" i="6"/>
  <c r="Q55" i="6"/>
  <c r="R55" i="6"/>
  <c r="C55" i="6"/>
  <c r="F55" i="6"/>
  <c r="J55" i="6"/>
  <c r="O55" i="6"/>
  <c r="B55" i="6"/>
  <c r="E55" i="6"/>
  <c r="H55" i="6"/>
  <c r="K55" i="6"/>
  <c r="M55" i="6"/>
  <c r="P55" i="6"/>
  <c r="C54" i="6"/>
  <c r="E54" i="6"/>
  <c r="G54" i="6"/>
  <c r="J54" i="6"/>
  <c r="L54" i="6"/>
  <c r="N54" i="6"/>
  <c r="Q54" i="6"/>
  <c r="B54" i="6"/>
  <c r="D54" i="6"/>
  <c r="F54" i="6"/>
  <c r="H54" i="6"/>
  <c r="I54" i="6"/>
  <c r="K54" i="6"/>
  <c r="M54" i="6"/>
  <c r="O54" i="6"/>
  <c r="P54" i="6"/>
  <c r="R54" i="6"/>
  <c r="E53" i="6"/>
  <c r="G53" i="6"/>
  <c r="I53" i="6"/>
  <c r="L53" i="6"/>
  <c r="M53" i="6"/>
  <c r="P53" i="6"/>
  <c r="R53" i="6"/>
  <c r="B53" i="6"/>
  <c r="D53" i="6"/>
  <c r="H53" i="6"/>
  <c r="J53" i="6"/>
  <c r="O53" i="6"/>
  <c r="Q53" i="6"/>
  <c r="C53" i="6"/>
  <c r="F53" i="6"/>
  <c r="K53" i="6"/>
  <c r="N53" i="6"/>
  <c r="C52" i="6"/>
  <c r="F52" i="6"/>
  <c r="J52" i="6"/>
  <c r="P52" i="6"/>
  <c r="D52" i="6"/>
  <c r="H52" i="6"/>
  <c r="I52" i="6"/>
  <c r="L52" i="6"/>
  <c r="N52" i="6"/>
  <c r="B52" i="6"/>
  <c r="E52" i="6"/>
  <c r="G52" i="6"/>
  <c r="K52" i="6"/>
  <c r="M52" i="6"/>
  <c r="O52" i="6"/>
  <c r="Q52" i="6"/>
  <c r="R52" i="6"/>
  <c r="C51" i="6"/>
  <c r="E51" i="6"/>
  <c r="H51" i="6"/>
  <c r="J51" i="6"/>
  <c r="L51" i="6"/>
  <c r="O51" i="6"/>
  <c r="B51" i="6"/>
  <c r="D51" i="6"/>
  <c r="F51" i="6"/>
  <c r="G51" i="6"/>
  <c r="I51" i="6"/>
  <c r="K51" i="6"/>
  <c r="M51" i="6"/>
  <c r="P51" i="6"/>
  <c r="N51" i="6"/>
  <c r="Q51" i="6"/>
  <c r="R51" i="6"/>
  <c r="B50" i="6"/>
  <c r="E50" i="6"/>
  <c r="H50" i="6"/>
  <c r="K50" i="6"/>
  <c r="N50" i="6"/>
  <c r="D50" i="6"/>
  <c r="G50" i="6"/>
  <c r="J50" i="6"/>
  <c r="L50" i="6"/>
  <c r="O50" i="6"/>
  <c r="Q50" i="6"/>
  <c r="C50" i="6"/>
  <c r="F50" i="6"/>
  <c r="I50" i="6"/>
  <c r="M50" i="6"/>
  <c r="P50" i="6"/>
  <c r="R50" i="6"/>
  <c r="D49" i="6"/>
  <c r="F49" i="6"/>
  <c r="I49" i="6"/>
  <c r="L49" i="6"/>
  <c r="O49" i="6"/>
  <c r="C49" i="6"/>
  <c r="G49" i="6"/>
  <c r="J49" i="6"/>
  <c r="M49" i="6"/>
  <c r="Q49" i="6"/>
  <c r="R49" i="6"/>
  <c r="B49" i="6"/>
  <c r="E49" i="6"/>
  <c r="H49" i="6"/>
  <c r="K49" i="6"/>
  <c r="N49" i="6"/>
  <c r="P49" i="6"/>
  <c r="E48" i="6"/>
  <c r="I48" i="6"/>
  <c r="L48" i="6"/>
  <c r="N48" i="6"/>
  <c r="Q48" i="6"/>
  <c r="C48" i="6"/>
  <c r="H48" i="6"/>
  <c r="K48" i="6"/>
  <c r="P48" i="6"/>
  <c r="R48" i="6"/>
  <c r="B48" i="6"/>
  <c r="D48" i="6"/>
  <c r="F48" i="6"/>
  <c r="G48" i="6"/>
  <c r="J48" i="6"/>
  <c r="M48" i="6"/>
  <c r="O48" i="6"/>
  <c r="D47" i="6"/>
  <c r="I47" i="6"/>
  <c r="K47" i="6"/>
  <c r="N47" i="6"/>
  <c r="C47" i="6"/>
  <c r="F47" i="6"/>
  <c r="G47" i="6"/>
  <c r="J47" i="6"/>
  <c r="M47" i="6"/>
  <c r="P47" i="6"/>
  <c r="R47" i="6"/>
  <c r="B47" i="6"/>
  <c r="E47" i="6"/>
  <c r="H47" i="6"/>
  <c r="L47" i="6"/>
  <c r="O47" i="6"/>
  <c r="Q47" i="6"/>
  <c r="C46" i="6"/>
  <c r="H46" i="6"/>
  <c r="I46" i="6"/>
  <c r="J46" i="6"/>
  <c r="L46" i="6"/>
  <c r="P46" i="6"/>
  <c r="B46" i="6"/>
  <c r="D46" i="6"/>
  <c r="G46" i="6"/>
  <c r="K46" i="6"/>
  <c r="O46" i="6"/>
  <c r="R46" i="6"/>
  <c r="E46" i="6"/>
  <c r="F46" i="6"/>
  <c r="M46" i="6"/>
  <c r="N46" i="6"/>
  <c r="Q46" i="6"/>
  <c r="C45" i="6"/>
  <c r="E45" i="6"/>
  <c r="H45" i="6"/>
  <c r="J45" i="6"/>
  <c r="M45" i="6"/>
  <c r="P45" i="6"/>
  <c r="F45" i="6"/>
  <c r="I45" i="6"/>
  <c r="L45" i="6"/>
  <c r="O45" i="6"/>
  <c r="B45" i="6"/>
  <c r="D45" i="6"/>
  <c r="G45" i="6"/>
  <c r="K45" i="6"/>
  <c r="N45" i="6"/>
  <c r="Q45" i="6"/>
  <c r="R45" i="6"/>
  <c r="C44" i="6"/>
  <c r="F44" i="6"/>
  <c r="I44" i="6"/>
  <c r="L44" i="6"/>
  <c r="O44" i="6"/>
  <c r="Q44" i="6"/>
  <c r="R44" i="6"/>
  <c r="D44" i="6"/>
  <c r="G44" i="6"/>
  <c r="J44" i="6"/>
  <c r="M44" i="6"/>
  <c r="B44" i="6"/>
  <c r="E44" i="6"/>
  <c r="H44" i="6"/>
  <c r="K44" i="6"/>
  <c r="N44" i="6"/>
  <c r="P44" i="6"/>
  <c r="D43" i="6"/>
  <c r="G43" i="6"/>
  <c r="J43" i="6"/>
  <c r="M43" i="6"/>
  <c r="P43" i="6"/>
  <c r="C43" i="6"/>
  <c r="F43" i="6"/>
  <c r="H43" i="6"/>
  <c r="K43" i="6"/>
  <c r="N43" i="6"/>
  <c r="Q43" i="6"/>
  <c r="R43" i="6"/>
  <c r="B43" i="6"/>
  <c r="E43" i="6"/>
  <c r="I43" i="6"/>
  <c r="L43" i="6"/>
  <c r="O43" i="6"/>
  <c r="E42" i="6"/>
  <c r="J42" i="6"/>
  <c r="M42" i="6"/>
  <c r="O42" i="6"/>
  <c r="R42" i="6"/>
  <c r="B42" i="6"/>
  <c r="D42" i="6"/>
  <c r="G42" i="6"/>
  <c r="I42" i="6"/>
  <c r="L42" i="6"/>
  <c r="N42" i="6"/>
  <c r="Q42" i="6"/>
  <c r="C42" i="6"/>
  <c r="F42" i="6"/>
  <c r="H42" i="6"/>
  <c r="K42" i="6"/>
  <c r="P42" i="6"/>
  <c r="D41" i="6"/>
  <c r="G41" i="6"/>
  <c r="M41" i="6"/>
  <c r="P41" i="6"/>
  <c r="B41" i="6"/>
  <c r="E41" i="6"/>
  <c r="H41" i="6"/>
  <c r="K41" i="6"/>
  <c r="N41" i="6"/>
  <c r="C41" i="6"/>
  <c r="F41" i="6"/>
  <c r="I41" i="6"/>
  <c r="J41" i="6"/>
  <c r="L41" i="6"/>
  <c r="O41" i="6"/>
  <c r="Q41" i="6"/>
  <c r="R41" i="6"/>
  <c r="D40" i="6"/>
  <c r="G40" i="6"/>
  <c r="J40" i="6"/>
  <c r="M40" i="6"/>
  <c r="O40" i="6"/>
  <c r="B40" i="6"/>
  <c r="E40" i="6"/>
  <c r="I40" i="6"/>
  <c r="L40" i="6"/>
  <c r="P40" i="6"/>
  <c r="R40" i="6"/>
  <c r="C40" i="6"/>
  <c r="F40" i="6"/>
  <c r="H40" i="6"/>
  <c r="K40" i="6"/>
  <c r="N40" i="6"/>
  <c r="Q40" i="6"/>
  <c r="F39" i="6"/>
  <c r="I39" i="6"/>
  <c r="N39" i="6"/>
  <c r="P39" i="6"/>
  <c r="R39" i="6"/>
  <c r="B39" i="6"/>
  <c r="D39" i="6"/>
  <c r="G39" i="6"/>
  <c r="J39" i="6"/>
  <c r="M39" i="6"/>
  <c r="O39" i="6"/>
  <c r="C39" i="6"/>
  <c r="E39" i="6"/>
  <c r="H39" i="6"/>
  <c r="K39" i="6"/>
  <c r="L39" i="6"/>
  <c r="Q39" i="6"/>
  <c r="B38" i="6"/>
  <c r="D38" i="6"/>
  <c r="G38" i="6"/>
  <c r="J38" i="6"/>
  <c r="M38" i="6"/>
  <c r="O38" i="6"/>
  <c r="E38" i="6"/>
  <c r="H38" i="6"/>
  <c r="L38" i="6"/>
  <c r="Q38" i="6"/>
  <c r="C38" i="6"/>
  <c r="F38" i="6"/>
  <c r="I38" i="6"/>
  <c r="K38" i="6"/>
  <c r="N38" i="6"/>
  <c r="P38" i="6"/>
  <c r="R38" i="6"/>
  <c r="E37" i="6"/>
  <c r="H37" i="6"/>
  <c r="K37" i="6"/>
  <c r="N37" i="6"/>
  <c r="D37" i="6"/>
  <c r="G37" i="6"/>
  <c r="J37" i="6"/>
  <c r="M37" i="6"/>
  <c r="P37" i="6"/>
  <c r="Q37" i="6"/>
  <c r="R37" i="6"/>
  <c r="B37" i="6"/>
  <c r="C37" i="6"/>
  <c r="F37" i="6"/>
  <c r="I37" i="6"/>
  <c r="L37" i="6"/>
  <c r="O37" i="6"/>
  <c r="C36" i="6"/>
  <c r="G36" i="6"/>
  <c r="I36" i="6"/>
  <c r="L36" i="6"/>
  <c r="O36" i="6"/>
  <c r="D36" i="6"/>
  <c r="F36" i="6"/>
  <c r="H36" i="6"/>
  <c r="M36" i="6"/>
  <c r="P36" i="6"/>
  <c r="R36" i="6"/>
  <c r="B36" i="6"/>
  <c r="E36" i="6"/>
  <c r="J36" i="6"/>
  <c r="K36" i="6"/>
  <c r="N36" i="6"/>
  <c r="Q36" i="6"/>
  <c r="D35" i="6"/>
  <c r="F35" i="6"/>
  <c r="H35" i="6"/>
  <c r="L35" i="6"/>
  <c r="O35" i="6"/>
  <c r="Q35" i="6"/>
  <c r="B35" i="6"/>
  <c r="E35" i="6"/>
  <c r="I35" i="6"/>
  <c r="K35" i="6"/>
  <c r="M35" i="6"/>
  <c r="C35" i="6"/>
  <c r="G35" i="6"/>
  <c r="J35" i="6"/>
  <c r="N35" i="6"/>
  <c r="P35" i="6"/>
  <c r="R35" i="6"/>
  <c r="D34" i="6"/>
  <c r="F34" i="6"/>
  <c r="I34" i="6"/>
  <c r="K34" i="6"/>
  <c r="N34" i="6"/>
  <c r="Q34" i="6"/>
  <c r="C34" i="6"/>
  <c r="E34" i="6"/>
  <c r="H34" i="6"/>
  <c r="L34" i="6"/>
  <c r="P34" i="6"/>
  <c r="R34" i="6"/>
  <c r="B34" i="6"/>
  <c r="G34" i="6"/>
  <c r="J34" i="6"/>
  <c r="M34" i="6"/>
  <c r="O34" i="6"/>
  <c r="D33" i="6"/>
  <c r="G33" i="6"/>
  <c r="I33" i="6"/>
  <c r="M33" i="6"/>
  <c r="P33" i="6"/>
  <c r="B33" i="6"/>
  <c r="E33" i="6"/>
  <c r="H33" i="6"/>
  <c r="K33" i="6"/>
  <c r="N33" i="6"/>
  <c r="C33" i="6"/>
  <c r="F33" i="6"/>
  <c r="J33" i="6"/>
  <c r="L33" i="6"/>
  <c r="O33" i="6"/>
  <c r="Q33" i="6"/>
  <c r="R33" i="6"/>
  <c r="C32" i="6"/>
  <c r="G32" i="6"/>
  <c r="L32" i="6"/>
  <c r="O32" i="6"/>
  <c r="R32" i="6"/>
  <c r="E32" i="6"/>
  <c r="H32" i="6"/>
  <c r="J32" i="6"/>
  <c r="N32" i="6"/>
  <c r="B32" i="6"/>
  <c r="D32" i="6"/>
  <c r="F32" i="6"/>
  <c r="I32" i="6"/>
  <c r="K32" i="6"/>
  <c r="M32" i="6"/>
  <c r="P32" i="6"/>
  <c r="Q32" i="6"/>
  <c r="F31" i="6"/>
  <c r="I31" i="6"/>
  <c r="L31" i="6"/>
  <c r="O31" i="6"/>
  <c r="B31" i="6"/>
  <c r="D31" i="6"/>
  <c r="H31" i="6"/>
  <c r="K31" i="6"/>
  <c r="M31" i="6"/>
  <c r="P31" i="6"/>
  <c r="C31" i="6"/>
  <c r="E31" i="6"/>
  <c r="G31" i="6"/>
  <c r="J31" i="6"/>
  <c r="N31" i="6"/>
  <c r="Q31" i="6"/>
  <c r="R31" i="6"/>
  <c r="D30" i="6"/>
  <c r="G30" i="6"/>
  <c r="H30" i="6"/>
  <c r="K30" i="6"/>
  <c r="M30" i="6"/>
  <c r="O30" i="6"/>
  <c r="R30" i="6"/>
  <c r="B30" i="6"/>
  <c r="C30" i="6"/>
  <c r="F30" i="6"/>
  <c r="I30" i="6"/>
  <c r="L30" i="6"/>
  <c r="N30" i="6"/>
  <c r="Q30" i="6"/>
  <c r="E30" i="6"/>
  <c r="J30" i="6"/>
  <c r="P30" i="6"/>
  <c r="D29" i="6"/>
  <c r="F29" i="6"/>
  <c r="G29" i="6"/>
  <c r="H29" i="6"/>
  <c r="J29" i="6"/>
  <c r="M29" i="6"/>
  <c r="O29" i="6"/>
  <c r="Q29" i="6"/>
  <c r="R29" i="6"/>
  <c r="L29" i="6"/>
  <c r="P29" i="6"/>
  <c r="B29" i="6"/>
  <c r="C29" i="6"/>
  <c r="E29" i="6"/>
  <c r="I29" i="6"/>
  <c r="K29" i="6"/>
  <c r="N29" i="6"/>
  <c r="C28" i="6"/>
  <c r="E28" i="6"/>
  <c r="F28" i="6"/>
  <c r="G28" i="6"/>
  <c r="I28" i="6"/>
  <c r="J28" i="6"/>
  <c r="N28" i="6"/>
  <c r="P28" i="6"/>
  <c r="R28" i="6"/>
  <c r="B28" i="6"/>
  <c r="D28" i="6"/>
  <c r="H28" i="6"/>
  <c r="K28" i="6"/>
  <c r="L28" i="6"/>
  <c r="M28" i="6"/>
  <c r="O28" i="6"/>
  <c r="Q28" i="6"/>
  <c r="C27" i="6"/>
  <c r="E27" i="6"/>
  <c r="F27" i="6"/>
  <c r="I27" i="6"/>
  <c r="K27" i="6"/>
  <c r="M27" i="6"/>
  <c r="O27" i="6"/>
  <c r="B27" i="6"/>
  <c r="D27" i="6"/>
  <c r="G27" i="6"/>
  <c r="H27" i="6"/>
  <c r="J27" i="6"/>
  <c r="L27" i="6"/>
  <c r="N27" i="6"/>
  <c r="P27" i="6"/>
  <c r="Q27" i="6"/>
  <c r="R27" i="6"/>
  <c r="D26" i="6"/>
  <c r="F26" i="6"/>
  <c r="B26" i="6"/>
  <c r="C26" i="6"/>
  <c r="E26" i="6"/>
  <c r="G26" i="6"/>
  <c r="H26" i="6"/>
  <c r="I26" i="6"/>
  <c r="J26" i="6"/>
  <c r="K26" i="6"/>
  <c r="L26" i="6"/>
  <c r="M26" i="6"/>
  <c r="N26" i="6"/>
  <c r="O26" i="6"/>
  <c r="P26" i="6"/>
  <c r="Q26" i="6"/>
  <c r="R26" i="6"/>
  <c r="B25" i="6"/>
  <c r="C25" i="6"/>
  <c r="D25" i="6"/>
  <c r="E25" i="6"/>
  <c r="F25" i="6"/>
  <c r="G25" i="6"/>
  <c r="H25" i="6"/>
  <c r="I25" i="6"/>
  <c r="J25" i="6"/>
  <c r="L25" i="6"/>
  <c r="O25" i="6"/>
  <c r="Q25" i="6"/>
  <c r="R25" i="6"/>
  <c r="K25" i="6"/>
  <c r="M25" i="6"/>
  <c r="N25" i="6"/>
  <c r="P25" i="6"/>
  <c r="C24" i="6"/>
  <c r="E24" i="6"/>
  <c r="G24" i="6"/>
  <c r="I24" i="6"/>
  <c r="K24" i="6"/>
  <c r="N24" i="6"/>
  <c r="P24" i="6"/>
  <c r="B24" i="6"/>
  <c r="D24" i="6"/>
  <c r="F24" i="6"/>
  <c r="H24" i="6"/>
  <c r="J24" i="6"/>
  <c r="L24" i="6"/>
  <c r="M24" i="6"/>
  <c r="O24" i="6"/>
  <c r="Q24" i="6"/>
  <c r="R24" i="6"/>
  <c r="B23" i="6"/>
  <c r="D23" i="6"/>
  <c r="F23" i="6"/>
  <c r="I23" i="6"/>
  <c r="J23" i="6"/>
  <c r="M23" i="6"/>
  <c r="N23" i="6"/>
  <c r="Q23" i="6"/>
  <c r="R23" i="6"/>
  <c r="C23" i="6"/>
  <c r="E23" i="6"/>
  <c r="G23" i="6"/>
  <c r="H23" i="6"/>
  <c r="K23" i="6"/>
  <c r="L23" i="6"/>
  <c r="O23" i="6"/>
  <c r="P23" i="6"/>
  <c r="B22" i="6"/>
  <c r="C22" i="6"/>
  <c r="E22" i="6"/>
  <c r="G22" i="6"/>
  <c r="I22" i="6"/>
  <c r="K22" i="6"/>
  <c r="M22" i="6"/>
  <c r="O22" i="6"/>
  <c r="Q22" i="6"/>
  <c r="R22" i="6"/>
  <c r="D22" i="6"/>
  <c r="F22" i="6"/>
  <c r="H22" i="6"/>
  <c r="J22" i="6"/>
  <c r="L22" i="6"/>
  <c r="N22" i="6"/>
  <c r="P22" i="6"/>
  <c r="C21" i="6"/>
  <c r="E21" i="6"/>
  <c r="F21" i="6"/>
  <c r="H21" i="6"/>
  <c r="J21" i="6"/>
  <c r="L21" i="6"/>
  <c r="N21" i="6"/>
  <c r="B21" i="6"/>
  <c r="D21" i="6"/>
  <c r="G21" i="6"/>
  <c r="I21" i="6"/>
  <c r="K21" i="6"/>
  <c r="M21" i="6"/>
  <c r="O21" i="6"/>
  <c r="P21" i="6"/>
  <c r="Q21" i="6"/>
  <c r="R21" i="6"/>
  <c r="C20" i="6"/>
  <c r="E20" i="6"/>
  <c r="H20" i="6"/>
  <c r="I20" i="6"/>
  <c r="K20" i="6"/>
  <c r="L20" i="6"/>
  <c r="N20" i="6"/>
  <c r="Q20" i="6"/>
  <c r="R20" i="6"/>
  <c r="B20" i="6"/>
  <c r="D20" i="6"/>
  <c r="F20" i="6"/>
  <c r="G20" i="6"/>
  <c r="J20" i="6"/>
  <c r="M20" i="6"/>
  <c r="O20" i="6"/>
  <c r="P20" i="6"/>
  <c r="B19" i="6"/>
  <c r="D19" i="6"/>
  <c r="G19" i="6"/>
  <c r="I19" i="6"/>
  <c r="J19" i="6"/>
  <c r="M19" i="6"/>
  <c r="O19" i="6"/>
  <c r="Q19" i="6"/>
  <c r="R19" i="6"/>
  <c r="C19" i="6"/>
  <c r="E19" i="6"/>
  <c r="F19" i="6"/>
  <c r="H19" i="6"/>
  <c r="K19" i="6"/>
  <c r="L19" i="6"/>
  <c r="N19" i="6"/>
  <c r="P19" i="6"/>
  <c r="C18" i="6"/>
  <c r="E18" i="6"/>
  <c r="G18" i="6"/>
  <c r="I18" i="6"/>
  <c r="L18" i="6"/>
  <c r="N18" i="6"/>
  <c r="P18" i="6"/>
  <c r="R18" i="6"/>
  <c r="B18" i="6"/>
  <c r="D18" i="6"/>
  <c r="F18" i="6"/>
  <c r="H18" i="6"/>
  <c r="J18" i="6"/>
  <c r="K18" i="6"/>
  <c r="M18" i="6"/>
  <c r="O18" i="6"/>
  <c r="Q18" i="6"/>
  <c r="D17" i="6"/>
  <c r="E17" i="6"/>
  <c r="G17" i="6"/>
  <c r="I17" i="6"/>
  <c r="K17" i="6"/>
  <c r="L17" i="6"/>
  <c r="N17" i="6"/>
  <c r="Q17" i="6"/>
  <c r="R17" i="6"/>
  <c r="B17" i="6"/>
  <c r="C17" i="6"/>
  <c r="F17" i="6"/>
  <c r="H17" i="6"/>
  <c r="J17" i="6"/>
  <c r="M17" i="6"/>
  <c r="O17" i="6"/>
  <c r="P17" i="6"/>
  <c r="D16" i="6"/>
  <c r="E16" i="6"/>
  <c r="G16" i="6"/>
  <c r="I16" i="6"/>
  <c r="K16" i="6"/>
  <c r="M16" i="6"/>
  <c r="N16" i="6"/>
  <c r="P16" i="6"/>
  <c r="B16" i="6"/>
  <c r="C16" i="6"/>
  <c r="F16" i="6"/>
  <c r="H16" i="6"/>
  <c r="J16" i="6"/>
  <c r="L16" i="6"/>
  <c r="O16" i="6"/>
  <c r="Q16" i="6"/>
  <c r="R16" i="6"/>
  <c r="B15" i="6"/>
  <c r="D15" i="6"/>
  <c r="F15" i="6"/>
  <c r="H15" i="6"/>
  <c r="J15" i="6"/>
  <c r="L15" i="6"/>
  <c r="N15" i="6"/>
  <c r="P15" i="6"/>
  <c r="R15" i="6"/>
  <c r="C15" i="6"/>
  <c r="E15" i="6"/>
  <c r="G15" i="6"/>
  <c r="I15" i="6"/>
  <c r="K15" i="6"/>
  <c r="M15" i="6"/>
  <c r="O15" i="6"/>
  <c r="Q15" i="6"/>
  <c r="D14" i="6"/>
  <c r="F14" i="6"/>
  <c r="H14" i="6"/>
  <c r="I14" i="6"/>
  <c r="K14" i="6"/>
  <c r="M14" i="6"/>
  <c r="O14" i="6"/>
  <c r="Q14" i="6"/>
  <c r="R14" i="6"/>
  <c r="B14" i="6"/>
  <c r="C14" i="6"/>
  <c r="E14" i="6"/>
  <c r="G14" i="6"/>
  <c r="J14" i="6"/>
  <c r="L14" i="6"/>
  <c r="N14" i="6"/>
  <c r="P14" i="6"/>
  <c r="C13" i="6"/>
  <c r="E13" i="6"/>
  <c r="G13" i="6"/>
  <c r="J13" i="6"/>
  <c r="L13" i="6"/>
  <c r="N13" i="6"/>
  <c r="Q13" i="6"/>
  <c r="R13" i="6"/>
  <c r="B13" i="6"/>
  <c r="D13" i="6"/>
  <c r="F13" i="6"/>
  <c r="H13" i="6"/>
  <c r="I13" i="6"/>
  <c r="K13" i="6"/>
  <c r="M13" i="6"/>
  <c r="O13" i="6"/>
  <c r="P13" i="6"/>
  <c r="C12" i="6"/>
  <c r="F12" i="6"/>
  <c r="H12" i="6"/>
  <c r="J12" i="6"/>
  <c r="L12" i="6"/>
  <c r="N12" i="6"/>
  <c r="P12" i="6"/>
  <c r="B12" i="6"/>
  <c r="D12" i="6"/>
  <c r="E12" i="6"/>
  <c r="G12" i="6"/>
  <c r="I12" i="6"/>
  <c r="K12" i="6"/>
  <c r="M12" i="6"/>
  <c r="O12" i="6"/>
  <c r="Q12" i="6"/>
  <c r="R12" i="6"/>
  <c r="C11" i="6"/>
  <c r="E11" i="6"/>
  <c r="H11" i="6"/>
  <c r="J11" i="6"/>
  <c r="L11" i="6"/>
  <c r="M11" i="6"/>
  <c r="O11" i="6"/>
  <c r="Q11" i="6"/>
  <c r="R11" i="6"/>
  <c r="B11" i="6"/>
  <c r="D11" i="6"/>
  <c r="F11" i="6"/>
  <c r="G11" i="6"/>
  <c r="I11" i="6"/>
  <c r="K11" i="6"/>
  <c r="N11" i="6"/>
  <c r="P11" i="6"/>
  <c r="C10" i="6"/>
  <c r="E10" i="6"/>
  <c r="G10" i="6"/>
  <c r="I10" i="6"/>
  <c r="K10" i="6"/>
  <c r="M10" i="6"/>
  <c r="O10" i="6"/>
  <c r="Q10" i="6"/>
  <c r="R10" i="6"/>
  <c r="B10" i="6"/>
  <c r="D10" i="6"/>
  <c r="F10" i="6"/>
  <c r="H10" i="6"/>
  <c r="J10" i="6"/>
  <c r="L10" i="6"/>
  <c r="N10" i="6"/>
  <c r="P10" i="6"/>
  <c r="C9" i="6"/>
  <c r="E9" i="6"/>
  <c r="G9" i="6"/>
  <c r="I9" i="6"/>
  <c r="L9" i="6"/>
  <c r="N9" i="6"/>
  <c r="P9" i="6"/>
  <c r="B9" i="6"/>
  <c r="D9" i="6"/>
  <c r="F9" i="6"/>
  <c r="H9" i="6"/>
  <c r="J9" i="6"/>
  <c r="K9" i="6"/>
  <c r="M9" i="6"/>
  <c r="O9" i="6"/>
  <c r="Q9" i="6"/>
  <c r="R9" i="6"/>
  <c r="D8" i="6"/>
  <c r="G8" i="6"/>
  <c r="H8" i="6"/>
  <c r="I8" i="6"/>
  <c r="K8" i="6"/>
  <c r="L8" i="6"/>
  <c r="O8" i="6"/>
  <c r="P8" i="6"/>
  <c r="R8" i="6"/>
  <c r="C8" i="6"/>
  <c r="F8" i="6"/>
  <c r="J8" i="6"/>
  <c r="M8" i="6"/>
  <c r="N8" i="6"/>
  <c r="Q8" i="6"/>
  <c r="B8" i="6"/>
  <c r="E8" i="6"/>
  <c r="D7" i="6"/>
  <c r="G7" i="6"/>
  <c r="I7" i="6"/>
  <c r="K7" i="6"/>
  <c r="N7" i="6"/>
  <c r="P7" i="6"/>
  <c r="B7" i="6"/>
  <c r="E7" i="6"/>
  <c r="H7" i="6"/>
  <c r="J7" i="6"/>
  <c r="M7" i="6"/>
  <c r="O7" i="6"/>
  <c r="Q7" i="6"/>
  <c r="R7" i="6"/>
  <c r="C7" i="6"/>
  <c r="F7" i="6"/>
  <c r="L7" i="6"/>
  <c r="D6" i="6"/>
  <c r="G6" i="6"/>
  <c r="J6" i="6"/>
  <c r="M6" i="6"/>
  <c r="O6" i="6"/>
  <c r="B6" i="6"/>
  <c r="F6" i="6"/>
  <c r="I6" i="6"/>
  <c r="L6" i="6"/>
  <c r="P6" i="6"/>
  <c r="R6" i="6"/>
  <c r="C6" i="6"/>
  <c r="E6" i="6"/>
  <c r="H6" i="6"/>
  <c r="K6" i="6"/>
  <c r="N6" i="6"/>
  <c r="Q6" i="6"/>
  <c r="D5" i="6"/>
  <c r="G5" i="6"/>
  <c r="I5" i="6"/>
  <c r="L5" i="6"/>
  <c r="O5" i="6"/>
  <c r="R5" i="6"/>
  <c r="B5" i="6"/>
  <c r="F5" i="6"/>
  <c r="J5" i="6"/>
  <c r="M5" i="6"/>
  <c r="Q5" i="6"/>
  <c r="C5" i="6"/>
  <c r="E5" i="6"/>
  <c r="H5" i="6"/>
  <c r="K5" i="6"/>
  <c r="N5" i="6"/>
  <c r="P5" i="6"/>
  <c r="S67" i="6" l="1"/>
  <c r="S4" i="6"/>
  <c r="B154" i="6"/>
  <c r="E154" i="6"/>
  <c r="H154" i="6"/>
  <c r="L154" i="6"/>
  <c r="N154" i="6"/>
  <c r="Q154" i="6"/>
  <c r="R154" i="6"/>
  <c r="D154" i="6"/>
  <c r="G154" i="6"/>
  <c r="J154" i="6"/>
  <c r="K154" i="6"/>
  <c r="O154" i="6"/>
  <c r="C154" i="6"/>
  <c r="F154" i="6"/>
  <c r="I154" i="6"/>
  <c r="M154" i="6"/>
  <c r="P154" i="6"/>
  <c r="S153" i="6"/>
  <c r="S152" i="6"/>
  <c r="S151" i="6"/>
  <c r="S150" i="6"/>
  <c r="S149" i="6"/>
  <c r="S148" i="6"/>
  <c r="S147" i="6"/>
  <c r="S146" i="6"/>
  <c r="S145" i="6"/>
  <c r="S144" i="6"/>
  <c r="S143" i="6"/>
  <c r="S50" i="6"/>
  <c r="S19" i="6"/>
  <c r="S142" i="6"/>
  <c r="S141" i="6"/>
  <c r="S140" i="6"/>
  <c r="S139" i="6"/>
  <c r="S138" i="6"/>
  <c r="S137" i="6"/>
  <c r="S135" i="6"/>
  <c r="S134" i="6"/>
  <c r="S131" i="6"/>
  <c r="S128" i="6"/>
  <c r="S127" i="6"/>
  <c r="S125" i="6"/>
  <c r="S122" i="6"/>
  <c r="S82" i="6"/>
  <c r="S75" i="6"/>
  <c r="S60" i="6"/>
  <c r="S120" i="6"/>
  <c r="S119" i="6"/>
  <c r="S117" i="6"/>
  <c r="S116" i="6"/>
  <c r="S115" i="6"/>
  <c r="S114" i="6"/>
  <c r="S113" i="6"/>
  <c r="S109" i="6"/>
  <c r="S108" i="6"/>
  <c r="S107" i="6"/>
  <c r="S106" i="6"/>
  <c r="S105" i="6"/>
  <c r="S129" i="6"/>
  <c r="S81" i="6"/>
  <c r="S78" i="6"/>
  <c r="S72" i="6"/>
  <c r="S70" i="6"/>
  <c r="S47" i="6"/>
  <c r="S44" i="6"/>
  <c r="S43" i="6"/>
  <c r="S36" i="6"/>
  <c r="S25" i="6"/>
  <c r="S23" i="6"/>
  <c r="S18" i="6"/>
  <c r="S102" i="6"/>
  <c r="S101" i="6"/>
  <c r="S99" i="6"/>
  <c r="S97" i="6"/>
  <c r="S94" i="6"/>
  <c r="S93" i="6"/>
  <c r="S92" i="6"/>
  <c r="S90" i="6"/>
  <c r="S136" i="6"/>
  <c r="S133" i="6"/>
  <c r="S132" i="6"/>
  <c r="S130" i="6"/>
  <c r="S83" i="6"/>
  <c r="S71" i="6"/>
  <c r="S69" i="6"/>
  <c r="S62" i="6"/>
  <c r="S56" i="6"/>
  <c r="S49" i="6"/>
  <c r="S46" i="6"/>
  <c r="S37" i="6"/>
  <c r="S22" i="6"/>
  <c r="S126" i="6"/>
  <c r="S124" i="6"/>
  <c r="S123" i="6"/>
  <c r="S121" i="6"/>
  <c r="S118" i="6"/>
  <c r="S112" i="6"/>
  <c r="S111" i="6"/>
  <c r="S110" i="6"/>
  <c r="S104" i="6"/>
  <c r="S103" i="6"/>
  <c r="S100" i="6"/>
  <c r="S98" i="6"/>
  <c r="S80" i="6"/>
  <c r="S73" i="6"/>
  <c r="S57" i="6"/>
  <c r="S31" i="6"/>
  <c r="S30" i="6"/>
  <c r="S96" i="6"/>
  <c r="S95" i="6"/>
  <c r="S91" i="6"/>
  <c r="S89" i="6"/>
  <c r="S88" i="6"/>
  <c r="S87" i="6"/>
  <c r="S86" i="6"/>
  <c r="S85" i="6"/>
  <c r="S84" i="6"/>
  <c r="S76" i="6"/>
  <c r="S74" i="6"/>
  <c r="S68" i="6"/>
  <c r="S55" i="6"/>
  <c r="S34" i="6"/>
  <c r="S33" i="6"/>
  <c r="S24" i="6"/>
  <c r="S21" i="6"/>
  <c r="S79" i="6"/>
  <c r="S77" i="6"/>
  <c r="S63" i="6"/>
  <c r="S58" i="6"/>
  <c r="S51" i="6"/>
  <c r="S48" i="6"/>
  <c r="S45" i="6"/>
  <c r="S32" i="6"/>
  <c r="S66" i="6"/>
  <c r="S65" i="6"/>
  <c r="S64" i="6"/>
  <c r="S61" i="6"/>
  <c r="S59" i="6"/>
  <c r="S28" i="6"/>
  <c r="S54" i="6"/>
  <c r="S53" i="6"/>
  <c r="S52" i="6"/>
  <c r="S26" i="6"/>
  <c r="S20" i="6"/>
  <c r="S5" i="6"/>
  <c r="S42" i="6"/>
  <c r="S41" i="6"/>
  <c r="S40" i="6"/>
  <c r="S39" i="6"/>
  <c r="S38" i="6"/>
  <c r="S35" i="6"/>
  <c r="S7" i="6"/>
  <c r="S29" i="6"/>
  <c r="S27" i="6"/>
  <c r="S10" i="6"/>
  <c r="S17" i="6"/>
  <c r="S16" i="6"/>
  <c r="S15" i="6"/>
  <c r="S14" i="6"/>
  <c r="S13" i="6"/>
  <c r="S12" i="6"/>
  <c r="S11" i="6"/>
  <c r="S9" i="6"/>
  <c r="S8" i="6"/>
  <c r="S6" i="6"/>
  <c r="S154" i="6"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C5" authorId="0" shapeId="0" xr:uid="{00000000-0006-0000-0700-000001000000}">
      <text>
        <r>
          <rPr>
            <sz val="10"/>
            <rFont val="Arial"/>
            <family val="2"/>
          </rPr>
          <t>Açılır oktan bir araştırmacı seçin. Liste Başvuru sayfasındaki SORUMLUSU sütunundan otomatik oluşturulur.</t>
        </r>
      </text>
    </comment>
  </commentList>
</comments>
</file>

<file path=xl/sharedStrings.xml><?xml version="1.0" encoding="utf-8"?>
<sst xmlns="http://schemas.openxmlformats.org/spreadsheetml/2006/main" count="13498" uniqueCount="6183">
  <si>
    <t>T.C. HACETTEPE ÜNİVERSİTESİ</t>
  </si>
  <si>
    <t>SAĞLIK BİLİMLERİ ARAŞTIRMA ETİK KURULU</t>
  </si>
  <si>
    <t>2026 YILI FAALİYET RAPORU</t>
  </si>
  <si>
    <t>GENEL BİLGİLER</t>
  </si>
  <si>
    <t>TOPLAM</t>
  </si>
  <si>
    <t>AÇIKLAMA / GEREKÇE</t>
  </si>
  <si>
    <t>TOPLAM BAŞVURU</t>
  </si>
  <si>
    <t>2026 yılında yapılmış olan yeni proje başvurusu sayısı</t>
  </si>
  <si>
    <t>GERÇEKLEŞTİRİLEN TOPLANTI SAYISI</t>
  </si>
  <si>
    <t>2026 yılında gerçekleştirilen kurul toplantısı sayısı</t>
  </si>
  <si>
    <t>DÜZELTME İSTENEN BAŞVURULAR</t>
  </si>
  <si>
    <t>İlk değerlendirmede düzeltme kararı verilen başvuru sayısı</t>
  </si>
  <si>
    <t>BAŞVURAN BİRİM SAYISI</t>
  </si>
  <si>
    <t>2026 yılında başvuru yapan farklı birim (anabilim dalı/enstitü) sayısı</t>
  </si>
  <si>
    <t>BAŞVURAN ARAŞTIRMACI SAYISI</t>
  </si>
  <si>
    <t>2026 yılında başvuru yapan farklı sorumlu araştırmacı sayısı</t>
  </si>
  <si>
    <t>KARARA BAĞLANMIŞ BAŞVURULAR</t>
  </si>
  <si>
    <t>Tüm değerlendirme turları sonucunda karara bağlanan toplam başvuru sayısı</t>
  </si>
  <si>
    <t>Onaylanmış Başvurular</t>
  </si>
  <si>
    <t>Güncel durumu ONAY olan başvurular (tüm turlar dahil)</t>
  </si>
  <si>
    <t>Düzeltme Sonrası Karara Bağlanan</t>
  </si>
  <si>
    <t>Düzeltme istendikten sonra 2. tur değerlendirmeye giren başvurular</t>
  </si>
  <si>
    <t>Düzeltme Dosyası Beklenen</t>
  </si>
  <si>
    <t>Düzeltme kararı verilmiş, henüz düzeltme dosyası ulaşmamış başvurular</t>
  </si>
  <si>
    <t>KAEK Kapsamında İncelenenler</t>
  </si>
  <si>
    <t>Klinik Araştırmalar Etik Kurulu kapsamında incelenmek üzere yönlendirilen</t>
  </si>
  <si>
    <t>Kapsam Dışı Kalanlar</t>
  </si>
  <si>
    <t>Etik Kurul inceleme ve izin kapsamı dışında kalan başvurular</t>
  </si>
  <si>
    <t>Onaylanmamış Başvurular (RET)</t>
  </si>
  <si>
    <t>Etik kurul tarafından reddedilen başvurular</t>
  </si>
  <si>
    <t>Geri Çekilen Başvurular</t>
  </si>
  <si>
    <t>Proje sorumlusu tarafından geri çekilen başvurular</t>
  </si>
  <si>
    <t>GÖRÜŞ VERİLEN BAŞVURULAR</t>
  </si>
  <si>
    <t>Kurul görüşü bildirilen başvurular</t>
  </si>
  <si>
    <t>DEĞERLENDİRME DEVAM EDEN (BEKLEYEN)</t>
  </si>
  <si>
    <t>Raportör atanmış, henüz kurul kararı verilmemiş başvurular</t>
  </si>
  <si>
    <t>NİTELİK BAZINDA DAĞILIM</t>
  </si>
  <si>
    <t>Başvuruların araştırma türüne göre dağılımı</t>
  </si>
  <si>
    <t>Bireysel Araştırma</t>
  </si>
  <si>
    <t>Uzmanlık Tezi</t>
  </si>
  <si>
    <t>Yüksek Lisans Tezi</t>
  </si>
  <si>
    <t>Doktora Tezi</t>
  </si>
  <si>
    <t>NOT: Bu rapor, Başvuru sayfasındaki verilerden otomatik olarak hesaplanmaktadır. Yeni başvuru ve kararlar Başvuru sayfasına girildikçe bu tablo güncellenecektir. Raporun yazdırılacağı tarih itibarıyla anlık durumu yansıtır.</t>
  </si>
  <si>
    <t>S.NO</t>
  </si>
  <si>
    <t>SBA NUMARASI</t>
  </si>
  <si>
    <t>SORUMLUSU</t>
  </si>
  <si>
    <t>BİRİMİ</t>
  </si>
  <si>
    <t>YERİ</t>
  </si>
  <si>
    <t>ADI</t>
  </si>
  <si>
    <t>NİTELİĞİ</t>
  </si>
  <si>
    <t>BAŞVURU TARİHİ</t>
  </si>
  <si>
    <t>KURUL TARİHİ</t>
  </si>
  <si>
    <t>RAPORTÖR 1</t>
  </si>
  <si>
    <t>RAPORTÖR 2</t>
  </si>
  <si>
    <t>KURUL KARARI 1</t>
  </si>
  <si>
    <t>KURUL KARARI 2</t>
  </si>
  <si>
    <t>KURUL KARARI 3</t>
  </si>
  <si>
    <t>KURUL KARARI 4</t>
  </si>
  <si>
    <t>GÜNCEL DURUM</t>
  </si>
  <si>
    <t>DÜZELTME R</t>
  </si>
  <si>
    <t>⚠ KURUL KONTROLÜ</t>
  </si>
  <si>
    <t>YRD_SIRA_ADI</t>
  </si>
  <si>
    <t>YRD_ANAHTAR</t>
  </si>
  <si>
    <t>YRD_BENZERSİZ_SIRA</t>
  </si>
  <si>
    <t>YRD_ALFA_SIRA</t>
  </si>
  <si>
    <t>YRD2_BIRIM_SIRA</t>
  </si>
  <si>
    <t>YRD2_BIRIM_ILK</t>
  </si>
  <si>
    <t>YRD2_ARAS_SIRA</t>
  </si>
  <si>
    <t>YRD2_ARAS_ILK</t>
  </si>
  <si>
    <t>1.</t>
  </si>
  <si>
    <t>SBA 26/001</t>
  </si>
  <si>
    <t>Dr. Vet. Hek. Özgür Doğuş EROL DUYAR</t>
  </si>
  <si>
    <t>Sağlık Bilimleri Enstitüsü</t>
  </si>
  <si>
    <t>Üniversitemiz Sağlık Bilimleri Enstitüsü doktora sonrası araştırmacısı olan Dr. Özgür Doğuş EROL DUYAR’ın sorumlu araştırmacı olduğu, Doç. Dr. Fatima S. F. AERTS KAYA ve Prof. Dr. Y. Çetin KOCAEFE ile birlikte çalışacakları,</t>
  </si>
  <si>
    <t>“Griscelli Sendromu Tip 2 Gen Tedavisinin İn Vivo Fonksiyonel Değerlendirilmesi”</t>
  </si>
  <si>
    <t>Prof. Dr. Ayşe Nurten AKARSU</t>
  </si>
  <si>
    <t>Doç. Dr. Kübra AYKAÇ</t>
  </si>
  <si>
    <t>ONAY</t>
  </si>
  <si>
    <t>2.</t>
  </si>
  <si>
    <t>SBA 26/002</t>
  </si>
  <si>
    <t>Prof. Dr. Esra BİRBEN</t>
  </si>
  <si>
    <t>Moleküler Biyoloji Anabilim Dalı</t>
  </si>
  <si>
    <t>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t>
  </si>
  <si>
    <t>“IgE Aracılı ve IgE Aracılı Olmayan Besin Alerjilerinde Kodlamayan RNAların Rolünün ve Bağırsak Mikrobiyatası ile İlişkisinin Belirlenmesi”</t>
  </si>
  <si>
    <t>Prof. Dr. Gözde GİRGİN</t>
  </si>
  <si>
    <t>3.</t>
  </si>
  <si>
    <t>SBA 26/003</t>
  </si>
  <si>
    <t>Doç. Dr. Gamze DURHAN</t>
  </si>
  <si>
    <t>Radyoloji Anabilim Dalı</t>
  </si>
  <si>
    <t>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t>
  </si>
  <si>
    <t>“Akciğer Grafisinde Kardiyomegali Değerlendirmesinde Yapay Zeka: Bulguların Toraks BT Bulgulan ile Karşılaştırılması”</t>
  </si>
  <si>
    <t>Dr. Öğr. Üyesi Müge DEMİR</t>
  </si>
  <si>
    <t>Doç. Dr. Ekim GÜMELER</t>
  </si>
  <si>
    <t>4.</t>
  </si>
  <si>
    <t>SBA 26/004</t>
  </si>
  <si>
    <t>Prof. Dr. Bayram ŞAHİN</t>
  </si>
  <si>
    <t>Lokman Hekim Üniversitesi
Sağlık Hizmetleri Meslek Yüksekokulu</t>
  </si>
  <si>
    <t>Lokman Hekim Üniversitesi Sağlık Hizmetleri Meslek Yüksekokulu öğretim üyelerinden Prof. Dr. Bayram ŞAHİN'in sorumlu araştırmacı olduğu; Prof. Dr. Müberra AKDOĞAN, Uzm. Dr. Aykut Burak BAYAV ile birlikte çalışacakları ve Gülcan AYDIN’ın doktora tezi olan,</t>
  </si>
  <si>
    <t>“Katarakt Cerrahisinin Uygunluğunun Değerlendirilmesi”</t>
  </si>
  <si>
    <t>Doç. Dr. Tolga ÇAKMAK</t>
  </si>
  <si>
    <t>Doç. Dr. Burcu ERSÖZ ALAN</t>
  </si>
  <si>
    <t>DÜZELTME</t>
  </si>
  <si>
    <t>5.</t>
  </si>
  <si>
    <t>SBA 26/005</t>
  </si>
  <si>
    <t>Prof. Dr. Ömür ÇELİKBIÇAK</t>
  </si>
  <si>
    <t>Fizikokimya Anabilim Dalı</t>
  </si>
  <si>
    <t>Üniversitemiz Fen Fakültesi Fizikokimya Anabilim Dalı öğretim üyelerinden Prof. Dr. Ömür ÇELİKBIÇAK’ın sorumlu araştırmacı olduğu, Neslihan ZENCİRCİ’nin doktora tezi olan,</t>
  </si>
  <si>
    <t>“Sentetik Peptit Temelli Yeni Nesil Biyosidal Malzemelerin Geliştirilmesi”</t>
  </si>
  <si>
    <t>Prof. Dr. Yavuz AYHAN</t>
  </si>
  <si>
    <t>Prof. Dr. Melih Önder BABAOĞLU</t>
  </si>
  <si>
    <t>6.</t>
  </si>
  <si>
    <t>SBA 26/006</t>
  </si>
  <si>
    <t>Prof. Dr. Meltem Gülhan HALİL</t>
  </si>
  <si>
    <t>İç Hastalıkları Anabilim Dalı</t>
  </si>
  <si>
    <t>Üniversitemiz Tıp Fakültesi İç Hastalıkları Anabilim Dalı öğretim üyelerinden Prof. Dr. Meltem Gülhan HALİL’in sorumlu araştırmacı olduğu, Prof. Dr. Salih Kutay DEMİRKAN, Arş. Gör. Dr. Mihriban GÜNGÖR ile birlikte çalışacakları,</t>
  </si>
  <si>
    <t>“Hastanede Oral ve Enteral Nütrisyon Ürünlerinin Erişilebilirliği ve Reçeleme Pratikleri: Retrospektif Gözlemsel Çalışma”</t>
  </si>
  <si>
    <t>Prof. Dr. Ayşe KİN İŞLER</t>
  </si>
  <si>
    <t>7.</t>
  </si>
  <si>
    <t>SBA 26/007</t>
  </si>
  <si>
    <t>Doç. Dr. Ayhan EYMİRLİ</t>
  </si>
  <si>
    <t>Endodonti Anabilim Dalı</t>
  </si>
  <si>
    <t>Üniversitemiz Diş Hekimliği Fakültesi Endodonti Anabilim Dalı öğretim üyelerinden Doç. Dr. Ayhan EYMİRLİ’nin sorumlu araştırmacı olduğu, Dt. Zeynep Buket DAĞ’ın uzmanlık tezi olan,</t>
  </si>
  <si>
    <t>“Gümüş Nanopartikül İçeren İrrigasyon ve Aktivasyon Tekniklerinin Dentin Mikrosertliği ve Tübül Penetrasyonu Üzerine Etkisi”</t>
  </si>
  <si>
    <t>Prof. Dr. M. Özgür UYANIK</t>
  </si>
  <si>
    <t>8.</t>
  </si>
  <si>
    <t>SBA 26/008</t>
  </si>
  <si>
    <t>Doç. Dr. Nursel ÇALIK BAŞARAN</t>
  </si>
  <si>
    <t>Üniversitemiz Tıp Fakültesi İç Hastalıkları Anabilim Dalı öğretim üyelerinden Doç. Dr. Nursel Çalık BAŞARAN’ın sorumlu araştırmacı olduğu,  Arş. Gör. Dr. Ahmet Burak ARSLAN’ın uzmanlık tezi olan,</t>
  </si>
  <si>
    <t>“Hacettepe Üniversitesi Tıp Fakültesi Hastanesinde Görev Yapan Asistan Hekimlerin Doğal Afet Farkındalığı ve Afetlere Hazırlık Düzeylerinin Değerlendirilmesi ”</t>
  </si>
  <si>
    <t>Prof. Dr. Nazmiye Ebru ORTAÇ ERSOY</t>
  </si>
  <si>
    <t>9.</t>
  </si>
  <si>
    <t>SBA 26/009</t>
  </si>
  <si>
    <t>Öğr. Gör. Dr. Buket KILIÇ</t>
  </si>
  <si>
    <t>Çocuk ve Ergen Ruh Sağlığı ve Hastalıkları Anabilim Dalı</t>
  </si>
  <si>
    <t>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t>
  </si>
  <si>
    <t>“Ergenlerde Akran Zorbalığının Özerklik, Kimlik Özellikleri ve Bağlanma ile İlişkisi”</t>
  </si>
  <si>
    <t>10.</t>
  </si>
  <si>
    <t>SBA 26/010</t>
  </si>
  <si>
    <t>Prof. Dr. Yakut AKYÖN YILMAZ</t>
  </si>
  <si>
    <t>Tıbbi Mikrobiyoloji Anabilim Dalı</t>
  </si>
  <si>
    <t>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t>
  </si>
  <si>
    <t>“Apikal Periyodontitis Etiyopatogenezinde İnflamatuar Sitokin Polimorfizmleri -Mikrobiyom İlişkisinin Araştırılması”</t>
  </si>
  <si>
    <t>11.</t>
  </si>
  <si>
    <t>SBA 26/011</t>
  </si>
  <si>
    <t>Prof. Dr. Ömer KARADAĞ</t>
  </si>
  <si>
    <t>Üniversitemiz Tıp Fakültesi İç Hastalıkları Anabilim Dalı öğretim üyelerinden Prof. Dr. Ömer KARADAĞ’ın sorumlu araştırmacı olduğu, Arş. Gör. Dr. Büşra FIRLATAN YAZGAN ile birlikte çalışacakları,</t>
  </si>
  <si>
    <t>“Poliarteritis Nodoza (PAN) Hastalarında Organ Tutulum Paternlerinin Latent Sınıf ve Faktör Analizi ile Değerlendirilmesi (Evaluation of Organ Involvement Patterns in Patients With Polyarteritis Nodosa Using Latent Classand Factor Analysis)</t>
  </si>
  <si>
    <t>12.</t>
  </si>
  <si>
    <t>SBA 26/012</t>
  </si>
  <si>
    <t>Prof. Dr. N. Dilara ZEYBEK</t>
  </si>
  <si>
    <t>Histoloji ve Embriyoloji Anabilim Dalı</t>
  </si>
  <si>
    <t>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t>
  </si>
  <si>
    <t>“Meme Kanseri Hücrelerinde Cx43 ve YAP Arasındaki İlişkinin Araştırılması”</t>
  </si>
  <si>
    <t>KAPSAM DIŞI</t>
  </si>
  <si>
    <t>13.</t>
  </si>
  <si>
    <t>SBA 26/013</t>
  </si>
  <si>
    <t>Prof. Dr. Orhan ODABAŞI</t>
  </si>
  <si>
    <t>Tıp Eğitimi ve Bilişimi Anabilim Dalı</t>
  </si>
  <si>
    <t>Üniversitemiz Tıp Fakültesi Tıp Eğitimi ve Bilişimi Anabilim Dalı öğretim üyelerinden Prof. Dr. Orhan ODABAŞI’nın sorumlu araştırmacı olduğu, Uzm. Dr. Emel ALTINTAŞ’ın yüksek lisans tezi olan,</t>
  </si>
  <si>
    <t>“Acil Tıp Uzmanlık Eğitiminde Ölümcül Göğüs Ağrısı Tanılarında Seprit Konkordans Test Oluşturmak için Büyük Dil Modellerinden ChatGPT ve Claude'nin Kullanılması”</t>
  </si>
  <si>
    <t>14.</t>
  </si>
  <si>
    <t>SBA 26/014</t>
  </si>
  <si>
    <t>Dr. Öğr. Üyesi Yiğitcan KARANFİL</t>
  </si>
  <si>
    <t>Spor Hekimliği Anabilim Dalı</t>
  </si>
  <si>
    <t>Üniversitemiz Tıp Fakültesi Spor Hekimliği Anabilim Dalı öğretim üyelerinden Dr. Öğr. Üyesi Yiğitcan KARANFİL'in sorumlu araştırmacı olduğu, Dr. Öğr. Üyesi Burkay UTKU, Arş. Gör. Batuhan Erhan AKTAS, Uzm. Dr. Yiğitcan MENDERES ile birlikte çalışacakları</t>
  </si>
  <si>
    <t>“Kadın Hentbolcularda Ultrasonografik Ölçümler ile Omuz Hareket Açıklığı ve Omuz Kuvvetinin Değerlendirilmesi”</t>
  </si>
  <si>
    <t>15.</t>
  </si>
  <si>
    <t>SBA 26/015</t>
  </si>
  <si>
    <t>Prof. Dr. Ali Fuat KALYONCU</t>
  </si>
  <si>
    <t>Göğüs Hastalıkları Anabilim Dalı</t>
  </si>
  <si>
    <t>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t>
  </si>
  <si>
    <t>“Sülfonamid Türeyi İlaçlara Bağlı Aşırı Duyarlılık Reaksiyonlarında Klinik Sonuçlar”</t>
  </si>
  <si>
    <t>RET</t>
  </si>
  <si>
    <t>16.</t>
  </si>
  <si>
    <t>SBA 26/016</t>
  </si>
  <si>
    <t>Prof. Dr. Gül KARAKAYA</t>
  </si>
  <si>
    <t>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t>
  </si>
  <si>
    <t>“Herediter Anjioödem Hastalarının Hastalık Farkındalığı ve Karşılanmamış İhtiyaçların Değerlendirilmesi ”</t>
  </si>
  <si>
    <t>17.</t>
  </si>
  <si>
    <t>SBA 26/017</t>
  </si>
  <si>
    <t>Prof. Dr. Banu KILIÇASLAN</t>
  </si>
  <si>
    <t>Anesteziyoloji ve Reanimasyon Anabilim Dalı</t>
  </si>
  <si>
    <t>Üniversitemiz Tıp Fakültesi Anesteziyoloji ve Reanimasyon Anabilim Dalı öğretim üyelerinden Prof. Dr. Banu KILIÇASLAN’ın sorumlu araştırmacı olduğu, Arş. Gör. Dr. Celal AVAN’ın uzmanlık tezi olan,</t>
  </si>
  <si>
    <t>“Türkiye'deki Anestezi ve Kadın Doğum Doktorlarının Doğum Analjezisi Konusundaki Bakış Açısı Farklılıklarının Değerlendirilmesi”</t>
  </si>
  <si>
    <t>18.</t>
  </si>
  <si>
    <t>SBA 26/018</t>
  </si>
  <si>
    <t>Doç. Dr. Ulaş KUMBASAR</t>
  </si>
  <si>
    <t>Göğüs Cerrahisi Anabilim Dalı</t>
  </si>
  <si>
    <t>Üniversitemiz Tıp Fakültesi Göğüs Cerrahisi Anabilim Dalı öğretim üyelerinden Doç. Dr. Ulaş KUMBASAR’ın sorumlu araştırmacı olduğu, Dr. Öğr. Gör. Yiğit YILMAZ, Arş. Gör. Dr. Zeynep TOKMAK ile birlikte çalışacakları,</t>
  </si>
  <si>
    <t>“Kolorektal Karsinomlarda Pulmoner Metastaz Paterninin Retrospektif Analizi: Primer Tümör Lokalizasyonunun Rolü”</t>
  </si>
  <si>
    <t>19.</t>
  </si>
  <si>
    <t>SBA 26/019</t>
  </si>
  <si>
    <t>Dr. Öğr. Üyesi Figen BEZCİ AYGÜN</t>
  </si>
  <si>
    <t>Göz Hastalıkları Anabilim Dalı</t>
  </si>
  <si>
    <t>Üniversitemiz Tıp Fakültesi Göz Hastalıkları Anabilim Dalı öğretim üyelerinden Dr. Öğr. Üyesi Figen BEZCİ AYGÜN'ün sorumlu araştırmacı olduğu, Prof. Dr. Sibel KADAYIFÇILAR ve Araş. Gör. Dr. Kezban Azra KARGALI KATI ile birlikte çalışacakları,</t>
  </si>
  <si>
    <t>“Perifoveal Eksüdatif Vasküler Anomali Kompleksi ve Benzeri Lezyonun Klinik Özellikleri, Görüntüleme Bulguları ve Tedavi Sonuçları”</t>
  </si>
  <si>
    <t>20.</t>
  </si>
  <si>
    <t>SBA 26/020</t>
  </si>
  <si>
    <t>Üniversitemiz Tıp Fakültesi Göz Hastalıkları Anabilim Dalı öğretim üyelerinden Dr. Öğr. Üyesi Figen BEZCİ AYGÜN'ün sorumlu araştırmacı olduğu, Prof. Dr. Sibel KADAYIFÇILAR ve Arş. Gör. Dr. Kezban Azra KARGALI KATI ile birlikte çalışacakları,</t>
  </si>
  <si>
    <t>“Anjioid Strialı Hastaların Demografik, Klinik Özelliklerinin Prognozla İlişkisinin Değerlendirilmesi ve Uzun Dönem Sonuçları”</t>
  </si>
  <si>
    <t>21.</t>
  </si>
  <si>
    <t>SBA 26/021</t>
  </si>
  <si>
    <t>Prof. Dr. Oğuz IŞIK</t>
  </si>
  <si>
    <t>Sağlık Yönetimi Anabilim Dalı</t>
  </si>
  <si>
    <t>Üniversitemiz İktisadi İdari Bilimler Fakültesi Sağlık Yönetimi Anabilim Dalı öğretim üyelerinden Prof. Dr. Oğuz IŞIK’ın sorumlu araştırmacı olduğu, Kübra TEKAYAK’ın doktora tezi olan,</t>
  </si>
  <si>
    <t>“Sağlık Hizmetlerinde Aşırı Kullanım Algısı: Nedenleri, Sonuçları ve Hekime Güven ile İlişkisinin Hasta Perspektifinden Değerlendirilmesi”</t>
  </si>
  <si>
    <t>GÖRÜŞ</t>
  </si>
  <si>
    <t>22.</t>
  </si>
  <si>
    <t>SBA 26/022</t>
  </si>
  <si>
    <t>Doç. Dr. Dilek ÜNAL</t>
  </si>
  <si>
    <t>Üniversitemiz Tıp Fakültesi Çocuk ve Ergen Ruh Sağlığı ve Hastalıkları Anabilim Dalı öğretim üyelerinden Doç. Dr. Dilek ÜNAL’ın sorumlu araştırmacı olduğu, Arş. Gör. Dr. Beray BAHAR'ın uzmanlık tezi olan,</t>
  </si>
  <si>
    <t>“Ekran Bağımlılığı ile İnflamasyon İlişkisi”</t>
  </si>
  <si>
    <t>23.</t>
  </si>
  <si>
    <t>SBA 26/023</t>
  </si>
  <si>
    <t>Prof. Dr. Emre TOSUN</t>
  </si>
  <si>
    <t>Ağız, Diş ve Çene Cerrahisi Anabilim Dalı</t>
  </si>
  <si>
    <t>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t>
  </si>
  <si>
    <t>“Maksiller Sinüs Lift Cerrahisinin Komşu Dişlerin Pulpa Vitalitesi Üzerine Etkisinin Elektriksel ve Termal Testlerle Değerlendirilmesi”</t>
  </si>
  <si>
    <t>KAEK</t>
  </si>
  <si>
    <t>24.</t>
  </si>
  <si>
    <t>SBA 26/024</t>
  </si>
  <si>
    <t>Prof. Dr. Seza ÖZEN</t>
  </si>
  <si>
    <t>Çocuk Sağlığı ve Hastalıkları Anabilim Dalı</t>
  </si>
  <si>
    <t>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t>
  </si>
  <si>
    <t>“Kawasaki Hastalığının Viral Enfeksiyonlar ve Hava Kirliliği ile İlişkisi”</t>
  </si>
  <si>
    <t>25.</t>
  </si>
  <si>
    <t>SBA 26/025</t>
  </si>
  <si>
    <t>Dr. Öğr. Üyesi Gonca ÖZTEN DERE</t>
  </si>
  <si>
    <t>Kadın Hastalıkları ve Doğum Anabilim Dalı</t>
  </si>
  <si>
    <t>Üniversitemiz Tıp Fakültesi Kadın Hastalıkları ve Doğum Anabilim Dalı öğretim üyelerinden Dr. Öğr. Üyesi Gonca ÖZTEN DERE’nin sorumlu araştırmacı olduğu, Dr. Haticegül TUNCER ile birlikte çalışacakları,</t>
  </si>
  <si>
    <t>“Düşük Antimüllerian Hormon Düzeyine Sahip Kadınlarda Gerçekleşen Gebelik Kayıplarının Retrospektif Olarak Araştırılması”</t>
  </si>
  <si>
    <t>26.</t>
  </si>
  <si>
    <t>SBA 26/026</t>
  </si>
  <si>
    <t>Prof. Dr. Hikmet YORGUN</t>
  </si>
  <si>
    <t>Kardiyoloji Anabilim Dalı</t>
  </si>
  <si>
    <t>Üniversitemiz Tıp Fakültesi Kardiyoloji Anabilim Dalı öğretim üyelerinden Prof. Dr. Hikmet YORGUN’un sorumlu araştırmacı olduğu, Prof. Dr. Kudret AYTEMİR, Doç. Dr. Cem ÇÖTELİ ve Arş. Gör. Dr. Hüseyin Alper BULUT ile birlikte çalışacakları,</t>
  </si>
  <si>
    <t>“Reenterant Sol Atriyal Taşikardi İndüklenen Atriyal Fibrilasyon Hastalarında Fonksiyonel Harita Özelliklerinin Prognoza Etkisi”</t>
  </si>
  <si>
    <t>27.</t>
  </si>
  <si>
    <t>SBA 26/027</t>
  </si>
  <si>
    <t>Üniversitemiz Tıp Fakültesi Spor Hekimliği Anabilim Dalı öğretim üyelerinden Dr. Öğr. Üyesi Yiğitcan KARANFİL'in sorumlu araştırmacı olduğu, Arş. Gör. Dr. Batuhan Erhan AKTAŞ ile birlikte çalışacakları,</t>
  </si>
  <si>
    <t>“Eskrim Sporcularında Diz ve Omuz Eklemi Ultrasonografik Parametrelerinin Değerlendirilmesi"</t>
  </si>
  <si>
    <t>28.</t>
  </si>
  <si>
    <t>SBA 26/028</t>
  </si>
  <si>
    <t>Doç. Dr. Levent KILIÇ</t>
  </si>
  <si>
    <t>Üniversitemiz Tıp Fakültesi İç Hastalıkları Anabilim Dalı öğretim üyelerinden Doç. Dr. Levent KILIÇ’ın sorumlu araştırmacı olduğu, Arş. Gör. Dr. Buğu BULAT ile birlikte çalışacakları,</t>
  </si>
  <si>
    <t>“Aksiyel Spondiloartritli Hastalarda Fiziksel Aktiviteyi Değerlendirmek İçin Türkçeleştirilen mSQUASH Anketinin Validasyonu”</t>
  </si>
  <si>
    <t>29.</t>
  </si>
  <si>
    <t>SBA 26/029</t>
  </si>
  <si>
    <t>Prof. Dr. Kudret AYTEMİR</t>
  </si>
  <si>
    <t>Üniversitemiz Tıp Fakültesi Kardiyoloji Anabilim Dalı öğretim üyelerinden Prof. Dr. Kudret AYTEMİR’in sorumlu araştırmacı olduğu, Prof. Dr. Hikmet YORGUN, Doç. Dr. Cem ÇÖTELİ ve Arş. Gör. Dr. Selahattin ÇÖP ile birlikte çalışacakları,</t>
  </si>
  <si>
    <t>“Atrial Fibrilasyon Ablasyonu Uygulanan Hastalarda Yüzey EKG P Dalga Parametreleri ile Sol Atrial Skar Arasındaki İlişkinin Değerlendirilmesi”</t>
  </si>
  <si>
    <t>30.</t>
  </si>
  <si>
    <t>SBA 26/030</t>
  </si>
  <si>
    <t>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t>
  </si>
  <si>
    <t>“Nonsteroid Anti-inflamatuar İlaçlar ile Tetiklenen Hava Yolu Hastalığı Tanısı Olan Hastalarda Çoklu İlaç Alerjilerinin Değerlendirilmesi”</t>
  </si>
  <si>
    <t>31.</t>
  </si>
  <si>
    <t>SBA 26/031</t>
  </si>
  <si>
    <t>“Tip 2 Biyolojik Ajan Endikasyonlarını Karşılamayan Hastalarda Biyolojik Tedavi Yanıtlarının ve Klinik Özelliklerin Değerlendirilmesi”</t>
  </si>
  <si>
    <t>32.</t>
  </si>
  <si>
    <t>SBA 26/032</t>
  </si>
  <si>
    <t>Prof. Dr. Ebru DAMADOĞLU</t>
  </si>
  <si>
    <t>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t>
  </si>
  <si>
    <t>“Kronik Ürtikerde Sistemik Semptomlarla Giden Alevlenmeler: MCAS Olabilir Mi?”</t>
  </si>
  <si>
    <t>33.</t>
  </si>
  <si>
    <t>SBA 26/033</t>
  </si>
  <si>
    <t>Üniversitemiz Tıp Fakültesi İç Hastalıklrı Anabilim Dalı öğretim üyelerinden Prof. Dr. Meltem Gülhan HALİL'in sorumlu araştırmacı olduğu, Arş. Gör. Dr. Özge ÖZGÜN ile birlikte çalışacakları ve Arş. Gör. Dr. Emrach CHOUSEIN'in uzmanlık tezi olan,</t>
  </si>
  <si>
    <t>“Dehidratasyonun Geritritk Klinik Göstergelerle İlişkisi:65 Yaş Üzeri Bireylerde Retrospektif Kesitsel Analiz”</t>
  </si>
  <si>
    <t>34.</t>
  </si>
  <si>
    <t>SBA 26/034</t>
  </si>
  <si>
    <t>Öğr. Gör. Dr. Bahattin PASLI</t>
  </si>
  <si>
    <t>Anatomi Anabilim Dalı</t>
  </si>
  <si>
    <t>Üniversitemiz Tıp Fakültesi Anatomi Anabilim Dalı öğretim görevlilerinden Öğr. Gör. Dr. Bahattin PASLI'nın sorumlu araştırmacı olduğu, Uzm. Dr. Mehmet ÜLKİR ile birlikte çalışacakları,</t>
  </si>
  <si>
    <t>“Proksimal Femur Morfometrisinin Ortopedik İmplant ve Protez Tasarımındaki Önemi”</t>
  </si>
  <si>
    <t>35.</t>
  </si>
  <si>
    <t>SBA 26/035</t>
  </si>
  <si>
    <t>Üniversitemiz Tıp Fakültesi Anatomi Anabilim Dalı öğretim görevlilerinden Öğr. Gör. Dr. Bahattin PASLI'nın sorumlu araştırmacı olduğu, Öğr. Gör. Dr. Helin YÜCEDAĞ GÜNDOĞDU ve Uzm. Dr. Mehmet ÜLKİR ile birlikte çalışacakları,</t>
  </si>
  <si>
    <t>“Beden Bağışı Başvurularında Sosyodemografik ve Zamansal Eğilimler: Hacettepe Üniversitesi Deneyimi”</t>
  </si>
  <si>
    <t>36.</t>
  </si>
  <si>
    <t>SBA 26/036</t>
  </si>
  <si>
    <t>Prof. Dr. Müzeyyen Pınar ÖZGEN KIRATLI</t>
  </si>
  <si>
    <t>Nükleer Tıp Anabilim Dalı</t>
  </si>
  <si>
    <t>Üniversitemiz Tıp Fakültesi Nükleer Tıp Anabilim Dalı öğretim üyelerinden Prof. Dr. Müzeyyen Pınar ÖZGEN KIRATLI’nın sorumlu araştırmacı olduğu, Arş. Gör. Dr. Cansu KÜÇÜKER, Prof. Dr. Murat Fani BOZKURT ve Prof. Dr. Ergün Barış KAYA ile birlikte çalışacakları,</t>
  </si>
  <si>
    <t>“Kronik Tromboembolik Pulmoner Hipertansiyonun Tanısında ve Tedavi Yanıtı Değerlendirmesinde Akciğer Ventilasyon/Perfüzyon Sintigrafisinin Prognostik Gücü”</t>
  </si>
  <si>
    <t>37.</t>
  </si>
  <si>
    <t>SBA 26/037</t>
  </si>
  <si>
    <t>Prof. Dr. Yasemin ÖZSÜREKCİ</t>
  </si>
  <si>
    <t>Üniversitemiz Tıp Fakültesi Çocuk Sağlığı ve Hastalıkları Anabilim Dalı öğretim üyelerinden Prof. Dr. Yasemin ÖZSÜREKCİ’nin sorumlu araştırmacı olduğu, Enes Muzaffer KANDUR ve Gülsena KANDUR ile birlikte çalışacakları</t>
  </si>
  <si>
    <t>“Tıp ve Mühendislik Öğrencilerinin Yapay Zekaya Karşı Tutumu”</t>
  </si>
  <si>
    <t>38.</t>
  </si>
  <si>
    <t>SBA 26/038</t>
  </si>
  <si>
    <t>Öğr. Gör. Dr. Burçay TELLİOĞLU</t>
  </si>
  <si>
    <t>Kulak Burun Boğaz Anabilim Dalı</t>
  </si>
  <si>
    <t>Üniversitemiz Tıp Fakültesi Kulak Burun Boğaz Anabilim Dalı öğretim üyelerinden Öğr. Gör. Dr. Burçay TELLİOĞLU’nun sorumlu araştırmacı olduğu, Prof. Dr. Serdar ÖZER ve Arş. Gör. Dr. Cem Mustafa Kemal HATAY ile birlikte çalışacakları,</t>
  </si>
  <si>
    <t>“Antrakoanal Polip Cerrahisinde Orta Mea Antrostomisi ve Caldwell-Luc Yaklaşımlarının Cerrahi Sonuçlar Açısından Karşılaştırılması”</t>
  </si>
  <si>
    <t>39.</t>
  </si>
  <si>
    <t>SBA 26/039</t>
  </si>
  <si>
    <t>Doç. Dr. Hande GÖRÜCÜ COŞKUNER</t>
  </si>
  <si>
    <t>Ortodonti Anabilim Dalı</t>
  </si>
  <si>
    <t>Üniversitemiz Diş Hekimliği Fakültesi Ortodonti Anabilim Dalı öğretim üyelerinden Doç. Dr. Hande GÖRÜCÜ COŞKUNER'in sorumlu araştırmacı olduğu,</t>
  </si>
  <si>
    <t>“Ortodontik Tedavi Sürecinde Yapay Zekâ ve Sosyal Medya Kullanım Alışkanlıklarının Değerlendirilmesi”</t>
  </si>
  <si>
    <t>40.</t>
  </si>
  <si>
    <t>SBA 26/040</t>
  </si>
  <si>
    <t>Doç. Dr. Saliha ESENBOĞA</t>
  </si>
  <si>
    <t>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t>
  </si>
  <si>
    <t>“Kronik Granülomatöz Hastalık Tanısı ile İzlenen Hastalarda Gastrointestinal ve Hepatik Bulguların Değerlendirilmesi”</t>
  </si>
  <si>
    <t>41.</t>
  </si>
  <si>
    <t>SBA 26/041</t>
  </si>
  <si>
    <t>Dr. Öğr. Üyesi Ahmet KIVRAK</t>
  </si>
  <si>
    <t>Üniversitemiz Tıp Fakültesi Kardiyoloji Anabilim Dalı öğretim üyelerinden Dr. Öğr. Üyesi Ahmet KIVRAK’ın sorumlu araştırmacı olduğu, Doç. Dr. Ahmet Hakan ATEŞ ile birlikte çalışacakları ve Arş. Gör. Dr. Begüm TUNÇ ATEŞSAÇAN’ın uzmanlık tezi olan,</t>
  </si>
  <si>
    <t>“Periferik Arter Hastalarında Femoropopliteal Endovasküler Girişim Başarısını Belirleyen Faktörlerin Değerlendirilmesi”</t>
  </si>
  <si>
    <t>42.</t>
  </si>
  <si>
    <t>SBA 26/042</t>
  </si>
  <si>
    <t>Üniversitemiz Tıp Fakültesi Kardiyoloji Anabilim Dalı öğretim üyelerinden Dr. Öğr. Üyesi Ahmet KIVRAK’ın sorumlu araştırmacı olduğu, Doç. Dr. Ahmet Hakan ATEŞ ve Arş. Gör. Dr. Can SEZER ile birlikte çalışacakları,</t>
  </si>
  <si>
    <t>“Şiddetli Koroner Kalsifikasyona Yönelik Girişimlerde Intravasküler Litotripsinin Kullanımının Klinik Sonlanıma Etkisi”</t>
  </si>
  <si>
    <t>43.</t>
  </si>
  <si>
    <t>SBA 26/043</t>
  </si>
  <si>
    <t>“Sol Atriyal Apendiks Kapama İşlemlerinde Amulet Cihazının Kullanımının Perikardiyal Efüzyon ile İlişkisinin İncelenmesi”</t>
  </si>
  <si>
    <t>44.</t>
  </si>
  <si>
    <t>SBA 26/044</t>
  </si>
  <si>
    <t>Prof. Dr. Bülent ALTUN</t>
  </si>
  <si>
    <t>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t>
  </si>
  <si>
    <t>“Diyabetik Böbrek Hastalığında Albuminürik ve Non-Albuminürik Fenotiplerin Karşılaştırmalı Üriner Metabolomik Analizi”</t>
  </si>
  <si>
    <t>45.</t>
  </si>
  <si>
    <t>SBA 26/045</t>
  </si>
  <si>
    <t>Prof. Dr. Dilek ASLAN</t>
  </si>
  <si>
    <t>Halk Sağlığı Anabilim Dalı</t>
  </si>
  <si>
    <t>Üniversitemiz Tıp Fakültesi Halk Sağlığı Anabilim öğretim üyelerinden Prof. Dr. Dilek ASLAN’ın sorumlu araştırmacı olduğu, Dr. Nur Sima SEKBAN’ın doktora tezi olan,</t>
  </si>
  <si>
    <t>“Aile Hekimliği Polikliniklerine Başvuran 18 Yaş ve Üzeri Hipertansiyon Hastalarının Hastalık Yönetim Süreçlerine Uyumları ve İlişkili Faktörler”</t>
  </si>
  <si>
    <t>46.</t>
  </si>
  <si>
    <t>SBA 26/046</t>
  </si>
  <si>
    <t>Prof. Dr. Ali DÜZOVA</t>
  </si>
  <si>
    <t>Üniversitemiz Tıp Fakültesi Çocuk Sağlığı ve Hastalıkları Anabilim Dalı öğretim üyelerinden Prof. Dr. Ali DÜZOVA’nın sorumlu araştırmacı olduğu, Hem. Vahide GERÇEKEROL ile birlikte çalışacakları,</t>
  </si>
  <si>
    <t>''Çocuk Böbrek Nakli Alıcılarının Ailelerinin Bakım Yükünün Belirlenmesi: Tek Merkez Örneği''</t>
  </si>
  <si>
    <t>47.</t>
  </si>
  <si>
    <t>SBA 26/047</t>
  </si>
  <si>
    <t>Prof. Dr. Petek KORKUSUZ</t>
  </si>
  <si>
    <t>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t>
  </si>
  <si>
    <t>“Pediatrik IgA Nefropatisi için Üriner EV Temelli Biyobelirteçler ile iUPKH Kaynaklı Kişiselleştirilmiş Organoid Platformlarının Geliştirilmesi”</t>
  </si>
  <si>
    <t>48.</t>
  </si>
  <si>
    <t>SBA 26/048</t>
  </si>
  <si>
    <t>Prof. Dr. Sibel ERSOY EVANS</t>
  </si>
  <si>
    <t>Deri ve Zührevi Hastalıklar Anabilim Dalı</t>
  </si>
  <si>
    <t>Üniversitemiz Tıp Fakültesi Deri ve Zührevi Hastalıklar Anabilim Dalı öğretim üyelerinden Prof. Dr. Sibel ERSOY EVANS’ın sorumlu araştırmacı olduğu, Arş. Gör. Dr. Lütfi Can ŞEN ile birlikte çalışacakları,</t>
  </si>
  <si>
    <t>“Türk Erişkin ve Adölesan Popülasyonunda Trunkal Aknenin Demografik, Klinik Özelliklerinin Değerlendirilmesi ve Trunkal Aknenin Yaşam Kalitesi Üzerine Etkisinin Araştırılması”</t>
  </si>
  <si>
    <t>49.</t>
  </si>
  <si>
    <t>SBA 26/049</t>
  </si>
  <si>
    <t>Prof. Dr. Oya ÖZDEMİR</t>
  </si>
  <si>
    <t>Fiziksel Tıp ve Rehabilitasyon Anabilim Dalı</t>
  </si>
  <si>
    <t>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t>
  </si>
  <si>
    <t>“Lipödemli Hastalarda Fiziksel Performansın, Alt Ekstremite Fonksiyonunun, Vücut Kompozisyonunun Fibromiyalji Sendromu ve Hipermobilite Sıklığının Değerlendirilmesi”</t>
  </si>
  <si>
    <t>50.</t>
  </si>
  <si>
    <t>SBA 26/050</t>
  </si>
  <si>
    <t>Prof. Dr. Bahar GÜÇİZ DOĞAN</t>
  </si>
  <si>
    <t>Sağlık Araştırmaları Anabilim Dalı</t>
  </si>
  <si>
    <t>Üniversitemiz Halk Sağlığı Enstitüsü Sağlık Araştırmaları Anabilim Dalı öğretim üyelerinden Prof. Dr. Bahar GÜÇİZ DOĞAN’ın sorumlu araştırmacı olduğu, Dt. Yaprak Öyküm KESİM ile birlikte çalışacakları,</t>
  </si>
  <si>
    <t>“Yetişkin Erkek Tutuklu ve Hükümlülerdeki Çeşitli Bireysel Özelliklere Göre Ağız Diş Sağlığının Durumu: Tanımlayıcı Çalışma”</t>
  </si>
  <si>
    <t>51.</t>
  </si>
  <si>
    <t>SBA 26/051</t>
  </si>
  <si>
    <t>Doç. Dr. Erdem FADILOĞLU</t>
  </si>
  <si>
    <t>Üniversitemiz Tıp Fakültesi Kadın Hastalıkları ve Doğum Anabilim Dalı öğretim üyelerinden Doç. Dr. Erdem FADILOĞLU’nun sorumlu araştırmacı olduğu, Prof. Dr. Emirhan NEMUTLU ile birlikte çalışacakları ve Arş. Gör. Dr. Makbule Buse ÇAKMAK’ın uzmanlık tezi olan,</t>
  </si>
  <si>
    <t>“Preterm Eylem Tehdidi Nedeniyle Antenatal Kortikosteroid Uygulanan Gebelerde Maternal İdrar Metabolomik Profilinin Belirlenmesi ve Gestasyonel Yaş Uyumlu Sağlıklı Gebelerle Karşılaştırılması”</t>
  </si>
  <si>
    <t>52.</t>
  </si>
  <si>
    <t>SBA 26/052</t>
  </si>
  <si>
    <t>Prof. Dr. Mehmet Akif TOPÇUOĞLU</t>
  </si>
  <si>
    <t>Nöroloji Anabilim Dalı</t>
  </si>
  <si>
    <t>Üniversitemiz Tıp Fakültesi Nöroloji Anabilim Dalı öğretim üyelerinden Prof. Dr. Mehmet Akif TOPÇUOĞLU’nun sorumlu araştırmacı olduğu, Öğr. Gör. Dr. Ezgi YILMAZ, ile birlikte çalışacakları,</t>
  </si>
  <si>
    <t>“Türkiye'de İnme Seyir ve Sonuç Metrikleri [STORM-Türkiye]”</t>
  </si>
  <si>
    <t>53.</t>
  </si>
  <si>
    <t>SBA 26/053</t>
  </si>
  <si>
    <t>Doç. Dr. Başak YALICI ARMAĞAN</t>
  </si>
  <si>
    <t>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t>
  </si>
  <si>
    <t>“Androgenetik Alopesi Hastalarında Topikal Minoksidil Kullanımının Göz Bulguları ile Plazma VEGF ve Plazma Minoksidil Düzeyleri Üzerine Etkisinin Vaka-Kontrol Analizi”</t>
  </si>
  <si>
    <t>54.</t>
  </si>
  <si>
    <t>SBA 26/054</t>
  </si>
  <si>
    <t>Doç. Dr. Neslihan AKDOĞAN</t>
  </si>
  <si>
    <t>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t>
  </si>
  <si>
    <t>“Geriatrik Hastalardaki Kronik Pruritus ile Sarkopeni ve Frailty Arasındaki İlişkinin Değerlendirilmesi”</t>
  </si>
  <si>
    <t>55.</t>
  </si>
  <si>
    <t>SBA 26/055</t>
  </si>
  <si>
    <t>Prof. Dr. Deniz ÇAĞDAŞ AYVAZ</t>
  </si>
  <si>
    <t>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t>
  </si>
  <si>
    <t>“Epstein-Barr Virüs DNA Pozitifliği Saptanan Primer İmmün Yetmezlik Tanılı Hastaların İmmunofenotipik ve Genetik Özelliklerinin Araştırılması”</t>
  </si>
  <si>
    <t>56.</t>
  </si>
  <si>
    <t>SBA 26/056</t>
  </si>
  <si>
    <t>Prof. Dr. Tutku SOYER</t>
  </si>
  <si>
    <t>Çocuk Cerrahisi Anabilim Dalı</t>
  </si>
  <si>
    <t>Üniversitemiz Tıp Fakültesi Çocuk Cerrahisi Anabilim Dalı öğretim üyelerinden Prof. Dr. Tutku SOYER'in sorumlu araştırmacı olduğu, Prof. Dr. Özlem BOYBEYİ ve Arş. Gör. Dr. Gizem KORKMAZ ile birlikte çalışacakları,</t>
  </si>
  <si>
    <t>“Koledok Kisti Nedeniyle Ameliyat Edilen Hastaların Uzun Dönemde Gastrointestinal Sistem ilişkili Hayat Kalitelerinin Değerlendirilmesi”</t>
  </si>
  <si>
    <t>57.</t>
  </si>
  <si>
    <t>SBA 26/057</t>
  </si>
  <si>
    <t>Prof. Dr. Mehmet AYVAZ</t>
  </si>
  <si>
    <t>Ortopedi ve Travmatoloji Anabilim Dalı</t>
  </si>
  <si>
    <t>Üniversitemiz Tıp Fakültesi Ortopedi ve Travmatoloji Anabilim Dalı öğretim üyelerinden Prof. Dr. Mehmet AYVAZ’ın sorumlu araştırmacı olduğu, Arş. Gör. Dr. Hüseyin Esat BULDUK ile birlikte çalışacakları,</t>
  </si>
  <si>
    <t>“Ortopedik Tümör Hastalarında Büyük Dil Modellerinin MRG ve Patoloji Raporlarından Tanı Koyma Yeterliliğinin Değerlendirilmesi”</t>
  </si>
  <si>
    <t>58.</t>
  </si>
  <si>
    <t>SBA 26/058</t>
  </si>
  <si>
    <t>Prof. Dr. Salih Kutay DEMİRKAN</t>
  </si>
  <si>
    <t>Klinik Eczacılık Anabilim Dalı</t>
  </si>
  <si>
    <t>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t>
  </si>
  <si>
    <t>“Diyabetik Yaşlı Hastalarda Sarkopeni ile Kullandıkları İlaçlar Arasındaki İlişkinin Değerlendirilmesi”</t>
  </si>
  <si>
    <t>GERİ ÇEKİLDİ</t>
  </si>
  <si>
    <t>59.</t>
  </si>
  <si>
    <t>SBA 26/059</t>
  </si>
  <si>
    <t>Prof. Dr. Hasan Serkan DOĞAN</t>
  </si>
  <si>
    <t>Üroloji Anabilim Dalı</t>
  </si>
  <si>
    <t>Üniversitemiz Tıp Fakültesi Üroloji Anabilim Dalı öğretim üyelerinden Prof. Dr. Hasan Serkan DOĞAN’ın sorumlu araştırmacı olduğu, Arş. Gör. Dr. Hayrunnisa HOROZCU, Arş. Gör. Dr. Rabiz HİZARCİ BAL, Arş. Gör. Dr. Tayyip KILIÇSOKAN ile birlikte çalışacakları,</t>
  </si>
  <si>
    <t>“Bilateral Primer Vezikoüreteral Reflü (VUR) Tanısı Olan Çocuklarda Yapılan Mathisen Modifikasyonu ile Cohen Cross-Trigonal Reimplantasyon Cerrahi Tekniğinin Sonuçları”</t>
  </si>
  <si>
    <t>60.</t>
  </si>
  <si>
    <t>SBA 26/060</t>
  </si>
  <si>
    <t>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t>
  </si>
  <si>
    <t>“Kistik Fibroziste Modülatör Tedavi Cevabının Miyeloid-Kökenli Baskılayıcı Hücre ve İmmünoregülatuvar Parametrelere Etkisi”</t>
  </si>
  <si>
    <t>61.</t>
  </si>
  <si>
    <t>SBA 26/061</t>
  </si>
  <si>
    <t>Prof. Dr. Kıvanç AKÇA</t>
  </si>
  <si>
    <t>Protetik Diş Tedavisi Anabilim Dalı</t>
  </si>
  <si>
    <t>Üniversitemiz Diş Hekimliği Fakültesi Protetik Diş Tedavisi Anabilim Dalı öğretim üyelerinden Prof. Dr. Kıvanç AKÇA'nın sorumlu araştırmacı olduğu, Uzm. Dt. Sinem KARACA ile birlikte çalışacakları,</t>
  </si>
  <si>
    <t>“Dijital Tam Protezlerde Yüzey Taraması ve Çene Hareket Takibi ile Tam Dijital İş Akışı: Yeni Bir Teknik"</t>
  </si>
  <si>
    <t>62.</t>
  </si>
  <si>
    <t>SBA 26/062</t>
  </si>
  <si>
    <t>Dr. Öğr. Üyesi Burcu KELLECİ ÇAKIR</t>
  </si>
  <si>
    <t>Üniversitemiz Eczacılık Fakültesi Klinik Eczacılık Anabilim Dalı öğretim üyelerinden Dr. Öğr. Üyesi Burcu KELLECİ ÇAKIR’ın sorumlu araştırmacı olduğu, Ece AYDIN ile birlikte çalışacakları,</t>
  </si>
  <si>
    <t>“Sürdürülebilir Klinik Nütrisyon Tedavisinde Sağlık Profesyonellerinin Rolü”</t>
  </si>
  <si>
    <t>63.</t>
  </si>
  <si>
    <t>SBA 26/063</t>
  </si>
  <si>
    <t>Prof. Dr. Fatma Gökçem YILDIZ SARIKAYA</t>
  </si>
  <si>
    <t>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t>
  </si>
  <si>
    <t>''Mononöritis Multipleks Değerlendirmesinde Elektrofizyolojik Özelliklerin Yeri''</t>
  </si>
  <si>
    <t>64.</t>
  </si>
  <si>
    <t>SBA 26/064</t>
  </si>
  <si>
    <t>Prof. Dr. Cengiz KILIÇ</t>
  </si>
  <si>
    <t>Ruh Sağlığı ve Hastalıkları Anabilim Dalı</t>
  </si>
  <si>
    <t>Üniversitemiz Tıp FakültesiRuh Sağlığı ve Hastalıkları Anabilim Dalı öğretim üyelerinden Prof. Dr. Cengiz KILIÇ’ın sorumlu araştırmacı olduğu, Arş. Gör. Dr. Dicle DERİNSU’nun uzmanlık tezi olan,</t>
  </si>
  <si>
    <t>“6 Şubat 2023 Depremi Erişkin Depremzedelerinde Yakin Kaybı Sonucu Uzamış Yas; Koruyucu Faktörler ve Risk Faktörleri”</t>
  </si>
  <si>
    <t>65.</t>
  </si>
  <si>
    <t>SBA 26/065</t>
  </si>
  <si>
    <t>Üniversitemiz Tıp Fakültesi Ruh Sağlığı ve Hastalıkları Anabilim Dalı öğretim üyelerinden Prof. Dr. Cengiz KILIÇ’ın sorumlu araştırmacı olduğu, Arş. Gör. Dr. Esra BALİ MUTLU'nun uzmanlık tezi olan,</t>
  </si>
  <si>
    <t>“6 Şubat 2023 Kahramanmaraş Depremini Yaşamış Kişilerde Travma Sonrası Stres Bozukluğu ve Depresyonun Bir arada Görülmesini Yordayan Faktörler”</t>
  </si>
  <si>
    <t>66.</t>
  </si>
  <si>
    <t>SBA 26/066</t>
  </si>
  <si>
    <t>Dr. Öğr. Üyesi Serkan UYSAL</t>
  </si>
  <si>
    <t>Üniversitemiz Tıp Fakültesi Göğüs Cerrahisi Anabilim Dalı öğretim üyelerinden Dr. Öğr. Üyesi Serkan UYSAL’ın sorumlu araştırmacı olduğu, Arş. Gör. Dr. Ayşe ALİ HASAN, Prof. Dr. Mustafa YILMAZ, Doç. Dr.  İlker ERTUĞRUL ile birlikte çalışacakları,</t>
  </si>
  <si>
    <t>“Kalıtsal Aritmi sendromlu Çocuk Hastalarda Bilateral Kardiyak Sempatik Denervasyon: Tek Merkez Deneyimi''</t>
  </si>
  <si>
    <t>67.</t>
  </si>
  <si>
    <t>SBA 26/067</t>
  </si>
  <si>
    <t>Arş. Gör. Dr. Aycan UYSAL</t>
  </si>
  <si>
    <t>Üniversitemiz Tıp Fakültesi Radyoloji Anabilim Dalı öğretim elemanlarından Arş. Gör. Dr. Aycan UYSAL'ın sorumlu araştırmacı olduğu, Arş. Gör. Dr. Mert GÖL, Doç. Dr. Emre ÜNAL ve Prof. Dr. Türkmen Turan ÇİFTÇİ ile birlikte çalışacakları,</t>
  </si>
  <si>
    <t>“Kolon Obstrüksiyonu, Postoperatif Fistül ve Anastomoz Kaçaklarında Cerrahiye Köprü veya Alternatif Olarak Kolorektal Stentleme İşlemi”</t>
  </si>
  <si>
    <t>68.</t>
  </si>
  <si>
    <t>SBA 26/068</t>
  </si>
  <si>
    <t>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t>
  </si>
  <si>
    <t>“İnsanlarda Oküler Glenfatik Sistemin ve Optik Sinirin Manyetik Rezonans Görüntüleme ile Değerlendirilmesi”</t>
  </si>
  <si>
    <t>69.</t>
  </si>
  <si>
    <t>SBA 26/069</t>
  </si>
  <si>
    <t>Üniversitemiz Eczacılık Fakültesi Klinik Eczacılık Anabilim Dalı öğretim üyelerinden Dr. Öğr. Üyesi Burcu KELLECİ ÇAKIR’ın sorumlu araştırmacı olduğu, Doç. Dr. Cafer BALCI ile birlikte çalışacakları,</t>
  </si>
  <si>
    <t>“Yaşlı Hastalarda Metabolik Disfonskiyonla İlişkili Steatotik Karaciğer Hastalığı için Güncel Tanı Kriterlerine Göre Protokol Geliştirilmesi”</t>
  </si>
  <si>
    <t>70.</t>
  </si>
  <si>
    <t>SBA 26/070</t>
  </si>
  <si>
    <t>Prof. Dr. Ömer UĞUR</t>
  </si>
  <si>
    <t>Üniversitemiz Tıp Fakültesi Nükleer Tıp Anabilim Dalı öğretim üyelerinden Prof. Dr. Ömer UĞUR'un sorumlu araştırmacı olduğu, Prof. Dr. Murat TUNCEL ve Prof. Dr. Eser ERGÜN ile birlikte çalışacakları,</t>
  </si>
  <si>
    <t>“PET Rekonstrüksiyon Algoritmalarının Karşılaştırmalı Değerlendirilmesi: OSEM, BPL, DDG”</t>
  </si>
  <si>
    <t>71.</t>
  </si>
  <si>
    <t>SBA 26/071</t>
  </si>
  <si>
    <t>Dr. Natalia RAKİSLOVA</t>
  </si>
  <si>
    <t>Barcelona Institute for Global Health</t>
  </si>
  <si>
    <t>Barcelona Institute for Global Health (ISGlobal) araştırmacılarından Dr. Natalia RAKİSLOVA’nın sorumlu araştırmacı olduğu, Prof. Dr. Alp USUBÜTÜN ile birlikte çalışacakları,</t>
  </si>
  <si>
    <t>Klinikopatolojik Özellikleri Entegre Eden Moleküler Sınıflandırma ve Analiz: HPV Bağımsız Vulvar Skuamöz Hücreli Karsinom için Moleküler-Klinikopatolojik Bir Prognostik İmzanın Geliştirilmesi ve Uluslararası Geçerliliğinin Doğrulanması”</t>
  </si>
  <si>
    <t>72.</t>
  </si>
  <si>
    <t>SBA 26/072</t>
  </si>
  <si>
    <t>Doç. Dr. İlker ERTUĞRUL</t>
  </si>
  <si>
    <t>Üniversitemiz Tıp Fakültesi Çocuk Sağlığı ve Hastalıkları Anabilim Dalı öğretim üyelerinden Doç. Dr. İlker ERTUĞRUL'un sorumlu araştırmacı olduğu, Arş. Gör. Dr. Betül Seda GÜZELHAN ile birlikte çalışacakları,</t>
  </si>
  <si>
    <t>"Pediatrik İdiopatik Ventriküler Fibrilasyon Olgularında Katekolaminerjik Polimorfik Ventriküler Taşikardiye Yol Açan Genetik Varyantların Sıklığı ve Moleküler Otopsi Uygulamasının Tanısal Katkısı"</t>
  </si>
  <si>
    <t>73.</t>
  </si>
  <si>
    <t>SBA 26/073</t>
  </si>
  <si>
    <t>Üniversitemiz Eczacılık Fakültesi Klinik Eczacılık Anabilim Dalı öğretim üyelerinden Prof. Dr. Salih Kutay DEMİRKAN’ın sorumlu araştırmacı olduğu, Prof. Dr. Meltem Gülhan HALİL, Doç. Dr. Cafer BALCI ve Dr. Öğr. Üyesi Burcu KELLECİ ÇAKIR ile birlikte çalışacakları,</t>
  </si>
  <si>
    <t>“Klinik Nütrisyon Öğrenci Kongresine Katılan Öğrencilerin Beklentileri ve Kazanımları”</t>
  </si>
  <si>
    <t>74.</t>
  </si>
  <si>
    <t>SBA 26/074</t>
  </si>
  <si>
    <t>Prof. Dr. Sıddika Songül YALÇIN</t>
  </si>
  <si>
    <t>Sosyal Pediatri Anabilim Dalı</t>
  </si>
  <si>
    <t>Üniversitemiz Çocuk Sağlığı Enstitüsü Sosyal Pediatri Anabilim Dalı öğretim üyelerinden Prof. Dr. Sıddika Songül YALÇIN’ın sorumlu araştırmacı olduğu, Uzm. Dr. Murat GÜLŞEN’in doktora tezi olan,</t>
  </si>
  <si>
    <t>“Nadir Hastalığı Olan Çocuklar Özelinde Ebeveynlerinin Tutumu, Sağlık Okuryazarlığı ve Ekran Kullanımı”</t>
  </si>
  <si>
    <t>75.</t>
  </si>
  <si>
    <t>SBA 26/075</t>
  </si>
  <si>
    <t>Dr. Öğr. Üyesi Gökçen AKÇİÇEK</t>
  </si>
  <si>
    <t>Ağız, Diş ve Çene Radyolojisi Anabilim Dalı</t>
  </si>
  <si>
    <t>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t>
  </si>
  <si>
    <t>“Mandibular Lingula Morfolojisi ile Mandibular Kanal Varyasyonları, Mental ve Mandibular Foramen Boyutları Arasındaki Korelasyonun Konik Işınlı Bilgisayar Tomografi ile İncelenmesi”</t>
  </si>
  <si>
    <t>76.</t>
  </si>
  <si>
    <t>SBA 26/076</t>
  </si>
  <si>
    <t>Doç. Dr. Ezgi ATİK</t>
  </si>
  <si>
    <t>Üniversitemiz Diş Hekimliği Fakültesi Ortodonti Anabilim Dalı öğretim üyelerinden Doç. Dr. Dt. Ezgi ATİK’in sorumlu araştırmacı olduğu, Dr. Öğr. Üyesi Irmak OCAK ve Arş. Gör. Dt. Kübra Hilal TÜRKOĞLU BOYNUYOĞUN ile birlikte çalışacakları,</t>
  </si>
  <si>
    <t>“Şeffaf Plak Tedavilerinde Mor Işık Altında Yapılan Debonding İşleminin Diş Minesine Etkilerinin 3 Boyutlu Olarak İncelenmesi: İn-vitro Çalışma”</t>
  </si>
  <si>
    <t>77.</t>
  </si>
  <si>
    <t>SBA 26/077</t>
  </si>
  <si>
    <t>Prof. Dr. Özlem BOYBEYİ</t>
  </si>
  <si>
    <t>Üniversitemiz Tıp Fakültesi Çocuk Cerrahisi Anabilim Dalı öğretim üyelerinden Prof. Dr. Özlem BOYBEYİ’nin sorumlu araştırmacı olduğu, Prof. Dr. Tutku SOYER ve Arş. Gör. Dr. Mustafa Ünal SAYILIR ile birlikte çalışacakları,</t>
  </si>
  <si>
    <t>“Çocuklarda Yabancı Cisim Yutmalarına Klinik Yaklaşım”</t>
  </si>
  <si>
    <t>78.</t>
  </si>
  <si>
    <t>SBA 26/078</t>
  </si>
  <si>
    <t>Üniversitemiz Tıp Fakültesi Çocuk Sağlığı ve Hastalıkları Anabilim Dalı öğretim üyelerinden Prof. Dr. Yasemin ÖZSÜREKÇİ’nin sorumlu araştırmacı olduğu, Doç. Dr. Kübra AYKAÇ ile birlikte çalışacakları ve Arş. Gör. Dr. Melike DEMİR ULUSOY’un uzmanlık tezi olan,</t>
  </si>
  <si>
    <t>“Mevsimsel Koronavirüs Enfeksiyonlarının 0–18 Yaş Arası Hastalarda Morbidite ve Mortalite Üzerine Etkisinin Değerlendirilmesi”</t>
  </si>
  <si>
    <t>79.</t>
  </si>
  <si>
    <t>SBA 26/079</t>
  </si>
  <si>
    <t>Prof. Dr. Ülkü ÜNDEĞER BUCURGAT</t>
  </si>
  <si>
    <t>Farmasötik Toksikoloji Anabilim Dalı</t>
  </si>
  <si>
    <t>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t>
  </si>
  <si>
    <t>“Kaynakçılarda Demir Metabolizmasının Gözden Geçirilmesi ve Sistemik Aşırı Demir Fazlalığı Olan ve Olmayan Aktif Kaynakçılarda Genotoksisitenin Comet Yöntemi ile Değerlendirilmesi”</t>
  </si>
  <si>
    <t>80.</t>
  </si>
  <si>
    <t>SBA 26/080</t>
  </si>
  <si>
    <t>Doç. Dr. Erdal SAĞ</t>
  </si>
  <si>
    <t>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t>
  </si>
  <si>
    <t>“Juvenil İdiopatik Artritte Erken Dönem Sitokin ve Kemokin Profillerinin Klinik Seyir ile Uzun Dönem İlişkisi”</t>
  </si>
  <si>
    <t>81.</t>
  </si>
  <si>
    <t>SBA 26/081</t>
  </si>
  <si>
    <t>Prof. Dr. Taner YILMAZ</t>
  </si>
  <si>
    <t>Üniversitemiz Tıp Fakültesi Kulak Burun Boğaz Anabilim Dalı öğretim üyelerinden Prof. Dr. Taner YILMAZ’ın sorumlu araştırmacı olduğu, Dr. Öğr. Üyesi Oğuzhan KATAR ile birlikte çalışacakları,</t>
  </si>
  <si>
    <t>“Medializasyon Laringoplasti ve Aritenoid Addüksiyonu İşlemi Yapılan Tek Taraflı Ses Teli Felci Hastalarında Vücut Kitle İndeksinin Ameliyat Sonrası Dispne Üzerine Etkisinin Araştırılması"</t>
  </si>
  <si>
    <t>82.</t>
  </si>
  <si>
    <t>SBA 26/082</t>
  </si>
  <si>
    <t>Prof. Dr. Neşe DERİCİOĞLU</t>
  </si>
  <si>
    <t>Üniversitemiz Tıp Fakültesi Nöroloji Anabilim Dalı öğretim üyelerinden Prof. Dr. Neşe DERİCİOĞLU’nun sorumlu araştırmacı olduğu, Doç. Dr. Rahşan GÖÇMEN, Dr. Öğr. Üyesi Ezgi Yetim ARSAVA ve Arş. Gör. Dr. Zhala NAZARLI ile birlikte çalışacakları,</t>
  </si>
  <si>
    <t>“İdiyopatik Jeneralize Epilepsi Hastalarında Beyin Atrofisi: Zamanla Artar Mı ve Nöro-Psikiyatrik Testlerle İlişkili mi?”</t>
  </si>
  <si>
    <t>83.</t>
  </si>
  <si>
    <t>SBA 26/083</t>
  </si>
  <si>
    <t>Doç. Dr. Mert EŞME</t>
  </si>
  <si>
    <t>Üniversitemiz Tıp Fakültesi İç Hastalıkları Anabilim Dalı öğretim üyelerinden Doç. Dr. Mert EŞME’nin sorumlu araştırmacı olduğu, Arş. Gör. Dr. Meryem ASLAN, Arş. Gör. Dr. Elif GECEGELEN ile birlikte çalışacakları,</t>
  </si>
  <si>
    <t>“Demans Bilgilendirme Eğitiminin Klinik Bakım Süreçleriyle İlişkisi”</t>
  </si>
  <si>
    <t>84.</t>
  </si>
  <si>
    <t>SBA 26/084</t>
  </si>
  <si>
    <t>Üniversitemiz Tıp Fakültesi İç Hastalıkları Anabilim Dalı öğretim üyelerinde Prof. Dr. Meltem Gülhan HALİL’in sorumlu araştırmacı olduğu, Arş. Gör. Dr. Elif GECEGELEN, Arş Gör. Dr. Meryem ASLAN ile birlikte çalışacakları,</t>
  </si>
  <si>
    <t>“Geriatrik Serviste Yatan Hastalarda Glisemik Değişkenlik ile Beslenme Yaklaşımları, Geriatrik Sendromlar ve Basınç Yaralanmaları Arasındaki İlişkinin Prospektif Gözlemsel İncelenmesi”</t>
  </si>
  <si>
    <t>85.</t>
  </si>
  <si>
    <t>SBA 26/085</t>
  </si>
  <si>
    <t>Prof. Dr. Salih AKSU</t>
  </si>
  <si>
    <t>Üniversitemiz Tıp Fakültesi İç Hastalıkları Anabilim Dalı öğretim üyelerinden Prof. Dr. Salih AKSU’nun sorumlu araştırmacı olduğu, Arş. Gör. Dr. Fatma Tuğba ÇATAN ERDEKLİ ile birlikte çalışacakları,</t>
  </si>
  <si>
    <t>“Antikoagulan Kullanan Yetişkin Hematoloji Hastalarında Yaşam Kalitesinin Değerlendirilmesi”</t>
  </si>
  <si>
    <t>86.</t>
  </si>
  <si>
    <t>SBA 26/086</t>
  </si>
  <si>
    <t>Prof. Dr. Güliz Nigar GÜNCÜ</t>
  </si>
  <si>
    <t>Periodontoloji Anabilim Dalı</t>
  </si>
  <si>
    <t>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t>
  </si>
  <si>
    <t>“Anterior Bölge İmplant Üstü Köprülerde Farklı Protez Tasarımlarının ve Arayüz Temizlik Araçlarının Biyofilm Temizlenebilirliği Üzerine Etkisinin Değerlendirilmesi: Bir İn Vitro Çalışma”</t>
  </si>
  <si>
    <t>87.</t>
  </si>
  <si>
    <t>SBA 26/087</t>
  </si>
  <si>
    <t>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t>
  </si>
  <si>
    <t>“Türkiye’de Ebeveynlerin Geliştiren Bakım Konusundaki Bilgi, Tutum ve Uygulamalarının Değerlendirilmesi Araştırması”</t>
  </si>
  <si>
    <t>88.</t>
  </si>
  <si>
    <t>SBA 26/088</t>
  </si>
  <si>
    <t>Doç. Dr. İrem KOÇ</t>
  </si>
  <si>
    <t>Üniversitemiz Tıp Fakültesi Göz Hastalıkları Anabilim Dalı öğretim üyelerinden Doç. Dr. İrem KOÇ'un sorumlu araştırmacı olduğu, Prof. Dr. Hayyam KIRATLI ve Arş. Gör. Dr. Kezban Azra KARGALI ile birlikte çalışacakları,</t>
  </si>
  <si>
    <t>“Vitreoretinal Cerrahi Geçiren Koroidal Malign Melanom Hastalarında Klinik Özellikler ve Sonuçların Değerlendirilmesi”</t>
  </si>
  <si>
    <t>89.</t>
  </si>
  <si>
    <t>SBA 26/089</t>
  </si>
  <si>
    <t>“Posterior Üveal Nevüslerde Oftalmolojik Muayene Bulguları ile Multimodal Görüntüleme Bulguları Arasındaki Korelasyonun Değerlendirilmesi”</t>
  </si>
  <si>
    <t>90.</t>
  </si>
  <si>
    <t>SBA 26/090</t>
  </si>
  <si>
    <t>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t>
  </si>
  <si>
    <t>“İnvajinasyon ve Bağırsak Obstrüksiyonu Tanısı Alan Primer İmmün Yetmezlikli Hastaların Klinik ve Laboratuvar Özelliklerinin Değerlendirilmesi”</t>
  </si>
  <si>
    <t>91.</t>
  </si>
  <si>
    <t>SBA 26/091</t>
  </si>
  <si>
    <t>Doç. Dr. Hacı Hasan YETER</t>
  </si>
  <si>
    <t>Üniversitemiz Tıp Fakültesi İç Hastalıkları Anabilim Dalı öğretim üyelerinden Doç. Dr. Hacı Hasan YETER’in sorumlu araştırmacı olduğu, Arş. Gör. Dr. Yağmur KINACI GÜMÜŞÇUBUK ile birlikte çalışacakları,</t>
  </si>
  <si>
    <t>“Böbrek Nakli Alıcılarında İşe Dönüş Durumu ile Yaşam Kalitesi ve Komorbidite İlişkisi”</t>
  </si>
  <si>
    <t>92.</t>
  </si>
  <si>
    <t>SBA 26/092</t>
  </si>
  <si>
    <t>Üniversitemiz Tıp Fakültesi Göz Hastalıkları Anabilim Dalı öğretim üyelerinden Dr. Öğr. Üyesi Figen BEZCİ AYGÜN'ün sorumlu araştırmacı olduğu, Prof. Dr. Sibel KADAYIFÇILAR ve Arş. Gör. Dr. Kezban Azra KARGALI ile birlikte çalışacakları,</t>
  </si>
  <si>
    <t>“Retinal İskemik Perivasküler Lezyonların Kardiyovasküler ve Serebrovasküler Hastalıklarla İlişkisi ve Biyobelirteç Potansiyelinin İncelenmesi”</t>
  </si>
  <si>
    <t>93.</t>
  </si>
  <si>
    <t>SBA 26/093</t>
  </si>
  <si>
    <t>Üniversitemiz Tıp Fakültesi Çocuk Sağlığı ve Hastalıkları Anabilim Dalı öğretim üyelerinden Doç. Dr. Kübra AYKAÇ’ın sorumlu araştırmacı olduğu ve Arş. Gör. Dr. Günel YUSIFOVA’nın uzmanlık tezi olan,</t>
  </si>
  <si>
    <t>“Epstein–Barr Virüs (EBV) Enfeksiyonu Tanısı Alan Çocuk Hastaların Retrospektif Olarak Klinik ve Laboratuvar Verilerinin Değerlendirilmesi”</t>
  </si>
  <si>
    <t>94.</t>
  </si>
  <si>
    <t>SBA 26/094</t>
  </si>
  <si>
    <t>Doç. Dr. Emel ISIYEL</t>
  </si>
  <si>
    <t>Üniversitemiz Tıp Fakültesi Çocuk Sağlığı ve Hastalıkları Anabilim Dalı öğretim üyelerinden Doç. Dr. Emel ISIYEL’in sorumlu araştırmacı olduğu, Prof. Dr. Özlem TEKŞAM ile birlikte çalışacakları ve Arş. Gör. Dr. Gözde ULUIŞIK GÜNGÖR’ün uzmanlık tezi olan,</t>
  </si>
  <si>
    <t>“Genel Pediatri Servislerine Yatan Hastalarda Malnütrisyonun Sıklığının Belirlenmesi ve Malnütrisyonu Olan Hastalarda Kas Kütlesi ile Cilt Altı Yağ Dokusu Kalınlığının Ultrasonografik Olarak Değerlendirilmesi”</t>
  </si>
  <si>
    <t>95.</t>
  </si>
  <si>
    <t>SBA 26/095</t>
  </si>
  <si>
    <t>Prof. Dr. Ayşe Tomris ERBAŞ</t>
  </si>
  <si>
    <t>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t>
  </si>
  <si>
    <t>"Prolaktinoma ve Akromegali Hastalarında Tiroid Hastalıklarının Karşılaştırmalı Değerlendirilmesi”</t>
  </si>
  <si>
    <t>96.</t>
  </si>
  <si>
    <t>SBA 26/096</t>
  </si>
  <si>
    <t>Doç. Dr. Aslıhan AYKARA</t>
  </si>
  <si>
    <t>Sosyal Hizmet Anabilim Dalı</t>
  </si>
  <si>
    <t>Üniversitemiz İktisadi ve İdari Bilimler Fakültesi Sosyal Hizmet Anabilim Dalı öğretim üyelerinden Doç. Dr. Aslıhan AYKARA’nın sorumlu araştırmacı olduğu, Derya AKKURT'un doktora tezi olan,</t>
  </si>
  <si>
    <t>“Post-Neoliberal Bir Gündem Olarak Bakım Krizi: Engelli Bakım Politika ve Hizmetlerinin Toplumsal Yeniden Üretim Açısından Değerlendirilmesi”</t>
  </si>
  <si>
    <t>97.</t>
  </si>
  <si>
    <t>SBA 26/097</t>
  </si>
  <si>
    <t>Üniversitemiz Tıp Fakültesi İç Hastalıları Anabilim Dalı öğretim üyelerinden Prof. Dr. Meltem Gülhan HALİL’in sorumlu araştırmacı olduğu,</t>
  </si>
  <si>
    <t>“Geriatrik Hastalarda Yutma Yaşam Kalitesi Anketi ile Sarkopeni Arasındaki İlişki”</t>
  </si>
  <si>
    <t>98.</t>
  </si>
  <si>
    <t>SBA 26/098</t>
  </si>
  <si>
    <t>“Yaşlı Erişkinlerde Laringofarengeal Reflü Belirtileri ile Geriatrik Sendromlar Arasındaki İlişki”</t>
  </si>
  <si>
    <t>99.</t>
  </si>
  <si>
    <t>SBA 26/099</t>
  </si>
  <si>
    <t>Üniversitemiz İktisadi ve İdari Bilimler Fakültesi Sosyal Hizmet Anabilim Dalı öğretim üyelerinden Doç. Dr. Aslıhan AYKARA’nın sorumlu araştırmacı olduğu, Dilara KESER GÜNENÇ’in doktora tezi olan,</t>
  </si>
  <si>
    <t>“Feminist Sosyal Hizmet Perspektifinden Engelli Kadınların Yaşantıları ve Aktivizm Deneyimleri”</t>
  </si>
  <si>
    <t>100.</t>
  </si>
  <si>
    <t>SBA 26/100</t>
  </si>
  <si>
    <t>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t>
  </si>
  <si>
    <t>“2023 Kahramanmaraş (Turkey–Syria) Depremlerinde Emzirme ve Beslenme Desteğinin Değerlendirilmesi ve Uygulanması"</t>
  </si>
  <si>
    <t>101.</t>
  </si>
  <si>
    <t>SBA 26/101</t>
  </si>
  <si>
    <t>Prof. Dr. Hakan Hıfzı TÜZ</t>
  </si>
  <si>
    <t>Üniversitemiz Diş Hekimliği Fakültesi Ağız Diş ve Çene Cerrahisi Anabilim Dalı öğretim üyelerinden Prof. Dr. Hakan Hıfzı TÜZ’ün sorumlu araştırmacı olduğu, Dr. Öğr. Üyesi Onur KOÇ ile birlikte çalışacakları, Arş. Gör. Dt. Osman OYBAK’ın uzmanlık tezi olan,</t>
  </si>
  <si>
    <t>“Fabrikasyon ve Kişiye Özel Plak Fiksasyonlarının Ortognatik Cerrahi Sonrası Yumuşak Doku Değişikliklerine Etkisinin Üç Boyutlu Karşılaştırması”</t>
  </si>
  <si>
    <t>102.</t>
  </si>
  <si>
    <t>SBA 26/102</t>
  </si>
  <si>
    <t>Dr. Öğr. Üyesi Burkay UTKU</t>
  </si>
  <si>
    <t>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t>
  </si>
  <si>
    <t>“Bale Dansçıları ve Modern Dansçılarda Kas-İskelet Sistemi Yaralanma Deneyimleri ve Risk Faktörlerinin Niteliksel Olarak Değerlendirilmesi”</t>
  </si>
  <si>
    <t>103.</t>
  </si>
  <si>
    <t>SBA 26/103</t>
  </si>
  <si>
    <t>Üniversitemiz Tıp Fakültesi Çocuk ve Ergen Ruh Sağlığı ve Hastalıkları Anabilim Dalı öğretim üyelerinden Doç. Dr. Burcu ERSÖZ ALAN’ın sorumlu araştırmacı olduğu, Arş. Gör. Dr. Sema ERASLAN’ın uzmanlık tezi olan,</t>
  </si>
  <si>
    <t>“Yeme Bozukluğu Tanılı Ergenlerde Sosyal Medya Kullanımının Beden Algısı ve Psikopatolojik Belirtiler Üzerine Etkileri”</t>
  </si>
  <si>
    <t>104.</t>
  </si>
  <si>
    <t>SBA 26/104</t>
  </si>
  <si>
    <t>Prof. Dr. Selçuk DAĞDELEN</t>
  </si>
  <si>
    <t>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t>
  </si>
  <si>
    <t>“Tiroid Orbitopatide İmmünsüpresif Tedaviye Klinik Yanıtı Öngören Faktörlerin Değerlendirilmesi”</t>
  </si>
  <si>
    <t>105.</t>
  </si>
  <si>
    <t>SBA 26/105</t>
  </si>
  <si>
    <t>Öğr. Gör. Dr. Aytekin İDİKUT</t>
  </si>
  <si>
    <t>Üniversitemiz Tıp Fakültesi Göğüs Hastalıkları Anabilim Dalı öğretim elemanlarından Öğr. Gör. Dr. Aytekin İDİKUT'un sorumlu araştırmacı olduğu, Arş. Gör. Dr. Yusuf YALÇIN, Öğr. Gör. Dr. Aslı ALKAN ve Doç. Dr. Oğuz KARCIOĞLU ile birlikte çalışacakları,</t>
  </si>
  <si>
    <t>“Kistik Fibrozis Hastalarında CFTR Modülatör Tedavisi Öncesi ve Sonrasında Diyabet ve Hepatobiliyer Tutulumun Değerlendirilmesi”</t>
  </si>
  <si>
    <t>106.</t>
  </si>
  <si>
    <t>SBA 26/106</t>
  </si>
  <si>
    <t>Dr. Öğr. Üyesi Murat ÇAĞAN</t>
  </si>
  <si>
    <t>Üniversitemiz Tıp Fakültesi Kadın Hastalıkları ve Doğum Anabilim Dalı öğretim üyelerinden Dr. Öğr. Üyesi Murat ÇAĞAN'ın sorumlu araştırmacı olduğu, Arş. Gör. Dr. Edip Alptuğ KIR ile birlikte çalışacakları,</t>
  </si>
  <si>
    <t>“Gebelikte Uterin Myomların Maternal ve Perinatal Sonuçlara Etkisi: Tek Merkezli Retrospektif Analiz”</t>
  </si>
  <si>
    <t>107.</t>
  </si>
  <si>
    <t>SBA 26/107</t>
  </si>
  <si>
    <t>Doç. Dr. Utku AKGÖR</t>
  </si>
  <si>
    <t>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t>
  </si>
  <si>
    <t>“Over Kanserinde Mikroplastikler ve Metabolomik Etkileri”</t>
  </si>
  <si>
    <t>108.</t>
  </si>
  <si>
    <t>SBA 26/108</t>
  </si>
  <si>
    <t>Arş. Gör. Dt. Dilara KARA</t>
  </si>
  <si>
    <t>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t>
  </si>
  <si>
    <t>“Diş Hekimliği Branşlarında Konik Işınlı Bilgisayarlı Tomografi İstem Eğilimleri ve Etkileyen Faktörler: Retrospektif Kesitsel Bir Çalışma”</t>
  </si>
  <si>
    <t>109.</t>
  </si>
  <si>
    <t>SBA 26/109</t>
  </si>
  <si>
    <t>Arş. Gör. Dr. Sebiha Şükran GÜNDEŞLİ</t>
  </si>
  <si>
    <t>Üniversitemiz Tıp Fakültesi Çocuk Sağlığı ve Hastalıkları Anabilim Dalı yan dal araştırma görevlilerinden Arş. Gör. Dr. Sebiha Şükran GÜNDEŞLİ'nin sorumlu araştırmacı olduğu, Prof. Dr. Özlem TEKŞAM, Doç. Dr. Leman AKCAN YILDIZ ile birlikte çalışacakları,</t>
  </si>
  <si>
    <t>“Çocuk Acil Serviste Akut Karın Ağrısı ile Değerlendirilen Hastalarda İleri Görüntüleme Seçimini Etkileyen Faktörlerin Değerlendirilmesi"</t>
  </si>
  <si>
    <t>110.</t>
  </si>
  <si>
    <t>SBA 26/110</t>
  </si>
  <si>
    <t>Üniversitemiz Eczacılık Fakültesi Klinik Eczacılık Anabilim Dalı öğretim üyelerinden Prof. Dr. Salih Kutay DEMİRKAN’ın sorumlu araştırmacı olduğu, Prof. Dr. Selçuk DAĞDELEN ve Arş. Gör. Özgenur GERİDÖNMEZ ile birlikte çalışacakları,</t>
  </si>
  <si>
    <t>“Diyabet İlaçlarının Kilo Kaybı Amaçlı Kullanımına İlişkin Eczane Eczacılarının Bilgi, Tutum ve Davranışlarının Değerlendirilmesi"</t>
  </si>
  <si>
    <t>111.</t>
  </si>
  <si>
    <t>SBA 26/111</t>
  </si>
  <si>
    <t>Prof. Dr. Çağrı Mesut TEMUÇİN</t>
  </si>
  <si>
    <t>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t>
  </si>
  <si>
    <t>“Guillain Barre Sendromu ile Uyumlu Elektrofizyolojik Bulguları Olan Pediatrik Hastalarda Kompleman CD59 Eksikliği”</t>
  </si>
  <si>
    <t>112.</t>
  </si>
  <si>
    <t>SBA 26/112</t>
  </si>
  <si>
    <t>Dr. Öğr. Üyesi Irmak OCAK</t>
  </si>
  <si>
    <t>Üniversitemiz Diş Hekimliği Fakültesi Ortodonti Anabilim Dalı öğretim üyelerinden Dr. Öğr. Üyesi Irmak OCAK'ın sorumlu araştırmacı olduğu, Arş. Gör. Dt. Mehmet Tolga ÇETİN ile birlikte çalışacakları,</t>
  </si>
  <si>
    <t>“Mandibular Asimetrisi Bulunan Sınıf II ve Sınıf III Hastalarda Orta Yüz Asimetrilerinin Anteroposterior Sefalometrik Filmler Üzerinden İncelenmesi”</t>
  </si>
  <si>
    <t>113.</t>
  </si>
  <si>
    <t>SBA 26/113</t>
  </si>
  <si>
    <t>Hareket ve Antrenman Bilimleri Anabilim Dalı</t>
  </si>
  <si>
    <t>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t>
  </si>
  <si>
    <t>“Bilateral ve Unilateral Ön-Kondisyonlanma Protokollerinin Cimnastikçilerde Performans Asimetrileri Üzerine Etkisi”</t>
  </si>
  <si>
    <t>114.</t>
  </si>
  <si>
    <t>SBA 26/114</t>
  </si>
  <si>
    <t>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t>
  </si>
  <si>
    <t>'İlaç Provokasyon Testi Pozitif Olan Hastaların Klinik Özellikleri ve Müdahale Gereksinimleri'</t>
  </si>
  <si>
    <t>115.</t>
  </si>
  <si>
    <t>SBA 26/115</t>
  </si>
  <si>
    <t>Prof. Dr. Alp ÇETİN</t>
  </si>
  <si>
    <t>Üniversitemiz Tıp Fakültesi Fiziksel Tıp ve Rehabilitasyon Anabilim Dalı öğretim üyelerinden Prof. Dr. Alp ÇETİN"in sorumlu araştırmacı olduğu, Arş. Gör. Dr. Hazal SEVİNÇ’in uzmanlık tezi olan,</t>
  </si>
  <si>
    <t>“Fibromiyalji Sendromu Olan ve Olmayan Bireylerde Trapezius ve Rektus Femoris Kaslarının Elastisitesinin Ultrasonografi ile Karşılaştırılması”</t>
  </si>
  <si>
    <t>116.</t>
  </si>
  <si>
    <t>SBA 26/116</t>
  </si>
  <si>
    <t>Doç. Dr. Ceren GÜNENÇ BEŞER</t>
  </si>
  <si>
    <t>Üniversitemiz Tıp Fakültesi Anatomi Anabilim Dalı öğretim üyelerinden Doç. Dr. Ceren GÜNENÇ BEŞER’in sorumlu araştırmacı olduğu, Uzm. Dr. Mehmet ÜLKİR ve Dr. Öğr. Üyesi Sevtap ARSLAN SARIKAYA ile birlikte çalışacakları ve Op. Dr. Mahmud MAHMUDOV’un doktora tezi olan,</t>
  </si>
  <si>
    <t>“Arteria Mesenterica Superior ve Vena Mesenterica Superior'un Anatomik İlişkisi: Radyolojik Ölçümlerle Cerrahi Risk Açısından Değerlendirme”</t>
  </si>
  <si>
    <t>117.</t>
  </si>
  <si>
    <t>SBA 26/117</t>
  </si>
  <si>
    <t>Prof. Dr. Hatice Yasemin BALABAN</t>
  </si>
  <si>
    <t>Üniversitemiz Tıp Fakültesi İç Hastalıkları Anabilim Dalı öğretim üyelerinden Prof. Dr. Hatice Yasemin BALABAN’ın sorumlu araştırmacı olduğu, Arş. Gör. Dr. Burcu GÜRBÜZ ve Arş. Gör. Dr. Deniz ŞİMŞEK ile birlikte çalışacakları,</t>
  </si>
  <si>
    <t>“Çölyak Hastalığında Otoimmün Komorbidite Riskinin Öngörülmesi – Seroloji Temelli Stratifikasyon Modeli: İki Uluslu Çalışma”</t>
  </si>
  <si>
    <t>118.</t>
  </si>
  <si>
    <t>SBA 26/118</t>
  </si>
  <si>
    <t>Doç. Dr. Serra ÖRSTEN</t>
  </si>
  <si>
    <t>Tıbbi Laboratuvar Teknikleri Programı</t>
  </si>
  <si>
    <t>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t>
  </si>
  <si>
    <t>“Kistik Ekinokokkoz Tanısında miRNA Biyobelirteçleri: Körleme Örnekleme ve Radyolojik Bulgularla Uyum Üzerinden Klinik Entegrasyon Değerlendirilmesi”</t>
  </si>
  <si>
    <t>119.</t>
  </si>
  <si>
    <t>SBA 26/119</t>
  </si>
  <si>
    <t>Dr. Öğr. Üyesi Hilal AKDEMİR AKTAŞ</t>
  </si>
  <si>
    <t>Üniversitemiz Tıp Fakültesi Anatomi Anabilim Dalı öğretim üyelerinden Dr. Öğr. Üyesi Hilal AKDEMİR AKTAŞ’ın sorumlu araştırmacı olduğu, Dr. Öğr. Üyesi Hasan Barış ILGAZ ile birlikte çalışacakları,</t>
  </si>
  <si>
    <t>“Anatomi Eğitiminde Büyük Dil Modelleri: Farklı Sağlık Disiplinlerindeki Öğrencilerin Tutum ve Görüşleri”</t>
  </si>
  <si>
    <t>120.</t>
  </si>
  <si>
    <t>SBA 26/120</t>
  </si>
  <si>
    <t>Prof. Dr. Rıza Köksal ÖZGÜL</t>
  </si>
  <si>
    <t>Pediatrik Temel Bilimler Anabilim Dalı</t>
  </si>
  <si>
    <t>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t>
  </si>
  <si>
    <t>“İndüklenmiş Pluripotent Kök Hücrelerden Astrosit Farklılaştırılması ve Stres Uyaranları ile ECM Değişimlerinin İncelenerek Patolojilerin Modellenmesi”</t>
  </si>
  <si>
    <t>121.</t>
  </si>
  <si>
    <t>SBA 26/121</t>
  </si>
  <si>
    <t>Üniversitemiz Spor Bilimleri Fakültesi Hareket ve Antrenman Bilimleri Anabilim Dalı öğretim üyelerinden Prof. Dr. Ayşe KİN İŞLER'in sorumlu araştırmacı olduğu, Nazlı ÖZGÖR, Taylan AYTAÇ ve Arş. Gör. Dr. Mehmet Gören KÖSE ile birlikte çalışacakları,</t>
  </si>
  <si>
    <t>“Genç Cimnastikçilerde Bilateral ve Unilateral Ön-Kondisyonlanma Uygulamalarının Ekstremiteler Arası Asimetriye Etkisi ve Olgunlaşma Düzeyine Göre Değişimi"</t>
  </si>
  <si>
    <t>122.</t>
  </si>
  <si>
    <t>SBA 26/122</t>
  </si>
  <si>
    <t>Üniversitemiz Tıp Fakültesi Göğüs Cerrahisi Anabilim Dalı öğretim üyelerinden Dr. Öğr. Üyesi Serkan UYSAL’ın sorumlu araştırmacı olduğu, Arş. Gör. Dr. Ayşe ALİ HASAN birlikte çalışacakları,</t>
  </si>
  <si>
    <t>“Pulmoner Karsinoid Tümörlerde Cerrahi Tedavi, Patolojik Evreleme ve Sağkalım: 2004–2024 Retrospektif Kohort Çalışması”</t>
  </si>
  <si>
    <t>123.</t>
  </si>
  <si>
    <t>SBA 26/123</t>
  </si>
  <si>
    <t>Doç. Dr. Süleyman Nahit ŞENDUR</t>
  </si>
  <si>
    <t>Üniversitemiz Tıp Fakültesi İç Hastalıkları Anabilim Dalı öğretim üyelerinden Doç. Dr. Süleyman Nahit ŞENDUR’un sorumlu araştırmacı olduğu, Doç. Dr. Seda Hanife OĞUZ BAYKAL, Uzm. Dr. Nergis BASMACI, Uzm. Dr. Alperen Onur İŞLER ile birlikte çalışacakları,</t>
  </si>
  <si>
    <t>“Diyabetik Ketoasidoz ile Başvuran Hastaların Klinik, Tedavi ve Sonlanımlarının Retrospektif Değerlendirilmesi”</t>
  </si>
  <si>
    <t>124.</t>
  </si>
  <si>
    <t>SBA 26/124</t>
  </si>
  <si>
    <t>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t>
  </si>
  <si>
    <t>"Depresyon ve Parkinson Hastalığında beyinden Gelen Nöronal Ekstraselüler Veziküllerin Tespiti ve Karakterizasyonu"</t>
  </si>
  <si>
    <t>125.</t>
  </si>
  <si>
    <t>SBA 26/125</t>
  </si>
  <si>
    <t>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t>
  </si>
  <si>
    <t>"Nonsteroid Anti-İnflamatuar İlaçlarla Alevlenen Solunum Yolu Hastalığı Tanılı Kadınlarda Polikistik Over Sendromu Sıklığının Değerlendirilmesi"</t>
  </si>
  <si>
    <t>126.</t>
  </si>
  <si>
    <t>SBA 26/126</t>
  </si>
  <si>
    <t>Doç. Dr. Ceren ÖZKUL KOÇAK</t>
  </si>
  <si>
    <t>Farmasötik Mikrobiyoloji Anabilim Dalı</t>
  </si>
  <si>
    <t>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t>
  </si>
  <si>
    <t>“Kistik Fibrozis Hastalarından İzole Edilen Pseudomonas aeruginosa İzolatlarında Kolistin ve Tobramisinin Sub-inhibitör Düzeydeki Etkilerinin Karşılaştırmalı Transkriptomik ve Metabolomik Analizi”</t>
  </si>
  <si>
    <t>127.</t>
  </si>
  <si>
    <t>SBA 26/127</t>
  </si>
  <si>
    <t>Üniversitemiz İktisadi ve İdari Bilimler Fakültesi Sağlık Yönetimi Anabilim Dalı öğretim üyelerinden Prof. Dr. Oğuz IŞIK’ın sorumlu araştırmacı olduğu, Arş. Gör. Hamza SIĞIRCI’nın doktora tezi olan,</t>
  </si>
  <si>
    <t>“Sağlık Hizmetlerinde Yalın Yönetim: Ağız ve Diş Sağlığı Merkezi Örneği”</t>
  </si>
  <si>
    <t>128.</t>
  </si>
  <si>
    <t>SBA 26/128</t>
  </si>
  <si>
    <t>Dr. Öğr. Üyesi Ayşe METE YEŞİL</t>
  </si>
  <si>
    <t>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t>
  </si>
  <si>
    <t>“Çocukluk Çağı Kalp Hastalıklarında Uyku Sorunları ve Gelişimsel Endişeler"</t>
  </si>
  <si>
    <t>129.</t>
  </si>
  <si>
    <t>SBA 26/129</t>
  </si>
  <si>
    <t>Prof. Dr. Dilşad FOTO ÖZDEMİR</t>
  </si>
  <si>
    <t>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t>
  </si>
  <si>
    <t>“Otizm Spektrum Bozukluğu Olan Çocuklarda Ebeveyn Çocuk İlişki Kalitesi, Ebeveyn Oksitosin Düzeyi ve Ebeveynlerin Bakım Paylaşım Dengesinin Duygu Düzenleme ile İlişkisinin İncelenmesi”</t>
  </si>
  <si>
    <t>130.</t>
  </si>
  <si>
    <t>SBA 26/130</t>
  </si>
  <si>
    <t>Prof. Dr. Serdar ÖZER</t>
  </si>
  <si>
    <t>Üniversitemiz Tıp Fakültesi Kulak Burun Boğaz Anabilim Dalı öğretim üyelerinden Prof. Dr. Serdar ÖZER’in sorumlu araştırmacı olduğu, Öğr. Gör. Dr. Burçay TELLİOĞLU ile birlikte çalışacakları ve Arş. Gör. Dr. Yaşar ATAY’ın uzmanlık tezi olan,</t>
  </si>
  <si>
    <t>“Pediatrik Hastalarda Adenoidektomi ve Parasentez Sonrası Otolojik İyileşme ve Yaşam Kalitesi Değişimleri”</t>
  </si>
  <si>
    <t>131.</t>
  </si>
  <si>
    <t>SBA 26/131</t>
  </si>
  <si>
    <t>“Çölyak Hastalığında İşe Devam ve İşe Devamsızlık – Çok Merkezli Bir Çalışma”</t>
  </si>
  <si>
    <t>132.</t>
  </si>
  <si>
    <t>SBA 26/132</t>
  </si>
  <si>
    <t>Prof. Dr. Yahya BÜYÜKAŞIK</t>
  </si>
  <si>
    <t>Üniversitemiz Tıp Fakültesi İç Hastalıkları Anabilim Dalı öğretim üyelerinden Prof. Dr. Yahya BÜYÜKAŞIK’ın sorumlu araştırmacı olduğu, Arş. Gör. Dr. Dilan KAYAALP'in uzmanlık tezi olan,</t>
  </si>
  <si>
    <t>“Kemik İliği Metastazı ile Solid Tümör Tanısı Alan Hastaların Klinik ve Laboratuvar Özelliklerinin Retrospektif Analizi”</t>
  </si>
  <si>
    <t>133.</t>
  </si>
  <si>
    <t>SBA 26/133</t>
  </si>
  <si>
    <t>Prof. Dr. Aygin EKİNCİOĞLU</t>
  </si>
  <si>
    <t>Üniversitemiz Eczacılık Fakültesi Klinik Eczacılık Anabilim Dalı öğretim üyelerinden Prof. Dr. Aygin EKİNCİOĞLU’nun sorumlu araştırmacı olduğu, Prof. Dr. Ali DÜZOVA, Prof. Dr. Fatih ÖZALTIN ve Dr. Öğr. Üyesi Emine Gülşah ÖZDEMİR ile birlikte çalışacakları,</t>
  </si>
  <si>
    <t>“Pediatrik Hastalarda Kortikosteroid Kullanımına Yönelik Ebeveyn/Bakım Veren Görüşlerini Değerlendiren Bir Ölçeğin Geliştirilmesi ve Değerlendirilmesi”</t>
  </si>
  <si>
    <t>134.</t>
  </si>
  <si>
    <t>SBA 26/134</t>
  </si>
  <si>
    <t>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t>
  </si>
  <si>
    <t>“Portabl Akciğer Grafilerinde Endotrakeal Tüp Pozisyonunun Belirlenmesi ve Pnömotoraks Teşhisinde Yapay Zeka: İki Programın Karşılaştırması”</t>
  </si>
  <si>
    <t>135.</t>
  </si>
  <si>
    <t>SBA 26/135</t>
  </si>
  <si>
    <t>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t>
  </si>
  <si>
    <t>“Maksiller Darlığı Olan Hastalarda Diş-Kemik Destekli ve Saf Kemik Destekli Maksiller Ekspansiyon Yöntemlerinin Üç Boyutlu Karşılaştırılması”</t>
  </si>
  <si>
    <t>136.</t>
  </si>
  <si>
    <t>SBA 26/136</t>
  </si>
  <si>
    <t>Dr. Öğr. Üyesi Arda ÇETİNKAYA</t>
  </si>
  <si>
    <t>Biyoinformatik Anabilim Dalı</t>
  </si>
  <si>
    <t>Üniversitemiz Sağlık Bilimleri Enstitüsü Biyoinformatik Anabilim Dalı öğretim üyelerinden Dr. Öğr. Üyesi Arda ÇETİNKAYA’nın sorumlu araştırmacı olduğu, Dilay Deniz AYDOĞDU’nun yüksek lisans tezi olan,</t>
  </si>
  <si>
    <t>“Ebeveyn-Çocuk Üçlüsü Tüm Genom Dizileme Verilerinde De Novo Varyantların Güvenilir Tespitinin Araştırılması”</t>
  </si>
  <si>
    <t>137.</t>
  </si>
  <si>
    <t>SBA 26/137</t>
  </si>
  <si>
    <t>Dr. Öğr. Üyesi Ergin EROĞLU</t>
  </si>
  <si>
    <t>Üniversitemiz Tıp Fakültesi Kulak Burun Boğaz Anabilim Dalı öğretim üyelerinden Dr. Öğr Üyesi Ergin EROĞLU’nun sorumlu araştırmacı olduğu, Prof. Dr. Levent SENNAROĞLU, Doç. Dr. Ahmet İlkay IŞIKAY ve Arş. Gör. Dr. Aysun PARLAK KOCABAY ile birlikte çalışacakları,</t>
  </si>
  <si>
    <t>“İşitsel Beyinsapı İmplantasyonu Sonrası Revizyon Cerrahisi Geçirmiş Olgularda Revizyon Nedenlerinin İncelenmesi”</t>
  </si>
  <si>
    <t>138.</t>
  </si>
  <si>
    <t>SBA 26/138</t>
  </si>
  <si>
    <t>Prof. Dr. Hülya DEMİR</t>
  </si>
  <si>
    <t>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t>
  </si>
  <si>
    <t>“Karaciğer Nakli Yapılan Çocukların Değerlendirilmesi, Alıcı ve Vericinin Nakil Komplikasyonlarına Etkisi Olan Parametrelerinin Araştırılması”</t>
  </si>
  <si>
    <t>139.</t>
  </si>
  <si>
    <t>SBA 26/139</t>
  </si>
  <si>
    <t>Doç. Dr. Seda Hanife OĞUZ BAYKAL</t>
  </si>
  <si>
    <t>Üniversitemiz Tıp Fakültesi İç Hastalıkları Anabilim Dalı öğretim üyelerinden Doç. Dr. Seda Hanife OĞUZ BAYKAL'ın sorumlu araştırmacı olduğu, Prof. Dr. Uğur ÜNLÜTÜRK ve Uzm. Dr. Alperen Onur İŞLER ile birlikte çalışacakları,</t>
  </si>
  <si>
    <t>“Talasemi Hastalarında Endokrin Bozuklukların Yaşam Kalitesi Üzerine Etkisinin Değerlendirilmesi”</t>
  </si>
  <si>
    <t>140.</t>
  </si>
  <si>
    <t>SBA 26/140</t>
  </si>
  <si>
    <t>Üniversitemiz Tıp Fakültesi, İç Hastalıkları Anabilim Dalı öğretim üyelerinden Prof. Dr. Ayşe Tomris ERBAŞ’ın sorumlu araştırmacı olduğu, Prof. Dr. Selçuk DAĞDELEN, Doç. Dr. Süleyman Nahit ŞENDUR, Uzm. Dr. Nergis BASMACI ile birlikte çalışacakları,</t>
  </si>
  <si>
    <t>“Cushing Hastalarında Tedavi Geçmişi ve Sonlanımlar: Tek Merkez Deneyimi"</t>
  </si>
  <si>
    <t>141.</t>
  </si>
  <si>
    <t>SBA 26/141</t>
  </si>
  <si>
    <t>Prof. Dr. Deniz DOĞRU ERSÖZ</t>
  </si>
  <si>
    <t>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t>
  </si>
  <si>
    <t>“Kistik Fibrozis Hastalarında Solunum Fonksiyonlarını Düzeltmeye Yönelik Kalite İyileştirme Programının Geliştirilmesi”</t>
  </si>
  <si>
    <t>142.</t>
  </si>
  <si>
    <t>SBA 26/142</t>
  </si>
  <si>
    <t>Dr. Öğr. Üyesi Emre KARA</t>
  </si>
  <si>
    <t>Üniversitemiz Eczacılık Fakültesi Klinik Eczacılık Anabilim Dalı öğretim üyelerinden Dr. Öğr. Üyesi Emre KARA’nın sorumlu araştırmacı olduğu, Prof. Dr. Murat AKOVA ve Arş. Gör. Bahar ERBAY ile birlikte çalışacakları,</t>
  </si>
  <si>
    <t>“Asiklovir ve Valasiklovir İlişkili Sitopeni: Retrospektif Bir Kohort Çalışması”</t>
  </si>
  <si>
    <t>143.</t>
  </si>
  <si>
    <t>SBA 26/143</t>
  </si>
  <si>
    <t>Üniversitemiz Tıp Fakültesi Çocuk Cerrahisi Anabilim Dalı öğretim üyelerinden Prof. Dr. Tutku SOYER'in sorumlu araştırmacı olduğu, Doç. Dr. Numan DEMİR, Prof. Dr. Ali Şefik HOŞAL ile birlikte çalışacakları,</t>
  </si>
  <si>
    <t>“Özofagus Atrezili Olgularda Fiberoptik Endoskopik Yutma Testi ve Videofloroskopik Yutma Testi Değerlendirme Sonuçlarının Karşılaştırılması”</t>
  </si>
  <si>
    <t>144.</t>
  </si>
  <si>
    <t>SBA 26/144</t>
  </si>
  <si>
    <t>Prof. Dr. Nagehan EMİRALİOĞLU ORDUKAYA</t>
  </si>
  <si>
    <t>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t>
  </si>
  <si>
    <t>“Çocukluk Çağı İnterstisyel Akciğer Hastalıklarında Beslenme Durumunun Solunum Fonksiyonları ve Yaşam Kalitesi Skorları ile İlişkisinin İncelenmesi”</t>
  </si>
  <si>
    <t>145.</t>
  </si>
  <si>
    <t>SBA 26/145</t>
  </si>
  <si>
    <t>Üniversitemiz Eczacılık Fakültesi Klinik Eczacılık Anabilim Dalı öğretim üyelerinden Dr. Öğr. Üyesi Burcu KELLECİ ÇAKIR’ın sorumlu araştırmacı olduğu,Prof. Dr. Erdinç ÇETİNKAYA ve Dr. Rana Elçin SEZER ile birlikte çalışacakları,</t>
  </si>
  <si>
    <t>“Gastrointestinal Sistem Cerrahisinde Eczacı İş Birliği ile İlaç Kullanımı Modeli Geliştirilmesi”</t>
  </si>
  <si>
    <t>146.</t>
  </si>
  <si>
    <t>SBA 26/146</t>
  </si>
  <si>
    <t>Doç. Dr. Gölşah KÖK</t>
  </si>
  <si>
    <t>Gülhane Sağlık Bilimleri Üniversitesi
Hemşirelik Fakültesi
Doğum ve Kadın Hastalıkları Hemşireliği Anabilim Dalı</t>
  </si>
  <si>
    <t>Gülhane Sağlık Bilimleri Üniversitesi Hemşirelik Fakültesi Doğum ve Kadın Hastalıkları Hemşireliği Anabilim Dalı öğretim üyelerinden Doç. Dr. Gölşah KÖK'ün sorumlu araştırmacı olduğu, Seda TEMEL ve Dr. Havva ÖZDEMIR ile birlikte çalışacakları,</t>
  </si>
  <si>
    <t>"Multiple Skleroz Tamil Kadınların Menopoz Semptomları ile Menopoza Yönelik Yaşam Kalitelerinin İncelenmesi"</t>
  </si>
  <si>
    <t>147.</t>
  </si>
  <si>
    <t>SBA 26/147</t>
  </si>
  <si>
    <t>Öğr. Gör. Dr. Pınar ÖZDEMİR YAŞAR</t>
  </si>
  <si>
    <t>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t>
  </si>
  <si>
    <t>“İntrakraniyal Kitle Tanılı Erişkin Hastalarda Preoperatif ve Postoperatif Dönemde Disfaji Varlığının Gugging Swallowing Screen (GUSS) ve Functional Oral Intake Scale (FOIS) Ölçekleri ile Değerlendirilmesi: Prospektif Gözlemsel Çalışma”</t>
  </si>
  <si>
    <t>148.</t>
  </si>
  <si>
    <t>SBA 26/148</t>
  </si>
  <si>
    <t>Üniversitemiz Tıp Fakültesi İç Hastalıkları Anabilim Dalı öğretim üyelerinden Doç. Dr. Süleyman Nahit ŞENDUR’un sorumlu araştırmacı olduğu, Prof. Dr. Tomris ERBAŞ, Prof. Dr. Selçuk DAĞDELEN, Uzm. Dr. Selvi Selin TEKİN ile birlikte çalışacakları,</t>
  </si>
  <si>
    <t>“Büyük Adrenal Lezyonların Klinik, Endokrinolojik, Cerrahi ve Patolojik Özelliklerinin İncelenmesi”</t>
  </si>
  <si>
    <t>149.</t>
  </si>
  <si>
    <t>SBA 26/149</t>
  </si>
  <si>
    <t>“Diyabetik Gastroparezi Hastalarında Klinik Özellikler, Tanı Süreçleri ve Klinik Sonuçların Retrospektif Değerlendirilmesi: Tek Merkez Deneyimi”</t>
  </si>
  <si>
    <t>150.</t>
  </si>
  <si>
    <t>SBA 26/150</t>
  </si>
  <si>
    <t>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t>
  </si>
  <si>
    <t>“Fonksiyonel Nöroendokrin Tümör Olgularının Retrospektif Değerlendirilmesi: Tek Merkez Deneyim”</t>
  </si>
  <si>
    <t>151.</t>
  </si>
  <si>
    <t>SBA 26/151</t>
  </si>
  <si>
    <t>Üniversitemiz Tıp Fakültesi Göz Hastalıkları Anabilim Dalı öğretim üyelerinden Dr. Öğr. Üyesi Figen BEZCİ AYGÜN'ün sorumlu araştırmacı olduğu, Prof. Dr. Sibel KADAYIFÇILAR ve Arş. Gör. Dr. Nargız RUSTAMOVA ile birlikte çalışacakları,</t>
  </si>
  <si>
    <t>“İntravitreal Deksametazon İmplantasyonu Sonrası Gelişen Oküler Komplikasyonların Değerlendirilmesi”</t>
  </si>
  <si>
    <t>152.</t>
  </si>
  <si>
    <t>SBA 26/152</t>
  </si>
  <si>
    <t>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t>
  </si>
  <si>
    <t>“Santral Paranteral Beslenme Kontrol Listesinin Kateter İlişkili Komplikasyonlara Etkisinin Değerlendirilmesi”</t>
  </si>
  <si>
    <t>153.</t>
  </si>
  <si>
    <t>SBA 26/153</t>
  </si>
  <si>
    <t>Dr. Öğr. Üyesi Barış KAFA</t>
  </si>
  <si>
    <t>Üniversitemiz Tıp Fakültesi Ortopedi ve Travmatoloji Anabilim Dalı öğretim üyelerinden Dr. Öğr. Üyesi Barış KAFA’nın sorumlu araştırmacı olduğu, Arş. Gör. Dr. Berat YÜKSEL ile birlikte çalışacakları,</t>
  </si>
  <si>
    <t>“Humerus Suprakondiler Proses ve Struthers Ligaman Varlığının Klinik ve Radyolojik Karakteristikleri: Retrospektif Bir Arşiv Taraması”</t>
  </si>
  <si>
    <t>154.</t>
  </si>
  <si>
    <t>SBA 26/154</t>
  </si>
  <si>
    <t>Doç. Dr. Burcu HATİBOĞLU</t>
  </si>
  <si>
    <t>Üniversitemiz İktisadi ve İdari Bilimler Fakültesi Sosyal Hizmet Anabilim Dalı öğretim üyelerinden Doç. Dr. Burcu HATİBOĞLU’nun sorumlu araştırmacı olduğu, Semra GÜNDÜZ’ün doktora tezi olan,</t>
  </si>
  <si>
    <t>Toplumsal Cinsiyet ve Hegernonik Erkeklik Bağlamında Alkol Kullanım Bozukluğu olan Erkeklerin Deneyimleri: Adsız Alkolikler (AA) Örneği"</t>
  </si>
  <si>
    <t>155.</t>
  </si>
  <si>
    <t>SBA 26/155</t>
  </si>
  <si>
    <t>Dr. Öğr. Üyesi Hanife Merva PARLAK</t>
  </si>
  <si>
    <t>Üniversitemiz Diş Hekimliği Fakültesi Periodontoloji Anabilim Dalı öğretim üyelerinden Dr. Öğr. Üyesi Hanife Merva PARLAK’ın sorumlu araştırmacı olduğu,</t>
  </si>
  <si>
    <t>“Triester Gliserol Oksit Uygulamasının Postoperatif Ağrı ve Yara İyileşmesine Etkisinin Retrospektif Olarak Değerlendirilmesi”</t>
  </si>
  <si>
    <t>156.</t>
  </si>
  <si>
    <t>SBA 26/156</t>
  </si>
  <si>
    <t>Üniversitemiz Hacettepe Tıp Fakültesi Çocuk Sağlığı ve Hastalıkları Anabilim Dalı öğretim üyelerinden Prof. Dr. Yasemin ÖZSÜREKCİ’nin sorumlu araştırmacı olduğu, Arş. Gör. Dr. Osman ÇUBUK ve Arş. Gör. Dr. Osman Oğuz DEMİR ile birlikte çalışacakları,</t>
  </si>
  <si>
    <t>“Akademik Tıpta Yapay Zekâ: Benimseme, Tutum ve Niyetler”</t>
  </si>
  <si>
    <t>157.</t>
  </si>
  <si>
    <t>SBA 26/157</t>
  </si>
  <si>
    <t>Prof. Dr. Hatice DOĞAN BUZOĞLU</t>
  </si>
  <si>
    <t>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t>
  </si>
  <si>
    <t>“Lipit Mediyatör Maresin 1'in İnflamasyon Ortamında Dental Pulpa Kök Hücreleri Üzerine Etkisi”</t>
  </si>
  <si>
    <t>158.</t>
  </si>
  <si>
    <t>SBA 26/158</t>
  </si>
  <si>
    <t>Doç. Dr. Almıla Gülsün PAMUK</t>
  </si>
  <si>
    <t>Üniversitemiz Tıp Fakültesi Anesteziyoloji ve Reanimasyon Anabilim Dalı öğretim üyelerinden Doç. Dr. Almıla Gülsün PAMUK’un sorumlu araştırmacı olduğu, Arş. Gör. Dr. Muhammed Raşit HIZ'ın uzmanlık tezi olan,</t>
  </si>
  <si>
    <t>“Ultrasonografi ile Ölçülen Cilt-Epiglot Mesafesinin Zor Entübasyonu Öngörmedeki Değeri”</t>
  </si>
  <si>
    <t>159.</t>
  </si>
  <si>
    <t>SBA 26/159</t>
  </si>
  <si>
    <t>Doç. Dr. Gamze ATAY</t>
  </si>
  <si>
    <t>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t>
  </si>
  <si>
    <t>“Hepatik Steatozun ve Fibrozisin Derecesi ile İşitsel ve Denge Fonksiyonları Arasındaki İlişkinin İncelenmesi”</t>
  </si>
  <si>
    <t>160.</t>
  </si>
  <si>
    <t>SBA 26/160</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</si>
  <si>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</si>
  <si>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“Bakteriyel Enfeksiyon Tanısı Alan ve Tedavi Edilen Çocuk Hastaların Retrospektif olarak İncelenmesi”</t>
  </si>
  <si>
    <t>KONTROL EDİLDİ
22/05/2026</t>
  </si>
  <si>
    <t>161.</t>
  </si>
  <si>
    <t>SBA 26/161</t>
  </si>
  <si>
    <t>Üniversitemiz Eczacılık Fakültesi Klinik Eczacılık Anabilim Dalı öğretim üyelerinden Dr. Öğr. Üyesi Burcu KELLECİ ÇAKIR'ın sorumlu araştırmacı olduğu, Doç. Dr. Cafer BALCI, Arş. Gör. Uğur BALABAN, Arş. Gör. Tubanur KOCAASLAN ile birlikte çalışacakları,</t>
  </si>
  <si>
    <t>“Yaşlı Hastalarda Stres Hiperglisemi Oranının Malnütrisyon, Kırılganlık ve Sarkopeni ile İlişkisinin Değerlendirilmesi</t>
  </si>
  <si>
    <t>162.</t>
  </si>
  <si>
    <t>SBA 26/162</t>
  </si>
  <si>
    <t>Doç. Dr. Hilal KORKMAZ</t>
  </si>
  <si>
    <t>Fizyoloji Anabilim Dalı</t>
  </si>
  <si>
    <t>Üniversitemiz Tıp Fakültesi Fizyoloji Anabilim Dalı öğretim üyelerinden Doç. Dr. Hilal KORKMAZ'ın sorumlu araştırmacı olduğu, Aslı DEMİR, Miyase Nur ÖZTÜRK, Saliha Sena YILDIZ, Sena AYDIN ile birlikte çalışacakları,</t>
  </si>
  <si>
    <t>“Menstrüel Siklusun Farklı Fazlarında Değişen İştah ve Aşerme Düzeyleri ile Plazma Oksitosin Seviyesi Arasındaki İlişki</t>
  </si>
  <si>
    <t>163.</t>
  </si>
  <si>
    <t>SBA 26/163</t>
  </si>
  <si>
    <t>Üniversitemiz Tıp Fakültesi İç Hastalıkları Anabilim Dalı öğretim üyelerinden Doç. Dr. Mert EŞME’nin sorumlu araştırmacı olduğu, Arş. Gör. Dr. Cansu ÇIKIN ile birlikte çalışacakları ve Arş. Gör. Dr. Mustafa Utku UĞUR’un uzmanlık tezi olan,</t>
  </si>
  <si>
    <t>“Perkütan Koroner Girişimin Geriatrik Hastalarda Fonksiyonel Performans, Kırılganlık ve Geriatrik Sendromlar ile İlişkisi”</t>
  </si>
  <si>
    <t>164.</t>
  </si>
  <si>
    <t>SBA 26/164</t>
  </si>
  <si>
    <t>Üniversitemiz Tıp Fakültesi Kadın Hastalıkları ve Doğum Anabilim Dalı öğretim üyelerinden Dr. Öğr. Üyesi Gonca ÖZTEN DERE'nin sorumlu araştırmacı olduğu, Prof. Dr. İlkay Sedakat İDİLMAN, Arş. Gör. Dr. Fatma CANER ÇABUKOĞLU ve Arş. Gör. Dr. Onur Ege TARI ile birlikte çalışacakları,</t>
  </si>
  <si>
    <t>“Uterus Elastikiyetinin İntra Uterin İnseminasyon (IUI) Sonuçları ile İlişkisinin Prospektif Olarak İncelenmesi”</t>
  </si>
  <si>
    <t>165.</t>
  </si>
  <si>
    <t>SBA 26/165</t>
  </si>
  <si>
    <t>Üniversitemiz Tıp Fakültesi Kadın Hastalıkları ve Doğum Anabilim Dalı öğretim üyelerinden Dr. Öğr. Üyesi Gonca ÖZTEN DERE'in sorumlu araştırmacı olduğu, Prof. Dr. İlkay Sedakat İDİLMAN, Arş. Gör. Dr. Fatma CANER ÇABUKOĞLU ve Arş. Gör. Dr. Onur Ege TARI ile birlikte çalışacakları,</t>
  </si>
  <si>
    <t>“Uterus Elastikiyetinin İn Vitro Fertilizasyon Sonuçları ile İlişkisinin Prospektif Olarak İncelenmesi”</t>
  </si>
  <si>
    <t>166.</t>
  </si>
  <si>
    <t>SBA 26/166</t>
  </si>
  <si>
    <t>Üniversitemiz Tıp Fakültesi Ortopedi ve Travmatoloji Anabilim Dalı öğretim üyelerinden Prof. Dr. Mehmet AYVAZ’ın sorumlu araştırmacı olduğu, Arş. Gör. Dr. İpek IŞIK ile birlikte çalışacakları,</t>
  </si>
  <si>
    <t>“Pediatrik Osteoid Osteoma Hastalarında Bilgisayarlı Tomografi Eşliğinde Radyofrekans Ablasyon Tedavisi Sonrası Nüks ile İlişkili Risk Faktörlerinin Değerlendirilmesi”</t>
  </si>
  <si>
    <t>167.</t>
  </si>
  <si>
    <t>SBA 26/167</t>
  </si>
  <si>
    <t>“Elde Tendon Kılıfı Dev Hücreli Tümörlerinde Cerrahi Tedavi Sonrası Fonksiyonel ve Klinik Sonuçların Değerlendirilmesi”</t>
  </si>
  <si>
    <t>168.</t>
  </si>
  <si>
    <t>SBA 26/168</t>
  </si>
  <si>
    <t>Üniversitemiz Tıp Fakültesi Nöroloji Anabilim Dalı öğretim üyelerinden Prof. Dr. Çağrı Mesut TEMUÇİN’in sorumlu araştırmacı olduğu, Prof. Dr. Fatma Gökçem YILDIZ SARIKAYA ve Uzm. Dr. Handan UZUNÇAKMAK UYANIK ile birlikte çalışacakları,</t>
  </si>
  <si>
    <t>“Tremor Simülasyonunda Doğruluk, Stabilite ve Uyarılabilirlik Bağlamında Metronom Tiplerinin İncelenmesi ile Burstlerin Sürüklenme Açısından Analizi”</t>
  </si>
  <si>
    <t>169.</t>
  </si>
  <si>
    <t>SBA 26/169</t>
  </si>
  <si>
    <t>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t>
  </si>
  <si>
    <t>“01/01/2015-31/12/2025 Tarihleri Arasındaki Gestasyonel Trofoblastik Hastalık Olgularının Klinik, Tanı ve Tedavi Protokollerinin Etkinliği, Rekürrens, Tedavi Direnci, Fertilite Üzerindeki Etkilerinin Çok Yönlü Değerlendirilmesi”</t>
  </si>
  <si>
    <t>170.</t>
  </si>
  <si>
    <t>SBA 26/170</t>
  </si>
  <si>
    <t>Doç. Dr. Derman BAŞARAN</t>
  </si>
  <si>
    <t>Üniversitemiz Tıp Fakültesi Kadın Hastalıkları ve Doğum Anabilim Dalı öğretim üyelerinden Doç. Dr. Derman BAŞARAN’ın sorumlu araştırmacı olduğu, Arş. Gör. Dr. Murat CENGİZ ve Arş. Gör. Dr. Fatma CANER ÇABUKOĞLU ile birlikte çalışacakları,</t>
  </si>
  <si>
    <t>“01/01/2013–01/01/2026 Tarihleri Arasında Servikal Adenokarsinoma İn Situ Tanılı Hastalarda Eksizyonel Tedavi Sonrası Rezidü Hastalık Sıklığı ve İlişkili Faktörler: Çok Merkezli Retrospektif Kohort Çalışma”</t>
  </si>
  <si>
    <t>171.</t>
  </si>
  <si>
    <t>SBA 26/171</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</si>
  <si>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</si>
  <si>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“Brucella Tanısı ile İzlenen Çocuk Hastaların Klinik, Laboratuvar ve Tedavi Yanıtlarının Değerlendirmesi, Çok Merkezli Çalışma”</t>
  </si>
  <si>
    <t>172.</t>
  </si>
  <si>
    <t>SBA 26/172</t>
  </si>
  <si>
    <t>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t>
  </si>
  <si>
    <t>“Geriatrik Sendromlar ile Hareket Analizi Ölçümlerinin İlişkisinin İncelenmesi”</t>
  </si>
  <si>
    <t>173.</t>
  </si>
  <si>
    <t>SBA 26/173</t>
  </si>
  <si>
    <t>Doç. Dr. Duygu GÜLSEREN</t>
  </si>
  <si>
    <t>Üniversitemiz Tıp Fakültesi Deri ve Zührevi Hastalıkları Anabilim Dalı öğretim üyelerinden Doç. Dr. Duygu GÜLSEREN’in sorumlu araştırmacı olduğu, Dr. Öğr. Üyesi Özay GÖKÖZ, Arş. Gör. Dr. Deniz TATAR ile birlikte çalışacakları,</t>
  </si>
  <si>
    <t>“Folikülitis Dekalvans Hastalarında Histopatolojik Bulgular ve Sistemik İnflamatuvar İndekslerin Refrakter Hastalık ile İlişkisinin Değerlendirilmesi”</t>
  </si>
  <si>
    <t>174.</t>
  </si>
  <si>
    <t>SBA 26/174</t>
  </si>
  <si>
    <t>Prof. Dr. Egemen TURHAN</t>
  </si>
  <si>
    <t>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t>
  </si>
  <si>
    <t>“Tenosinoviyal Dev Hücreli Tümör/Pigmente Villonodüler Sinovit (TGCT/PVNS) Hastalarında Kan Plazması ve Sinoviyal Sıvının Metabolomik Profillerinin Q-TOF LC/MS ile Karşılaştırılması”</t>
  </si>
  <si>
    <t>175.</t>
  </si>
  <si>
    <t>SBA 26/175</t>
  </si>
  <si>
    <t>Prof. Dr. Sevinç SARINÇ</t>
  </si>
  <si>
    <t>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t>
  </si>
  <si>
    <t>“İnterstisyel Akciğer Hastalığı Tanılı Hastalarda Uyku Solunum Bozukluklarının Kapsamlı Analizi”</t>
  </si>
  <si>
    <t>176.</t>
  </si>
  <si>
    <t>SBA 26/176</t>
  </si>
  <si>
    <t>Prof. Dr. Serdar TEKGÜL</t>
  </si>
  <si>
    <t>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t>
  </si>
  <si>
    <t>“Primer Vezikoüreteral Reflü Olan Çocuk Hastalarda Açık Cerrahi ile Üreteral Reimplantasyon Sonuçlarımızın Değerlendirilmesi”</t>
  </si>
  <si>
    <t>177.</t>
  </si>
  <si>
    <t>SBA 26/177</t>
  </si>
  <si>
    <t>Doç. Dr. Mesut ALTAN</t>
  </si>
  <si>
    <t>Üniversitemiz Tıp Fakültesi Üroloji Anabilim Dalı öğretim üyelerinden Doç. Dr. Mesut ALTAN’ın sorumlu araştırmacı olduğu, Arş. Gör. Dr. Rabia HİZARCİ BAL ile birlikte çalışacakları,</t>
  </si>
  <si>
    <t>“Radikal SistoprostatektomiYapılan Hastalarda İnsidental Tespit Edlen Prostat Kanserinin Görülme Sıklığı, Klinikopatolojik Özellikleri ve Sağkalım Üzerindeki Etkisi: Tek Merkezli Bir Analiz”</t>
  </si>
  <si>
    <t>178.</t>
  </si>
  <si>
    <t>SBA 26/178</t>
  </si>
  <si>
    <t>“Radikal Sistektomi Operasyonu Yapılan Hastalarda Nefroüreteroileal Stentlerin Uzun Dönem Sonuçları”</t>
  </si>
  <si>
    <t>179.</t>
  </si>
  <si>
    <t>SBA 26/179</t>
  </si>
  <si>
    <t>Doç. Dr. İzzet FİDANCI</t>
  </si>
  <si>
    <t>Aile Hekimliği Anabilim Dalı</t>
  </si>
  <si>
    <t>Üniversitemiz Tıp Fakültesi Aile Hekimliği Anabilim Dalı öğretim üyelerinden Doç. Dr .İzzet FİDANCI’nın sorumlu araştırmacı olduğu, Doç. Dr. Hilal AKSOY ve Doç. Dr. Duygu AYHAN BAŞER ile birlikte çalışacakları,</t>
  </si>
  <si>
    <t>“Üniversite Öğrencilerinde Yanmalı Sigara, Elektronik Sigara ve Isıtılmış Tütün Kullanımına Göre Karbonmonoksit Düzeyleri ve Nikotin Bağımlılığı: Karma Yöntem Çalışması”</t>
  </si>
  <si>
    <t>180.</t>
  </si>
  <si>
    <t>SBA 26/180</t>
  </si>
  <si>
    <t>Üniversitemiz Tıp Fakültesi İç Hastalıkları Anabilim Dalı öğretim üyelerinden Doç. Dr. Levent KILIÇ’ın sorumlu araştırmacı olduğu, Arş. Gör. Dr. Deniz DÖNMEZ ile birlikte çalışacakları ve Arş. Gör. Dr. Selin ÇETİN’in uzmanlık tezi olan,</t>
  </si>
  <si>
    <t>“Aksiyel Spondiloartrit ve Psöriatik Artrit Hastalarında JAK İnhibitörlerinin Etkinlik ve Güvenlik Profili: Tek Merkezli Retrospektif Gerçek Yaşam Verisi”</t>
  </si>
  <si>
    <t>181.</t>
  </si>
  <si>
    <t>SBA 26/181</t>
  </si>
  <si>
    <t>Doç. Dr. Basri GÜLBAKAN</t>
  </si>
  <si>
    <t>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t>
  </si>
  <si>
    <t>“Kalıtsal Metabolik Hastalıklarda İtakonatın İnflamasyondaki Rolünün Araştırılması”</t>
  </si>
  <si>
    <t>182.</t>
  </si>
  <si>
    <t>SBA 26/182</t>
  </si>
  <si>
    <t>Dr. Öğr. Üyesi Merva PARLAK</t>
  </si>
  <si>
    <t>Üniversitemiz Diş Hekimliği Fakültesi Periodontoloji Anabilim Dalı öğretim üyelerinden Dr. Öğr. Üyesi Hanife Merva PARLAK’ın sorumlu araştırmacı olduğu, Öğr. Gör. Dt. Meltem ÖZDEMİR-KABALAK ile birlikte çalışacakları,</t>
  </si>
  <si>
    <t>“Oral Cerrahi İşlem Gereken Bireylerin Preoperatif Siberkondri Ciddiyeti ile Anksiyete ve Cerrahi Korku Seviyelerinin Değerlendirilmesi”</t>
  </si>
  <si>
    <t>183.</t>
  </si>
  <si>
    <t>SBA 26/183</t>
  </si>
  <si>
    <t>Prof. Dr. Mustafa Barış GÜNCÜ</t>
  </si>
  <si>
    <t>Üniversitemiz Diş Hekimliği Fakültesi Protetik Diş Tedavisi Anabilim Dalı öğretim üyelerinden Prof. Dr. Mustafa Barış GÜNCÜ’nün sorumlu araştırmacı olduğu, Arş. Gör. Dt. Eda Gül KAYIR'ın uzmanlık tezi olan,</t>
  </si>
  <si>
    <t>“Tam Ark İmplant Ölçülerinde Fotogrametri ve Ağız İçi Tarama Yöntemlerinin Doğruluğunun Değerlendirilmesi”</t>
  </si>
  <si>
    <t>184.</t>
  </si>
  <si>
    <t>SBA 26/184</t>
  </si>
  <si>
    <t>Dr. Öğr. Üyesi Aybüke USLU TEKCE</t>
  </si>
  <si>
    <t>Restoratif Diş Tedavisi Anabilim Dalı</t>
  </si>
  <si>
    <t>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t>
  </si>
  <si>
    <t>“Farklı Remineralize Edici Ajanların Diyot Lazer ile Beyazlatma Uygulama Sırasına Bağlı Yüzey Özelliklerine Etkisi”</t>
  </si>
  <si>
    <t>185.</t>
  </si>
  <si>
    <t>SBA 26/185</t>
  </si>
  <si>
    <t>Üniversitemiz Tıp Fakültesi Radyoloji Anabilim Dalı öğretim üyelerinden Doç. Dr. Gamze DURHAN’ın sorumlu araştırmacı olduğu, Prof. Dr. Sercan AKSOY ile birlikte çalışacakları ve Arş. Gör. Dr. İsmail Cihat CANKURTARAN’ın uzmanlık tezi olan,</t>
  </si>
  <si>
    <t>“Mamografide Yapay Zekanın Risk Skoru Davranışı ve İnterval Kanser Tespit Performansı”</t>
  </si>
  <si>
    <t>186.</t>
  </si>
  <si>
    <t>SBA 26/186</t>
  </si>
  <si>
    <t>Üniversitemiz Tıp Fakültesi Kadın Hastalıkları ve Doğum Anabilim Dalı öğretim üyelerinden Dr. Öğr. Üyesi Gonca ÖZTEN DERE’nin sorumlu araştırmacı olduğu, Dr. Öğr. Üyesi Onur İNCE, Dr. Öğr. Üyesi Ali Can GÜNEŞ, Arş. Gör. Dr. Işıl Damla DİNÇ ve Arş. Gör. Dr. Fatma CANER ÇABUKOĞLU ile birlikte çalışacakları,</t>
  </si>
  <si>
    <t>“IVF Gebeliklerinde İlk Trimester Baş Popo Mesafesi Uyumsuzluğu: Gebelik Sonuçlarının Retrospektif Değerlendirilmesi”</t>
  </si>
  <si>
    <t>187.</t>
  </si>
  <si>
    <t>SBA 26/187</t>
  </si>
  <si>
    <t>Dr. Öğr. Üyesi Muhammed Çağrı KÜLEKCİ</t>
  </si>
  <si>
    <t>Üniversitemiz Tıp Fakültesi Kulak Burun Boğaz Hastalıkları Anabilim Dalı öğretim üyelerinden Dr. Öğr. Üyesi Muhammed Çağrı KÜLEKCİ’nın sorumlu araştırmacı olduğu, Arş. Gör. Dr. Erdem Ersan AKYÜREK ile birlikte çalışacakları,</t>
  </si>
  <si>
    <t>“Nazofaringeal Stenozun Cerrahi Tedavisinde Nazoseptal Flep Etkinliğinin Araştırılması”</t>
  </si>
  <si>
    <t>188.</t>
  </si>
  <si>
    <t>SBA 26/188</t>
  </si>
  <si>
    <t>Doç. Dr. Tekin AKSU</t>
  </si>
  <si>
    <t>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t>
  </si>
  <si>
    <t>“Santral Venöz Kateter İlişkili Trombozlarda Risk Faktörleri ve Risk Skorlaması: Prospektif Gözlemsel Çalışma”</t>
  </si>
  <si>
    <t>189.</t>
  </si>
  <si>
    <t>SBA 26/189</t>
  </si>
  <si>
    <t>Öğr. Gör. Dr. Helin YÜCEDAĞ GÜNDOĞDU</t>
  </si>
  <si>
    <t>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t>
  </si>
  <si>
    <t>“Arteria Transversa Faciei’nin BT Anjiyografi ile Görüntülenmesi: Cerrahi Planlamaya Katkılar”</t>
  </si>
  <si>
    <t>190.</t>
  </si>
  <si>
    <t>SBA 26/190</t>
  </si>
  <si>
    <t>Dr. Öğr. Üyesi Özge YAVUZ SARI</t>
  </si>
  <si>
    <t>Üniversitemiz Tıp Fakültesi Halk Sağlığı Anabilim Dalı öğretim üyelerinden Dr. Öğr. Üyesi Özge YAVUZ SARI’nın sorumlu araştırmacı olduğu, Prof. Dr. Cavit Işık YAVUZ ve Prof. Dr. Hakan YARDIMCI ile birlikte çalışacakları,</t>
  </si>
  <si>
    <t>“Veteriner Hekimlerin Soğuk Zincir Uygulamalarına İlişkin Bazı Bilgi ve Görüşlerinin Değerlendirilmesi”</t>
  </si>
  <si>
    <t>191.</t>
  </si>
  <si>
    <t>SBA 26/191</t>
  </si>
  <si>
    <t>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t>
  </si>
  <si>
    <t>“Çocuklarda Respiratuvar Sinsityal Virüs Enfeksiyonunun Akciğer Dışı Bulguları”</t>
  </si>
  <si>
    <t>192.</t>
  </si>
  <si>
    <t>SBA 26/192</t>
  </si>
  <si>
    <t>Arş. Gör. Dr. Şükran BAYRAK</t>
  </si>
  <si>
    <t>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t>
  </si>
  <si>
    <t>“Çocuk Acilde Derin Boyun Enfeksiyonlarının Retrospektif Değerlendirilmesi"</t>
  </si>
  <si>
    <t>193.</t>
  </si>
  <si>
    <t>SBA 26/193</t>
  </si>
  <si>
    <t>Üniversitemiz Tıp Fakültesi Nöroloji Anabilim Dalı öğretim üyelerinden Prof. Dr. Neşe DERİCİOĞLU'nun sorumlu araştırmacı olduğu, Arş. Gör. Dr. İlker ARSLAN ile birlikte çalışacakları,</t>
  </si>
  <si>
    <t>“Trifazik Dalgaların Faz-Spesifik Morfolojik Özelliklerinin Kantitatif Değerlendirilmesi ve Etiyolojiye Göre Karşılaştırılması: Retrospektif Bir Çalışma”</t>
  </si>
  <si>
    <t>194.</t>
  </si>
  <si>
    <t>SBA 26/194</t>
  </si>
  <si>
    <t>Prof. Dr. Jale KARAKAYA</t>
  </si>
  <si>
    <t>Biyoistatistik Anabilim Dalı</t>
  </si>
  <si>
    <t>Üniversitemiz Tıp Fakültesi Biyoistatistik Anabilim Dalı öğretim üyelerinden Prof. Dr. Jale KARAKAYA’nın sorumlu araştırmacı olduğu, Doç. Dr. Gamze DURHAN ve Arş. Gör. Hanife AVCI ile birlikte çalışacakları,</t>
  </si>
  <si>
    <t>“Dijital Mamografi Görüntülerinde Evrişimsel Sinir Ağları ile Meme Kitlelerinin Otomatik Tespiti, Lokalizasyonu ve Histopatolojiye Dayalı Alt Tip Sınıflandırılması”</t>
  </si>
  <si>
    <t>195.</t>
  </si>
  <si>
    <t>SBA 26/195</t>
  </si>
  <si>
    <t>Dr. Öğr. Üyesi Aycan UYSAL</t>
  </si>
  <si>
    <t>Üniversitemiz Tıp Fakültesi Radyoloji Anabilim Dalı öğretim üyelerinden Dr. Öğr. Üyesi Aycan UYSAL’ın sorumlu araştırmacı olduğu, Prof. Dr. Emre ÜNAL ile birlikte çalışacakları,</t>
  </si>
  <si>
    <t>“Perkütan Endolüminal Forseps Biyopsilerinin Teknik ve Tanısal Performansı: Endobiliyer ve Endoüreteral Lezyonlar”</t>
  </si>
  <si>
    <t>196.</t>
  </si>
  <si>
    <t>SBA 26/196</t>
  </si>
  <si>
    <t>Üniversitemiz Tıp Fakültesi Anatomi Anabilim Dalı öğretim üyelerinden Doç. Dr. Ceren GÜNENÇ BEŞER’in sorumlu araştırmacı olduğu, Doç. Dr. Damla HANALİOĞLU'nun yüksek lisans tezi olan,</t>
  </si>
  <si>
    <t>“Pediatrik Kardiyopulmoner Resüsitasyonda Kesintisiz Göğüs Kompresyonları Altında Video ve Direkt Laringoskopinin Karşılaştırılması: Randomize Simülasyon Çalışması”</t>
  </si>
  <si>
    <t>197.</t>
  </si>
  <si>
    <t>SBA 26/197</t>
  </si>
  <si>
    <t>Prof. Dr. Mustafa CANKURTARAN</t>
  </si>
  <si>
    <t>Üniversitemiz Tıp Fakültesi İç Hastalıkları Anabilim Dalı öğretim üyelerinden Prof. Dr. Mustafa CANKURTARAN’ın sorumlu araştırmacı olduğu, Arş. Gör. Dr. Murat PEHLİVAN ile birlikte çalışacakları,</t>
  </si>
  <si>
    <t>“Mekanik Ventilasyon Uygulanan Geriatrik Hastalarda Solunum Yolu Mikrobiyom Disbiyozisi ve Pulmoner İnflamaging”</t>
  </si>
  <si>
    <t>198.</t>
  </si>
  <si>
    <t>SBA 26/198</t>
  </si>
  <si>
    <t>“Akut Gastrointestinal Kanamalı Geriatrik Hastalarda İnflamatuvar, Nütrisyonel İndekslerin ve Demans Durumunun Analizi”</t>
  </si>
  <si>
    <t>199.</t>
  </si>
  <si>
    <t>SBA 26/199</t>
  </si>
  <si>
    <t>“Suboptimal Ekokardiyografilerde Tanısal Belirsizlik ve Doğal Dil İşleme Analizi”</t>
  </si>
  <si>
    <t>200.</t>
  </si>
  <si>
    <t>SBA 26/200</t>
  </si>
  <si>
    <t>Dr. Öğr. Üyesi Hatice BOYACIOĞLU ERDEN</t>
  </si>
  <si>
    <t>Üniversitemiz Diş Hekimliği Fakültesi Ağız, Diş ve Çene Radyolojisi Anabilim Dalı öğretim üyelerinden Dr. Öğr. Üyesi Hatice BOYACIOĞLU ERDEN’in sorumlu araştırmacı olduğu,</t>
  </si>
  <si>
    <t>“Konik Işınlı Bilgisayarlı Tomografi Kullanılarak Maksiller İkinci Premoların Sagittal Kesitinde Pulpa/Diş Alan Oranının Yetişkinlerde Yaş Tahmini İçin Değerlendirilmesi”</t>
  </si>
  <si>
    <t>201.</t>
  </si>
  <si>
    <t>SBA 26/201</t>
  </si>
  <si>
    <t>Üniversitemiz Tıp Fakültesi İç Hastalıkları Anabilim Dalı öğretim üyelerinden Prof. Dr. Meltem Gülhan HALİL’in sorumlu araştırmacı olduğu, Arş. Gör. Dr. Ceyda KAYABAŞI ile birlikte çalışacakları,</t>
  </si>
  <si>
    <t>“Diabetes Mellitus Tanısı Olmayan Yaşlı Bireylerde Düşük Hba1c Düzeylerinin Mortalite ile İlişkisi”</t>
  </si>
  <si>
    <t>202.</t>
  </si>
  <si>
    <t>SBA 26/202</t>
  </si>
  <si>
    <t>Dr. Öğr. Üyesi Ezgi DOĞAN CÖMERT</t>
  </si>
  <si>
    <t>Gıda Bilimleri Anabilim Dalı</t>
  </si>
  <si>
    <t>Üniversitemiz Mühendislik Fakültesi Gıda Bilimleri Anabilim Dalı öğretim üyelerinden Dr. Öğr. Üyesi Ezgi DOĞAN CÖMERT’in sorumlu araştırmacı olduğu, Prof. Dr. Vural GÖKMEN ile birlikte çalışacakları,</t>
  </si>
  <si>
    <t>“Farklı Pektin-Protein Komplekslerinin in vitro Kolonik Fermentasyon Davranışlarının İncelenmesi: Distal Kolona Yönelik İngrediyen Tasarımı”</t>
  </si>
  <si>
    <t>203.</t>
  </si>
  <si>
    <t>SBA 26/203</t>
  </si>
  <si>
    <t>Dr. Öğr. Üyesi Salih Eren MERAL</t>
  </si>
  <si>
    <t>Üniversitemiz Diş Hekimliği Fakültesi Ağız, Diş ve Çene Cerrahisi Anabilim Dalı öğretim üyelerinden Dr. Öğr. Üyesi Salih Eren MERAL’in sorumlu araştırmacı olduğu, Prof. Dr. Hakan Hıfzı TÜZ ve Dr. Öğr. Üye. Onur KOÇ ile birlikte çalışacakları,</t>
  </si>
  <si>
    <t>“Dijital Cerrahi Planlama Temelli Genioplasti Uygulamalarında Konvansiyonel Miniplak ve Kişiye Özel İmplant Fiksasyonlarının Doğruluğunun Retrospektif Olarak Değerlendirilmesi”</t>
  </si>
  <si>
    <t>204.</t>
  </si>
  <si>
    <t>SBA 26/204</t>
  </si>
  <si>
    <t>Üniversitemiz Tıp Fakültesi Deri ve Zührevi Hastalıklar Anabilim Dalı öğretim üyelerinden Doç. Dr. Duygu GÜLSEREN'in sorumlu araştırmacı olduğu, Arş. Gör. Dr. Metin ZEYREK ile birlikte çalışacakları,</t>
  </si>
  <si>
    <t>“Farklı Anatomik Bölgelerde Yerleşen Skuamöz Hücreli Karsinomların Dermoskopik Varyasyonları ve Tanısal İpuçlarının Değerlendirilmesi”</t>
  </si>
  <si>
    <t>205.</t>
  </si>
  <si>
    <t>SBA 26/205</t>
  </si>
  <si>
    <t>Prof. Dr. Murat TUNCEL</t>
  </si>
  <si>
    <t>Üniversitemiz Tıp Fakültesi Nükleer Tıp Anabilim Dalı öğretim üyelerinden Prof. Dr. Murat TUNCEL’in sorumlu araştırmacı olduğu, Prof. Dr. Meltem ÇAĞLAR TUNCALI ile birlikte çalışacakları,</t>
  </si>
  <si>
    <t>“Baş Boyun Tümörlerinde Kullanılan Anatomik ve Moleküler Görüntülemeye Ait Tanı Kriterlerinin Performanslarının Karşılaştırılması”</t>
  </si>
  <si>
    <t>206.</t>
  </si>
  <si>
    <t>SBA 26/206</t>
  </si>
  <si>
    <t>Prof. Dr. Özgür UĞURLUOĞLU</t>
  </si>
  <si>
    <t>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t>
  </si>
  <si>
    <t>“Koroner Arter Bypass Greft Cerrahisinde Hastanede Yatış Süresini Etkileyen Faktörlerin Makine Öğrenmesi Modelleri ile Analizi”</t>
  </si>
  <si>
    <t>207.</t>
  </si>
  <si>
    <t>SBA 26/207</t>
  </si>
  <si>
    <t>Doç. Dr. Adalet Elçin YILDIZ</t>
  </si>
  <si>
    <t>Üniversitemiz Tıp Fakültesi Radyoloji Anabilim Dalı öğretim üyelerinden Doç. Dr. Adalet Elçin YILDIZ’ın sorumlu araştırmacı olduğu, Öğr. Üyesi Ahmet Gürkan ERDEMİR ile birlikte çalışacakları,</t>
  </si>
  <si>
    <t>“BONEZ – Bone ONcological Evaluation Via Zero/Ultrashort Echo Time MRI”</t>
  </si>
  <si>
    <t>208.</t>
  </si>
  <si>
    <t>SBA 26/208</t>
  </si>
  <si>
    <t>Üniversitemiz Tıp Fakültesi Kadın Hastalıkları ve Doğum Anabilim Dalı öğretim üyelerinden Dr. Öğr. Üyesi Murat ÇAĞAN’ın sorumlu araştırmacı olduğu, Arş. Gör. Dr. Shahla GASIMOVA’nın uzmanlık tezi olan,</t>
  </si>
  <si>
    <t>“Hacettepe Gebe Okulu’nda Eğitim Alan Gebelerin Maternal, Fetal ve Obstetrik Sonuçlarının Prospektif Olarak Değerlendirilmesi”</t>
  </si>
  <si>
    <t>209.</t>
  </si>
  <si>
    <t>SBA 26/209</t>
  </si>
  <si>
    <t>Doç. Dr. Duygu AYHAN BAŞER</t>
  </si>
  <si>
    <t>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t>
  </si>
  <si>
    <t>“Glutensiz Beslenme Nedenleri ve Glutensiz Beslenmeye Dair Bilgi Düzeyi İlişkisi: Kesitsel Çalışma”</t>
  </si>
  <si>
    <t>210.</t>
  </si>
  <si>
    <t>SBA 26/210</t>
  </si>
  <si>
    <t>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t>
  </si>
  <si>
    <t>“Prostat Kanseri Hastalarında Definitif Radyoterapi Sonrası Nüksün Tespitinde Ga-68 PSMA PET/BT'nin Rolü”</t>
  </si>
  <si>
    <t>211.</t>
  </si>
  <si>
    <t>SBA 26/211</t>
  </si>
  <si>
    <t>Doç. Dr. İdil Rana USER KILIÇ</t>
  </si>
  <si>
    <t>Üniversitemiz Tıp Fakültesi Çocuk Cerrahisi Anabilim Dalı öğretim üyelerinden Doç. Dr. İdil Rana USER KILIÇ’ın sorumlu araştırmacı olduğu, Prof. Dr. Saniye EKİNCİ, Doç. Dr. Burak ARDIÇLI, Arş. Gör. Dr. Tunç TIĞLI ile birlikte çalışacakları,</t>
  </si>
  <si>
    <t>“Kompleks Obstrüktif Üropatili Çocuklarda Geçici Üriner Diversiyon Yöntemi Olarak Üreterokütaneostominin Klinik Değerlendirmesi”</t>
  </si>
  <si>
    <t>212.</t>
  </si>
  <si>
    <t>SBA 26/212</t>
  </si>
  <si>
    <t>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t>
  </si>
  <si>
    <t>“Pilonidal Hastalıkta Minimal İnvaziv Cerrahi: Ergen Olgularda Gips Prosedürünün Değerlendirilmesi”</t>
  </si>
  <si>
    <t>213.</t>
  </si>
  <si>
    <t>SBA 26/213</t>
  </si>
  <si>
    <t>Doç. Dr. Bengisu AKARSU GÜVEN</t>
  </si>
  <si>
    <t>Üniversitemiz Diş Hekimliği Fakültesi Ortodonti Anabilim Dalı öğretim üyelerinden Doç. Dr. Bengisu AKARSU GÜVEN’in sorumlu araştırmacı olduğu, Arş. Gör. Dt. Aybüke ÖZYALIN ÖZEROL ile birlikte çalışacakları,</t>
  </si>
  <si>
    <t>“Hacettepe Üniversitesi Tıp Fakültesi Dudak Damak Yarığı ve Kraniyomaksiller Şekil Bozukluğu Tedavi Uygulama ve Araştırma Merkezi’ne Başvuran Hastaların Demografik ve Klinik Özelliklerinin Deskriptif Değerlendirilmesi"</t>
  </si>
  <si>
    <t>214.</t>
  </si>
  <si>
    <t>SBA 26/214</t>
  </si>
  <si>
    <t>Prof. Dr. Ali DURSUN</t>
  </si>
  <si>
    <t>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t>
  </si>
  <si>
    <t>“Akçaağaç Şurubu İdrar Hastalığında MikroRNA İfade değişikliklerinin Araştırılması”</t>
  </si>
  <si>
    <t>215.</t>
  </si>
  <si>
    <t>SBA 26/215</t>
  </si>
  <si>
    <t>Üniversitemiz Tıp Fakültesi Çocuk Cerrahisi Anabilim Dalı öğretim üyelerinden Prof. Dr. Tutku SOYER’in sorumlu araştırmacı olduğu, Prof. Dr. Özlem BOYBEYİ, Arş. Gör. Tunç TIĞLI ile birlikte çalışacakları,</t>
  </si>
  <si>
    <t>“Çocuklarda Malnütrisyon Tahmin Etmede Perioperatif Beslenme Taramasının Kullanılabilirliği”</t>
  </si>
  <si>
    <t>216.</t>
  </si>
  <si>
    <t>SBA 26/216</t>
  </si>
  <si>
    <t>Üniversitemiz Tıp Fakültesi Deri ve Zührevi Hastalıklar Anabilim Dalı öğretim üyelerinden Doç. Dr. Başak YALICI ARMAĞAN'ın sorumlu araştırmacı olduğu, Arş. Gör. Dr. Kübra Çiçek ile birlikte çalışacakları,</t>
  </si>
  <si>
    <t>“Plak Psoriazisli Hastalarda Apremilast Tedavisinin Klinik ve Metabolik Bulgulara Etkisinin İncelenmesi”</t>
  </si>
  <si>
    <t>217.</t>
  </si>
  <si>
    <t>SBA 26/217</t>
  </si>
  <si>
    <t>Prof. Dr. Mert ÇALIŞ</t>
  </si>
  <si>
    <t>Plastik, Rekonstrüktif ve Estetik Cerrahi Anabilim Dalı</t>
  </si>
  <si>
    <t>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t>
  </si>
  <si>
    <t>“Doku Mühendisliği Ürünü Vaskülarize Kas Greftlerinin Sıçan Mikrosirküler AV Loop Modelinde Yaşamsallığının ve Fonksiyonelliğinin Değerlendirilmesi”</t>
  </si>
  <si>
    <t>218.</t>
  </si>
  <si>
    <t>SBA 26/218</t>
  </si>
  <si>
    <t>Üniversitemiz Tıp Fakültesi Çocuk Sağlığı ve Hastalıkları Anabilim Dalı öğretim elemanlarından Arş. Gör. Dr. Sebiha Şükran GÜNDEŞLİ’nin sorumlu araştırmacı olduğu, Prof. Dr. Sıddika Songül YALÇIN, Prof. Dr. Nilgün KURUCU, Dr. Öğr. Üyesi Melda ÇELİK ve Arş. Gör. Dr. Gökhan GÜVENKAYA ile birlikte çalışacakları,</t>
  </si>
  <si>
    <t>“Nöroblastom Tanılı Çocuklarda Kemoterapi Tedavisi Bitimi Sonrası Aşı Serolojik Yanıtlarının ve Aşılama Programının Değerlendirilmesi”</t>
  </si>
  <si>
    <t>219.</t>
  </si>
  <si>
    <t>SBA 26/219</t>
  </si>
  <si>
    <t>Üniversitemiz Tıp Fakültesi Radyoloji Anabilim Dalı öğretim üyelerinden Dr. Öğr. Üyesi Aycan UYSAL’ın sorumlu araştırmacı olduğu, Arş. Gör. Dr. Mert GÖL, Doç. Dr. Emre ÜNAL ve Prof. Dr. Türkmen Turan ÇİFTÇİ ile birlikte çalışacakları,</t>
  </si>
  <si>
    <t>“Bilgisayarlı Tomografi Eşliğinde Transtorasik Akciğer Biyopsilerinin Teknik ve Tanısal Başarı Oranları ile Komplikasyon Oranlarının Değerlendirilmesi”</t>
  </si>
  <si>
    <t>220.</t>
  </si>
  <si>
    <t>SBA 26/220</t>
  </si>
  <si>
    <t>Dr. Öğr. Üyesi Gözde ÖZER</t>
  </si>
  <si>
    <t>Üniversitemiz Tıp Fakültesi Radyoloji Anabilim Dalı öğretim üyelerinden Dr. Öğr. Üyesi Gözde ÖZER’in sorumlu araştırmacı olduğu, Doç. Dr. Ekim GÜMELER ile birlikte çalışacakları,</t>
  </si>
  <si>
    <t>“Retinoblastomun Manyetik Rezonans Görüntüleme Bulgularının Araştırılması ve Yapılandırılmış Raporlama Sisteminin Gözlemciler Arası Güvenilirliğinin Değerlendirilmesi”</t>
  </si>
  <si>
    <t>221.</t>
  </si>
  <si>
    <t>SBA 26/221</t>
  </si>
  <si>
    <t>Prof. Dr. Betül ÇELEBİ SALTIK</t>
  </si>
  <si>
    <t>Kök Hücre Bilimleri Anabilim Dalı</t>
  </si>
  <si>
    <t>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t>
  </si>
  <si>
    <t>“Üç Boyutlu Yazıcı ile Üretilen Bor Nitrür, Titanyum Dioksit ve Seryum Katkılı Biyomalzemelerin Dental Pulpa Kök Hücre Üzerindeki Etkilerinin İncelenmesi”</t>
  </si>
  <si>
    <t>222.</t>
  </si>
  <si>
    <t>SBA 26/222</t>
  </si>
  <si>
    <t>Prof. Dr. Şehnaz ALP</t>
  </si>
  <si>
    <t>Enfeksiyon Hastalıkları ve Klinik Mikrobiyoloji Anabilim Dalı</t>
  </si>
  <si>
    <t>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t>
  </si>
  <si>
    <t>“Kültür ile Kanıtlanmış Erşkin Tüberküloz Olgularının İrdelenmesi ve İzolatların Direnç Profillerinin Belirlenmesi”</t>
  </si>
  <si>
    <t>223.</t>
  </si>
  <si>
    <t>SBA 26/223</t>
  </si>
  <si>
    <t>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t>
  </si>
  <si>
    <t>“Ateşi Olan Üç Aylıktan Küçük Bebeklerde Presepsin ve İnterlökin-6 Düzeyleri ile Ağır Bakteriyel Enfeksiyon Riskinin Değerlendirilmesi”</t>
  </si>
  <si>
    <t>224.</t>
  </si>
  <si>
    <t>SBA 26/224</t>
  </si>
  <si>
    <t>Prof. Dr. Bora GÜLHAN</t>
  </si>
  <si>
    <t>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t>
  </si>
  <si>
    <t>“Nöroblastom ve Wilms Tümörü Tanılı Hastalarda Böbrek Koruyucu Cerrahi Sonrası Uzun Dönem Prognozun Değerlendirilmesi”</t>
  </si>
  <si>
    <t>225.</t>
  </si>
  <si>
    <t>SBA 26/225</t>
  </si>
  <si>
    <t>Üniversitemiz Tıp Fakültesi İç Hastalıkları Anabilim Dalı öğretim üyelerinden Prof. Dr. Meltem Gülhan HALİL’in sorumlu araştırmacı olduğu, Arş. Gör. Dr. Okan TURHAN ile birlikte çalışacakları,</t>
  </si>
  <si>
    <t>“Geriatri Polikliniğine Başvuran Yaşlı Hastalarda C-Reaktif Protein Düzeyinin Tüm Nedenlere Bağlı Mortalite Üzerine Prognostik Etkisi: Tek Merkezli Retrospektif Kohort Çalışması”</t>
  </si>
  <si>
    <t>226.</t>
  </si>
  <si>
    <t>SBA 26/226</t>
  </si>
  <si>
    <t>Doç. Dr. Sevtap ARSLAN SARIKAYA</t>
  </si>
  <si>
    <t>Üniversitemiz Tıp Fakültesi Radyoloji Anabilim Dalı öğretim üyelerinden Doç. Dr. Sevtap ARSLAN SARIKAYA’nın sorumlu araştırmacı olduğu, Arş. Gör. Dr. Buğu BULAT, Doç. Dr. Levent Kılıç, Doç. Dr. Adalet Elçin YILDIZ, Prof. Dr. Umut KALYONCU ile birlikte çalışacakları ve Arş. Gör. Dr. Gençay KARANLIK'ın uzmanlık tezi olan,</t>
  </si>
  <si>
    <t>“Sıfır eko zamanlı (ZTE) Görüntüleme Tekniğinin Sakroilyak Eklemler MRG'de Radyolojik ve Klinik Tanı Sürecine Etkisinin Araştırılması”</t>
  </si>
  <si>
    <t>227.</t>
  </si>
  <si>
    <t>SBA 26/227</t>
  </si>
  <si>
    <t>Doç. Dr. Zeynep TÜZÜN GÜN</t>
  </si>
  <si>
    <t>Çocuk Sağlığı Entitüsü</t>
  </si>
  <si>
    <t>Üniversitemiz Çocuk Sağlığı Enstitüsü öğretim üyelerinden Doç. Dr. Zeynep TÜZÜN GÜN'ün sorumlu araştırmacı olduğu, Prof. Dr. Zeynep Alev ÖZÖN, Prof. Dr. Sinem AKGÜL, Doç. Dr. Koray BAŞAR, Doç. Dr. Melis PEHLİVANTÜRK KIZILKAN, Doç. Dr. Burcu ERSÖZ ALAN, Doç. Dr. Kevser NALBANT, Doç. Dr. Seda Hanife OĞUZ BAYKAL, Dr. Öğr. Üyesi Cihan ASLAN, Uzm. Psk. Ali Eren ATAŞ ile birlikte çalışacakları,</t>
  </si>
  <si>
    <t>"Cinsiyet Uyuşmazlığı Tanısı ile İzlenen Ergen ve Genç Erişkinlerin Tıbbi Tedavilere Erişim Durumlarının Sağlık ve İyilik Halleri Üzerine Etkisi"</t>
  </si>
  <si>
    <t>228.</t>
  </si>
  <si>
    <t>SBA 26/228</t>
  </si>
  <si>
    <t>Prof. Dr. Fadime İrsel TEZER FİLİK</t>
  </si>
  <si>
    <t>Üniversitemiz Tıp Fakültesi Nöroloji Anabilim Dalı öğretim üyelerinden Prof. Dr. Fadime İrsel TEZER FİLİK’in sorumlu araştırmacı olduğu, Dr. Öğr. Üyesi Berrin BABAOĞLU ile birlikte çalışacakları ve Arş. Gör. Dr. Yusuf Arif TURUNÇ’un uzmanlık tezi olan,</t>
  </si>
  <si>
    <t>“Epilepsi Cerrahisi Geçiren ve Patolojisinde Düşük Dereceli Tümör, Kavernom ve Fokal Kortikal Displazi Saptanan Hastaların Klinik Özellikleri, EEG Bulguları ve Prognozlarının Retrospektif Olarak Değerlendirilmesi”</t>
  </si>
  <si>
    <t>229.</t>
  </si>
  <si>
    <t>SBA 26/229</t>
  </si>
  <si>
    <t>Doç. Dr. Kevser NALBANT</t>
  </si>
  <si>
    <t>Üniversitemiz Tıp Fakültesi Çocuk ve Ergen Ruh Sağlığı ve Hastalıkları Anabilim Dalı öğretim üyelerinden Doç. Dr. Kevser NALBANT’ın sorumlu araştırmacı olduğu, Arş. Gör. Şevval ÖZTÜRK, Dr. Öğr. Üyesi Cihan ASLAN, Dr. Öğr. Gör. Buket KILIÇ ile birlikte çalışacakları,</t>
  </si>
  <si>
    <t>"Nöroçeşitlilik Perspektifinden Cinsiyet Disforisi: Klinik Örneklemde Otistik Özellikler, Dikkat Eksikliği ve Hiperaktivite Bozukluğu Belirtileri ve Duyusal Profil Arasındaki İlişkinin İncelenmesi"</t>
  </si>
  <si>
    <t>230.</t>
  </si>
  <si>
    <t>SBA 26/230</t>
  </si>
  <si>
    <t>Prof. Dr. Özlem TEKŞAM</t>
  </si>
  <si>
    <t>Üniversitemiz Tıp Fakültesi Çocuk Sağlığı ve Hastalıkları Anabilim Dalı öğretim üyelerinden Prof. Dr. Özlem TEKŞAM'ın sorumlu araştırmacı olduğu, Doç. Dr. Leman AKCAN YILDIZ ile birlikte çalışacakları,</t>
  </si>
  <si>
    <t>“Çocuk Acil Servisinde Çalışan Hemşirelerin Klinik Uygulamalar Sırasında Yaşadığı Kesintilerin Değerlendirilmesi”</t>
  </si>
  <si>
    <t>231.</t>
  </si>
  <si>
    <t>SBA 26/231</t>
  </si>
  <si>
    <t>Üniversitemiz Tıp Fakültesi Radyoloji Anabilim Dalı öğretim üyelerinden Doç. Dr. Adalet Elçin YILDIZ'ın sorumlu araştırmacı olduğu, Prof. Dr. Egemen TURHAN, Arş. Gör. Dr. Serkan İBİK ile birlikte çalışacakları ve Arş. Gör. Dr. İrem TOĞRUL'un uzmanlık tezi olan,</t>
  </si>
  <si>
    <t>“Patellofemoral Eklem İnstabilitesinde Bilgisayarlı Tomografi ve Sıfır Eko Zamanlı Manyetik Rezonans Görüntüleme Sekansı ile Yapılan Ölçümlerin Karşılaştırılması”</t>
  </si>
  <si>
    <t>232.</t>
  </si>
  <si>
    <t>SBA 26/232</t>
  </si>
  <si>
    <t>“Pelvis Malign Tümörlerinde Tek Cerrah Serisi: Hemipelvektomi Yapılan Hastaların Uzun Dönem Onkolojik Sağkalım ve Fonksiyonel Sonuçların Değerlendirilmesi”</t>
  </si>
  <si>
    <t>233.</t>
  </si>
  <si>
    <t>SBA 26/233</t>
  </si>
  <si>
    <t>“Mass General Brigham Yapay Zeka Grubu Tarafından Geliştirilen Miksofibrosarkom Sağkalım Tahmin Modelinin Ulusal Çok Merkezli Eksternal Validasyon Çalışması</t>
  </si>
  <si>
    <t>234.</t>
  </si>
  <si>
    <t>SBA 26/234</t>
  </si>
  <si>
    <t>“Pediatrik Langerhans Hücreli Histiyositozda Kemik Tutulum Paternleri ve Vertebral Deformitelerin Klinik Sonuçlarla İlişkisi: Retrospektif Analiz Çalışması”</t>
  </si>
  <si>
    <t>235.</t>
  </si>
  <si>
    <t>SBA 26/235</t>
  </si>
  <si>
    <t>“Pediatrik Kemik Tümörlerinde Ebeveyn Bilgilendirmesinde Büyük Dil Modellerinin Klinik Doğruluk, Okunabilirlik ve Empati Açısından Çok Boyutlu Analizi”</t>
  </si>
  <si>
    <t>236.</t>
  </si>
  <si>
    <t>SBA 26/236</t>
  </si>
  <si>
    <t>Dr. Öğr. Üyesi Gökhan AYIK</t>
  </si>
  <si>
    <t>Üniversitemiz Tıp Fakültesi Ortopedi ve Travmatoloji Anabilim Dalı öğretim üyelerinden Dr. Öğr. Üyesi Gökhan AYIK’ın sorumlu araştırmacı olduğu, Arş. Gör. Dr. Serkan İBİK ile birlikte çalışacakları,</t>
  </si>
  <si>
    <t>“Subakromiyal Sıkışma Sendromu Tedavisinde Botulinum Toksin A'nın İki Farklı Kas Hedefleme Protokolünün (Deltoid ve Deltoid+Pectoralis Minor) Klinik Etkinlik ve Güvenilirliğinin Karşılaştırılması: Randomize Kontrollü Bir Çalışma.”</t>
  </si>
  <si>
    <t>237.</t>
  </si>
  <si>
    <t>SBA 26/237</t>
  </si>
  <si>
    <t>Öğr. Gör. Dr. Esin ALPDÜNDAR BULUT</t>
  </si>
  <si>
    <t>Üniversitemiz Tıp Fakültesi Çocuk Sağlığı ve Hastalıkları Anabilim Dalı öğretim elemanlarından Öğr. Gör. Dr. Esin ALPDÜNDAR BULUT'un sorumlu araştırmacı olduğu, Prof. Dr. Fahriye Duygu ÇETİNKAYA, Prof. Dr. Fatma Visal OKUR, Prof. Dr. Emirhan NEMUTLU, Prof. Dr. Fadime KIRAN, Dt. Feride Mürşide ARSLAN ile birlikte çalışacakları,</t>
  </si>
  <si>
    <t>''Oral Bakteri Kaynaklı Ekstraselüler Veziküllerin İnsan Mikroçevre Hücreleri Üzerindeki Etkilerinin Araştırılması''</t>
  </si>
  <si>
    <t>238.</t>
  </si>
  <si>
    <t>SBA 26/238</t>
  </si>
  <si>
    <t>Prof. Dr. Güliz AKTAŞ</t>
  </si>
  <si>
    <t>Üniversitemiz Diş Hekimliği Fakültesi Protetik Diş Tedavisi Anabilim Dalı öğretim üyelerinden Prof. Dr. Güliz AKTAŞ’ın sorumlu araştırmacı olduğu, Arş. Gör. Dt. Ceren ETİK’in uzmanlık tezi olan,</t>
  </si>
  <si>
    <t>“Derin Kapanışlı ve Normal Kapanışlı Hastalarda Dijital Mandibular Hareket Kayıt Yöntemlerinin Oklüzal Morfolojinin Doğruluğu Üzerindeki Etkisi”</t>
  </si>
  <si>
    <t>239.</t>
  </si>
  <si>
    <t>SBA 26/239</t>
  </si>
  <si>
    <t>Üniversitemiz Tıp Fakültesi Kulak Burun Boğaz Anabilim Dalı öğretim üyelerinden Dr. Öğr. Üyesi Muhammed Çağrı KÜLEKCİ’nin sorumlu araştırmacı olduğu, Arş. Gör. Dr. Hüseyin AKTAŞ, Arş. Gör. Dr. Erdem Ersan AKYÜREK, Arş. Gör. Dr. Yaşar ATAY, Arş. Gör. Dr. Cem Mustafa Kemal HATAY ile birlikte çalışacakları,</t>
  </si>
  <si>
    <t>“Erişkin Popülasyonda Nazal Semptomları Olan ve Olmayan Hasta Gruplarının Bilgisayarlı Tomografi ile Nazal Kavite Kesitleri ve Orta Yüz Kemik Ölçümlerinin Karşılaştırılması”</t>
  </si>
  <si>
    <t>240.</t>
  </si>
  <si>
    <t>SBA 26/240</t>
  </si>
  <si>
    <t>Prof. Dr. Şule ÜNAL CANGÜL</t>
  </si>
  <si>
    <t>Üniversitemiz Tıp Fakültesi Çocuk Sağlığı ve Hastalıkları Anabilim Dalı öğretim üyelerinden Prof. Dr. Şule ÜNAL CANGÜL’ün sorumlu araştırmacı olduğu, Arş. Gör. Dr. Esin ALPDÜNDAR BULUT ile birlikte çalışacakları ve Arş. Gör. Dr. Emre YAMAN’ın uzmanlık tezi olan,</t>
  </si>
  <si>
    <t>“Eltrombopag Tedavisi Başlanan Kronik İmmün Trombositopeni Tanılı Çocuk Hastaların İzleminde Lenfosit Yüzey Belirteçleri ve Sitokinlerdeki Değişimlerin İncelenmesi”</t>
  </si>
  <si>
    <t>241.</t>
  </si>
  <si>
    <t>SBA 26/241</t>
  </si>
  <si>
    <t>Üniversitemiz Tıp Fakültesi Kadın Hastalıkları ve Doğum Anabilim Dalı öğretim üyelerinden Dr. Öğr. Üyesi Murat ÇAĞAN’ın sorumlu araştırmacı olduğu, Arş. Gör. Dr. Mert EYÜPOĞLU ile birlikte çalışacakları ve Arş. Gör. Dr. Büşra Eylül AKDENİZ’in uzmanlık tezi olan,</t>
  </si>
  <si>
    <t>“Fetal Üriner Sistem Anomalilerinin Prenatal Tanısı, Olguların Gebelik ve Neonatal Sonuçlarının Retrospektif Olarak İncelenmesi”</t>
  </si>
  <si>
    <t>242.</t>
  </si>
  <si>
    <t>SBA 26/242</t>
  </si>
  <si>
    <t>Üniversitemiz Tıp Fakültesi Kadın Hastalıkları ve Doğum Anabilim Dalı öğretim üyelerinden Dr. Öğr. Üyesi Gonca ÖZTEN DERE’nin sorumlu araştırmacı olduğu, Prof. Dr. Hakan YARALI, Dr. Öğr. Üyesi Onur İNCE, Arş. Gör. Dr. Pınar KEMİK ile birlikte çalışacakları,</t>
  </si>
  <si>
    <t>“Letrozol ile Uyarılan Dondurulmuş Embriyo Transferi (FET) Sikluslarında Serum Estradiol Dinamikleri ile Gebelik Sonuçları Arasındaki İlişki”</t>
  </si>
  <si>
    <t>243.</t>
  </si>
  <si>
    <t>SBA 26/243</t>
  </si>
  <si>
    <t>Prof. Dr. Seda Banu AKINCI</t>
  </si>
  <si>
    <t>Üniversitemiz Tıp Fakültesi Anesteziyoloji ve Reanimasyon Anabilim Dalı öğretim üyelerinden Prof. Dr. Seda Banu AKINCI’nın sorumlu araştırmacı olduğu, Öğr. Gör. Dr. Adnan Menderes VURAL, Arş. Gör. Dr. Yakup GÜDEK, Arş. Gör. Dr. Tülay Dilara DEMIRAY, Arş. Gör. Dr. İrem Zehra ACAR, Arş. Gör. Dr. Birgül DERE, Arş Gör. Dr. Emine Ayça NALBANTOĞLU, Arş. Gör. Dr. Necla AYDIN ile birlikte çalışacakları,</t>
  </si>
  <si>
    <t>“Yoğun Bakım Hastalarında Enteral Fosfor Solüsyonlarının Kandidemi Görülme Oranı Üzerine Etkileri”</t>
  </si>
  <si>
    <t>244.</t>
  </si>
  <si>
    <t>SBA 26/244</t>
  </si>
  <si>
    <t>Üniversitemiz Tıp Fakültesi Nöroloji Anabilim Dalı öğretim üyelerinden Prof. Dr. Fadime İrsel TEZER FİLİK'in sorumlu araştırmacı olduğu, Öğr. Gör. Dr. Ece GÖK DURSUN ile birlikte çalışacakları,</t>
  </si>
  <si>
    <t>“İnvaziv ve Skalp EEG'de Temporal Lob Epilepsilerinde REM ve NREM Desarjlarının Lateralizan Değeri”</t>
  </si>
  <si>
    <t>245.</t>
  </si>
  <si>
    <t>SBA 26/245</t>
  </si>
  <si>
    <t>Üniversitemiz Tıp Fakültesi İç Hastalıkları Anabilim Dalı öğretim üyelerinden Prof. Dr. Meltem Gülhan HALİL’in sorumlu araştırmacı olduğu, Doç. Dr. Cafer BALCI, Dr. Öğr. Üyesi Burcu KELLECİ ÇAKIR, Dr. Öğr. Üyesi Rana Elçin SEZER ile birlikte çalışacakları,</t>
  </si>
  <si>
    <t>“Cerrahi ve Dahili Hastaların Taburculuk Sonrası Oral Nütrisyonel Destek Ürün Kullanımına Yönelik Bakım Paketinin Geliştirilmesi”</t>
  </si>
  <si>
    <t>246.</t>
  </si>
  <si>
    <t>SBA 26/246</t>
  </si>
  <si>
    <t>Doç. Dr. Başak AKÇA</t>
  </si>
  <si>
    <t>Üniversitemiz Tıp Fakültesi Anesteziyoloji ve Reanimasyon Anabilim Dalı öğretim üyelerinden Doç. Dr. Başak AKÇA’nın sorumlu araştırmacı olduğu, Prof. Dr. Banu KILIÇASLAN, Öğr. Gör. Dr. Pınar ÖZDEMİR YAŞAR, Arş. Gör. Dr. Onur Can ZAİM ile birlikte çalışacakları ve Arş. Gör. Dr. Ceren BAYRAK'ın uzmanlık tezi olan,</t>
  </si>
  <si>
    <t>“Histereskopik İşlemlerde Prosedürel Sedasyon Uygulanmasında Hedef Kontrollü İnfüzyon ile Eleveld ve Schnıder Modelin Etkinlik Karşılaştırılması”</t>
  </si>
  <si>
    <t>247.</t>
  </si>
  <si>
    <t>SBA 26/247</t>
  </si>
  <si>
    <t>Prof. Dr. Mehmet Cemalettin AKSOY</t>
  </si>
  <si>
    <t>Üniversitemiz Tıp Fakültesi Ortopedi ve Travmatoloji Anabilim Dalı öğretim üyelerinden Prof. Dr. Mehmet Cemalettin AKSOY’un sorumlu araştırmacı olduğu, Arş. Gör. Dr. Mazlum Veysel ŞİLİ, Arş. Gör. Dr. Saliha Bengisu UÇAR, Dr. Öğr. Üyesi Cihan ASLAN, Arş. Gör. Dr. Ayşegül SARIKÖSE, Arş. Gör. Dr. Sevim GENCEL KARAASLAN ile birlikte çalışacakları,</t>
  </si>
  <si>
    <t>“Konjenital Clubfoot Tanısıyla Tedavi Gören Çocuklarda Yaşam Kalitesi, Güçler ve Güçlükler ve Aile İşlevselliğinin Değerlendirilmesi”</t>
  </si>
  <si>
    <t>Prof. Dr. Mehmet Özgür UYANIK</t>
  </si>
  <si>
    <t>248.</t>
  </si>
  <si>
    <t>SBA 26/248</t>
  </si>
  <si>
    <t>Üniversitemiz Tıp Fakültesi Deri ve Zührevi Hastalıklar Anabilim Dalı öğretim üyelerinden Doç. Dr. Başak YALICI ARMAĞAN’nın sorumlu araştırmacı olduğu, Prof. Dr. Okan Bülent YILDIZ, Prof. Dr. Mustafa ÇELEBİER, Doç. Dr. Seda Hanife OĞUZ BAYKAL, Doç. Dr. Ceren ÖZKUL KOÇAK, Doç. Dr. Fahriye Ulya BADILLI, Doç. Dr. Gülin AMASYA ÇELİKTEN, Arş. Gör. Dr. Ozan KAPLAN ile birlikte çalışacakları ve Arş. Gör. Dr. Furkan AYDIN’ın uzmanlık tezi olan,</t>
  </si>
  <si>
    <t>“Polikistik Over Sendromunda Cilt Mikrobiyotasının, Cilt Biyofiziksel Özelliklerinin ve Sebum Lipidomiğinin Değerlendirilmesi”</t>
  </si>
  <si>
    <t>249.</t>
  </si>
  <si>
    <t>SBA 26/249</t>
  </si>
  <si>
    <t>Üniversitemiz Tıp Fakültesi Kadın Hastalıkları ve Doğum Anabilim Dalı öğretim üyelerinden Dr. Öğr. Üyesi Gonca ÖZTEN DERE’nin sorumlu araştırmacı olduğu, Prof. Dr. Haydar DEMİREL, Prof. Dr. Emirhan NEMUTLU, Uzm. Dr. Umutcan KAYIKÇI, Arş. Gör. Dr. Fatma CANER ÇABUKOĞLU ve Kim. Yük. Müh. Tuba KAÇAR ile birlikte çalışacakları,</t>
  </si>
  <si>
    <t>“İnfertilite Nedeniyle Yapılan İn Vitro Fertilizasyon (IVF) Tedavisinin İdrar Steroid Profiline Etkisi”</t>
  </si>
  <si>
    <t>250.</t>
  </si>
  <si>
    <t>SBA 26/250</t>
  </si>
  <si>
    <t>Üniversitemiz Tıp Fakültesi Göğüs Hastalıkları Anabilim Dalı öğretim elemanlarından Öğr. Gör. Dr. Aytekin İDİKUT’un sorumlu araştırmacı olduğu, Dr. Öğr. Üyesi Aslı ALKAN ve Doç. Dr. Oğuz KARCIOĞLU ile birlikte çalışacakları,</t>
  </si>
  <si>
    <t>“Erişkin Primer Siliyer Diskinezi Hastalarının Klinik Verilerinin Uluslararası European Reference Network Lung Veri Tabanına Kayıt Edilmesi”</t>
  </si>
  <si>
    <t>251.</t>
  </si>
  <si>
    <t>SBA 26/251</t>
  </si>
  <si>
    <t>Üniversitemiz Tıp Fakültesi Ortopedi ve Travmatoloji Anabilim Dalı öğretim üyelerinden Dr. Öğr. Üyesi Barış KAFA’nın sorumlu araştırmacı olduğu, Arş. Gör. Dr. Hüseyin Esat BULDUK ile birlikte çalışacakları,</t>
  </si>
  <si>
    <t>“Proksimal Falanks Kırıklarında Cerrahi ve Konservatif Tedavinin Radyolojik ve Fonksiyonel Sonuçlarının Karşılaştırılması”</t>
  </si>
  <si>
    <t>252.</t>
  </si>
  <si>
    <t>SBA 26/252</t>
  </si>
  <si>
    <t>Prof. Dr. Murat GÜLTEKİN</t>
  </si>
  <si>
    <t>Üniversitemiz Tıp Fakültesi Kadın Hastalıkları ve Doğum Anabilim Dalı öğretim üyelerinden Prof. Dr. Murat GÜLTEKİN’in sorumlu araştırmacı olduğu, Arş. Gör. Dr. Bilal Esat TEMİZ ile birlikte çalışacakları,</t>
  </si>
  <si>
    <t>“HPV Pozitif Kadınlarda Medikal Tedavinin HPV DNA Klirensi Üzerine Etkisi”</t>
  </si>
  <si>
    <t>253.</t>
  </si>
  <si>
    <t>SBA 26/253</t>
  </si>
  <si>
    <t>Üniversitemiz Tıp Fakültesi Nöroloji Anabilim Dalı öğretim üyelerinden Prof. Dr. Fatma Gökçem YILDIZ SARIKAYA’nın sorumlu araştırmacı olduğu, Prof. Dr. Çağrı Mesut TEMUÇİN, Doç. Dr. Gül YALÇIN ÇAKMAKLI ve Arş. Gör. Dr. Cansu AYVACIOĞLU ÇAĞAN ile birlikte çalışacakları,</t>
  </si>
  <si>
    <t>“Normal Basınçlı Hidrosefali Hastalarında Kortikal Eksitabilitenin Transkraniyal Manyetik Uyarım ile Değerlendirilmesi”</t>
  </si>
  <si>
    <t>254.</t>
  </si>
  <si>
    <t>SBA 26/254</t>
  </si>
  <si>
    <t>Üniversitemiz Tıp Fakültesi Nöroloji Anabilim Dalı öğretim üyelerinden Prof. Dr. Çağrı Mesut TEMUÇİN’in sorumlu araştırmacı olduğu, Prof. Dr. Fatma Gökçem YILDIZ SARIKAYA, Arş. Gör. Dr. Cansu AYVACIOĞLU ÇAĞAN ve Uzm. Dr. Özge Berna GÜLTEKİN ZAİM ile birlikte çalışacakları,</t>
  </si>
  <si>
    <t>“Amyotrofik Lateral Skleroz Hastalarında Split Hand Fenomeni: Median-Ulnar Motor ve Duyusal Oranlarının Karşılaştırılması”</t>
  </si>
  <si>
    <t>255.</t>
  </si>
  <si>
    <t>SBA 26/255</t>
  </si>
  <si>
    <t>Üniversitemiz Tıp Fakültesi Kadın Hastalıkları ve Doğum Anabilim Dalı öğretim üyelerinden Doç. Dr. Utku AKGÖR’ ün sorumlu araştırmacı olduğu, Arş. Gör. Dr. Murat CENGİZ ve Arş. Gör. Dr. Fatma CANER ÇABUKOĞLU ile birlikte çalışacakları,</t>
  </si>
  <si>
    <t>“01/01/2013-01/01/2026 Tarihleri Arasında İmmatür Teratom Tanısı Alan Hastaların Klinik, Tanı ve Tedavi Protokollerinin Etkinliği, Rekürrens, Tedavi Direnci ve Fertilite Üzerindeki Etkilerinin Çok Yönlü Değerlendirilmesi”</t>
  </si>
  <si>
    <t>256.</t>
  </si>
  <si>
    <t>SBA 26/256</t>
  </si>
  <si>
    <t>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t>
  </si>
  <si>
    <t>“Yaşlı Hastalarda Kulanılan İlaçlar ile Sarkopeni Arasındaki İlişkinin Değerlendirilmesi"</t>
  </si>
  <si>
    <t>257.</t>
  </si>
  <si>
    <t>SBA 26/257</t>
  </si>
  <si>
    <t>Dr. Öğr. Üyesi Selen ADİLOĞLU</t>
  </si>
  <si>
    <t>Üniversitemiz Diş Hekimliği Fakültesi Ağız, Diş ve Çene Cerrahisi Anabilim Dalı öğretim üyelerinden Dr. Öğr. Üyesi Selen ADİLOĞLU’nun sorumlu araştırmacı olduğu, Arş. Gör. Dt. Sena AKSOY TAÇYILDIZ ile birlikte çalışacakları,</t>
  </si>
  <si>
    <t>“Hacettepe Üniversitesi Diş Hekimliği Fakültesi Dönem 3 Diş Hekimliği Öğrencilerinde Lokal Anesteziye İlişkin Bilgi, Kaygı ve Hazır Oluşun Değerlendirilmesi”</t>
  </si>
  <si>
    <t>258.</t>
  </si>
  <si>
    <t>SBA 26/258</t>
  </si>
  <si>
    <t>“Hacettepe Üniversitesi Diş Hekimliği Dönem 3, 4 ve 5 Öğrencilerinde Odontojenik ve Non-Odontojenik Orofasiyal Ağrının Ayırıcı Tanısına Yönelik Klinik Akıl Yürütme ve Farkındalık Düzeyinin Değerlendirilmesi”</t>
  </si>
  <si>
    <t>259.</t>
  </si>
  <si>
    <t>SBA 26/259</t>
  </si>
  <si>
    <t>Prof. Dr. Bülent Enis ŞEKEREL</t>
  </si>
  <si>
    <t>Üniversitemiz Tıp Fakültesi Çocuk Sağlığı ve Hastalıkları Anabilim Dalı öğretim üyelerinden Prof. Dr. Bülent Enis ŞEKEREL’in sorumlu araştırmacı olduğu, Prof. Dr. Özge UYSAL SOYER, Doç. Dr. Melike OCAK ve Arş. Gör. Dr. Ceren ÜSTÜN ile birlikte çalışacakları,</t>
  </si>
  <si>
    <t>“Çocuklarda Bileşene Dayalı Moleküler Tanı Testi ile Alerjene Özgü IgE Duyarlılık Sıklığının Değerlendirilmesi”</t>
  </si>
  <si>
    <t>260.</t>
  </si>
  <si>
    <t>SBA 26/260</t>
  </si>
  <si>
    <t>Üniversitemiz Tıp Fakültesi Çocuk Sağlığı ve Hastalıkları Anabilim Dalı öğretim üyelerinden Prof. Dr. Seza ÖZEN’in sorumlu araştırmacı olduğu, Prof. Dr. Yelda BİLGİNER, Prof. Dr. Zihni Ekim TAŞKIRAN, Doç. Dr. Erdal SAĞ, Doç. Dr. Beren KARAOSMANOĞLU ve Dr. Öğr. Üyesi Gözde İMREN ile birlikte çalışacakları,</t>
  </si>
  <si>
    <t>“Sistemik Otoinflamatuvar Hastalıklarda Çoklu-Omik Profilleme, Fonksiyonel Doğrulama ve Mekanizma-Temelli Kişiselleştirilmiş Tanısal Yaklaşım Geliştirilmesi  (Biopath SAID)”</t>
  </si>
  <si>
    <t>261.</t>
  </si>
  <si>
    <t>SBA 26/261</t>
  </si>
  <si>
    <t>Doç. Dr. Leman AKCAN YILDIZ</t>
  </si>
  <si>
    <t>Üniversitemiz Tıp Fakültesi Çocuk Sağlığı ve Hastalıkları Anabilim Dalı öğretim üyelerinden Doç. Dr. Leman AKCAN YILDIZ'ın sorumlu araştırmacı olduğu, Prof. Dr. Özlem TEKŞAM, Dr. Öğr. Gör. Ahmet Ziya BİRBİLEN, Arş. Gör. Dr. Şükran BAYRAK, Arş. Gör. Dr. Berivan ÖNEL ile birlikte çalışacakları,</t>
  </si>
  <si>
    <t>“Çocuk Acile Göğüs Ağrısı Yakınması ile Başvuran Hastaların Yönetiminin Kanıta Dayalı Rehberlere Göre Yeniden Değerlendirilmesi”</t>
  </si>
  <si>
    <t>262.</t>
  </si>
  <si>
    <t>SBA 26/262</t>
  </si>
  <si>
    <t>Prof. Dr. Ali Rıza TÜMER</t>
  </si>
  <si>
    <t>Adli Tıp Anabilim Dalı</t>
  </si>
  <si>
    <t>Üniversitemiz Tıp Fakültesi Adli Tıp Anabilim Dalı öğretim üyelerinden Prof. Dr. Ali Rıza TÜMER'in sorumlu araştırmacı olduğu, aynı anabilim dalından Dr. Öğr. Üyesi Burak TAŞTEKİN, Prof. Dr. Mukaddes GÜRLER ile birlikte çalışacakları ve Arş. Gör. Dr. Neslihan GENÇ’in uzmanlık tezi olan,</t>
  </si>
  <si>
    <t>“Gözyaşında Alkol ve Metabolitlerinin Diğer Vücut Sıvıları ile Karşılaştırmalı Analizi ve Adli Tıbbi Değerlendirilmesi”</t>
  </si>
  <si>
    <t>263.</t>
  </si>
  <si>
    <t>SBA 26/263</t>
  </si>
  <si>
    <t>Üniversitemiz Tıp Fakültesi Çocuk ve Ergen Ruh Sağlığı ve Hastalıkları Anabilim Dalı öğretim üyelerinden Doç. Dr. Dilek ÜNAL’ın sorumlu araştırmacı olduğu, Arş. Gör. Dr. Sema ERASLAN, Arş. Gör. Dr. Setenay ADIGÜZEL, Arş. Gör. Dr. Şevval ÖZTÜRK ALGAN, Arş. Gör. Dr. Gülşah ÖZEN AÇAN, Arş. Gör. Dr. Şerife İlayda KAMCI ARMAĞAN, Arş. Gör. Dr. Beray BAHAR, Arş. Gör. Dr. Ozan Botan KARABULUT, Arş. Gör. Dr. Ayşenur DURSUN, Arş. Gör. Dr. Yusuf SANDIKÇI, Arş. Gör. Dr. Ayşegül SARIKÖSE ÖZGÜVEN, Arş. Gör. Dr. Şahabettin KALI, Arş. Gör. Dr. Hüseyin Cem YÜCEER, Arş. Gör. Dr. Ayşe Ekin YİĞİT, Arş. Gör. Dr. Muhammed İkbal TEKE, Arş. Gör. Dr. Elif Seda KÖPRÜCÜ, Arş. Gör. Dr. Sevim GENCEL KARAASLAN, Arş. Gör. Dr. Bengi Nur BOZ, Arş. Gör. Dr. Ecem ESEN, Arş. Gör. Dr. Özlem Meriç ÇINBAY, Arş. Gör. Dr. Begüm GÜL ile birlikte çalışacakları,</t>
  </si>
  <si>
    <t>“Nörogelişimsel Bozukluk Tanı Gruplarında Potansiyel Biyobelirteç Olarak IL-6, IL-18, TNF-α ve β-NGF Düzeylerinin Karşılaştırmalı Analizi”</t>
  </si>
  <si>
    <t>264.</t>
  </si>
  <si>
    <t>SBA 26/264</t>
  </si>
  <si>
    <t>Prof. Dr. Burcu Balam DOĞU</t>
  </si>
  <si>
    <t>Üniversitemiz Tıp Fakültesi İç Hastalıkları Anabilim Dalı öğretim üyelerinden Prof. Dr. Burcu Balam DOĞU’nun sorumlu araştırmacı olduğu, Arş. Gör. Dr. Özge ÖZGÜN ile birlikte çalışacakları,</t>
  </si>
  <si>
    <t>“Yaşlı Bireylerde Mesleki Özellikler ile Bilişsel Durum Arasındaki İlişkinin Değerlendirilmesi”</t>
  </si>
  <si>
    <t>265.</t>
  </si>
  <si>
    <t>SBA 26/265</t>
  </si>
  <si>
    <t>“Yaşlı Bireylerde Mesleki Özellikler ile Geriatrik Sendromların İlişkisinin Değerlendirilmesi”</t>
  </si>
  <si>
    <t>266.</t>
  </si>
  <si>
    <t>SBA 26/266</t>
  </si>
  <si>
    <t>Üniversitemiz İktisadi ve İdari Bilimler Fakültesi Sağlık Yönetimi Anabilim Dalı öğretim üyelerinden Prof. Dr. Oğuz IŞIK’ın sorumlu araştırmacı olduğu, Öğr. Gör. Funda YILDIRIM’ın doktora tezi olan,</t>
  </si>
  <si>
    <t>“Normal Doğum Politikaları ve Kadınların Tutumlarının Doğum Tercihi ve Postpartum Yaşam Kalitesi Üzerindeki Etkisi”</t>
  </si>
  <si>
    <t>267.</t>
  </si>
  <si>
    <t>SBA 26/267</t>
  </si>
  <si>
    <t>Doç. Dr. Emel Tuğba ATAMAN DURUEL</t>
  </si>
  <si>
    <t>Üniversitemiz Diş Hekimliği Fakültesi Periodontoloji Anabilim Dalı öğretim üyelerinden Doç. Dr. Emel Tuğba ATAMAN DURUEL’in sorumlu araştırmacı olduğu, Arş. Gör. Dt. Dilara KARA ile birlikte çalışacakları ve Arş. Gör. Dt. Mert GÖRGÜLÜ’nün uzmanlık tezi olan,</t>
  </si>
  <si>
    <t>“Dişeti Çekilmesi Olan Hastalarda Dişeti Kalınlığının Farklı Yöntemler Kullanılarak Karşılaştırmalı Değerlendirilmesi”</t>
  </si>
  <si>
    <t>268.</t>
  </si>
  <si>
    <t>SBA 26/268</t>
  </si>
  <si>
    <t>Üniversitemiz Diş Hekimliği Fakültesi Protetik Diş Tedavisi Anabilim Dalı öğretim üyelerinden Prof. Dr. Güliz AKTAŞ’ın sorumlu araştırmacı olduğu, Arş. Gör. Ozan DEMİRBAŞ’ın uzmanlık tezi olan,</t>
  </si>
  <si>
    <t>“Dijital Tarama Tekniklerinin Tam Ark İmplant Ölçü Doğruluğuna Etkisi”</t>
  </si>
  <si>
    <t>269.</t>
  </si>
  <si>
    <t>SBA 26/269</t>
  </si>
  <si>
    <t>Doç. Dr. Hayriye HIZARCIOĞLU GÜLŞEN</t>
  </si>
  <si>
    <t>Üniversitemiz Tıp Fakültesi Çocuk Sağlığı ve Hastalıkları Anabilim Dalı öğretim üyelerinden Doç. Dr. Hayriye HIZARCIOĞLU GÜLŞEN in sorumlu araştırmacı olduğu, Doç. Dr. Ersin GÜMÜŞ, Arş. Gör. Dr. Gülşah ÜNSAL, Arş. Gör. Dr. Tülin KURTUL DEMİRHAN ile birlikte çalışacakları,</t>
  </si>
  <si>
    <t>“Bebeklik Çağı Kolestatik Karaciğer Hastalığı Tanılı Çocuk Hastaların Uzun Dönem Klinik İzlemleri”</t>
  </si>
  <si>
    <t>270.</t>
  </si>
  <si>
    <t>SBA 26/270</t>
  </si>
  <si>
    <t>Dr. Öğr. Üyesi Gizem ÜREL DEMİR</t>
  </si>
  <si>
    <t>Üniversitemiz Tıp Fakültesi Çocuk Sağlığı ve Hastalıkları Anabilim Dalı öğretim üyelerinden Dr. Öğr. Üyesi Gizem ÜREL DEMİR'in sorumlu araştırmacı olduğu, Prof. Dr. Pelin Özlem ŞİMŞEK KİPER, Prof. Dr. Gülen Eda UTİNE ve Arş. Gör. Dr. Serap KETENCİ İŞLEK ile birlikte çalışacakları,</t>
  </si>
  <si>
    <t>“1p36 Delesyon Sendromu Tanısı ile İzlenen Hastalarda Klinik, Nörogelişimsel ve Genetik Özelliklerin Değerlendirilmesi”</t>
  </si>
  <si>
    <t>271.</t>
  </si>
  <si>
    <t>SBA 26/271</t>
  </si>
  <si>
    <t>Üniversitemiz Tıp Fakültesi Çocuk Sağlığı ve Hastalıkları Anabilim Dalı öğretim üyelerinden Dr. Öğr. Üyesi Gizem ÜREL DEMİR'in sorumlu araştırmacı olduğu, Prof. Dr. Pelin Özlem ŞİMŞEK KİPER, Prof. Dr. Gülen Eda UTİNE, Arş. Gör. Dr. Merve TANRISEVER TÜRK, Arş. Gör. Dr. Nazlı Büşra AÇIKGÖZ, Arş. Gör. Dr. Serap KETENCİ İŞLEK, Arş. Gör. Dr. Damla YILDIZ ile birlikte çalışacakları</t>
  </si>
  <si>
    <t>“2015–2026 Yılları Arasında Tüm Ekzom Dizileme Uygulanan Hastaların Klinik ve Genetik Özelliklerinin Retrospektif Analizi: Tek Merkez Çalışması”</t>
  </si>
  <si>
    <t>272.</t>
  </si>
  <si>
    <t>SBA 26/272</t>
  </si>
  <si>
    <t>Üniversitemiz Tıp Fakültesi Çocuk Sağlığı ve Hastalıkları Anabilim Dalı öğretim üyelerinden Prof. Dr. Yasemin ÖZSÜREKCİ’nin sorumlu araştırmacı olduğu, Arş. Gör. Dr. Aylin Irmak KURUÇ ve Arş. Gör. Dr. İrem Nur İNGENÇ ile birlikte çalışacakları,</t>
  </si>
  <si>
    <t>“Bakteriyel Enfeksiyon Tanısı ile Hastane Yatışı Olan ve Tedavi Edilen Çocuk Hastaların Retrospektif olarak İncelenmesi, Risk Faktörlerinin Belirlenmesi”</t>
  </si>
  <si>
    <t>273.</t>
  </si>
  <si>
    <t>SBA 26/273</t>
  </si>
  <si>
    <t>Üniversitemiz Tıp Fakültesi İç Hastalıkları Anabilim Dalı öğretim üyelerinden Prof. Dr. Burcu Balam DOĞU’nun sorumlu araştırmacı olduğu, Arş. Gör. Dr. Aybüke UYAR ile birlikte çalışacakları,</t>
  </si>
  <si>
    <t>“Sosyal İzolasyon ve Sosyal Ağ Ölçeğinin (SISN) Türkçe Geçerlik ve Güvenirlik Çalışması”</t>
  </si>
  <si>
    <t>274.</t>
  </si>
  <si>
    <t>SBA 26/274</t>
  </si>
  <si>
    <t>Üniversitemiz Tıp Fakültesi Çocuk Sağlığı ve Hastalıkları Anabilim Dalı öğretim üyelerinden Doç. Dr. Kübra AYKAÇ’ın sorumlu araştırmacı olduğu, Arş. Gör. Dr. İrem Nur İNGENÇ ile birlikte çalışacakları,</t>
  </si>
  <si>
    <t>“Avrupa’daki Göçmen ve Mülteci Popülasyonlarında Sağlık Hizmetlerine Erişim ve Antibiyotik Kullanımını Değerlendirmeye Yönelik Dünya Sağlık Örgütü ile Uyumlu Bir Ölçüm Aracının Geliştirilmesi ve Doğrulanması (AdMiRE Çalışması)”</t>
  </si>
  <si>
    <t>275.</t>
  </si>
  <si>
    <t>SBA 26/275</t>
  </si>
  <si>
    <t>Üniversitemiz Tıp Fakültesi Kadın Hastalıkları Anabilim Dalı öğretim üyelerinden Doç. Dr. Erdem FADILOĞLU’nun sorumlu araştırmacı olduğu, Prof. Dr. Sibel KADAYIFÇILAR, Dr. Öğr. Üyesi Yavuz Kemal ARIBAŞ, Arş. Gör. Dr. Burcu GEDİK ve Arş. Gör. Dr. Göksu TUNÇ ÖZ ile birlikte çalışacakları,</t>
  </si>
  <si>
    <t>“Preeklampsi Açısından Yüksek Riskli Gebelerde Mikrovasküler Değişiklik Takibi ile Preeklampsi Öngörüsü: Prospektif Gözlemsel Çalışma”</t>
  </si>
  <si>
    <t>276.</t>
  </si>
  <si>
    <t>SBA 26/276</t>
  </si>
  <si>
    <t>Dr. Öğr. Üyesi Sefa Burak ÇAM</t>
  </si>
  <si>
    <t>Üniversitemiz Tıp Fakültesi Histoloji ve Embriyoloji Anabilim Dalı öğretim üyelerinden Dr. Öğr. Üyesi Sefa Burak ÇAM’ın sorumlu araştırmacı olduğu, Arş. Gör. Dr. Fatma Ayça ÖYKEN’in uzmanlık tezi olan,</t>
  </si>
  <si>
    <t>“İnsan İntestinal Adenokanser Hücrelerinde Transforming Growth Faktör Beta ile İndüklenen Epitel Mezenkim Geçişinin Reseptör Endositozu ile İlişkisinin Değerlendirilmesi”</t>
  </si>
  <si>
    <t>277.</t>
  </si>
  <si>
    <t>SBA 26/277</t>
  </si>
  <si>
    <t>Doç. Dr. Fatma Gonca ELDEM</t>
  </si>
  <si>
    <t>Üniversitemiz Tıp Fakültesi Radyoloji Anabilim Dalı öğretim üyelerinden Doç. Dr. Fatma Gonca ELDEM’in sorumlu araştırmacı olduğu, Doç. Dr. Ferdi ÇAY, Arş. Gör. Dr. Onur Ege TARI, Prof. Dr. Ömer DİZDAR ve Prof. Dr. Şuayib YALÇIN ile birlikte çalışacakları,</t>
  </si>
  <si>
    <t>“Hepatik Arterden İnfüzyon Kemoterapisinin Merkezimizdeki Teknik Başarı, Yaşam Süresine Etkisi, Komplikasyonları ve Mortalite ile Morbiditesi”</t>
  </si>
  <si>
    <t>278.</t>
  </si>
  <si>
    <t>SBA 26/278</t>
  </si>
  <si>
    <t>Prof. Dr. İnci Nur SALTIK</t>
  </si>
  <si>
    <t>Üniversitemiz Tıp Fakültesi Çocuk Sağlığı ve Hastalıkları Anabilim Dalı öğretim üyelerinden Prof. Dr. İnci Nur SALTIK TEMİZEL'in sorumlu araştırmacı olduğu, Doç. Dr. Hayriye HIZARCIOĞLU GÜLŞEN, Arş. Gör. Dr. Gülşah ÜNSAL, Arş. Gör. Dr. Tülin KURTUL DEMİRHAN ile birlikte çalışacakları,</t>
  </si>
  <si>
    <t>“Tamamen Enteral Ürün ile Non-Oral Beslenen Hastaların Nutrisyonel Durumların Değerlendirilmesi”</t>
  </si>
  <si>
    <t>279.</t>
  </si>
  <si>
    <t>SBA 26/279</t>
  </si>
  <si>
    <t>Üniversitemiz Diş Hekimliği Fakültesi Ortodonti Anabilim Dalı Öğretim Üyelerinden Doç. Dr. Hande GÖRÜCÜ COŞKUNER’in sorumlu araştırmacı olduğu, Doç. Dr. Bengisu AKARSU GÜVEN, Doç. Dr. Ezgi ATİK, Doç. Dr. Irmak OCAK, Öğr. Gör. Dt. Gediz AKSÖZ ÖNER ve Arş. Gör. Dt. Hilal Nur KÜLAHÇI YILDIRIM ile birlikte çalışacakları,</t>
  </si>
  <si>
    <t>“Şeffaf Plak Tedavisi Gören Bireylerde Ataşman ve Diş Renginin Ağız İçi Tarayıcı Kullanılarak Değerlendirilmesi”</t>
  </si>
  <si>
    <t>280.</t>
  </si>
  <si>
    <t>SBA 26/280</t>
  </si>
  <si>
    <t>Üniversitemiz İktisadi ve İdari Bilimler Fakültesi Sağlık Yönetimi Anabilim Dalı öğretim üyelerinden Prof. Dr. Özgür UĞURLUOĞLU’nun sorumlu araştırmacı olduğu, Doç. Dr. Ahmet KARAYİĞİT, Hem. Gamze CEBECİ ve Arş. Gör. Kübra SÜTCÜ’nün doktora tezi olan,</t>
  </si>
  <si>
    <t>“Gastrektomi Cerrahisinde ERAS Protokolüne Uyumun Postoperatif Sonuçlara Etkisi”</t>
  </si>
  <si>
    <t>281.</t>
  </si>
  <si>
    <t>SBA 26/281</t>
  </si>
  <si>
    <t>Doç. Dr. Hilal AKSOY</t>
  </si>
  <si>
    <t>Üniversitemiz Tıp Fakültesi Aile Hekimliği Anabilim Dalı öğretim üyelerinden Doç. Dr. Hilal AKSOY’un sorumlu araştırmacı olduğu, Arş. Gör. Dr. Murat Can ÖNDER’in  uzmanlık tezi olan,</t>
  </si>
  <si>
    <t>“Türkiye’de Aile Hekimlerinin Çevre Sağlık Okuryazarlık Düzeyleri: Tanımlayıcı Çalışma”</t>
  </si>
  <si>
    <t>282.</t>
  </si>
  <si>
    <t>SBA 26/282</t>
  </si>
  <si>
    <t>Prof. Dr. Taylan KAV</t>
  </si>
  <si>
    <t>Üniversitemiz Tıp Fakültesi İç Hastalıkları Anabilim Dalı öğretim üyelerinden Prof. Dr. Taylan KAV’ın sorumlu araştırmacı olduğu, Arş. Gör. Dr. Kübra GÜNGÖR'ün  uzmanlık tezi olan,</t>
  </si>
  <si>
    <t>“Remisyondaki İnflamatuar Bağırsak Hastalarında İrritabl Bağırsak Sendromu Sıklığı ve İlişkili Faktörlerin Değerlendirilmesi”</t>
  </si>
  <si>
    <t>283.</t>
  </si>
  <si>
    <t>SBA 26/283</t>
  </si>
  <si>
    <t>Üniversitemiz Tıp Fakültesi Göğüs Hastalıkları Anabilim Dalı öğretim üyelerinden Prof. Dr. Gül KARAKAYA'nın sorumlu araştırmacı olduğu, Prof. Dr. Ebru DAMADOĞLU, Dr. Öğr. Gör. Özge ÖZTÜRK AKTAŞ ve Arş. Gör. Dr. Nazife TÜZÜN ERSAN ile birlikte çalışacakları,</t>
  </si>
  <si>
    <t>“Yaygın Değişken İmmün Yetmezlik Hastalarında Lenfoproliferasyon ile İmmün Fenotipik Özelliklerin İlişkisi”</t>
  </si>
  <si>
    <t>284.</t>
  </si>
  <si>
    <t>SBA 26/284</t>
  </si>
  <si>
    <t>Prof. Dr. Zafer Selçuk TUNCER</t>
  </si>
  <si>
    <t>Üniversitemiz Tıp Fakültesi Kadın Hastalıkları ve Doğum Anabilim Dalı öğretim üyelerinden Prof. Dr. Zafer Selçuk TUNCER’in sorumlu araştırmacı olduğu, Dr. Burcu SOYAK ÜNAL ile birlikte çalışacakları,</t>
  </si>
  <si>
    <t>“BRCA Mutasyon Pozitif Hastalarda Risk Azaltıcı Jinekolojik Cerrahi Uygulamalarının Klinik ve Histopatolojik Sonuçları: Retrospektif Bir Analiz”</t>
  </si>
  <si>
    <t>285.</t>
  </si>
  <si>
    <t>SBA 26/285</t>
  </si>
  <si>
    <t>Üniversitemiz Diş Hekimliği Fakültesi Ortodonti Anabilim Dalı öğretim üyelerinden Doç. Dr. Ezgi ATİK’in sorumlu araştırmacı olduğu, Arş. Gör. Dt. Burak ŞANLI ile birlikte çalışacakları,</t>
  </si>
  <si>
    <t>“Sınıf II Subdivizyon Olgularında Maksiller Posterior Diş Angulasyonlarının Panoramik Radyografiler Üzerinde Sağ-Sol Karşılaştırmalı Analizi”</t>
  </si>
  <si>
    <t>286.</t>
  </si>
  <si>
    <t>SBA 26/286</t>
  </si>
  <si>
    <t>Üniversitemiz Tıp Fakültesi Göğüs Hastalıkları Anabilim Dalı öğretim üyelerinden Prof. Dr. Gül KARAKAYA' nın sorumlu araştırmacı olduğu, Prof. Dr. Ebru DAMADOĞLU, Dr. Öğr. Gör. Özge ÖZTÜRK AKTAŞ ve Arş. Gör. Dr. Başak ÇELİK KAVAKLILAR ile birlikte çalışacakları,</t>
  </si>
  <si>
    <t>“Erişkin Primer İmmün Yetmezlik Hastalarında Otoimmün Hemolitik Anemi Olgularının İncelenmesi”</t>
  </si>
  <si>
    <t>287.</t>
  </si>
  <si>
    <t>SBA 26/287</t>
  </si>
  <si>
    <t>Prof. Dr. Fatma Visal OKUR</t>
  </si>
  <si>
    <t>Üniversitemiz Tıp Fakültesi Çocuk Sağlığı ve Hastalıkları Anabilim Dalı öğretim üyelerinden Prof. Dr. Fatma Visal OKUR’un sorumlu araştırmacı olduğu, Prof. Dr. Ali Bülent CENGİZ, Prof. Dr. Bülent Barış KUŞKONMAZ, Prof. Dr. Deniz Nazire ÇAĞDAŞ AYVAZ, Prof. Dr. Yasemin ÖZSÜREKÇİ, Dr. Öğr. Üyesi Çağrı COŞKUN, Dr. Öğr. Gör. Esin ALPDÜNDAR BULUT, Arş. Gör. Dr. Osman Oğuz DEMİR ile birlikte çalışacakları,</t>
  </si>
  <si>
    <t>“Pediatrik Hematopoietik Kök Hücre Transplantasyonunda Sitomegalovirüs Enfeksiyonunun Transplantasyon Sonuçlarına Etkisinin Değerlendirilmesi”</t>
  </si>
  <si>
    <t>288.</t>
  </si>
  <si>
    <t>SBA 26/288</t>
  </si>
  <si>
    <t>Üniversitemiz Tıp Fakültesi Çocuk Sağlığı ve Hastalıkları Anabilim Dalı öğretim üyelerinden Prof. Dr. Özlem TEKŞAM’ın sorumlu araştırmacı olduğu, Arş. Gör. Dr. Eylül Nazlı SUNGUR ile birlikte çalışacakları,</t>
  </si>
  <si>
    <t>“Ailevi Akdeniz Ateşi Tanılı Çocukların Karın Ağrısı ile Acil Servise Başvurularında Saptanan Cerrahi Nedenlerin İncelenmesi"</t>
  </si>
  <si>
    <t>289.</t>
  </si>
  <si>
    <t>SBA 26/289</t>
  </si>
  <si>
    <t>Üniversitemiz Tıp Fakültesi Göz Hastalıkları Anabilim Dalı öğretim üyelerinden Doç. Dr. İrem KOÇ'un sorumlu araştırmacı olduğu, Prof. Dr. Hayyam KIRATLI ve Arş. Gör. Dr. Onur BATMAZ ile birlikte çalışacakları,</t>
  </si>
  <si>
    <t>“Retinoblastomlu Hastalarda Enükleasyon Öncesi ve Sonrası Sistemik İnflamatuar Parametrelerin Değişimi”</t>
  </si>
  <si>
    <t>290.</t>
  </si>
  <si>
    <t>SBA 26/290</t>
  </si>
  <si>
    <t>Tıbbi Genetik Anabilim Dalı</t>
  </si>
  <si>
    <t>Üniversitemiz Tıp Fakültesi Tıbbi Genetik Anabilim Dalı öğretim üyelerinden Dr. Öğr. Üyesi Arda ÇETİNKAYA’nın sorumlu araştırmacı olduğu, Prof. Dr. Neşe DERİCİOĞLU ile birlikte çalışacakları ve Arş. Gör. Dr. Hatice GÜNDOĞAN’ın uzmanlık tezi olan,</t>
  </si>
  <si>
    <t>“Ailesel Epilepsilerde Genetik Nedenlerin Araştırılması”</t>
  </si>
  <si>
    <t>291.</t>
  </si>
  <si>
    <t>SBA 26/291</t>
  </si>
  <si>
    <t>Arş. Gör. Dr. Tuğçe TAŞKINDERE ABBASOĞLU</t>
  </si>
  <si>
    <t>Üniversitemiz Tıp Fakültesi Anatomi Anabilim Dalı öğretim elemanlarından Arş. Gör. Dr. Tuğçe TAŞKINDERE ABBASOĞLU’nun sorumlu araştırmacı olduğu, Prof. Dr. Muşturay KARÇAALTINCABA ile birlikte çalışacakları,</t>
  </si>
  <si>
    <t>“Arteria Phrenica Inferior Anatomisisn Radyolojik Olarak İncelenmesi”</t>
  </si>
  <si>
    <t>292.</t>
  </si>
  <si>
    <t>SBA 26/292</t>
  </si>
  <si>
    <t>Prof. Dr. Emel UZUNOĞLU ÖZYÜREK</t>
  </si>
  <si>
    <t>Üniversitemiz Diş Hekimliği Fakültesi Endodonti Anabilim Dalı öğretim üyelerinden Prof. Dr. Emel UZUNOĞLU ÖZYÜREK’in sorumlu araştırmacı olduğu, Arş. Gör. Dt. Mahi ERASLAN EREN, Arş. Gör. Dt. Deniz İrem MAVİ, Arş. Gör. Dt. İsmihan PİŞKİN ile birlikte çalışacakları,</t>
  </si>
  <si>
    <t>“Kök Kanalında Mevcut Olan Farklı Fazdaki Gütaperkanın ve Farklı Termal Özelliklerdeki Nikel Titanyum Eğelerin Kimlik Tespitindeki Rolü”</t>
  </si>
  <si>
    <t>293.</t>
  </si>
  <si>
    <t>SBA 26/293</t>
  </si>
  <si>
    <t>Prof. Dr. Devrim AKDEMİR</t>
  </si>
  <si>
    <t>Üniversitemiz Tıp Fakültesi Çocuk ve Ergen Ruh Sağlığı ve Hastalıkları Anabilim Dalı öğretim üyelerinden Prof. Dr. Devrim AKDEMİR’in sorumlu araştırmacı olduğu, Arş. Gör. Dr. Şahabettin KALI’ın uzmanlık tezi olan,</t>
  </si>
  <si>
    <t>“Ergenlerde Mizaç ve Ebeveyn Tutumları ile Sosyal Kaygı Arasındaki İlişkide Erken Dönem Uyumsuz Şemaların Aracı Rolünün İncelenmesi”</t>
  </si>
  <si>
    <t>294.</t>
  </si>
  <si>
    <t>SBA 26/294</t>
  </si>
  <si>
    <t>Dr. Öğr. Üyesi Onur İNCE</t>
  </si>
  <si>
    <t>Üniversitemiz Tıp Fakültesi Kadın Hastalıkları ve Doğum Anabilim Dalı öğretim üyelerinden Dr. Öğr. Üyesi Onur İNCE’nin sorumlu araştırmacı olduğu, Arş. Gör. Dr. Beste Özge ÖZGEN’nin uzmanlık tezi olan,</t>
  </si>
  <si>
    <t>“Gonadotropin Salgılatıcı Hormon (GnRH) Agonist Tetiklemesi Uygulanan In-Vitro Fertilizasyon (IVF) Sikluslarında Oosit Verimi ve Oosit Maturasyonunu Belirleyen Faktörler”</t>
  </si>
  <si>
    <t>295.</t>
  </si>
  <si>
    <t>SBA 26/295</t>
  </si>
  <si>
    <t>Öğr. Gör. Dr. Berrin BABAOĞLU</t>
  </si>
  <si>
    <t>Tıbbi Patoloji Anabilim Dalı</t>
  </si>
  <si>
    <t>Üniversitemiz Tıp Fakültesi Tıbbi Patoloji Anabilim Dalı öğretim üyelerinden Öğr. Gör. Dr. Berrin BABAOĞLU'nun sorumlu araştırmacı olduğu, Prof. Dr. Ayşe Figen SÖYLEMEZOĞLU, Prof. Dr. Hayyam KIRATLI, Doç. Dr. İrem KOÇ, Arş. Gör. Dr. Deniz ALYAN ile birlikte çalışacakları ve Arş. Gör. Dr. Selin ÇOLAK'ın uzmanlık tezi olan,</t>
  </si>
  <si>
    <t>“Enükleasyon Uygulanmış Uveal Melanomlarda Sitogenetik, İmmunohistokimyasal ve Dijital Patoloji Bulgularının Klinikopatolojik Parametreler ve Metastaz Riski ile İlişkisinin Değerlendirilmesi”</t>
  </si>
  <si>
    <t>296.</t>
  </si>
  <si>
    <t>SBA 26/296</t>
  </si>
  <si>
    <t>Prof. Dr. Hakan GÖKER</t>
  </si>
  <si>
    <t>Üniversitemiz Tıp Fakültesi İç Hastalıkları Anabilim Dalı öğretim üyelerinden Prof. Dr. Hakan GÖKER’in sorumlu araştırmacı olduğu, Doç. Dr. Elifcan ALADAĞ KARAKULAK ile birlikte çalışacakları,</t>
  </si>
  <si>
    <t>“Allojenik Hematopoetik Kök Hücre Nakli Yapılan Hastaların Uzun Dönem Takip Sonuçlarının Değerlendirilmesi”</t>
  </si>
  <si>
    <t>297.</t>
  </si>
  <si>
    <t>SBA 26/297</t>
  </si>
  <si>
    <t>Prof. Dr. Sinem AKGÜL</t>
  </si>
  <si>
    <t>Üniversitemiz Tıp Fakültesi Çocuk Sağlığı ve Hastalıkları Anabilim Dalı öğretim üyelerinden Prof. Dr. Sinem AKGÜL’ün sorumlu araştırmacı olduğu, Doç. Dr. Melis PEHLİVANTÜRK KIZILKAN, Prof. Dr. Tutku SOYER, Prof. Dr. Diclehan ORHAN, Doç. Dr. Gamze DURHAN, Prof. Dr. Jale KARAKAYA ile birlikte çalışacakları ve Arş. Gör. Dr. Güneş BAŞKES'in uzmanlık tezi olan,</t>
  </si>
  <si>
    <t>“Ergen Meme Kitlelerinde İzlem Protokolü ve Risk Sınıflandırma Skoru Geliştirilmesi”</t>
  </si>
  <si>
    <t>298.</t>
  </si>
  <si>
    <t>SBA 26/298</t>
  </si>
  <si>
    <t>Üniversitemiz Tıp Fakültesi Çocuk Sağlığı ve Hastalıkları Anabilim Dalı öğretim üyelerinden Prof. Dr. Bülent Enis ŞEKEREL’in sorumlu araştırmacı olduğu, Prof. Dr. Özge UYSAL SOYER, Prof. Dr .Ümit Murat ŞAHİNER, Doç. Dr. Melike OCAK, Doç. Dr. Ayşegül ERTUĞRUL ve Arş. Gör. Dr. Ceren ÜSTÜN ile birlikte çalışacakları,</t>
  </si>
  <si>
    <t>“Besin Protein İlişkili Enterokolit Sendromu Tanılı Hastalarda Endotiplere Göre Prognozun Değerlendirilmesi”</t>
  </si>
  <si>
    <t>299.</t>
  </si>
  <si>
    <t>SBA 26/299</t>
  </si>
  <si>
    <t>Üniversitemiz Tıp Fakültesi Aile Hekimliği Anabilim Dalı öğretim üyelerinden Doç. Dr. Duygu AYHAN BAŞER’in sorumlu araştırmacı olduğu, Arş. Gör. Dr. Aygül TAŞDEMİR'in uzmanlık tezi olan,</t>
  </si>
  <si>
    <t>"Reformer Pilates Yapan Bireylerde Fiziksel, Psikolojik ve Sosyal Sağlık Durumunun Değerlendirilmesi: Bir Aile Sağlığı Merkezi Örneği”</t>
  </si>
  <si>
    <t>300.</t>
  </si>
  <si>
    <t>SBA 26/300</t>
  </si>
  <si>
    <t>Üniversitemiz Tıp Fakültesi İç Hastalıkları Anabilim Dalı öğretim üyelerinden Prof. Dr. Meltem Gülhan HALİL’in sorumlu araştırmacı olduğu, Arş. Gör. Dr. Aybüke UYAR ile birlikte çalışacakları,</t>
  </si>
  <si>
    <t>“Geriatrik Hastalarda Optik Sinir Kılıf Çapı Ölçümünün Kognitif Bozukluk Durumuna Göre Kapsamlı Geriatrik Değerlendirme Parametreleri ile İlişkisinin Değerlendirilmesi”</t>
  </si>
  <si>
    <t>301.</t>
  </si>
  <si>
    <t>SBA 26/301</t>
  </si>
  <si>
    <t>Üniversitemiz Tıp Fakültesi Çocuk sağlığı ve Hastalıkları Anabilim Dalı öğretim üyelerinden Prof. Dr. İnci Nur SALTIK TEMİZEL’in sorumlu araştırmacı olduğu, Prof. Dr. Gülen Eda UTİNE, Arş. Gör. Dr. Gülşah ÜNSAL, Arş. Gör. Dr. Serap KETENCİ İŞLEK ile birlikte çalışacakları,</t>
  </si>
  <si>
    <t>“Çocukluk Çağı Kolelitiazis Vakalarının Klinik ve Genetik Özelliklerinin Değerlendirilmesi”</t>
  </si>
  <si>
    <t>302.</t>
  </si>
  <si>
    <t>SBA 26/302</t>
  </si>
  <si>
    <t>Üniversitemiz Tıp Fakültesi Kadın Hastalıkları ve Doğum Anabilim Dalı öğretim üyelerinden Prof. Dr. Murat GÜLTEKİN’in sorumlu araştırmacı olduğu, Arş. Gör. Bilal Esat TEMİZ, Arş. Gör. Dr. Betül GÜNGÖR SERİN ve Arş. Gör. Dr. İlgi ADALI ile birlikte çalışacakları,</t>
  </si>
  <si>
    <t>“Uterin Leiomyosarkom Tanılı Hastalarda Nüks Oranları ve Nüks ile İlişkili Faktörlerin Retrospektif Değerlendirilmesi”</t>
  </si>
  <si>
    <t>303.</t>
  </si>
  <si>
    <t>SBA 26/303</t>
  </si>
  <si>
    <t>Doç. Dr. Cem ÇÖTELİ</t>
  </si>
  <si>
    <t>Üniversitemiz Tıp Fakültesi Kardiyoloji Anabilim Dalı öğretim üyelerinden Doç. Dr. Cem ÇÖTELİ’nin sorumlu araştırmacı olduğu, Prof. Dr. Kudret AYTEMİR, Prof. Dr. Hikmet YORGUN, Arş. Gör. Dr. Can SEZER ile birlikte çalışacakları,</t>
  </si>
  <si>
    <t>“Atrial Fibrilasyon Ablasyonunda Atriyal Epikardiyal Yağ Dokunun Sağkalım ve Aritmi Nüksüne Etkisinin Araştırılması”</t>
  </si>
  <si>
    <t>304.</t>
  </si>
  <si>
    <t>SBA 26/304</t>
  </si>
  <si>
    <t>Doç. Dr. Oğuz Abdullah UYAROĞLU</t>
  </si>
  <si>
    <t>Üniversitemiz Tıp Fakültesi İç Hastalıkları Anabilim Dalı öğretim üyelerinden Doç. Dr. Oğuz Abdullah UYAROĞLU’nun sorumlu araştırmacı olduğu, Prof. Dr. Gülay Sain GÜVEN, Uzm. Dr. Mert TOKATLI ve Uzm. Dr. Yunus KAYGUSUZ ile birlikte çalışacakları,</t>
  </si>
  <si>
    <t>“Ramazan Ayında Oruç Tutma Davranışı, Hipoglisemi Riski ve Diyabet Eğitiminin Değerlendirilmesi: Genel Dahiliye Polikliniklerine Başvuran Diyabetes Mellitus Hastalarında Kesitsel Anket Çalışması”</t>
  </si>
  <si>
    <t>305.</t>
  </si>
  <si>
    <t>SBA 26/305</t>
  </si>
  <si>
    <t>Prof. Dr. Bilge VOLKAN SALANCI</t>
  </si>
  <si>
    <t>Üniversitemiz Tıp Fakültesi Nükleer Tıp Anabilim Dalı öğretim üyelerinden Prof. Dr. Bilge VOLKAN SALANCI’nın sorumlu araştırmacı olduğu, Prof. Dr. Güzide Burça AYDIN, Prof. Dr. Müzeyyen Pınar ÖZGEN KIRATLI ile birlikte çalışacakları ve Arş. Gör. Dr. Aylin PALA’nın uzmanlık tezi olan,</t>
  </si>
  <si>
    <t>“Pediatrik Nazofarenks Karsinomunda¹⁸F-FDG PET/BT Metabolik Parametrelerinin Prognostik Değeri”</t>
  </si>
  <si>
    <t>306.</t>
  </si>
  <si>
    <t>SBA 26/306</t>
  </si>
  <si>
    <t>Üniversitemiz Tıp Fakültesi Fiziksel Tıp ve Rehabilitasyon Anabilim Dalı öğretim üyelerinden Prof. Dr. Alp ÇETİN’in sorumlu araştırmacı olduğu, Arş. Gör. Dr. Beytullah YAZAR ile birlikte çalışacakları,</t>
  </si>
  <si>
    <t>“Kalça Osteoartriti Tedavisinde 88 mg Orta Derecede Çapraz Bağlı Viskoelastik Sodyum Hyaluronik Asit Enjeksiyonunun Ağrı ve Fonksiyonel Sonuçlar Üzerine Etkisi: Retrospektif Bir Analiz”</t>
  </si>
  <si>
    <t>307.</t>
  </si>
  <si>
    <t>SBA 26/307</t>
  </si>
  <si>
    <t>“Glenohumeral Osteoartriti Olan Hastalarda 88 mg Orta Derecede Çapraz Bağlı Viskoelastik Sodyum Hyaluronik Asit Enjeksiyonunun Ağrı ve Fonksiyonel Sonuçlar Üzerine Etkisi: Retrospektif Bir Analiz”</t>
  </si>
  <si>
    <t>308.</t>
  </si>
  <si>
    <t>SBA 26/308</t>
  </si>
  <si>
    <t>Üniversitemiz Diş Hekimliği Fakültesi Restoratif Diş Tedavisi Anabilim Dalı öğretim üyelerinden Prof. Dr. Filiz YALÇIN ÇAKIR’ın sorumlu araştırmacı olduğu, Prof. Dr Ayşe Rüya YAZICI, Arş. Gör. Dt. Serra AKYÜZ ile birlikte çalışacakları,</t>
  </si>
  <si>
    <t>“Baş Boyun Bölgesine Radyoterapi Planlanan Hastalarda Tükürük Parametreleri, Ağız Kuruluğu ve Ağız Sağlığına Bağlı Yaşam Kalitesinin Değerlendirilmesi”</t>
  </si>
  <si>
    <t>309.</t>
  </si>
  <si>
    <t>SBA 26/309</t>
  </si>
  <si>
    <t>Üniversitemiz Tıp Fakültesi İç Hastalıkları Anabilim Dalı öğretim üyelerinden Prof. Dr. Taylan KAV’ın sorumlu araştırmacı olduğu, Dr. Öğr. Üyesi Bengi ÖZTÜRK ve Arş. Gör. Dr. Muhammet Furkan ÇAKMAK ile birlikte çalışacakları,</t>
  </si>
  <si>
    <t>“Alt Gastrointestinal Sistem Kanamasında Tanı Yöntemi, Kanama Kaynağı ve Klinik Sonuçların Retrospektif Değerlendirilmesi”</t>
  </si>
  <si>
    <t>310.</t>
  </si>
  <si>
    <t>SBA 26/310</t>
  </si>
  <si>
    <t>Üniversitemiz Tıp Fakültesi İç Hastalıkları Anabilim Dalı öğretim üyelerinden Prof. Dr. Taylan KAV’ın sorumlu araştırmacı olduğu, Dr. Öğr. Üyesi Bengi ÖZTÜRK, Arş. Gör. Dr. Muhammet Furkan ÇAKMAK ve Arş. Gör. Dr. İbrahim Nahit ŞENDUR ile birlikte çalışacakları,</t>
  </si>
  <si>
    <t>“Crohn Hastalarında Sigara Kullanımının Hastalık Aktivitesi ve Klinik Sonuçlar Üzerine Etkisi: Retrospektif Analiz”</t>
  </si>
  <si>
    <t>311.</t>
  </si>
  <si>
    <t>SBA 26/311</t>
  </si>
  <si>
    <t>Prof. Dr. Cavit Işık YAVUZ</t>
  </si>
  <si>
    <t>Üniversitemiz Tıp Fakültesi Halk Sağlığı Anabilim Dalı öğretim üyelerinden Prof. Dr. Cavit Işık YAVUZ’un sorumlu araştırmacı olduğu, Arş. Gör. Dr. Sevgi KARLI’nın uzmanlık tezi olan,</t>
  </si>
  <si>
    <t>“Ankara’daki Bir Mühendislik Fakültesinde Öğrenim Gören 1. Sınıf Öğrencilerinin Ruh Sağlığı Durumunun ve Ruh Sağlığı Okuryazarlığının Değerlendirilmesi"</t>
  </si>
  <si>
    <t>312.</t>
  </si>
  <si>
    <t>SBA 26/312</t>
  </si>
  <si>
    <t>Dr. Öğr. Üyesi Burçe ATAÇ MOGOL</t>
  </si>
  <si>
    <t>Üniversitemiz Mühendislik Fakültesi Gıda Bilimleri Anabilim Dalı öğretim üyelerinden Dr. Öğr. Üyesi Burçe ATAÇ MOGOL’un sorumlu araştırmacı olduğu, Arş. Gör. Selin ÇAKMAK’ın yüksek lisans tezi olan,</t>
  </si>
  <si>
    <t>“Şeker Pancarı Küspesinin Gıda Tasarımları için Enzimatik İşlem Yoluyla Değerlendirilmesi”</t>
  </si>
  <si>
    <t>313.</t>
  </si>
  <si>
    <t>SBA 26/313</t>
  </si>
  <si>
    <t>Üniversitemiz Tıp Fakültesi İç Hastalıkları Anabilim Dalı öğretim üyelerinden Prof. Dr. Taylan KAV’ın sorumlu araştırmacı olduğu, Dr. Öğr. Üyesi Bengi ÖZTÜRK, Arş. Gör. Dr. Muhammet Furkan ÇAKMAK, Arş. Gör. Dr. İbrahim Nahit ŞENDUR, Arş. Gör. Dr. Abdurrahman ÖZKAN ile birlikte çalışacakları,</t>
  </si>
  <si>
    <t>“Gaucher Disease Tanısında Tanı Yolculuğu: İlk Belirti ile Kesin Tanı Arasındaki Sürenin Retrospektif Değerlendirilmesi”</t>
  </si>
  <si>
    <t>314.</t>
  </si>
  <si>
    <t>SBA 26/314</t>
  </si>
  <si>
    <t>Üniversitemiz Tıp Fakültesi İç Hastalıkları Anabilim Dalı öğretim üyelerinden Prof. Dr. Taylan KAV’ın sorumlu araştırmacı olduğu, Dr. Öğr. Üyesi Bengi ÖZTÜRK, Uzm. Dr. Muhammet Furkan ÇAKMAK ve Arş. Gör. Dr. İbrahim Nahit ŞENDUR ile birlikte çalışacakları,</t>
  </si>
  <si>
    <t>“Crohn Hastalarında Cerrahi Gereksinimini Öngören Klinik Faktörlerin Değerlendirilmesi: Retrospektif Analiz”</t>
  </si>
  <si>
    <t>315.</t>
  </si>
  <si>
    <t>SBA 26/315</t>
  </si>
  <si>
    <t>Üniversitemiz Tıp Fakültesi Nöroloji Anabilim Dalı öğretim üyelerinden Prof. Dr. Fadime İrsel TEZER FİLİK'in sorumlu araştırmacı olduğu, Doç.Dr. Rahşan GÖÇMEN ile birlikte çalışacakları ve Arş. Gör. Dr. İsa Furkan SARIER’in uzmanlık tezi olan,</t>
  </si>
  <si>
    <t>“Vagal Sinir Stimulasyonu ile Epilepsi Tedavisi Planlanmış Hastaların, Manyetik Rezonans Görüntüleme Bulgularının ve Klinik Yanıtların İncelenmesi”</t>
  </si>
  <si>
    <t>316.</t>
  </si>
  <si>
    <t>SBA 26/316</t>
  </si>
  <si>
    <t>Doç. Dr. Cafer BALCI</t>
  </si>
  <si>
    <t>Üniversitemiz Tıp Fakültesi İç Hastalıkları Anabilim Dalı öğretim üyelerinden Doç. Dr. Cafer BALCI’nın sorumlu araştırmacı olduğu, Arş. Gör. Dr. Özge ÖZGÜN ile birlikte çalışacakları,</t>
  </si>
  <si>
    <t>“65 Yaş ve Üzeri Hastalarda İntravenöz Ferrik Karboksimaltoz Tedavisine Hematolojik Yanıtı Öngören Geriatrik Faktörlerin Değerlendirilmesi”</t>
  </si>
  <si>
    <t>317.</t>
  </si>
  <si>
    <t>SBA 26/317</t>
  </si>
  <si>
    <t>Prof. Dr. Sibel DOĞAN GÜNAYDIN</t>
  </si>
  <si>
    <t>Üniversitemiz Tıp Fakültesi Deri ve Zührevi Hastalıkları Anabilim Dalı öğretim üyelerinden Prof. Dr. Sibel DOĞAN GÜNAYDIN’ın sorumlu araştırmacı olduğu, Arş. Gör. Dr. Işılay NERGİZ TOPSAKAL ve Arş. Gör. Dr. Batuhan Kerem BALAN ile birlikte çalışacakları,</t>
  </si>
  <si>
    <t>“Perforan Dermatoz Hastalarında Fototerapi Yanıtını Öngören Klinik ve Laboratuvar Parametrelerinin Değerlendirilmesi”</t>
  </si>
  <si>
    <t>318.</t>
  </si>
  <si>
    <t>SBA 26/318</t>
  </si>
  <si>
    <t>Doç. Dr. Cansu ÖZŞİN ÖZLER</t>
  </si>
  <si>
    <t>Pedodonti Anabilim Dalı</t>
  </si>
  <si>
    <t>Üniversitemiz Diş Hekimliği Fakültesi Pedodonti Anabilim Dalı öğretim üyelerinden Doç. Dr. Cansu ÖZŞİN ÖZLER’in sorumlu araştırmacı olduğu, Prof. Dr. Meryem UZAMIŞ TEKÇİÇEK, Dr. Öğr. Üyesi Müge DEMİR, ile birlikte çalışacakları ve Arş. Gör. Dt. Simge BAYRAKTAR’ın uzmanlık tezi olan,</t>
  </si>
  <si>
    <t>“Ortopedik Engelli Çocuklarda Ağız Sağlığının, Ağız Sağlığına İlişkin Yaşam Kalitesinin ve Ebeveyn ve Öğretmen Farkındalığının İncelenmesi”</t>
  </si>
  <si>
    <t>319.</t>
  </si>
  <si>
    <t>SBA 26/319</t>
  </si>
  <si>
    <t>Üniversitemiz Tıp Fakültesi Kadın Hastalıkları ve Doğum Anabilim Dalı öğretim üyelerinden Doç. Dr. Utku AKGÖR'ün sorumlu araştırmacı olduğu, Arş. Gör. Dr. Murat CENGİZ, Arş. Gör. Dr. Fatma Caner ÇABUKOĞLU, Arş. Gör. Dr. Elif Niran UĞURLU ile birlikte çalışacakları,</t>
  </si>
  <si>
    <t>“01/01/2013-01/01/2026 Tarihleri Arasında Hacettepe Üniversitesi Hastanesi'nde Pelvik Schwannom Nedeniyle Takip Edilen Hastaların Klinik Özellikleri, Cerrahi Yönetimi ve Uzun Dönem Prognozunun Değerlendirilmesi”</t>
  </si>
  <si>
    <t>320.</t>
  </si>
  <si>
    <t>SBA 26/320</t>
  </si>
  <si>
    <t>Üniversitemiz Hacettepe Tıp Fakültesi Nöroloji Anabilim Dalı öğretim üyelerinden Prof. Dr. Fatma Gökçem YILDIZ SARIKAYA’nın sorumlu araştırmacı olduğu, Prof. Dr. Çağrı Mesut TEMUÇİN Prof. Dr. Meryem Aslı TUNCER, Doç. Dr. Ahmet Çağkan İNKAYA, Arş. Gör. Dr. Cansu AYVACIOĞLU ÇAĞAN ve Arş. Gör. Dr. Tuğba ÖZÜM IRMAK ile birlikte çalışacakları,</t>
  </si>
  <si>
    <t>“HIV ile Yaşayan Bireylerde Periferik Sinir Sistemi Tutulumu”</t>
  </si>
  <si>
    <t>321.</t>
  </si>
  <si>
    <t>SBA 26/321</t>
  </si>
  <si>
    <t>Üniversitemiz Tıp Fakültesi Kadın Hastalıkları ve Doğum Anabilim Dalı öğretim üyelerinden Dr. Öğr. Üyesi Gonca ÖZTEN DERE’nin sorumlu araştırmacı olduğu, Prof. Dr. Lale KARAKOÇ SÖKMENSÜER, Dr. Öğr. Üyesi Onur İNCE, Dr. Öğr. Üyesi Ali Can GÜNEŞ, Öğr. Gör. Dr. Neslihan COŞKUN AKÇAY, Arş. Gör. Dr. Işıl Damla DİNÇ ve Arş. Gör. Dr. Fatma CANER ÇABUKOĞLU ile birlikte çalışacakları,</t>
  </si>
  <si>
    <t>“Hormon Replasman Tedavisi ile Hazırlanan Donmuş Embriyo Transferi Sikluslarında Progesteron Uygulaması Öncesi Serum Östradiol Düzeylerinin Üreme Sonuçlarına Etkisi”</t>
  </si>
  <si>
    <t>322.</t>
  </si>
  <si>
    <t>SBA 26/322</t>
  </si>
  <si>
    <t>Üniversitemiz Tıp Fakültesi İç Hastalıkları Anabilim Dalı öğretim üyelerinden Prof. Dr. Yahya BÜYÜKAŞIK’ın sorumlu araştırmacı olduğu, Arş. Gör. Dr. Hakan ORAL ile birlikte çalışacakları,</t>
  </si>
  <si>
    <t>“Myelodisplastik Sendrom ve Kronik Myelomonositik Lösemi Hastalarında Otoimmün Hastalık Birlikteliğinin Prognostik, Klinik, Laboratuvar, Tedavi Yanıtı Açısından Değerlendirilmesi”</t>
  </si>
  <si>
    <t>323.</t>
  </si>
  <si>
    <t>SBA 26/323</t>
  </si>
  <si>
    <t>Üniversitemiz Tıp Fakültesi Aile Hekimliği Anabilim Dalı öğretim üyelerinden Doç. Dr. Duygu AYHAN BAŞER’in sorumlu araştırmacı olduğu, Prof. Dr. Mine DURUSU TANRIÖVER ile birlikte çalışacakları,</t>
  </si>
  <si>
    <t>"Türkiye’de Risk Gruplarında Erişkin Bireylerin Grip Aşısına Yönelik Tutum, Algı ve Karar Süreçlerinin Odak Grup Görüşmeleri ile Değerlendirilmesi: Kalitatif Araştırma”</t>
  </si>
  <si>
    <t>324.</t>
  </si>
  <si>
    <t>SBA 26/324</t>
  </si>
  <si>
    <t>Üniversitemiz Tıp Fakültesi İç Hastalıkları Anabilim Dalı öğretim üyelerinden Doç. Dr. Cafer BALCI’nın sorumlu araştırmacı olduğu, Arş. Gör. Dr. Aybüke UYAR ile birlikte çalışacakları,</t>
  </si>
  <si>
    <t>“Antikolinerjik Yük Bardağı Doldururken: Hiperpolifarmasisi Olan Yaşlılarda Oral Nütrisyon Desteğinin Disfaji ve Nütrisyonel Durum ile İlişkisi”</t>
  </si>
  <si>
    <t>325.</t>
  </si>
  <si>
    <t>SBA 26/325</t>
  </si>
  <si>
    <t>Öğr. Gör. Dr. Tuğçe TAŞKINDERE ABBASOĞLU</t>
  </si>
  <si>
    <t>Üniversitemiz Tıp Fakültesi Anatomi Anabilim Dalı öğretim elemanlarından Öğr. Gör. Dr. Tuğçe TAŞKINDERE ABBASOĞLU’nun sorumlu araştırmacı olduğu,</t>
  </si>
  <si>
    <t>“Colli Tali Geometrik Anatomisinin Osteolojik Değerlendirilmesi”</t>
  </si>
  <si>
    <t>326.</t>
  </si>
  <si>
    <t>SBA 26/326</t>
  </si>
  <si>
    <t>Üniversitemiz Tıp Fakültesi Ortopedi ve Travmatoloji Anabilim Dalı öğretim üyelerinden Prof. Dr. Mehmet AYVAZ ’ın sorumlu araştırmacı olduğu, Arş. Gör. Dr. İpek IŞIK ile birlikte çalışacakları,</t>
  </si>
  <si>
    <t>“Mass General Brigham Yapay Zekâ Grubu Tarafından Geliştirilen Undiferansiye Pleomorfik Sarkom Sağkalım Tahmin Modelinin Ulusal Çok Merkezli Eksternal Validasyon Çalışması”</t>
  </si>
  <si>
    <t>327.</t>
  </si>
  <si>
    <t>SBA 26/327</t>
  </si>
  <si>
    <t>Üniversitemiz Tıp Fakültesi Çocuk Sağlığı ve Hastalıkları Anabilim Dalı öğretim üyelerinden Prof. Dr. Yasemin ÖZSÜREKCİ’nin sorumlu araştırmacı olduğu; Arş. Gör. Dr. Aylin Irmak KURUÇ ve Arş. Gör. Dr. İrem Nur İNGENÇ ile birlikte çalışacakları,</t>
  </si>
  <si>
    <t>“Mantar Enfeksiyonu Nedeniyle Tedavi Edilen Pediatrik Hastaların Verilerinin Retrospektif Olarak İncelenmesi ve Risk Faktörlerinin Belirlenmesi”</t>
  </si>
  <si>
    <t>328.</t>
  </si>
  <si>
    <t>SBA 26/328</t>
  </si>
  <si>
    <t>Dr. Öğr. Üyesi Selin ARDALI DÜZGÜN</t>
  </si>
  <si>
    <t>Üniversitemiz Tıp Fakültesi Radyoloji Anabilim Dalı öğretim üyelerinden Dr. Öğr. Üyesi Selin ARDALI DÜZGÜN’ün sorumlu araştırmacı olduğu, Doç. Dr. Oğuz KARCIOĞLU ve Doç. Dr. Gamze DURHAN ile birlikte çalışacakları,</t>
  </si>
  <si>
    <t>“Kistik Fibrozis ve Kistik Fibrozis Dışı Bronşektazi Hastalarında Toraks BT ile Sarkopeni Değerlendirmesi”</t>
  </si>
  <si>
    <t>329.</t>
  </si>
  <si>
    <t>SBA 26/329</t>
  </si>
  <si>
    <t>Üniversitemiz Tıp Fakültesi İç Hastalıkları Anabilim Dalı öğretim üyelerinden Prof. Dr. Mustafa CANKURTARAN’ın sorumlu araştırmacı olduğu, Arş. Gör. Dr. Özge ÖZGÜN ile birlikte çalışacakları,</t>
  </si>
  <si>
    <t>“Ortostatik Hipotansiyonun Retrospektif İzlemde Kırılganlık Düzeyindeki Değişim ve İlişkili Geriatrik Parametreler Üzerine Etkisinin Değerlendirilmesi”</t>
  </si>
  <si>
    <t>330.</t>
  </si>
  <si>
    <t>SBA 26/330</t>
  </si>
  <si>
    <t>Üniversitemiz Tıp Fakültesi Kadın Hastalıkları ve Doğum Anabilim Dalı öğretim üyelerinden Prof. Dr. Murat GÜLTEKİN'in sorumlu araştırmacı olduğu, Doç. Dr. Utku AKGÖR, Doç. Dr. Derman BAŞARAN, Arş. Gör. Dr. Murat CENGİZ, Arş. Gör. Dr. Onur Can ZAİM, Arş. Gör. Dr. Bilal Esat TEMİZ ve Arş. Gör. Dr. Fatma CANER ÇABUKOĞLU ile birlikte çalışacakları,</t>
  </si>
  <si>
    <t>“01/01/2013-01/03/2026 Tarihleri Arasında Over Kanseri Tanısı Alan Hastalarda Klinik Özellikler, Tedavi Stratejileri ve Onkolojik Sonuçların Değerlendirilmesi: Çok Merkezli Retrospektif Kohort Çalışma”</t>
  </si>
  <si>
    <t>331.</t>
  </si>
  <si>
    <t>SBA 26/331</t>
  </si>
  <si>
    <t>Üniversitemiz Tıp Fakültesi Çocuk ve Ergen Ruh Sağlığı ve Hastalıkları Anabilim Dalı öğretim üyelerinden Öğr. Gör. Dr. Buket KILIÇ’ın sorumlu araştırmacı olduğu, Dr. Öğr. Üyesi Cihan ASLAN, Doç. Dr. Dilek ÜNAL ve Doç. Dr. Kevser NALBANT ile birlikte çalışacakları,</t>
  </si>
  <si>
    <t>“Tip 1 Diyabetes Mellitus Tanılı Çocukların Psikiyatrik Özelliklerinin İncelenmesi”</t>
  </si>
  <si>
    <t>332.</t>
  </si>
  <si>
    <t>SBA 26/332</t>
  </si>
  <si>
    <t>Lokman Hekim Üniversitesi Sağlık Hizmetleri Meslek Yüksek Okulu öğretim üyelerinden Prof. Dr. Bayram ŞAHİN'in sorumlu araştırmacı olduğu ve İlknur ÖZCAN’ın yüksek lisans tezi olan,</t>
  </si>
  <si>
    <t>"Bir Üniversite Hastanesinin Kardiyoloji Polikliniğine Başvuran Hastalar Arasında Reçetesiz İlaç Kullanım Sıklığı, Suistimali, Yanlış Kullanımı ve Bağımlılık Düzeyi ile İlişkili Faktörlerin İncelenmesi"</t>
  </si>
  <si>
    <t>333.</t>
  </si>
  <si>
    <t>SBA 26/333</t>
  </si>
  <si>
    <t>Prof. Dr. Meryem Aslı TUNCER</t>
  </si>
  <si>
    <t>Üniversitemiz Tıp Fakültesi Nöroloji Anabilim Dalı öğretim üyelerinden Prof. Dr. Meryem Aslı TUNCER’in sorumlu araştırmacı olduğu, Prof. Dr. Güliz Fatma YAVAŞ, Prof. Dr. Çağrı Mesut TEMUÇİN, Prof. Dr. Gökçem YILDIZ SARIKAYA, Doç. Dr. Rahşan GÖÇMEN, Doç. Dr. Ayşe İlksen ÇOLPAK, Doç. Dr. Yeliz SALCI, Doç. Dr. Barbaros YET, Öğretim Üyesi Dr. Nazire Pınar ACAR-ÖZEN, Arş. Gör. Dr. İrem Göksu KENDİRLİ ile birlikte çalışacakları ve Arş. Gör. Dr. Tuğba ÖZÜM’ün uzmanlık tezi olan,</t>
  </si>
  <si>
    <t>“Progresif Multipl Sklerozis Hastalarında Optik Sinir Tutulumunun Değerlendirilmesi ve Fonksiyonel Parametreler ile Korelasyonu”</t>
  </si>
  <si>
    <t>334.</t>
  </si>
  <si>
    <t>SBA 26/334</t>
  </si>
  <si>
    <t>Doç. Dr. Oytun PORTAKAL AKÇİN</t>
  </si>
  <si>
    <t>Tıbbi Biyokimya Anabilim Dalı</t>
  </si>
  <si>
    <t>Üniversitemiz Tıp Fakültesi Tıbbi Biyokimya Anabilim Dalı öğretim üyelerinden Doç. Dr. Oytun PORTAKAL AKÇİN’in sorumlu araştırmacı olduğu, Doç. Dr. Gamze DURHAN, Doç. Dr. Hacı Hasan YETER, Prof. Dr. Mustafa ARICI, Prof. Dr. Sercan AKSOY ile birlikte çalışacakları ve Arş. Gör. Dr. Muhammed Şamil BİNİCİ'nin uzmanlık tezi olan,</t>
  </si>
  <si>
    <t>“Kronik Böbrek Hastalarında Ioheksol Plazma Klirensinin LC-MS/MS ile Ölçülmesine Dayalı Glomerüler Filtrasyon Hızının Kreatinin Temelli Glomerüler Filtrasyon Hızı Tahminiyle Karşılaştırılması”</t>
  </si>
  <si>
    <t>335.</t>
  </si>
  <si>
    <t>SBA 26/335</t>
  </si>
  <si>
    <t>Üniversitemiz Tıp Fakültesi Kardiyoloji Anabilim Dalı öğretim üyelerinden Prof. Dr. Kudret AYTEMİR’in sorumlu araştırmacı olduğu, Prof. Dr. Uğur CANPOLAT, Arş. Gör. Dr. Alper TAŞ ile birlikte çalışacakları ve Arş. Gör. Dr. Murat DANIŞTI'nın uzmanlık tezi olan,</t>
  </si>
  <si>
    <t>“Kardiyak Aritmiler İçin Kateter Ablasyon Tedavisi Uygulanan Hastalarda Ultrasonografi Kılavuzluğunda Femoral Arter ve Ven Ponksiyonu ile Konvansiyonel Femoral Arter ve Ven Ponksiyonu Yöntemlerinin Vasküler Komplikasyon Gelişimi Yönünden Karşılaştırılması”</t>
  </si>
  <si>
    <t>336.</t>
  </si>
  <si>
    <t>SBA 26/336</t>
  </si>
  <si>
    <t>Prof. Dr. Hüseyin Gencay KEÇELİ</t>
  </si>
  <si>
    <t>Üniversitemiz Diş Hekimliği Fakültesi Periodontoloji Anabilim Dalı öğretim üyelerinden Prof. Dr. Hüseyin Gencay KEÇELİ’nin sorumlu araştırmacı olduğu, Dr. Öğr. Üyesi Hanife Merva PARLAK ile birlikte çalışacakları,</t>
  </si>
  <si>
    <t>“Farklı Kök Yüzeyi Kapatma Teknikleri Uygulanan Hasta Verilerinin Kök Kapanmasını Etkileyen Faktörler Açısından Değerlendirilmesi”</t>
  </si>
  <si>
    <t>337.</t>
  </si>
  <si>
    <t>SBA 26/337</t>
  </si>
  <si>
    <t>Prof. Dr. Kasım KARATAŞ</t>
  </si>
  <si>
    <t>Üniversitemiz İktisadi ve İdari Bilimler Fakültesi Sosyal Hizmet Anabilim Dalı öğretim üyelerinden Prof. Dr. Kasım KARATAŞ’ın sorumlu araştırmacı olduğu, Sultan TEKİNYER ÇİÇEK ile birlikte çalışacakları,</t>
  </si>
  <si>
    <t>“Kentsel Erişilebilirliğin Deneyimsel İnşası: Engelli Çocuklar Bağlamında Bir İnceleme”</t>
  </si>
  <si>
    <t>338.</t>
  </si>
  <si>
    <t>SBA 26/338</t>
  </si>
  <si>
    <t>Dr. Öğr. Üyesi Hayri Can ÖZDEN</t>
  </si>
  <si>
    <t>Üniversitemiz Tıp Fakültesi Ruh Sağlığı ve Hastalıkları Anabilim Dalı öğretim üyelerinden Dr. Öğr. Üyesi Hayri Can ÖZDEN’in sorumlu araştırmacı olduğu, Arş. Gör. Dr. Dicle ECEMİŞ ile birlikte çalışacakları,</t>
  </si>
  <si>
    <t>“Psikiyatri Asistanları ve İlk Beş Yıl Uzmanların Psikodinamik Psikoterapilere Yönelik Görüşlerinin ve Eğitim Düzeylerinin Değerlendirilmesi”</t>
  </si>
  <si>
    <t>339.</t>
  </si>
  <si>
    <t>SBA 26/339</t>
  </si>
  <si>
    <t>Üniversitemiz Tıp Fakültesi Ruh Sağlığı ve Hastalıkları Anabilim Dalı öğretim üyelerinden Dr. Öğr. Üyesi Hayri Can ÖZDEN’in sorumlu araştırmacı olduğu, Arş. Gör. Dr. Tuğberk VAYISOĞLU, Arş. Gör. Dr. Oğuzhan ONAT, Arş. Gör. Dr. Sercan SİVLİM ile birlikte çalışacakları,</t>
  </si>
  <si>
    <t>“Elektrokonvülsif Tedavinin Etkinlik ve Güvenliğinin ve Tedavide Flumazenil Kullanımının Nöbet Parametreleri ile Klinik Değişkenler Üzerindeki Etkilerinin Retrospektif Olarak İncelenmesi”</t>
  </si>
  <si>
    <t>340.</t>
  </si>
  <si>
    <t>SBA 26/340</t>
  </si>
  <si>
    <t>Dr. Öğr. Üyesi Ece ÖZOĞUL</t>
  </si>
  <si>
    <t>Üniversitemiz Tıp Fakültesi Tıbbi Patoloji Anabilim Dalı öğretim üyelerinden Dr. Öğr. Üyesi Ece ÖZOĞUL'un sorumlu araştırmacı olduğu, Doç. Dr. Serkan AKIN, Prof. Dr. Arzu AYHAN, Prof. Dr. Ayşegül ÜNER ile birlikte çalışacakları,</t>
  </si>
  <si>
    <t>“IRF4 Düzenlenmesi Gösteren Büyük B Hücreli Lenfoma: Yedi Olgunun Klinik, Morfolojik ve Moleküler Özellikleri”</t>
  </si>
  <si>
    <t>341.</t>
  </si>
  <si>
    <t>SBA 26/341</t>
  </si>
  <si>
    <t>Doç. Dr. Galip Gencay ÜSTÜN</t>
  </si>
  <si>
    <t>Üniversitemiz Tıp Fakültesi Plastik, Rekonstrüktif ve Estetik Cerrahi Anabilim Dalı öğretim üyelerinden Doç. Dr. Galip Gencay ÜSTÜN’ün sorumlu araştırmacı olduğu, Prof. Dr. Melis GÜLTEKİN, Doç. Dr. Sezin YÜCE SARI, Dr. Öğr. Üyesi Özay GÖKÖZ ve Arş. Gör Dr. Hasan Buğra BOZ ile birlikte çalışacakları,</t>
  </si>
  <si>
    <t>“Mastektomi Sonrası Radyoterapi Uygulanan Meme Kanserli Hastalarda Yağ Grefti Uygulamasının Radyasyon Hasarlı Deri Üzerindeki Histopatolojik Etkilerinin Değerlendirilmesi ve Klinik Bulgularla Korelasyonu”</t>
  </si>
  <si>
    <t>342.</t>
  </si>
  <si>
    <t>SBA 26/342</t>
  </si>
  <si>
    <t>Dr. Öğr. Üyesi Evrim ÜNVER</t>
  </si>
  <si>
    <t>Üniversitemiz Spor Bilimleri Fakültesi Hareket ve Antrenman Bilimleri Anabilim Dalı öğretim üyelerinden Dr. Öğr. Üyesi Evrim ÜNVER’in sorumlu araştırmacı olduğu, Doğa KAMUTAY ile birlikte çalışacakları,</t>
  </si>
  <si>
    <t>“Futbolcularda Cinsiyete Göre Dengeyi Oluşturan Sensör Sistemlerin Karşılaştırması”</t>
  </si>
  <si>
    <t>343.</t>
  </si>
  <si>
    <t>SBA 26/343</t>
  </si>
  <si>
    <t>Doç. Dr. Cem ŞİMŞEK</t>
  </si>
  <si>
    <t>Üniversitemiz Tıp Fakültesi İç Hastalıkları Anabilim Dalı öğretim üyelerinden Doç. Dr. Cem ŞİMŞEK’in sorumlu araştırmacı olduğu; Prof. Dr. Hatice Yasemin BALABAN, Doç. Dr. Muhammed Bahaddin DURAK, Arş. Gör. Dr. Muhammet Furkan ÇAKMAK, Arş. Gör. Dr. Baran KART ile birlikte çalışacakları,</t>
  </si>
  <si>
    <t>“Yapay Zekâ Destekli Endoskopik Video Analizi ile Gastrointestinal Endoskopi Prosedürlerinde Kamera Stabilitesi ve Hareket Akıcılığının Değerlendirilmesi: Yetkinlik Ölçümü için Çok Prosedürlü Retrospektif Bir Çalışma”</t>
  </si>
  <si>
    <t>344.</t>
  </si>
  <si>
    <t>SBA 26/344</t>
  </si>
  <si>
    <t>Üniversitemiz Tıp Fakültesi İç Hastalıkları Anabilim Dalı öğretim üyelerinden Prof. Dr. Burcu Balam DOĞU’nun sorumlu araştırmacı olduğu, Arş. Gör. Dr. Yasemin POLAT ÖZER ile birlikte çalışacakları,</t>
  </si>
  <si>
    <t>“Geriatrik Sendromlar ile Aterojenik İndeks ve Trigliserit Glukoz İndeks İlişkisinin Değerlendirilmesi”</t>
  </si>
  <si>
    <t>345.</t>
  </si>
  <si>
    <t>SBA 26/345</t>
  </si>
  <si>
    <t>Üniversitemiz Tıp Fakültesi Tıbbi Patoloji Anabilim Dalı öğretim üyelerinden Dr. Öğr. Üyesi Ece ÖZOĞUL’un sorumlu araştırmacı olduğu, Prof. Dr. Emine Arzu AYHAN, Prof. Dr. Ayşegül ÜNER ve Arş. Gör. Dr. Aslı NOYAN ile birlikte çalışacakları,</t>
  </si>
  <si>
    <t>“Meme Lenfoma Olgularının Patolojik Spektrumu, Klinikopatolojik Korelasyon ve Literatür Derlemesi: Retrospektif Bir Çalışma ”</t>
  </si>
  <si>
    <t>346.</t>
  </si>
  <si>
    <t>SBA 26/346</t>
  </si>
  <si>
    <t>Üniversitemiz Tıp Fakültesi Göğüs Hastalıkları Anabilim Dalı öğretim üyelerinden Prof. Dr. Gül KARAKAYA'nın sorumlu araştırmacı olduğu, Prof. Dr. Özge UYSAL SOYER, Prof. Dr. Bülent Enis ŞEKEREL, Prof. Dr. Ebru DAMADOĞLU, Doç. Dr. Melike OCAK, Dr. Öğr. Gör. Özge ÖZTÜRK AKTAŞ, Arş. Gör. Dr. Çiğdem ERTUĞRUL ve Arş. Gör. Dr. Çise TÜCCAR ile birlikte çalışacakları,</t>
  </si>
  <si>
    <t>“Herediter Anjioödemde Cascade Aile Taraması: Türkiye'den Tek Merkez Deneyimi”</t>
  </si>
  <si>
    <t>347.</t>
  </si>
  <si>
    <t>SBA 26/347</t>
  </si>
  <si>
    <t>Üniversitemiz Tıp Fakültesi Aile Hekimliği Anabilim Dalı öğretim üyelerinden Doç. Dr. Duygu AYHAN BAŞER’in sorumlu araştırmacı olduğu, Arş. Gör. Dr. Ayşe İrem POYRAZOĞLU ONAT, Arş. Gör. Dr. Betül KILIÇ, Arş. Gör. Dr. Karaca EYİDEMİR, Arş. Gör. Dr. Ayşe Nur ÖZTÜRK, Doç. Dr. İzzet FİDANCI ve Doç. Dr. Hilal AKSOY ile birlikte çalışacakları,</t>
  </si>
  <si>
    <t>"Tıp Fakültesi Öğrencilerinde Tıp Öğrencisi Sendromu Yaşama Durumu ve Yapay Zeka Kullanma Eğiliminin İlişkisi: Kesitsel Çalışma”</t>
  </si>
  <si>
    <t>348.</t>
  </si>
  <si>
    <t>SBA 26/348</t>
  </si>
  <si>
    <t>Üniversitemiz Tıp Fakültesi İç Hastalıkları Anabilim Dalı öğretim üyelerinden Prof. Dr. Meltem Gülhan HALİL’in sorumlu araştırmacı olduğu, Uzm. Hem. Pınar GÜRÜN, Arş. Gör. Dr. İbrahim KURAN ile birlikte çalışacakları,</t>
  </si>
  <si>
    <t>“Demans Bilgilendirme Eğitimi Verilen Bakım Verenlerde Anksiyete, Depresyon ve Stres Düzeylerinin Değerlendirilmesi”</t>
  </si>
  <si>
    <t>349.</t>
  </si>
  <si>
    <t>SBA 26/349</t>
  </si>
  <si>
    <t>Doç. Dr. Özlem DİKMETAŞ SANDIKÇI</t>
  </si>
  <si>
    <t>Üniversitemiz Tıp Fakültesi Göz Hastalıkları Anabilim Dalı öğretim üyelerinden Doç. Dr. Özlem DİKMETAŞ SANDIKÇI’nın sorumlu araştırmacı olduğu, Prof. Dr. Sibel KOCABEYOĞLU ve Dr. Hümeyra DENER ile birlikte çalışacakları,</t>
  </si>
  <si>
    <t>“Kontakt Lens Kullanımına Bağlı Gelişen Keratitlerde Hasta Eğitiminin Önemi ve Bu Eğitimin Morbiditeye Etkisi”</t>
  </si>
  <si>
    <t>350.</t>
  </si>
  <si>
    <t>SBA 26/350</t>
  </si>
  <si>
    <t>Üniversitemiz Tıp Fakültesi İç Hastalıkları Anabilim Dalı öğretim üyelerinden Prof. Dr. Salih AKSU’nun sorumlu araştırmacı olduğu, Arş. Gör. Dr. Hakan ORAL ile birlikte çalışacakları,</t>
  </si>
  <si>
    <t>“Hemofili A ve B Hastalarında Tek Merkez Cerrahi Deneyimi”</t>
  </si>
  <si>
    <t>351.</t>
  </si>
  <si>
    <t>SBA 26/351</t>
  </si>
  <si>
    <t>Üniversitemiz Tıp Fakültesi Çocuk Sağlığı ve Hastalıkları Anabilim Dalı öğretim üyelerinden Dr. Öğr. Üyesi Ayşe METE YEŞİL'in sorumlu araştırmacı olduğu, Prof. Dr. Elif Nursel ÖZMERT, Arş. Gör. Dr. Gözde ULUŞIK GÜNGÖR ile birlikte çalışacakları,</t>
  </si>
  <si>
    <t>"Özel Gereksinimli Çocukların Okula Devam Durumları ve Karşılaştıkları Engeller"</t>
  </si>
  <si>
    <t>352.</t>
  </si>
  <si>
    <t>SBA 26/352</t>
  </si>
  <si>
    <t>Üniversitemiz Tıp Fakültesi Çocuk Sağlığı ve Hastalıkları Anabilim Dalı öğretim üyelerinden Prof. Dr. Deniz ÇAĞDAŞ AYVAZ’ın sorumlu araştırmacı olduğu, Prof. Dr. Yikun YAO, Prof. Dr. Emirhan NEMUTLU, Doç. Dr. Saliha ESENBOĞA, Prof. Dr. Burcu BALCI, Doç. Dr. Elif SOYAK AYTEKİN, Doç. Dr. Sevil OSKAY HALAÇLI, Arş. Gör. Dr. İsmail YAZ, Arş. Gör. Dr. Begüm ÇİÇEK, Dr. Öğr. Üyesi Evrim AKSU MENGEŞ, Uzm. Bio Anıl IŞIK, Uzm. Bio Fatma Çiğdem SELÇUK ile birlikte çalışacakları,</t>
  </si>
  <si>
    <t>“Doğuştan Bağışıklık Hataları ve Kanser İmmünoterapisinde Karsinojenez Mekanizmaları”</t>
  </si>
  <si>
    <t>353.</t>
  </si>
  <si>
    <t>SBA 26/353</t>
  </si>
  <si>
    <t>“Geriatrik Hastalarda Olası Sarkopeni Tespitinde Farklı Baldır Çevresi Ölçüm Yöntemlerinin Tanısal Doğruluk ve Üstünlük Karşılaştırması: Tek Merkezli Retrospektif Kesitsel Çalışma”</t>
  </si>
  <si>
    <t>354.</t>
  </si>
  <si>
    <t>SBA 26/354</t>
  </si>
  <si>
    <t>Üniversitemiz Tıp Fakültesi Aile Hekimliği Anabilim Dalı öğretim üyelerinden Doç. Dr. Duygu AYHAN BAŞER’in sorumlu araştırmacı olduğu, Arş. Gör. Dr. Betül KILIÇ, Arş. Gör. Dr. Ayşe İrem POYRAZOĞLU ONAT, Arş. Gör. Dr. Karaca EYİDEMİR, Arş. Gör. Dr. Ayşe Nur ÖZTÜRK, Doç. Dr. İzzet FİDANCI ve Doç. Dr. Hilal AKSOY ile birlikte çalışacakları,</t>
  </si>
  <si>
    <t>"Sağlık Bilimleri Öğrencilerinde İnfluenza, HPV ve Pnömokok Aşılarına Yönelik Bilgi ve Tutum: Kesitsel Çalışma”</t>
  </si>
  <si>
    <t>355.</t>
  </si>
  <si>
    <t>SBA 26/355</t>
  </si>
  <si>
    <t>Prof. Dr. Hakan UZUN</t>
  </si>
  <si>
    <t>Üniversitemiz Tıp Fakültesi Plastik Rekonstrüktif ve Estetik Cerrahi Anabilim Dalı öğretim üyelerinden Prof. Dr. Hakan UZUN’un sorumlu araştırmacı olduğu, Doç. Dr. Galip Gencay ÜSTÜN, Doç. Dr. Gökhan SERT, Dr. Öğr. Üyesi Fethiye Damla MENKÜ ve Arş. Gör. Dr. Yusuf IRMAK ile birlikte çalışacakları,</t>
  </si>
  <si>
    <t>“Parmak Ucu Amputasyonlarının İkincil Rekonstrüksiyonunda Lokal Flep ve Kompozit Greft Tekniklerinin Karşılaştırılması: Uzun Dönem Duyusal ve Fonksiyonel Sonuçlar”</t>
  </si>
  <si>
    <t>356.</t>
  </si>
  <si>
    <t>SBA 26/356</t>
  </si>
  <si>
    <t>Prof. Dr. Gülten GÜVENÇ
Doç. Dr. Gölşah KÖK</t>
  </si>
  <si>
    <t>Gülhane Sağlık Bilimleri Üniversitesi Hemşirelik Fakültesi Doğum ve Kadın Hastalıkları Hemşireliği Anabilim Dalı öğretim üyelerinden Prof. Dr. Gülten GÜVENÇ ve Doç. Dr. Gölşah KÖK'ün sorumlu araştırmacı olduğu, Seyhan TÜRKMEN ve Seda TEMEL ile birlikte çalışacakları,</t>
  </si>
  <si>
    <t>"Primipar Kadınlarda Emzirme Mitlerinin Emzirme Başarısı Üzerindeki Etkisi: Emzirme Özyeterliliğinin Aracı Rolü"</t>
  </si>
  <si>
    <t>357.</t>
  </si>
  <si>
    <t>SBA 26/357</t>
  </si>
  <si>
    <t>Üniversitemiz Tıp Fakültesi Çocuk Sağlığı ve Hastalıkları Anabilim Dalı öğretim üyelerinden Prof. Dr. Özlem TEKŞAM’ın sorumlu araştırmacı olduğu, Doç. Dr. Leman AKCAN YILDIZ ve Araştırma Görevlisi Dr. Selin ARIKANOĞLU ile birlikte çalışacakları,</t>
  </si>
  <si>
    <t>“Çocuk Acil Polikliniği’ne Başvuran Basit ve Komplike Febril Nöbet Hastalarının Klinik Özellikleri, Yönetimleri ve Sonuçlarının Karşılaştırılması”</t>
  </si>
  <si>
    <t>358.</t>
  </si>
  <si>
    <t>SBA 26/358</t>
  </si>
  <si>
    <t>Üniversitemiz Tıp Fakültesi Çocuk Cerrahisi Anabilim Dalı öğretim üyelerinden Prof. Dr. Tutku SOYER ’in sorumlu araştırmacı olduğu, Prof. Dr. Özlem BOYBEYİ, Arş. Gör. Dr. Mustafa Ünal SAYILIR ile birlikte çalışacakları,</t>
  </si>
  <si>
    <t>“Çocuk Cerrahisi Hastalarında Perioperatif Nutrisyonel Durumun ve Postoperatif Sonuçlara Etkisinin Değerlendirilmesi: Ulusal, Çok Merkezli Prospektif Çalışma”</t>
  </si>
  <si>
    <t>359.</t>
  </si>
  <si>
    <t>SBA 26/359</t>
  </si>
  <si>
    <t>Üniversitemiz Tıp Fakültesi Çocuk ve Ergen Ruh Sağlığı ve Hastalıkları Anabilim Dalı öğretim üyelerinden Doç. Dr. Dilek ÜNAL’ın sorumlu araştırmacı olduğu, Arş. Gör. Dr. Ayşegül SARIKÖSE’nin uzmanlık tezi olan,</t>
  </si>
  <si>
    <t>“Otizm Spektrum Bozukluğunda Adaptif Bağışıklık Sisteminin Th1/Th2/Th9/Th17/Th22 Ekseni ve B Hücre Aktivasyon Faktörleri Üzerinden Çoklu Sitokin Profili Analizi”</t>
  </si>
  <si>
    <t>360.</t>
  </si>
  <si>
    <t>SBA 26/360</t>
  </si>
  <si>
    <t>Üniversitemiz Tıp Fakültesi Göz Hastalıkları Anabilim Dalı öğretim üyelerinden Doç. Dr. İrem KOÇ'un sorumlu araştırmacı olduğu, Prof. Dr. Hayyam KIRATLI, Arş. Gör. Dr. Ayşe Pelin İNCİ, Prof. Dr. Gözde YAZICI, Dr. Öğr. Üyesi Melek Tuğçe YILMAZ ASLAN ile birlikte çalışacakları,</t>
  </si>
  <si>
    <t>“Üveal Melanoma Yönelik Stereotaktik Radyoterapi Uygulanmış Hastalarda Posterior Segment Radyasyon Toksisitesi Gelişimi İçin Klinik Risk Faktörlerinin Retrospektif Olarak Belirlenmesi”</t>
  </si>
  <si>
    <t>361.</t>
  </si>
  <si>
    <t>SBA 26/361</t>
  </si>
  <si>
    <t>Üniversitemiz Tıp Fakültesi İç Hastalıkları Anabilim Dalı öğretim üyelerinden Prof. Dr. Burcu Balam DOĞU’nun sorumlu araştırmacı olduğu, Arş. Gör. Dr. Okan TURHAN ile birlikte çalışacakları,</t>
  </si>
  <si>
    <t>“Hastanede Yatan Geriatrik Hastalarda Kısaltılmış Bilişsel Test (AMT-10 ve AMT-7) Versiyonlarının Türkçe Geçerlik ve Güvenirlik Çalışması”</t>
  </si>
  <si>
    <t>362.</t>
  </si>
  <si>
    <t>SBA 26/362</t>
  </si>
  <si>
    <t>Üniversitemiz Tıp Fakültesi Çocuk Sağlığı ve Hastalıkları Anabilim Dalı öğretim üyelerinden Prof. Dr. Yasemin ÖZSÜREKCİ’nin sorumlu araştırmacı olduğu, Doç. Dr. Kübra AYKAÇ ve Arş. Gör. Dr. Aylin Irmak KURUÇ ile birlikte çalışacakları,</t>
  </si>
  <si>
    <t>“Kırım-Kongo Kanamalı Ateşi Tanılı Çocuk ve Erişkin Hastaların Proinflamatuvar Ekstraselüler Veziküllerinin Değerlendirilmesi”</t>
  </si>
  <si>
    <t>363.</t>
  </si>
  <si>
    <t>SBA 26/363</t>
  </si>
  <si>
    <t>Prof. Dr. Ebru AYPAR</t>
  </si>
  <si>
    <t>Üniversitemiz Tıp Fakültesi Çocuk Sağlığı ve Hastalıkları Anabilim Dalı öğretim üyelerinden Prof. Dr. Ebru AYPAR'ın sorumlu araştırmacı olduğu, Prof. Dr. Tevfik KARAGÖZ ile birlikte çalışacakları ve Arş. Gör. Dr. Osman BAHADIR’ın uzmanlık tezi olan,</t>
  </si>
  <si>
    <t>“Hacettepe Ünı̇versı̇tesı̇ Çocuk Kardı̇yolojı̇ Bı̇lı̇m Dalı'nda 2005-2026 Yılları Arasında Hipertrofik Kardiyomiyopati Tanısı ile İzlenilen Hastaların Değerlendı̇rı̇lmesı̇”</t>
  </si>
  <si>
    <t>364.</t>
  </si>
  <si>
    <t>SBA 26/364</t>
  </si>
  <si>
    <t>Prof. Dr. Umut KALYONCU</t>
  </si>
  <si>
    <t>Üniversitemiz Tıp Fakültesi İç Hastalıkları Anabilim Dalı öğretim üyelerinden Prof. Dr. Umut KALYONCU'nun sorumlu araştırmacı olduğu,</t>
  </si>
  <si>
    <t>“Ailevi Akdeniz Ateşi (FMF) Hastalarında Kolşisin Kullanımına Uyum Sürecinin Anketle Değerlendirilmesi”</t>
  </si>
  <si>
    <t>365.</t>
  </si>
  <si>
    <t>SBA 26/365</t>
  </si>
  <si>
    <t>“Tıp Fakültesi Öğrencilerinde Kronik Bel Ağrısı Prevalansı ve Spondiloartrit ile İlişkili Klinik Özelliklerin Değerlendirilmesi”</t>
  </si>
  <si>
    <t>366.</t>
  </si>
  <si>
    <t>SBA 26/366</t>
  </si>
  <si>
    <t>Üniversitemiz Üroloji Anabilim Dalı öğretim üyelerinden Doç. Dr. Mesut ALTAN'ın sorumlu araştırmacı olduğu, Doç. Dr. Oytun PORTAKAL, Arş. Gör. Dr. İhsan Batuhan DEMİR ve Arş. Gör. Dr. Fagan MAMMADKARİMOV ile birlikte çalışacakları,</t>
  </si>
  <si>
    <t>“Tanı Almış Prostat Kanseri Hastalarında Serbest PSA Testinin Klinik Gerekliliği ve Sağlık Sistemine Olan Maliyet Etkisi: Retrospektif Bir Analiz”</t>
  </si>
  <si>
    <t>367.</t>
  </si>
  <si>
    <t>SBA 26/367</t>
  </si>
  <si>
    <t>Prof. Dr. Erdem KARABULUT</t>
  </si>
  <si>
    <t>Üniversitemiz Tıp Fakültesi Biyoistatistik Anabilim Dalı öğretim üyelerinden Prof. Dr. Erdem KARABULUT'un sorumlu araştırmacı olduğu, Hüseyin Erkin SÜLEKLİ’nin doktora tezi olan,</t>
  </si>
  <si>
    <t>“Sağlık Sektöründe Veri Madenciliği Yöntemleri İle Potansiyel Usulsüzlüklerin Tespiti”</t>
  </si>
  <si>
    <t>368.</t>
  </si>
  <si>
    <t>SBA 26/368</t>
  </si>
  <si>
    <t>Üniversitemiz Tıp Fakültesi Çocuk Sağlığı ve Hastalıkları Anabilim Dalı öğretim üyelerinden Prof. Dr. Deniz ÇAĞDAŞ AYVAZ’ın sorumlu araştırmacı olduğu, Arş. Gör. Dr. Büşra HOTAMAN, Arş. Gör. Dr. İsmail YAZ ile birlikte çalışacakları,</t>
  </si>
  <si>
    <t>“Tip I İnterferon Yanıt Defekti Olan Hastalarda İnterferon İmzası ile Antiviral İmmünitenin Değerlendirilmesi”</t>
  </si>
  <si>
    <t>369.</t>
  </si>
  <si>
    <t>SBA 26/369</t>
  </si>
  <si>
    <t>Üniversitemiz Tıp Fakültesi İç Hastalıkları Anabilim Dalı öğretim üyelerinden Prof. Dr. Ayşe Tomris ERBAŞ’ın sorumlu araştırmacı olduğu, Prof. Dr. Selçuk DAĞDELEN, Doç. Dr. Süleyman Nahit ŞENDUR, Arş. Gör. Dr. Nergis BASMACI, Arş. Gör. Dr. Polat ERCAN ile birlikte çalışacakları,</t>
  </si>
  <si>
    <t>“Diyabet Hastalarında Ayak Öz Bakımı, Diyabetik Ayak Sıklığı ve Ülser Şiddeti Arasındaki İlişki: Kesitsel Gözlemsel Çalışma”</t>
  </si>
  <si>
    <t>370.</t>
  </si>
  <si>
    <t>SBA 26/370</t>
  </si>
  <si>
    <t>Doç. Dr. Nezih AKKAPULU</t>
  </si>
  <si>
    <t>Genel Cerrahi Anabilim Dalı</t>
  </si>
  <si>
    <t>Üniversitemiz Tıp Fakültesi Genel Cerrahi Anabilim Dalı öğretim üyelerinden Doç. Dr. Nezih AKKAPULU’nun sorumlu araştırmacı olduğu, Arş. Gör. Dr. Doğukan DOĞU ile birlikte çalışacakları,</t>
  </si>
  <si>
    <t>“Tip 2 Mide Kardiya Tümörlerinde Özofajektomi ve Gastrektomi Yöntemlerinin Karşılaştırılması”</t>
  </si>
  <si>
    <t>371.</t>
  </si>
  <si>
    <t>SBA 26/371</t>
  </si>
  <si>
    <t>Üniversitemiz Tıp Fakültesi Halk Sağlığı Anabilim Dalı öğretim üyelerinden Prof. Dr. Dilek ASLAN'ın sorumlu araştırmacı olduğu, Arş. Gör. Dr. Gül Usar YILDIZ’ın uzmanlık tezi olan,</t>
  </si>
  <si>
    <t>“Ankara'da Seçilmiş Aile Sağlığı Merkezleri'nden Hizmet Alanların Ağız ve Diş Sağlığı ile İlgili Farkındalıklarının ve Bu Merkezlerdeki Sağlık Çalışanlarının Konuya İlişkin Görüşleri”</t>
  </si>
  <si>
    <t>372.</t>
  </si>
  <si>
    <t>SBA 26/372</t>
  </si>
  <si>
    <t>Üniversitemiz Tıp Fakültesi Göz Hastalıkları Anabilim Dalı öğretim üyelerinden Dr. Öğr. Üyesi Figen BEZCİ AYGÜN'ün sorumlu araştırmacı olduğu, Prof. Dr. Sibel KADAYIFÇILAR, Arş. Gör. Dr. Ayşe Ceren ÖZKORKMAZ ve Arş. Gör. Dr. Ayça YILMAZ ile birlikte çalışacakları,</t>
  </si>
  <si>
    <t>“Behçet Hastalığında Retinal Vasküler ve Görsel Fonksiyon Parametrelerinin Pediatrik ve Erişkin Gruplarda Değerlendirilmesi”</t>
  </si>
  <si>
    <t>373.</t>
  </si>
  <si>
    <t>SBA 26/373</t>
  </si>
  <si>
    <t>Prof. Dr. Gökçen ÇOBAN ÇİFÇİ</t>
  </si>
  <si>
    <t>Üniversitemiz Tıp Fakültesi Radyoloji Anabilim Dalı öğretim üyelerinden Prof. Dr. Gökçen ÇOBAN ÇİFÇİ’nin sorumlu araştırmacı olduğu, Doç. Dr. Gül YALÇIN ÇAKMAKLI ile birlikte çalışacakları ve Arş. Gör. Dr. Aslı Ceren AKBIYIK’ın uzmanlık tezi olan,</t>
  </si>
  <si>
    <t>“Nörodejeneratif Hastalıklarda Rutin Manyetik Rezonans Görüntüleme Sekanslarına Ek Olarak QSM ve CEST MRG Tekniklerinin Tanısal Katkısının ve Hastalığa Özgü Görüntüleme Paternlerinin Değerlendirilmesi”</t>
  </si>
  <si>
    <t>374.</t>
  </si>
  <si>
    <t>SBA 26/374</t>
  </si>
  <si>
    <t>Üniversitemiz Tıp Fakültesi Çocuk Sağlığı ve Hastalıkları Anabilim Dalı öğretim üyelerinden Prof. Dr. Özlem TEKŞAM’ın sorumlu araştırmacı olduğu, Arş. Gör. Dr. Ecem ATABEY DEMİRCAN’ın uzmanlık tezi olan,</t>
  </si>
  <si>
    <t>“Çocuk Acile Başvuran Anafilaksi Vakalarının Retrospektif İncelenmesi”</t>
  </si>
  <si>
    <t>375.</t>
  </si>
  <si>
    <t>SBA 26/375</t>
  </si>
  <si>
    <t>Dr. Öğr. Gör. Buket KILIÇ</t>
  </si>
  <si>
    <t>“Bedensel Belirti Bozukluğu Tanılı Ergenlerdeki Narsisistik Özellikler ve Baş Etme Becerileri ile Ebeveynlerindeki Narsisistik Özelliklerin İlişkisi”</t>
  </si>
  <si>
    <t>376.</t>
  </si>
  <si>
    <t>SBA 26/376</t>
  </si>
  <si>
    <t>Üniversitemiz Tıp Fakültesi Göz Hastalıkları Anabilim Dalı öğretim üyelerinden Dr. Öğr. Üyesi Figen BEZCİ AYGÜN'ün sorumlu araştırmacı olduğu, Prof. Dr. Sibel KADAYIFÇILAR ve Arş. Gör. Dr. Ayşe Pelin İNCİ ile birlikte çalışacakları,</t>
  </si>
  <si>
    <t>“Sklerit Hastalarında Ön Segment ve Arka Segment Vasküler Yapılardaki Değişikliklerin Değerlendirilmesi”</t>
  </si>
  <si>
    <t>377.</t>
  </si>
  <si>
    <t>SBA 26/377</t>
  </si>
  <si>
    <t>Üniversitemiz Tıp Fakültesi Çocuk Sağlığı ve Hastalıkları Anabilim Dalı öğretim üyelerinden Doç. Dr. Saliha ESENBOĞA’nın sorumlu araştırmacı olduğu, Prof. Dr. Deniz ÇAĞDAŞ AYVAZ, Doç. Dr. Elif SOYAK AYTEKİN, Arş. Gör. Dr. Zehra GENÇ ÖZBAY, Arş. Gör. Dr. Büşra HOTAMAN ile birlikte çalışacakları,</t>
  </si>
  <si>
    <t>“Primer İmmün Yetmezlik Tanısı ile İzlenen Adolesan Hastaların Beden Algısı ve Tedavi Uyumunun Değerlendirilmesi”</t>
  </si>
  <si>
    <t>378.</t>
  </si>
  <si>
    <t>SBA 26/378</t>
  </si>
  <si>
    <t>Üniversitemiz Tıp Fakültesi Kadın Hastalıkları ve Doğum Anabilim Dalı öğretim üyelerinden Doç. Dr. Utku AKGÖR'ün sorumlu araştırmacı olduğu, Arş. Gör. Dr. Betül GÜNGÖR ve Arş. Gör. Dr. Bilal Esat TEMİZ ile birlikte çalışacakları,</t>
  </si>
  <si>
    <t>“Nüks Endometrium Kanserinde Sekonder Sitoredüktif Cerrahinin Rolü ve Cerrahi Başarıyı Etkileyen Faktörler”</t>
  </si>
  <si>
    <t>379.</t>
  </si>
  <si>
    <t>SBA 26/379</t>
  </si>
  <si>
    <t>Üniversitemiz Tıp Fakültesi İç Hastalıkları Anabilim Dalı öğretim üyelerinden Doç. Dr. Levent KILIÇ’ın sorumlu araştırmacı olduğu, Arş. Gör. Dr. Gözde Sevgi KART BAYRAM ile birlikte çalışacakları,</t>
  </si>
  <si>
    <t>“Zor Yönetilen Aksiyel Spondiloartrit Hastalarında Uzun Dönem Takipte Devamlılık ve Geçişlerin Değerlendirilmesi”</t>
  </si>
  <si>
    <t>380.</t>
  </si>
  <si>
    <t>SBA 26/380</t>
  </si>
  <si>
    <t>Prof. Dr. Ömrüm UZUN</t>
  </si>
  <si>
    <t>Üniversitemiz Tıp Fakültesi Enfeksiyon Hastalıkları ve Klinik Mikrobiyoloji Anabilim Dalı öğretim üyelerinden Prof. Dr. Ömrüm UZUN'un sorumlu araştırmacı olduğu, Arş. Gör. Dr. Bahar AKPINAR, Prof. Dr. Zafer ÇALIŞKAN, Prof. Dr. Gökhan METAN ile birlikte çalışacakları,</t>
  </si>
  <si>
    <t>“Solunum Yolu Multipleks Respiratuvar Bakteriyal ve Viral PCR Panelinin Tedaviye Etkisi ve Maliyetinin Araştırılması”</t>
  </si>
  <si>
    <t>381.</t>
  </si>
  <si>
    <t>SBA 26/381</t>
  </si>
  <si>
    <t>Üniversitemiz Tıp Fakültesi Aile Hekimliği Anabilim Dalı öğretim üyelerinden Doç. Dr. Hilal AKSOY’un sorumlu araştırmacı olduğu, Arş. Gör. Dr. Ayşenur VURUCU BAYRAM'ın uzmanlık tezi olan,</t>
  </si>
  <si>
    <t>“Ebeveynlerin Aşı Tereddüdü Konusundaki Tutumları ve Çocukluk Çağı Bağışıklamasının Artırılması Konusundaki Düşüncelerinin Değerlendirilmesi”</t>
  </si>
  <si>
    <t>382.</t>
  </si>
  <si>
    <t>SBA 26/382</t>
  </si>
  <si>
    <t>Doç. Dr. Nagihan KOÇ</t>
  </si>
  <si>
    <t>Üniversitemiz Diş Hekimliği Fakültesi Ağız, Diş ve Çene Radyolojisi Anabilim Dalı öğretim üyelerinden Doç. Dr. Nagihan KOÇ’un sorumlu araştırmacı olduğu, Arş. Gör. Dt. Berke Can KILIÇ’ın uzmanlık tezi olan,</t>
  </si>
  <si>
    <t>“Hacettepe Üniversitesi Diş Hekimliği Fakültesinde Ultrasonografi Tetkiki Yapılan Bireylerde Bulguların Retrospektif Olarak İncelenmesi”</t>
  </si>
  <si>
    <t>383.</t>
  </si>
  <si>
    <t>SBA 26/383</t>
  </si>
  <si>
    <t>Üniversitemiz Tıp Fakültesi İç Hastalıkları Anabilim Dalı öğretim üyelerinden Prof. Dr. Taylan KAV’ın sorumlu araştırmacı olduğu, Dr. Öğr. Üyesi Bengi ÖZTÜRK, Arş. Gör. Dr. Muhammet Furkan ÇAKMAK, Arş. Gör. Dr. Abdurrahman ÖZKAN, Arş. Gör. Dr. İbrahim Nahit ŞENDUR ile birlikte çalışacakları,</t>
  </si>
  <si>
    <t>“Üst Gastrointestinal Sistem Kanamasında Endoskopik Bulguların Dağılımı, Tedavi Yöntemi ve Hemostaz Başarısının Retrospektif Değerlendirilmesi”</t>
  </si>
  <si>
    <t>384.</t>
  </si>
  <si>
    <t>SBA 26/384</t>
  </si>
  <si>
    <t>Üniversitemiz Tıp Fakültesi İç Hastalıkları Anabilim Dalı öğretim üyelerinden Doç. Dr. Cem ŞİMŞEK'in sorumlu araştırmacı olduğu, Prof. Dr. Güneş ESENDAĞLI, Arş. Gör. Dr. Muhammet Furkan ÇAKMAK ve Binura MAKASHEVA ile birlikte çalışacakları,</t>
  </si>
  <si>
    <t>“Kolorektal Poliplerden Kolorektal Kansere: Erken Evre İmmün İmzaların Translasyonel Analizi”</t>
  </si>
  <si>
    <t>385.</t>
  </si>
  <si>
    <t>SBA 26/385</t>
  </si>
  <si>
    <t>Üniversitemiz Tıp Fakültesi Nöroloji Anabilim Dalı öğretim üyelerinden Prof. Dr. Neşe DERİCİOĞLU’nun sorumlu araştırmacı olduğu, Arş. Gör. Dr. Pelin KOMBAL ile birlikte çalışacakları,</t>
  </si>
  <si>
    <t>“Geçişin Anatomisi: Pediyatrik Başlangıçlı Epilepsi Hastalarının Yetişkin Döneminde Bilmemiz Gerekenler”</t>
  </si>
  <si>
    <t>386.</t>
  </si>
  <si>
    <t>SBA 26/386</t>
  </si>
  <si>
    <t>Üniversitemiz Tıp Fakültesi Halk Sağlığı Anabilim Dalı öğretim üyelerinden Prof. Dr. Dilek ASLAN'ın sorumlu araştırmacı olduğu, Arş. Gör. Dr. Sibel Armağan KARADENİZ’in uzmanlık tezi olan,</t>
  </si>
  <si>
    <t>“Ankara İli Çankaya İlçesi Aile Sağlığı Merkezlerinde Görev Yapan Sağlık Çalışanlarının İşitme Kaybı Olan ve/veya Sağır Bireylere Yönelik Sağlık Hizmeti Sunumunda Deneyimleri ve Yaklaşımları”</t>
  </si>
  <si>
    <t>387.</t>
  </si>
  <si>
    <t>SBA 26/387</t>
  </si>
  <si>
    <t>Dr. Öğr. Üyesi Süleyman BULUT</t>
  </si>
  <si>
    <t>Egzersizde Beslenme ve Metabolizma Anabilim Dalı</t>
  </si>
  <si>
    <t>Üniversitemiz Spor Bilimleri Fakültesi Egzersizde Beslenme ve Metabolizma Anabilim Dalı öğretim üyelerinden Dr. Öğr. Üyesi Süleyman BULUT’un sorumlu araştırmacı olduğu, Doç. Dr. Muhammed Mustafa ATAKAN, Dr. Öğr. Üyesi Yasemin GÜZEL ile birlikte çalışacakları ve Arş. Gör. Burcu ÖZALP’in yüksek lisans tezi olan,</t>
  </si>
  <si>
    <t>“Farklı Aerobik Fitness Düzeyine Sahip Bireylerde Açlık ve Tokluk Durumunda Yapılan Akut Egzersizin Periferik Kan Mononükleer Hücreleri ve Metabolik Yakıt Kullanımına Etkisi”</t>
  </si>
  <si>
    <t>388.</t>
  </si>
  <si>
    <t>SBA 26/388</t>
  </si>
  <si>
    <t>Üniversitemiz Tıp Fakültesi Çocuk Sağlığı ve Hastalıkları Anabilim Dalı öğretim üyelerinden Prof. Dr. Şule ÜNAL CANGÜL’ün sorumlu araştırmacı olduğu, Arş. Gör. Dr. Nihan ORAL, Doç. Dr. Tekin AKSU, Prof. Dr. Tuncay HAZIROLAN, Prof. Dr. Erdem KARABULUT ile birlikte çalışacakları,</t>
  </si>
  <si>
    <t>“Transfüzyon Bağımlı Talasemi Hastalarında Alternan Şelasyon Kullanımının Etkinlik ve Güvenlik Değerlendirmesi”</t>
  </si>
  <si>
    <t>389.</t>
  </si>
  <si>
    <t>SBA 26/389</t>
  </si>
  <si>
    <t>Üniversitemiz Tıp Fakültesi Çocuk Sağlığı ve Hastalıkları Anabilim Dalı öğretim üyelerinden Prof. Dr. Şule ÜNAL CANGÜL’ün sorumlu araştırmacı olduğu, Arş. Gör. Dr. Nihan ORAL, Dr. Öğr. Üyesi Cihan ASLAN, Dr. Öğr. Üyesi Arda BAĞCAZ ile birlikte çalışacakları,</t>
  </si>
  <si>
    <t>“Transfüzyon Bağımlı Talasemi Hastalarında Şelasyon Tedavisi Uyumunun Demografik, Davranışsal ve Psikososyal Faktörler ile Değerlendirilmesi”</t>
  </si>
  <si>
    <t>390.</t>
  </si>
  <si>
    <t>SBA 26/390</t>
  </si>
  <si>
    <t>Üniversitemiz Tıp Fakültesi Deri ve Zührevi hastalıkları Anabilim Dalı öğretim üyelerinden Prof. Dr. Sibel DOĞAN GÜNAYDIN’ın sorumlu araştırmacı olduğu, Uzm. Dr. Nergis BASMACI, Prof. Dr. Uğur ÜNLÜTÜRK ile birlikte çalışacakları ve Arş. Gör. Dr. Mehmet Alpren LÖKOĞLU’nun uzmanlık tezi olan,</t>
  </si>
  <si>
    <t>“Psoriazis ve Hidradenitisi Süpürativa Hastalarında Metabolik Sendrom ve Bileşenlerinin Karşılaştırmalı Değerlendirilmesi”</t>
  </si>
  <si>
    <t>391.</t>
  </si>
  <si>
    <t>SBA 26/391</t>
  </si>
  <si>
    <t>Üniversitemiz Tıp Fakültesi Göğüs Hastalıkları Anabilim Dalı öğretim üyelerinden Prof. Dr. Ebru DAMADOĞLU sorumlu araştırmacı olduğu ve Prof. Dr. Gül KARAKAYA, Arş. Gör. Dr. Özlem ŞAHAN GÜVEN ile birlikte çalışacakları,</t>
  </si>
  <si>
    <t>'Nonsteroid Antiinflamatuar İlaç Aşırı Duyarlılık Reaksiyonlarının ve Fenotiplerinin Değerlendirilmesi '</t>
  </si>
  <si>
    <t>392.</t>
  </si>
  <si>
    <t>SBA 26/392</t>
  </si>
  <si>
    <t>Üniversitemiz Eczacılık Fakültesi Klinik Eczacılık Anabilim Dalı öğretim üyelerinden Dr. Öğr Üyesi Emre KARA'nın sorumlu araştırmacı olduğu, Prof. Dr. Gökhan METAN ve Arş. Gör. Özgenur GERİDÖNMEZ ile birlikte çalışacakları,</t>
  </si>
  <si>
    <t>“Acinetobacter Baumannii Kaynaklı Enfeksiyonların Tedavisinde Sulbaktam ve Kombinasyonlarının Kullanımının Retrospektif Olarak İncelenmesi”</t>
  </si>
  <si>
    <t>393.</t>
  </si>
  <si>
    <t>SBA 26/393</t>
  </si>
  <si>
    <t>Dr. Öğr. Üyesi Ahmet Gürkan ERDEMİR</t>
  </si>
  <si>
    <t>Üniversitemiz Tıp Fakültesi Radyoloji Anabilim Dalı öğretim üyesi Dr. Öğr. Üyesi Ahmet Gürkan ERDEMİR’in sorumlu araştırmacı olduğu,</t>
  </si>
  <si>
    <t>“Travma Dışı Nedenlerle Acil Servise Başvuran 90 Yaş ve Üzeri Hastaların Toraks BT Tetkiklerinde Patolojik Bulguların Etyolojik Dağılımı”</t>
  </si>
  <si>
    <t>394.</t>
  </si>
  <si>
    <t>SBA 26/394</t>
  </si>
  <si>
    <t>Doç. Dr. Rahşan GÖÇMEN</t>
  </si>
  <si>
    <t>Üniversitemiz Tıp Fakültesi Radyoloji Anabilim Dalı öğretim üyelerinden Doç. Dr. Rahşan GÖÇMEN’in sorumlu araştırmacı olduğu, Dr. Öğr. Üyesi Gözde ÖZER ve Arş. Gör. Dr. Aslı Ceren AKBIYIK ile birlikte çalışacakları,</t>
  </si>
  <si>
    <t>“Nörolojik Semptom ile Başvuran Lösemi ve Lenfoma Hastalarında İntrakraniyal Görüntüleme Bulgularının Araştırılması”</t>
  </si>
  <si>
    <t>395.</t>
  </si>
  <si>
    <t>SBA 26/395</t>
  </si>
  <si>
    <t>Üniversitemiz Tıp Fakültesi Çocuk ve Ergen Ruh Sağlığı ve Hastalıkları Anabilim Dalı öğretim üyelerinden Doç. Dr. Burcu ERSÖZ ALAN’ın sorumlu araştırmacı olduğu, Arş. Gör. Dr. Ozan Botan KARABULUT’un uzmanlık tezi olan,</t>
  </si>
  <si>
    <t>“Dikkat Eksikliği Hiperaktivite Bozukluğu Tanılı Çocuklarda İrritabilite ve Saldırganlık Tiplerinin Yürütücü İşlevlerle İlişkisinin İncelenmesi”</t>
  </si>
  <si>
    <t>396.</t>
  </si>
  <si>
    <t>SBA 26/396</t>
  </si>
  <si>
    <t>“Geriatrik Hastalarda Tam Kan Sayımı Bazlı İnflamatuar İndekslerin Kırılganlık ve Olası Sarkopeniyi Öngörmedeki Değeri: Klasik İnflamasyon Belirteçleriyle Karşılaştırmalı Bir Analiz”</t>
  </si>
  <si>
    <t>397.</t>
  </si>
  <si>
    <t>SBA 26/397</t>
  </si>
  <si>
    <t>Prof. Dr. Pergin ATİLLA</t>
  </si>
  <si>
    <t>Üniversitemiz Tıp Fakültesi Histoloji ve Embriyoloji Anabilim Dalı öğretim üyelerinden Prof. Dr. Pergin ATİLLA'nın sorumlu araştırmacı olduğu, Arş. Gör. Dr. Fatma Ayça ÖYKEN, Dr. Öğr. Üyesi Sefa Burak ÇAM, Dr. Öğr. Üyesi Özay GÖKÖZ ve Dr. Öğr. Üyesi Sevilay KARAHAN ile birlikte çalışacakları ve Arş. Gör. Dr. Süleyman Suphi OKULU’nun uzmanlık tezi olan,</t>
  </si>
  <si>
    <t>“Keloid ve Hipertrofik Skar Patogenezinde Cold Shock Domain Containing C2 ve Roundabout Guidance Receptor 1-2'nin Rolünün Araştırılması”</t>
  </si>
  <si>
    <t>398.</t>
  </si>
  <si>
    <t>SBA 26/398</t>
  </si>
  <si>
    <t>Prof. Dr. Abdullah Ruhi SOYLU</t>
  </si>
  <si>
    <t>Biyofizik Anabilim Dalı</t>
  </si>
  <si>
    <t>Üniversitemiz Tıp Fakültesi Biyofizik Anabilim Dalı öğretim üyelerinden Prof. Dr. Abdullah Ruhi SOYLU’nun sorumlu araştırmacı olduğu, Prof. Dr. Ahmet İlkay IŞIKAY, Doç. Dr. Şafak PARLAK SAĞOL ile birlikte çalışacakları ve Dr. Mustafa SAKCI'nın doktora tezi olan,</t>
  </si>
  <si>
    <t>“Yetişkinlerdeki Bel, Boyun Vertebra ve Disk Biyomekanik Değişimlerinin Bireysel Faktörler ve Manyetik Rezonans Görüntüler Üzerinden Değerlendirilmesi”</t>
  </si>
  <si>
    <t>399.</t>
  </si>
  <si>
    <t>SBA 26/399</t>
  </si>
  <si>
    <t>Doç. Dr. Eda Ezgi ASLANTAŞ</t>
  </si>
  <si>
    <t>Üniversitemiz Diş Hekimliği Fakültesi Endodonti Anabilim Dalı öğretim üyelerinden Doç. Dr. Eda Ezgi ASLANTAŞ’ın sorumlu araştırmacı olduğu, Arş. Gör. Dt. Hayrunnisa BAŞARAN ile birlikte çalışacakları,</t>
  </si>
  <si>
    <t>“Kök Rezorpsiyonlarının Tip, Dağılım ve Şiddet Özelliklerinin Konik Işınlı Bilgisayarlı Tomografi (CBCT) Görüntüleri Üzerinden Belirlenmesi: Tek Merkezli Retrospektif Analiz”</t>
  </si>
  <si>
    <t>400.</t>
  </si>
  <si>
    <t>SBA 26/400</t>
  </si>
  <si>
    <t>Üniversitemiz Eczacılık Fakültesi Farmasötik Mikrobiyoloji Anabilim Dalı öğretim üyelerinden Doç. Dr. Ceren ÖZKUL KOÇAK’ın sorumlu araştırmacı olduğu, Prof. Dr. Emirhan NEMUTLU, Prof. Dr. Yavuz AYHAN, Prof. Dr. Derya DİKMEN, Doç. Dr. Gül YALÇIN ÇAKMAKLI, Doç. Dr. Rezzak YILMAZ, Dr. Öğr. Üyesi Ezgi YETİM ARSAVA, Arş. Gör. Dr. Sevilay ERDOĞAN KABLAN, Arş. Gör. Dr. Şeyma NİGİZ, Arş. Gör. Emre DUMAN ile birlikte çalışacakları,</t>
  </si>
  <si>
    <t>“Parkinson Hastalığının Genetik Alt Tiplerinde Bağırsak Mikrobiyomunun Karşılaştırmalı Profillenmesi, Fonksiyonel GABAerjik Kapasitenin Metagenomik Analizi ve Yüksek GABA Üreten Lactobacillus Suşlarının İzolasyonu”</t>
  </si>
  <si>
    <t>401.</t>
  </si>
  <si>
    <t>SBA 26/401</t>
  </si>
  <si>
    <t>Üniversitemiz Tıp Fakültesi İç Hastalıkları Anabilim Dalı öğretim üyelerinden Prof. Dr. Umut KALYONCU’nun sorumlu araştırmacı olduğu, Doç. Dr. Adalet Elçin YILDIZ, Dr. Öğr. Üyesi Sevtap ARSLAN SARIKAYA ve Uzm. Dr. Büşra FIRLATAN YAZGAN ile birlikte çalışacakları,</t>
  </si>
  <si>
    <t>“İnen Aortanın Anatomik Pozisyonunun Diffüz İdiyopatik Skeletal Hiperostoza (DISH) Bağlı Osteoproliferatif Değişikliklerin Lokalizasyonu Üzerine Etkisi”</t>
  </si>
  <si>
    <t>402.</t>
  </si>
  <si>
    <t>SBA 26/402</t>
  </si>
  <si>
    <t>“Epiretinal Membran ve Maküler Hole Tanılı Hastaların Preoperatif ve Postoperatif Maküler Görme Alanlarının Değerlendirilmesi”</t>
  </si>
  <si>
    <t>403.</t>
  </si>
  <si>
    <t>SBA 26/403</t>
  </si>
  <si>
    <t>Öğr. Gör. Dt. Diler DENİZ</t>
  </si>
  <si>
    <t>Üniversitemiz Diş Hekimliği Fakültesi Protetik Diş Tedavisi Anabilim Dalı öğretim elemanlarından Öğr. Gör. Dt. Diler DENİZ'in sorumlu araştırmacı olduğu, Prof. Dr. Güliz AKTAŞ, Dr. Öğr. Üyesi İrem SÖZEN YANIK ve Öğr. Gör. Dt. Dilara ŞAHİN HAZIR ile birlikte çalışacakları,</t>
  </si>
  <si>
    <t>“Diş Hekimliği Uzmanlık Öğrencileri Tarafından Hazırlanan Bilimsel Özetlerde Yapay Zekâ Destekli Yazımın Kaliteye Etkisi ve Yapay Zekâ Temelli Değerlendirmelerin Uzman Görüşleriyle Uyumu”</t>
  </si>
  <si>
    <t>404.</t>
  </si>
  <si>
    <t>SBA 26/404</t>
  </si>
  <si>
    <t>Prof. Dr. İncilay LAY</t>
  </si>
  <si>
    <t>Üniversitemiz Tıp Fakültesi Tıbbi Biyokimya Anabilim Dalı öğretim üyelerinden Prof. Dr. İncilay LAY’ın sorumlu araştırmacı olduğu, Prof. Dr. Selçuk DAĞDELEN, Doç. Dr. Basri GÜLBAKAN, Arş. Gör. Dr. Berat BARAN ile birlikte çalışacakları ve Arş. Gör. Meryem ZENGİN BÜLBÜL’ün uzmanlık tezi olan,</t>
  </si>
  <si>
    <t>“Metabolik Disfonksiyonla İlişkili Steatotik Karaciğer Hastalığı (MASLD)’na Sahip Obez Bireylerde Plazma Metabolom Profilinin Değerlendirilmesi”</t>
  </si>
  <si>
    <t>405.</t>
  </si>
  <si>
    <t>SBA 26/405</t>
  </si>
  <si>
    <t>Doç. Dr. Şükran Gülin EVİNÇ</t>
  </si>
  <si>
    <t>Üniversitemiz Tıp Fakültesi Çocuk ve Ergen Ruh Sağlığı ve Hastalıkları Anabilim Dalı öğretim üyelerinden Doç. Dr. Şükran Gülin EVİNÇ’in sorumlu araştırmacı olduğu; Prof. Dr. Dilşad FOTO ÖZDEMİR ve Öğr. Gör. Buket KILIÇ ile birlikte çalışacakları,</t>
  </si>
  <si>
    <t>“Suça Sürüklenen Çocukların Biyopsikososyal Özelliklerinin Retrospektif Bir İncelemesi”</t>
  </si>
  <si>
    <t>406.</t>
  </si>
  <si>
    <t>SBA 26/406</t>
  </si>
  <si>
    <t>Üniversitemiz Tıp Fakültesi İç Hastalıkları Anabilim Dalı öğretim üyelerinden Prof. Dr. Ömer KARADAĞ’ın sorumlu araştırmacı olduğu, Prof. Dr. Uğur Nadir KARAKULAK, Arş. Gör. Dr. Gözde Sevgi KART BAYRAM, Arş. Gör. Dr. Naciye ŞİRVAN ile birlikte çalışacakları,</t>
  </si>
  <si>
    <t>“Kawasaki Tanısı ile Takip Edilmiş Hastaların Erişkin Dönemde Kardiyak ve Romatolojik Açıdan Değerlendirilmesi”</t>
  </si>
  <si>
    <t>407.</t>
  </si>
  <si>
    <t>SBA 26/407</t>
  </si>
  <si>
    <t>Üniversitemiz İktisadi ve İdari Bilimler Fakültesi Sağlık Yönetimi Anabilim Dalı öğretim üyelerinden Prof. Dr. Özgür UĞURLUOĞLU’nun sorumlu araştırmacı olduğu, Prof. Dr. Reyhan ERSOY ile birlikte çalışacakları ve Mustafa KOCAKAYA’nın doktora tezi olan,</t>
  </si>
  <si>
    <t>“Diyabet Hastalarında Plansız Yeniden Yatış ve Acil Servis Başvuru Riskinin Makine Öğrenmesi ile Tahmini”</t>
  </si>
  <si>
    <t>408.</t>
  </si>
  <si>
    <t>SBA 26/408</t>
  </si>
  <si>
    <t>Üniversitemiz Tıp Fakültesi İç Hastalıkları Anabilim Dalı öğretim üyelerinden Prof. Dr. Burcu Balam DOĞU'nun sorumlu araştırmacı olduğu, Arş. Gör. Dr. Murat PEHLİVAN ile birlikte çalışacakları,</t>
  </si>
  <si>
    <t>“Geriatrik Yaş Grubunda Quick Mild Cognitive İmpairment (QMCI) Test Bileşenlerinin Makine Öğrenmesi Modellerinde Kullanımı”</t>
  </si>
  <si>
    <t>409.</t>
  </si>
  <si>
    <t>SBA 26/409</t>
  </si>
  <si>
    <t>Üniversitemiz Tıp Fakültesi İç Hastalıkları Anabilim Dalı öğretim üyelerinden Prof. Dr. Meltem Gülhan HALİL’in sorumlu araştırmacı olduğu, Arş. Gör. Dr. Elif GECEGELEN ile birlikte çalışacakları,</t>
  </si>
  <si>
    <t>“Enteral Tüp ile Beslenme ve/veya Total Parenteral Nütrisyon Uygulanan Hastanede Yatan Yaşlı Erişkinlerde Antikolinerjik İlaç Yükünün Aspirasyon Pnömonisi ve Mortalite Üzerine Etkisinin Retrospektif Olarak Değerlendirilmesi”</t>
  </si>
  <si>
    <t>410.</t>
  </si>
  <si>
    <t>SBA 26/410</t>
  </si>
  <si>
    <t>Üniversitemiz Tıp Fakültesi İç Hastalıkları Anabilim Dalı öğretim üyelerinden Doç. Dr. Mert EŞME’nin sorumlu araştırmacı olduğu, Arş. Gör. Dr. Elif GECEGELEN ile birlikte çalışacakları,</t>
  </si>
  <si>
    <t>“Poliklinik Değerlendirilmesinde Son 1 Haftada Acilden Yönlendirildiği Tespit Edilen Hastaların Verilerinin Retrospektif Olarak Unutkanlık Açısından Değerlendirilmesi”</t>
  </si>
  <si>
    <t>411.</t>
  </si>
  <si>
    <t>SBA 26/411</t>
  </si>
  <si>
    <t>Prof. Dr. Melek Dilek TURGUT</t>
  </si>
  <si>
    <t>Üniversitemiz Diş Hekimliği Fakültesi Pedodonti Anabilim Dalı öğretim üyelerinden Prof. Dr. Melek Dilek TURGUT’un sorumlu araştırmacı olduğu, Prof. Dr. Meryem UZAMIŞ TEKÇİÇEK, Arş. Gör. Dt. Kardelen DEMİREL, Arş. Gör. Dt. Doğa BÖKE ile birlikte çalışacakları,</t>
  </si>
  <si>
    <t>“Alerji Tanılı Çocuk Hastaların Ağız Bulgularının Değerlendirilmesi”</t>
  </si>
  <si>
    <t>412.</t>
  </si>
  <si>
    <t>SBA 26/412</t>
  </si>
  <si>
    <t>Üniversitemiz Sağlık Bilimleri Enstitüsü Kök Hücre Bilimleri Anabilim Dalı öğretim üyelerinden Prof. Dr. Betül ÇELEBİ SALTIK’ın sorumlu araştırmacı olduğu, Arş. Gör. Dr. Özlem ALTUNDAĞ ERDOĞAN, Sümeyya AKKUM, Prof. Dr. M. Bilge DEMİRKÖZ, Kerim ERDOĞAN, Furkan MERCAN ile birlikte çalışacakları,</t>
  </si>
  <si>
    <t>“Diş Pulpası Kök Hücrelerinde Proton Işını Uygulamasıyla Simüle Edilen Uzay Radyasyonuna Hücresel Yanıtların İncelenmesi”</t>
  </si>
  <si>
    <t>413.</t>
  </si>
  <si>
    <t>SBA 26/413</t>
  </si>
  <si>
    <t>Üniversitemiz Tıp Fakültesi İç Hastalıkları Anabilim Dalı öğretim üyelerinden Prof. Dr. Ömer KARADAĞ'ın sorumlu araştırmacı olduğu, Prof. Dr. Sibel DOĞAN GÜNAYDIN, Arş. Gör. Dr. Gözde Sevgi KART BAYRAM, Arş. Gör. Dr. Ali Aytuğ KUŞTAŞ ve Arş. Gör. Dr. Kübra ÇİÇEK ile birlikte çalışacakları,</t>
  </si>
  <si>
    <t>“Eozinofilik Granülomatoz Polianjitis Hastalarında Görülen Cilt Bulgularının Klinik, Dermatoskopik ve Fotograf Temelli Atlas Aracılığı ile Değerlendirilmesi”</t>
  </si>
  <si>
    <t>414.</t>
  </si>
  <si>
    <t>SBA 26/414</t>
  </si>
  <si>
    <t>Doç. Dr. Burak ARDIÇLI</t>
  </si>
  <si>
    <t>Üniversitemiz Tıp Fakültesi Çocuk Cerrahisi Anabilim Dalı öğretim üyelerinden Doç. Dr. Burak ARDIÇLI’nın sorumlu araştırmacı olduğu, Prof. Dr. Saniye EKİNCİ, Doç. Dr. İdil Rana USER KILIÇ ve Arş. Gör. Dr. Kübra ÖZTÜRK YÜZDEMİR ile birlikte çalışacakları,</t>
  </si>
  <si>
    <t>“Hipospadias Onarımında Ekzantrik Sirkummeatal Bazlı Flep Tekniği ve Sonuçları”</t>
  </si>
  <si>
    <t>415.</t>
  </si>
  <si>
    <t>SBA 26/415</t>
  </si>
  <si>
    <t>Prof. Dr. Şevkiye Selin AYTAÇ EYÜPOĞLU</t>
  </si>
  <si>
    <t>Üniversitemiz Tıp Fakültesi Çocuk Sağlığı ve Hastalıkları Anabilim Dalı öğretim üyelerinden Prof. Dr. Şevkiye Selin AYTAÇ EYÜPOĞLU’nun sorumlu araştırmacı olduğu, Arş. Gör. Dr. Fatih Enes BOZKURT’un uzmanlık tezi olan,</t>
  </si>
  <si>
    <t>“Çocukluk Çağı Akut Myeloid Lösemisinde Prognoz ve Sağkalım”</t>
  </si>
  <si>
    <t>416.</t>
  </si>
  <si>
    <t>SBA 26/416</t>
  </si>
  <si>
    <t>Üniversitemiz Eczacılık Fakültesi Klinik Eczacılık Anabilim Dalı öğretim üyelerinden Prof. Dr. Salih Kutay DEMİRKAN’ın sorumlu araştırmacı olduğu, Prof. Dr. Meltem Gülhan HALİL, Doç. Dr. Cafer BALCI, Dr. Öğr. Üyesi Burcu KELLECİ ÇAKIR ile birlikte çalışacakları ve Arş. Gör. Özgenur GERİDÖNMEZ'in doktora tazi olan,</t>
  </si>
  <si>
    <t>“Yaşlı Hastalarda Sarkopeni ile İlaçlar Arasındaki İlişkinin Retrospektif Olarak İncelenmesi”</t>
  </si>
  <si>
    <t>417.</t>
  </si>
  <si>
    <t>SBA 26/417</t>
  </si>
  <si>
    <t>Üniversitemiz Tıp Fakültesi Üroloji Anabilim Dalı öğretim üyelerinden Prof. Dr. Hasan Serkan DOĞAN’ın sorumlu araştırmacı olduğu, Arş. Gör. Dr. Hayrunnisa HOROZCU ile birlikte çalışacakları,</t>
  </si>
  <si>
    <t>“Obstrüktif veya Reflüksif Megaüreter Nedeniyle Geçici Üreterokutaneostomi Yapılmış Olan Hastaların Klinik Takip Sonuçlarının Değerlendirilmesi”</t>
  </si>
  <si>
    <t>418.</t>
  </si>
  <si>
    <t>SBA 26/418</t>
  </si>
  <si>
    <t>Üniversitemiz Tıp Fakültesi Göz Hastalıkları Anabilim Dalı öğretim üyelerinden Dr. Öğr. Üyesi Figen BEZCİ AYGÜN'ün sorumlu araştırmacı olduğu, Prof. Dr. Sibel KADAYIFÇILAR ve Arş. Gör. Dr. Günsu ER SEVİNÇ ile birlikte çalışacakları,</t>
  </si>
  <si>
    <t>“Santral Seröz Koryoretinopatide Retina ve Koroid Düzeyindeki Değişikliklerin Retrospektif Değerlendirilmesi”</t>
  </si>
  <si>
    <t>419.</t>
  </si>
  <si>
    <t>SBA 26/419</t>
  </si>
  <si>
    <t>Üniversitemiz Tıp Fakültesi Nöroloji Anabilim Dalı öğretim üyelerinden Prof. Dr. Fatma Gökçem YILDIZ SARIKAYA’nın sorumlu araştırmacı olduğu, Prof. Dr. Çağrı Mesut TEMUÇİN ve Arş. Gör. Dr. Cansu AYVACIOĞLU ÇAĞAN ile birlikte çalışacakları,</t>
  </si>
  <si>
    <t>“Amyotrofik Lateral Skleroz Hastalarında Bulber Etkilenimin Ardışık Sinir Uyarımı ile Değerlendirilmesi”</t>
  </si>
  <si>
    <t>420.</t>
  </si>
  <si>
    <t>SBA 26/420</t>
  </si>
  <si>
    <t>Prof. Dr. Elmas Ebru YALÇIN</t>
  </si>
  <si>
    <t>Üniversitemiz Tıp Fakültesi Çocuk Sağlığı ve Hastalıkları Anabilim Dalı öğretim üyelerinden Prof. Dr. Elmas Ebru YALÇIN’ın sorumlu araştırmacı olduğu, Arş. Gör. Dr. Tuğçe KANTEMİR, Prof. Dr. Nagehan EMİRALİOĞLU ORDUKAYA, Prof. Dr. Deniz DOĞRU ERSÖZ ve Prof. Dr. Hayriye Uğur ÖZÇELİK ile birlikte çalışacakları,</t>
  </si>
  <si>
    <t>“Kistik Fibrozisli Çocuklarda İlk Pseudomonas aeruginosa Eradikasyonu Sonrası Uzun Dönem Sonuçların Klinik Belirteçleri: 10 Yıllık Retrospektif Bir Çalışma”</t>
  </si>
  <si>
    <t>421.</t>
  </si>
  <si>
    <t>SBA 26/421</t>
  </si>
  <si>
    <t>Üniversitemiz Tıp Fakültesi Ortopedi ve Travmatoloji Anabilim Dalı öğretim üyelerinden Dr. Öğr. Üyesi Gökhan AYIK’ın sorumlu araştırmacı olduğu, Arş. Gör. Dr. Ulaş Can KOLAÇ ile birlikte çalışacakları,</t>
  </si>
  <si>
    <t>“Kalkaneus Kırıklarının Retrospektif Analizi ve Tedavi Sonuçları”</t>
  </si>
  <si>
    <t>422.</t>
  </si>
  <si>
    <t>SBA 26/422</t>
  </si>
  <si>
    <t>Üniversitemiz Tıp Fakültesi Çocuk Sağlığı ve Hastalıkları Anabilim Dalı Çocuk öğretim üyelerinden Prof. Dr. Yasemin ÖZSÜREKCİ’nin sorumlu araştırmacı olduğu, Arş. Gör. Dr. Aylin Irmak KURUÇ ve Arş. Gör. Dr. İrem Nur İNGENÇ ile birlikte çalışacakları,</t>
  </si>
  <si>
    <t>“SARS-CoV ilişkili Multi-İnflamatuar Sendrom Geçirmiş Çocuk Hastalarının; Tanı ve Tedavi Sonrasında İmmünolojik Durumlarının Değerlendirilmesi”</t>
  </si>
  <si>
    <t>423.</t>
  </si>
  <si>
    <t>SBA 26/423</t>
  </si>
  <si>
    <t>Doç. Dr. Kısmet ÇIKI</t>
  </si>
  <si>
    <t>Üniversitemiz Tıp Fakültesi Çocuk Sağlığı ve Hastalıkları Anabilim Dalı öğretim üyelerinden Doç. Dr. Kısmet ÇIKI’nın sorumlu araştırmacı olduğu, Doç. Dr. Yılmaz Yıldız, Arş. Gör. Dr. Ayşe ŞENOL ERSAK, Arş. Gör. Dr. Ayşen KOÇYİĞİT ile birlikte çalışacakları,</t>
  </si>
  <si>
    <t>''Lizinürik Protein İntöleransı Hastalarında Klinik Spektrum ve Komplikasyonların Değerlendirlmesi: Tek Merkez Deneyimi''</t>
  </si>
  <si>
    <t>424.</t>
  </si>
  <si>
    <t>SBA 26/424</t>
  </si>
  <si>
    <t>Üniversitemiz Tıp Fakültesi Çocuk Sağlığı ve Hastalıkları Anabilim Dalı öğretim üyelerinden Prof. Dr. Deniz DOĞRU ERSÖZ’ün sorumlu araştırmacı olduğu, Arş. Gör. Dr. Tuğçe KANTEMİR, Prof. Dr. Nagehan EMİRALİOĞLU ORDUKAYA, Prof. Dr. Elmas Ebru YALÇIN ve Prof. Dr Hayriye Uğur ÖZÇELİK ile birlikte çalışacakları,</t>
  </si>
  <si>
    <t>“Çocuklarda Hemoptizinin Etiyolojik Spektrumu ve Klinik Sonuçları: Üçüncü Basamak Bir Merkezden On Yıllık Retrospektif Analiz”</t>
  </si>
  <si>
    <t>425.</t>
  </si>
  <si>
    <t>SBA 26/425</t>
  </si>
  <si>
    <t>Prof. Dr. Alp USUBÜTÜN</t>
  </si>
  <si>
    <t>Üniversitemiz Tıp Fakültesi Tıbbi Patoloji Anabilim Dalı öğretim üyelerinden Prof. Dr. Alp USUBÜTÜN’nün sorumlu araştırmacı olduğu, Arş. Gör. Dr. Aleyna ORUÇ ile birlikte çalışacakları,</t>
  </si>
  <si>
    <t>“Ekstraovaryan Seks Kord Stromal Hücre Odakları: Nadir Görülen Bir Lezyonun Klinikopatolojik Değerlendirmesi”</t>
  </si>
  <si>
    <t>426.</t>
  </si>
  <si>
    <t>SBA 26/426</t>
  </si>
  <si>
    <t>Üniversitemiz Tıp Fakültesi Çocuk Sağlığı ve Hastalıkları Anabilim Dalı öğretim üyelerinden Prof Dr. Şule ÜNAL CANGÜL'ün sorumlu araştırmacı olduğu, Arş. Gör. Dr. Gamze GÜRSOY ve Prof Dr. Uğur ÜNLÜTÜRK ile birlikte çalışacakları,</t>
  </si>
  <si>
    <t>“Konjenital Diseritropoietik Anemi ve Pirüvat Kinaz Eksikliği Hastalarında Endokrin Komplikasyonların Değerlendirilmesi”</t>
  </si>
  <si>
    <t>427.</t>
  </si>
  <si>
    <t>SBA 26/427</t>
  </si>
  <si>
    <t>Üniversitemiz Tıp Fakültesi İç Hastalıkları Anabilim Dalı öğretim üyelerinden Doç. Dr. Cafer BALCI’nın sorumlu araştırmacı olduğu, Arş. Gör. Dr. Deniz CENGİZ ile birlikte çalışacakları,</t>
  </si>
  <si>
    <t>“Geriatri Polikliniğine Başvuran Hastalarda Dil Kas Kuvveti Ölçümleri ile Disfaji Öyküsü ve Kapsamlı Geriatrik Değerlendirme Parametreleri Arasındaki İlişkinin İncelenmesi”</t>
  </si>
  <si>
    <t>428.</t>
  </si>
  <si>
    <t>SBA 26/428</t>
  </si>
  <si>
    <t>Üniversitemiz Tıp Fakültesi Çocuk Sağlığı ve Hastalıkları Anabilim Dalı öğretim üyelerinden Doç. Dr. Tekin AKSU’nun sorumlu araştırmacı olduğu, Prof. Dr. Benan BAYRAKÇI, Doç. Dr. Selman KESİCİ, Arş. Gör. Dr. Gamze GÜRSOY ÖZÇELİK, Doç. Dr. Oytun PORTAKAL AKÇİN ile birlikte çalışacakları,</t>
  </si>
  <si>
    <t>“Hiperinflamatuvar Hastalıklarda Prognozun Öngörülmesinde Endotel Fonksiyon Belirteçlerinin Rolü”</t>
  </si>
  <si>
    <t>429.</t>
  </si>
  <si>
    <t>SBA 26/429</t>
  </si>
  <si>
    <t>Prof. Dr. Ümit Yavuz MALKAN</t>
  </si>
  <si>
    <t>Üniversitemiz Tıp Fakültesi İç Hastalıkları Anabilim Dalı öğretim üyelerinden Prof. Dr. Ümit Yavuz MALKAN’ın sorumlu araştırmacı olduğu, Arş. Gör. Dr. Mustafa Berkay TAŞTEKİN ile birlikte çalışacakları,</t>
  </si>
  <si>
    <t>“Eltrombopag Tedavisi ile Kemik İliği Değişikliklerinin Retrospektif İncelenmesi”</t>
  </si>
  <si>
    <t>430.</t>
  </si>
  <si>
    <t>SBA 26/430</t>
  </si>
  <si>
    <t>“İmmün Trombositopeni Hastalarında Splenektomi Başarısızlığı Olan Olguların Klinik Özellikleri”</t>
  </si>
  <si>
    <t>431.</t>
  </si>
  <si>
    <t>SBA 26/431</t>
  </si>
  <si>
    <t>Doç. Dr. Eda Didem KURT ŞÜKÜR</t>
  </si>
  <si>
    <t>Üniversitemiz Tıp Fakültesi Çocuk Sağlığı ve Hastalıkları Anabilim Dalı öğretim üyelerinden Doç. Dr. Eda Didem KURT ŞÜKÜR'ün sorumlu araştırmacı olduğu, Arş. Gör. Dr. Hüseyin Galen İNCEL’in uzmanlık tezi olan,</t>
  </si>
  <si>
    <t>"Evre 3-5 Kronik Böbrek Hastalığı Olan Çocuklarda Mineral ve Kemik Bozuklukları ve Tedaviye Yanıtın Değerlendirilmesi"</t>
  </si>
  <si>
    <t>432.</t>
  </si>
  <si>
    <t>SBA 26/432</t>
  </si>
  <si>
    <t>Üniversitemiz Diş Hekimliği Fakültesi Endodonti Anabilim Dalı öğretim üyelerinden Prof. Dr. M. Özgür UYANIK’ın sorumlu araştırmacı olduğu, Prof. Dr. Emel UZUNOĞLU ÖZYÜREK ve Arş. Gör. Dt. Şevval SARIOĞLU ile birlikte çalışacakları,</t>
  </si>
  <si>
    <t>“Uzatılmış Sodyum Hipoklorit İrrigasyonunun Kök Kanal Tedavili Dişlerde Kırılma Dayanımı ve Mikrosertliğe Etkisinin Değerlendirilmesi: İn Vitro Çalışma”</t>
  </si>
  <si>
    <t>433.</t>
  </si>
  <si>
    <t>SBA 26/433</t>
  </si>
  <si>
    <t>Dr. Öğr. Üyesi Leyla HUSEYNOVA TERZİ</t>
  </si>
  <si>
    <t>Üniversitemiz Tıp Fakültesi Deri ve Zührevi Hastalıklar Anabilim Dalı öğretim üyelerinden Dr. Öğr. Üyesi Leyla HUSEYNOVA TERZİ'nin sorumlu araştırmacı olduğu, Doç. Dr. Başak YALICI ARMAĞAN ve Arş. Gör. Dr. Kübra ÇİÇEK ile birlikte çalışacakları,</t>
  </si>
  <si>
    <t>“Dermatoloji Polikliniğine Başvuran Hastalarının Dermatolojik Sağlık Sorunlarının Tanısı ve Yönetiminde Yapay Zeka Kullanımına Bakış Açısı, Alışkanlığı ve Sağlık Alanında Yapay Zekaya Olan Güvenini Değerlendiren Anket Çalışması”</t>
  </si>
  <si>
    <t>434.</t>
  </si>
  <si>
    <t>SBA 26/434</t>
  </si>
  <si>
    <t>Prof. Dr. Tarık TUNCAY</t>
  </si>
  <si>
    <t>Üniversitemiz İktisadi ve İdari Bilimler Fakültesi Sosyal Hizmet Anabilim Dalı öğretim üyelerinden Prof. Dr. Tarık TUNCAY'ın sorumlu araştırmacı olduğu, Dr. Özlem GÖZEN ve Dr. Günseli Ayça ŞALDIRDAK ve Uzm. SHU Ayben BURAN ile birlikte çalışacakları,</t>
  </si>
  <si>
    <t>“Ailede Ruhsal Hastalık, Damgalanma ve Sosyal İzolasyon: Başa Çıkma ve Umut Üzerine Karma Yöntem Bir Çalışma”</t>
  </si>
  <si>
    <t>435.</t>
  </si>
  <si>
    <t>SBA 26/435</t>
  </si>
  <si>
    <t>Arş. Gör. Dr. Şeyma KAHRAMAN</t>
  </si>
  <si>
    <t>Üniversitemiz Tıp Fakültesi Çocuk Sağlığı ve Hastalıkları Anabilim Dalı öğretim elemanlarından Arş. Gör. Dr. Şeyma KAHRAMAN'ın sorumlu araştırmacı olduğu, Dr. Öğr. Üyesi Ayşe METE YEŞİL, Prof. Dr. Elif Nursel ÖZMERT ile birlikte çalışacakları,</t>
  </si>
  <si>
    <t>“Çocukların Gelişimsel ve Davranış Özelliklerine Yönelik Sosyal Medyada İçerik Üreten Kişilerin Uzmanlık Alanlarının İncelenmesi"</t>
  </si>
  <si>
    <t>436.</t>
  </si>
  <si>
    <t>SBA 26/436</t>
  </si>
  <si>
    <t>Üniversitemiz Tıp Fakültesi İç Hastalıkları Anabilim Dalı öğretim üyelerinden Prof. Dr. Burcu Balam DOĞU’nun sorumlu araştırmacı olduğu, Arş. Gör. Dr. Murat PEHLİVAN ile birlikte çalışacakları,</t>
  </si>
  <si>
    <t>“Geriatrik Yaş Grubunda Quick Mild Cognitive Impairment (Qmci) Test Skorlarındaki İzlemdeki Değişimler ve Bilişsel Gerileme Hızının Belirleyicileri”</t>
  </si>
  <si>
    <t>437.</t>
  </si>
  <si>
    <t>SBA 26/437</t>
  </si>
  <si>
    <t>Üniversitemiz Tıp Fakültesi Nöroloji Anabilim Dalı öğretim üyelerinden Prof. Dr. Neşe DERİCİOĞLU’nun sorumlu araştırmacı olduğu,</t>
  </si>
  <si>
    <t>“Ensefalopatide Siklik Alternan Patern (CAPE): EEG Özellikleri ve Klinik Seyir”</t>
  </si>
  <si>
    <t>438.</t>
  </si>
  <si>
    <t>SBA 26/438</t>
  </si>
  <si>
    <t>Üniversitemiz Tıp Fakültesi Çocuk Sağlığı ve Hastalıkları Anabilim Dalı öğretim üyelerinden Dr. Öğr. Üyesi Gizem ÜREL DEMİR'in sorumlu araştırmacı olduğu, Prof. Dr. Pelin Özlem ŞİMŞEK KİPER, Prof. Dr. Gülen Eda UTİNE, Arş. Gör. Dr. Damla YILDIZ ile birlikte çalışacakları,</t>
  </si>
  <si>
    <t>“Arboleda-Tham Sendromu ile Takip Edilen Bireylerin Klinik ve Moleküler Bulgularının Değerlendirilmesi”</t>
  </si>
  <si>
    <t>439.</t>
  </si>
  <si>
    <t>SBA 26/439</t>
  </si>
  <si>
    <t>Üniversitemiz Tıp Fakültesi Plastik, Rekonstrüktif ve Estetik Cerrahi Anabilim Dalı öğretim üyelerinden Doç. Dr. Galip Gencay ÜSTÜN’ün sorumlu araştırmacı olduğu, Prof. Dr. Hakan UZUN, Doç. Dr. Gökhan SERT, Uzm. Dr. Pembe Büşra KIRYAMAN ve Arş. Gör. Dr. Rabia Yudum SOMUNCU ile birlikte çalışacakları,</t>
  </si>
  <si>
    <t>“Dijital Replantasyon Başarısının Preoperatif Belirleyicileri: İskemi Süresi ve Amputat Yönetiminin Kritik Rolü”</t>
  </si>
  <si>
    <t>440.</t>
  </si>
  <si>
    <t>SBA 26/440</t>
  </si>
  <si>
    <t>Doç. Dr. Ayşe Bikem KARGI</t>
  </si>
  <si>
    <t>Klinik Psikoloji Anabilim Dalı</t>
  </si>
  <si>
    <t>Üniversitemiz Edebiyat Fakültesi Klinik Psikoloji Anabilim Dalı öğretim üyelerinden Doç. Dr. Ayşe Bikem KARGI'nın sorumlu araştırmacı olduğu, Ecem ALTOP KÖYOĞLU'nun doktora tezi olan,</t>
  </si>
  <si>
    <t>“Kumar Oynama Bozukluğu ile İlişkili Psikolojik Faktörlerin Nitel ve Nicel Yöntemlerle İncelenmesi”</t>
  </si>
  <si>
    <t>441.</t>
  </si>
  <si>
    <t>SBA 26/441</t>
  </si>
  <si>
    <t>Prof. Dr. Pelin Özlem ŞİMŞEK KİPER</t>
  </si>
  <si>
    <t>Üniversitemiz Tıp Fakültesi, Çocuk Sağlığı ve Hastalıkları Anabilim Dalı öğretim üyelerinden Prof. Dr. Pelin Özlem ŞİMŞEK KİPER'in sorumlu araştırmacı olduğu, Prof. Dr. Gülen Eda UTİNE, Dr. Öğr. Üyesi Gizem ÜREL DEMİR, Arş. Gör. Dr. Nazlı Büşra AÇIKGÖZ ile birlikte çalışacakları,</t>
  </si>
  <si>
    <t>“Alstrom Sendromu ile Takip Edilen Bireylerin Klinik ve Moleküler Bulgularının Değerlendirilmesi”</t>
  </si>
  <si>
    <t>442.</t>
  </si>
  <si>
    <t>SBA 26/442</t>
  </si>
  <si>
    <t>“Geriatri Polikliniğine Başvuran Yaşlı Hastalarda C-Reaktif Protein Düzeyinin Uzun Dönem Mortalite ile İlişkisinin Değerlendirilmesi : Tek Merkezli Retrospektif Kohort Çalışması”</t>
  </si>
  <si>
    <t>443.</t>
  </si>
  <si>
    <t>SBA 26/443</t>
  </si>
  <si>
    <t>Üniversitemiz Tıp Fakültesi Nöroloji Anabilim Dalı öğretim üyelerinden Prof. Dr. Çağrı Mesut TEMUÇİN’in sorumlu araştırmacı olduğu, Prof. Dr. Fatma Gökçem YILDIZ SARIKAYA, Arş. Gör. Dr. Cansu AYVACIOĞLU ÇAĞAN ve Arş. Gör. Dr. Özge Berna GÜLTEKİN ZAİM ile birlikte çalışacakları,</t>
  </si>
  <si>
    <t>“Motor Nöron Hastalığı Tanılı Bireylerde Eşlik Eden Ek Tuzak Nöropati Varlığının Değerlendirilmesi”</t>
  </si>
  <si>
    <t>444.</t>
  </si>
  <si>
    <t>SBA 26/444</t>
  </si>
  <si>
    <t>Doç. Dr. Gülçin TELLİ DİZMAN</t>
  </si>
  <si>
    <t>Üniversitemiz Tıp Fakültesi Enfeksiyon Hastalıkları ve Klinik Mikrobiyoloji Anabilim Dalı öğretim üyelerinden Doç. Dr. Gülçin TELLİ DİZMAN’ın sorumlu araştırmacı olduğu, Dr. Öğr. Üyesi Emre KARA, Dr. Öğr. Üyesi Burcu KELLECİ ÇAKIR ve Arş. Gör. Bahar ERBAY ile birlikte çalışacakları,</t>
  </si>
  <si>
    <t>“Hastanede Yatan Basınç Yaralanması Olan Hastaların Antimikrobiyal Tedavilerinin İncelenmesi”</t>
  </si>
  <si>
    <t>445.</t>
  </si>
  <si>
    <t>SBA 26/445</t>
  </si>
  <si>
    <t>Üniversitemiz Diş Hekimliği Fakültesi Endodonti Anabilim Dalı öğretim üyelerinden Doç. Dr. Eda Ezgi ASLANTAŞ’ın sorumlu araştırmacı olduğu, Arş. Gör. Dt. İsmihan PİŞKİN ile birlikte çalışacakları,</t>
  </si>
  <si>
    <t>“Kırık Nikel Titanyum Kanal Eğelerinin Ultrasonik Yöntemle Uzaklaştırılmasının Değerlendirilmesi"</t>
  </si>
  <si>
    <t>446.</t>
  </si>
  <si>
    <t>SBA 26/446</t>
  </si>
  <si>
    <t>Üniversitemiz Tıp Fakültesi Çocuk Sağlığı ve Hastalıkları Anabilim öğretim üyelerinden Doç. Dr. Erdal SAĞ'ın sorumlu araştırmacı olduğu, Arş. Gör. Dr. Elif CİNGÖZ ile birlikte çalışacakları,</t>
  </si>
  <si>
    <t>"Erken Başlangıçlı Kronik Non-Bakteriyel Osteomiyelit Hastalarında Genetik Değerlendirme"</t>
  </si>
  <si>
    <t>447.</t>
  </si>
  <si>
    <t>SBA 26/447</t>
  </si>
  <si>
    <t>Üniversitemiz Tıp Fakültesi İç Hastalıkları Anabilim Dalı öğretim üyelerinden Doç. Dr. Mert EŞME’nin sorumlu araştırmacı olduğu, Arş. Gör. Dr. Ayşegül ERDOĞDU BAKIR ile birlikte çalışacakları,</t>
  </si>
  <si>
    <t>“Geriatri Hastalarında Oral Frailitenin Değerlendirilmesi, Oral Frailitenin Diğer Geriatrik Sendromlarla İlişkisinin Gösterilmesi”</t>
  </si>
  <si>
    <t>448.</t>
  </si>
  <si>
    <t>SBA 26/448</t>
  </si>
  <si>
    <t>Prof. Dr. Alper AKTAŞ</t>
  </si>
  <si>
    <t>Üniversitemiz Diş Hekimliği Fakültesi Ağız, Diş ve Çene Cerrahisi Anabilim Dalı öğretim üyelerinden Prof. Dr. Alper AKTAŞ'ın’ sorumlu araştırmacı olduğu, Dr. Öğr. Üyesi Göknur TOPLAOĞLU YASAN, Arş. Gör. Dt. Ecem USMAN, Arş. Gör. Dt. Zeynep Sena ŞAHİN ile birlikte çalışacakları,</t>
  </si>
  <si>
    <t>“Hipertansif Hasta Popülasyonunda Lokal Anestezi Altında Diş Çekiminin Hemodinamik Değerler Üzerine Etkisinin Değerlendirilmesi”</t>
  </si>
  <si>
    <t>449.</t>
  </si>
  <si>
    <t>SBA 26/449</t>
  </si>
  <si>
    <t>Üniversitemiz Tıp Fakültesi Aile Hekimliği Anabilim Dalı öğretim üyelerinden Doç. Dr. Hilal AKSOY'un sorumlu araştırmacı olduğu, Arş. Gör. Dr. Hüseyin Ozan SEVİNÇER, Öğr. Gör. Dr. Mert SATILMIŞ, Doç. Dr. İzzet FİDANCI ve Doç. Dr. Duygu AYHAN BAŞER ile birlikte çalışacakları,</t>
  </si>
  <si>
    <t>“Üniversite Öğrencilerinde Telefon Ekran Süresi ile Depresyon, Anksiyete ve Stres Düzeyleri Arasındaki İlişki”</t>
  </si>
  <si>
    <t>450.</t>
  </si>
  <si>
    <t>SBA 26/450</t>
  </si>
  <si>
    <t>Üniversitemiz Tıp Fakültesi Çocuk ve Ergen Ruh Sağlığı ve Hastalıkları Anabilim Dalı öğretim üyelerinden Doç. Dr. Dilek ÜNAL’ın sorumlu araştırmacı olduğu, Öğr. Gör. Buket KILIÇ, Prof. Dr. Erdem KARABULUT, Arş. Gör. Dr. Beray BAHAR, Arş. Gör. Dr. Şerife İlayda KAMCI ARMAĞAN, Doç. Dr. Kevser NALBANT, Dr. Öğr. Üyesi Cihan ASLAN, Öğr. Gör. Kemal SARUHAN ile birlikte çalışacakları,</t>
  </si>
  <si>
    <t>“Çocukluk Çağı Olumsuz Yaşantılar Ölçeği-Ergen Formu’nun 12-18 Yaş Türk Ergen Örnekleminde Geçerlik ve Güvenirlik Çalışması”</t>
  </si>
  <si>
    <t>451.</t>
  </si>
  <si>
    <t>SBA 26/451</t>
  </si>
  <si>
    <t>Doç. Dr. Barış SEZER</t>
  </si>
  <si>
    <t>Üniversitemiz Tıp Fakültesi Tıp Eğitimi ve Bilişimi Anabilim Dalı öğretim üyelerinden Doç. Dr. Barış SEZER’in sorumlu araştırmacı olduğu, Bensu KARACAN ile birlikte çalışacakları,</t>
  </si>
  <si>
    <t>“Tıp Fakültesi Öğrencilerinin Tıpta Yapay Zekâya Yönelik Tutumlarının Yapay Zekâ Hazır Bulunuşluğu ve Yapay Zekâ Anksiyetesi Bağlamında İncelenmesi: Karma Yöntem Araştırması”</t>
  </si>
  <si>
    <t>452.</t>
  </si>
  <si>
    <t>SBA 26/452</t>
  </si>
  <si>
    <t>Tıbbi Farmakoloji Anabilim Dalı</t>
  </si>
  <si>
    <t>Üniversitemiz Tıp Fakültesi Tıbbi Farmakoloji Anabilim Dalı öğretim üyelerinden Prof. Dr. Melih Önder BABAOĞLU’nun Sorumlu Araştırmacısı olduğu, Dr. Öğr. Üyesi Ahmet MÜDERRİSOĞLU, Dr. Öğr. Üyesi Mert Can ONGUN, Prof. Dr. Alper Bektaş İSKİT, Prof. Dr. Elif BABAOĞLU ile birlikte çalışacakları ve Arş. Gör. Dr. Aslı AKYOL’un uzmanlık tezi olan,</t>
  </si>
  <si>
    <t>“GLP-1 Reseptörü Genetik Polimorfizmleri ile Sigara Bağımlılığı ve Sigara Bırakma Tedavilerinin Başarısı Arasındaki İlişkisinin İncelenmesi”</t>
  </si>
  <si>
    <t>453.</t>
  </si>
  <si>
    <t>SBA 26/453</t>
  </si>
  <si>
    <t>“İmmün Trombositopenili Hastalarda Birinci Basamak Tedavilerin Retrospektif Kıyaslanması”</t>
  </si>
  <si>
    <t>454.</t>
  </si>
  <si>
    <t>SBA 26/454</t>
  </si>
  <si>
    <t>“Evans Sendromu Tanılı Hastaların Klinik Özelliklerinin Retrospektif Özelliklerinin Retrospektif İncelenmesi”</t>
  </si>
  <si>
    <t>455.</t>
  </si>
  <si>
    <t>SBA 26/455</t>
  </si>
  <si>
    <t>Dr. Öğr. Üyesi Oğuzhan KATAR</t>
  </si>
  <si>
    <t>Üniversitemiz Tıp Fakültesi Kulak Burun Boğaz Hastalıkları Anabilim Dalı öğretim üyelerinden Dr. Öğr. Üyesi Oğuzhan KATAR’ın sorumlu araştırmacı olduğu, Prof. Dr. Levent SENNAROĞLU, Doç. Dr. Hilal Burcu ÖZKAN ATAK ve Arş. Gör. Dr. Aysun PARLAK KOCABAY ile birlikte çalışacakları,</t>
  </si>
  <si>
    <t>“Koklear Ossifikasyonu Olan ve Hacettepe Üniversitesi Hastaneleri'nde Cerrahi İşitme Rehabilitasyonu Sağlanan Hastaların İncelenmesi”</t>
  </si>
  <si>
    <t>456.</t>
  </si>
  <si>
    <t>SBA 26/456</t>
  </si>
  <si>
    <t>Üniversitemiz Tıp Fakültesi Nöroloji Anabilim Dalı öğretim üyelerinden Prof. Dr. Neşe DERİCİOĞLU’nun sorumlu araştırmacı olduğu, Öğr. Gör. Dr. Ece GÖK DURSUN ile birlikte çalışacakları,</t>
  </si>
  <si>
    <t>“Temporal Lob Epilepsisinde Lateralize Periyodik Deşarjların Klinik Önemi, Patoloji ve Prognoz ile İlişkisi”</t>
  </si>
  <si>
    <t>457.</t>
  </si>
  <si>
    <t>SBA 26/457</t>
  </si>
  <si>
    <t>“65 Yaş ve Hastalarda Antitrombotik Tedaviler ve Tedavi Yaklaşımlarının Geriatrik Sendromlarla İlişkisinin Retrospektif Analizi”</t>
  </si>
  <si>
    <t>458.</t>
  </si>
  <si>
    <t>SBA 26/458</t>
  </si>
  <si>
    <t>Doç. Dr. Ahmet KIVRAK</t>
  </si>
  <si>
    <t>Üniversitemiz Tıp Fakültesi Kardiyoloji Anabilim Dalı öğretim üyelerinden Doç. Dr. Ahmet KIVRAK'ın sorumlu araştırmacı olduğu, Arş. Gör. Dr. Can SEZER ile birlikte çalışacakları,</t>
  </si>
  <si>
    <t>“Balonla Genişletilebilir Transkateter Aort Kapak İmplantasyonu Sonrası Kalıcı Kalp Pili İhtiyacını Öngördürücülerinin Araştırılması”</t>
  </si>
  <si>
    <t>459.</t>
  </si>
  <si>
    <t>SBA 26/459</t>
  </si>
  <si>
    <t>Üniversitemiz Tıp Fakültesi Deri ve Zührevi Hastalıklar Anabilim Dalı öğretim üyelerinden Prof. Dr. Sibel DOĞAN GÜNAYDIN’ın sorumlu araştırmacı olduğu, Arş. Gör. Dr. Mehmet Alperen LÖKOĞLU ve Prof. Dr. Gülşen AKOĞLU ile birlikte çalışacakları,</t>
  </si>
  <si>
    <t>“Biyolojik Tedavi Kullanan Psoriazli Hastalarda Tedavi Optimizasyonuna Uygunluk Kriterlerinin Değerlendirilmesi”</t>
  </si>
  <si>
    <t>460.</t>
  </si>
  <si>
    <t>SBA 26/460</t>
  </si>
  <si>
    <t>Üniversitemiz Tıp Fakültesi Radyoloji Anabilim Dalı öğretim üyelerinden Dr. Öğr. Üyesi Aycan UYSAL'ın sorumlu araştırmacı olduğu, Arş. Gör. Dr. Mert GÖL ile birlikte çalışacakları,</t>
  </si>
  <si>
    <t>“Pediatrik Hastalarda Görüntüleme Eşliğinde Perkütan Gastrostomi: Endikasyonlar, Klinik Başarı ve Komplikasyonların Retrospektif Değerlendirilmesi”</t>
  </si>
  <si>
    <t>461.</t>
  </si>
  <si>
    <t>SBA 26/461</t>
  </si>
  <si>
    <t>Arş. Gör. Dr. Ozan KAPLAN</t>
  </si>
  <si>
    <t>Analitik Kimya Anabilim Dalı</t>
  </si>
  <si>
    <t>Üniversitemiz Eczacılık Fakültesi Analitik Kimya Anabilim Dalı öğretim elemanlarından Arş. Gör. Dr. Ozan KAPLAN’ın sorumlu araştırmacı olduğu, Prof. Dr. Mustafa ÇELEBİER ve Doç. Dr. Yeter EROL ÖZTÜRK ile birlikte çalışacakları,</t>
  </si>
  <si>
    <t>“Adli Vakalarda Postmortem Aralık (PMI) Tahmini için Kan ve Vitreus Temelli Metabolomik Biyobelirteçlerin Belirlenmesi”</t>
  </si>
  <si>
    <t>462.</t>
  </si>
  <si>
    <t>SBA 26/462</t>
  </si>
  <si>
    <t>Dr. Öğr. Üyesi Emre MUTLU</t>
  </si>
  <si>
    <t>Üniversitemiz Tıp Fakültesi Ruh Sağlığı ve Hastalıkları Anabilim Dalı öğretim üyelerinden Dr. Öğr. Üyesi Emre MUTLU’nun sorumlu araştırmacı olduğu, Arş. Gör. Dr. Ayça PARLAKDAĞ, Dr. Öğr. Üyesi Hayri Can ÖZDEN, Dr. Öğr. Üyesi Arda BAĞCAZ, Prof. Dr. Suzan ÖZER ve Prof. Dr. Başaran DEMİR ile birlikte çalışacakları,</t>
  </si>
  <si>
    <t>“Ruh Sağlığı ve Hastalıkları Kliniği’nde Lurasidon Başlanan Hastaların Klinik Özelliklerinin Değerlendirilmesi”</t>
  </si>
  <si>
    <t>463.</t>
  </si>
  <si>
    <t>SBA 26/463</t>
  </si>
  <si>
    <t>Prof. Dr. Lale KARAKOÇ SÖKMENSÜER</t>
  </si>
  <si>
    <t>Üniversitemiz Tıp Fakültesi Histoloji ve Embriyoloji Anabilim Dalı öğretim üyelerinden Prof. Dr. Lale KARAKOÇ SÖKMENSÜER’in sorumlu araştırmacı olduğu, Öğr. Gör. Dr. Selim ZIRH, Dr. Öğr. Üyesi Gonca ÖZTEN DERE, Dr. Öğr. Üyesi Onur İNCE ve Prof. Dr. Sevda Fatma MÜFTÜOĞLU ile birlikte çalışacakları ve Arş. Gör. Dr. Seda SARAÇ'ın tıpta uzmanlık tezi olan,</t>
  </si>
  <si>
    <t>“Polikistik Over Granüloza Hücrelerinde Ferroptozise Astaksantinin Etkileri”</t>
  </si>
  <si>
    <t>464.</t>
  </si>
  <si>
    <t>SBA 26/464</t>
  </si>
  <si>
    <t>Prof. Dr. Şevket Murat ÖZBEK</t>
  </si>
  <si>
    <t>Üniversitemiz Diş Hekimliği Fakültesi Ağız, Diş ve Çene Radyolojisi Anabilim Dalı öğretim üyelerinden Prof. Dr. Şevket Murat ÖZBEK’in sorumlu araştırmacı olduğu, Doç. Dr. Nagihan KOÇ ve Arş. Gör. Dt. Özge BEKTAŞ ile birlikte çalışacakları,</t>
  </si>
  <si>
    <t>“Diş Hekimlerinin Ultrasonografi Kullanımına Yönelik Bilgi, Tutum, Farkındalık ve Klinik Uygulama Algısının Değerlendirilmesi: Kesitsel Bir Anket Çalışması”</t>
  </si>
  <si>
    <t>465.</t>
  </si>
  <si>
    <t>SBA 26/465</t>
  </si>
  <si>
    <t>Dr. Öğr. Üyesi Neslihan TAŞ</t>
  </si>
  <si>
    <t>Gıda Mühendisliği Anabilim Dalı</t>
  </si>
  <si>
    <t>Üniversitemiz Mühendislik Fakültesi Gıda Mühendisliği Anabilim Dalı öğretim üyelerinden Dr. Öğr. Üyesi Neslihan TAŞ’ın sorumlu araştırmacı olduğu, Prof. Dr. Vural GÖKMEN, Dr. Öğr. Üyesi Tolgahan KOCADAĞLI ile birlikte çalışacakları, Gizem Naz KAYA ve Özge YILDIRIM’ın yüksek lisans tezi olan,</t>
  </si>
  <si>
    <t>“Gıdalarda Doymuş Yağ İkamesi Olarak Kullanılmak Üzere Fiziksel ve Kimyasal Stabilitesi Yüksek Ayçiçek Yağı Bazlı Oleojel Üretimi”</t>
  </si>
  <si>
    <t>466.</t>
  </si>
  <si>
    <t>SBA 26/466</t>
  </si>
  <si>
    <t>Üniversitemiz Tıp Fakültesi Nükleer Tıp Anabilim Dalı öğretim üyelerinden Prof. Dr. Bilge VOLKAN SALANCI’nın sorumlu araştırmacı olduğu, Dr. Öğr. Üyesi Ezgi YETİM ARSAVA, Doç. Dr. Gül YALÇIN ÇAKMAKLI ve Prof. Dr. Eser LAY ERGÜN ile birlikte çalışacakları,</t>
  </si>
  <si>
    <t>“Monogenik ve İdiyopatik Parkinson Hastalarında Kortikal-Subkortikal Glukoz Metabolizma Karakteristiklerinin Karşılaştırılması”</t>
  </si>
  <si>
    <t>467.</t>
  </si>
  <si>
    <t>SBA 26/467</t>
  </si>
  <si>
    <t>Prof. Dr. Ülfet Pınar ERKEKOĞLU</t>
  </si>
  <si>
    <t>Üniversitemiz Eczacılık Fakültesi Farmasötik Toksikoloji Anabilim Dalı öğretim üyelerinden Prof. Dr. Ülfet Pınar ERKEKOĞLU’nun sorumlu araştırmacı olduğu, Uzm. Dr. İbrahim KUTLUER, Arş. Gör. Deniz Arca ÇAKIR, Arş. Gör. Eda ERDEM ŞAHİNKESEN ile birlikte çalışacakları,</t>
  </si>
  <si>
    <t>“65 Yaş ve Üzeri Bireylerde İnsan Herpes Virüsleri Seropozitifliği ile Alzheimer Hastalığı Kan Biyobelirteçleri ve Epigenetik Belirteçler Arasındaki İlişkinin Değerlendirilmesi”</t>
  </si>
  <si>
    <t>468.</t>
  </si>
  <si>
    <t>SBA 26/468</t>
  </si>
  <si>
    <t>“Geriatrik Polikliniğe Başvuran Hastalarda İdrar Strip Testinin (Dipstick) Bakteriüri Tanısındaki Tanısal Doğruluğu ile Geriatrik Sendromlar İlişkisi: Kesitsel Bir Analiz”</t>
  </si>
  <si>
    <t>469.</t>
  </si>
  <si>
    <t>SBA 26/469</t>
  </si>
  <si>
    <t>Üniversitemiz Tıp Fakültesi İç Hastalıkları Anabilim Dalı öğretim üyelerinden Prof. Dr. Meltem Gülhan HALİL’in sorumlu araştırmacı olduğu, Arş. Gör. Dr. Deniz CENGİZ ile birlikte çalışacakları,</t>
  </si>
  <si>
    <t>“Geriatri Polikliniğine Başvuran Hastalarda Malnütrisyon ve Kırılganlığın Tüm Nedenlere Bağlı Mortalite ile İlişkisi”</t>
  </si>
  <si>
    <t>470.</t>
  </si>
  <si>
    <t>SBA 26/470</t>
  </si>
  <si>
    <t>Prof. Dr. Filiz ÜZÜMCÜGİL</t>
  </si>
  <si>
    <t>Üniversitemiz Tıp Fakültesi Anesteziyoloji ve Reanimasyon Anabilim Dalı öğretim üyelerinden Prof. Dr. Filiz ÜZÜMCÜGİL’in sorumlu araştırmacı olduğu, Arş. Gör. Dr. Alper KILINÇ'ın uzmanlık tezi olan,</t>
  </si>
  <si>
    <t>“Pediatrik Majör Cerrahilerde Preoperatif Gamma-Glutamil Transferazın Albümine Logaritmik Oranı ile Postoperatif Komplikasyonlar Arasındaki İlişkinin Değerlendirilmesi”</t>
  </si>
  <si>
    <t>471.</t>
  </si>
  <si>
    <t>SBA 26/471</t>
  </si>
  <si>
    <t>Prof. Dr. Ömür ÇAĞLAR</t>
  </si>
  <si>
    <t>Üniversitemiz Tıp Fakültesi Ortopedi ve Travmatoloji Anabilim Dalı öğretim üyelerinden Prof. Dr. Ömür ÇAĞLAR’ın sorumlu araştırmacı olduğu, Arş. Gör. Dr. Berat YÜKSEL ile birlikte çalışacakları,</t>
  </si>
  <si>
    <t>“Periprostetik Femur Kırığı Hastalarında Laboratuvar Parametreleri ve Radyolojik Morfolojik İndekslerin Uzun Dönem Sağkalım Üzerindeki Analizi: Retrospektif Kohort Çalışması”</t>
  </si>
  <si>
    <t>472.</t>
  </si>
  <si>
    <t>SBA 26/472</t>
  </si>
  <si>
    <t>Doç. Dr. Songül ÇINAROĞLU</t>
  </si>
  <si>
    <t>Sağlık Bilişimi Anabilim Dalı</t>
  </si>
  <si>
    <t>Üniversitemiz İktisadi ve İdari Bilimler Fakültesi Sağlık Bilişimi Anabilim Dalı öğretim üyelerinden Doç. Dr. Songül ÇINAROĞLU’nun sorumlu araştırmacı olduğu, Mihriban ARSLAN'ın doktora tezi olan,</t>
  </si>
  <si>
    <t>"Üçüncü Basamak Bir Sağlık Kuruluşunda Mide Kanseri Tedavisinin Maliyet Analizi"</t>
  </si>
  <si>
    <t>473.</t>
  </si>
  <si>
    <t>SBA 26/473</t>
  </si>
  <si>
    <t>Dr. Öğr. Üyesi Sehend DEBBAĞ</t>
  </si>
  <si>
    <t>Üniversitemiz Tıp Fakültesi Anesteziyoloji ve Reanimasyon Anabilim Dalı öğretim üyelerinden Dr. Öğr. Üyesi Sehend DEBBAĞ’ın sorumlu araştırmacı olduğu, Arş. Gör. Dr. Özgür Yıldırım SAVRAN, Öğr. Gör. Dr. Özge ÖZEN, Prof. Dr. Fatma SARICAOĞLU ile birlikte çalışacakları,</t>
  </si>
  <si>
    <t>“Brakial Pleksusun Terminal Dallarının Aksiller Düzeyde Tanımlanmasında Kesitsel Görüntüleme Yönteminin Güvenilirliğinin Değerlendirilmesi”</t>
  </si>
  <si>
    <t>474.</t>
  </si>
  <si>
    <t>SBA 26/474</t>
  </si>
  <si>
    <t>Dr. Öğr. Üyesi Yağmur Deniz YILDIRIM</t>
  </si>
  <si>
    <t>Üniversitemiz Diş Hekimliği Fakültesi Periodontoloji Anabilim Dalı öğretim üyelerinden Dr. Öğr. Üyesi Yağmur Deniz YILDIRIM’ın sorumlu araştırmacı olduğu, Prof. Dr. Abdullah Cevdet AKMAN, Dr. Öğr. Üyesi Buket ACAR, Prof. Dr. Mustafa Barış GÜNCÜ ve Dr. Öğr. Üyesi Hatice BOYACIOĞLU ERDEN ile birlikte çalışacakları ve  Arş. Gör. Dt. Rezan KARAHASANOĞLU’nun uzmanlık tezi olan,</t>
  </si>
  <si>
    <t>“Mandibulat Total Dişsiz Hastalarda Üç veya Dört İmplant Destekli Overdenture Konfigürasyonlarının İnterforaminal Bölgedeki Anatomik Uygunluğunun Dijital Planlama ile Analizi”</t>
  </si>
  <si>
    <t>475.</t>
  </si>
  <si>
    <t>SBA 26/475</t>
  </si>
  <si>
    <t>Prof. Dr. Bülent ATİLLA</t>
  </si>
  <si>
    <t>Üniversitemiz Tıp Fakültesi Ortopedi ve Travmatoloji Anabilim Dalı öğretim üyelerinden Prof. Dr. Bülent ATİLLA’nın sorumlu araştırmacı olduğu, Dr. Saliha Bengisu UÇAR ile birlikte çalışacakları,</t>
  </si>
  <si>
    <t>“Femur Başı Avasküler Nekrozunda Manyetik Rezonans Görüntüleme Temelli Edema Zone Sınıflamasının Klinik Sonuçlarla İlişkisinin Retrospektif Değerlendirilmesi”</t>
  </si>
  <si>
    <t>476.</t>
  </si>
  <si>
    <t>SBA 26/476</t>
  </si>
  <si>
    <t>“Transkateter Aort Kapak İmplantasyonu Deneyimimiz: Yıllara Göre Klinik Sonuçlar ve Komplikasyon Oranlarının Retrospektif Analizi”</t>
  </si>
  <si>
    <t>477.</t>
  </si>
  <si>
    <t>SBA 26/477</t>
  </si>
  <si>
    <t>Üniversitemiz Tıp Fakültesi Çocuk Sağlığı ve Hastalıkları Anabilim Dalı öğretim üyelerinden Prof. Dr. Sinem AKGÜL’ün sorumlu araştırmacı olduğu, Doç. Dr. Melis PEHLİVANTÜRK KIZILKAN, Dr. Öğr. Üyesi Demet AYGÜN ARI, Dr. Öğr. Üyesi Eylem Şerife KALKAN, Uzm. Dr. Nur MUTLU, Uzm. Dr. Özlem KESER, Prof. Dr. Jale KARAKAYA, Dr. Öğr. Üyesi Necip DEMİRCİ ile birlikte çalışacakları,</t>
  </si>
  <si>
    <t>“Polikistik Over Sendromlu Ergenlerde Uyku ve Kronotip Özelliklerinin Klinik ve Metabolik Parametrelerle İlişkisi ve İzlemde Değişimin Değerlendirilmesi”</t>
  </si>
  <si>
    <t>478.</t>
  </si>
  <si>
    <t>SBA 26/478</t>
  </si>
  <si>
    <t>Dr. Öğr. Üyesi Nur Berna ÇELİK ERTAŞ</t>
  </si>
  <si>
    <t>Üniversitemiz Tıp Fakültesi Çocuk Sağlığı ve Hastalıkları Anabilim Dalı öğretim üyelerinden Dr. Öğr. Üyesi Nur Berna ÇELİK ERTAŞ’ın sorumlu araştırmacı olduğu, Prof. Dr. Zeynep Alev ÖZÖN ile birlikte çalışacakları,</t>
  </si>
  <si>
    <t>“Çocuklarda Klonidin ve Levodopa ile Yapılan Büyüme Hormonu Uyarı Testlerinin Tanı Gücü Açısından Karşılaştırılması”</t>
  </si>
  <si>
    <t>479.</t>
  </si>
  <si>
    <t>SBA 26/479</t>
  </si>
  <si>
    <t>Üniversitemiz Tıp Fakültesi Kulak Burun Boğaz Anabilim Dalı öğretim üyelerinden Prof. Dr. Serdar ÖZER’in sorumlu araştırmacı olduğu, Prof. Dr. Murat Fani BOZKURT, Arş. Gör. Dr. Enes Ahmet SUBAY, Arş. Gör. Dr. Yahya ERYILMAZ ile birlikte çalışacakları,</t>
  </si>
  <si>
    <t>“Septal Perforasyon Onarımı Sonrası Nasal Mukosiliyer Değerlendirilmesi: Rinosintigrafik ve Sakkarin Testi ile Karşılaştırmalı Analiz”</t>
  </si>
  <si>
    <t>480.</t>
  </si>
  <si>
    <t>SBA 26/480</t>
  </si>
  <si>
    <t>Üniversitemiz Tıp Fakültesi Tıbbi Biyokimya Anabilim Dalı öğretim üyelerinden Doç. Dr. Oytun PORTAKAL AKÇİN'in sorumlu araştırmacı olduğu, Prof. Dr. Mustafa ARICI, Doç. Dr. Hacı Hasan Yeter, Arş. Gör. Dr. Görkem ÇELEBİ birlikte çalışacakları,</t>
  </si>
  <si>
    <t>“Kronik Böbrek Hastalığında Tübüler Proteinüri Tayininde İdrar Alfa-1 Mikroglobulin ve Beta-2 Mikroglobulin Ölçüm Yöntemlerinin Karşılaştırılması”</t>
  </si>
  <si>
    <t>481.</t>
  </si>
  <si>
    <t>SBA 26/481</t>
  </si>
  <si>
    <t>Dr. Öğr. Üyesi Aslı ALKAN</t>
  </si>
  <si>
    <t>Üniversitemiz Tıp Fakültesi Göğüs Hastalıkları Anabilim Dalı öğretim üyelerinden Dr. Öğr. Üyesi Aslı ALKAN’ın sorumlu araştırmacı olduğu, Doç. Dr. Oğuz KARCIOĞLU, Öğr. Gör. Dr. Aytekin İDİKUT, Prof. Dr. Hayriye Uğur ÖZÇELİK, Prof. Dr. Nagehan EMİRALİOĞLU ORDUKAYA, Arş. Gör. Dr. Ömer Faruk İPEK ile birlikte çalışacakları ve Arş. Gör. Dr. Başak AKYOL’un uzmanlık tezi olan,</t>
  </si>
  <si>
    <t>“Primer Siliyer Diskinezi Tanılı Hastaların Klinik, Radyolojik ve Fonksiyonel Bulgularının Değerlendirilmesi: Erişkin Döneme Geçişte Hastalık Özellikleri”</t>
  </si>
  <si>
    <t>482.</t>
  </si>
  <si>
    <t>SBA 26/482</t>
  </si>
  <si>
    <t>Prof. Dr. Gülen Eda ÜTİNE</t>
  </si>
  <si>
    <t>Üniversitemiz Tıp Fakültesi Çocuk Sağlığı ve Hastalıkları Anabilim Dalı öğretim üyelerinden Prof. Dr. Gülen Eda ÜTİNE’nin sorumlu araştırmacı olduğu, Prof. Dr. İnci Nur SALTIK TEMİZEL ile birlikte çalışacakları ve Arş. Gör. Dr. Zehra YAPICIOĞLU KESKİN'in uzmanlık tezi olan,</t>
  </si>
  <si>
    <t>“Wilson Hastalarında Genotip Fenotip Korelasyonunun Değerlendirilmesi”</t>
  </si>
  <si>
    <t>483.</t>
  </si>
  <si>
    <t>SBA 26/483</t>
  </si>
  <si>
    <t>Doç. Dr. Muhammed Bahaddin DURAK</t>
  </si>
  <si>
    <t>Üniversitemiz Tıp Fakültesi İç Hastalıkları Anabilim Dalı öğretim üyelerinden Doç. Dr. Muhammed Bahaddin DURAK'ın sorumlu araştırmacı olduğu, Prof. Dr. İlay Sedakat İDİLMAN, Arş. Gör. Dr. Onur Ege TARI ile birlikte çalışacakları ve Arş. Gör. Dr. Esin METİN’in uzmanlık tezi olan,</t>
  </si>
  <si>
    <t>“Kronik Karaciğer Hastalarında Sarkopeninin Bilgisayarlı Tomografi ile Değerlendirilmesi ve Metabolik Disfonksiyonla İlişkili Yağlı Karaciğer Hastalığı Hastalarının Alt Grup Analizi”</t>
  </si>
  <si>
    <t>484.</t>
  </si>
  <si>
    <t>SBA 26/484</t>
  </si>
  <si>
    <t>Üniversitemiz Tıp Fakültesi Kardiyoljoi Anabilim Dalı öğretim üyelerinden Doç. Dr. Cem ÇÖTELİ’nin sorumlu araştırmacı olduğu, Prof. Dr. Kudret AYTEMİR ve Prof. Dr. Hikmet YORGUN ile birlikte çalışacakları,</t>
  </si>
  <si>
    <t>“İntrakardiyak Ekokardiyografi Eşliğinde Aynı Seansta Atriyal Fibrilasyon Ablasyonu ve Sol Atriyal Apendiks Kapama Uygulanan Hastaların Klinik ve Prosedürel Sonuçlarının Değerlendirilmesi”</t>
  </si>
  <si>
    <t>485.</t>
  </si>
  <si>
    <t>SBA 26/485</t>
  </si>
  <si>
    <t>“Sıfır Floroskopi ve Konvansiyonel Floroskopi Eşliğinde Yapılan Kateter Ablasyon İşlemlerinin Klinik ve Prosedürel Sonuçlarının Karşılaştırılması”</t>
  </si>
  <si>
    <t>486.</t>
  </si>
  <si>
    <t>SBA 26/486</t>
  </si>
  <si>
    <t>Prof. Dr. Okan Bülent YILDIZ</t>
  </si>
  <si>
    <t>Üniversitemiz Tıp Fakültesi İç Hastalıkları Anabilim Dalı öğretim üyelerinden Prof. Dr. Okan Bülent YILDIZ’ın sorumlu araştırmacı olduğu, Prof. Dr. Bekir SALİH, Prof. Dr. Onur ŞENOL, Doç. Dr. Hacı Mehmet KAYILI, Uzm. Dr. Seren AKSUN ŞAHİN ile birlikte çalışacakları,</t>
  </si>
  <si>
    <t>“Polikistik Over Sendromu Tanılı Hastalar ve Aile Bireylerinde Multi-Omik (Proteomik-Glikomik-Glikoproteomik ve Metabolomik) Profillerin Sağlıklı Kontroller ve Aileleri ile Karşılaştırmalı İncelenmesi”</t>
  </si>
  <si>
    <t>487.</t>
  </si>
  <si>
    <t>SBA 26/487</t>
  </si>
  <si>
    <t>“Polikistik Over Sendromu Tanılı Hastaların Safra Asit Düzeylerinin Sağlıklı Kontrollerle Karşılaştırmalı İncelenmesi”</t>
  </si>
  <si>
    <t>488.</t>
  </si>
  <si>
    <t>SBA 26/488</t>
  </si>
  <si>
    <t>Üniversitemiz Tıp Fakültesi Kadın Hastalıkları ve Doğum Anabilim Dalı öğretim üyelerinden Doç. Dr. Utku AKGÖR'ün sorumlu araştırmacı olduğu, Arş. Gör. Dr. Ömer Alp YAVUZ ile birlikte çalışacakları, uzmanlık tezi olan,</t>
  </si>
  <si>
    <t>“Endometrium Kanserinde Sentinel Lenf Nodu Metastazı ile Moleküler Subtipler Arasındaki İlişkinin Değerlendirilmesi”</t>
  </si>
  <si>
    <t>489.</t>
  </si>
  <si>
    <t>SBA 26/489</t>
  </si>
  <si>
    <t>Prof. Dr. Saniye EKİNCİ</t>
  </si>
  <si>
    <t>Üniversitemiz Tıp Fakültesi Çocuk Cerrahisi Anabilim Dalı öğretim üyelerinden Prof. Dr. Saniye EKİNCİ’nin sorumlu araştırmacı olduğu, Prof. Dr. Diclehan ORHAN ve Arş. Gör. Dr. Kübra ÖZTÜRK YÜZDEMİR ile birlikte çalışacakları,</t>
  </si>
  <si>
    <t>“İntrauterin Over Torsiyonunda Cerrahi Yaklaşımın Over Dokusu Üzerine Etkisi: Detorsiyon Sonrası Over Kanlanması ve Ooferektomi Materyallerinin Patolojik Değerlendirilmesi”</t>
  </si>
  <si>
    <t>490.</t>
  </si>
  <si>
    <t>SBA 26/490</t>
  </si>
  <si>
    <t>Prof. Dr. Gülay SAİN GÜVEN</t>
  </si>
  <si>
    <t>Üniversitemiz Tıp Fakültesi İç Hastalıkları Anabilim Dalı öğretim üyelerinden Prof. Dr. Gülay SAİN GÜVEN’in sorumlu araştırmacı olduğu, Arş. Gör. Dr. Hüseyin Ozan SEVİNÇER ve Doç. Dr. Duygu AYHAN BAŞER ile birlikte çalışacakları,</t>
  </si>
  <si>
    <t>“Hacettepe Tıp Fakültesi Genel Dahiliye Bilim Dalı ve Aile Hekimliği Anabilim Dalı Polikliniklerine Başvuran Hastalarda Periyodik Sağlık Kontrolüne İlişkin Bilgi, Tutum ve Davranışların Değerlendirilmesi”</t>
  </si>
  <si>
    <t>491.</t>
  </si>
  <si>
    <t>SBA 26/491</t>
  </si>
  <si>
    <t>Üniversitemiz Tıp Fakültesi Kulak Burun Boğaz Hastalıkları Anabilim Dalı öğretim üyelerinden Prof. Dr. Taner YILMAZ’ın sorumlu araştırmacı olduğu, Dr. Öğr. Üyesi Oğuzhan KATAR ile birlikte çalışacakları,</t>
  </si>
  <si>
    <t>“Ön Glottik Web Tedavisinde ‘Kelebek Mukoza Flebi’ Cerrahi Tekniğinin Sonuçları”</t>
  </si>
  <si>
    <t>492.</t>
  </si>
  <si>
    <t>SBA 26/492</t>
  </si>
  <si>
    <t>Üniversitemiz Tıp Fakültesi Kadın Hastalıkları ve Doğum Anabilim Dalı öğretim üyelerinden Doç. Dr. Utku AKGÖR'ün sorumlu araştırmacı olduğu, Prof. Dr. Murat GÜLTEKİN, Doç. Dr. Derman BAŞARAN, Arş. Gör. Dr. Bilal Esat TEMİZ ve Arş. Gör. Dr. Muhammed Onur ATAKUL ile birlikte çalışacakları,</t>
  </si>
  <si>
    <t>“Jinekolojik Kanser Cerrahisi Sonrası Low Anterior Rezeksiyon Sendromu: Tek Merkezli Retrospektif Kesitsel Çalışma”</t>
  </si>
  <si>
    <t>493.</t>
  </si>
  <si>
    <t>SBA 26/493</t>
  </si>
  <si>
    <t>Üniversitemiz Tıp Fakültesi Aile Hekimliği Anabilim Dalı öğretim üyelerinden Doç. Dr. Hilal AKSOY'un sorumlu araştırmacı olduğu, Arş. Gör. Dr. Nesrin BULUT'un uzmanlık tezi olan,</t>
  </si>
  <si>
    <t>“Sağlık Süreçlerinde Hasta Katılımının Hastanın Bakımına Katılım Ölçeği ve Doğal Dil İşleme Yöntemi ile Değerlendirilmesi”</t>
  </si>
  <si>
    <t>494.</t>
  </si>
  <si>
    <t>SBA 26/494</t>
  </si>
  <si>
    <t>Üniversitemiz Diş Hekimliği Fakültesi Ortodonti Anabilim Dalı öğretim üyelerinden Doç. Dr. Ezgi ATİK’in sorumlu araştırmacı olduğu, Arş. Gör. Dt. Kübra Hilal TÜRKOĞLU BOYNUYOĞUN ile birlikte çalışacakları,</t>
  </si>
  <si>
    <t>“Minivida Destekli Distalizasyon ve Ez-Slider Yöntemi ile Minivida Destekli Distalizasyon Uygulamalarının Karşılaştırılması”</t>
  </si>
  <si>
    <t>495.</t>
  </si>
  <si>
    <t>SBA 26/495</t>
  </si>
  <si>
    <t>Prof. Dr. Levent SENNAROĞLU</t>
  </si>
  <si>
    <t>Üniversitemiz Tıp Fakültesi Kulak Burun Boğaz Anabilim Dalı öğretim üyelerinden Prof. Dr. Levent SENNAROĞLU’nun sorumlu araştırmacı, Doç. Dr. Ayça KARAOSMANOĞLU ve Dr. Öğr. Üyesi Ergin EROĞLU' ile birlikte çalışacakları,</t>
  </si>
  <si>
    <t>“Vestibüler Sistem Anomalilerinin Sınıflandırılması”</t>
  </si>
  <si>
    <t>496.</t>
  </si>
  <si>
    <t>SBA 26/496</t>
  </si>
  <si>
    <t>Üniversitemiz Tıp Fakültesi Çocuk Sağlığı ve Hastalıkları Anabilim Dalı öğretim üyelerinden Doç. Dr. Leman AKCAN YILDIZ’ın sorumlu araştırmacı olduğu, Arş. Gör. Dr. Tarık ÇULCU ile birlikte çalışacakları,</t>
  </si>
  <si>
    <t>“Çocuk Acile Minör Kafa Travması ile Başvuran Hastaların Revizitlerinin Değerlendirilmesi”</t>
  </si>
  <si>
    <t>497.</t>
  </si>
  <si>
    <t>SBA 26/497</t>
  </si>
  <si>
    <t>Üniversitemiz Tıp Fakültesi Çocuk Sağlığı ve Hastalıkları Anabilim Dalı öğretim üyelerinden Prof. Dr. Deniz ÇAĞDAŞ AYVAZ’ın sorumlu araştırmacı olduğu, Doç. Dr. Saliha ESENBOĞA, Doç. Dr. Elif SOYAK AYTEKİN ve Arş. Gör. Dr. Çiğdem ERTUĞRUL ile birlikte çalışacakları,</t>
  </si>
  <si>
    <t>“Primer İmmün Yetmezlik Tanılı Hastalarda Otoimmün Sitopenilerin Araştırılması”</t>
  </si>
  <si>
    <t>498.</t>
  </si>
  <si>
    <t>SBA 26/498</t>
  </si>
  <si>
    <t>“Geriatri Polikliniğine Başvuran Yaşlı Hastalarda Kronik Böbrek Hastalığı Varlığına Göre Sarkopeni, Malnütrisyon ve Oral Nütrisyonel Destek Kullanımının Retrospektif Değerlendirilmesi”</t>
  </si>
  <si>
    <t>499.</t>
  </si>
  <si>
    <t>SBA 26/499</t>
  </si>
  <si>
    <t>Üniversitemiz Tıp Fakültesi Göz Hastalıkları Anabilim Dalı öğretim üyelerinden Doç. Dr. İrem KOÇ'un sorumlu araştırmacı olduğu, Prof. Dr. Hayyam KIRATLI, Arş. Gör. Dr. Günsu ER SEVİNÇ, Arş. Gör. Dr. Seçkin ÇOKAZ ile birlikte çalışacakları,</t>
  </si>
  <si>
    <t>“Ekstraoküler Yayılımlı Üveal Melanomların Retrospektif Değerlendirilmesi”</t>
  </si>
  <si>
    <t>500.</t>
  </si>
  <si>
    <t>SBA 26/500</t>
  </si>
  <si>
    <t>Üniversitemiz Tıp Fakültesi Kardiyoloji Anabilim Dalı öğretim üyelerinden Prof. Dr. Hikmet YORGUN’un sorumlu araştırmacı olduğu, Prof. Dr. Kudret AYTEMİR, Doç. Dr. Cem ÇÖTELİ ile birlikte çalışacakları ve Arş. Gör. Dr. Hüseyin Alper BULUT’un uzmanlık tezi olan,</t>
  </si>
  <si>
    <t>“Epikardiyal Yaklaşım ile Ventriküler Taşikardi Kateter Ablasyonunun Sonlanım Noktalarının Değerlendirilmesi”</t>
  </si>
  <si>
    <t>501.</t>
  </si>
  <si>
    <t>SBA 26/501</t>
  </si>
  <si>
    <t>Üniversitemiz Tıp Fakültesi Kardiyoloji Anabilim Dalı öğretim üyelerinden Doç. Dr. Ahmet KIVRAK’ın sorumlu araştırmacı olduğu, Arş. Gör. Dr. Can SEZER ve Arş. Gör. Dr. Hacer DOĞAN ile birlikte çalışacakları,</t>
  </si>
  <si>
    <t>“Kronik Total Oklüzyonlara Yönelik Perkütan Koroner Girişimlerde İşlem Başarısının Uzun Dönem Sonuçlarının Araştırılması”</t>
  </si>
  <si>
    <t>502.</t>
  </si>
  <si>
    <t>SBA 26/502</t>
  </si>
  <si>
    <t>Üniversitemiz Tıp Fakültesi Kadın Hastalıkları ve Doğum Anabilim Dalı öğretim üyelerinden Prof. Dr. Murat GÜLTEKİN’ in sorumlu araştırmacı olduğu, Arş. Gör. Dr. Işıl Damla DİNÇ ve Arş. Gör. Dr. Fatma CANER ÇABUKOĞLU ile birlikte çalışacakları,</t>
  </si>
  <si>
    <t>“Atrofik Vajinit Tanılı Hastalarda Uygulanan Tedavilerin Klinik Sonuçlar ve Hasta Memnuniyeti Üzerine Etkileri”</t>
  </si>
  <si>
    <t>503.</t>
  </si>
  <si>
    <t>SBA 26/503</t>
  </si>
  <si>
    <t>“HPV Pozitifliği Olan Bireylerde Kullanılan Tedavi Yaklaşımlarının Viral Klirens ve Klinik Sonuçlar ile İlişkisinin Hasta Bildirimli Verilerle Desteklenerek Değerlendirilmesi”</t>
  </si>
  <si>
    <t>504.</t>
  </si>
  <si>
    <t>SBA 26/504</t>
  </si>
  <si>
    <t>Prof. Dr. Uğur ÜNLÜTÜRK</t>
  </si>
  <si>
    <t>Üniversitemiz Tıp Fakültesi İç Hastalıkları Anabilim Dalı öğretim üyelerinden Prof. Dr. Uğur ÜNLÜTÜRK’ün sorumlu araştırmacı olduğu, Uzm. Dr. Nergis BASMACI ve Uzm. Dr. Selvi Selin TEKİN ile birlikte çalışacakları,</t>
  </si>
  <si>
    <t>“Differansiye Tiroid Kanserlerinde Kötü Prognostik Histolojik Alt Tiplerin Klinikopatolojik Özellikleri, Tedavi Yanıtı ve Uzun Dönem Sonuçları: Tek Merkez Retrospektif Kohort Çalışma”</t>
  </si>
  <si>
    <t>505.</t>
  </si>
  <si>
    <t>SBA 26/505</t>
  </si>
  <si>
    <t>Üniversitemiz Tıp Fakültesi Kadın Hastalıkları ve Doğum Anabilim Dalı öğretim üyelerinden Dr. Öğr. Üyesi Gonca ÖZTEN DERE’nin sorumlu araştırmacı olduğu, Dr. Öğr. Üyesi Onur İNCE, Arş. Gör. Dr. Işıl Damla DİNÇ ve Arş. Gör. Dr. Fatma CANER ÇABUKOĞLU ile birlikte çalışacakları,</t>
  </si>
  <si>
    <t>“IVF Gebeliklerinde İlk Trimester Baş-Popo Mesafesi Uyumsuzluğunun Gebelik Sonuçlarına Etkisi: Tek Merkezli Retrospektif Çalışma”</t>
  </si>
  <si>
    <t>506.</t>
  </si>
  <si>
    <t>SBA 26/506</t>
  </si>
  <si>
    <t>Doç. Dr. Melis PEHLİVANTÜRK KIZILKAN</t>
  </si>
  <si>
    <t>Üniversitemiz Tıp Fakültesi Çocuk Sağlığı ve Hastalıkları Anabilim Dalı öğretim üyelerinden Doç. Dr. Melis PEHLİVANTÜRK KIZILKAN’ın sorumlu araştırmacı olduğu, Prof. Dr. Kudret AYTEMİR, Doç. Dr. Cem ÇÖTELİ, Uzm. Dr. Nur MUTLU, Arş. Gör. Dr. Can SEZER ile birlikte çalışacakları,</t>
  </si>
  <si>
    <t>“Video Oyun Bağımlılığı Olan Genç Erkeklerde Kardiyak Otonomik Fonksiyon Değerlendirmesi”</t>
  </si>
  <si>
    <t>507.</t>
  </si>
  <si>
    <t>SBA 26/507</t>
  </si>
  <si>
    <t>Prof. Dr. Banu SANCAK</t>
  </si>
  <si>
    <t>Üniversitemiz Tıp Fakültesi Tıbbi Mikrobiyoloji Anabilim Dalı öğretim üyelerinden Prof. Dr. Banu SANCAK’ın sorumlu araştırmacı olduğu, Prof. Dr. Özgen ESER ve Arş. Gör. Dr. Akın Göksu OKTAYER ile birlikte çalışacakları,</t>
  </si>
  <si>
    <t>“Abiotrophia ve Granulicatella Cinslerinin Epidemiyolojik Özellikleri ve Antibiyotik Duyarlılık Profillerinin Analizi”</t>
  </si>
  <si>
    <t>508.</t>
  </si>
  <si>
    <t>SBA 26/508</t>
  </si>
  <si>
    <t>Üniversitemiz Tıp Fakültesi Kardiyoloji Anabilim Dalı öğretim üyelerinden Doç. Dr. Cem ÇÖTELİ’nin sorumlu araştırmacı olduğu, Prof. Dr. Necla ÖZER, Prof. Dr. Kudret AYTEMİR, Prof. Dr. Hikmet YORGUN, Doç. Dr. Uğur Nadir KARAKULAK, Arş. Gör. Dr. Beyza Nur ÖZDEMİR ile birlikte çalışacakları,</t>
  </si>
  <si>
    <t>“Atriyal Fibrilasyon Ablasyonu Yapılan Hastalarda Sol Atriyal Apendiks Değerlendirmesinde Transözofageal Ekokardiyografi ve İntrakardiyak Ekokardiyografinin Karşılaştırılması: Sol Atriyal Apendiks Morfolojisi, Boyut Ölçümleri ve Sol Atriyal Apendiks Kapama Cihazı Boyutu Karşılaştırması”</t>
  </si>
  <si>
    <t>509.</t>
  </si>
  <si>
    <t>SBA 26/509</t>
  </si>
  <si>
    <t>Doç. Dr. Eylem TOPBAŞ</t>
  </si>
  <si>
    <t>Amasya Üniversitesi
Hemşirelik Fakültesi
İç Hastalıkları Hemşireliği Anabilim Dalı</t>
  </si>
  <si>
    <t>Amasya Üniversitesi Hemşirelik Fakültesi İç Hastalıkları Hemşireliği Anabilim Dalı öğretim üyelerinden Doç. Dr. Eylem TOPBAŞ’ın sorumlu araştırmacı olduğu, Öğr. Gör. Dr. Adnan Menderes VURAL ile birlikte çalışacakları ve Hem. Aslıhan TURAL’ın yüksek lisans tezi olan,</t>
  </si>
  <si>
    <t>"Yüksek Akımlı Nazal Kanül Oksijen Tedavisi Alan Hastaların Anksiyete, Konfor, Uyku ve Fizyolojik Parametreler Üzerine Müziğin Etkisi: Randomize Kontrollü Çalışma"</t>
  </si>
  <si>
    <t>510.</t>
  </si>
  <si>
    <t>SBA 26/510</t>
  </si>
  <si>
    <t>Üniversitemiz Tıp Fakültesi Çocuk Sağlığı ve Hastalıkları Anabilim Dalı öğretim üyelerinden Prof. Dr. Deniz DOĞRU ERSÖZ’ün sorumlu araştırmacı olduğu, Uzm. Dr. Tuğçe KANTEMİR, Dr. Öğr. Üyesi Serkan UYSAL, Prof. Dr. İlker ERTUĞRUL, Prof. Dr. Hatice Nursun ÖZCAN, Prof. Dr. Nagehan EMİRALİOĞLU ORDUKAYA, Prof. Dr. Elmas Ebru YALÇIN, Prof. Dr. Hayriye Uğur ÖZÇELİK ile birlikte çalışacakları,</t>
  </si>
  <si>
    <t>“Pektus Deformitesi Olan Çocuklarda Konservatif Tedavilerin Klinik Sonuçlara Etkisi”</t>
  </si>
  <si>
    <t>511.</t>
  </si>
  <si>
    <t>SBA 26/511</t>
  </si>
  <si>
    <t>Üniversitemiz Tıp Fakültesi Çocuk Sağlığı ve Hastalıkları Anabilim Dalı öğretim üyelerinden Doç. Dr. Melis PEHLİVANTÜRK KIZILKAN’ın sorumlu araştırmacı olduğu, Prof. Dr. Sinem AKGÜL, Doç. Dr. Zeynep TÜZÜN, Doç. Dr. Hasan Tolga ÇELİK, Dr. Öğr. Üyesi Demet AYGÜN ARI ile birlikte çalışacakları ve Uzm. Dr. Yelda KILIÇ’ın doktora tezi olan,</t>
  </si>
  <si>
    <t>“Düşük Doğum Ağırlığı ve Prematürite Öyküsünün Ergenlik Döneminde Riskli Davranışlar ile İlişkisi”</t>
  </si>
  <si>
    <t>512.</t>
  </si>
  <si>
    <t>SBA 26/512</t>
  </si>
  <si>
    <t>Dr. Öğr. Üyesi Cenk Ahmet AKCAN</t>
  </si>
  <si>
    <t>Üniversitemiz Diş Hekimliği Fakültesi Ortodonti Anabilim Dalı öğretim üyelerinden Dr. Öğr. Üyesi Cenk Ahmet AKCAN’ın sorumlu araştırmacı olduğu, Dr. Öğr. Gör. Dt. Gediz AKSÖZ ÖNER ve Arş. Gör. Dt. Kübra Hilal TÜRTKOĞLU BOYNUYOĞUN ile birlikte çalışacakları,</t>
  </si>
  <si>
    <t>“Farklı Materyallerle Oluşturulmuş Ortodontik Butonların Değerlendirilmesi”</t>
  </si>
  <si>
    <t>513.</t>
  </si>
  <si>
    <t>SBA 26/513</t>
  </si>
  <si>
    <t>“Statinlerin İleri Yaş Hastalarda Advers Olay Profillerinin Farmakovijilans Veri Tabanı Üzerinden Değerlendirilmesi”</t>
  </si>
  <si>
    <t>514.</t>
  </si>
  <si>
    <t>SBA 26/514</t>
  </si>
  <si>
    <t>“Glukagon Benzeri Peptit-1 (GLP-1) Reseptör Agonistleri ve Geriatrik Sendromlar: Yaşa Özgü Farmakovijilans Analizi”</t>
  </si>
  <si>
    <t>515.</t>
  </si>
  <si>
    <t>SBA 26/515</t>
  </si>
  <si>
    <t>Prof. Dr. Hande TAYLAN ŞEKEROĞLU</t>
  </si>
  <si>
    <t>Üniversitemiz Hacettepe Tıp Fakültesi Göz Hastalıkları Anabilim Dalı öğretim üyelerinden Prof. Dr. Hande TAYLAN ŞEKEROĞLU’nun sorumlu araştırmacı olduğu, Prof. Dr. Hayriye Uğur ÖZÇELİK, Prof. Deniz DOĞRU ERSÖZ, Prof. Dr. Elmas Ebru YALÇIN, Prof. Dr. Nagehan EMİRALİOĞLU ORDUKAYA, Prof. Dr. Güliz Fatma YAVAŞ, Arş. Gör. Dr. Dilara KIYAK ve Arş. Gör. Dr. Ayşe Pelin İNCİ ile birlikte çalışacakları,</t>
  </si>
  <si>
    <t>“Kistik Fibrozis Hastalığının ve Tedavilerinin Oftalmolojik ve Ortoptik Etkilerinin Değerlendirilmesi”</t>
  </si>
  <si>
    <t>516.</t>
  </si>
  <si>
    <t>SBA 26/516</t>
  </si>
  <si>
    <t>Üniversitemiz Tıp Fakültesi İç Hastalıkları Anabilim Dalı öğretim üyelerinden Prof. Dr. Meltem Gülhan HALİL’in sorumlu araştırmacı olduğu, Arş. Gör. Dr. Elif GECEGELEN, Arş. Gör. Dr. Ayşegül ERDOĞDU BAKIR , Uzm. Dyt. Meryem İTEK ALTUNAY, Dr. Öğr. Üyesi Öznur ÖZALTIN ile birlikte çalışacakları,</t>
  </si>
  <si>
    <t>“Yaşlı Bireylerde Malnütrisyon ve Sarkopeninin Yüz Fotoğrafları, Vücut Kompozisyon Analizi, Kas Ultrasonografisi ve Kalori Alımının Derin Öğrenme Modeli ile Çok Boyutlu Değerlendirilmesi”</t>
  </si>
  <si>
    <t>517.</t>
  </si>
  <si>
    <t>SBA 26/517</t>
  </si>
  <si>
    <t>Dr. Öğr. Üyesi Bekir ERDEVE</t>
  </si>
  <si>
    <t>Üniversitemiz Tıp Fakültesi Çocuk Cerrahisi Anabilim Dalı öğretim üyelerinden Dr. Öğr. Üyesi Bekir ERDEVE’nin sorumlu araştırmacı olduğu, Prof. Dr. Özlem BOYBEYİ, Prof. Dr. Tutku SOYER ile birlikte çalışacakları,</t>
  </si>
  <si>
    <t>“Çocuk Cerrahlarının Pediatrik Antireflü Cerrahide Yaklaşımları: Nissen Fundoplikasyon Üzerine Ulusal Anket Çalışması”</t>
  </si>
  <si>
    <t>518.</t>
  </si>
  <si>
    <t>SBA 26/518</t>
  </si>
  <si>
    <t>Üniversitemiz Tıp Fakültesi İç Hastalıkları Anabilim Dalı öğretim üyelerinden Prof. Dr. Hakan GÖKER'in sorumlu araştırmacı olduğu, Prof. Dr. Haluk DEMİROĞLU, Doç. Dr. Elifcan ALADAĞ KARAKULAK, Arş. Gör. Dr. Saime Betül ÇAYLAN ve Arş. Gör. Dr. Nur Furkan CANDER ile birlikte çalışacakları,</t>
  </si>
  <si>
    <t>“Subkutan ve İntravenöz Datumumab Tedavilerinin Etkinlik, Güvenlik ve Protein Elektroforezi İnterferansı Açısından Retrospektif Değerlendirilmesi”</t>
  </si>
  <si>
    <t>519.</t>
  </si>
  <si>
    <t>SBA 26/519</t>
  </si>
  <si>
    <t>Doç. Dr. Şahin HANALİOĞLU</t>
  </si>
  <si>
    <t>Beyin ve Sinir Cerrahisi Anabilim Dalı</t>
  </si>
  <si>
    <t>Üniversitemiz Tıp Fakültesi Beyin Cerrahisi Anabilim Dalı öğretim üyelerinden Doç. Dr. Şahin HANALİOĞLU'nun sorumlu araştırmacı olduğu, Prof. Dr. Gökçen ÇOBAN ÇİFÇİ, Dr. Öğr. Üye. Efecan ÇEKİÇ ve Arş. Gör. Dr. Bilal Kutalmış GÜNDÜZ ile birlikte çalışacakları,</t>
  </si>
  <si>
    <t>“Beyin Tümörleri ve Nörovasküler Kompresyon Sendromlarında Kraniyal Sinir, Damar ve Komşu Nöroanatomik Yapıların Manyetik Rezonans Görüntüleme Üzerinden Yapay Zekâ Tabanlı Segmentasyonu, Üç Boyutlu Rekonstrüksiyonu ve Anatomik İlişki Analizi”</t>
  </si>
  <si>
    <t>520.</t>
  </si>
  <si>
    <t>SBA 26/520</t>
  </si>
  <si>
    <t>“Koroner Arter Perforasyonu Vakalarının Retrospektif Olarak Tek Merkezde Sağ Kalımlarının İncelenmesi”</t>
  </si>
  <si>
    <t>521.</t>
  </si>
  <si>
    <t>SBA 26/521</t>
  </si>
  <si>
    <t>Üniversitemiz Tıp Fakültesi Çocuk Cerrahisi Anabilim Dalı öğretim üyelerinden Prof. Dr. Tutku SOYER’in sorumlu araştırmacı olduğu, Prof. Dr. Özlem BOYBEYİ, Dr. Öğr. Üyesi Bekir ERDEVE, Arş. Gör. Dr. Makbule UĞUR ile birlikte çalışacakları,</t>
  </si>
  <si>
    <t>“Özofagus Dilatasyonu Yapılan Hastaların Retrospektif İncelenmesi”</t>
  </si>
  <si>
    <t>522.</t>
  </si>
  <si>
    <t>SBA 26/522</t>
  </si>
  <si>
    <t>Üniversitemiz Tıp Fakültesi İç Hastalıkları Anabilim Dalı öğretim üyelerinden Doç. Dr. Cafer BALCI’nın sorumlu araştırmacı olduğu, Arş. Gör. Dr. Elif EMİRSÜLEYMANOĞLU FİLİZ, Arş. Gör Dr. Berat BARAN ile birlikte çalışacakları,</t>
  </si>
  <si>
    <t>“Tip 2 Diyabetli Geriatrik Hastalarda Glisemik Hedef Sapmalarının Sarkopeni ve Antidiyabetik Tedavi Profilleri ile İlişkisi”</t>
  </si>
  <si>
    <t>523.</t>
  </si>
  <si>
    <t>SBA 26/523</t>
  </si>
  <si>
    <t>Üniversitemiz Tıp Fakültesi Çocuk Cerrahisi Anabilim Dalı öğretim üyelerinden Prof. Dr. Tutku SOYER'in sorumlu araştırmacı olduğu, Prof. Dr. Özlem BOYBEYİ, Dr. Öğr. Üyesi Bekir ERDEVE, Arş. Gör. Dr. Sevilay Erdoğan KABLAN ile birlikte çalışacakları ve Arş. Gör. Dr. Servet Melike AKINCI AYDIN'ın uzmanlık tezi olan,</t>
  </si>
  <si>
    <t>“Doğumsal Hepatobiliyer Hastalıklar Nedeni ile Opere Olan Çocuklarda Postoperatif Metabolomik ve Lipidomik Profilleme”</t>
  </si>
  <si>
    <t>524.</t>
  </si>
  <si>
    <t>SBA 26/524</t>
  </si>
  <si>
    <t>Üniversitemiz Tıp Fakültesi Kardiyoloji Anabilim Dalı öğretim üyelerinden Doç. Dr. Cem ÇÖTELİ'nin sorumlu araştırmacı olduğu, Prof. Dr. Kudret AYTEMİR, Prof. Dr. Hikmet YORGUN ve Arş. Gör. Dr. Alper TAŞ ile birlikte çalışacakları,</t>
  </si>
  <si>
    <t>“İntrakardiyak Ekokardiyografi (ICE) Kılavuzluğunda Atriyal Fibrilasyon Kateter Ablasyonu Uygulanan Hastaların Sol Atriyum Duvar Kalınlıklarının Değerlendirilmesinde İntrakardiyak Ekokardiyografi Ölçümleri ile “Advanced Arrhythmia Diagnostic Software (ADAS)” Tabanlı Kardiyak Bilgisayarlı Tomografi (BT) Ölçümlerinin Karşılaştırılması”</t>
  </si>
  <si>
    <t>525.</t>
  </si>
  <si>
    <t>SBA 26/525</t>
  </si>
  <si>
    <t>Üniversitemiz Tıp Fakültesi İç Hastalıkları Anabilim Dalı öğretim üyelerinden Doç. Dr. Mert EŞME’nin sorumlu araştırmacı olduğu, Arş. Gör. Dr. Özge ÖZGÜN ile birlikte çalışacakları,</t>
  </si>
  <si>
    <t>“Demans Hastalarında Düzeltilmiş QT (QTc) Aralığı Uzamasının Prevalansı ve Prediktörleri: Kapsamlı Geriatrik Değerlendirme Verileriyle Retrospektif Bir Kohort Çalışması”</t>
  </si>
  <si>
    <t>526.</t>
  </si>
  <si>
    <t>SBA 26/526</t>
  </si>
  <si>
    <t>Prof. Dr. Mustafa BERKER</t>
  </si>
  <si>
    <t>Üniversitemiz Tıp Fakültesi Beyin ve Sinir Cerrahisi Anabilim Dalı öğretim üyelerinden Prof. Dr. Mustafa BERKER’in sorumlu araştırmacı olduğu, Prof. Dr. Mehmet Erhan TÜRKOĞLU, Dr. Öğr. Üyesi Sinan BALCI ile birlikte çalışacakları ve Doç. Dr. Şahin HANALİOĞLU'nun yüksek lisans tezi olan,</t>
  </si>
  <si>
    <t>“Orta Serebral Arter Anevrizmalarının Endovasküler ve Mikrocerrahi Tedavi Sonuçları”</t>
  </si>
  <si>
    <t>527.</t>
  </si>
  <si>
    <t>SBA 26/527</t>
  </si>
  <si>
    <t>Doç. Dr. Evren SERTALP</t>
  </si>
  <si>
    <t>Bilişim ve Enformasyon Teknolojileri Anabilim Dalı</t>
  </si>
  <si>
    <t>Üniversitemiz İletişim Fakültesi Bilişim ve Enformasyon Teknolojileri Anabilim Dalı öğretim üyelerinden Doç. Dr. Evren SERTALP'in sorumlu araştırmacı olduğu, Defne ŞENYÜZ DEREKÖY’ün yüksek lisans tezi olan,</t>
  </si>
  <si>
    <t>“Anadolu Medeniyetleri Müzesinde Artırılmış Gerçeklik ve İşaret Dili Entegrasyonu ile Erişilebilir Müze Turu"</t>
  </si>
  <si>
    <t>528.</t>
  </si>
  <si>
    <t>SBA 26/528</t>
  </si>
  <si>
    <t>Prof. Dr. Ömer Alper GÜRLEK</t>
  </si>
  <si>
    <t>Üniversitemiz Tıp Fakültesi İç Hastalıkları Anabilim Dalı öğretim üyelerinden Prof. Dr. Ömer Alper GÜRLEK'in sorumlu araştırmacı olduğu, Uzm. Dr. Seren AKSUN ŞAHİN ve Arş. Gör. Dr. Polat ERCAN ile birlikte çalışacakları,</t>
  </si>
  <si>
    <t>“Primer Hiperparatiroidizmde Postoperatif Komplikasyonların Makine Öğrenmesi ile Tahmini: Retrospektif Kohort Çalışması”</t>
  </si>
  <si>
    <t>529.</t>
  </si>
  <si>
    <t>SBA 26/529</t>
  </si>
  <si>
    <t>Doç. Dr. Nursel AKKAYA</t>
  </si>
  <si>
    <t>Üniversitemiz Diş Hekimliği Fakültesi Ağız, Diş ve Çene Radyolojisi Anabilim Dalı öğretim üyelerinden Doç. Dr. Nursel AKKAYA’nın sorumlu araştırmacı olduğu, Arş. Gör. Dt. İrem BAL'ın uzmanlık tezi olan,</t>
  </si>
  <si>
    <t>“Konik Işınlı Bilgisayarlı Tomografi Görüntülerinde Diş ve Çene Yapılarının Kantitatif Morfometrik Analizine Dayalı Cinsiyet Tahmini”</t>
  </si>
  <si>
    <t>530.</t>
  </si>
  <si>
    <t>SBA 26/530</t>
  </si>
  <si>
    <t>Üniversitemiz İktisadi ve İdari Bilimler Fakültesi Sosyal Hizmet Anabilim Dalı öğretim üyelerinden Doç. Dr. Burcu HATİBOĞLU'nun sorumlu araştırmacı olduğu, Selda ÜNYELİ’nin doktora tezi olan,</t>
  </si>
  <si>
    <t>"Toplum Ruh Sağlığı Merkezlerinde Sunulan Hizmetlerin İnsan Hakları Perspektifinden Değerlendirilmesi”</t>
  </si>
  <si>
    <t>531.</t>
  </si>
  <si>
    <t>SBA 26/531</t>
  </si>
  <si>
    <t>Öğr. Gör. Dr. Kemal SARUHAN</t>
  </si>
  <si>
    <t>Üniversitemiz Tıp Fakültesi Çocuk ve Ergen Ruh Sağlığı ve Hastalıkları Anabilim Dalı öğretim elemanlarından Öğr. Gör. Dr. Kemal SARUHAN’ın sorumlu araştırmacı olduğu, Arş. Gör. Dr. Ayşe Selma YENEN MENDERES ve Öğr. Gör. Dr. Buket KILIÇ ile birlikte çalışacakları,</t>
  </si>
  <si>
    <t>"Klinik Ergen Örnekleminde Zihinselleştirme ve Duygu Düzenleme Güçlüklerinin Kendine Zarar Verme Davranışları ile İlişkisi"</t>
  </si>
  <si>
    <t>532.</t>
  </si>
  <si>
    <t>SBA 26/532</t>
  </si>
  <si>
    <t>Üniversitemiz Diş Hekimliği Fakültesi Periodontoloji Anabilim Dalı öğretim üyelerinden Prof. Dr. Hüseyin Gencay KEÇELİ’nin sorumlu araştırmacı olduğu, Prof. Dr. Yusuf Çetin KOCAEFE, Prof. Dr. Ömür ÇELİKBIÇAK, Doç. Dr. Cem BAYRAM, Arş. Gör. Hasan Basri KILIÇ ile birlikte çalışacakları ve Arş. Gör. Dt. Ilgın ERTEKİN’in uzmanlık tezi olan,</t>
  </si>
  <si>
    <t>“Periodontal Tedavinin Konak Yanıtı ile İlişkisinin Dişeti Oluğu Sıvısındaki Proteomik Değişiklikler Üzerine Etkisinin Değerlendirilmesi”</t>
  </si>
  <si>
    <t>533.</t>
  </si>
  <si>
    <t>SBA 26/533</t>
  </si>
  <si>
    <t>Üniversitemiz Tıp Fakültesi Kardiyoloji Anabilim Dalı öğretim üyelerinden Prof. Dr. Kudret AYTEMİR’in sorumlu araştırmacı olduğu, Dr. Öğr. Gör. Gül Sinem KILIÇ ile birlikte çalışacakları,</t>
  </si>
  <si>
    <t>“Tilt Table Testi Sırasında Noninvaziv Hemodinamik Monitörizasyon ile Senkop Alt Tiplerinin Tanımlanması ve Otonomik Yanıtların Değerlendirilmesi”</t>
  </si>
  <si>
    <t>534.</t>
  </si>
  <si>
    <t>SBA 26/534</t>
  </si>
  <si>
    <t>Arş. Gör. Dr. Eymen YILMAZ</t>
  </si>
  <si>
    <t>Üniversitemiz Tıp Fakültesi Çocuk Sağlığı ve Hastalıkları Anabilim Dalı öğretim elemanlarında Arş. Gör. Dr. Eymen YILMAZ’ın sorumlu araştırmacı olduğu, Prof. Dr. Özlem TEKŞAM, Doç. Dr.Leman AKCAN YILDIZ, Dr. Öğr. Gör. Ahmet Ziya BİRBİLEN, Arş. Gör. Dr. İsmail Çağrı ÖZÜTOK ile birlikte çalışacakları,</t>
  </si>
  <si>
    <t>“Ergenlerin Çocuk Acil Başvuruları: Klinik Özellikler, Konsultasyon ve İzlemlerinin Retrospektif Analizi”</t>
  </si>
  <si>
    <t>535.</t>
  </si>
  <si>
    <t>SBA 26/535</t>
  </si>
  <si>
    <t>Üniversitemiz Tıp Fakültesi Anesteziyoloji ve Reanimasyon Anabilim Dalı öğretim üyelerinden Dr. Öğr. Üyesi Sehend DEBBAĞ’ın sorumlu araştırmacı olduğu, Prof. Dr. Fatma SARICAOĞLU, Prof. Dr. Vildan Göknur HALİLOĞLU ile birlikte çalışacakları,</t>
  </si>
  <si>
    <t>“Spinal Musküler Atrofi (SMA) Tip 1 ve 2 Hastalarında İntratekal Nusinersenin Ultrasonografi Eşliğinde Uygulamasının Retrospektif Olarak Değerlendirilmesi”</t>
  </si>
  <si>
    <t>536.</t>
  </si>
  <si>
    <t>SBA 26/536</t>
  </si>
  <si>
    <t>Üniversitemiz Tıp Fakültesi Fiziksel Tıp ve Rehabilitasyon Anabilim Dalı öğretim üyelerinden Prof. Dr. Alp ÇETİN'in sorumlu araştırmacı olduğu, Arş. Gör. Dr. Berkay YALÇINKAYA ve Arş. Gör. Dr. Hilmi Berkan ABACIOĞLU ile birlikte çalışacakları,</t>
  </si>
  <si>
    <t>“Nonnal Kemik Mineral Yoğunluğuna Sahip, Osteopenik ve Osteoporotik Bireylerde Sehmorl Nodülü Sıklığının Karşılaştınlması”</t>
  </si>
  <si>
    <t>537.</t>
  </si>
  <si>
    <t>SBA 26/537</t>
  </si>
  <si>
    <t>Dr. Öğr. Gör. Tuğçe TAŞKINDERE ABBASOĞLU</t>
  </si>
  <si>
    <t>Üniversitemiz Tıp Fakültesi Anatomi Anabilim Dalı öğretim elemanlarından  Dr. Öğr. Gör.  Tuğçe TAŞKINDERE ABBASOĞLU’nun sorumlu araştırmacı olduğu, Doç. Dr. Rahşan GÖÇMEN ile birlikte çalışacakları,</t>
  </si>
  <si>
    <t>“Maksiller ve Palatal Morfoloji ile Kranial Taban Yapısı, Kraniyoservikal hizalanma ve Retropalatal Hava Yolu Boyutları Arasındaki İlişki”</t>
  </si>
  <si>
    <t>538.</t>
  </si>
  <si>
    <t>SBA 26/538</t>
  </si>
  <si>
    <t>Prof. Dr. Lokman UZUN</t>
  </si>
  <si>
    <t>Biyokimya Anabilim Dalı</t>
  </si>
  <si>
    <t>Üniversitemiz Fen Fakültesi Biyokimya Anabilim Dalı öğretim üyelerinden Prof. Dr. Lokman UZUN’un sorumlu araştırmacı olduğu, Dr. Alper FİTOZ ile birlikte çalışacakları,</t>
  </si>
  <si>
    <t>“İki Fitokannabinoid Türevinin DNA Etkileşimleri ve Antikanser Aktivitelerinin Değerlendirilmesi”</t>
  </si>
  <si>
    <t>539.</t>
  </si>
  <si>
    <t>SBA 26/539</t>
  </si>
  <si>
    <t>Üniversitemiz Tıp Fakültesi Kadın Hastalıkları ve Doğum Anabilim Dalı öğretim üyelerinden Doç. Dr. Erdem FADILOĞLU’nun sorumlu araştırmacı olduğu, Prof. Dr. Deniz Nazire ÇAĞDAŞ AYVAZ, Prof. Dr. Diclehan ORHAN ile birlikte çalışacakları ve Arş. Gör. Dr. Tarana TAGHİYEVA’nın uzmanlık tezi olan,</t>
  </si>
  <si>
    <t>“Gestasyonel Diyabetli Gebelerde Amniyotik Sıvı, Maternal Kan ve Kordon Kanında İnflamatuar, Metabolik, İnflamazom ve Hipotalamo-Hipofizer-Adrenal Aks Belirteçlerinin Perinatal Sonuçlar ve İnsülin Tedavisi ile İlişkisinin Araştırılması”</t>
  </si>
  <si>
    <t>540.</t>
  </si>
  <si>
    <t>SBA 26/540</t>
  </si>
  <si>
    <t>Üniversitemiz Tıp Fakültesi İç Hastalıkları Anabilim Dalı öğretim üyelerinden Doç. Dr. Mert EŞME’nin sorumlu araştırmacı olduğu, Arş. Gör. Dr. Murat PEHLİVAN ile birlikte çalışacakları,</t>
  </si>
  <si>
    <t>“Geriatrik Onkoloji Pratiğinde İmmün Kontrol Noktası İnhibitörü Kardiyotoksisitesi: Farmakovijilans Analizi ve Kamu Farkındalığının Değerlendirilmesi”</t>
  </si>
  <si>
    <t>541.</t>
  </si>
  <si>
    <t>SBA 26/541</t>
  </si>
  <si>
    <t>“Yaşlanan Nüfusta Osteoporoz Hastalığının Sosyal Güvenlik Kurumuna Maliyetinin Kişisel Veri İçermeyen Toplu Veriler Üzerinden Değerlendirilmesi”</t>
  </si>
  <si>
    <t>542.</t>
  </si>
  <si>
    <t>SBA 26/542</t>
  </si>
  <si>
    <t>Üniversitemiz Tıp Fakültesi İç Hastalıkları Anabilim Dalı öğretim üyelerinden Doç. Dr. Süleyman Nahit ŞENDUR’un sorumlu araştırmacı olduğu, Prof. Dr. Ayşe Tomris ERBAŞ, Arş. Gör. Dr. Polat ERCAN, Arş. Gör. Dr. Sena KODALAK ile birlikte çalışacakları,</t>
  </si>
  <si>
    <t>“Kraniofarenjiyomalı Olguların Tanı, Tedavi ve Takip Açısından Retrospektif Değerlendirilmesi”</t>
  </si>
  <si>
    <t>543.</t>
  </si>
  <si>
    <t>SBA 26/543</t>
  </si>
  <si>
    <t>Üniversitemiz Tıp Fakültesi Çocuk Sağlığı ve Hastalıkları Anabilim Dalı öğretim üyelerinden Prof. Dr. Deniz ÇAĞDAŞ AYVAZ'ın sorumlu araştırmacı olduğu, Prof. Dr. Ali DÜZOVA, Doç. Dr. Saliha ESENBOĞA, Doç. Dr. Elif SOYAK AYTEKİN, Dr. Zehra GENÇ ÖZBAY, Arş. Gör. Dr. Çiğdem KAPLAN ile birlikte çalışacakları,</t>
  </si>
  <si>
    <t>“Primer İmmün Yetmezlik Tanısı ile izlenen Hastalarda Nefrolojik Bulguların Değerlendirilmesi”</t>
  </si>
  <si>
    <t>544.</t>
  </si>
  <si>
    <t>SBA 26/544</t>
  </si>
  <si>
    <t>Üniversitemiz Tıp Fakültesi Çocuk Sağlığı ve Hastalıkları Anabilim Dalı öğretim üyelerinden Prof. Dr. Deniz DOĞRU ERSÖZ’ün sorumlu araştırmacı olduğu, Arş. Gör. Dr. Ömer Faruk İPEK, Dr. Öğr. Üyesi Yağmur ÜNSAL, Dr. Öğr. Üyesi Aslıhan ÇAKMAK ÖNAL, Arş. Gör. Dr. Uğur Erkin ZEYTİNOĞLU, Prof. Dr. Naciye VARDAR YAĞLI, Prof. Dr. Nagehan EMİRALİOĞLU ORDUKAYA, Prof. Dr. Elmas Ebru YALÇIN, Prof. Dr. Uğur ÖZÇELİK ile birlikte çalışacakları,</t>
  </si>
  <si>
    <t>“KFTR Modülatör Tedavisi Alan Kistik Fibrozisli Çocuklarda Vücut Kompozisyonunda ve Kas Kuvvetindeki Değişimler: Prospektif Kohort Çalışması”</t>
  </si>
  <si>
    <t>545.</t>
  </si>
  <si>
    <t>SBA 26/545</t>
  </si>
  <si>
    <t>Üniversitemiz Tıp Fakültesi Kadın Hastalıkları ve Doğum Anabilim Dalı öğretim üyelerinden Doç. Dr. Erdem FADILOĞLU’nun sorumlu araştırmacı olduğu, Arş. Gör. Dr. Mehlika Beste YÜCEDAĞ ile birlikte çalışacakları,</t>
  </si>
  <si>
    <t>“Antenatal Takiplerde Fetal Abdomen Çevresi ve Tahmini Fetal Ağırlık Persentilindeki Değişimlerin Perinatal Sonuçlar Üzerine Etkisi: Retrospektif Kohort Çalışması”</t>
  </si>
  <si>
    <t>546.</t>
  </si>
  <si>
    <t>SBA 26/546</t>
  </si>
  <si>
    <t>Doç. Dr. Melike OCAK</t>
  </si>
  <si>
    <t>Üniversitemiz Tıp Fakültesi Çocuk Sağlığı ve Hastalıkları Anabilim Dalı öğretim üyelerinden Doç. Dr. Melike OCAK'ın sorumlu araştırmacı olduğu, Prof. Dr. Bülent Enis ŞEKEREL, Prof. Dr. Özge UYSAL SOYER, Prof. Dr. Ümit Murat ŞAHİNER, Doç. Dr. Aysegül ERTUĞRUL, Arş. Gör. Dr. Ceren ÜSTÜN ile birlikte çalışacakları,</t>
  </si>
  <si>
    <t>“Besin Alerjisi ile İzlenen Çocuklarda Akran Zorbalığının Alerjen Maruziyeti Üzerindeki Etkisinin Değerlendirilmesi”</t>
  </si>
  <si>
    <t>547.</t>
  </si>
  <si>
    <t>SBA 26/547</t>
  </si>
  <si>
    <t>“Çocuklarda Bal Alerjisinin Klinik Özellikleri ve Aeroalerjen Duyarlılıklarının Retrospektif Değerlendirilmesi”</t>
  </si>
  <si>
    <t>548.</t>
  </si>
  <si>
    <t>SBA 26/548</t>
  </si>
  <si>
    <t>Arş. Gör. Dr. Pınar YAVUZ TAZE</t>
  </si>
  <si>
    <t>Üniversitemiz Tıp Fakültesi Çocuk Sağlığı ve Hastalıkları Anabilim Dalı öğretim elemanlarından Arş. Gör. Dr. Pınar YAVUZ TAZE’nin sorumlu araştırmacı olduğu, Prof. Dr. Vildan Göknur HALİLOĞLU, Prof. Dr. Hatice Nursun ÖZCAN ve Doç. Dr. Rahşan GÖÇMEN ile birlikte çalışacakları,</t>
  </si>
  <si>
    <t>“Canavan Hastalığı: Klinik, Laboratuvar, Moleküler ve Radyolojik Özelliklerin Retrospektif Olarak Değerlendirilmesi”</t>
  </si>
  <si>
    <t>549.</t>
  </si>
  <si>
    <t>SBA 26/549</t>
  </si>
  <si>
    <t>Üniversitemiz Tıp Fakültesi Plastik, Rekonstrüktif ve Estetik Cerrahi Anabilim Dalı öğretim üyelerinden Prof. Dr. Hakan UZUN’un sorumlu araştırmacı olduğu, Doç. Dr. Galip Gencay ÜSTÜN, Dr. Öğr. Üyesi Gökhan SERT, Arş. Gör. Dr. Fethiye Damla MENKÜ, Prof. Dr. Ahmet Bülent DOĞRUL ve Dr. Öğr. Üyesi Hilmi Anıl DİNÇER ile birlikte çalışacakları,</t>
  </si>
  <si>
    <t>“Canlı Vericili Karaciğer Nakli Sonrası Sonuçların Öngörüsünde Hepatik Arter Anatomisi ve Anastomozun Kompleksitesi: Lob Temelli Kohort Çalışması”</t>
  </si>
  <si>
    <t>550.</t>
  </si>
  <si>
    <t>SBA 26/550</t>
  </si>
  <si>
    <t>Prof. Dr. Levent ÖZÇAKAR</t>
  </si>
  <si>
    <t>Üniversitemiz Tıp Fakültesi Fiziksel Tıp ve Rehabilitasyon Anabilim Dalı öğretim üyelerinden Prof. Dr. Levent ÖZÇAKAR’ın sorumlu araştırmacı olduğu, Arş. Gör. Dr. Alpaslan Fatih KAYNAR’ın uzmanlık tezi olan,</t>
  </si>
  <si>
    <t>“Plantar Fasiitli Hastalarda Kortikosteroid Enjeksiyonun Uygulama Bölgesine Göre Etkinliğinin ve Yan Etkilerinin Karşılaştırılması”</t>
  </si>
  <si>
    <t>551.</t>
  </si>
  <si>
    <t>SBA 26/551</t>
  </si>
  <si>
    <t>Üniversitemiz Tıp Fakültesi Tıbbi Patoloji Anabilim Dalı öğretim üyelerinden Dr. Öğr. Üyesi Ece ÖZOĞUL’un sorumlu araştırmacı olduğu, Prof. Dr. Selim AKSOY ve İlke LATİFOĞLU ile birlikte çalışacakları,</t>
  </si>
  <si>
    <t>“BCR-ABL Negatif Miyeloproliferatif Neoplazilerde Kemik İliği Biyopsilerinde Megakaryositlerinin Morfolojik ve Dağılımsal Özelliklerinin Dijital Patoloji ve Yapay Zekâ Yöntemleri ile Analizi”</t>
  </si>
  <si>
    <t>552.</t>
  </si>
  <si>
    <t>SBA 26/552</t>
  </si>
  <si>
    <t>Üniversitemiz Tıp Fakültesi Nöroloji Anabilim Dalı öğretim üyelerinden Prof. Dr. Neşe DERİCİOĞLU’nun sorumlu araştırmacı olduğu, Arş. Gör. Dr. Haluk KESKİN ile birlikte çalışacakları,</t>
  </si>
  <si>
    <t>“Erişkin Epilepsia Partialis Continua Hastalarının Klinik-Elektrofizyolojik Fenotipi ve Sonlanım Belirteçlerinin Retrospektif Değerlendirilmesi”</t>
  </si>
  <si>
    <t>553.</t>
  </si>
  <si>
    <t>SBA 26/553</t>
  </si>
  <si>
    <t>Üniversitemiz Tıp Fakültesi Tıbbi Patoloji Anabilim Dalı öğretim üyelerinden Dr. Öğr. Üyesi Ece ÖZOĞUL'un sorumlu araştırmacı olduğu, Parof. Dr. Emine Arzu AYHAN ve Prof. Dr. Ayşegül ÜNER ile birlikte çalışacakları,</t>
  </si>
  <si>
    <t>“Adrenal Lenfoma Olgularının Patolojik Spektrumu, Klinikopatolojik Korelasyon ve Literatür Derlemesi: Retrospektif Bir Çalışma”</t>
  </si>
  <si>
    <t>554.</t>
  </si>
  <si>
    <t>SBA 26/554</t>
  </si>
  <si>
    <t>Üniversitemiz Tıp Fakültesi İç Hastalıkları Anabilim Dalı öğretim üyelerinden Prof. Dr. Meltem Gülhan HALİL’in sorumlu araştırmacı olduğu, Prof. Dr. Salih Kutay DEMİRKAN, Doç. Dr. Cafer BALCI, Dr. Öğr. Üyesi Burcu Kelleci ÇAKIR, Arş. Gör. Dr. Mihriban GÜNGÖR ile birlikte çalışacakları,</t>
  </si>
  <si>
    <t>“Paranteral Beslenme Tedavisi Alan Hastalarda Kalıcı ve Geçici Santral Venöz Kateterlerin Karşılaştırılması”</t>
  </si>
  <si>
    <t>555.</t>
  </si>
  <si>
    <t>SBA 26/555</t>
  </si>
  <si>
    <t>Üniversitemiz Tıp Fakültesi Adli Tıp Anabilim Dalı öğretim üyelerinden Prof. Dr. Ali Rıza TÜMER’in sorumlu araştırmacı olduğu, Prof. Dr. Semra TOPUZ, Doç. Dr. Mehmet CAVLAK, Dr. Öğr. Üyesi Sevilay KARAHAN, Dr. Öğr. Üyesi Elif KIRDI, Öğr. Gör. Dr. Emirhan DEMİRAY, Arş. Gör. Ali İmran YALÇIN ve Arş. Gör. Oğuz Faik SEVEN ile birlikte çalışacakları,</t>
  </si>
  <si>
    <t>“Alt Ekstremite Kırıkları Sonrası Spatiotemporal Parametreler çin Antaljik Yürüyüş Optimal Eşik Değerlerinin Belirlenmesi: ROC Analizi ile Retrospektif Bir Tanısal Doğruluk Çalışması”</t>
  </si>
  <si>
    <t>556.</t>
  </si>
  <si>
    <t>SBA 26/556</t>
  </si>
  <si>
    <t>Üniversitemiz Tıp Fakültesi Anesteziyoloji ve Reanimasyon Anabilim Dalı öğretim üyelerinden Prof. Dr. Filiz ÜZÜMCÜGİL’in sorumlu araştırmacı olduğu, Arş. Gör. Dr. Elif KIZILKAYA'nın uzmanlık tezi olan,</t>
  </si>
  <si>
    <t>“Pediatrik Majör Cerrahilerde Preoperatif Sistemik İmmün-İnflamasyon İndeksi ile Clavien–Dindo Sınıflamasına Göre Postoperatif Komplikasyonlar Arasındaki İlişkinin Değerlendirilmesi”</t>
  </si>
  <si>
    <t>557.</t>
  </si>
  <si>
    <t>SBA 26/557</t>
  </si>
  <si>
    <t>Doç. Dr. Elif Günay BULUT</t>
  </si>
  <si>
    <t>Üniversitemiz Tıp Fakültesi Radyoloji Anabilim Dalı öğretim üyelerinden Doç. Dr. Elif Günay BULUT’un sorumlu araştırmacı olduğu, Doç. Dr. Şafak PARLAK SAĞOL ve Doç. Dr. Levent KILIÇ ile birlikte çalışacakları,</t>
  </si>
  <si>
    <t>“Nazofaringeal Granülomatozis Polianjitis Hastalığının MR Görüntüleme Bulgularının Nazofarinksi Tutan Diğer İnfeksiyöz, İnflamatuar, Tümöral Hastalıklardan Farklılıklarının Retrospektif Değerlendirilmesi”</t>
  </si>
  <si>
    <t>558.</t>
  </si>
  <si>
    <t>SBA 26/558</t>
  </si>
  <si>
    <t>Üniversitemiz Tıp Fakültesi Nöroloji Anabilim Dalı öğretim üyelerinden Prof. Dr. Meryem Aslı TUNCER’in sorumlu araştırmacı olduğu, Prof. Dr. Vuslat YILMAZ, Dr. Öğr. Üyesi Nazire Pınar ACAR ÖZEN, Doç. Dr. Ayşe İlksen ÇOLPAK IŞIKAY, Dr. Ece TAVUKÇUOĞLU DEMİR ile birlikte çalışacakları ve Arş. Gör. Dr. Ziya Berke SOYLU’nun uzmanlık tezi olan,</t>
  </si>
  <si>
    <t>“Multipl Skleroz Ayırıcı Tanısında Serum ve Beyin Omurilik Sıvısı Biyobelirteçlerinin Tanısal Değeri”</t>
  </si>
  <si>
    <t>559.</t>
  </si>
  <si>
    <t>SBA 26/559</t>
  </si>
  <si>
    <t>Üniversitemiz Tıp Fakültesi Çocuk Sağlığı ve Hastalıkları Anabilim Dalı öğretim üyelerinden Prof. Dr. Şule ÜNAL CANGÜL’ün sorumlu araştırmacı olduğu, Arş. Gör. Dr. Gamze GÜRSOY ÖZÇELİK ile birlikte çalışacakları,</t>
  </si>
  <si>
    <t>“İmmün Trombositopeni Hastalarında Antinükleer Antikor Boyama Paternleri ve Titrelerinin İncelenmesi”</t>
  </si>
  <si>
    <t>560.</t>
  </si>
  <si>
    <t>SBA 26/560</t>
  </si>
  <si>
    <t>Üniversitemiz Tıp Fakültesi Üroloji Anabilim Dalı öğretim üyelerinden Prof. Dr. Serdar TEKGÜL’ün sorumlu araştırmacı olduğu, Arş. Gör. Dr. Durmuş Alptuğ COŞAR ile birlikte çalışacakları,</t>
  </si>
  <si>
    <t>“Alt Üriner SistemDisfonksiyonu Sonucu Kronik Böbrek Yetmezliği Gelişen Çocuklarda Böbrek Nakli: Tek Merkez Deneyimi ve Literatür İncelemesi”</t>
  </si>
  <si>
    <t>561.</t>
  </si>
  <si>
    <t>SBA 26/561</t>
  </si>
  <si>
    <t>Üniversitemiz Tıp Fakültesi Çocuk Sağlığı ve Hastalıkları Anabilim Dalı öğretim üyelerinden Doç. Dr. Kübra AYKAÇ’ın sorumlu araştırmacı olduğu, Prof. Dr. Yasemin ÖZSÜREKCİ ile birlikte çalışacakları,</t>
  </si>
  <si>
    <t>“Kene Kaynaklı Viral Enfeksiyonların Klinik ve Laboratuvar Özellikleri”</t>
  </si>
  <si>
    <t>562.</t>
  </si>
  <si>
    <t>SBA 26/562</t>
  </si>
  <si>
    <t>Prof. Dr. Ahmet SERPER</t>
  </si>
  <si>
    <t>Üniversitemiz Diş Hekimliği Fakültesi Endodonti Anabilim Dalı öğretim üyelerinden Prof. Dr. Ahmet SERPER’in sorumlu araştırmacı olduğu, Arş. Gör. Deniz Arca ÇAKIR, Prof. Dr. Emel UZUNOĞLU ÖZYÜREK, Prof. Dr. Ülfet Pınar ERKEKOĞLU ile birlikte çalışacakları ve Arş. Gör. Dt. Baransel KOÇ’un uzmanlık tezi olan,</t>
  </si>
  <si>
    <t>“Güncel Kullanılan Kalsium Silikat Esaslı Endodontik Dolgu Materyallerinin İnsan Dental Pulpa Kök Hücrelerinde Sitotoksisite, Oksidatif Stres ve Genotoksisite Açısından Değerlendirilmesi”</t>
  </si>
  <si>
    <t>563.</t>
  </si>
  <si>
    <t>SBA 26/563</t>
  </si>
  <si>
    <t>Doç. Dr. İsmail UYANIK</t>
  </si>
  <si>
    <t>Kontrol ve Kumanda Sistemleri Anabilim Dalı</t>
  </si>
  <si>
    <t>Üniversitemiz Mühendislik Fakültesi Kontrol ve Kumanda Sistemleri Anabilim Dalı öğretim üyelerinden Doç. Dr. İsmail UYANIK'ın sorumlu araştırmacı olduğu, Şevval İzel SOLMAZ ile birlikte çalışacakları,</t>
  </si>
  <si>
    <t>“Felçli Bireyler için Elektroensefalografi Tabanlı Hata Algısı ile Göz Takipli İletişim Sistemi Prototipi”</t>
  </si>
  <si>
    <t>564.</t>
  </si>
  <si>
    <t>SBA 26/564</t>
  </si>
  <si>
    <t>Üniversitemiz Tıp Fakültesi İç Hastalıkları Anabilim Dalı öğretim üyelerinden Doç. Dr. Nursel ÇALIK BAŞARAN’ın sorumlu araştırmacı olduğu, Prof. Dr. Alpaslan KILIÇARSLAN ve Arş. Gör. Dr. Kadir İNTAŞ ile birlikte çalışacakları,</t>
  </si>
  <si>
    <t>“Türkiye'de Hastane Çalışanlarının Mesleki Yaralanmaları: Geriye Dönük Bir Araştırma”</t>
  </si>
  <si>
    <t>565.</t>
  </si>
  <si>
    <t>SBA 26/565</t>
  </si>
  <si>
    <t>Üniversitemiz Tıp Fakültesi Çocuk Sağlığı ve Hastalıkları Anabilim Dalı öğretim üyelerinden Prof. Dr. Seza ÖZEN' in sorumlu araştırmacı olduğu, Doç. Dr. Erdal SAĞ ve Arş. Gör. Dr. Mehmet Orhan ERKAN ile birlikte çalışacakları,</t>
  </si>
  <si>
    <t>“SAPHO Sendromu Tanılı Hastaların Klinik ve Genetik Özellikleri ile Tedavi ve Takiplerinin Değerlendirilmesi”</t>
  </si>
  <si>
    <t>566.</t>
  </si>
  <si>
    <t>SBA 26/566</t>
  </si>
  <si>
    <t>Prof. Dr. Selin AYTAÇ EYÜPOĞLU</t>
  </si>
  <si>
    <t>Üniversitemiz Tıp Fakültesi Çocuk Sağlığı ve Hastalıkları Anabilim Dalı öğretim üyelerinden Prof. Dr. Selin AYTAÇ EYÜPOĞLU’nun sorumlu araştırmacı olduğu, Prof. Dr. Hayriye Uğur ÖZÇELİK, Arş. Gör. Dr. Gamze GÜRSOY ÖZÇELİK ile birlikte çalışacakları,</t>
  </si>
  <si>
    <t>“Pediatrik Pulmoner Tromboemboli Olgularında Tedavi Yönetimi ve Prognoz”</t>
  </si>
  <si>
    <t>567.</t>
  </si>
  <si>
    <t>SBA 26/567</t>
  </si>
  <si>
    <t>Üniversitemiz Tıp Fakültesi Çocuk sağlığı ve Hastalıkları Anabilim Dalı öğretim üyelerinden Prof. Dr. Nagehan EMİRALİOĞLU ORDUKAYA’nın sorumlu araştırmacı olduğu, Prof. Dr. Ebru YALÇIN, Prof. Dr. Deniz DOĞRU ERSÖZ, Prof. Dr. H. Uğur ÖZÇELİK, Prof. Dr. H. Nursun ÖZCAN, Prof. Dr. Berna OĞUZ, Arş. Gör. Dr. Umay KAVGACI ile birlikte çalışacakları,</t>
  </si>
  <si>
    <t>“Türkiye chILD Veri Tabanına Kayıtlı Stirfaktan Protein Bozukluklarında Toraks Bilgisayarlı Tomografi (HRCT) Bulgularının Sistematik Skorlanması: Genotip, Radyolojik Fenotipler ve Klinik Korelasyon Analizi ”</t>
  </si>
  <si>
    <t>568.</t>
  </si>
  <si>
    <t>SBA 26/568</t>
  </si>
  <si>
    <t>Üniversitemiz Eczacılık Fakültesi Klinik Eczacılık Anabilim Dalı öğretim üyelerinden Dr. Öğr. Üyesi Emre KARA’nın sorumlu araştırmacı olduğu, Prof. Dr. Seda Banu AKINCI, Öğr. Gör. Dr. Adnan Menderes VURAL ile birlikte çalışacakları ve Ecz. Romina AKHBARİSHOJAEİ’nin yüksek lisans tezi olan,</t>
  </si>
  <si>
    <t>“Anestezi Yoğun Bakıma ve Anestezi Yoğun Bakımdan Servise Hasta Geçişlerinde Klinik Eczacılık Hizmetleri ve Hizmetin Dijitalleştirilmesi”</t>
  </si>
  <si>
    <t>569.</t>
  </si>
  <si>
    <t>SBA 26/569</t>
  </si>
  <si>
    <t>Üniversitemiz Tıp Fakültesi Çocuk Sağlığı ve Hastalıkları Anabilim Dalı öğretim üyelerinden Prof. Dr. Selin AYTAÇ EYÜPOĞLU’nun sorumlu araştırmacı olduğu, Arş. Gör. Dr. Gamze GÜRSOY ÖZÇELİK ile birlikte çalışacakları,</t>
  </si>
  <si>
    <t>“Kalıtsal Kanama Bozuklukları Olan Hastaların Klinik ve Laboratuvar Özelliklerinin Değerlendirilmesi”</t>
  </si>
  <si>
    <t>570.</t>
  </si>
  <si>
    <t>SBA 26/570</t>
  </si>
  <si>
    <t>Prof. Dr. B. Barış KUŞKONMAZ</t>
  </si>
  <si>
    <t>Üniversitemiz Tıp Fakültesi Çocuk Sağlığı ve Hastalıkları Anabilim Dalı öğretim üyelerinden Prof. Dr. Barış KUŞKONMAZ’ın sorumlu araştırmacı olduğu, Prof. Dr. Fatma Visal OKUR, Arş. Gör. Dr. Gamze GÜRSOY ÖZÇELİK ile birlikte çalışacakları,</t>
  </si>
  <si>
    <t>“Çocuklardaki Non-Malign Hastalıklarda Yapılan İkinci Hematopoietik Kök Hücre Nakillerinin Sonuçları”</t>
  </si>
  <si>
    <t>571.</t>
  </si>
  <si>
    <t>SBA 26/571</t>
  </si>
  <si>
    <t>Üniversitemiz Tıp Fakültesi Kardiyoloji Anabilim Dalı öğretim üyelerinden Doç. Dr. Cem ÇÖTELİ'nin sorumlu araştırmacı olduğu, Prof. Dr. Kudret AYTEMİR, Prof. Dr. Hikmet YORGUN ve Arş. Gör. Dr. Selahattin ÇÖP ile birlikte çalışacakları,</t>
  </si>
  <si>
    <t>“İntrakardiyak Ekokardiyografi Kılavuzluğunda Atrial Flutter Ablasyonu Yapılan Hastalarda Cavatriküspit İsthmus Anatomisi ile Ablasyon İşlemi Çıktıları Arasındaki İlişkinin Değerlendirilmesi”</t>
  </si>
  <si>
    <t>572.</t>
  </si>
  <si>
    <t>SBA 26/572</t>
  </si>
  <si>
    <t>Üniversitemiz Eczacılık Fakültesi Klinik Eczacılık Anabilim Dalı öğretim üyelerinden Prof. Dr. Salih Kutay DEMİRKAN'ın sorumlu araştırmacı olduğu, Prof. Dr. Meltem Gülhan HALİL, Doç. Dr. Cafer BALCI, Dr. Öğr. Üyesi Burcu KELLECİ ÇAKIR ve Arş. Gör. Özgenur GERİDÖNMEZ ile birlikte çalışacakları,</t>
  </si>
  <si>
    <t>“Geriatrik Diyabet Hastalarında Proton Pompa İnhibitörlerinin Kullanımı ve Sarkopenik Obezite İlişkisi”</t>
  </si>
  <si>
    <t>573.</t>
  </si>
  <si>
    <t>SBA 26/573</t>
  </si>
  <si>
    <t>Üniversitemiz Tıp Fakültesi Çocuk Sağlığı ve Hastalıkları Anabilim Dalı öğretim üyelerinden Doç. Dr. Hayriye HIZARCIOĞLU GÜLŞEN.'in sorumlu araştırmacı olduğu, Arş. Gör. Dr. Tülin KURTUL DEMİRHAN, Prof. Dr. İnci Nur SALTIK TEMİZEL, Prof. Dr. Hülya DEMİR, Doç. Dr. Ersin GÜMÜŞ, Arş. Gör. Dr. Gülşah ÜNSAL ile birlikte çalışacakları,</t>
  </si>
  <si>
    <t>“Çocuk Hastalarda Otoimmün Hemolitik Anemi ile İlişkili Dev Hücreli Hepatitte Klinik, Laboratuvar Bulguları, Tedavi Modaliteleri ve Rituksimab İçeren Rejimlerin Etkinliği: Tek Merkezli Çalışma”</t>
  </si>
  <si>
    <t>574.</t>
  </si>
  <si>
    <t>SBA 26/574</t>
  </si>
  <si>
    <t>Prof. Dr. Yelda BİLGİNER</t>
  </si>
  <si>
    <t>Üniversitemiz Tıp Fakültesi Çocuk Sağlığı ve Hastalıkları Anabilim Dalı öğretim üyelerinden Prof. Dr. Yelda BİLGİNER'in sorumlu araştırmacı olduğu, Prof. Dr. Edibe ÜNAL, Prof. Dr. Feza KORKUSUZ ve Dr. Fzt. Orkun TÜFEKÇİ ile birlikte çalışacakları,</t>
  </si>
  <si>
    <t>“Çocuk Skleroderma Tanılı Olguların Ayak-Ayak Bileği Etkilenimlerinin ve Skolyoz Varlığının İncelenmesi”</t>
  </si>
  <si>
    <t>575.</t>
  </si>
  <si>
    <t>SBA 26/575</t>
  </si>
  <si>
    <t>Üniversitemiz Tıp Fakültesi İç Hastalıkları Anabilim Dalı öğretim üyelerinden Prof. Dr. Taylan KAV’ın sorumlu araştırmacı olduğu, Arş. Gör. Dr. Burcu GÜRBÜZ ile birlikte çalışacakları,</t>
  </si>
  <si>
    <t>"İnflamatuvar Bağırsak Hastalığı Olan Hastalarda IL-10’a Karşı Nötralizan Otoantikorların Araştırılması ve İleri Tedavilerle İlişkisinin Değerlendirilmesi"</t>
  </si>
  <si>
    <t>576.</t>
  </si>
  <si>
    <t>SBA 26/576</t>
  </si>
  <si>
    <t>Üniversitemiz Tıp Fakültesi İç Hastalıkları Anabilim Dalı öğretim üyelerinden Doç. Dr. Süleyman Nahit ŞENDUR’un sorumlu araştırmacı olduğu, Prof. Dr. Tomris ERBAŞ, Prof. Dr. Selçuk DAĞDELEN ile birlikte çalışacakları Arş. Gör. Dr. Hande Nur GÜNGÖR’ün uzmanlık tezi olan,</t>
  </si>
  <si>
    <t>“Cushing Sendromu Olgularının Klinik, Biyokimyasal Özelliklerinin ve Tedavi Sonuçlarının Değerlendirilmesi”</t>
  </si>
  <si>
    <t>577.</t>
  </si>
  <si>
    <t>SBA 26/577</t>
  </si>
  <si>
    <t>Dr. Öğr. Üyesi Aslı Şan DAĞLI GÜL</t>
  </si>
  <si>
    <t>Üniversitemiz Tıp Fakültesi Fizyoloji Anabilim Dalı öğretim üyelerinden Dr. Öğr. Üyesi Aslı Şan DAĞLI GÜL’ün sorumlu araştırmacı olduğu, Rojin AYBİ, Nagihan YILDIRIM, Nilay OĞUZ, Sena OCAK ile birlikte çalışacakları,</t>
  </si>
  <si>
    <t>“Kakao Flavonoidlerinin Tek Doz Kullanımda Anksiyeteye Akut Etkisinin TSST-VR ile Ölçümü”</t>
  </si>
  <si>
    <t>578.</t>
  </si>
  <si>
    <t>SBA 26/578</t>
  </si>
  <si>
    <t>Üniversitemiz Tıp Fakültesi Çocuk Sağlığı ve Hastalıkları Anabilim Dalı öğretim üyelerinden Doç. Dr. Hayriye HIZARCIOĞLU GÜLŞEN'in sorumlu araştırmacı olduğu, Prof. Dr. Hülya DEMİR, Doç. Dr. Ersin GÜMÜŞ. Prof. Dr. Adalet Elçin YILDIZ ile birlikte çalışacakları,</t>
  </si>
  <si>
    <t>“Çocuklarda Gaucher Hastalığının İskelet Tutulumu: Kesitsel Bir Çalışma”</t>
  </si>
  <si>
    <t>579.</t>
  </si>
  <si>
    <t>SBA 26/579</t>
  </si>
  <si>
    <t>Üniversitemiz Tıp Fakültesi Nöroloji Anabilim Dalı öğretim üyelerinden Prof. Dr. Meryem Aslı TUNCER'in sorumlu araştırmacı olduğu, Prof. Dr. Rahşan GÖÇMEN, Dr. Öğr. Üyesi Nazire Pınar ACAR ÖZEN, Öğr. Gör. Dr. Ezgi YILMAZ, Arş. Gör. Dr. İlke TAŞÇI, Arş. Gör. Dr. Bilgesu KÖKSAL ile birlikte çalışacakları,</t>
  </si>
  <si>
    <t>“Transvers Miyelit ile Takip Edilen Hastaların Etiyolojik, Klinik ve Radyolojik Özelliklerinin Retrospektif Olarak İncelenmesi”</t>
  </si>
  <si>
    <t>580.</t>
  </si>
  <si>
    <t>SBA 26/580</t>
  </si>
  <si>
    <t>Üniversitemiz Tıp Fakültesi Radyoloji Anabilim Dalı öğretim üyelerinden Dr. Öğr. Üyesi Aycan UYSAL’nın sorumlu araştırmacı olduğu, Arş. Gör. Dr. Nigar JALALLI’nın uzmanlık tezi olan,</t>
  </si>
  <si>
    <t>“Malign Biliyer Obstrüksiyonda Perkütan Transhepatik Biliyer Drenaj: Endoskopik Plastik Stent Disfonksiyonu Sonrası Uygulama ile Primer Uygulamanın Teknik Başarı, Klinik Etkinlik, Komplikasyonlar ve Sağkalım Açısından Karşılaştırılması”</t>
  </si>
  <si>
    <t>581.</t>
  </si>
  <si>
    <t>SBA 26/581</t>
  </si>
  <si>
    <t>Üniversitemiz Diş Hekimliği Fakültesi Ağız, Diş ve Çene Cerrahisi Anabilim Dalı öğretim üyelerinden Dr. Öğr. Üyesi Selen ADİLOĞLU’nun sorumlu araştırmacı olduğu, Doç. Dr Gülin YILDIRIM, Dr. Öğr. Üyesi Özgün YILDIRIM ve Arş. Gör. Dt. Merve DEMİREL ile birlikte çalışacakları,</t>
  </si>
  <si>
    <t>“Diş Hekimliği Öğrencilerinde Ağız, Diş ve Çene Cerrahisi Stajının Anksiyete, Öz Güven ve Bilgi Düzeyi Üzerine Etkisinin Değerlendirilmesi”</t>
  </si>
  <si>
    <t>582.</t>
  </si>
  <si>
    <t>SBA 26/582</t>
  </si>
  <si>
    <t>Üniversitemiz Tıp Fakültesi Enfeksiyon Hastalıkları ve Klinik Mikrobiyoloji Anabilim Dalı öğretim üyelerinden Doç. Dr. Gülçin TELLİ DİZMAN’ın sorumlu araştırmacı olduğu, Prof. Dr. Gökhan METAN, Prof. Dr. Işkın Pınar ZARAKOL, Prof. Dr. Gülşen HAZIROLAN ile birlikte çalışacakları ve Arş. Gör. Dr. Nagihan AKA'nın uzmanlık tezi olan,</t>
  </si>
  <si>
    <t>“Sıkı Temas İzolasyonu Sonlandırılmış Hastalarda, İzolasyonun Kaldırılması İçin Kullanılan Protokolün Etkinliği ve Güvenilirliğinin Değerlendirilmesi”</t>
  </si>
  <si>
    <t>583.</t>
  </si>
  <si>
    <t>SBA 26/583</t>
  </si>
  <si>
    <t>Üniversitemiz Diş Hekimliği Fakültesi Protetik Diş Tedavisi Anabilim Dalı öğretim üyelerinden Prof. Dr. Kıvanç AKÇA’nın sorumlu araştırmacı olduğu,</t>
  </si>
  <si>
    <t>“İki İmplant Tutuculu Kantilever Uzantılı Barların Mekanik ve Teknik Komplikasyonlarının Değerlendirilmesi: Retrospektif Analiz”</t>
  </si>
  <si>
    <t>584.</t>
  </si>
  <si>
    <t>SBA 26/584</t>
  </si>
  <si>
    <t>Doç. Dr. Fatima AERTS KAYA</t>
  </si>
  <si>
    <t>Üniversitemiz Sağlık Bilimleri Enstitüsü Kök Hücre Bilimleri Anabilim Dalı öğretim üyelerinden Doç. Dr. Fatima AERTS KAYA’nın sorumlu araştırmacı olduğu Mol. Biol. Gönül YURDAKUL, Uzm. Mol. Biol. Mehmet Emin ŞEKER, Doç. Dr. Erdem FADILOĞLU, Prof. Dr. Özgür Deren ile birlikte çalışacakları ve Biol. Anıl KARAHAN’ın yüksek lisans tezi olan,</t>
  </si>
  <si>
    <t>“İn vitro İnsan T Hücre Üretimini Destekleyen Hücre Hatlarından M-CSF ve/veya cFMS Sinyalizasyonunun Güncel Teknolojiler ile İnhibisyonunun Etkilerinin Araştırılması”</t>
  </si>
  <si>
    <t>585.</t>
  </si>
  <si>
    <t>SBA 26/585</t>
  </si>
  <si>
    <t>Üniversitemiz Eczacılık Fakültesi Klinik Eczacılık Anabilim Dalı öğretim üyelerinden Prof. Dr. Salih Kutay DEMİRKAN’ın sorumlu araştırmacı olduğu, Doç. Dr. Oğuz Abdullah UYAROĞLU, Doç. Dr. Nursel ÇALIK BAŞARAN, Dr. Öğr. Üyesi Emre KARA ile birlikte çalışacakları ve Arş. Gör. Zuhal BENEK’in uzmanlık tezi olan,</t>
  </si>
  <si>
    <t>“Dahiliye Servisinde Yatan Hastalarda İlaç Kullanımı ile İlişkili QT Uzaması Riskinin Tisdale Skoru ve QTc Değişimi: Klinik Eczacı Perspektifinden Değerlendirilmesi”</t>
  </si>
  <si>
    <t>586.</t>
  </si>
  <si>
    <t>SBA 26/586</t>
  </si>
  <si>
    <t>Üniversitemiz Tıp Fakültesi İç Hastalıklar Anabilim Dalı öğretim üyelerinden Doç. Dr. Levent KILIÇ'ın sorumlu araştırmacı olduğu, Arş. Gör. Dr. Deniz DÖNMEZ ve Arş. Gör. Dr. Burak DEMİRCİ ile birlikte çalışacakları,</t>
  </si>
  <si>
    <t>Mulisistem Sarkoidoz Hastalarının Takip ve Tedavi Sürecinin Retropestif Bakış Açısıyla Değerlendirilmesi”</t>
  </si>
  <si>
    <t>587.</t>
  </si>
  <si>
    <t>SBA 26/587</t>
  </si>
  <si>
    <t>Üniversitemiz Tıp Fakültesi Aile Hekimliği Anabilim Dalı öğretim üyelerinden, Doç. Dr. İzzet FİDANCI’nın sorumlu araştırmacı olduğu, Uzm. Dr. Bensu ÖZEÇ, Uzm. Dr. Mustafa ÖZGÜL, Doç. Dr. İlknur FİDANCI, Prof. Dr. Medine Ayşin TAŞAR ile birlikte çalışacakları,</t>
  </si>
  <si>
    <t>“Çocuk Acil Hekimlerinin Klinik Pratiğinde Yatak Başı Ultrasonun Yeri (POCUS): Türkiye’den Kalitatif Bir Çalışma”</t>
  </si>
  <si>
    <t>588.</t>
  </si>
  <si>
    <t>SBA 26/588</t>
  </si>
  <si>
    <t>Üniversitemiz Sağlık Bilimleri Enstitüsü Kök Hücre Bilimleri Anabilim Dalı öğretim üyelerinden Doç. Dr. Fatima AERTS KAYA’nın sorumlu araştırmacı olduğu, Biol. Anıl KARAHAN, Uzm. Mol. Biol. Mehmet Emin ŞEKER, Dr. Öğr. Üyesi Murat ÇAĞAN, Prof. Dr. Özgür DEREN ile birlikte çalışacakları, Mol. Biol. Gönül YURDAKUL’un yüksek lisans tezi olan,</t>
  </si>
  <si>
    <t>“Uyarılmış Pluripotent Kök Hücrelerden ve Kordon Epitel Hücrelerinden Türetilen Timüs Epitel Benzeri Hücrelerin Moleküler ve Fonksiyonel Karşılaştırması”</t>
  </si>
  <si>
    <t>589.</t>
  </si>
  <si>
    <t>SBA 26/589</t>
  </si>
  <si>
    <t>“Hacettepe Üniversitesi Çocuk Hastanesinde 201 0-2026 Yıllarında 0-2 Yaş Çocuklarda Gelişen Venöz ve Arteriyel Trombozların Klinik Özellikleri ve Prognozun Değerlendirilmesi”</t>
  </si>
  <si>
    <t>590.</t>
  </si>
  <si>
    <t>SBA 26/590</t>
  </si>
  <si>
    <t>Prof. Dr. İlker ERTUĞRUL</t>
  </si>
  <si>
    <t>Üniversitemiz Tıp Fakültesi Çocuk Sağlığı ve Hastalıkları Anabilim Dalı öğretim üyelerinden Prof. Dr. İlker ERTUĞRUL’un sorumlu araştırmacı olduğu, Arş. Gör. Dr. Aycan ÇELEBİ ile birlikte çalışacakları,</t>
  </si>
  <si>
    <t>“Pediatrik Hastalarda Cerrahi Olarak İmplante Edilen Kardiyak Defibrilatör Sistemleri: Uzun Dönem KlinikSonuçları ve Komplikasyonlar”</t>
  </si>
  <si>
    <t>591.</t>
  </si>
  <si>
    <t>SBA 26/591</t>
  </si>
  <si>
    <t>Üniversitemiz Diş Hekimliği Fakültesi Ağız, Diş ve Çene Cerrahisi Anabilim Dalı öğretim üyelerinden Dr. Öğr. Üyesi Selen ADİLOĞLU’nun sorumlu araştırmacı olduğu, Doç. Dr. Gülin YILDIRIM, Dr. Öğr. Üyesi Özgün YILDIRIM ve Arş. Gör. Dt. Merve DEMİREL ile birlikte çalışacakları,</t>
  </si>
  <si>
    <t>“Diş Hekimliği Öğrencilerinde Sütur Modeli Üzerinde Verilen Sütur Eğitiminin Bilgi, Teknik Beceri ve Öz Güven Üzerine Etkisinin Çok Merkezli Prospektif Değerlendirilmesi”</t>
  </si>
  <si>
    <t>592.</t>
  </si>
  <si>
    <t>SBA 26/592</t>
  </si>
  <si>
    <t>Prof. Dr. Uzay KOÇ VURAL</t>
  </si>
  <si>
    <t>Üniversitemiz Diş Hekimliği Fakültesi Restoratif Diş Tedavisi Anabilim Dalı öğretim üyelerinden Prof. Dr. Uzay KOÇ VURAL'ın sorumlu araştırmacı olduğu, Dr. Öğr. Üyesi Tülin TAŞDEMİR ve Arş. Gör. Dt. Kardelen DEMİREL ile birlikte çalışacakları,</t>
  </si>
  <si>
    <t>“Süt Molar Dişlerin Restorasyonunda Alkasit Bazlı Materyaller Etkili Bir Alternatif mi? Retrospektif Bir Değerlendirme”</t>
  </si>
  <si>
    <t>593.</t>
  </si>
  <si>
    <t>SBA 26/593</t>
  </si>
  <si>
    <t>Üniversitemiz Tıp Fakültesi Kardiyoloji Anabilim Dalı öğretim üyelerinden Doç. Dr. Cem ÇÖTELİ'nin sorumlu araştırmacı olduğu, Prof. Dr. Kudret AYTEMİR, Prof. Dr. Tuncay HAZIROLAN, Prof. Dr. Hikmet YORGUN, Öğretim Üyesi Dr. Selin ARDALI DÜZGÜN ve Arş. Gör. Dr. Selahattin ÇÖP ile birlikte çalışacakları,</t>
  </si>
  <si>
    <t>“Pulmoner Ven İzolasyonu Yapılan ve Karina Lezyonu Oluşturulması Gereken Atrial Fibrilasyon Hastalarında Akut Ablasyon Çıktıları ile Bilgisayarlı Tomografide Karina Anatomisi Bulguları Arasındaki İlişkinin Değerlendirilmesi”</t>
  </si>
  <si>
    <t>594.</t>
  </si>
  <si>
    <t>SBA 26/594</t>
  </si>
  <si>
    <t>Üniversitemiz Tıp Fakültesi İç Hastalıkları Anabilim Dalı öğretim üyelerinden Prof. Dr. Uğur ÜNLÜTÜRK’ün sorumlu araştırmacı olduğu, Prof. Dr. Ömer Alper GÜRLEK, Dr. Öğr. Üyesi Denizcan GÜVEN ve Uzm. Dr. Seren AKSUN ŞAHİN ile birlikte çalışacakları,</t>
  </si>
  <si>
    <t>“İmmünoterapi Tedavisi Alan Hastaların Endokrinolojik Yan Etki İlişkili Bilgi Düzeylerinin Değerlendirilmesi”</t>
  </si>
  <si>
    <t>595.</t>
  </si>
  <si>
    <t>SBA 26/595</t>
  </si>
  <si>
    <t>Üniversitemiz Tıp Fakültesi Göğüs Hastalıkları Anabilim Dalı öğretim üyelerinden Prof. Dr. Gül KARAKAYA sorumlu araştırmacı olduğu, Prof. Dr. Ebru DAMADOĞLU, Dr. Öğr. Gör.  Özge ÖZTÜRK AKTAŞ, Arş. Gör. Dr. Başak ÇELİK KAVAKLILAR, Arş. Gör. Dr. Burcu ÇELİK EROĞLU ile birlikte çalışacakları,</t>
  </si>
  <si>
    <t>“Primer İmmün Yetmezlik Tanılı Kadın Hastalarda Gebelik Sürecinin Maternal Klinik Seyir ve İmmünolojik Parametreler Üzerine Etkisi”</t>
  </si>
  <si>
    <t>596.</t>
  </si>
  <si>
    <t>SBA 26/596</t>
  </si>
  <si>
    <t>Prof. Dr. Reyhan ATASÜ TOPÇUOĞLU</t>
  </si>
  <si>
    <t>Üniversitemiz İktisadi ve İdari Bilimler Fakültesi Sosyal Hizmet Anabilim Dalı öğretim üyelerinden Prof. Dr. Reyhan ATASÜ TOPCUOĞLU’nun sorumlu araştırmacı olduğu, Çağla HARPUTLU’nun doktora tezi olan,</t>
  </si>
  <si>
    <t>“Gebeliği Sonlandırma Deneyiminin Değerlendirilmesi: Almanya ve Türkiye Örneği”</t>
  </si>
  <si>
    <t>597.</t>
  </si>
  <si>
    <t>SBA 26/597</t>
  </si>
  <si>
    <t>Üniversitemiz Diş Hekimliği Fakültesi Ortodonti Anabilim Dalı öğretim üyelerinden Doç. Dr. Ezgi ATİK’in sorumlu araştırmacı olduğu, Dr. Ögr. Üyesi Cenk Ahmet AKCAN, Uzm. Dt. Kübra Hilal TÜRKOĞLU BOYNUYOĞUN ve Arş. Gör. Dt. Aybüke ÖZYALIN ÖZEROL ile birlikte çalışacakları,</t>
  </si>
  <si>
    <t>“Maksiller Darlığı Olan Hastalarda İki Mini Vidalı Diş ve Kemik Destekli ve Saf Kemik Destekli Ekspansiyon Apareylerinin Üç Boyutlu Karşılaştırılması ”</t>
  </si>
  <si>
    <t>598.</t>
  </si>
  <si>
    <t>SBA 26/598</t>
  </si>
  <si>
    <t>Üniversitemiz Tıp Fakültesi Tıp Eğitimi ve Bilişimi Anabilim Dalı öğretim üyelerinden Doç. Dr. Barış SEZER’in sorumlu araştırmacı olduğu, Arş. Gör. Bensu KARACAN'ın doktora tezi olan,</t>
  </si>
  <si>
    <t>“Eğitimde Yapay Zeka Kullanımına Yönelik Tıp Eğiticisi Eğitim Programının Geliştirilmesi"</t>
  </si>
  <si>
    <t>599.</t>
  </si>
  <si>
    <t>SBA 26/599</t>
  </si>
  <si>
    <t>Dr. Öğr. Üyesi Yavuz Kemal ARIBAŞ</t>
  </si>
  <si>
    <t>Üniversitemiz Tıp Fakültesi Göz Hastalıkları Anabilim Dalı öğretim üyelerinden Dr. Öğr. Üyesi Yavuz Kemal ARIBAŞ’ın sorumlu araştırmacı olduğu, Prof. Dr. Güliz Fatma YAVAŞ ve Arş. Gör. Dr. Mehmet Arkun SUN ile birlikte çalışacakları,</t>
  </si>
  <si>
    <t>“'Non-arteritik Anterior İskemik Optik Nöropati Hastalarında Hematolojik İnflamasyon Belirteçleri ve Trigliserid-Glukoz İndeksinin Değerlendirilmesi”</t>
  </si>
  <si>
    <t>600.</t>
  </si>
  <si>
    <t>SBA 26/600</t>
  </si>
  <si>
    <t>Dr. Öğr. Üyesi Aydın Onur GERÇEK</t>
  </si>
  <si>
    <t>Üniversitemiz Diş Hekimliği Fakültesi Ağız, Diş ve Çene Cerrahisi Anabilim Dalı öğretim üyelerinden Dr. Öğr. Üyesi Aydın Onur GERÇEK’in sorumlu araştırmacı olduğu, Arş. Gör. Dt. Osman OYBAK ile birlikte çalışacakları,</t>
  </si>
  <si>
    <t>“Kuzu Kafatası Modelinde Le Fort I Osteotomisi Sırasında Piezoelektrik Cerrahi Ve Konvansiyonel Frez Kullanımının Cerrah Değerlendirmesine Dayalı Karşılaştırılması”</t>
  </si>
  <si>
    <t>601.</t>
  </si>
  <si>
    <t>SBA 26/601</t>
  </si>
  <si>
    <t>Prof. Dr. Selis ÖNEL KAYRAN</t>
  </si>
  <si>
    <t>Biyomühendislik Anabilim Dalı</t>
  </si>
  <si>
    <t>Üniversitemiz Fen Bilimleri Enstitüsü Biyomühendislik Anabilim Dalında Prof. Dr. Selis ÖNEL KAYRAN’ın sorumlu araştırmacı olduğu, Ahmet Sinan KABAKCI’nın doktora tezi olan,</t>
  </si>
  <si>
    <t>“Robot Yardımlı Retrograd İntra Renal Cerrahi (RA-RIRS) için Dokunsal Geri Bildirim Sisteminin Geliştirilmesi ve Matematiksel Modellemesi”</t>
  </si>
  <si>
    <t>602.</t>
  </si>
  <si>
    <t>SBA 26/602</t>
  </si>
  <si>
    <t>Doç. Dr. Ülkühan ÖZTOPRAK</t>
  </si>
  <si>
    <t>Üniversitemiz Tıp Fakültesi Çocuk Sağlığı ve Hastalıkları Anabilim Dalı öğretim üyelerinden Doç. Dr. Ülkühan ÖZTOPRAK’ın sorumlu araştırmacısı olduğu, Doç. Dr. Ceren GÜNBEY, Doç. Dr. Rahşan GÖÇMEN, Prof. Dr. Ahmet İlkay IŞIKAY, Prof. Dr. Bilge VOLKAN SALANCI, Prof. Dr. Ayşe Figen SÖYLEMEZOĞLU ve Prof. Dr. Dilek YALNIZOĞLU ile birlikte çalışacakları,</t>
  </si>
  <si>
    <t>‘Pediatrik Düşük Dereceli Epilepsi ile İlişkili Tümörlerde Uzun Dönem Cerrahi Sonuçlar, Elektroklinik Özellikler ve Prognostik Faktörlerin Değerlendirilmesi’</t>
  </si>
  <si>
    <t>603.</t>
  </si>
  <si>
    <t>SBA 26/603</t>
  </si>
  <si>
    <t>Üniversitemiz Tıp Fakültesi Çocuk Sağlığı ve Hastalıkları Anabilim Dalı öğretim elemanlarından Arş. Gör. Dr. Eymen YILMAZ’ın sorumlu araştırmacı olduğu, Prof. Dr. Özlem TEKŞAM, Doç. Dr. Leman AKCAN YILDIZ, Dr. Öğr. Gör. Ahmet Ziya BİRBİLEN ile birlikte çalışacakları,</t>
  </si>
  <si>
    <t>“Posterior Reversible Ensefalopati Sendromu Tanısı Alan Vakaların Retrospektif Değerlendirilmesi”</t>
  </si>
  <si>
    <t>604.</t>
  </si>
  <si>
    <t>SBA 26/604</t>
  </si>
  <si>
    <t>Üniversitemiz Spor Bilimleri Fakültesi Hareket ve Antrenman Bilimleri Anabilim Dalı öğretim üyelerinden Prof. Dr. Ayşe KİN İŞLER'in sorumlu araştırmacı olduğu, Arş. Gör. Dr. Mehmet Gören KÖSE, Ece Su KOBAL ile birlikte çalışacakları ve Metehan SOY'un yüksek lisans tezi olan,</t>
  </si>
  <si>
    <t>“Futbolcularda Görsel Uyaranın Dar Alan Oyunlarındaki Akut Antrenman Yüküne Etkisi”</t>
  </si>
  <si>
    <t>605.</t>
  </si>
  <si>
    <t>SBA 26/605</t>
  </si>
  <si>
    <t>Üniversitemiz Spor Bilimleri Fakültesi Hareket ve Antrenman Bilimleri Anabilim Dalı öğretim üyelerinden Prof. Dr. Ayşe KİN İŞLER'in sorumlu araştırmacı olduğu, Arş. Gör. Dr. Mehmet Gören KÖSE,  Metehan SOY ile birlikte çalışacakları ve Ece Su KOBAL'ın yüksek lisans tezi olan,</t>
  </si>
  <si>
    <t>“Antrenmanlı Kadınlarda Farklı Hız Temelli Önkondisyonlanma Protokollerinin Sıçrama Performansına Etkisi”</t>
  </si>
  <si>
    <t>606.</t>
  </si>
  <si>
    <t>SBA 26/606</t>
  </si>
  <si>
    <t>Üniversitemiz Tıp Fakültesi Göğüs Cerrahisi Anabilim Dalı öğretim üyelerinden Dr. Öğr. Üyesi Serkan UYSAL'ın sorumlu araştırmacı olduğu, Arş. Gör. Dr. Ayşe ALİ HASAN ile birlikte çalışacakları,</t>
  </si>
  <si>
    <t>"Erişkin Hastalarda Paraklavikular Yaklaşımla Torasik Çıkış Sendromu Cerrahisinin Nörojenik Ve Vasküler Alt Tiplerde Tek Merkezli Retrospektif Değerlendirilmesi"</t>
  </si>
  <si>
    <t>607.</t>
  </si>
  <si>
    <t>SBA 26/607</t>
  </si>
  <si>
    <t>“Kompleks Hemotoraks ve İntratorasik Hematom Olgularında Video Yardımcı Torakoskopik Cerrahi Temelli İlk Yaklaşımın Klinik Sonuçları: Tek Merkezli Retrospektik Bir Oldu Serisi”</t>
  </si>
  <si>
    <t>608.</t>
  </si>
  <si>
    <t>SBA 26/608</t>
  </si>
  <si>
    <t>Üniversitemiz Çocuk Sağlığı Enstitüsü Pediatrik Temel Bilimler Anabilim Dalı öğretim üyelerinden Prof. Dr. Rıza Köksal ÖZGÜL’ün sorumlu araştırmacı olduğu, Öğr. Gör. Dr. Burcu ÖZÇİMEN BATMAN ile birlikte çalışacakları ve Beyza Nur İLELİ’nin yüksek lisans tezi olan,</t>
  </si>
  <si>
    <t>“VPS16 Mutasyonu Sonucu Oluşan Yeni Bir Lizozomal Depo Hastalığı İçin Model Oluşturulması ve Terapötik Hedef Belirlenmesi”</t>
  </si>
  <si>
    <t>609.</t>
  </si>
  <si>
    <t>SBA 26/609</t>
  </si>
  <si>
    <t>Dr. Öğr. Üyesi Eylem Şerife KALKAN</t>
  </si>
  <si>
    <t>Üniversitemiz Tıp Fakültesi Çocuk Sağlığı ve Hastalıkları Anabilim Dalı öğretim üyelerinden Dr. Öğr. Üyesi Eylem Şerife KALKAN’ın sorumlu araştırmacı olduğu, Prof. Dr. İnci Nur SALTIK TEMİZEL, Prof. Dr. Sinem AKGÜL ve Arş. Gör. Dr. Murat YAĞCI ile birlikte çalışacakları,</t>
  </si>
  <si>
    <t>“Çölyak Hastalığı Tanılı Ergenlerde Sağlık ve Beslenme Okuryazarlığının Tedavi Uyumu ve Yaşam Kalitesine Etkisinin Değerlendirilmesi”</t>
  </si>
  <si>
    <t>610.</t>
  </si>
  <si>
    <t>SBA 26/610</t>
  </si>
  <si>
    <t>Üniversitemiz Tıp Fakültesi İç Hastalıkları Anabilim Dalı öğretim üyelerinden Prof. Dr. Ömer KARADAĞ’ın sorumlu araştırmacı olduğu, Uzm. Dr. Büşra FIRLATAN YAZGAN ile birlikte çalışacakları,</t>
  </si>
  <si>
    <t>“Poliarteritis Nodosa Tanısı ile İzlenen Hastaların Klinik Özellikleri ve Hastalık Seyrinin Retrospektif Analizi”</t>
  </si>
  <si>
    <t>611.</t>
  </si>
  <si>
    <t>SBA 26/611</t>
  </si>
  <si>
    <t>Üniversitemiz Tıp Fakültesi İç Hastalıkları Anabilim Dalı öğretim üyelerinden Prof. Dr. Umut KALYONCU'nun sorumlu araştırmacı olduğu, Uzm. Dr. Büşra FIRLATAN YAZGAN ile birlikte çalışacakları,</t>
  </si>
  <si>
    <t>"Still Hastalığı Tanısı ile İzlenen Hastalarda Klinik Özellikler, Hastalık Seyri ve Relaps Risk Faktörlerinin Retrospektif Olarak Değerlendirilmesi"</t>
  </si>
  <si>
    <t>612.</t>
  </si>
  <si>
    <t>SBA 26/612</t>
  </si>
  <si>
    <t>Dr. Öğr. Üyesi Gülden OLGUN</t>
  </si>
  <si>
    <t>Bilgisayar Bilimleri Anabilim Dalı</t>
  </si>
  <si>
    <t>Üniversitemiz Bilgisayar ve Bilişim Bilimleri Fakültesi Bilgisayar Bilimleri Anabilim Dalı öğretim üyelerinden Dr. Öğr. Üyesi Gülden OLGUN’un sorumlu araştırmacı olduğu, Arda AĞAÇDELEN, Yiğit Kaya BAĞCI, Enes İsmet BAL, Emre TAHTALI, Begüm Sude USLU ile birlikte çalışacakları,</t>
  </si>
  <si>
    <t>“Hastaneler için Sesli Tanı ve Randevu Ajan Ağı”</t>
  </si>
  <si>
    <t>613.</t>
  </si>
  <si>
    <t>SBA 26/613</t>
  </si>
  <si>
    <t>Üniversitemiz Tıp Fakültesi Çocuk Sağlığı ve Hastalıkları Anabilim Dalı öğretim üyelerinden Prof. Dr. Deniz ÇAĞDAŞ AYVAZ’ın sorumlu araştırmacı olduğu, Doç. Dr. Saliha ESENBOĞA, Doç. Dr. Elif SOYAK AYTEKİN, Arş. Gör. Dr. Zehra GENÇ ÖZBAY ile birlikte çalışacakları,</t>
  </si>
  <si>
    <t>“Ağır Kombine İmmün Yetmezlik Tanısı ile izlenen Hastaların Değerlendirilmesi”</t>
  </si>
  <si>
    <t>614.</t>
  </si>
  <si>
    <t>SBA 26/614</t>
  </si>
  <si>
    <t>Arş. Gör. Dr. Kadir İNTAŞ</t>
  </si>
  <si>
    <t>Üniversitemiz Tıp Fakültesi İç Hastalıkları Anabilim Dalı öğretim elemanlarından Arş. Gör. Dr. Kadir İNTAŞ’ın sorumlu araştırmacı olduğu,</t>
  </si>
  <si>
    <t>“Kömür İşçisi Pnömokonyozu Olan Hastalarda Sistemik İnflamasyon İndekslerinin Akciğer Bulgularının Şiddetini ve Solunum Fonksiyon Parametrelerini Öngörmedeki Rolü”</t>
  </si>
  <si>
    <t>615.</t>
  </si>
  <si>
    <t>SBA 26/615</t>
  </si>
  <si>
    <t>Prof. Dr. Şükrü Alpan CİNEMRE</t>
  </si>
  <si>
    <t>Üniversitemiz Spor Bilimleri Fakültesi Hareket ve Antrenman Bilimleri Anabilim Dalı öğretim üyelerinden Prof. Dr. Şükrü Alpan CİNEMRE’nin sorumlu araştırmacı olduğu, Arş. Gör. Caner MAVİLİ ile birlikte çalışacakları ve Emine AÇIKGÖZ’ün yüksek lisans tezi olan,</t>
  </si>
  <si>
    <t>“Kadın Sporcularda Tekrarlı Aktif Sıçrama Testi ile Aktif ve Düşüş Sıçraması Testleri Arasındaki Farklılıkların İncelenmesi”</t>
  </si>
  <si>
    <t>616.</t>
  </si>
  <si>
    <t>SBA 26/616</t>
  </si>
  <si>
    <t>Üniversitemiz Eczacılık Fakültesi Klinik Eczacılık Anabilim Dalı öğretim üyelerinden Prof. Dr. Aygin EKİNCİOĞLU’nun sorumlu araştırmacı olduğu, Doç. Dr. Nadir YALÇIN, Doç. Dr. Selman KESİCİ ile birlikte çalışacakları ve Arş. Gör. Mustafa AKTAN'ın uzmanlık tezi olan,</t>
  </si>
  <si>
    <t>“Pediatrik Yoğun Bakım Hastalarında Meropenem Rutin Terapötik İlaç İzleminin Model Bilgili Hassas Dozlama ile Değerlendirilmesi”</t>
  </si>
  <si>
    <t>617.</t>
  </si>
  <si>
    <t>SBA 26/617</t>
  </si>
  <si>
    <t>Üniversitemiz Eczacılık Fakültesi Klinik Eczacılık Anabilim Dalı öğretim üyelerinden Prof. Dr. Salih Kutay DEMİRKAN’ın sorumlu araştırmacı olduğu, Doç. Dr. Nadir YALÇIN, Doç. Dr. Mehmet ÇELEĞEN ile birlikte çalışacakları ve Arş.Gör. Berivan YAKUT ÖNER’in uzmanlık tezi olan,</t>
  </si>
  <si>
    <t>“Çocuk Yoğun Bakım Ünitesinde İntravenöz İlaç Dilüsyonlarının Sıvı Yüklenmesine Katkısının Değerlendirilmesi”</t>
  </si>
  <si>
    <t>618.</t>
  </si>
  <si>
    <t>SBA 26/618</t>
  </si>
  <si>
    <t>Üniversitemiz Tıp Fakültesi Çocuk Sağlığı ve Hastalıkları Anabilim Dalı öğretim üyelerinden Doç. Dr. Melike OCAK’ın sorumlu araştırmacı olduğu, Prof. Dr. Bülent Enis ŞEKEREL, Arş. Gör. Dr. Büşra KOÇALİ, Arş. Gör. Dr. Rabia UYSAL ile birlikte çalışacakları,</t>
  </si>
  <si>
    <t>“Çocukluk Çağında Ay Çekirdeği Alerjisi: Klinik Bulgular, Tanısal Testler ve Eşlik Eden Alerjilerin Değerlendirilmesi”</t>
  </si>
  <si>
    <t>619.</t>
  </si>
  <si>
    <t>SBA 26/619</t>
  </si>
  <si>
    <t>Üniversitemiz Eczacılık Fakültesi Klinik Eczacılık Anabilim Dalı öğretim üyelerinden Dr. Öğr. Üyesi Burcu KELLECİ ÇAKIR’nın sorumlu araştırmacı olduğu, Prof. Dr. Meltem HALİL, Doç. Dr. Cafer BALCI ile birlikte çalışacakları ve İrem BAŞAR’ın yüksek lisans tezi olan,</t>
  </si>
  <si>
    <t>“Geriatri Servisinde Yatan Hastalarda Düşme Riskini Artıran İlaçların ve Eşlik Eden Risk Faktörlerinin Değerlendirilmesi”</t>
  </si>
  <si>
    <t>620.</t>
  </si>
  <si>
    <t>SBA 26/620</t>
  </si>
  <si>
    <t>Üniversitemiz Tıp Fakültesi Çocuk Sağlığı ve Hastalıkları Anabilim Dalı öğretim üyelerinden Prof. Dr. Deniz ÇAĞDAŞ AYVAZ’ın sorumlu araştırmacı olduğu, Doç. Dr. Saliha ESENBOĞA, Doç. Dr. Elif SOYAK AYTEKİN, Arş. Gör. Dr. Büşra KOÇALİ ile birlikte çalışacakları,</t>
  </si>
  <si>
    <t>“İnterferon-alfa ve İnterferon-gama Tedavisi Almış Olan Primer İmmün Yetmezlik Hastalarının Değerlendirilmesi”</t>
  </si>
  <si>
    <t>621.</t>
  </si>
  <si>
    <t>SBA 26/621</t>
  </si>
  <si>
    <t>Üniversitemiz Tıp Fakültesi Kulak Burun Boğaz Hastalıkları Anabilim Dalı öğretim üyelerinden Dr. Öğr. Üyesi Ergin EROĞLU’nun sorumlu araştırmacı olduğu, Prof. Dr. Levent SENNAROĞLU, Doç. Dr. Betül ÇİÇEK ÇINAR ve Arş. Gör. Dr. Erdem Ersan AKYÜREK ile birlikte çalışacakları,</t>
  </si>
  <si>
    <t>“IP-II ve Geniş Vestibüler Akuadukt Olgularında OTOPLAN Programı ile 3D İç Kulak Modellemesi ve Cerrahi Planlamaya Katkısı”</t>
  </si>
  <si>
    <t>622.</t>
  </si>
  <si>
    <t>SBA 26/622</t>
  </si>
  <si>
    <t>Üniversitemiz Tıp Fakültesi Anesteziyoloji Anabilim Dalı Yoğun Bakım Bilim Dalı öğretim üyelerinden Prof. Dr. Seda Banu AKINCI’nın sorumlu araştırmacı olduğu, Dr. Öğr. Üyesi Adnan Menderes VURAL, Arş. Gör. Dr. Emine Ayça NALBANTOĞLU, Arş. Gör. Dr. Yakup GÜDEK, Arş. Gör. Dr. Tülay Dilara DEMİRAY ile birlikte çalışacakları,</t>
  </si>
  <si>
    <t>“Yoğun Bakım Hastalarında Red Cell Distribution Width(RDW), Nötrofil Lenfosit Oranı (NLR) ve Platelet Lenfosit Oranı (PLR) Kombine Skorunun 28- Günlük Mortaliteyi Öngörmedeki Değeri: Tek Merkezli Retrospektif Kohort Çalışması”</t>
  </si>
  <si>
    <t>623.</t>
  </si>
  <si>
    <t>SBA 26/623</t>
  </si>
  <si>
    <t>Doç. Dr. Ferdi ÇAY</t>
  </si>
  <si>
    <t>Üniversitemiz Tıp Fakültesi Radyoloji Anabilim Dalı öğretim üyelerinden Doç. Dr. Ferdi ÇAY’nın sorumlu araştırmacı olduğu, Doç. Dr. Fatma Gonca ELDEM, Prof. Dr. Umut KALYONCU, Prof. Dr. Ömür ÇAĞLAR, Prof. Dr. Bülent ATİLLA, Prof. Dr. Feza KORKUSUZ ile birlikte çalışacakları,</t>
  </si>
  <si>
    <t>“Konservatif Tedaviye Dirençli Periartiküler Kas-İskelet Hastalıklarında Transarteriyel Periartiküler Embolizasyon (TAPE) tedavisinin Sonuçları ve Bu Sonuçları Etkileyen Faktörlerin Değerlendirilmesi”</t>
  </si>
  <si>
    <t>624.</t>
  </si>
  <si>
    <t>SBA 26/624</t>
  </si>
  <si>
    <t>Doç. Dr. Ahmet Erim PAMUK</t>
  </si>
  <si>
    <t>Üniversitemiz Tıp Fakültesi Kulak Burun Boğaz Hastalıkları Anabilim Dalı öğretim üyelerinden Doç. Dr. Ahmet Erim PAMUK’un sorumlu araştırmacı olduğu, Prof. Dr. Oğuz KUŞCU ve Arş. Gör. Dr. Erdem Ersan AKYÜREK ile birlikte çalışacakları,</t>
  </si>
  <si>
    <t>“Oral Dil Skuamöz Hücreli Karsinomunda Tekil Büyük Dil Modeli Yanıtı ile Çok Ajanlı Sanal Tümör Konseyi Simülasyonunun Klinik Karar Uyumu Açısından Karşılaştırılması”</t>
  </si>
  <si>
    <t>625.</t>
  </si>
  <si>
    <t>SBA 26/625</t>
  </si>
  <si>
    <t>Üniversitemiz Tıp Fakültesi Çocuk Cerrahisi Anabilim Dalı öğretim üyelerinden Prof. Dr. Saniye EKİNCİ’nin sorumlu araştırmacı olduğu, Prof. Dr. Diclehan ORHAN, Arş. Gör. Dr. Elif YÜKSEL ve Arş. Gör. Dr. Selin ÇOLAK ile birlikte çalışacakları,</t>
  </si>
  <si>
    <t>“Nöroblastom Cerrahisinde Rezektabiliteyi Öngörmede Tümör Mikroçevresinin Rolü: Çoklu İmmünohistokimyasal Belirteç Analizi”</t>
  </si>
  <si>
    <t>626.</t>
  </si>
  <si>
    <t>SBA 26/626</t>
  </si>
  <si>
    <t>Üniversitemiz Tıp Fakültesi İç Hastalıkları Anabilim Dalı  öğretim üyelerinden Prof. Dr. Meltem Gülhan HALİL’in sorumlu araştırmacı olduğu, Prof. Dr. Salih Kutay DEMİRKAN, Dr. Öğr. Üyesi Burcu KELLECİ ÇAKIR, Arş. Gör. Dr.Mihriban GÜNGÖR ile birlikte çalışacakları,</t>
  </si>
  <si>
    <t>“Ayaktan Başvurularda Oral ve Enteral Nütrisyon Ürünlerinin Reçeteleme Pratiklerini Değerlendirilmesi: Retrospektif Gözlemsel Çalışma”</t>
  </si>
  <si>
    <t>627.</t>
  </si>
  <si>
    <t>SBA 26/627</t>
  </si>
  <si>
    <t>Doç. Dr. Yasemin GÜZEL</t>
  </si>
  <si>
    <t>Üniversitemiz Spor Bilimleri Fakültesi Egzersizde Beslenme ve Metabolizma Anabilim Dalı öğretim üyelerinden Doç. Dr. Yasemin GÜZEL'in sorumlu araştırmacı olduğu, Prof. Dr. Efsun KARABUDAK ile birlikte çalışacakları,</t>
  </si>
  <si>
    <t>“Fiziksel Aktivite Düzeyi ile Besin Ögesi İçeriği Zengin Besin İndeksi İlişkisinin Değerlendirilmesi”</t>
  </si>
  <si>
    <t>628.</t>
  </si>
  <si>
    <t>SBA 26/628</t>
  </si>
  <si>
    <t>Dr. Öğr. Üyesi Sinan BALCI</t>
  </si>
  <si>
    <t>Üniversitemiz Tıp Fakültesi Radyoloji Anabilim Dalı öğretim üyelerinden Dr. Öğr. Üyesi Sinan BALCI’nın sorumlu araştırmacı olduğu, Arş. Gör. Dr. İsmail Cihat CANKURTARAN ile birlikte çalışacakları,</t>
  </si>
  <si>
    <t>“Pediatrik Posterior Sirkülasyon Anevrizmalarının Endovasküler Tedavisi”</t>
  </si>
  <si>
    <t>629.</t>
  </si>
  <si>
    <t>SBA 26/629</t>
  </si>
  <si>
    <t>Arş. Gör. Dr. Oğuzhan SERİN</t>
  </si>
  <si>
    <t>Üniversitemiz Tıp Fakültesi Çocuk Sağlığı ve Hastalıkları Anabilim Dalı öğretim elemanlarından Arş. Gör. Dr. Oğuzhan SERİN’in sorumlu araştırmacı olduğu, Prof. Dr. Özlem TEKŞAM, Doç. Dr. Leman AKCAN YILMAZ, Dr. Öğr. Gör. Ahmet Ziya BİRBİLEN, Arş. Gör. Dr. Zülfüye Reyyan DEMİRTAŞ ile birlikte çalışacakları,</t>
  </si>
  <si>
    <t>“Pediatrik Acil Servis Triyaj Süreçleri ve Yatış Sonuçlarının Retrospektif Analizi: Klinik Akış ve Triyaj Uyumunun Değerlendirilmesi”</t>
  </si>
  <si>
    <t>630.</t>
  </si>
  <si>
    <t>SBA 26/630</t>
  </si>
  <si>
    <t>“Pnömokonyoz Hastalarında Osaka Prognostik Skoru ile Hastalık Şiddeti ve Klinik Sonlanımlar Arasındaki İlişkinin Retrospektif Olarak Değerlendirilmesi”</t>
  </si>
  <si>
    <t>631.</t>
  </si>
  <si>
    <t>SBA 26/631</t>
  </si>
  <si>
    <t>Üniversitemiz Tıp Fakültesi Ergen Sağlığı Anabilim Dalı öğretim üyelerinden Prof. Dr. Sinem AKGÜL’ün sorumlu araştırmacı olduğu, Prof. Dr. Ali DÜZOVA, Prof. Dr. Bora GÜLHAN, Doç. Dr. Melis PEHLİVANTÜRK KIZILKAN, Dr. Öğr. Üyesi Demet AYGÜN ARI, Dr. Öğr. Üyesi Eylem Şerife KALKAN, Dr. Öğr. Üyesi Necip DEMİRCİ, Uzm. Dr. Özlem KESER, Uzm. Dr. Nur MUTLU ile birlikte çalışacakları,</t>
  </si>
  <si>
    <t>“Primer Monosemptomatik Enürezis Nokturna Tanılı Ergenlerde Uyku Özellikleri ve Kronotiplerin Değerlendirilmesi ve Desmopressin Tedavisi Sonrası Gece Yatak Islatma Sıklığındaki Değişimle İlişkisi”</t>
  </si>
  <si>
    <t>632.</t>
  </si>
  <si>
    <t>SBA 26/632</t>
  </si>
  <si>
    <t>Üniversitemiz Diş Hekimliği Fakültesi Ağız, Diş ve Çene Cerrahisi Anabilim Dalı öğretim üyelerinden Prof. Dr. Hakan Hıfzı TÜZ’ün sorumlu araştırmacı olduğu, Doç. Dr. Onur KOÇ, Dr. Öğr. Üyesi Aydın Onur GERÇEK, Arş. Gör. Dt. Tolga BOZKIR ile birlikte çalışacakları,</t>
  </si>
  <si>
    <t>“Ortognatik Cerrahide Hasta Spesifik İmplantlar ve Konvansiyonel Miniplakların Klinik Sonuçlar ve Komplikasyonlar Açısından Karşılaştırılması”</t>
  </si>
  <si>
    <t>633.</t>
  </si>
  <si>
    <t>SBA 26/633</t>
  </si>
  <si>
    <t>Dr. Öğr. Üyesi Sevinç ASKERBEYLİ ÖRS</t>
  </si>
  <si>
    <t>Üniversitemiz Diş Hekimliği Fakültesi Endodonti Anabilim Dalı öğretim üyelerinden Dr. Öğr. Üyesi Sevinc ASKERBEYLİ ÖRS’ün sorumlu araştırmacı olduğu, Prof. Dr. Dolunay GÜLMEZ KIVANÇ, Prof. Dr. Gülşen HAZIROLAN ile birlikte çalışacakları ve Arş. Gör. Dt. Gülmelis ERDEVE’nin uzmanlık tezi olan,</t>
  </si>
  <si>
    <t>“Dentin Disklerinde Oluşturulan Enterococcus Faecalis Biyofilminde Enzimatik Ön Uygulamanın Antimikrobiyal Peptid Etkinliğine Etkisi”</t>
  </si>
  <si>
    <t>634.</t>
  </si>
  <si>
    <t>SBA 26/634</t>
  </si>
  <si>
    <t>Üniversitemiz Tıp Fakültesi İç Hastalıkları Anabilim Dalı öğretim üyelerinden Prof. Dr. Taylan KAV’ın sorumlu araştırmacı olduğu, Dr. Öğr. Üyesi. Bengi Öztürk ve Arş. Gör. Dr. Beyza ATAY ile birlikte çalışacakları,</t>
  </si>
  <si>
    <t>“Kapsül Endoskopi Hastalarında Uzamış Mide Geçiş Zamanı: İlişkili Risk Faktörleri ve Klinik Sonuçlara Yönelik Retrospektif Veri Analizi”</t>
  </si>
  <si>
    <t>635.</t>
  </si>
  <si>
    <t>SBA 26/635</t>
  </si>
  <si>
    <t>Üniversitemiz Tıp Fakültesi İç Hastalıkları Anabilim Dalı öğretim üyelerinden Prof. Dr. Hatice Yasemin BALABAN’ın sorumlu araştırmacı olduğu, Prof. Dr. Nüket PAKSOY ERBAYDAR, Arş. Gör.  Dr. Burcu GÜRBÜZ, Arş. Gör.  Dr. Abdurrahman ÖZKAN, Arş. Gör. Dr. Muhammet Furkan ÇAKMAK, Arş. Gör. Dr. Deniz ŞİMŞEK ve Arş. Gör. Dr. Akif ORHAN ile birlikte çalışacakları,</t>
  </si>
  <si>
    <t>“Ulusal Gastroenteroloji Kongrelerinde Cinsiyet Temsili ve Akademik Çeşitliliğin Değerlendirilmesi: Retrospektif Bibliyometrik Analiz”</t>
  </si>
  <si>
    <t>636.</t>
  </si>
  <si>
    <t>SBA 26/636</t>
  </si>
  <si>
    <t>Üniversitemiz Tıp Fakültesi İç Hastalıkları Anabilim Dalı  öğretim üyelerinden Prof. Dr. Taylan KAV 'ın sorumlu araştırmacı olduğu, Dr. Öğr. Üyesi Bengi ÖZTÜRK, Dr. Öğr. Üyesi Ece ÖZOĞUL, Arş. Gör. Dr. İbrahim Nahit ŞENDUR ile birlikte çalışacakları,</t>
  </si>
  <si>
    <t>“Gastrointestinal Sistem Ekstranodal Marjinal Zon Lenfomalarında Demografik, Klinikopatolojik, Radyolojik ve Prognostik Özelliklerin Değerlendirilmesi”</t>
  </si>
  <si>
    <t>637.</t>
  </si>
  <si>
    <t>SBA 26/637</t>
  </si>
  <si>
    <t>Dr. Öğr. Üyesi Yasin SARIKAYA</t>
  </si>
  <si>
    <t>Üniversitemiz Tıp Fakültesi Radyoloji Anabilim Dalı öğretim üyelerinden Dr. Öğr. Üyesi Yasin SARIKAYA’nın sorumlu araştırmacı olduğu, Arş. Gör. Dr. Hasbi BAŞARAN, Arş. Gör. Dr. Deniz GÜLKAN ve Prof. Dr. Fani BOZKURT ile birlikte çalışacakları,</t>
  </si>
  <si>
    <t>“İnsidental Meme FDG Tutulumlarında Metabolik Örtüşme: SUVmaks Ne Kadar Yol Gösterici?”</t>
  </si>
  <si>
    <t>638.</t>
  </si>
  <si>
    <t>SBA 26/638</t>
  </si>
  <si>
    <t>Doç. Dr. Halide Özge BAŞARAN</t>
  </si>
  <si>
    <t>Üniversitemiz Tıp Fakültesi Çocuk Sağlığı ve Hastalıkları Anabilim Dalı öğretim üyelerinden Doç. Dr. Halide Özge BAŞARAN’ın sorumlu araştırmacı olduğu, Prof. Dr. Adalet Elçin YILDIZ, Arş. Gör. Dr. Mehmet Orhan ERKAN, Arş. Gör. Dr. Gençay KARANLIK ve Arş. Gör. Dr. Mehmet BEŞREK ile birlikte çalışacakları,</t>
  </si>
  <si>
    <t>“Pediatrik Kronik Non-Bakteriyel Osteomiyelit Hastalarında Hastalık Aktivite Ölçütlerinin Değerlendirilmesi”</t>
  </si>
  <si>
    <t>639.</t>
  </si>
  <si>
    <t>SBA 26/639</t>
  </si>
  <si>
    <t>Prof. Dr. Serap AYDIN</t>
  </si>
  <si>
    <t>Üniversitemiz Tıp Fakültesi Biyofizik Anabilim Dalı öğretim üyelerinden Prof. Dr. Serap AYDIN'ın sorumlu araştırmacı olduğu, Prof Dr Jan BUITELAAR ile birlikte çalışacakları,</t>
  </si>
  <si>
    <t>"Otizm Spektrum Bozukluğunda Beyin Ağı Dinamiklerinin Gelişimsel Seyri ve Klinik Önemi: Çok Ölçekli Bir EEG Bağlantısallık Çalışması"</t>
  </si>
  <si>
    <t>640.</t>
  </si>
  <si>
    <t>SBA 26/640</t>
  </si>
  <si>
    <t>Üniversitemiz Tıp Fakültesi Çocuk Sağlığı ve Hastalıkları Anabilim Dalı öğretim üyelerinden Prof. Dr. Deniz ÇAĞDAŞ AYVAZ’ın sorumlu araştırmacı olduğu, Prof. Dr. Hülya DEMİR, Doç. Dr. Saliha ESENBOĞA, Doç. Dr. Elif SOYAK AYTEKİN, Dr. Öğr. Üyesi Duygu DEMİRTAŞ GÜNER, Arş. Gör. Dr. Zehra GENÇ ÖZBAY ile birlikte çalışacakları,</t>
  </si>
  <si>
    <t>“DOCK8 Eksikliği ve IL-21/IL-21 Reseptör Defekti Olan Hastalarda Hematopoietik Kök Hücre Nakli Sonrası Sklerozan Kolanjitin Klinik ve Laboratuvar Seyrinin Değerlendirilmesi”</t>
  </si>
  <si>
    <t>641.</t>
  </si>
  <si>
    <t>SBA 26/641</t>
  </si>
  <si>
    <t>Üniversitemiz Tıp Fakültesi Çocuk Sağlığı ve Hastalıkları Anabilim Dalı öğretim üyelerinden Prof. Dr. Deniz ÇAĞDAŞ AYVAZ’ın sorumlu araştırmacı olduğu, Uzm. Bio. Anıl IŞIK, Uzm. Bio. Fatma Çiğdem SELÇUK, Fidan JAFARLI, Turkan DAMARLI ile birlikte çalışacakları,</t>
  </si>
  <si>
    <t>“Gingerol’un T hücre Aktivasyonuna ve Proliferasyonuna Etkisi”</t>
  </si>
  <si>
    <t>642.</t>
  </si>
  <si>
    <t>SBA 26/642</t>
  </si>
  <si>
    <t>Üniversitemiz Tıp Fakültesi İç Hastalıkları Anabilim Dalı öğretim üyelerinden Prof. Dr. Taylan KAV’ın sorumlu araştırmacı olduğu, Dr. Öğr. Üyesi Bengi Öztürk, Dr. Öğr. Üyesi Berrin BABAOĞLU, Arş. Gör. Dr. Burcu GÜRBÜZ ile birlikte çalışacakları,</t>
  </si>
  <si>
    <t>“Mide Kardiya Tümörleri ile Helicobacter pylori İlişkisinin Retrospektif Histopatolojik Olarak Değerlendirilmesi”</t>
  </si>
  <si>
    <t>643.</t>
  </si>
  <si>
    <t>SBA 26/643</t>
  </si>
  <si>
    <t>Üniversitemiz Tıp Fakültesi Fiziksel Tıp ve Rehabilitasyon Anabilim Dalı öğretim üyelerinden Prof. Dr. Alp ÇETİN’in sorumlu araştırmacı olduğu, Uzm. Dr. Hasan OCAK, Arş. Gör. Dr. Hilmi Berkan ABACIOĞLU, Arş. Gör. Dr. Berkay YALÇINKAYA, Uzm. Dr. Tuğçe Meryem BUCAĞA, Arş. Gör. Dr. Ahmet Furkan ÇOLAK ile birlikte çalışacakları,</t>
  </si>
  <si>
    <t>“Fibromiyalji Tanılı Hastalarda İlaç İnançları ve Özgül Fobi Sıklığının Analizi”</t>
  </si>
  <si>
    <t>644.</t>
  </si>
  <si>
    <t>SBA 26/644</t>
  </si>
  <si>
    <t>Üniversitemiz Tıp Fakültesi Çocuk Sağlığı ve Hastalıkları Anabilim Dalı öğretim üyelerinden Prof. Dr. Özlem TEKŞAM’ın sorumlu araştırmacı olduğu, Arş. Gör. Dr. Hüseyin Galen İNCEL ile birlikte çalışacakları,</t>
  </si>
  <si>
    <t>“Çocuk Acil Polikliniğine Astım Atağı ile Başvuran Hastalarda Pnömoni Sıklığının Değerlendirilmesi”</t>
  </si>
  <si>
    <t>645.</t>
  </si>
  <si>
    <t>SBA 26/645</t>
  </si>
  <si>
    <t>Üniversitemiz Tıp Fakültesi Çocuk Sağlığı ve Hastalıkları Anabilim Dalı öğretim üyelerinden Prof. Dr. Özlem TEKŞAM’ın sorumlu araştırmacı olduğu, Arş. Gör. Dr. Taha İkram ÖZSÜMBÜL’ün uzmanlık tezi olan,</t>
  </si>
  <si>
    <t>“Çocuk Acil Polikliniğine Başvuran Ekstremite Travma Hastalarının Tanı, Tedavi, İzlem ve Taburculuk Süreçlerinin Değerlendirilmesi ve Geliştirilmesi”</t>
  </si>
  <si>
    <t>646.</t>
  </si>
  <si>
    <t>SBA 26/646</t>
  </si>
  <si>
    <t>Prof. Dr. Göknur HALİLOĞLU</t>
  </si>
  <si>
    <t>Üniversitemiz Tıp Fakültesi Çocuk Sağlığı ve Hastalıkları Anabilim Dalı öğretim üyelerinden Prof. Dr. Göknur HALİLOĞLU’nun sorumlu araştırmacı olduğu, Prof. Dr. Gülen Eda UTİNE, Prof. Dr. Pelin Özlem ŞİMŞEK KİPER, Prof. Dr. Ali DURSUN, Prof. Dr. Diclehan ORHAN, Prof. Dr. Deniz ÇAĞDAŞ AYVAZ, Prof. Dr. İlker ERTUĞRUL, Doç. Dr. Yılmaz YILDIZ, Doç. Dr. Selman KESİCİ, Dr. Öğretim Üyesi Gizem ÜREL DEMİR, Doç. Dr. Kısmet ÇIKI, Arş. Gör. Dr. Ayşe ŞENOL ERSAK, Arş. Gör. Dr. Damla YILDIZ, Arş. Gör. Dr. Nagihan ŞENER ile birlikte çalışacakları,</t>
  </si>
  <si>
    <t>“RBCK1 İlişkili Hastalık (Poliglukozan Cisim Miyopatisi Tip 1): Doğal Seyir Çalışması”</t>
  </si>
  <si>
    <t>647.</t>
  </si>
  <si>
    <t>SBA 26/647</t>
  </si>
  <si>
    <t>Tıp Tarihi ve Etik Anabilim Dalı</t>
  </si>
  <si>
    <t>Üniversitemiz Tıp Fakültesi Tıp Tarihi ve Etik Anabilim Dalı öğretim üyelerinden Dr. Öğr. Üyesi Müge DEMİR'in sorumlu araştırmacı olduğu, Arş. Gör. Dr. Canan ERSOY'un doktora tezi olan,</t>
  </si>
  <si>
    <t>“İç Hastalıkları ve Yan Dallarında Kronik Hastalıkla İlişkili Acıyı Görmek: Deneyimler ve Tıbbın Amaçları Üzerine Nitel Bir Araştırma”</t>
  </si>
  <si>
    <t>648.</t>
  </si>
  <si>
    <t>SBA 26/648</t>
  </si>
  <si>
    <t>Üniversitemiz Tıp Fakültesi İç Hastalıkları Anabilim Dalı öğretim üyelerinden Doç. Dr. Oğuz Abdullah UYAROĞLU’nın sorumlu araştırmacı olduğu, Araş.Gör. Dr. Baran ACAY ile birlikte çalışacakları,</t>
  </si>
  <si>
    <t>“İç Hastalıkları Servislerinde Yatış Paneli ve Rutin Tekrar Tetkiklerin Uygunluğu, Tanısal Getirisi ve Maliyeti: Retrospektif Bir Çalışma”</t>
  </si>
  <si>
    <t>649.</t>
  </si>
  <si>
    <t>SBA 26/649</t>
  </si>
  <si>
    <t>Üniversitemiz Tıp Fakültesi İç Hastalıkları Anabilim Dalı öğretim üyelerinden Doç. Dr. Hacı Hasan YETER’in sorumlu araştırmacı olduğu, Arş. Gör. Dr. Görkem ÇELEBİ ile birlikte çalışacakları,</t>
  </si>
  <si>
    <t>“Antinötrofil Sitoplazmik Antikor Testi İstenen Hastalarda Antikor Pozitifliğinin Tanısal ve Prognostik Değeri: Tek Merkezli Gerçek Yaşam Verileri”</t>
  </si>
  <si>
    <t>650.</t>
  </si>
  <si>
    <t>SBA 26/650</t>
  </si>
  <si>
    <t>“Hemodiya1iz Hastalarında Kronik İnflamasyonun Diyaliz İlişkili Belirleyicileri ve Klinik Sonuçlarla İlişkisinin Değerlendirilmesi”</t>
  </si>
  <si>
    <t>651.</t>
  </si>
  <si>
    <t>SBA 26/651</t>
  </si>
  <si>
    <t>Üniversitemiz Tıp Fakültesi Beyin ve Sinir Cerrahisi Anabilim Dalı öğretim üyelerinden Doç. Dr. Şahin HANALİOĞLU’nun sorumlu araştırmacı olduğu, Dr. Öğr. Üyesi Efecan ÇEKİÇ, Doç. Dr. Ekim Gümeler, Öğr. Gör. Dr. Berrin BABAOĞLU ile birlikte çalışacakları ve Arş. Gör. Dr. Gülşah ÇETİN’in uzmanlık tezi olan,</t>
  </si>
  <si>
    <t>“Diffüz Gliomalarda Radyomik Özellikler ile Histopatolojik Tümör Hücre Yoğunluğu Korelasyonunun Görüntü Kılavuzlu Biyopsiler ile Değerlendirilmesi”</t>
  </si>
  <si>
    <t>652.</t>
  </si>
  <si>
    <t>SBA 26/652</t>
  </si>
  <si>
    <t>Prof. Dr. Arzu TOPELİ İSKİT</t>
  </si>
  <si>
    <t>Üniversitemiz Tıp Fakültesi İç Hastalıkları Anabilim Dalı öğretim üyelerinden Prof. Dr. Arzu TOPELİ İSKİT’in sorumlu araştırmacı olduğu, Arş. Gör. Dr. Baran KART ile birlikte çalışacakları,</t>
  </si>
  <si>
    <t>“Yaşlı Yoğun Bakım Hastalarında Kronik ve Akut Kardiyovasküler Hastalıkların Etkisi: Prospektif, Çok-Merkezli Gözlemsel Çalışma (VIP4)”</t>
  </si>
  <si>
    <t>653.</t>
  </si>
  <si>
    <t>SBA 26/653</t>
  </si>
  <si>
    <t>Prof. Dr. Ümit Murat ŞAHİNER</t>
  </si>
  <si>
    <t>Üniversitemiz Tıp Fakültesi Çocuk Sağlığı ve Hastalıkları Anabilim Dalı öğretim üyelerinden Prof. Dr. Ümit Murat ŞAHİNER’in sorumlu araştırmacı olduğu, Prof. Dr. Bülent Enis ŞEKEREL Prof. Dr. Özge UYSAL SOYER, Doç. Dr. Melike OCAK, Doç. Dr. Ayşegül ERTUĞRUL, Arş. Gör. Dr. Ceren ÜSTÜN ile birlikte çalışacakları,</t>
  </si>
  <si>
    <t>“Subkütan İmmünoterapi Uygulanan Polen Alerjili Çocuklarda Yaşam Kalitesinin Değerlendirilmesi”</t>
  </si>
  <si>
    <t>654.</t>
  </si>
  <si>
    <t>SBA 26/654</t>
  </si>
  <si>
    <t>Üniversitemiz Tıp Fakültesi İç Hastalıkları Anabilim Dalı öğretim üyelerinden Doç. Dr. Levent KILIÇ’ın sorumlu araştırmacı olduğu, Arş. Gör. Dr. Deniz DÖNMEZ ve Arş. Gör. Dr. Selin ÇETİN ile birlikte çalışacakları,</t>
  </si>
  <si>
    <t>“Tüberküloz Proflaksisinin Erken Döneminde Biyolojik İlaç Tedavisine Başlamanın Tüberküloz Reaktivasyonuna Etkisi”</t>
  </si>
  <si>
    <t>655.</t>
  </si>
  <si>
    <t>SBA 26/655</t>
  </si>
  <si>
    <t>Prof. Dr. Ali AKDOĞAN</t>
  </si>
  <si>
    <t>Üniversitemiz Tıp Fakültesi İç Hastalıkları Anabilim Dalı öğretim üyelerinden Prof. Dr. Ali AKDOĞAN’ın sorumlu araştırmacı olduğu, Arş. Gör. Dr. Gözde Sevgi KART BAYRAM ile birlikte çalışacakları,</t>
  </si>
  <si>
    <t>"Romatoid Artrit Hastalarında İnterstisyel Akciğer Hastalığının Taranmasında Akciğer Utrasonografisinin Yaş Gruplarına Göre Tanısal Performansının Değerlendirilmesi"</t>
  </si>
  <si>
    <t>656.</t>
  </si>
  <si>
    <t>SBA 26/656</t>
  </si>
  <si>
    <t>Üniversitemiz Diş Hekimliği Fakültesi Ağız, Diş ve Çene Radyolojisi Anabilim Dalı öğretim üyelerinden Prof. Dr. Şevket Murat ÖZBEK’in sorumlu araştırmacı olduğu, Dr. Öğr. Üyesi Hatice BOYACIOĞLU ERDEN ile birlikte çalışacakları ve Arş. Gör. Dt. Özge BEKTAŞ’ın uzmanlık tezi olan,</t>
  </si>
  <si>
    <t>“Nazal Septum Deviasyonu ile Nazopalatin Kanalın Morfometrik Özellikleri ve Anatomik Varyasyonları Arasındaki İlişkinin Değerlendirilmesi: Retrospektif Konik Işınlı Bilgisayarlı Tomografi Çalışması''</t>
  </si>
  <si>
    <t>657.</t>
  </si>
  <si>
    <t>SBA 26/657</t>
  </si>
  <si>
    <t>Prof. Dr. Meryem UZAMIŞ TEKÇİÇEK</t>
  </si>
  <si>
    <t>Üniversitemiz Diş Hekimliği Fakültesi Pedodonti Anabilim Dalı öğretim üyelerinden Prof. Dr. Meryem UZAMIŞ TEKÇİÇEK’in sorumlu araştırmacı olduğu, Prof. Dr. Sedef ŞAHİN, Doç. Dr. Cansu ÖZŞİN ÖZLER ve Öğr. Gör. Selin Başak ARSLANER ile birlikte çalışacakları ve Arş. Gör. Dt. Elif ERBAŞ’ın uzmanlık tezi olan,</t>
  </si>
  <si>
    <t>“Çocuklarda El Becerisi, Bilişsel Durum, Praxis Algısı, Motor Yeterlilik ile Diş Fırçalama Performansının İncelenmesi”</t>
  </si>
  <si>
    <t>658.</t>
  </si>
  <si>
    <t>SBA 26/658</t>
  </si>
  <si>
    <t>Üniversitemiz Diş Hekimliği Fakültesi Ağız, Diş ve Çene Radyolojisi Anabilim Dalı öğretim üyelerinden Dr. Öğr. Üyesi Hatice BOYACIOĞLU ERDEN’in sorumlu araştırmacı olduğu, Doç. Dr. Nagihan KOÇ, Araş. Gör. Sümeyra Büşra İLTER, ile birlikte çalışacakları, Araş. Gör. Özdenur KOCA’nın uzmanlık tezi olan,</t>
  </si>
  <si>
    <t>“Diş Hekimliği Öğrencilerinde Bruksizm Varlığına Göre Masseter Kası Kalınlığının B-Mod Ultrasonografi ile Değerlendirilmesi”</t>
  </si>
  <si>
    <t>659.</t>
  </si>
  <si>
    <t>SBA 26/659</t>
  </si>
  <si>
    <t>Prof. Dr. Özge UYSAL SOYER</t>
  </si>
  <si>
    <t>Üniversitemiz Tıp Fakültesi Çocuk Sağlığı ve Hastalıkları Anabilim Dalı öğretim üyelerinden Prof. Dr. Özge UYSAL SOYER’in sorumlu araştırmacı olduğu, Prof. Dr. Bülent Enis ŞEKEREL, Prof. Dr. Sinem AKGÜL, Doç. Dr. Ayşegül ERTUĞRUL, Doç. Dr. Melike OCAK, Dr. Öğr. Üyesi Demet AYGÜN ARI ve Arş. Gör. Dr. Rabia UYSAL ile birlikte çalışacakları,</t>
  </si>
  <si>
    <t>“Astım Tanılı Adölesan Hastalarda Erişkin Bakıma Geçiş Hazır Bulunuşluk Düzeyinin ve Sağlık Okuryazarlığının Değerlendirilmesi''</t>
  </si>
  <si>
    <t>660.</t>
  </si>
  <si>
    <t>SBA 26/660</t>
  </si>
  <si>
    <t>Üniversitemiz Tıp Fakültesi Çocuk Sağlığı ve Hastalıkları Anabilim Dalı öğretim üyelerinden Prof. Dr. Özge UYSAL SOYER’in sorumlu araştırmacı olduğu, Prof. Dr. Bülent Enis ŞEKEREL, Doç. Dr. Melike OCAK, Doç. Dr. Ayşegül ERTUĞRUL, Doç. Dr. Melis PEHLİVANTÜRK KIZILKAN, Dr. Öğr. Üyesi Eylem Şerife KALKAN ve Arş. Gör. Dr. Rabia UYSAL ile birlikte çalışacakları,</t>
  </si>
  <si>
    <t>“Herediter Anjioödemli Adolesanlarda Puberte Döneminin Hastalık Aktivitesi ve Yaşam Kalitesi Üzerine Etkilerinin ve Erişkin Bakıma Geçiş Hazır Bulunuşluğunun Değerlendirilmesi”</t>
  </si>
  <si>
    <t>661.</t>
  </si>
  <si>
    <t>SBA 26/661</t>
  </si>
  <si>
    <t>“Hacettepe Üniversitesi Spor Hekimliği Polikliniğine Başvuruların Demografik ve Klinik Özellikleri, Uygulanan Müdahaleler, Tekrar Muayene ve İyileşme Sonuçları: On Yıllık Retrospektif Kohort Çalışması”</t>
  </si>
  <si>
    <t>662.</t>
  </si>
  <si>
    <t>SBA 26/662</t>
  </si>
  <si>
    <t>Üniversitemiz Tıp Fakültesi İç Hastalıkları Anabilim Dalı öğretim üyelerinden Prof. Dr. Hatice Yasemin BALABAN’ın sorumlu araştırmacı olduğu, Doç. Dr. Osman DAĞ, Arş. Gör. Dr.  Muhammet Furkan ÇAKMAK, Arş. Gör. Dr.  Burcu GÜRBÜZ, Arş. Gör. Dr. Abdurrahman ÖZKAN, Arş. Gör. Dr.  Deniz ŞİMŞEK, Arş. Gör. Dr.  Akif ORHAN, Arş. Gör. Dr.  Ahmet KOCAGER ile birlikte çalışacakları,</t>
  </si>
  <si>
    <t>“Kronik Hepatit B Enfeksiyonu Olan Hastalarda Metabolik Disfonksiyon İlişkili Yağlı Karaciğer Hastalığının Eşlik Etmesinin Uzun Dönem Hastalık Seyri Üzerine Etkisinin Retrospektif Olarak Değerlendirilmesi”</t>
  </si>
  <si>
    <t>663.</t>
  </si>
  <si>
    <t>SBA 26/663</t>
  </si>
  <si>
    <t>Üniversitemiz Tıp Fakültesi Üroloji Anabilim Dalı öğretim üyelerinden Doç. Dr. Mesut ALTAN’ın sorumlu araştırmacı olduğu, araştırma görevlisi Arş. Gör. Dr. Rabia HİZARCİ BAL ile birlikte çalışacakları,</t>
  </si>
  <si>
    <t>“Robot Yardımlı Laparoskopik Prostatektomi Hastalarında Cerrahi Sınır Pozitifliğini Öngören Preoperatif Faktörlerin Belirlenmesi”</t>
  </si>
  <si>
    <t>664.</t>
  </si>
  <si>
    <t>SBA 26/664</t>
  </si>
  <si>
    <t>Arş. Gör. Dr. İsmail Çağrı ÖZÜTOK</t>
  </si>
  <si>
    <t>Üniversitemiz Tıp Fakültesi Çocuk Sağlığı ve Hastalıkları Anabilim Dalı öğretim elemanlarından Arş. Gör. Dr. İsmail Çağrı ÖZÜTOK'un sorumlu araştırmacı olduğu, Prof. Dr. Özlem TEKŞAM, Prof. Dr. Dilşad FOTO ÖZDEMİR, Öğr. Gör. Dr. Ahmet Ziya BİRBİLEN, Arş. Gör. Dr. Eymen YILMAZ, Arş. Gör. Dr. Ayşegül SARIKÖSE ÖZGÜVEN ile birlikte çalışacakları,</t>
  </si>
  <si>
    <t>“Çocuk Acil Kliniğinde Çocuk Ruh Sağlığı ve Hastalıkları Branş Konsültasyonlarının Retrospektif Değerlendirilmesi”</t>
  </si>
  <si>
    <t>665.</t>
  </si>
  <si>
    <t>SBA 26/665</t>
  </si>
  <si>
    <t>Dr. Öğr. Üyesi Bengi ÖZTÜRK</t>
  </si>
  <si>
    <t>Üniversitemiz Tıp Fakültesi İç Hastalıkları Anabilim Dalı öğretim üyelerinden Dr. Öğr. Üyesi Bengi ÖZTÜRK’ün sorumlu araştırmacı olduğu, Arş. Gör. Dr. Beyza ATAY, Öğr. Gör. Dr. Sermet TERZİ, Doç. Dr. Nezih AKKAPULU ile birlikte çalışacakları,</t>
  </si>
  <si>
    <t>“Özofagus, Özofagogastrik Bileşke ve Kardiya Kanserlerinde Preoperatif Evrelemede Endoskopik Ultrasonun Tanısal Doğruluğu”</t>
  </si>
  <si>
    <t>666.</t>
  </si>
  <si>
    <t>SBA 26/666</t>
  </si>
  <si>
    <t>Üniversitemiz Tıp Fakültesi Kulak Burun ve Boğaz Anabilim Dalı öğretim üyelerinden Prof.  Dr. Levent SENNAROĞLU’nun sorumlu araştırmacı olduğu, Dr. Öğr. Üyesi Muhammed Çağrı KÜLEKÇİ ve Dr. Öğr. Üyesi Bükre YILDIRIM KÜLEKÇİ ile birlikte çalışacakları,</t>
  </si>
  <si>
    <t>“Genişlemiş Vestibüler Akuadukt İçin Yeni Bir Tanım”</t>
  </si>
  <si>
    <t>667.</t>
  </si>
  <si>
    <t>SBA 26/667</t>
  </si>
  <si>
    <t>Prof. Dr. Turgut Emrah BOZKURT</t>
  </si>
  <si>
    <t>Farmakoloji Anabilim Dalı</t>
  </si>
  <si>
    <t>Üniversitemiz Eczacılık Fakültesi Farmakoloji Anabilim Dalı öğretim üyelerinden Prof. Dr. Turgut Emrah BOZKURT'un sorumlu araştırmacı olduğu, Prof. Dr. Emirhan NEMUTLU, Prof. Dr. Sevgen Çelik ÖNDER, Prof. Dr. Serdar ÖZER, Prof. Dr. Ebru DAMADOĞLU, Doç. Dr. Tuba REÇBER, Dr. Öğr. Ü. Yasemin KARAMAN, Dr. Öğr. Ü. Muhammed Çağrı KÜLEKCİ, Dr. Öğr. Ü. Olcay KURTULAN, Öğr. Gör. Dr. Burçay TELLİOĞLU, Öğr. Gör. Dr. Kutsal DOĞAN, Uzm. Ecz. Gaye ÖZTÜRK, Ecz. Tülay Özge ALPASLAN, Kerem ERDOĞAN ile birlikte çalışacakları,</t>
  </si>
  <si>
    <t>“Alerjik Rinit ve Birlikte Seyreden Solunum Yolu İnflamasyonunda Endokannabinoid Sistemin Bir Tedavi Hedefi Olarak Değerlendirilmesi”</t>
  </si>
  <si>
    <t>668.</t>
  </si>
  <si>
    <t>SBA 26/668</t>
  </si>
  <si>
    <t>Üniversitemiz Tıp Fakültesi İç Hastalıkları Anabilim Dalı öğretim üyelerinden Prof. Dr. Hakan GÖKER’in sorumlu araştırmacı olduğu, Arş. Gör. Dr. Alkım YOLCU ile birlikte çalışacakları,</t>
  </si>
  <si>
    <t>“Haploidentik Hematopoietik Kök Hücre Nakli Alıcılarında Sitomegalovirüs Reaktivasyonunun Belirleyicileri, Kinetiği ve Klinik Sonuçlarının Retrospektif Değerlendirilmesi”</t>
  </si>
  <si>
    <t>669.</t>
  </si>
  <si>
    <t>SBA 26/669</t>
  </si>
  <si>
    <t>Üniversitemiz Tıp Fakültesi İç Hastalıkları Anabilim Dalı öğretim üyelerinden Doç. Dr. Cafer BALCI’nın sorumlu araştırmacı olduğu, Arş. Gör. Dr. İbrahim KURAN ile birlikte çalışacakları,</t>
  </si>
  <si>
    <t>“Diyabetik Yaşlı Bireylerde Baldır Çevresi Ölçümleriyle Sarkopeni Arasındaki İlişkinin Değerlendirilmesi: Retrospektif Gözlemsel Çalışma”</t>
  </si>
  <si>
    <t>670.</t>
  </si>
  <si>
    <t>SBA 26/670</t>
  </si>
  <si>
    <t>Doç. Dr. Murat KARA</t>
  </si>
  <si>
    <t>Üniversitemiz Tıp Fakültesi Plastik, Rekonstrüktif ve Estetik Cerrahi Anabilim Dalı öğretim üyelerinden Doç. Dr. Murat KARA’nın sorumlu araştırmacı olduğu, Prof. Dr. Mehmet Deniz DEMİRYÜREK ile birlikte çalışacakları ve Arş. Gör. Dr. Berkay SERT'in uzmanlık tezi olan,</t>
  </si>
  <si>
    <t>“Dinamik Velofaringeal Rekonstrüksiyonda Yeni Bir Teknik: Bipediküllü Konstriktör Faringeus Superior Kas-Mukoza Flebi, Kadavra Çalışması”</t>
  </si>
  <si>
    <t>671.</t>
  </si>
  <si>
    <t>SBA 26/671</t>
  </si>
  <si>
    <t>Prof. Dr. Esra Burcu SAĞLAM</t>
  </si>
  <si>
    <t>Sosyoloji ve Metodoloji Anabilim Dalı</t>
  </si>
  <si>
    <t>Üniversitemiz Edebiyat Fakültesi Sosyoloji ve Metodoloji Anabilim Dalı öğretim üyelerinden Prof. Dr. Esra BURCU SAĞLAM'ın sorumlu araştırmacı olduğu, Zeynep Nazlı ELGİNOĞLU ile birlikte çalışacakları,</t>
  </si>
  <si>
    <t>“Görünmez Engellilik Biçimi Olarak Mental Bozukluğu Olan Üniversiteli Gençlerde Arkadaşlık İlişkisi ve Damgalanma”</t>
  </si>
  <si>
    <t>672.</t>
  </si>
  <si>
    <t>SBA 26/672</t>
  </si>
  <si>
    <t>Prof. Dr. Münip Gökhan TUNÇBİLEK</t>
  </si>
  <si>
    <t>Üniversitemiz Tıp Fakültesi Plastik, Rekonstrüktif ve Estetik Cerrahi Anabilim Dalı öğretim üyelerinden Prof. Dr. Münip Gökhan TUNÇBİLEK’in sorumlu araştırmacı olduğu, Dr. Öğr. Üyesi Güven Ozan KAPLAN, Arş. Gör. Dr. Hasan Buğra BOZ, Doç. Dr. Elif GÜNAY BULUT, Arş. Gör. Dr. Halil Barış BAŞARIR, Prof. Dr. Güliz Fatma YAVAŞ, Dr. Öğr. Üyesi Yavuz Kemal ARIBAŞ ile birlikte çalışacakları ve Arş. Gör. Dr. Kutluhan Yusuf KÜÇÜK’ün uzmanlık tezi olan,</t>
  </si>
  <si>
    <t>“Frontoorbital Şekillendirme ve Distraksiyon Osteogenezi ile İlerletme Cerrahisinin İntrakraniyel ve Orbital Volümetrik ve Optik Koherens Tomografi Sonuçları”</t>
  </si>
  <si>
    <t>673.</t>
  </si>
  <si>
    <t>SBA 26/673</t>
  </si>
  <si>
    <t>Üniversitemiz Diş Hekimliği Fakültesi Endodonti Anabilim Dalı öğretim üyelerinden Prof. Dr. Ahmet SERPER’in sorumlu araştırmacı olduğu, Arş. Gör. Deniz Arca Çakır, Prof. Dr. Emel UZUNOĞLU ÖZYÜREK, Prof. Dr. Ülfet Pınar ERKEKOĞLU ile birlikte çalışacakları ve Arş. Gör. Dr. Baransel KOÇ’un uzmanlık tezi olan,</t>
  </si>
  <si>
    <t>Rektör yardımcısı münasebetiyle --- 562</t>
  </si>
  <si>
    <t>674.</t>
  </si>
  <si>
    <t>SBA 26/674</t>
  </si>
  <si>
    <t>Üniversitemiz Tıp Fakültesi Çocuk Sağlığı ve Hastalıkları Anabilim Dalı öğretim üyelerinden Prof. Dr. Deniz ÇAĞDAŞ AYVAZ’ın sorumlu araştırmacı olduğu, Doç. Dr. Saliha ESENBOĞA, Doç. Dr. Elif SOYAK AYTEKİN, Arş. Gör. Dr. Büşra HOTAMAN ile birlikte çalışacakları,</t>
  </si>
  <si>
    <t>“Mikobakteriyel Enfeksiyonlara Mendelyen Yatkınlık (MSMD) Şüphesi ile Değerlendirilen Hastaların Klinik, İmmünolojik, Genetik Özellikleri ve Tedavi Sonuçlarının Retrospektif Değerlendirilmesi”</t>
  </si>
  <si>
    <t>675.</t>
  </si>
  <si>
    <t>SBA 26/675</t>
  </si>
  <si>
    <t>“Sekonder İmmün Yetmezlik Nedeniyle Çocuk İmmünoloji Kliniğine Konsülte Edilen Hastaların Klinik, İmmünolojik ve Genetik Özelliklerinin İncelenmesi”</t>
  </si>
  <si>
    <t>676.</t>
  </si>
  <si>
    <t>SBA 26/676</t>
  </si>
  <si>
    <t>Üniversitemiz Tıp Fakültesi Çocuk Sağlığı ve Hastalıkları Anabilim Dalı öğretim üyelerinden Doç. Dr. Melis PEHLİVANTÜRK KIZILKAN'ın sorumlu araştırmacı olduğu, Prof. Dr. Sinem AKGÜL, Prof. Dr. Özlem TEKŞAM, Doç. Dr. Zeynep TÜZÜN GÜN, Doç. Dr. Leman AKCAN YILDIZ, Dr. Öğr. Üyesi Eylem Şerife KALKAN, Dr. Öğr. Üyesi Demet AYGÜN ARI, Uzm. Dr. Nur MUTLU, Arş. Gör. Dr. Eymen YILMAZ ile birlikte çalışacakları,</t>
  </si>
  <si>
    <t>“Acil Servise Başvuran Ergenlerde Madde Kullanım Bozukluğu Riskinin Taranması”</t>
  </si>
  <si>
    <t>677.</t>
  </si>
  <si>
    <t>SBA 26/677</t>
  </si>
  <si>
    <t>Üniversitemiz Tıp Fakültesi Çocuk Sağlığı ve Hastalıkları Anabilim Dalı öğretim üyelerinden Doç. Dr. Tekin AKSU’nun sorumlu araştırmacı olduğu, Prof. Dr. Şule ÜNAL CANGÜL, Prof. Dr. Ş. Selin AYTAÇ EYÜPOĞLU, Arş. Gör. Dr. Esma Nur ÜNAL ile birlikte çalışacakları,</t>
  </si>
  <si>
    <t>“Telomer Biyoloji Bozuklukları: Fenotip ve Genetik Bulgular”</t>
  </si>
  <si>
    <t>678.</t>
  </si>
  <si>
    <t>SBA 26/678</t>
  </si>
  <si>
    <t>Arş. Gör. Dr. İzzet Türkalp AKBAŞLI</t>
  </si>
  <si>
    <t>Üniversitemiz Tıp Fakültesi Çocuk Sağlığı ve Hastalıkları Anabilim öğretim elemanlarından Arş. Gör. Dr. İzzet Türkalp AKBAŞLI’nın sorumlu araştırmacı olduğu, Doç. Dr. Selman KESİCİ ve Arş. Gör. Dr. Mehmet BEŞREK ile birlikte çalışacakları,</t>
  </si>
  <si>
    <t>“Türkiye’de Motosiklet Ehliyet Yaş Sınırının 16’ya İndirilmesinin Genç Sürücü Kazaları Üzerindeki Etkisi: Kesintili Zaman Serisi Çalışması”</t>
  </si>
  <si>
    <t>679.</t>
  </si>
  <si>
    <t>SBA 26/679</t>
  </si>
  <si>
    <t>Üniversitemiz Tıp Fakültesi Kadın Hastalıkları ve Doğum Anabilim Dalı öğretim üyelerinden Doç. Dr. Erdem FADILOĞLU’nun sorumlu araştırmacı olduğu, Arş. Gör. Dr. Mert EYÜPOĞLU ve Arş. Gör. Dr. Betül GÜNGÖR SERİN ile birlikte çalışacakları,</t>
  </si>
  <si>
    <t>“Noninvaziv Prenatal Test Çağında İnvaziv Prenatal Girişim Endikasyonlarının Değişimi: 2020–2025 Yılları Arasında Tek Merkez Retrospektif Analizi"</t>
  </si>
  <si>
    <t>680.</t>
  </si>
  <si>
    <t>SBA 26/680</t>
  </si>
  <si>
    <t>Üniversitemiz Tıp Fakültesi İç Hastalıkları Anabilim Dalı öğretim üyelerinden Prof. Dr. Ali AKDOĞAN’ın sorumlu araştırmacı olduğu, Doç. Dr. Levent KILIÇ, Doç. Dr. Gamze DURHAN ve Uzm. Dr. Büşra FIRLATAN YAZGAN ile birlikte çalışacakları,</t>
  </si>
  <si>
    <t>“Sistemik Skleroz Tanılı Hastalarda Bilgisayarlı Tomografi ile Elde Edilen Toraks Duvarı Kas Ölçümleri ile Zorlu Vital Kapasite Arasındaki İlişkinin Değerlendirilmesi”</t>
  </si>
  <si>
    <t>681.</t>
  </si>
  <si>
    <t>SBA 26/681</t>
  </si>
  <si>
    <t>Üniversitemiz Tıp Fakültesi Radyoloji Anabilim Dalı öğretim üyelerinden Doç. Dr. Gamze DURHAN’ın sorumlu araştırmacı olduğu, Arş. Gör. Dr. Deniz GÜLKAN ve Arş. Gör. Dr. Hasbi BAŞARAN ile birlikte çalışacakları,</t>
  </si>
  <si>
    <t>“Hastanemizde Mamografi Tetkiklerinde Kullanılan Yapay Zekâ Uygulamalarının Tanısal Performans ve Uyumlarının Karşılaştırılması”</t>
  </si>
  <si>
    <t>682.</t>
  </si>
  <si>
    <t>SBA 26/682</t>
  </si>
  <si>
    <t>Üniversitemiz Tıp Fakültesi İç Hastalıkları Anabilim Dalı öğretim üyelerinden Prof. Dr. Umut KALYONCU’nun sorumlu araştırmacı olduğu, Prof. Dr. Burçin ŞENER, Prof Dr. Zeynep SARIBAŞ ile birlikte çalışacakları ve Arş. Gör. Dr. Elif EMİRSÜLEYMANOĞLU FİLİZ’in uzmanlık tezi olan,</t>
  </si>
  <si>
    <t>“Romatoloji Polikliniğine Başvuran Hastalarda Antinükleer Antikor (ANA) İstem Paternleri, Pozitiflik Belirteçleri ve Klinik-Laboratuvar Korelasyonu: 4 Yıllık Retrospektif Kohort Analizi”</t>
  </si>
  <si>
    <t>683.</t>
  </si>
  <si>
    <t>SBA 26/683</t>
  </si>
  <si>
    <t>Üniversitemiz Tıp Fakültesi Çocuk Sağlığı ve Hastalıkları Anabilim Dalı öğretim üyelerinden Prof. Dr. Hülya DEMİR'in sorumlu araştırmacı olduğu, Dr. Öğr. Üyesi Duygu DEMİRTAŞ GÜNER ve Arş. Gör. Dr. Emir Furkan ÖNEN ile birlikte çalışacakları,</t>
  </si>
  <si>
    <t>"Pediatrik İnflamatuar Bağırsak Hastalarında İmmünsupresif/İmmünomodülatör Tedavi Öncesi ve Tedavi Sırasında Serolojik Bağışıklık ve İmmünizasyon Durumunun Değerlendirilmesi"</t>
  </si>
  <si>
    <t>684.</t>
  </si>
  <si>
    <t>SBA 26/684</t>
  </si>
  <si>
    <t>Üniversitemiz Tıp Fakültesi Çocuk Sağlığı ve Hastalıkları Anabilim Dalı öğretim üyelerinden Prof. Dr. Hülya DEMİR'in sorumlu araştırmacı olduğu, Arş. Gör. Dr. Emir Furkan ÖNEN ile birlikte çalışacakları,</t>
  </si>
  <si>
    <t>“Safra Asidi Biyosentez Bozukluğu Tanılı Hastalarda Klinik Bulgular ve Tedavi Yanıtı: Tek Merkez Deneyimi”</t>
  </si>
  <si>
    <t>685.</t>
  </si>
  <si>
    <t>SBA 26/685</t>
  </si>
  <si>
    <t>Üniversitemiz Tıp Fakültesi İç Hastalıkları Anabilim Dalı öğretim üyelerinden Doç. Dr. Cafer BALCI’nın sorumlu araştırmacı olduğu, Uzm. Dr. Murat PEHLİVAN ile birlikte çalışacakları,</t>
  </si>
  <si>
    <t>“85 Yaş Üzeri Hastalarda Direkt Oral Antikoagülanlar ve Varfarin ile İlişkili Kanama Güvenliğinin Karşılaştırılması”</t>
  </si>
  <si>
    <t>686.</t>
  </si>
  <si>
    <t>SBA 26/686</t>
  </si>
  <si>
    <t>Üniversitemiz Tıp Fakültesi Radyoloji Anabilim Dalı öğretim üyelerinden Dr. Öğr. Üyesi Sinan BALCI’nın sorumlu araştırmacı olduğu, Dr. Öğr. Üyesi İrem İYİGÜN ile birlikte çalışacakları,</t>
  </si>
  <si>
    <t>“Yenidoğanlarda Galen Veni Anevrizmal Malformasyonlarının Endovasküler Tedavi Sonuçlarının Retrospektif Değerlendirilmesi”</t>
  </si>
  <si>
    <t>687.</t>
  </si>
  <si>
    <t>SBA 26/687</t>
  </si>
  <si>
    <t>Üniversitemiz Tıp Fakültesi Çocuk Sağlığı ve Hastalıkları Anabilim Dalı öğretim üyelerinden Prof. Dr. Özge UYSAL SOYER’in sorumlu araştırmacı olduğu, Prof. Dr. Bülent Enis ŞEKEREL, Prof. Dr. Adil DENİZLİ, Doç. Dr. Melike OCAK, Doç. Dr. Ayşegül ERTUĞRUL, Dr. Öğr. Üyesi Semra AKGÖNÜLLÜ, Arş. Gör. Dr. Zehra GENÇ ÖZBAY ile birlikte çalışacakları,</t>
  </si>
  <si>
    <t>“Çocukluk Çağı Anafilaksisinde Çoklu Biyobelirteçlerin Değerlendirilmesi”</t>
  </si>
  <si>
    <t>688.</t>
  </si>
  <si>
    <t>SBA 26/688</t>
  </si>
  <si>
    <t>Prof. Dr. Oğuz KUŞCU</t>
  </si>
  <si>
    <t>Üniversitemiz Tıp Fakültesi Kulak Burun Boğaz Anabilim Dalı öğretim üyelerinden Prof. Dr. Oğuz KUŞCU’nun sorumlu araştırmacı olduğu, Arş. Gör. Dr. Nurbanu KAÇAR ile birlikte çalışacakları,</t>
  </si>
  <si>
    <t>“Direkt Laringoskopi Görüntülerinin Analizinde 6 Farklı Büyük Dil Modelinin Tanısal Performanslarının İnsan Faktörüyle Birlikte Karşılaştırılması: Retrospektif Bir Çalışma”</t>
  </si>
  <si>
    <t>689.</t>
  </si>
  <si>
    <t>SBA 26/689</t>
  </si>
  <si>
    <t>Prof. Dr. Sadi KAPLAN</t>
  </si>
  <si>
    <t>Kalp ve Damar Cerrahisi Anabilim Dalı</t>
  </si>
  <si>
    <t>Üniversitemiz Tıp Fakültesi Kalp ve Damar Cerrahisi Anabilim Dalı öğretim üyelerinden Prof. Dr. Sadi KAPLAN’ın sorumlu araştırmacı olduğu, Prof. Dr. Bekir SALİH, Prof. Dr. İncilay LAY, Doç. Dr. Mehmet ATAKAY, Arş. Gör. Dr. Meryem ZENGİN BÜLBÜL ile birlikte çalışacakları ve Arş. Gör. Dr. Kağan İslam BAĞCI’nın uzmanlık tezi olan,</t>
  </si>
  <si>
    <t>“Açık Kalp Cerrahisinde Kardiyopulmoner Bypass Kaynaklı Akut Mikroplastik Akümülasyonu ve Pro/Anti-İnflamatuar Sitokin Kinetiği ile İlişkisi”</t>
  </si>
  <si>
    <t>690.</t>
  </si>
  <si>
    <t>SBA 26/690</t>
  </si>
  <si>
    <t>Doç. Dr. Nadir YALÇIN</t>
  </si>
  <si>
    <t>Üniversitemiz Eczacılık Fakültesi Klinik Eczacılık Anabilim Dalı öğretim üyelerinden Doç. Dr. Nadir YALÇIN’ın sorumlu araştırmacı olduğu, Arş. Gör. Uğur BALABAN, Doç. Dr. Selman KESİCİ ile birlikte çalışacakları,</t>
  </si>
  <si>
    <t>“Çocuk Yoğun Bakım Hastalarında İlaç Tedavi Karmaşıklığının İlaç-İlaç Etkileşimleri ve Klinik Sonuçlarla İlişkisinin Değerlendirilmesi”</t>
  </si>
  <si>
    <t>691.</t>
  </si>
  <si>
    <t>SBA 26/691</t>
  </si>
  <si>
    <t>Prof. Dr. Mustafa Kerem VURAL</t>
  </si>
  <si>
    <t>Üniversitemiz Tıp Fakültesi Kalp ve Damar Cerrahisi Anabilim Dalı öğretim üyelerinden Prof. Dr. Mustafa Kerem VURAL’ın sorumlu araştırmacı olduğu, Prof. Dr. Samiye YABANOĞLU ÇİFTÇİ, Prof. Dr. Emirhan NEMUTLU, Arş. Gör. Aysima SEZER ile birlikte çalışacakları ve Arş. Gör. Dr. Mert Can DİNÇÇAĞ’ın uzmanlık tezi olan,</t>
  </si>
  <si>
    <t>“Asendan Aort Anevrizması ve Aterosklerotik Koroner Arter Hastalığında MMP-9, TIMP-1 ve MMP-9/TIMP-1 Düzeylerinin Kliniğe Etkisi”</t>
  </si>
  <si>
    <t>692.</t>
  </si>
  <si>
    <t>SBA 26/692</t>
  </si>
  <si>
    <t>Üniversitemiz Tıp Fakültesi Göğüs Hastalıkları Anabilim Dalı öğretim üyelerinden Prof. Dr. Gül KARAKAYA’nın sorumlu araştırmacı olduğu, Prof. Dr. Ebru DAMADOĞLU, Dr. Öğr. Gör. Özge ÖZTÜRK AKTAŞ ve Arş. Gör. Dr. Özlem ŞAHAN GÜVEN ile birlikte çalışacakları,</t>
  </si>
  <si>
    <t>“Yaygın Değişken İmmün Yetmezlik Hastalarında Tip 2 İnflamasyonla İlişkili Hastalıkların Sıklığı ve Klinik-İmmünolojik Fenotiplerle İlişkisi”</t>
  </si>
  <si>
    <t>693.</t>
  </si>
  <si>
    <t>SBA 26/693</t>
  </si>
  <si>
    <t>Üniversitemiz Eczacılık Fakültesi Klinik Eczacılık Anabilim Dalı öğretim üyelerinden Prof. Dr. S. Kutay DEMİRKAN’ın sorumlu araştırmacı olduğu, Arş. Gör. Uğur BALABAN, Arş. Gör. Yakup GÜDEK, Öğr. Gör. Dr. Adnan Menderes VURAL, Prof. Dr. Seda Banu AKINCI ile birlikte çalışacakları,</t>
  </si>
  <si>
    <t>“Yoğun Bakım Hastalarında CRP/Prealbumin ve CRP/Albumin Oranlarının Klinik Sonuçlar ile İlişkisinin Değerlendirilmesi”</t>
  </si>
  <si>
    <t>694.</t>
  </si>
  <si>
    <t>SBA 26/694</t>
  </si>
  <si>
    <t>“Geriatri Polikliniğine Başvuran 65 Yaş ve Üzeri Hastalarda İzole Sistolik Hipertansiyon Sıklığı ve İlişkili Geriatrik Faktörlerin Değerlendirilmesi”</t>
  </si>
  <si>
    <t>695.</t>
  </si>
  <si>
    <t>SBA 26/695</t>
  </si>
  <si>
    <t>Üniversitemiz Tıp Fakültesi Üroloji Anabilim Dalı öğretim üyelerinden Prof. Dr. Hasan Serkan DOĞAN’ın sorumlu araştırmacı olduğu, Arş. Gör. Dr. Rabia HİZARCİ BAL’ın uzmanlık tezi olan,</t>
  </si>
  <si>
    <t>“İşeme Disfonksiyonu Olan 6-16 Yaş Arası Hasta Grubunda Basınç Akım Çalışması Yerine Üroflov-EMG Testi Kullanılabilir mi?”</t>
  </si>
  <si>
    <t>696.</t>
  </si>
  <si>
    <t>SBA 26/696</t>
  </si>
  <si>
    <t>Doç. Dr. Elif SOYAK AYTEKİN</t>
  </si>
  <si>
    <t>Üniversitemiz Tıp Fakültesi Çocuk Sağlığı ve Hastalıkları Anabilim Dalı öğretim üyelerinden Doç. Dr. Elif SOYAK AYTEKİN’in sorumlu araştırmacı olduğu, Prof. Dr. Deniz ÇAĞDAŞ AYVAZ, Doç. Dr. Saliha ESENBOĞA ile birlikte çalışacakları Arş. Gör. Dr. Zeynep Tuğçe KARAHAN’ın uzmanlık tezi olan,</t>
  </si>
  <si>
    <t>“Doğuştan Kompleman Sistem Hastalıklarının Değerlendirilmesi”</t>
  </si>
  <si>
    <t>697.</t>
  </si>
  <si>
    <t>SBA 26/697</t>
  </si>
  <si>
    <t>Üniversitemiz Tıp Fakültesi İç Hastalıkları Anabilim Dalı öğretim üyelerinden Prof. Dr. Taylan KAV’ın sorumlu araştırmacı olduğu, Dr. Öğr. Üyesi Bengi ÖZTÜRK, Arş. Gör. Dr. Beyza ATAY, Arş Gör. Dr. Abdurrahman ÖZKAN ile birlikte çalışacakları,</t>
  </si>
  <si>
    <t>“Kapsül Endoskopide Yapay Zekâ Modalitelerinin Tanısal Lezyon Doğruluklarının Karşılaştırılması”</t>
  </si>
  <si>
    <t>698.</t>
  </si>
  <si>
    <t>SBA 26/698</t>
  </si>
  <si>
    <t>Doç. Dr. Gözde HONDUR</t>
  </si>
  <si>
    <t>Sağlık Bilimleri Üniversitesi
Ulucanlar Göz Eğitim ve Araştırma Hastanesi</t>
  </si>
  <si>
    <t>Sağlık Bilimleri Üniversitesi Ulucanlar Göz Eğitim ve Araştırma Hastanesi öğretim üyelerinden Doç. Dr. Gözde HONDUR'un sorumlu araştırmacı olduğu, Dr. Öğr. Üyesi Elif KARAKOÇ, Prof. Dr. Sevda F. MÜFTÜOĞLU, Arş. Gör. Dr. Büşra TURPÇUOĞLU ve Arş. Gör. Dr. Sezai Berkand KOÇAK ile birlikte çalışacakları,</t>
  </si>
  <si>
    <t>“Gonyoskopi Yardımlı Transluminal Trabekülotomi (GATT) Başarısızlığı Sonrası Trabekülektomi Sırasında Elde Edilen Korneaskleral Dokunun Histolojik Olarak Değerlendirilmesi”</t>
  </si>
  <si>
    <t>699.</t>
  </si>
  <si>
    <t>SBA 26/699</t>
  </si>
  <si>
    <t>Prof. Dr. Faruk ÖZTÜRK</t>
  </si>
  <si>
    <t>Üniversitemiz Tıp Fakültesi Göz Hastalıkları Anabilim Dalı öğretim üyelerinden Prof. Dr. Faruk ÖZTÜRK’ün sorumlu araştırmacı olduğu, Prof. Dr. Güliz Fatma YAVAŞ, Doç. Dr. Ayşe İlksen ÇOLPAK IŞIKAY ile birlikte çalışacakları ve Arş. Gör. Dr. Berk ŞAHAN'ın uzmanlık tezi olan,</t>
  </si>
  <si>
    <t>“Psödotümör Serebri Hastalarında Yapısal, Vasküler ve Fonksiyonel Değişikliklerin Değerlendirilmesi”</t>
  </si>
  <si>
    <t>700.</t>
  </si>
  <si>
    <t>SBA 26/700</t>
  </si>
  <si>
    <t>Üniversitemiz Diş Hekimliği Fakültesi Restoratif Diş Tedavisi Anabilim Dalı öğretim üyelerinden Dr. Öğr. Üyesi Aybüke USLU TEKCE’nin sorumlu araştırmacı olduğu, Arş. Gör. Dt. Ceren Serra CUZDAN ve Arş. Gör. Dt. Deniz ÖZDEMİR ile birlikte çalışacakları,</t>
  </si>
  <si>
    <t>“Beyaz Nokta Lezyonlarinin Tedavisinde Lazer Desteğinin İn Vitro Değerlendirilmesi”</t>
  </si>
  <si>
    <t>701.</t>
  </si>
  <si>
    <t>SBA 26/701</t>
  </si>
  <si>
    <t>Üniversitemiz Diş Hekimliği Fakültesi Ağız, Diş ve Çene Cerrahisi Anabilim Dalı öğretim üyelerinden Prof. Dr. Hakan Hıfzı TÜZ'ün sorumlu araştırmacı olduğu, Dr. Öğr. Üyesi Aydın Onur GERÇEK, Arş. Gör. Dt. Sena AKSOY, Arş. Gör. Dt. Umut KIVILCIM ile birlikte çalışacakları,</t>
  </si>
  <si>
    <t>“CBCT ile Belirlenen Düşük İskelet Kas Kütlesinin Ortognatik Cerrahi Sonrası OQLQ, OHIP-14 ve SNOT-22 Sonuçlarıyla İlişkisi”</t>
  </si>
  <si>
    <t>702.</t>
  </si>
  <si>
    <t>SBA 26/702</t>
  </si>
  <si>
    <t>“Ortognatik Cerrahi Hastalarında Sarkopeninin Postoperatif Seyre Etkisi”</t>
  </si>
  <si>
    <t>703.</t>
  </si>
  <si>
    <t>SBA 26/703</t>
  </si>
  <si>
    <t>Dr. Öğr. Gör. Özge ÖZTÜRK AKTAŞ</t>
  </si>
  <si>
    <t>Üniversitemiz Tıp Fakültesi Göğüs Hastalıkları Anabilim Dalı öğretim elemanlarından Dr. Öğr. Gör. Özge ÖZTÜRK AKTAŞ'ın sorumlu araştırmacı olduğu, Arş. Gör. Dr. Nazife TÜZÜN ERSAN, Prof. Dr. Ebru DAMADOĞLU, Prof. Dr. Gül KARAKAYA ile birlikte çalışacakları,</t>
  </si>
  <si>
    <t>“İmmün Yetmezlik Şüphesiyle Refere Edilen Hastaların Klinik ve İmmün Fenotipik Özellikleri: Tek Merkez Deneyimi”</t>
  </si>
  <si>
    <t>704.</t>
  </si>
  <si>
    <t>SBA 26/704</t>
  </si>
  <si>
    <t>Üniversitemiz Tıp Fakültesi Nükleer Tıp Anabilim Dalı öğretim üyelerinden Prof. Dr. Murat TUNCEL’in sorumlu araştırmacı olduğu, Arş. Gör. Dr. Yahya ERYILMAZ ile birlikte çalışacakları,</t>
  </si>
  <si>
    <t>“Medüller Tiroid Kanserinde Moleküler Görüntüleme”</t>
  </si>
  <si>
    <t>705.</t>
  </si>
  <si>
    <t>SBA 26/705</t>
  </si>
  <si>
    <t>“Nöroendokrin Tümör Tanılı Olup Peptid Reseptör Radyonüklid Tedavi Alan Hastalarda Moleküler Görüntüleme ve Histopatolojik Bulgular, Dozimetri, Toksisite ve Sağkalım Arasındaki İlişkinin Araştırılması”</t>
  </si>
  <si>
    <t>706.</t>
  </si>
  <si>
    <t>SBA 26/706</t>
  </si>
  <si>
    <t>Doç. Dr. Ahmet GÜDELOĞLU</t>
  </si>
  <si>
    <t>Üniversitemiz Tıp Fakültesi Üroloji Anabilim Dalı öğretim üyelerinden Doç. Dr. Ahmet GÜDELOĞLU'nun sorumlu araştırmacı olduğu, Arş. Gör. Dr. Rabia HİZARCİ BAL ile birlikte çalışacakları,</t>
  </si>
  <si>
    <t>“Benign Prostat Hiperplazisi Cerrahisi Sonrasında Karar Pişmanlığı: TUR-P, HoLEP ve Rezum Uygulanan Hastaların Karşılaştırılmalı Analizi”</t>
  </si>
  <si>
    <t>707.</t>
  </si>
  <si>
    <t>SBA 26/707</t>
  </si>
  <si>
    <t>Prof. Dr. Mustafa Sertaç YAZICI</t>
  </si>
  <si>
    <t>Üniversitemiz Tıp Fakültesi Üroloji Anabilim Dalı öğretim üyelerinden Prof. Dr. Mustafa Sertaç YAZICI’nın sorumlu araştırmacı olduğu, Arş. Gör. Dr. Rabia HİZARCİ BAL ile birlikte çalışacakları,</t>
  </si>
  <si>
    <t>“Robotik Radikal Sistektomi Deneyimimiz: Tek Merkezli Perioperatif ve Onkolojik Sonuçlar”</t>
  </si>
  <si>
    <t>708.</t>
  </si>
  <si>
    <t>SBA 26/708</t>
  </si>
  <si>
    <t>“Robotik Radikal Sistektomide Vessel Sealer Kullanımının Perioperatif Sonuçlara Etkisi: Tek Merkez Deneyimi”</t>
  </si>
  <si>
    <t>709.</t>
  </si>
  <si>
    <t>SBA 26/709</t>
  </si>
  <si>
    <t>Üniversitemiz Tıp Fakültesi İç Hastalıkları Anabilim Dalı öğretim üyelerinden Doç. Dr. Mert EŞME’nin sorumlu araştırmacı olduğu, Prof. Dr. Ergün Barış KAYA, Arş. Gör. Dr. Cansu ÇIKIN ile birlikte çalışacakları ve Arş. Gör. Dr. Berke CURAL’ın uzmanlık tezi olan,</t>
  </si>
  <si>
    <t>“Koroner Anjiyografi Yapılan Geriatrik Hastalarda Kas Parametrelerinin ve Bilişsel Özelliklerin İncelenmesi”</t>
  </si>
  <si>
    <t>710.</t>
  </si>
  <si>
    <t>SBA 26/710</t>
  </si>
  <si>
    <t>Üniversitemiz Tıp Fakültesi Plastik, Rekonstrüktif ve Estetik Cerrahi Anabilim Dalı öğretim üyelerinden Prof. Dr. Mert ÇALIŞ’ın sorumlu araştırmacı olduğu, Doç. Dr. Ayça KARAOSMANOĞLU, Dr. Öğr. Üyesi Güven Ozan KAPLAN, Arş. Gör. Dr. Osman Doruk ARIKOĞLU, Arş. Gör. Dr. Yusuf IRMAK, Arş. Gör. Dr. İbrahim Halil PAKETÇİ ile birlikte çalışacakları,</t>
  </si>
  <si>
    <t>“Dudak-Damak Yarığı Olan Hastalarda LeFort 1 İlerletme Sonrası Faringeal Hava Yolu Değişikliklerinin Bilgisayarlı Tomografi ile Değerlendirilmesi: Distraksiyon Osteogenezi ve Konvansiyonel Cerrahi Tekniklerin Karşılaştırılması”</t>
  </si>
  <si>
    <t>711.</t>
  </si>
  <si>
    <t>SBA 26/711</t>
  </si>
  <si>
    <t>Dr. Öğr. Üyesi Elif KARAKOÇ</t>
  </si>
  <si>
    <t>Üniversitemiz Tıp Fakültesi Histoloji ve Embriyoloji Anabilim Dalı öğretim üyelerinden Dr. Öğr. Üyesi Elif KARAKOÇ’un sorumlu araştırmacı olduğu, Prof. Dr. Hayriye Uğur ÖZÇELİK, Prof. Dr. Pergin ATİLLA, Prof. Dr. Nagehan EMİRALİOĞLU ORDUKAYA, Arş. Gör. Dr. Ömer Faruk İPEK ve Arş. Gör. Dr. Sezai Berkand KOÇAK ile birlikte çalışacakları,</t>
  </si>
  <si>
    <t>“Primer Siliyer Diskinezi’de Dış Dynein Kolu Defektlerinde Genotip–Fenotip İlişkisinin İmmünofloresan ve Moleküler Düzeyde Değerlendirilmesi”</t>
  </si>
  <si>
    <t>712.</t>
  </si>
  <si>
    <t>SBA 26/712</t>
  </si>
  <si>
    <t>Üniversitemiz Tıp Fakültesi Anesteziyoloji ve Reanimasyon Anabilim Dalı öğretim üyelerinden Prof. Dr. Seda Banu AKINCI’nın sorumlu araştırmacı olduğu, Prof. Dr. İncilay LAY, Prof. Dr. Banu KILIÇASLAN, Uzm. Dr. Kübra BAŞ ile birlikte çalışacakları,</t>
  </si>
  <si>
    <t>“Yoğun Bakımda İzlenen Kritik Hastalarda Amino Asit Profilinin Morbidite ve Mortalite Oranlarına Olan Etkilerinin İncelenmesi”</t>
  </si>
  <si>
    <t>713.</t>
  </si>
  <si>
    <t>SBA 26/713</t>
  </si>
  <si>
    <t>Üniversitemiz Tıp. Fakültesi Çocuk Sağlığı ve Hastalıkları Anabilim Dalı öğretim üyelerinden Prof. Dr. Sıddika Songül YALÇIN’ın sorumlu araştırmacı olduğu, Yıldız KARACAOĞLU, Hüseyin ÇITAK, Arş. Gör. Dr.  Aydeniz İBRAHİMLİ ile birlikte çalışacakları,</t>
  </si>
  <si>
    <t>“Afet ve Acil Durumlarda Güvenli Anne Bebek Alanı İhtiyacının Değerlendirilmesi”</t>
  </si>
  <si>
    <t>714.</t>
  </si>
  <si>
    <t>SBA 26/714</t>
  </si>
  <si>
    <t>Dr. Öğr. Üyesi Tülin İLERİ</t>
  </si>
  <si>
    <t>Üniversitemiz Diş Hekimliği Fakültesi Pedodonti Anabilim Dalı öğretim üyelerinden Dr. Öğr. Üyesi Tülin İLERİ’nin sorumlu araştırmacı olduğu, Prof. Dr. Melek Dilek TURGUT, Prof. Dr. Ayşe Rüya YAZICI ile birlikte çalışacakları ve Arş. Gör. Dt. Nursena EKŞİOĞLU’nun uzmanlık tezi olan,</t>
  </si>
  <si>
    <t>“Değişik Parametrelerdeki İki Farklı Lazerin Florürle Birlikte Kullanımının Süt Dişi Remineralizasyonuna Etkisinin Değerlendirilmesi”</t>
  </si>
  <si>
    <t>715.</t>
  </si>
  <si>
    <t>SBA 26/715</t>
  </si>
  <si>
    <t>Üniversitemiz Tıp Fakültesi Ortopedi ve Travmatoloji Anabilim Dalı öğretim üyelerinden Prof. Dr. Bülent ATİLLA’nın sorumlu araştırmacı olduğu, Arş. Gör. Dr. Buğrahan OĞUZ’un uzmanlık tezi olan,</t>
  </si>
  <si>
    <t>“Revizyon Kalça Artroplastisinde Monoblok ve Modüler Stemlerin Femoral Kemik Remodelingi ile Klinik ve Radyolojik Sonuçlar Üzerindeki Etkilerinin Karşılaştırılması”</t>
  </si>
  <si>
    <t>716.</t>
  </si>
  <si>
    <t>SBA 26/716</t>
  </si>
  <si>
    <t>Üniversitemiz Tıp Fakültesi Biyofizik Anabilim Dalı öğretim üyelerinden Prof. Dr. Serap AYDIN’ın sorumlu araştırmacı olduğu, Prof. Dr. Suzan ÖZER, Dr. Öğr. Üyesi Arda BAĞCAZ, Prof. Dr. Mehmet Önder EFE, Dr. Öğr. Üyesi Samet ÇELİK ile birlikte çalışacakları,</t>
  </si>
  <si>
    <t>“Genç Kohortta EEG Tabanlı Üst Biliş İmzalarının Öngörü Modelleri: İkiz ve Kardeşlerde Algısal Karar Verme, Metabilişsel Farkındalık ve Genetik/Çevresel Faktör İlişkileri”</t>
  </si>
  <si>
    <t>717.</t>
  </si>
  <si>
    <t>SBA 26/717</t>
  </si>
  <si>
    <t>Üniversitemiz Tıp Fakültesi Nöroloji Anabilim Dalı öğretim üyelerinden Prof. Dr. Fadime İrsel TEZER FİLİK’in sorumlu araştırmacı olduğu, Öğr. Gör. Dr. Ece GÖK DURSUN ile birlikte çalışacakları</t>
  </si>
  <si>
    <t>“Epilepsi Hastalarında Minör Motor Olaylar: Klinik ve Elektrofizyolojik Özellikleri”</t>
  </si>
  <si>
    <t>718.</t>
  </si>
  <si>
    <t>SBA 26/718</t>
  </si>
  <si>
    <t>Üniversitemiz Tıp Fakültesi Göğüs Hastalıkları Anabilim Dalı öğretim üyelerinden Prof. Dr. Ebru DAMADOĞLU’nun sorumlu araştırmacı olduğu Prof. Dr. Gül KARAKAYA, Arş. Gör. Dr. Çise TÜCCAR ve Arş. Gör. Dr. Ayşegül PEHLİVANLAR USTAOĞLU ile birlikte çalışacakları</t>
  </si>
  <si>
    <t>“N-ERD Hastalarında Alternatif Analjezik intoleransı: Klinik Spektrum ve Fenotipik Özellikler”</t>
  </si>
  <si>
    <t>719.</t>
  </si>
  <si>
    <t>SBA 26/719</t>
  </si>
  <si>
    <t>Üniversitemiz Tıp Fakültesi Deri ve Zührevi Hastalıklar Anabilim Dalı öğretim üyelerinden Doç. Dr. Neslihan AKDOĞAN’ın sorumlu araştırmacı olduğu, Arş. Gör. Dr. Beyza GÜRBÜZ DEMİREL ile birlikte çalışacakları,</t>
  </si>
  <si>
    <t>“Psoriasis Vulgaris ve Hidradenitis Supurativa Tanılı Hastalarda Tedavi Sürecinde Gelişen Premalign ve Malign Hastalıkların Retrospektif Analizi”</t>
  </si>
  <si>
    <t>720.</t>
  </si>
  <si>
    <t>SBA 26/720</t>
  </si>
  <si>
    <t>Doç. Dr. Ceren GÜNBEY</t>
  </si>
  <si>
    <t>Üniversitemiz Tıp Fakültesi Çocuk Sağlığı ve Hastalıkları Anabilim Dalı öğretim üyelerinden Doç. Dr. Ceren GÜNBEY'in sorumlu araştırmacı olduğu, Prof. Dr. Dilek YALNIZOĞLU, Doç. Dr. Ülkühan ÖZTOPRAK, Arş. Gör. Dr. Nazlı SEÇGEN ile birlikte çalışacakları,</t>
  </si>
  <si>
    <t>“Çocukluk Çağı Ultra-Dirençli Epilepsilerinde Klinik Özellikler, Uzun Dönem Prognoz ve Tedavi Yanıtının Değerlendirilmesi”</t>
  </si>
  <si>
    <t>721.</t>
  </si>
  <si>
    <t>SBA 26/721</t>
  </si>
  <si>
    <t>Üniversitemiz Tıp Fakültesi Nöroloji Anabilim Dalı öğretim üyelerinden Prof. Dr. Neşe DERİCİOĞLU’nun sorumlu araştırmacı olduğu, Prof. Dr. Mehmet Akif TOPÇUOĞLU ve Doç. Dr. Rahşan GÖÇMEN ile birlikte çalışacakları,</t>
  </si>
  <si>
    <t>“EEG’de Lateralize Periyodik Deşarjlar İktal mi? “Arterial Spin Labeling “(ASL) MR Perfüzyon Görüntülemenin Tanısal Katkısı”</t>
  </si>
  <si>
    <t>722.</t>
  </si>
  <si>
    <t>SBA 26/722</t>
  </si>
  <si>
    <t>Üniversitemiz Tıp Fakültesi Çocuk Sağlığı ve Hastalıkları Anabilim Dalı öğretim üyelerinden Prof. Dr. Nagehan EMİRALOĞLU ORDUKAYA’nın sorumlu araştırmacı olduğu, Prof. Dr. Ebru YALÇIN, Prof. Dr. Deniz DOĞRU ERSÖZ, Prof. Dr. H. Uğur ÖZÇELİK, Prof. Dr. Mehmet Yıldırım SARA, Arş. Gör. Dr. Umay KAVGACI, Arş. Gör. Dr. Pelin ÖZÇİLİNGİR HAKVERDİ, Arş. Gör. Dr. Ayşe Ece GEZEN YILMAZ ile birlikte çalışacakları,</t>
  </si>
  <si>
    <t>“Kistik Fibrozis, CFTR İlişkili Bozukluklar (CFTR-RD) ve CRMS Tanılı Olgularda Nazal Potansiyel Farkı Ölçümü Sonuçlarının Gözlemsel Değerlendirilmesi”</t>
  </si>
  <si>
    <t>723.</t>
  </si>
  <si>
    <t>SBA 26/723</t>
  </si>
  <si>
    <t>Üniversitemiz Tıp Fakültesi Nöroloji Anabilim Dalı öğretim üyelerinden Prof. Dr. Neşe DERİCOĞLU'nun sorumlu araştırmacı olduğu, Prof. Dr. Mehmet Akif TOPĞUOĞLU ile birlikte çalışacakları ve Arş. Gör. Dr. Sena Bergüzar ÖZBAKAN’ın uzmanlık tezi olan,</t>
  </si>
  <si>
    <t>“Epilepsi Hastalarında Endotel Disfonksiyonu: Klinik ve Radyolojik Biyobelirteçler”</t>
  </si>
  <si>
    <t>724.</t>
  </si>
  <si>
    <t>SBA 26/724</t>
  </si>
  <si>
    <t>Üniversitemiz Tıp Fakültesi Çocuk Sağlığı ve Hastalıkları Anabilim Dalı öğretim üyelerinden Prof.  Dr. Deniz ÇAĞDAŞ AYVAZ’ın sorumlu araştırmacı olduğu, Prof. Dr. Ali DÜZOVA, Doç. Dr. Saliha ESENBOĞA, Doç. Dr. Elif SOYAK AYTEKİN, Ars. Gör. Dr. Çiğdem KAPLAN, Arş. Gör. Dr. Büşra KOÇALİ ile birlikte çalışacakları,</t>
  </si>
  <si>
    <t>“Çocuk İmmünolojisi Kliniğinde İzlenen Nefrotik Sendrom Tanılı Hastaların Klinik, İmmünolojik ve Genetik Özelliklerinin İncelenmesi”</t>
  </si>
  <si>
    <t>725.</t>
  </si>
  <si>
    <t>SBA 26/725</t>
  </si>
  <si>
    <t>“Süt Çocuğunun Geçici Hipogamaglobulinemisi Tanılı Hastaların Klinik ve İmmünolojik Özelliklerinin Değerlendirilmesi”</t>
  </si>
  <si>
    <t>726.</t>
  </si>
  <si>
    <t>SBA 26/726</t>
  </si>
  <si>
    <t>Üniversitemiz Tıp Fakültesi İç Hastalıkları Anabilim Dalı öğretim üyelerinden Prof. Dr. Taylan KAV’ın sorumlu araştırmacı olduğu, Arş. Gör. Dr. Akif ORHAN, Dr. Öğr. Üyesi Bengi ÖZTÜRK, Prof. Dr. Enver ATALAR, Arş. Gör. Dr. Elnur İMAMALİYEV ile birlikte çalışacakları,</t>
  </si>
  <si>
    <t>“Koroner Stent İmplantasyonu Sonrası Klopidogrel Tedavisi Alan Hastalarda Proton Pompa İnhibitörü Kullanımının Erken ve Orta Dönem Kardiyovasküler Sonuçlar Üzerine Etkisi: Tek Merkezli Retrospektif Kohort Çalışması”</t>
  </si>
  <si>
    <t>727.</t>
  </si>
  <si>
    <t>SBA 26/727</t>
  </si>
  <si>
    <t>Üniversitemiz Tıp Fakültesi İç Hastalıkları Anabilim Dalı öğretim üyelerinden Prof. Dr. Taylan KAV’ın sorumlu araştırmacı olduğu, Dr. Öğr. Üyesi Bengi ÖZTÜRK, Arş. Gör. Dr. Muhammet Furkan ÇAKMAK, Arş. Gör. Dr. Abdurrahman ÖZKAN ile birlikte çalışacakları,</t>
  </si>
  <si>
    <t>“Eroziv ve Non-Eroziv Gastroözofageal Reflü Hastalarında Klinikopatolojik ve Endoskopik Özelliklerin Karşılaştırılması: Tek Merkezli Retrospektif Kesitsel Çalışma.”</t>
  </si>
  <si>
    <t>728.</t>
  </si>
  <si>
    <t>SBA 26/728</t>
  </si>
  <si>
    <t>Üniversitemiz Tıp Fakültesi Ruh Sağlığı ve Hastalıklar Anabilim Dalı öğretim üyelerinden Dr. Öğr. Üyesi Emre MUTLU’nun sorumlu araştırmacı olduğu, Arş. Gör. Dr. Mehmet Fatih İMAN’ın uzmanlık tezi olan,</t>
  </si>
  <si>
    <t>“Psikotik Bozukluklarda Faillik Hissi ve Sahiplik Hissinin Dil Bozuklukları ile İlişkisinin Değerlendirilmesi”</t>
  </si>
  <si>
    <t>729.</t>
  </si>
  <si>
    <t>SBA 26/729</t>
  </si>
  <si>
    <t>Dr. Öğr. Üyesi Güven Ozan KAPLAN</t>
  </si>
  <si>
    <t>Üniversitemiz Tıp Fakültesi Plastik, Rekonstrüktif ve Estetik Cerrahi Anabilim Dalı öğretim üyelerinden Dr. Öğr. Üyesi Güven Ozan KAPLAN’ın sorumlu araştırmacı olduğu, Prof. Dr. Mert ÇALIŞ, Doç. Dr. Murat KARA, Arş. Gör. Dr. Rabia Yudum SOMUNCU ile birlikte çalışacakları,</t>
  </si>
  <si>
    <t>“Orbita Taban Kırıklarının Cerrahi Tedavisinde Klinik Sonuçlar ve Postoperatif Komplikasyonlar: On Yıllık Tek Merkez Deneyimi”</t>
  </si>
  <si>
    <t>730.</t>
  </si>
  <si>
    <t>SBA 26/730</t>
  </si>
  <si>
    <t>Arş. Gör. Dr. Sinan Efe YAZICI</t>
  </si>
  <si>
    <t>Üniversitemiz Tıp Fakültesi Genel Cerrahi Anabilim Dalı öğretim elemanlarından Arş. Gör. Dr. Sinan Efe YAZICI’nın sorumlu araştırmacı olduğu, Arş. Gör. Dr. Busenur KIRIMTAY TOPUZ, Arş. Gör. Dr. Mehmet Rüçhan KARACA ile birlikte çalışacakları,</t>
  </si>
  <si>
    <t>“Gastrointestinal Yabancı Cisim Olgularının Klinik Özellikleri ve Tedavi Sonuçları: Tek Merkezli Retrospektif Bir Çalışma”</t>
  </si>
  <si>
    <t>731.</t>
  </si>
  <si>
    <t>SBA 26/731</t>
  </si>
  <si>
    <t>Prof. Dr. Filiz YALÇIN ÇAKIR</t>
  </si>
  <si>
    <t>Üniversitemiz Diş Hekimliği Fakültesi Restoratif Diş Tedavisi Anabilim Dalı öğretim üyelerinden Prof. Dr. Filiz YALÇIN ÇAKIR’ın sorumlu araştırmacı olduğu, Prof. Dr. Uzay KOÇ VURAL, Doç. Dr. Ece MERAL, Dr. Öğr. Üyesi Kemal IŞIKLI, Arş. Gör. Dt. Emirhan Korhan KOÇ ile birlikte çalışacakları,</t>
  </si>
  <si>
    <t>“Yeni Tasarım Manuel Bir Diş Fırçasının Dental Plak ve Gingivitis Üzerine Etkisinin Değerlendirilmesi: Randomize, Kontrollü, Değerlendirici-Kör, Paralel Gruplu Klinik Araştırma”</t>
  </si>
  <si>
    <t>732.</t>
  </si>
  <si>
    <t>SBA 26/732</t>
  </si>
  <si>
    <t>Üniversitemiz Tıp Fakültesi Üroloji Anabilim Dalı öğretim üyelerinden Doç. Dr. Ahmet GÜDELOĞLU’nun sorumlu araştırmacı olduğu, Prof. Dr. Uğur ÜNLÜTÜRK, Arş. Gör. Dr. Durmuş Alptuğ COŞAR ve Arş. Gör. Dr. Rabia HİZARCİ BAL ile birlikte çalışacakları,</t>
  </si>
  <si>
    <t>“Tirzepatid Tedavisinin Üriner Sistem Taş Hastalığı Riski ve İdrar Metabolizması Üzerine Etkisinin Prospektif Değerlendirilmesi”</t>
  </si>
  <si>
    <t>733.</t>
  </si>
  <si>
    <t>SBA 26/733</t>
  </si>
  <si>
    <t>“Geriatri Polikliniği Hastalarında İntrinsik Kapasite Değişmi ile Disfaji, Nütrisyonel Durum ve Kapsamlı Geriatrik Değerlendirme Parametrelerinin İlişkisi”</t>
  </si>
  <si>
    <t>734.</t>
  </si>
  <si>
    <t>SBA 26/734</t>
  </si>
  <si>
    <t>Prof. Dr. Onur KESKİN</t>
  </si>
  <si>
    <t>Üniversitemiz Tıp Fakültesi İç Anabilim Dalı öğretim üyelerinden Prof. Dr. Onur KESKİN’in sorumlu araştırmacı olduğu, Prof. Dr. Taylan KAV, Dr. Öğr. Üyesi. Bengi ÖZTÜRK, Arş. Gör. Dr. Muhammet Furkan ÇAKMAK ile birlikte çalışacakları,</t>
  </si>
  <si>
    <t>“Akut Kolesistit Dışı Nedenlerde Kurtarıcı Safra Kesesi Drenajı”</t>
  </si>
  <si>
    <t>735.</t>
  </si>
  <si>
    <t>SBA 26/735</t>
  </si>
  <si>
    <t>Doç. Dr. Derya DENİZ SUNGUR</t>
  </si>
  <si>
    <t>Üniversitemiz Diş Hekimliği Fakültesi Endodonti Anabilim Dalı öğretim üyelerinden Doç. Dr. Derya DENİZ SUNGUR’un sorumlu araştırmacı olduğu, Arş. Gör. Dt. Hayrunnisa BAŞARAN’ın uzmanlık tezi olan,</t>
  </si>
  <si>
    <t>“'Güncel İrrigasyon Solüsyonlarının Açık Apeksli Dişlerde Kalsiyum Silikat Esaslı Materyalin Push-out Bağlanma Dayanımı ve Dentin Mikrosertliği Üzerine Etkileri”</t>
  </si>
  <si>
    <t>736.</t>
  </si>
  <si>
    <t>SBA 26/736</t>
  </si>
  <si>
    <t>Üniversitemiz Tıp Fakültesi Çocuk Sağlığı ve Hastalıkları Anabilim Dalı öğretim üyelerinden Prof. Dr. Özge UYSAL SOYER’in sorumlu araştırmacı olduğu, Prof. Dr. Bülent Enis ŞEKEREL, Doç. Dr. Melike OCAK, Doç. Dr. Ayşegül ERTUĞRUL, Doç. Dr. Esra BİRBEN ve Arş. Gör. Dr. Rabia UYSAL ile birlikte çalışacakları,</t>
  </si>
  <si>
    <t>“Çocukluk Çağı Astımında Metabolik ve İnflamatuvar Belirteçlerin Astım Kontrolü ile İlişkisinin Değerlendirilmesi''</t>
  </si>
  <si>
    <t>737.</t>
  </si>
  <si>
    <t>SBA 26/737</t>
  </si>
  <si>
    <t>738.</t>
  </si>
  <si>
    <t>SBA 26/738</t>
  </si>
  <si>
    <t>739.</t>
  </si>
  <si>
    <t>SBA 26/739</t>
  </si>
  <si>
    <t>740.</t>
  </si>
  <si>
    <t>SBA 26/740</t>
  </si>
  <si>
    <t>741.</t>
  </si>
  <si>
    <t>SBA 26/741</t>
  </si>
  <si>
    <t>742.</t>
  </si>
  <si>
    <t>SBA 26/742</t>
  </si>
  <si>
    <t>743.</t>
  </si>
  <si>
    <t>SBA 26/743</t>
  </si>
  <si>
    <t>744.</t>
  </si>
  <si>
    <t>SBA 26/744</t>
  </si>
  <si>
    <t>745.</t>
  </si>
  <si>
    <t>SBA 26/745</t>
  </si>
  <si>
    <t>746.</t>
  </si>
  <si>
    <t>SBA 26/746</t>
  </si>
  <si>
    <t>747.</t>
  </si>
  <si>
    <t>SBA 26/747</t>
  </si>
  <si>
    <t>“Üniversite Öğrencilerinde Ekran Zamanının ve Teknoloji Kullanımının Ruh Sağlığı Üzerindeki Etkileri”</t>
  </si>
  <si>
    <t>“Periodontal Durum, Oral Sağlık ve Sosyal Anksiyete Düzeyi Arasındaki İlişkinin İncelenmesi”</t>
  </si>
  <si>
    <t>“65 Yaş Üstü Hastalarda Yaşlı Ayrımcılığına Maruziyet Sıklığı, Yaşlı Ayrımcılığının İlişkili Olduğu Faktörler ve Bakım Verenlerinde Yaşlanma Anksiyetesi”</t>
  </si>
  <si>
    <t>“Avrupa'da Geriatri Tıbbı Eğitim Programının Tamamlanması: Milenyum Kuşağı ve Z Kuşağı Geriatristlerinin Mesleki Beklentileri- Kesitsel, Avrupa Tabanlı Bir Çalışma”</t>
  </si>
  <si>
    <t>“Sağlık Profesyonellerinin Besin ve İlaç Etkileşimleri Hakkında Bilgi ve Farkındalık Düzeylerinin Değerlendirilmesi”</t>
  </si>
  <si>
    <t>“Çocuklarda Kedi, Köpek ve At Alerjisinde Moleküler Duyarlılık Özellikleri ve Klinik ile İlişkisi”</t>
  </si>
  <si>
    <t>“Denosumab Tedavisinde İnterlökin-6 Düzeyi ve DEXA Yanıtı İlişkisi: Retrospektif Bir Analiz”</t>
  </si>
  <si>
    <t>“Clostridium Difficile Enfeksiyonu Olan Hastanede Yatan 50 Yaş ve Üstü Hastaların Kapsamlı Geriatrik Değerlendirme ile Değerlendirilmesi”</t>
  </si>
  <si>
    <t>“İlaca Dirençli Epilepside MikroRNA İfade Değişikliklerinin Değerlendirilmesi”</t>
  </si>
  <si>
    <t>“Emilebilir İp Uygulamaları ile Biyostimülan Ajanların Yüz Anatomisi Şekillendirme Kapasitesinin Değerlendirmesi: Retrospektif Gözlem Çalışması”</t>
  </si>
  <si>
    <t>“Rozasea Hastalığının Bazı Alt Gruplarında Görülebilen Oküler Tutulumun Belirlenmesinde ve Takibinde Kullanılabilecek Yeni Biyobelirteçlerin Klinik Temelli Metabolomik Çalışmalarla Araştırılması”</t>
  </si>
  <si>
    <t>“STAT1 ve STAT3 Mutasyonu olan Hastaların Klinik ve Laboratuvar Özelliklerinin Değerlendirilmesi”</t>
  </si>
  <si>
    <t>“Emzirme Döneminde Beslenme: Annelerin İnanç ve Deneyimlerine Yönelik Kalitatif İnceleme”</t>
  </si>
  <si>
    <t>BOŞ KURUL KARARI 1</t>
  </si>
  <si>
    <t>(Kurula girmiş, karar girilmemiş)</t>
  </si>
  <si>
    <t>"Kadın Hastalarda Herediter Anjioödemin Seyri ve Klinik Özellikleri"</t>
  </si>
  <si>
    <t>adet boş karar</t>
  </si>
  <si>
    <t>"Herediter Anjioödem Tanılı Hastalarda Dental İşlemlerin Klinik Sonuçları"</t>
  </si>
  <si>
    <t>"Ağır Astımda Hedefe Yönelik Biyolojik Tedaviler: Benralizumabın Değerlendirilmesi "</t>
  </si>
  <si>
    <t>“Şeffaf Plak Tekniğinde Ramus Plağı veya Bukkal Shelf Minividası Kullanımının Mandibular Molar Distalizasyonuna Etkisinin FEM ile İncelenmesi”</t>
  </si>
  <si>
    <t>“Erken Dönem Yaşa Bağlı Makula Dejenerasyonunda Perimetri ile Makuler Parametrelerin İncelenmesi”</t>
  </si>
  <si>
    <t>“Babalarda Doğum Korkusu ile Fetal Bağlanma, Depresyon, Anksiyete ve Stres Arasındaki İlişkinin Belirlenmesi”</t>
  </si>
  <si>
    <t>“Aletli Periton Diyalizi Yapan Hastalarda Uzaktan Erişim Modüllerinin Hastanın Tedavi Uyumuna ve Diyaliz Yeterliliğine Olan Etkisinin İncelenmesi”</t>
  </si>
  <si>
    <t>“Mandibular Tek Taraflı Kondil Hiperplazisi Olan Hastalarda Eklem Aralığı ve Gonial Açı Ölçümlerinin Retrospektif Analizi”</t>
  </si>
  <si>
    <t>“Ev Hanımlarında Sosyal Medya Kullanımının Okupasyonel Denge ve Zaman Yönetimi ile İlişkisinin İncelenmesi”</t>
  </si>
  <si>
    <t>“Yaşlı Bireylerin Yardımcı Teknoloji Kullanımına Bakış Açıları: Nitel Araştırma”</t>
  </si>
  <si>
    <t>“AKUT Gönüllülerinde Psikolojik Sağlamlığın İş Yaşam Kalitesi ile İlişkisinin İncelenmesi”</t>
  </si>
  <si>
    <t>“Disleksi Tanısı Alan Üniversite Öğrencilerinin Yükseköğrenim Serüveni: Nitel Bir Çalışma”</t>
  </si>
  <si>
    <t>“Çocukluk Çağı Başlangıçlı Takayasu Arteritlerinin Romatolojik ve Kardiyolojik Değerlendirilmesi”</t>
  </si>
  <si>
    <t>“Sigara Bırakma Polikliniğine Başvuran Bireylerde Motivasyonel Görüşmenin Sürece Etkilerinin Nitel Olarak ve Yapay Zeka Resim Analizi ile İncelenmesi”</t>
  </si>
  <si>
    <t>“Gebelerin ve Postpartum ilk 6 Aydaki Annelerin Topuk Kanı Taraması Hakkındaki Düşünceleri: Kalitatif Çalışma”</t>
  </si>
  <si>
    <t>“Ataksi Telanjiektazi Hastalarının Klinik Değerlendirmeleri ile Kraniyal Manyetik Rezonans Görüntüleme Bulgularının İlişkisinin Araştırılması”</t>
  </si>
  <si>
    <t>“Pediatrik Kriptojenik Nörolojik Hastalıklarda İnsizyonel Beyin Biyopsisinin Tanıya Katkısı”</t>
  </si>
  <si>
    <t>“Posterior Üvea Nevüsü, Üvea Melanomu ve Sınırlı Koroid Hemanjiyomu Hastalıklarının Ayırıcı Tanısında Makine Öğrenmesi Temelli Yapay Zeka Algoritması Oluşturulması”</t>
  </si>
  <si>
    <t>" 0-48 ay Arasındaki Çocuklarının Aşılanma Durumları ile Ebeveynlerin E-sağlık Okuryazarlığı Düzeyi Arasındaki İlişkinin İncelenmesi”</t>
  </si>
  <si>
    <t>“Sele Bireysel Hazırlık Bilgi ve Davranış Ölçeklerinin Uyarlanarak, Etiyopya’nın Kelafo İlçesinde Yaşayan Risk Altı Nüfusun Hazırlık Düzeyinin ve İlişkili Faktörlerin Belirlenmesi”</t>
  </si>
  <si>
    <t>“65 Yaş ve Üstündeki Hastalarda Kalp Yetmezliği Semptomları ile Oral Beslenme Desteği İlişkisinin Değerlendirilmesi”</t>
  </si>
  <si>
    <t>“Alzheimer Hastalığında Disfaji ile Manyetik Rezonans Görüntülemesiyle Beyindeki Atrofi Alanları Arasındaki İlişkinin İncelenmesi”</t>
  </si>
  <si>
    <t>“Güncel Vestibüler Hastalıkların Tanısında Vestibüler Test Bataryaları ve Vestibüler Rehabilitasyon Yaklaşımlarının Belirlenmesi”</t>
  </si>
  <si>
    <t>“Multipl Skleroz Hastalarında Hastalık Modifiye Edici Tedavilerin Yan Etkilerinin Yaş ve Cinsiyete Göre İncelenmesi”</t>
  </si>
  <si>
    <t>“Rituksimabın Santral Sinir Sistemi Demiyelinizan ve Otoimmün Hastalıklarında Etkililik ve Güvenliliği: Tek Merkez Deneyimi”</t>
  </si>
  <si>
    <t>“Onkolojik veya Hematolojik Malignitesi Olan Nötropenik Hastalarda Karbapenemaz Üreten Enterobacterales Sebepli Bakteriyemi Tedavisinde Seftazidim/Avibaktam”</t>
  </si>
  <si>
    <t>“Karbapeneme Dirençli Klebsilla pneumoniae ile Gelişen Kan Dolaşımı Enfeksiyonlarında Risk Faktörleri, Mortalite ve Moleküler Epidemiyolojik Verilerin Araştırılması: Karşılaştırmalı Retrospektif Analiz”</t>
  </si>
  <si>
    <t>“Tekil Gebeliklerin İlk Trimesterdeki Myometrial Kalınlık Ölçümleriyle Preterm Doğum İlişkisi”</t>
  </si>
  <si>
    <t>“Terapötik Hikaye İçerikli Bilgilendirici İnteraktif Mobil Uygulamanın Çocuk Kalp Cerrahisi Uygulanacak Hastaların Anksiyete Seviyelerine Etkisi”</t>
  </si>
  <si>
    <t>“Karaciğer Transplantasyonu Geçirmiş Bireylerde Kardiyovasküler ve Kassal Parametrelerin, Motor Kognitif Performansın, Bilişsel Fonksiyonun, Kinezyofobinin ve Yaşam Kalitesinin İncelenmesi”</t>
  </si>
  <si>
    <t>“Endodontik-Periodontal Lezyonlarda Etyoloji, Prognoz ve Tedavi Yaklaşımlarının Endodontist ve Periodontist Perspektifinden Değerlendirilmesi: Gözlemsel Bir Çalışma”</t>
  </si>
  <si>
    <t>“Artan Trichophyton İndotineae Vakalarının Retrospektif Değerlendirilmesi”</t>
  </si>
  <si>
    <t>“Tıp Öğrencilerinde İyilik Hali Düzeyini Arttırmaya Yönelik Bir Program: Pilot Uygulama”</t>
  </si>
  <si>
    <t>“Tıpta Yan Dal Uzmanlık Eğitimi Tercihlerini Belirleyen Etkenler”</t>
  </si>
  <si>
    <t>“Erişkin Subklinik Hipotiroidili Hastalarda Kardiyak Fonksiyonların İncelenmesi”</t>
  </si>
  <si>
    <t>“Oktogenarian Kolon Kanserli Hastalarda Tedavi Etkinliğinin ve Uyumunun Değerlendirilmesi</t>
  </si>
  <si>
    <t>“Çocuklarda Antimikrobiyal İlaç Desensitizasyonlarının Etkinliği ve Güvenilirliği”</t>
  </si>
  <si>
    <t>“Çocuklarda Kemoterapötik İlaç Desensitizasyonlarının Etkinliği ve Güvenliği”</t>
  </si>
  <si>
    <t>“Rezin İnfiltrasyon Tekniğinde Farklı Pürüzlendirme Yöntemlerinin Renk Stabilitesine ve Yüzey Pürüzlülüğüne Etkisi”</t>
  </si>
  <si>
    <t>“İnfertil Göçmen Kadınların Aile Yaşantılarının Sosyal Hizmet Perspektifiyle İncelenmesi”</t>
  </si>
  <si>
    <t>“Dikkat Eksikliği Hiperaktivite Bozukluğu olan Ergenlerde Nikotin Tüketimi, Zihin Gezinmesi, Duygu Düzenleme, Zihinselleştirme ve Yürütücü İşlevlerin İncelenmesi”</t>
  </si>
  <si>
    <t>“Primer İmmün Yetmezlikli Hastalarda Nutrisyonel Durumun Değerlendirilmesi ve Vücut Kompozisyonu Ölçümü”</t>
  </si>
  <si>
    <t>“Farklı Kök Kanal Doldurma Teknikleri ile Doldurulmuş Dişlerde Kanal Dolgusu Sökümü Sonrası Apikalden Taşmanın Değerlendirilmesi”</t>
  </si>
  <si>
    <t>“Son Bir Yılda Türkiye'deki Çocuk Yoğun Bakımlarda Miyokardit”</t>
  </si>
  <si>
    <t>“Vücudu Dik Pozisyona Getirerek Yerden Ağırlık Kaldırışının (Deadlift) Biyomekanik Modellenmesi”</t>
  </si>
  <si>
    <t>“Hizmet Alanların Gözünden Boşluk Modeline Dayalı Olarak Hemşirelik Mesleğinin İmajının İncelenmesi: Nöropazarlama Analizi”</t>
  </si>
  <si>
    <t>“Astım Tanılı Ergenlerde Menstruasyonun Astım Kontrolü Üzerindeki Etkisi”</t>
  </si>
  <si>
    <t>“Asemptomatik Tansiyon Düşüklüğü Olan Hastalarda Endotel Disfonksiyonu ve Renin-Anjiyotensin-Aldosteron Sistem Fonksiyonlarının Değerlendirilmesi”</t>
  </si>
  <si>
    <t>“Uyku Apnesi Olmayan Ancak Nazal Septal Deviasyonu Olan Hastalarda Septoplasti Ameliyatı Öncesi ve Sonrası Serum Melatonin Düzeylerinin Karşılaştırılması”</t>
  </si>
  <si>
    <t>“Sekonder Hipertansiyon Klinik Özellikleri ve Tanıda Bilgisayarlı Tomografinin Rolü”</t>
  </si>
  <si>
    <t>“Kronik Hastalığı Olan Çocukların Eğitiminde Yapay Zeka Kullanımına İlişkin Pediatri Hemşirelerinin Metaforlarının Analizi”</t>
  </si>
  <si>
    <t>“Translasyonel Preklinik Modeller ile Pulmoner Fibrozis İçin Yeni Tedavi Yaklaşımlarının Geliştirilmesi”</t>
  </si>
  <si>
    <t>“Kronik Spontan Ürtiker Tanılı Adölesan Hastalarda Menstrüel Siklusun Hastalık Aktiviyesi Üzerine Etkisi”</t>
  </si>
  <si>
    <t>“Atopik Dermatit Tanılı 1-3 Yaş Arası Çocuklarda Besin Alerjisi Varlığının Lezyonel ve Non-lezyonel Deri Bölgelerindeki Sitokin ve Mikrobiyom Özelliklerine Etkisi”</t>
  </si>
  <si>
    <t>“Septik Artrit ve Osteomyelit Tanılı 0-18 Yaş Arasındaki Hastaların Klinik, Etiyolojik ve Epidemiyolojik Açıdan İncelenmesi”</t>
  </si>
  <si>
    <t>“Akciğer Kanserinde Lipid Metabolizması ile İmmün Sistem İlişkisi”</t>
  </si>
  <si>
    <t>“Farklı Ajanların İmmün Hücre Metabolizması ve Proliferasyonuna Etkileri”</t>
  </si>
  <si>
    <t>“Baş-boyun, Beyin ve Spinal Tümörlerin CEST Görüntüleme Yöntemi ile Değerlendirilmesi”</t>
  </si>
  <si>
    <t>“Midpalatal Sütur Olgunlaşmasının Değerlendirilmesinde Yeni Bir Metot”</t>
  </si>
  <si>
    <t>“Beyin Tümörünün Postoperatif Tedavisinde Antikanser/Antianjiogenik İlaç ve Kök Hücre İçeren, 3B Yazıcı ile Kişiselleştirilebilir İmplantların Geliştirilmesi ve İnvitro/İnvivo Değerlendirilmesi”</t>
  </si>
  <si>
    <t>“Multipl Skleroz Tanılı Hastalarda Telomer Uzunluğu Analizi: Prognoz, Klinik Fenotip, Dizabilite ve Manyetik Rezonans Görüntüleme Beyin Volüm Değişiklikleri ile İlişkisi”</t>
  </si>
  <si>
    <t>“Psoriatik Tırnak Bulgularının İncelenmesi ve Psoriatik Artrit ile İlişkisi”</t>
  </si>
  <si>
    <t>“IL-1 İnhibitörü Tedavisi ve Kolşisin Tedavisi Alan Ailevi Akdeniz Ateşi Hastalarında Kemik Dönüşüm Belirteçlerinin Karşılaştırılması”</t>
  </si>
  <si>
    <t>“Triple Negatif Meme Kanseri Tanılı Hastaların Klinik Özellikleri ve Tedavi Sonuçlarının İncelenmesi”</t>
  </si>
  <si>
    <t>“WaLIDD Skorunun Türkçe Geçerlik ve Güvenirlik Çalışması”</t>
  </si>
  <si>
    <t>“Ulusal Yenidoğan Tarama Programı ile Konjenital Hipotiroidi Tanısı Alarak İzlemde Geçici ve Kalıcı Konjenital Hipotiroidi Tanımlanan Olguların Retrospektif Değerlendirmesi"</t>
  </si>
  <si>
    <t>“Fibromiyalji Tanılı Hastalarda İstenilen Görüntüleme Yöntemleri ile Geçirilmiş Cerrahi Operasyonların Sıklığı"</t>
  </si>
  <si>
    <t>“Üçüncü Basamak Sağlık Merkezinde Pediatrik Osteoporoz Olgularının Etiyolojik Dağılımı, Klinik ve Laboratuvar Özellikleri”</t>
  </si>
  <si>
    <t>“Pediatrik Brakiosefalik Ven Kateterizasyonlarının Komplikasyonlar Açısından Retrospektif Olarak İncelenmesi”</t>
  </si>
  <si>
    <t>“İyon Salan Restoratif Dental Malzemelerin Bazı Mekanik Özellikler ve Mikrosızıntı Açısından İn-Vitro Olarak Değerlendirilmesi”</t>
  </si>
  <si>
    <t>“Glutatyon S Transferaz P1 Enziminin Triple-Negatif Meme Kanser Hücrelerinde Ferroptoz Üzerindeki Rolünün İncelenmesi”</t>
  </si>
  <si>
    <t>"Tip I Diyabet Tanısı Olan Çocukların Sağlıkta Baba Katılımlarının Değerlendirilmesi"</t>
  </si>
  <si>
    <t>“Kronik Myeloid Lösemi Blastik Faz Hastalarının Tek Merkezden Gerçek Yaşam Verileriyle Retrospektif İncelenmesi”</t>
  </si>
  <si>
    <t>“Çocukluk Çağı Eksojen Obezite Tedavisinde Yaşam Tarzı Değişikliği Önerilerinin Etkinliğinin İncelenmesi”</t>
  </si>
  <si>
    <t>“Bifosfonat Kullanan Hastalarda İlaca Bağlı Olarak Çenelerde Görülen Osteonekrozun Etyopatogenezinde Otofaji, Apoptoz ve Nekrozun Rolü”</t>
  </si>
  <si>
    <t>"Kronik Lenfositik Lösemi Hastalarında Ekstrameduller Tutulumunun Prognostik, Klinik, Laboratuvar, Tedavi Yanıtı Açısından Değerlendirmesi"</t>
  </si>
  <si>
    <t>“Kronik Myeloid Lösemi Hastalarının Klinik, Prognostik, Sağkalım ve Tedavilerinin Değerlendirilmesi”</t>
  </si>
  <si>
    <t>“Akut Myeloid Lösemi Hastalarında Konsolidasyon Tedavisinde Kullanılan Sitarabin Doz Yoğunluğunun Hastalığın Prognozu ve Sağkalımı Üzerine Etkisi”</t>
  </si>
  <si>
    <t>“Fertilite Koruyucu Tedavi Uygulanan Endometrium Kanseri ve Endometrial İntraepitelyal Neoplazi Tanılı Hastalarda Moleküler Sınıflandırmanın Prognoza Etkisi”</t>
  </si>
  <si>
    <t>“Özgül Öğrenme Bozukluğu ve Dikkat Eksikliği Hiperaktivite Bozukluğu Komorbiditesi Olan Çocuklarda Okuma-Yazma Performansının Yönetici İşlevler, Nörobilişsel Profil ve İşlevsellik ile İlişkisinin İncelenmesi”</t>
  </si>
  <si>
    <t>“Pediatrik Akciğer Enfeksiyonlarında Toraks BT Bulgularının Klinik Verilerle Birleştirilmesi Sonucunda Mantar ve Diğer Etkenlerin Derin Öğrenme ve Makine Öğrenmesi Yöntemleriyle Erken Dönemde Ayırt Edilmesi”</t>
  </si>
  <si>
    <t>“İnsan Hareketinin Biyomekanik Analizi İçin Bilgisayar Benzeşim Modeli Geliştirilmesi”</t>
  </si>
  <si>
    <t>“Amelogenezis İmperfectalı Hastaların Mandibula Kemik Yapısının Fraktal Analizi”</t>
  </si>
  <si>
    <t>“Göğüs Hastalıkları Hekimlerinin Kistik Fibrozis Transmembran Düzenleyici (KFTR) Modülatör Tedaviler-İlaç Etkileşimleri Hakkında Bilgi ve Tutumlarının Değerlendirilmesi"</t>
  </si>
  <si>
    <t>Osteogenezis İmperfekta Hastalarında Ağız Diş Sağlığı Durumunun Değerlendirilmesi</t>
  </si>
  <si>
    <t>“Çalışan Kadın Sağlığı: Genel Sağlık, Koruyucu Sağlık Hizmetlerinden Faydalanma ve İş-Yaşam Dengesi Durumları”</t>
  </si>
  <si>
    <t>“65 Yaş ve Üzeri Tip 2 Diabetes Mellituslu Bireylerde İlaç Kullanım Uygunluğunun Retrospektif Değerlendirilmesi”</t>
  </si>
  <si>
    <t>“Hacettepe Üniversitesi Erişkin Hastanesi İç Hastalıkları Servislerinde İstem Dışı Kilo Kaybı Nedeni ile Yatırılmış Hastalarda Tetkik Süreçlerinin ve Etiyoloji Dağılımlarının Retrospektif İncelenmesi”</t>
  </si>
  <si>
    <t>“Akut Lösemi Hastalarında Tanı Öncesi Kan Değerlerinin Etkinliği”</t>
  </si>
  <si>
    <t>“Relaps/ Refrakter Akut Myeloid Lösemi Hastalarında Reindüksiyonda Venetoklaks İçeren Tedavi Rejimlerinin Diğer Tedavilerle Karşılaştırılması”</t>
  </si>
  <si>
    <t>“Distal-Orta Yerleşimli Lokal İleri Evre Rektum Adenokanser Tanılı Hastalarda Radyoterapi Müdahalelerinin Patolojik ve Klinik Tümör Yanıt Oranlarına Etkisinin Araştırılması”</t>
  </si>
  <si>
    <t>''Kawasaki Hastalığı Tanısı Koymaya Yardımcı Yapay Zeka Modeli 'Galadriel'in Tanı Koyma Başarısının Retrospektif Değerlendirilmesi''</t>
  </si>
  <si>
    <t>''Çocukluk Çağı Sistemik Lupus Eritematozus Tanısı Koymaya Yardımcı Yapay Zeka Modeli 'Morgaf''ın Tanı Koyma Başarısının Retrospektif Değerlendirilmesi''</t>
  </si>
  <si>
    <t>“Çocukluk Çağı İnflamatuvar Doku Hastalıkları Tanılı Çocuk ve Ergenlerde Yaşam Kalitesi ve İlişkili Faktörlerin Değerlendirilmesi”</t>
  </si>
  <si>
    <t>“Çocukluk Çağı Otoimmün Romatolojik Hastalıklar Tanılı Çocuk ve Ergenlerde Yaşam Kalitesi ve İlişkili Faktörlerin Değerlendirilmesi”</t>
  </si>
  <si>
    <t>“Ergenlerde Dijital Bağımlılık Düzeyleri ile Yaşam Tarzı İnancı Arasındaki İlişkinin İncelenmesi: Bir Aile Sağlığı Merkezi Örneği”</t>
  </si>
  <si>
    <t>"Referans Merkezi Servikal Distoni Botulinum Toksin Uygulamaları Değerlendirmesi"</t>
  </si>
  <si>
    <t>"Motor İletim Blokları Parametrelerinin Retrospektif Olarak Analizi"</t>
  </si>
  <si>
    <t>“Geriatri Eğitimi, Uzmanlık Alanı ve Sosyo-Demografik Faktörlerin Geriatrik Hasta Yaklaşımına Etkisi:Türkiye'deki Uzman Doktorlar Arasında Çok Yönlü Bir Analiz”</t>
  </si>
  <si>
    <t>“Sınıf II Malokluzyona Sahip Bireylerde Temporomandibular Eklem Bozukluklarının Panoramik Radyografiler Kullanılarak Yapay Zeka ile Teşhisi”</t>
  </si>
  <si>
    <t>“Mesleksel ve Çevresel İç Ortam Hava Kirleticileri ile Akciğer Adenokarsinomu Arasındaki İlişkinin Biyolojik Kanıtlar ile Değerlendirilmesi”</t>
  </si>
  <si>
    <t>“Kronik Karaciğer Hastalarında Sarkopeninin Non-İnvaziv Yöntemlerle Değerlendirilmesi ve Sarkopenin Uzun Dönem Morbidite ve Mortaliteye Etkisi”</t>
  </si>
  <si>
    <t>“Noninvazif Pulmoner Aspergillozis ve Allerjik Bronkopulmoner Aspergillozis Tanılı Kistik Fibrozis Hastalarında Vorikonazol Serum Düzeyi Ölçümünün Tedaviye Katkısı”</t>
  </si>
  <si>
    <t>“Primer İntratorasik Nörojenik Tümörlere Multidisipliner Yaklaşım”</t>
  </si>
  <si>
    <t>“Papiller Tiroid Kanseri Tanısında Prediktif Değeri Olan Moleküllerin Tespit Edilmesi”</t>
  </si>
  <si>
    <t>“Allojenik Kök Hücre Nakli Yapılan Hastalarda Sitomegalovirüs Reaktivasyonu Sıklığının Risk Faktörlerinin ve Sağ Kalıma Etkisinin Retrospektif Değerlendirilmesi”</t>
  </si>
  <si>
    <t>“Hız Temelli Antrenmanın Aktivasyon Sonrası Performans Artışına Etkisinin Sirkadiyen Ritme göre İncelenmesi”</t>
  </si>
  <si>
    <t>“Oral İmmunoglobulin Replasmanı Almış Olan Primer İmmün Yetmezlik Hastalarının Demografik, Klinik ve Laboratuvar Özelliklerinin Değerlendirilmesi”</t>
  </si>
  <si>
    <t>“Antimikrobiyal Dirençle Mücadeleye Yönelik Nanopartiküler Aşı Formülasyonlarının Geliştirilmesi”</t>
  </si>
  <si>
    <t>“Polikistik Over Sendromlu Hastaların Açlık ve Tokluk Durumunda Beyin Fonksiyonel Durum Değişiminin İnkretin Hormonlarla İlişkisinin İncelenmesi ve Sağlıklı Gönüllüler ile Karşılaştırılması”</t>
  </si>
  <si>
    <t>“Kritik Hastalarda Yatak Başında Nabız Basıncı Değerlendirmesi Strok Volümdeki Düşük Değerleri Tespit Edebilir mi veya Değişiklikleri Takip Edebilir mi? Çok Merkezli, Kesitsel, Gözlemsel ANDROMEDA-PEGASUS Çalışması”</t>
  </si>
  <si>
    <t>“Preseptal, Orbital ve Bukkal Sellülit Nedeniyle Hastanede Yatan Çocukların Değerlendirilmesi”</t>
  </si>
  <si>
    <t>“Çocuk Hastalarda Kombine Antibiyotik Tedavilerinin Yan Etkilerinin Retrospektif Olarak İncelenmesi”</t>
  </si>
  <si>
    <t>“Kistik Hava Boşlukları ile İlişkili Akciğer Kanseri: Klinik, RadyolojikVe Patolojik Özellikler”</t>
  </si>
  <si>
    <t>“Artistik Buz Pateninde Başarılı ve Başarısız Salchow Sıçrayışlarının Kinematik Analizi”</t>
  </si>
  <si>
    <t>“Yön Değiştirme Mesafesine Göre 5-0-5 Testinin Geçerliliği ve Alt Ekstremite Kuvveti ile İlişkisi”</t>
  </si>
  <si>
    <t>“Ataksi-Telanjiektazi Hastalığının Patogenezinin Moleküler Boyutta Sistemik Analizi”</t>
  </si>
  <si>
    <t>"Adipozite İlişkili Ateroskleroz Patogenezinde Rol Oynayan Periferik Mononükleer Hücrelerdeki İnflamasyon Yolaklarının Belirlenmesi"</t>
  </si>
  <si>
    <t>“Yenidoğan Yoğun Bakım Ünitesinde Sürekli Elektroensefalografi ile Değerlendirilmiş Olan Kritik Hastaların Sonuçlarının İncelenmesi”</t>
  </si>
  <si>
    <t>“Çocuk Yoğun Bakım Servisinde Sürekli Elektroensefalografi ile Değerlendirilmiş Olan Kritik Hastaların Sonuçlarının İncelenmesi”</t>
  </si>
  <si>
    <t>“Konservatif Tedaviye Dirençli Periartiküler Kas İskelet Sistemi Hastalıklarında Fonksiyon Kısıtlayıcı Semptomların Transarteryal Periartiküler Embolizasyonu (TAPE) Tedavisi Sonrası Yanıt Değerlendirilmesi”</t>
  </si>
  <si>
    <t>“ALL BFM IC 2009 Protokolü ile Tedavi Edilen Akut Lenfoblastik Lösemili Çocuk Hastalarda Yaşam Süresi Analizi"</t>
  </si>
  <si>
    <t>“Yoğun Bakmda Hizmet veren Hekim Hemşire ve Klinik Eczacıların İntravenöz Sıvı Tedavisi Hakkında Bilgi ve Tutumlarının Değerlendirilmesi”</t>
  </si>
  <si>
    <t>“Hastalarda Var Olan Uyku Bozukluklarının Diş Çekimi Sonrası Rahatsızlıklara Olan Etkisinin İncelenmesi”</t>
  </si>
  <si>
    <t>“Ağız, Diş ve Çene Cerrahisi Alanında Yapay Zekâ Destekli Teknolojilere Yönelik Hasta İlgi ve Bilgi Seviyesi: Anket Çalışması”</t>
  </si>
  <si>
    <t>“Demiryolu ile İlişkili Ölümlerin Değerlendirilmesi: Bölgesel Bir Otopsi Çalışması”</t>
  </si>
  <si>
    <t>“Ankara Bölgesinde 2014-2023 Yılları Arasında Otopsisi Yapılmış Elektrik Akımına Bağlı Ölüm Olgularının Değerlendirilmesi”</t>
  </si>
  <si>
    <t>“Ankara Bölgesinde Otopsisi Yapılmış İkili Ölüm Olgularının Değerlendirilmesi”</t>
  </si>
  <si>
    <t>“Kütanöz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t>
  </si>
  <si>
    <t>“Teikoplanin Terapötik İlaç Düzey İzlemi: Tek Merkezli Retrospektif Analiz”</t>
  </si>
  <si>
    <t>“Uzun Süren Nötropeniye Bağlı Ciddi Enfeksiyon Olan Hastalarda Granülosit Transfüzyonu Tedavisinin Değerlendirilmesi”</t>
  </si>
  <si>
    <t>“Yetişkin Hemofili A ve B Hastaları ile Aile Üyesi Bakım Verenlerde Yaşam Kalitesi ve Bakım Yükü”</t>
  </si>
  <si>
    <t>“Orak Hücreli Anemi Hastalarının Kanama ve Tromboz Sıklıkları ile Klinik Özelliklerinin ve Tedavi Yöntemlerinin İncelenmesi”</t>
  </si>
  <si>
    <t>“Mitokondriyal Hastalıklarda Mitokondri Fonksiyon Bozukluğunun Çoklu-Omik Platformları ile Değerlendirilmesi ve Girişimsel Olmayan Yeni Tanı ve İzlem Yöntemlerinin Geliştirilmesi”</t>
  </si>
  <si>
    <t>“Mekanik Aort ve Mitral Kapak Protezi Bulunan Hastalarda Ventriküler Taşikardi Ablasyonunda Sol Ventriküle Transapikal ve Trans-Sağ Atriyal Erişimin Etkinliği ve Sonuçları”</t>
  </si>
  <si>
    <t>“Subkortikal Bant Heterotopisi: Klinik Özellikler ve Epilepsi Yükü”</t>
  </si>
  <si>
    <t>“Standart AP ve Lateral Diz Grafilerinin Değerlendirilmesi ve Radyolojik Ölçümlerin Yapay Zeka ile Analizi”</t>
  </si>
  <si>
    <t>“6 Şubat 2023 Depremzedelerinde Uzun Dönemdeki Ruhsal Sorunları Belirleyen Faktörler: Bölge Dışına Göçün Etkileri”</t>
  </si>
  <si>
    <t>“Akromegali Hastalarında Serebral Küçük Damar Hastalığı ve Vasküler Kognitif Bozuklukların Değerlendirilmesi”</t>
  </si>
  <si>
    <t>“Omuz Yaralanması Geçiren Sporcularda Spora Dönüş Evrelerinde Psikolojik Hazıroluşluğun İncelenmesi: Boylamsal Karma Desen Çalışması”</t>
  </si>
  <si>
    <t>“Diyabet Dışı Kronik Böbrek Hastalığında Sodyum-Glukoz Kotransporter 2 İnhibitörünün Proteinüri Üzerine Etkisi”</t>
  </si>
  <si>
    <t>“Gordon Sendromu Tanılı Bir Çocukta Saptanan Yeni WNK1 Varyantının Aile İçi Hastalıkla Segregasyonunun Araştırılması”</t>
  </si>
  <si>
    <t>“Malignite Nedeniyle Yapılan Gastrointestinal Sistem Cerrahisi Sonrası Görülen İntraabdominal Kanamaların Tedavisinde Cerrahi ve Vasküler Girişimsel Radyolojik Yöntem Sonuçlarının Karşılaştırılması”</t>
  </si>
  <si>
    <t>“Konjenital Hipotiroidi İçin Ulusal Ölçekli Yenidoğan Tarama Testi Sonucuyla Çocuk Endokrinoloji Bölümüne Yönlendirilen Olguların Klinik, Laboratuvar, Radyolojik Özelliklerinin İncelenmesi”</t>
  </si>
  <si>
    <t>“Optik Disk Druzeni Tanılı Hastalar ve Kontrol Gruplarında, Optik Koherens Tomografı-Anjiyografı (OCT-A) Tetkiki ile Optik Sinir Başı ve Peripapiller Mikrovasküler Değişikliklerin Karşılaştırılması ve Klinik Bulgular ile Korelasyonu”</t>
  </si>
  <si>
    <t>“Manyetik Rezonans Görüntüleme ile Serebellum, Beyin Sapı, Bazal Gangliyon ve Talamusta Saptanan Insidentalomaların Görüntüleme Bulguları”</t>
  </si>
  <si>
    <t>"Alt Premolar Dişlere Ait Gubernakular Kanalın Konik Işınlı Bilgisayarlı Tomografi Görüntülerinde İncelenmesi"</t>
  </si>
  <si>
    <t>“PIK3CG Eksikliğinin Doğal ve Kazanılmış Bağışıklık Sistemi Üzerindeki Etkilerinin Araştırılması”</t>
  </si>
  <si>
    <t>“GPT-4 ile Patoloji Raporlarında Veri Analizi”</t>
  </si>
  <si>
    <t>“Geçirilmiş Oral Cerrahi İşlemlerin Hastaların Dental Anksiyete ve Ağrı Üzerine Etkisinin Değerlendirilmesi”</t>
  </si>
  <si>
    <t>“Temporomandibular Eklem Bozukluklarında Çene Fonksiyon Kısıtlanmasının ve Yaşam Kalitesinin Değerlendirilmesi”</t>
  </si>
  <si>
    <t>“Endometrium Adenokarsinom Hastalarında Retrospektif Yetersiz ve Negatif Biyopsilerinin Klinikopatolojik Açıdan Değerlendirilmesi”</t>
  </si>
  <si>
    <t>“Çocuk Kalp Cerrahisi Uygulanan Hastalarda Postoperatif İntraabdominal Hipertansiyonun Cerrahi Sonuçlara Etkisinin İncelenmesi”</t>
  </si>
  <si>
    <t>“Aort Kapak Protezi olan Hastalarda Transtorasik Ekokardiyografik ve İnvaziv Ölçümlerle Transvalvüler Aort Gradientlerinin Karşılaştırılması”</t>
  </si>
  <si>
    <t>“Body Roundness Index ve Body Shape Index'in Sarkopenik Obezite ile Yaşayanlarda Geriatrik Sendromlar ve Kognitif Fonksiyonlarla İlişkisi</t>
  </si>
  <si>
    <t>“Primer Dismenoreden Etkilenme Düzeyine Göre Başvurulan Tamamlayıcı ve Alternatif Tedavi Yöntemlerinin Değerlendirilmesi”</t>
  </si>
  <si>
    <t>“Kullanılmayan İlaçların İadesi ve İmhası Anketinin Türkçe Geçerlik ve Güvenirlik Çalışması</t>
  </si>
  <si>
    <t>“Nörofibromatozis Tip 1 Hastalarının Beyin Manyetik Rezonans Görüntüleme Bulgularının Retrospektif Degerlendirilmesi”</t>
  </si>
  <si>
    <t>“Kalıtsal Metabolik Hastalıklar ile ROS-Aracılı Hücresel Stres Arasındaki İlişkinin Metabolizma Açısından Değerlendirilmesi”</t>
  </si>
  <si>
    <t>“İmmün Trombositopeni Hastalarında Splenektomi ile Alternatif Tedaviler Arasında Tedavi Etkinliği ve Trombositk Olay Sıklığının Karşılaştırılması”</t>
  </si>
  <si>
    <t>“İnflamatuar Bağırsak Hastalığında Sarkopeni Değerlendirmesinde Optimal Yönteminin Belirlenmesi ve Nütrisyonel Değerlendirme”</t>
  </si>
  <si>
    <t>“Hipertrofik Kardiyomiyopati Hastalarında Ventriküler Taşikardi Ablasyonunun Etkinliği ve Sonuçları”</t>
  </si>
  <si>
    <t>“Statin Tedavisi Altındaki Pediatrik Hiperlipidemi Hastalarında Glikolizasyon Profili Karşılaştırması”</t>
  </si>
  <si>
    <t>“Gecikmiş Kord Klemplenmesinin Erken Dönem Yenidoğan Komplikasyonları Üzerine Etkisinin Değerlendirilmesi”</t>
  </si>
  <si>
    <t>“Tirozinemi Tip 1 Tanılı Pediatrik Yaş Grubu Hastalarda Metabolomik Profilin Hastalığın Klinik ve Laboratuvar Bulguları ve Tedavisi ile İlişkisinin Değerlendirilmesi”</t>
  </si>
  <si>
    <t>“Amyotrofik Lateral Skleroz Hastalarının MRG ile Degerlendirilmesi”</t>
  </si>
  <si>
    <t>“Benign Paroksizimal Pozisyonel Vertigo Hastalarında Klinik Tecrübemiz”</t>
  </si>
  <si>
    <t>“Acil Servise Başvuran Febril Nötropeni Hastalarında MASCC Skorlaması ile Yapılan Hasta Yönetiminin FRAİL Kırılganlık İndeksi Skorları ile Karşılaştırılması ve Değerlendirilmesi: Gözlemsel Çalışma”</t>
  </si>
  <si>
    <t>“Erişkin Hastalarda Glenoid Versiyonlarının ve Morfolojilerinin Bilgisayarlı Tomografi (BT) ile Değerlendirilmesi”</t>
  </si>
  <si>
    <t>“Dirsek Lateral Epikondilit Tanılı Hastalarda Uyku Kalitesinin Değerlendirilmesi”</t>
  </si>
  <si>
    <t>“Ulusal Kistik Fibrozis Hasta Kayıt Sisteminde Kayıtlı Hastalarda Kistik Fibrozis İlişkili Karaciğer Hastalığının Bağımsız Belirleyicilerinin Saptanması”</t>
  </si>
  <si>
    <t>“Yoğun Bakım Ünitelerinde Endotrakeal Tüp İlişkili Oral Mukoz Membran Basınç Yaralanması: Tek Merkezde Boylamsal Bir Nokta Prevalans Çalışması”</t>
  </si>
  <si>
    <t>“HPV Aşısının Sosyal Medyadaki İnfodemisi: Nitel Çalışma”</t>
  </si>
  <si>
    <t>“X, Y ve Z Kuşağında Beslenme Alışkanlıklarındaki Farklılıkların Araştırılması”</t>
  </si>
  <si>
    <t>“Ameliyathane Dışı İrreversible Elektroporasyon Uygulanan Onkolojik Hastalarda Anestezi Yönetimi ve Komplikasyonların İncelenmesi: Retrospektif Gözlemsel Çalışma”</t>
  </si>
  <si>
    <t>“Kalça Artroplastisinde Constrained Asetabular İnsertlerin Uzun Dönem Sonuçları”</t>
  </si>
  <si>
    <t>“Tıp Fakültesi Öğrencileri İçin Geliştirilen Bir Elektronik Performans Destek Sisteminin Akademik Başarı ve Performansa Etkisi”</t>
  </si>
  <si>
    <t>“Mikozis Fungoides, Psöriasis ve Atopik Dermatit Hastalarında Dermoskopik Bulguların İncelenmesi”</t>
  </si>
  <si>
    <t>“Kistik Nötrofilik Granülomatöz Mastit ve İdiopatik Granülomatöz Mastitin Radyolojik Görüntüleme Bulgularının Klinik ve Patolojik Veriler Eşliğinde Karşılaştırılması”</t>
  </si>
  <si>
    <t>“Baş Boyun Kanserli Olgularda European Organisation for Research and Treatment of Cancer (EORTC) H&amp;N43 Modülünün Türkçe Validasyonu, Kronoradyoterapinin Hayat Kalitesi ve Akut Toksisiteler Üzerine Etkisi”</t>
  </si>
  <si>
    <t>“Tendon Transferi Uygulanan Hastalarda Etiyolojik Faktörlerin Retrospektif Analizi”</t>
  </si>
  <si>
    <t>"Nonsteroid Anti-İnflamatuar İlaçlar ile Alevlenen Hava Yolu Hastalığında Aspirin Kullanımının Kardiyovasküler Olaylar ve Kanama ile İlişkisini Değerlendirmek"</t>
  </si>
  <si>
    <t>"Nonsteroidal Anti-İnflamatuar ilaçlarla Alevlenen Solunum Yolu Hastalığında (N-ERD) Biyolojik ve Aspirin Tedavilerinin Karşılaştırmalı Etkileri "</t>
  </si>
  <si>
    <t>“Proteinüri Nedeniyle Çocuk Nefrolojisi Bilim Dalı'nda Değerlendirilen Diabetes Mellitus Tanılı Çocuk Hastaların Retrospektif Değerlendirilmesi”</t>
  </si>
  <si>
    <t>“Türk Erişkinlerde El Sıkma Kuvveti Referans Değerlerinin Belirlenmesi”</t>
  </si>
  <si>
    <t>“Çocuk ve Adolesan Tüberküloz Vakalarında Göçün Etkisi”</t>
  </si>
  <si>
    <t>“Erişkinlerin Aromaterapi Hakkında Bilgi, Tutum ve Davranışlarının Araştırılması: Kesitsel Çalışma”</t>
  </si>
  <si>
    <t>“Nörofibromatosis Tip 1 Vakalarında Gebelik Öncesi Dönemden Çocukluk Dönemine Çevresel Etkilenimler”</t>
  </si>
  <si>
    <t>“Sıfır Eko Zamanlı Manyetik Rezonans Görüntüleme ile Ölçülen Kritik Omuz Açısının Rotator Kılıf Anormallikleri ve Glenohumeral Osteoartrit ile İlişkisi”</t>
  </si>
  <si>
    <t>“Küçük/Orta Damar Vaskülitli Hastaların Kutanöz Prezentasyonları: Dermoskopik ve Histopatolojik Benzerlik ve Farklılıkların İncelenmesi”</t>
  </si>
  <si>
    <t>“Fonksiyonel Nöbet ve Epilepsi Hastalarında Faillik ve Sahiplik Hissi Parametrelerinin Değerlendirilmesi, Epilepsi Hastalarında Fonksiyonel Nöbet Gelişimini Yordayan Etmenlerin İncelenmesi”</t>
  </si>
  <si>
    <t>“Yoğun Bakımda Takip Edilen Geriatrik Hasta Grubunun Klinik Özellikleri ve Klinik Skorların Yoğun Bakım Sonuçlarına Etkisi: Çok Merkezli Prospektif Çalışma”</t>
  </si>
  <si>
    <t>"Preterm Doğum Öyküsü Olan Çocukların Okula Hazır Bulunuşluklarının Değerlendirilmesi"</t>
  </si>
  <si>
    <t>“Hastaneye Yatan Ergenlerde Hastalıkların Siberkondri Üzerindeki Etkisi”</t>
  </si>
  <si>
    <t>“Türkiye’de Aile Sağlığı Merkezlerinde Yapılan Okul Sağlık Taramalarına Yönelik Öğretmenlerin Farkındalık ve Tutumlarının Araştırılması: Nitel Çalışma”</t>
  </si>
  <si>
    <t>“Bilgisayarlı Tomografi Anjiyografide Hepatik Arter Aterosklerozu Prevalansının Araştırılması”</t>
  </si>
  <si>
    <t>“Farklı Diş Macunları ve Er,Cr:YSGG Lazerin Süt Dişi Remineralizasyonuna Etkisi”</t>
  </si>
  <si>
    <t>“Biyoprostetik Kalp Kapağı İmplantasyonu Geçiren Hastalarda Trombo-profilaksi İçin Warfarin ile Non–Vitamin K Oral Antikoagülanların Karşılaştırılması”</t>
  </si>
  <si>
    <t>“Farklı Miyeloid Neoplazilerde Tanı ve İzlemde İnflamasyon Parametreleri”</t>
  </si>
  <si>
    <t>“Erken Evre Glottik Kanserlerde Radyoterapi Sonuçları ve Ön Komissür Tutulumunun Radyoterapi Tekniği ile İlişkisi”</t>
  </si>
  <si>
    <t>"IKZF1 Gen Varyantı Saptanan Primer İmmün Yetmezlik Hastalarının Demografik, Klinik ve Laboratuvar Özelliklerinin Değerlendirilmesi"</t>
  </si>
  <si>
    <t>“Kardiyopulmoner Bypass Sırasında Hemadsorbsiyon Uygulamasının Pediyatrik Hastaların Mortalite ve Morbiditesi Üzerine Etkileri”</t>
  </si>
  <si>
    <t>“İleri Blefaropitoz Olgularında Yeni Bir Cerrahi Yaklaşım: Kontralateral Corrugatör Supercilii Kas Transpozisyonu ve Topografik-Mikroskopik Analizi”</t>
  </si>
  <si>
    <t>“Kan Akımı Kısıtlanmasına Bağlı Aerobik Egzersizin Metabolik Değişiklikler Üzerindeki Etkisinin Çoklu Omiks Teknikler ile Belirlenmesi”</t>
  </si>
  <si>
    <t>“Toplumda Tarama İçin Risk Aracının (RISC) Hospitalize Yaşlı Hastada Geçerlik ve Güvenirliğinin Değerlendirilmesi”</t>
  </si>
  <si>
    <t>“Osteoporozu Olan Geriatrik Hastalarda Kırık Riskinin FI-Lab Skoru ve Kapsamlı Geriatrik Değerlendirme ile Değerlendirilmesi”</t>
  </si>
  <si>
    <t>"İşitsel Üçlü Sessiz Harf Sıralaması Testi’nin Hafif Bilişsel Bozukluk ve Alzheimer Hastalarında Psikometrik Özelliklerinin Belirlenmesi: Ayırtedicilik, Geçerlik ve Güvenirlik Çalışması”</t>
  </si>
  <si>
    <t>“Çocuk Acil Servise İlaç İntoksikasyonu ile Başvuran ve Çocuk ve Ergen Ruh Sağlığı Tarafından Takip Edilen Bireylerin Geriye Dönük Değerlendirilmesi”</t>
  </si>
  <si>
    <t>“Palyatif Bakım Hastalarına Bakım Verenlerin Deneyimlerinde Cinsiyet Rollerinin Etkilerinin İncelenmesi”</t>
  </si>
  <si>
    <t>“Brakial Pleksus Doğum Paralizisi Olan Hastalarda Gövde ve Alt Ekstremite Dengesinin Değerlendirilmesi”</t>
  </si>
  <si>
    <t>“Ergen ve Genç Yetişkinlerde Menstrüasyon Farkındalığı”</t>
  </si>
  <si>
    <t>“Viral Solunum Yolu Enfeksiyonu Tanısı ile Takip Edilen Çocuk Hastaların Klinik Verilerinin Retrospektif Olarak İncelenmesi”</t>
  </si>
  <si>
    <t>“Astım Tanılı Çocuklarda Çekirdek Aile ve Çekirdek Aile Dışı Akrabalarda Alerjik Hastalık Sıklığının Belirlenmesi"</t>
  </si>
  <si>
    <t>“Proksimal Tibia Rekonstrüksiyonu ile Tedavi Edilen Hastaların Klinik Sonuçları”</t>
  </si>
  <si>
    <t>"Diş Hekimliğinde Yapay Zeka Destekli Teşhis ve Tedavilere Güven: Hasta Perspektifinden Bir Analiz"</t>
  </si>
  <si>
    <t>"Akut Poststreptokoksik Glomerulonefrit Tanılı Hastaların Retrospektif Olarak İncelenmesi"</t>
  </si>
  <si>
    <t>“İnsan Göbek Kordonu Temelli Yapay Timüs Organoidlerinin Geliştirilmesi ve Karakterize Edilmesi”</t>
  </si>
  <si>
    <t>“Wilms Tümörü ve Nefrojenik Artıklardaki Moleküler Değişiklikler”</t>
  </si>
  <si>
    <t>“Erişkin Popülasyonda Ayak Bileği Kırıklarının Deplasman ve Yumuşak Doku Hasarlarının ZTE sekanslı MRG ile Değerlendirilmesi ve BT ile Karşılaştırılması”</t>
  </si>
  <si>
    <t>“Yeni Nesil Antikoagülan İlaçların İlaç Etkileşimleri Hakkında Farkındalık Düzeyinin Ölçülmesi”</t>
  </si>
  <si>
    <t>“Dental Tedavi Sırasında veya Reçetelendirmede Gelişebilecek İlaç Etkileşimleri Hakkında Farkındalık Düzeyinin Ölçülmesi”</t>
  </si>
  <si>
    <t>"İmmünoterapi ile Tedavi Edilen Kanser Hastalarında Tedavi Öncesi Serbest T3/T4 Oranı ile Sağkalım İlişkisi”</t>
  </si>
  <si>
    <t>“Rotasyon Profilli Bilgisayarlı Tomografi Kullanılarak Oluşturulan Parametreler ile Radyografide Proksimal Femur Rotasyonunun Değerlendirilmesi”</t>
  </si>
  <si>
    <t>"Vegan Beslenmenin Oral Mukoza Üzerindeki Sitolojik, Genotoksik ve Antioksidan Etkilerinin İncelenmesi”</t>
  </si>
  <si>
    <t>"Hospitalize Edilen Kanser Hastalarında Mortaliteye ve Hastanede Yeniden Yatışa Etki Eden Klinik Faktörlerin İncelenmesi"</t>
  </si>
  <si>
    <t>"BRCA Mutant Meme ve Over Kanseri Hastaların Birinci Derece Erkek ve Kadın Yakınlarında Genetik Test Oranlarının ve Sonuçlarının Değerlendirilmesi"</t>
  </si>
  <si>
    <t>“Çocuklarda Doğal İmmünite Kaynaklı Santral Sinir Sistemi İnflamasyonunda Beyin Büyümesini ve Sağlığını Haritalama”</t>
  </si>
  <si>
    <t>“Geriatrik Sendromlarla C Reaktif-Albumin-Lenfosit İndeksinin İlişkisinin İncelenmesi”</t>
  </si>
  <si>
    <t>"Kristal Artropatilerde Klinik ve Radyolojik Değerlendirmenin İncelenmesi"</t>
  </si>
  <si>
    <t>"Bakteriyel Enfeksiyon Tanısı ile Yatarak Tedavi Olan Çocuk Hastaların Verilerinin Retrospektif Olarak İncelenmesi"</t>
  </si>
  <si>
    <t>“Genç Yetişkin Erkeklerde Cinsiyet Rolü Gerilimi ve Problemli Kumar Oynama”</t>
  </si>
  <si>
    <t>“Koroner Arter Hastalığı Tanılı Geriatrik Hastalarda Elektif Perkütan Koroner Girişiminin Geriatrik Sendromlarla İlişkisi”</t>
  </si>
  <si>
    <t>“Rinoplasti Ameliyatlarında Piezoelektrik Yardımlı Osteotomi ve Konvansiyonel Osteotomilerin Periorbital Ödem ve Ekimoz Üzerine Etkisi”</t>
  </si>
  <si>
    <t>“Yeme Bozukluğu Olan Ergenlerde Ebeveyn-Ergen Sınırlarının İncelenmesi”</t>
  </si>
  <si>
    <t>“Ciddi Pnömokokkal Enfeksiyon Geçiren Hastaların Retrospektif Olarak İmmün Yetmezlik Açısından Değerlendirilmesi”</t>
  </si>
  <si>
    <t>“Borderline Kişilik Özellikleri ve Çocuklukta Onaylamayan Çevre Arasındaki İlişki: Bir Model Testi”</t>
  </si>
  <si>
    <t>“Serbest Dişeti Grefti Alınan Lateral Damak Bölgesine Farklı Ajanlar Uygulanarak Yara İyileşmesinin Karşılaştırılması”</t>
  </si>
  <si>
    <t>“Heterozigot FMF Hastalarının Tedavi Kesildikten Sonraki İzleminin Değerlendirilmesi”</t>
  </si>
  <si>
    <t>“PFAPA Tanılı Hastalarda Kullanılan Tedavilerin Retrospektif Olarak Değerlendirilmesi”</t>
  </si>
  <si>
    <t>“Geriatrik Popülasyonda Prurigo Nodülaris Hastalarında Etyolojik Faktörlerin Araştırılması”</t>
  </si>
  <si>
    <t>“İntravitreal Enjeksiyon Yapılan Yaşa Bağlı Makula Dejenerasyonuna Sahip Olan Hastalarda Non Kontakt Speküler Konfokal Mikroskopi İle Korneal Parametrelerin Değerlendirilmesi”</t>
  </si>
  <si>
    <t>“Çocuklarda Post Enfeksiyöz Bronşiolitis Obliterans Gelişmesinin Genetik Temellerinin Belirlenmesi”</t>
  </si>
  <si>
    <t>“Kemoterapötik İlaç Hazırlayan ve Uygulayan Hemşirelerde Olası Toksik Etkilerin Değerlendirilmesi”</t>
  </si>
  <si>
    <t>“Metastatik Kolorektal Adenokarsinomunda Karaciğer Metastazektomisi Sonrası Adjuvan Tedavilerin Etkinliğinin Değerlendirilmesi”</t>
  </si>
  <si>
    <t>"Çocukluk Çağı Aşılarına Karşı Antikor Düzeylerinin Değerlendirilmesi"</t>
  </si>
  <si>
    <t>“Pediatrik Ampiyemde Streptococcus Pneumoniae’nin Rolü: Tanıdaki Gelişmeler ve Epidemiyolojik Bulgular”</t>
  </si>
  <si>
    <t>“Superior Mezenter Arter Sendromu Tedavisinde Beslenme Desteği ve Sonuçları”</t>
  </si>
  <si>
    <t>“Eozinofilik Özofajit Gelişen Özofagus Atrezili Olgularda Oral Mikrobiyom ve Metabolomik Profillerinin İncelenmesi”</t>
  </si>
  <si>
    <t>“Septal Perforasyon Onarımı Sonrası Mukosiliyer Klirens değerlendirilmesi: Rinosintigrafi ve Sakkarin Testi ile Karşılaştırmalı Analiz”</t>
  </si>
  <si>
    <t>“Ortognatik Cerrahi Takiplerinde Karşılaşılan Nörosensoriyel Bozuklukların Klinik Testler ile Değerlendirilmesi ve Yaşam Kalitesi Üzerine Etkisi”</t>
  </si>
  <si>
    <t>“Cinsiyet Olumlayıcı Hormon Tedavisi Alan Transgender Erkekler ve Endojen Hiperandrojenizmi Olan Polikistik Over Sendromlu Kadınlarda İnsülin Direnci ile İlişkili Laboratuvar ve Vücut Kompozisyon Parametrelerinin Karşılaştırılması”</t>
  </si>
  <si>
    <t>“Sarkoidoz Hastalarının İmmünolojik Açıdan Değerlendirilmesi”</t>
  </si>
  <si>
    <t>“Rejeneratif Endodontik Tedavide Kullanılan Materyallerin Simüle Dişlerin Kırılma Dayanımına Etkisi: Laboratuvar Çalışması”</t>
  </si>
  <si>
    <t>“Fertil Yaş Grubunda Myomektomi Sonrası Gerçekleşen Gebeliklerin Myomektomi Zamanı ile Gebelik Zamanı Arasında Geçen Sürelerin ve Gebelik Sonuçlarının Retrospektif Olarak Araştırılması”</t>
  </si>
  <si>
    <t>“Titanyum Tabanlı Monolitik Zirkonya Köprülerin Klinik Değerlendirmesi: Bir Retrospektif Takip Çalışması”</t>
  </si>
  <si>
    <t>“Testiküler Germ Hücreli Tümörlerde Tedavi Yanıtı ve Prognoz ile İlişkilendirilebilecek Biyobelirteçlerin Araştırılması”</t>
  </si>
  <si>
    <t>“Anoreksiya Nervoza Hastalarında Solunum Fonksiyonları ile Kas Kalınlığı ve Kuvveti Arasındaki İlişkinin Araştırılması: Vaka-Kontrol ve İzlem Çalışması”</t>
  </si>
  <si>
    <t>“Kalsiyum Silikat ve Kalsiyum Hidroksit Kontaminasyonunun Universal Adezivlerin Dentin Yüzeylerine Bağlanma Dayanımı Üzerindeki Etkisi”</t>
  </si>
  <si>
    <t>“Pediatrik Hiperlipidemi Hastalarında Glikolizasyon Profil  Karşılaştırması”</t>
  </si>
  <si>
    <t>“Türkiye'de Steril Vücut Sıvılarında Streptococcus Pneumoniae Serogruplarının Prevalansı: Çok Merkezli, Prospektif Çalışma”</t>
  </si>
  <si>
    <t>“Kullanılmış İnsülin İğnelerinin İmha Yöntemlerinin Tespiti: Türkiye’de Bir Aile Sağlığı Merkezi’nde Yapılandırılmış Hasta Eğitimi Müdahalesinin Sürdürülebilir Evsel Tıbbi Atık Yönetimine Etkisinin Değerlendirilmesi”</t>
  </si>
  <si>
    <t>“Ambulans Çağrısı Sonrası Hastaneye Nakledilmeyen Hasta Özelliklerinin İncelenmesi ve Alternatif Bakım Önerilerinin Değerlendirilmesi”</t>
  </si>
  <si>
    <t>“Orta Dönemde Bakılan Serum ve İdrar Metal İyon Seviyeleri, Metal-Metal Kalça Artroplastisinin On İki Yıllık Sağkalımım Öngörebilir mi?”</t>
  </si>
  <si>
    <t>"Rekreasyonel Sporcuların Maksimal Oksijen Tüketim Düzeyleri ile Vücut Kompozisyonu Arasındaki İlişkinin Belirlenmesi"</t>
  </si>
  <si>
    <t>“Uyku Sağlığı Okuryazarlığı Ölçeğinin Türkçe Geçerlik ve Güvenirlik Çalışması"</t>
  </si>
  <si>
    <t>“Videoürodinami Tetkiki Öncesi Hastanın Skopi İşlemi Sırasında Maruz Kalacağı Radyasyon Miktarını Öngörücü Faktörlerin ve Videoürodinami Tetkiki ile Kadın İşeme Fonksiyonun Tanımlanması”</t>
  </si>
  <si>
    <t>“Rekürren Glial Tümörlerde Robotik Jiroskopik Lattice Tedavisi ile Reirradyasyon: Klinik Sonuçlar ve Yaşam Kalitesinin Değerlendirilmesi”</t>
  </si>
  <si>
    <t>“Total Kalça Protezi Yapılan Hastalarda Gelişen Periprostetik Kırıkların Uzun Dönem Sonuçları ve Sağkalım Analizi”</t>
  </si>
  <si>
    <t>“Acil Serviste Fraktür Şüphesi Taşıyan Hastalara Çekilen Pelvis Bilgisayarlı              Tomografi Görüntülerinin Yapay Zeka ile Değerlendirilmesi”</t>
  </si>
  <si>
    <t>“Bir Aile Sağlığı Merkezi’ne Başvuran Erişkin Bireylerin Hipnoterapi Konusundaki Bilgi ve Tutumlarının İncelenmesi”</t>
  </si>
  <si>
    <t>“Otoinflamatuvar Hastalıklarda Akciğer Tutulumunun Değerlendirilmesi”</t>
  </si>
  <si>
    <t>“Psöriatik Artrit ve Psöriasis Tanılı Hastaların Tırnak Yatağı Kapilleroskopi Değerlendirmesi”</t>
  </si>
  <si>
    <t>“Otoimmün Hastalıklarda Eşlik Eden Ek Otoimmün Hastalıkların İncelenmesi”</t>
  </si>
  <si>
    <t>“Juvenil İdiyopatik Artritte Hastalık Gidişatının Değerlendirilmesinde Kalprotektinin Yeri”</t>
  </si>
  <si>
    <t>“6-18 Yaş Arası Besin İlişkili IgE Aracılı Reaksiyonu Olan Hastaların Değerlendirilmesi”</t>
  </si>
  <si>
    <t>“Astım Hastalarında Yorgunluk Düzeyinin Astım Kontrol Durumu ile İlişkisinin Değerlendirilmesi”</t>
  </si>
  <si>
    <t>“Antiepileptik İlaç Aşırı Duyarlılık Reaksiyonlarının Klinik ve Laboratuvar Özelliklerinin Risk Analizi ile Değerlendirilmesi”</t>
  </si>
  <si>
    <t>“Çocukluk Çağı IgG4 İlişkili Hastalık: Çok Merkezli Uluslararası Çalışma”</t>
  </si>
  <si>
    <t>“Kronik Böbrek Hastalarında Glisemik Değişkenlik ve Metabolik Profilin İncelenmesi”</t>
  </si>
  <si>
    <t>“Adli Tıp Araştırma Görevlilerinin İstifalarına Yönelik Değerlendirme: Bir Anket Çalışması”</t>
  </si>
  <si>
    <t>“Abdominal ve Torasik Aort Anevrizma Olgularında Endovasküler Onarım Sırasındaki Anestezi Yaklaşımının Klinik Sonuçlar Üzerine Etkilerinin Retrospektif Olarak İncelenmesi”</t>
  </si>
  <si>
    <t>“Ortodontik Tedavi Sürecinin Keratinize Diş Eti Özellikleri Üzerine Etkisinin İncelenmesi”</t>
  </si>
  <si>
    <t>“Ankara’da Çalışan Aile Hekimlerinin Çalıştıkları İlçenin Sosyo-Ekonomik Gelişmişlik Düzeyi ile Tükenmişlik Durumları Arasındaki İlişkinin Değerlendirilmesi”</t>
  </si>
  <si>
    <t>“Ankilozan Spondiliti Olan ve Olmayan Bireylerde Aşil, Plantar Fasya, Supraspinatus Entez Bölgelerinin Shear Wave Elastografi ile Değerlendirilmesi”</t>
  </si>
  <si>
    <t>“Erken Başlangıçlı Skolyozda Tweener Grubunun Cerrahi Tedavisinde Büyüyen Rod Uygulamaları ile Posterior Spinal Füzyonun Orta-Uzun Dönem Sonuçlarının Karşılaştırılması”</t>
  </si>
  <si>
    <t>“Serebral Palsili Çocuklarda Kalça Cerrahisi Sonrası Tekrar Çıkık Gelişimini Etkileyen Faktörler”</t>
  </si>
  <si>
    <t>“Pediatrik Popülasyonda Pelvik BT ile Asetabular Sektör Açıları ve Femoroasetabular Parametreler Arasındaki Korelasyonun Değerlendirilmesi ve Normatif Referans Değerlerin Belirlenmesi”</t>
  </si>
  <si>
    <t>“Panoramik Radyograflarda Derin Öğrenme Yöntemiyle Gelistirilen Yapay Zeka Algoritmasıyla Mandibulada Idiyopatik Osteoskleroz ile Kondensing Osteitisin Tespitinin ve Ayrımının Yapılması”</t>
  </si>
  <si>
    <t>“Geriatrik Jinekolojik Hastalarda Cerrahi Morbiditenin İncelenmesi”</t>
  </si>
  <si>
    <t>“İzole Humerus Kırığı İle Prezente Olan Endometrium Kanseri Vaka Raporu”</t>
  </si>
  <si>
    <t>“Kanıta Dayalı Eğitim Müdahaleleri ile Lipid Profili Test İstemlerinin Optimizasyonu: Kalite Geliştirme Çalışması”</t>
  </si>
  <si>
    <t>“Aile Sağlığı Merkezlerinde Aile Hekimleri Tarafından Yapılacak Bakım Noktası Ultrasonografisi: Erişkin Bireylerin Tutum ve Güveni”</t>
  </si>
  <si>
    <t>“Borderline Over Tümörlerinde Histerektominin Prognoza Etkisi”</t>
  </si>
  <si>
    <t>“IL-23 İnhibitörü Kullanan Hastalarda Üçüncü Ay Yanıtlarının Birinci Yıl Yanıtlarıyla Korelasyonu”</t>
  </si>
  <si>
    <t>“Kol Salınımının Derinlik Sıçraması Optimal Düşüş Yüksekliğine Etkisinin İncelenmesi”</t>
  </si>
  <si>
    <t>“Yardımcı Üreme Tekniklerine Başvuran Kadınlarla Güçlendirme Odaklı Sosyal Hizmet Grup Müdahalesi”</t>
  </si>
  <si>
    <t>“Kalsiyum Silikat Esaslı Kök Kanal Dolgu Maddelerinin Kanal Tedavili Dişlerin Kırılma Dayanımına Etkisinde Kalsiyum Hidroksitin Rolü”</t>
  </si>
  <si>
    <t>“Kök Kanalında Kırılan Farklı Döner Eğelerin Kanaldan Uzaklaştırılması Sırasındaki Dentin Kalınlığındaki Değişimin ve Apikalden Taşan Debrisin Değerlendirilmesi”</t>
  </si>
  <si>
    <t>“Retroperitoneal Fibrozisli IgG4 İlişkili Hastalığı Bulunan Hastaların Romatolojik ve Ürolojik Açıdan Mortalite, Morbitide, Prognozlarının ve Tedavi Yaklaşımlarının Değerlendirilendirilmesi”</t>
  </si>
  <si>
    <t>"Fertilite Koruyucu Tedavi Uygulanan Endometrium Kanseri ve Endometrial İntraepitelyal Neoplazi Tanılı Hastalarda Moleküler Sınıflandırmanın Prognoza Etkisi”</t>
  </si>
  <si>
    <t>“Mandibuler Distraktör Takılan Pediatrik Hastalarda Perioperatif Komlikasyonların Retrospektrif İncelenmesi”</t>
  </si>
  <si>
    <t>“Pnömosistis Jirovecii Pnömonisi Tanısı Koyulan Hastalarda Risk Faktörleri ve Tedavi Yanıtlarının Değerlendirilmesi”</t>
  </si>
  <si>
    <t>“Kök Kanal Tedavili Dişlerin Kırılma Dayanımında Gütaperkanın Tavsiye Edilen Tüketim Tarihinin Rolü”</t>
  </si>
  <si>
    <t>“Cinsel Yolla Bulaşan Enfeksiyonlarda Risk Paternlerinin Veri Odaklı Keşfi: Makine Öğrenimi Yaklaşımı”</t>
  </si>
  <si>
    <t>“Adipozite İndeksleri İle Geriatrik Sendromlar Arasındaki İlişki”</t>
  </si>
  <si>
    <t>“Kişiye Özel İmplantlar İle Yapılan Le Fort 1 Cerrahisinde Maksilla Pozisyonunun Doğruluğunun İncelenmesi”</t>
  </si>
  <si>
    <t>“Migren Tedavisi Optimizasyon Anketi (MTOQ)-4"ün Türkçe Geçerlik ve Güvenirlik Çalışması”</t>
  </si>
  <si>
    <t>“Kronik Hastalıklarda Doktor-Hasta İlişkisi Ölçeği’nin Türkçe Geçerlik ve Güvenirlik Çalışması”</t>
  </si>
  <si>
    <t>“Deoksiriboz Nükleik Asit Yanlış Eşleşme Tamir Proteinlerinde İmmunohistokimyasal Olarak Kayıp Gözlenen Endometrium Kanserlerinde, Lynch Sendromu İçin Uygulanan Algoritmanın ve Çalışma Kohortunda Lynch Sendromu Saptanan Olguların Değerlendirilmesi”</t>
  </si>
  <si>
    <t>“Prostat ve Mesane Kanserlerinde DNA Hasar Yanıtının Hedeflenmesi: Preklinik Modelleme"</t>
  </si>
  <si>
    <t>“Leiomyoma Tanısıyla Opere Edilen Ve Fumarat Hidrataz Eksikliği Saptanan Hastaların Klinik Sonuçlarının Değerlendirilmesi”</t>
  </si>
  <si>
    <t>“Bir Üniversite Hastanesindeki Diş Hekimlerinin Dental Anksiyete Konusundaki Bilgi, Farkındalık ve Yönetim Stratejilerinin Değerlendirilmesi”</t>
  </si>
  <si>
    <t>“Aktive Fosfoinositid 3-Kinaz Delta| Sendromu Tanısında Laboratuvar Testlerinin Karşılaştırılması”</t>
  </si>
  <si>
    <t>“Kistik Fibrozisli Çocuklarda İlk Asemptomatik Metisilin Dirençli Staphylococcus aureus Üremesine Yönelik Antibiyotik Tedavisi Verilmesinin Klinik Duruma Etkisi”</t>
  </si>
  <si>
    <t>“46,XY Cinsiyet Gelişim Bozukluğu Tanılı Hastalarda Moleküler Etiyolojinin Araştırılması”</t>
  </si>
  <si>
    <t>“İnek Sütü Alerjisi Olan Çocuklarda Serum Albümin Duyarlılığı ve Sığır Eti Alerjisi Birlikteliğinin Değerlendirilmesi”</t>
  </si>
  <si>
    <t>“Psödohipoparatiroidizmin Klinik ve Laboratuvar Özellikleri ile Genotip-Fenotip İlişkisi”</t>
  </si>
  <si>
    <t>“Fossa Vermiana’nın Morfolojik ve Morfometrik Olarak İncelenmesi”</t>
  </si>
  <si>
    <t>“Çocukluk Çağında Dirençli Epilepside Uyku Bozuklukları ve Diğer Komorbid Durumların Değerlendirilmesi”</t>
  </si>
  <si>
    <t>“Kornea Endotelini Etkileyen Hastalıklarda İnvivo Konfokal Mikroskopi Görüntülerinin Derin Öğrenme Tabanlı Bilgisayarlı Görü Yöntemleriyle Sınıflandırılması”</t>
  </si>
  <si>
    <t>“Yaşlı Bireylerde Farklı Formüllerle Hesaplanan Glomerüler Filtrasyon Hızı ile Kognitif Fonksiyonların ilişkisi”</t>
  </si>
  <si>
    <t>“Kök Kanalında Farklı Uzunluklarda Kırılan Nikel-Titanyum Eğelerin Farklı Yöntemler ile Uzaklaştırılmasının Apikalden Taşan Debrise Etkisi”</t>
  </si>
  <si>
    <t>“Türkiye 65 Yaş Üstü Popülasyonunda Yaşa ve Cinsiyete Göre Baldır Çevresi Persentil Eğrilerinin Oluşturulması: Tek Merkezli Kesitsel Bir Çalışma”</t>
  </si>
  <si>
    <t>“Kartilaj Slop ve Ön Çapraz Bağı Rüptürü Risk Faktörlerinin Merge MRG ile Değerlendirilmesi”</t>
  </si>
  <si>
    <t>“Sigara İçen ve İçmeyen Bireylerde D Vitamini Seviyeleri ile İnflamatuar Biyobelirteçler (CRP, IL-17, IL-19) Arasındaki İlişkinin Değerlendirilmesi”</t>
  </si>
  <si>
    <t>“Farklı Konsantrasyonlarda ve Taşıyıcılarla Hazırlanan Kalsiyum Hidroksitin Apikalden Taşma Miktarının İn Vitro Değerlendirilmesi”</t>
  </si>
  <si>
    <t>“Çocuklarda Duodenogastrik Reflü Hastalığı: Bu Bir Fonksiyonel Gastrointestinal Hastalık mıdır?”</t>
  </si>
  <si>
    <t>“AtopikDermatit Tanılı Adölesan Hastalarda Uyku ve Yasam Kalitesinin Değerlendirilmesi”</t>
  </si>
  <si>
    <t>“Schwartz Jampel Sendromunda Metabolik Yolakların Araştırılması ve Terapötik Yaklaşım Hedefleri”</t>
  </si>
  <si>
    <t>"Erişkinlerde Yaş Tayini İçin Pulpanın Radyolojik Değişikliklerinin İncelendiği Yeni Bir Yöntemin Değerlendirilmesi"</t>
  </si>
  <si>
    <t>“Elektrofizyoloji Laboratuvarında Miyotonik Boşalımlar: Tanı, Klinik ve Elektrofizyoloji”</t>
  </si>
  <si>
    <t>“Herediter Miyelin Hastalıklarında Periferik Sinir Sistemi Tutulumunun Elektrofizyolojik Özellikleri”</t>
  </si>
  <si>
    <t>“Dudak Damak Yarığı Hastalarında Temporomandibuler Eklem Patolojilerinin Konik Işınlı Bilgisayarlı Tomografi (KIBT) Görüntüleri Üzerinden Araştırılması”</t>
  </si>
  <si>
    <t>“Baş Boyun Yassı Hücreli Kanserlerinde DNA Metilasyonunun Gen Ekspresyonu Üzerinden Prognoza Etkisi”</t>
  </si>
  <si>
    <t>“Radyasyon Yönetim Sistemleri ile Bilgisayarlı Tomografi Tetkiklerinin Lokal Tanısal Referans Seviyelerinin Belirlenmesi”</t>
  </si>
  <si>
    <t>“Primer Hiperparatiroidi Hastalarında Cerrahi Tedavi ile Sağlanan Kürün Miyokin Profili Üzerindeki Etkilerinin İncelenmesi”</t>
  </si>
  <si>
    <t>“Lateral Epikondilit Tedavisinde Steroid Enjeksiyonu ile Kombine Lateral Antebrakial Kutanöz Sinir Pulsed Radyofrekans Tedavisinin Etkinliğinin Değerlendirilmesi”</t>
  </si>
  <si>
    <t>“Medial Diz Ağrısı Olan Diz Osteoartritli Hastalarda Safen ve Medial Geniküler Sinirlerin Pulsed Radyofrekans Tedavilerinin Etkinliklerinin Karşılaştırılması”</t>
  </si>
  <si>
    <t>“Küresel Bir Halk Sağlığı Problemi Olan Antibiyotik Direncini Aşmak için Antisense Oligonükleotit Temelli Yenilikçi Formülasyonların Geliştirilmesi ve Değerlendirilmesi”</t>
  </si>
  <si>
    <t>“Multiple Miyelom Etiyolojisinde Kopya Sayısı Değişikliklerinin Dijital Multipleks Ligasyon Bağımlı Prob Amplifikasyonu (MLPA) ile Araştırılması”</t>
  </si>
  <si>
    <t>“Çocuklarda Laparoskopik Kolesistektomilerde İndosiyaninyeşil (ICG) destekli Floresan Görüntülemenin Cerrahi Sonuçlara Etkisinin Belirlenmesi”</t>
  </si>
  <si>
    <t>“Maksiller Darlığa Sahip İleri Sutural Maturasyon Evresinde Olan Hastalarda Modifiye Glassman Tekniği ile Cortico-Puncture Tekniği Uygulanarak Yapılan Mini Vida Destekli Genişletme Tedavisinin Etkilerinin Karşılaştırılması”</t>
  </si>
  <si>
    <t>"İntraoküler Retinoblastomun Geç Nükslerinin Retrospektif Olarak Değerlendirilmesi"</t>
  </si>
  <si>
    <t>“Temporomandibular Eklem Bozukluklarında Ağız Açma Sırasında Disk Morfolojisinde Meydana Gelen Pozisyonel Transformasyonun Klinik Bulgular ve Manyetik Rezonans Görüntüleme Parametreleri ile İlişkisinin Değerlendirilmesi”</t>
  </si>
  <si>
    <t>“Nörodejeneratif Hastalıkların Erken Tanısında Göz Hareketleri Kullanılabilir mi?: Yapay Zeka Aracılıklı Vaka-Kontrol Çalışması”</t>
  </si>
  <si>
    <t>“Kritik Hastalarda Rutin Mikrodolaşım Değerlendirmesinin Şok Erken Tanısına Etkisi”</t>
  </si>
  <si>
    <t>“İskemik Ventriküler Taşikardi Ablasyon Tedavisinde Kritik Koridorların Değerlendirilmesi: Üç Boyutlu Elektroanatomik Haritalama ve Kardiyak Manyetik Rezonans Görüntüleme Bulgularının Karşılaştırılması ve Sonlanımlar Üzerine Etkisi”</t>
  </si>
  <si>
    <t>“Şiddetli Ülseratif Kolit Hastalarında Aleksitimi Varlığının Değerlendirilmesi”</t>
  </si>
  <si>
    <t>“İnflamatuar Bağırsak Hastalıklarında Kullanılan Biyolojik Ajanlarda Tedavi Persistensinin Değerlendirilmesi ”</t>
  </si>
  <si>
    <t>“Meme Kanseri Hastalarında Gustave Roussy İmmün Skorunun Sağ Kalım ile İlişkisi”</t>
  </si>
  <si>
    <t>“Endometrioma Nedeniyle Skleroterapi Uygulanan Hastalarda Over Rezervi, Fertilite, Gebelik Sonuçları ve Endometrioma Prognozu Üzerine Etkisinin Retrospektif Analizi”</t>
  </si>
  <si>
    <t>"Steroid Olmayan Anti-İnflamatuar İlaçlarla Alevlenen Hava Yolu Hastalığı (NERD) Hastalarında Aspirin Desensitizasyonu Sonrası Düzenli Aspirin Tedavisinin (ATAD) Serum Lipit Mediyatörleri Üzerine Etkilerinin Araştırılması"</t>
  </si>
  <si>
    <t>“Keratokonus Evresi ile Retina Sinir Lifi Tabakası, Makula Kalınlığı, Ganglion Hücre Tabakası Parametrelerindeki Değişikliklerin İlişkisinin Optik Koherens Tomografi Kullanarak İncelenmesi”</t>
  </si>
  <si>
    <t>“Yeni Hepatit B Biyobelirteçlerinin Kronik Hepatit B Hastalığının Fazlarındaki Değişiminin İncelenmesi”</t>
  </si>
  <si>
    <t>“Rekreasyonel ve Elit Kadın Sporcularda İnkontinans Sıklığının ve Etiyolojisinin Belirlenmesi”</t>
  </si>
  <si>
    <t>“Eklem İçi Ortobiyolojik Uygulanmış Diz Osteoartritli Hastaların Hareket Analizi”</t>
  </si>
  <si>
    <t>''Tam Çift Sistemler İçin Yapılan Üst Kutuplu Heminefrektomi Sonrası Hasta Takiplerinde Alt Üriner Sistem Cerrahisi Gerekliliğinin Değerlendirilmesi”</t>
  </si>
  <si>
    <t>“Farklı Cinsteki Üriner Sistem Taşlarının Evriminin Cerrahi Bulgular ve Laboratuar Tetkikleri ile Araştırılması”</t>
  </si>
  <si>
    <t>“Post-travmatik Epilepsi: Hastaların Klinik Özellikleri, MRGve EEG Bulgularının Prognozla İlişkisi”</t>
  </si>
  <si>
    <t>“Mikrosatellit İnstabilitesi Yüksek Olan Mide Kanseri Olgularında Tedavi Yaklaşımı ve Prognoz İncelenmesi”</t>
  </si>
  <si>
    <t>“Elektrofizyoloji Laboratuvannda Pleksus Hasarı Tanısı”</t>
  </si>
  <si>
    <t>“Yoğun Bakım Hastalarında Vücut Yağ ve Kas Dağılımının Organ Sonlanımı ve Mortaliteye Etkisi”</t>
  </si>
  <si>
    <t>“Kalıtsal Kanser Sendromlarında Gelişmiş Genomik Yaklaşımlarla Yeni Genetik Faktörlerin Tanımlanması”</t>
  </si>
  <si>
    <t>“Opere Temporal Lob Epilepsili Hastalarda Jeneralize İnteriktal Epileptiform Deşarj Varlığı ve Önemi”</t>
  </si>
  <si>
    <t>"Üniversite Öğrencileri Arasında Sosyal Medyada Karşılaştıkları Beslenme ve Gıda ile İlgili İçeriklerin Öğrencilerin Beslenme Davranışlarını Etkileme Durumlarına İlişkin Görüşlerinin Belirlenmesi"</t>
  </si>
  <si>
    <t>“Üçüncü Molar Dişlerle İlişkili Perikoronal Foliküllerin Radyografik ve Patolojik Özelliklerinin Retrospektif İncelenmesi”</t>
  </si>
  <si>
    <t>“İç Hastalıkları Uzmanları ve Araştırma Görevlilerinde Obezite Farkındalığı ve Bilgi Düzeyi ile Eğitim İhtiyacının Belirlenmesi”</t>
  </si>
  <si>
    <t>“Mitral Anüler Disjunction Saptanan Hastalarda Genetik Etiyolojinin Araştırılması ”</t>
  </si>
  <si>
    <t>“POS-VAP: Sürekli Gözlemsel Çalışma- Ventilatör İlişkili Pnömoni”</t>
  </si>
  <si>
    <t>“Dahiliye Servislerinde İlaç Uygulama Zamanlarının Değerlendirilmesi ve Klinik Eczacının Rolü”</t>
  </si>
  <si>
    <t>“Kalça Osteoartritli Hastalarda Floroskopi ve Ultrasonografi Kılavuzluğunda İntraartiküler Kalça Enjeksiyonlarının Etkinliklerinin Karşılaştırılması”</t>
  </si>
  <si>
    <t>“Diz Osteoartritli Hastalarda Floroskopi ve Ultrasonografi Kılavuzluğunda İntraartiküler Diz Enjeksiyonlarının Etkinliklerinin Karşılaştırılması"</t>
  </si>
  <si>
    <t>“Laringotrakeal Stenoz Cerrahi Tedavisinde Uzun Dönem Sonuçlarımız: 15 Yıllık Hacettepe Tecrübesi”</t>
  </si>
  <si>
    <t>“Soliter Fibröz Tümör/Hemanjioperisitoma Tanılı Hastaların Demografik, Klinikopatolojik, Prognostik Özelliklerinin ve Tedavi Yanıtlarının Değerlendirilmesi”</t>
  </si>
  <si>
    <t>“B12 Vitamini Eksikliği Tedavisinin Kılavuza Uygunluğunun Değerlendirilmes”</t>
  </si>
  <si>
    <t>“Obez Hastalarda Meropenem ve Vankomisin Terapötik İlaç Düzeyi İzlemi: Retrospektif Bir Kohort Çalışması”</t>
  </si>
  <si>
    <t>“İlaca Dirençli Fokal Epilepsili Çocuklarda İktal Otonomik Bulguların Değerlendirilmesi”</t>
  </si>
  <si>
    <t>“Türkiye’de Deri ve Zührevi Hastalıklar Uzmanları ve Uzmanlık Öğrencilerinin Hekimlik Uygulamalarında Chat GPT Kullanımını ve Bu Uygulamaya Güvenini Değerlendiren Anket Çalışması”</t>
  </si>
  <si>
    <t>"Biyolojik Tedavilerin Otoenjektor ve Kullanıma Hazır Enjektörler Formlarının Evde Kullanımının Degerlendirilmesi"</t>
  </si>
  <si>
    <t>“Paranazal Sinüs Pnömotizasyonu ile Nazal Muayene Bulguları ve Rinomanometrik Parametreler Arasındaki İlişkinin Değerlendirilmesi”</t>
  </si>
  <si>
    <t>“Ortognatik Cerrahide ERAS Yaklaşımının Operatif Parametreler ve Nörosensoryel İyileşmeye Etkisi”</t>
  </si>
  <si>
    <t>“Tıp Fakültesi Öğrencilerinin Zona Hastalığı ve Zona Aşısıyla İlgili Bilgi Düzeyinin Değerlendirilmesi: Tanımlayıcı Kesitsel Çalışma”</t>
  </si>
  <si>
    <t>“Yumurta Alerjisi Olan Çocuk Hastalarda Yumurta Merdiveninin Güvenlik ve Etkinliğinin Değerlendirilmesi”</t>
  </si>
  <si>
    <t>“Ön Çapraz Bağ Rekonstrüksiyonu Yapılan Hastalarda Kemik Tünel Genişliklerinin Zero Time Echo Sekans Manyetik Rezonans Görüntülemeve Bilgisayarlı Tomografi ile Karşılaştırılması”</t>
  </si>
  <si>
    <t>“Aril Hidrokarbon Reseptör (AhR) Yolağının Mezenkimal Kök Hücreden İn Vitro Adiposit Farklılaşmasındaki ve Olgun Adipositlerdeki Rolünün İncelenmesi”</t>
  </si>
  <si>
    <t>“Metabolik Disfonsiyon ile İlişkili Steatotik Karaciğer Hastalığında Serum ve İdrar Uromodulin Düzeylerinin Böbrek Fonksiyonlarıyla İlişkisi”</t>
  </si>
  <si>
    <t>“Kırım- Kongo Kanamalı Ateşi Olan Çocuk Hastaların Klinik Verilerinin Retrospektif Değerlendirilmesi”</t>
  </si>
  <si>
    <t>“Kalıcı Kalp Pili İmplantasyonunda Venöz Oklüzyon İzlenen Hastalarda Venoplasti Sonuçlarının Değerlendirilmesi”</t>
  </si>
  <si>
    <t>“Transfemoral Yol ile Yapılan Girişimsel İşlemlerde Yüzeyel Ultrasonografinin Prognoz ve Mortaliteye Etkisinin Değerlendirilmesi”</t>
  </si>
  <si>
    <t>“Yapay Zekanın Ventriküler Ekstrasistollerin Elektrokardiyografik Özelliklerine Göre Anatomik Lokalizasyonlarının Değerlendirilmesindeki Rolünün İncelenmesi”</t>
  </si>
  <si>
    <t>“Hastanede Yatan 65 Yaş ve Üstü Bireylerde Sosyal Kırılganlığın Değerlendirilmesi ve Geriatrik Sendromlarla İlişkisi”</t>
  </si>
  <si>
    <t>“Polikistik Over Sendromuna İlişkin Bilgi ve Algının Çok Dilli Video Tabanlı Eğitim ile Değerlendirilmesi”</t>
  </si>
  <si>
    <t>“Periapikal Patolojisi Bulunan Dişlerde Primer Endodontik Tedavinin Başarısızlık Nedenlerinin İncelenmesi”</t>
  </si>
  <si>
    <t>“Morganellaceae Ailesinde Antibiyotik Direnç Mekanizmalarının ve Virülans Faktörlerinin Fenotipik ve Genotipik Yöntemlerle İncelenmesi”</t>
  </si>
  <si>
    <t>“Güncel Üniversal Kompozit Rezinlerin Polimerizasyon Büzülmesi ve Mikrosızıntı Açısından Karşılaştırılması”</t>
  </si>
  <si>
    <t>“Peri-implantitis ve Periodontitiste İnflamatuvar ve Koruyucu Yanıt: Dişeti Islaklığı, Dişeti Oluğu Sıvısı ve Peri-implant Oluk Sıvısının TNF-α, IL-10, MUC4 Düzeylerinin İncelenmesi”</t>
  </si>
  <si>
    <t>“Fasiyal Reanimasyonda Yeni Bir Donör Sinir: Servikal Sinirin Topografik ve Mikroanatomik Özelliklerinin İncelenmesi, Kadavra Çalışması”</t>
  </si>
  <si>
    <t>“Sezon Öncesi Antrenman Yükü, Kuvvet Parametreleri ve Performans İlişkisinin Antrenman Takibi Yöntemleri ile Değerlendirmesi”</t>
  </si>
  <si>
    <t>“Multipıl Skleroz Hastalarındaki Demiyelinizan Lezyonların, Non-demiyelinizan Lezyonlardan Duyarlılık Ağırlıklı MR Görüntüleme ile Ayrımı”</t>
  </si>
  <si>
    <t>"Santral Sinir Sistemi’nde T Hücreli Lenfomaların Görüntüleme Bulguları"</t>
  </si>
  <si>
    <t>“Torasik Outlet Sendromu Hastalarında Stellat Ganglion Bloğu ile Torasik Sempatik Bloğun Ağrı Yönetimindeki Etkinliğinin Karşılaştırılması”</t>
  </si>
  <si>
    <t>“Türkiye'de Aile Hekimlerinin Kronik Ağrısı Olan Hastalara Yaklaşımı: Tanımlayıcı Çalışma”</t>
  </si>
  <si>
    <t>“Koroner Arteriovenöz Fistül Hastalarının Tanı, Tedavi ve Takip Süreçlerinin Retrospektif Değerlendirilmesi”</t>
  </si>
  <si>
    <t>“Yaş ve Cinsiyete Özgü Baldır Çevresi Persentilleri ile Geriatri Polikliniği Hastalarında Olası Sarkopeni Arasındaki İlişki”</t>
  </si>
  <si>
    <t>“Aril Hidrokarbon Reseptörü İnhibisyonunun Kemik İliği Yağ Mezenkimal Kök Hücreleri Kaynaklı Ekstraselüler Veziküller Aracılığıyla Kemik İliği Nişine Olan Etkilerinin Araştırılması”</t>
  </si>
  <si>
    <t>“Femoral ve Karotis Plak Yükünün Uzun Dönem Takipte Aterosklerotik Vasküler Olaylar ile İlişkisinin Değerlendirilmesi”</t>
  </si>
  <si>
    <t>“Düşük İmmün Reaktif Tripsinojen (IRT) Değerleri Nedeniyle Yenidoğan Taramasından Kaçan Kistik Fibrozisli Çocukların Özellikleri ve Taramada Yakalanan Hasta Grubu ile Karşılaştırılması”</t>
  </si>
  <si>
    <t>“Kafein ve L-Karnitin Takviyesinin Koşucularda Substrat Oksidasyonu ve Solunumsal Eşik Şiddeti Üzerindeki Koşu Performansýna Etkisi”</t>
  </si>
  <si>
    <t>“Psöriazis Tanılı Biyolojik Tedavi Alan Kronik Hepatit B Enfeksiyonu Olan Hastalarda Hepatik Fibrozisin Transient Elastografi ile Değerlendirilmesi”</t>
  </si>
  <si>
    <t>“Kolşisin Dirençli Ailevi Akdeniz Ateşinin Yönetiminde Klinisyen Yaklaşımlarının Anket ile Araştırılması”</t>
  </si>
  <si>
    <t>"Ankilozan Spondiliti Olan ve Olmayan Bireylerde Asil ve Supraspinatus Entez Bölgelerinin Karşılaştırılması ve Ankilozan Spondilit Hastalik Aktivitesi ve Fonksiyonel Durumu ile İlişkilendirilmesi"</t>
  </si>
  <si>
    <t>“Juvenil Skleroderma Tanılı Hastaların Özelliklerinin Belirlenmesi”</t>
  </si>
  <si>
    <t>“Major Depresyon Bozukluğunda SSRI Tedavisinin Başarısını Öngören, Emosyonel EEG Tabanlı, Çizge Kuramsal ve Nedensel Bir Prognostik Belirteç Araştırması”</t>
  </si>
  <si>
    <t>“İskelet Displazili Çocuklarda Geçici Hemiepifizyodez Cerrahisi Sonrası Radyolojik Sonuçlar ve Rekürrens Eğilimleri”</t>
  </si>
  <si>
    <t>“Pierre Robin Sekanslı Hastalarda Distraksiyon Osteogenezis Uygulamasının Dentofasiyal Yapılara Uzun Dönemdeki Etkisi”</t>
  </si>
  <si>
    <t>"Şeffaf Plak Tedavilerinde Kullanılan Ataşmanların Hastaların Estetik ve Fonksiyon Algılarının Üzerine Etkisinin Değerlendirilmesi"</t>
  </si>
  <si>
    <t>"Yüz Dikey Yüksekliği Farklı Olan Kadınlarda Degişen Üst Lateral Diş Boyutlarınım Gülümseme Estetiğine Etkisi”</t>
  </si>
  <si>
    <t>“Neoadjuvan Kemoterapi, Cerrahi ve Adjuvan Radyoterapi Uygulanan Meme Kanserli Olgularda HER2- Düzeyi ile Sağkalım İlişkisi ”</t>
  </si>
  <si>
    <t>“İnvaziv Lobüler Meme Kanserinde Pozitron Emisyon Tomografisi / Bilgisayarlı Tomografi Görüntüleme Yöntemi ile Hastalık Heterojenitesinin Değerlendirmesi”</t>
  </si>
  <si>
    <t>“Cerrahi Olarak Tedavi Edilen Pelvik Fragilite Kırığı Olan Hastaların Retrospektif Olarak Değerlendirilmesi: Fonksiyonel ve Radyolojik Bulgular”</t>
  </si>
  <si>
    <t>“ICIQ-FLUTS ve ICIQ-MLUTS Skorlarının Ürodinamik Tanılarla İlişkisi: Retrospektif Bir Analiz”</t>
  </si>
  <si>
    <t>“Nöroloji ve Çocuk Nöroloji Bölümlerinden Çocuk İmmünoloji Bölümüne Konsulte Edilen ve Primer İmmün Yetmezlik Tanısı Konulan Hastaların İncelenmesi”</t>
  </si>
  <si>
    <t>“2500 Hastalık Vaka Serisiyle Primer Dudak ve Damak Yarıkları: Epidemiyolojik, Cerrahi ve Postoperatif Komplikasyonların Erken ve Geç Dönem İlişkisinin Analizi”</t>
  </si>
  <si>
    <t>"Manyetik Rezonans Görüntülemede Difüzyon Ağırlıklı Görüntüleme Ovaryan ve Adneksal Lezyonları Raporlama ve Veri Sistemi– Manyetik Rezonans Skorlama Skalasının İsabetine Katkısı"</t>
  </si>
  <si>
    <t>“Yenidoğan Taraması ile Tanı Alan Spinal Musküler Atrofili Çocukların Tedavi Altında +2. Yıl Fonksiyonel İzlem Sonuçları: Hacettepe Örneği”</t>
  </si>
  <si>
    <t>“Çocukluk Çağı Tümörleri İlişkili Trombüslerde Cerrahi Tedavi Yöntemleri”</t>
  </si>
  <si>
    <t>“Çocuk Hastalarda Ekstragonadal Germ Hücreli Tümörlerin Klinik, Patolojik Özellikleri ve LIN28 ile İmmunohistokimyasal Analizi”</t>
  </si>
  <si>
    <t>“Primer Dudak Damak Yarıklı Hastalarda Eşlik Eden Anomalilerin Operasyon Yaşı ve Erken Dönem Postoperatif Komplikasyonlarla İlişkisi</t>
  </si>
  <si>
    <t>“Erişkin Kistik Fibrozis Hastalarında Genotiplere Göre Modülatör Tedavi Etkinliğinin Değerlendirilmesi”</t>
  </si>
  <si>
    <t>“Ankara’da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t>
  </si>
  <si>
    <t>“Pediatrik Wilson Hastalarında Nörotoksisitenin Değerlendirilmesi”</t>
  </si>
  <si>
    <t>“Abdominal Patolojilerin Radyolojik Tanısına Yönelik Derin Öğrenme Modeli Geliştirilmesi.”</t>
  </si>
  <si>
    <t>“Çocukluk Çağında Pankreatit”</t>
  </si>
  <si>
    <t>“Farklı Materyaller ve Kalınlıklar ile Taklit Edilen Periodontal Ligamentin Kök Kanal Tedavili Dişlerde Kırılma Dayanımı Üzerindeki Etkisi: İn Vitro Çalışma”</t>
  </si>
  <si>
    <t>“İmmünoterapi Alan Hastalarda İmmün Yan Etki Gelişimini Predikte Eden Klinik ve Genetik Belirteçler”</t>
  </si>
  <si>
    <t>“Üst Aerodigestif Sistem Mukozal Lezyonların Analizinde Dar Bant Görüntülemenin Yeri, Verilerin Histopatolojik İnceleme ile Karşılaştırılması”</t>
  </si>
  <si>
    <t>“Çocuklarda Cerrahi Sonrası Geliştirilmiş İyileştirme (Enhanced Recovery After Surgery: ERAS) Programı Uygulamaları”</t>
  </si>
  <si>
    <t>“Kırım- Kongo Kanamalı Ateşi Tanılı Çocuk ve Erişkin Hastaların Sitokin ve Kemokin Yanıtlarının Değerlendirilmesi”</t>
  </si>
  <si>
    <t>“Toraks BT Görüntülerinde İnterstisyel Akciğer Hastalığı Tespiti Amacıyla Akciğer Desen Analizine Yönelik Yapay Zeka Uygulaması”</t>
  </si>
  <si>
    <t>'Mitral Kapak Replasmanı Sonrası Postoperatif Mitral Gradient ile Kapak Boyutu, Vücut Kitle İndeksi ve Sol Atrium Çapı Arasındakı İlişkinin Retrospektif Analizi''</t>
  </si>
  <si>
    <t>“Preoperatif Uyku Kalitesinin Mandibular Gömülü Üçüncü Molar Diş Çekimi Sonrası Ağrı ve Ödem Üzerine Etkisi”</t>
  </si>
  <si>
    <t>“Aile Hekimliği Uzmanlık Öğrencileri İçin EASM Rotasyonu Öncesi Çevrimiçi Bir Oryantasyon Eğitimi Programının Geliştirilmesi ve Etkinliğinin Değerlendirilmesi”</t>
  </si>
  <si>
    <t>“Nemalin Miyopatisi Olan Hastalar için Çok Merkezli, Prospektif, Uzunlamasına ve Gözlemsel Bir Doğal Seyir Çalışması”</t>
  </si>
  <si>
    <t>“Femur Başı Avasküler Nekrozu Olan Hastalarda Tedavi Modalitelerinin ve Sağkalımın Retrospektif Olarak Değerlendirilmesi”</t>
  </si>
  <si>
    <t>“Çocukluk Çağında Nintedanib Kullanımı: Tek Merkez Deneyimi”</t>
  </si>
  <si>
    <t>“Emzirme Danışmanlığı Merkezi’ne Başvuran Ebeveynlerde Postpartum Depresyon Saptanma Durumunun ve İlişkili Faktörlerin Değerlendirilmesi: Retrospektif Kohort Çalışması”</t>
  </si>
  <si>
    <t>“Tıp Fakültesi ve Beslenme ve Diyetetik Bölümü Öğrencilerinin Hasta Güvenliği ve Mesleklerarası İşbirliği Programına Yönelik Görüşleri”</t>
  </si>
  <si>
    <t>“Çocukluk Çağı Akut Arteriyel İskemik İnme Tanısı Alan Hastalarda Etiyoloji, Tedavi Yaklaşımı ve Nörolojik Sonuçlarının Değerlendirilmesi”</t>
  </si>
  <si>
    <t>“18-49 Yaş Arası Kadınların Birinci Basamakta Yapılan Jinekolojik Muayene Hakkındaki Görüş ve Deneyimleri”</t>
  </si>
  <si>
    <t>“Mesleklerarası İşbirliği Programına Yönelik Öğrenci ve Eğitici Görüşleri: Program Değerlendirme Çalışması”</t>
  </si>
  <si>
    <t>“Asitretin Tedavisi Almış Psoriazis Vulgaris Tanılı Hastalarda FIB-4 Skorunun Retrospektif Değerlendirilmesi”</t>
  </si>
  <si>
    <t>“Klinik Nütrisyon Tedavisinde Hedefe Ulaşmada Önemli Bir Bariyer: Refeedin Sendromu”</t>
  </si>
  <si>
    <t>"İleri Yaşlı Bireylerde Trombosit Lenfosit Oranı ile Disfaji Arasındaki İlişki”</t>
  </si>
  <si>
    <t>“Bruselloz Tanılı Çocukların Sitokin ve Kemokin Yanıtlarının Değerlendirilmesi”</t>
  </si>
  <si>
    <t>“Acil İstenen EEG’lerin Tanısal Değeri ve Tedaviye Katkısı”</t>
  </si>
  <si>
    <t>“Anne Adaylarının İşitme Kaybı Risk Faktörleri ve Erken Korunma Hakkındaki Farkındalıklarının Belirlenmesi ve Eğitimi”</t>
  </si>
  <si>
    <t>“Ekran Maruziyetinin Çocukların İşitme, Konuşma ve Dil Becerilerine Etkisi Konusunda Ebeveyn Farkındalığının İncelenmesi ve Bilgilendirilmesi”</t>
  </si>
  <si>
    <t>“Panoramik Radyografik Görüntüler Kullanılarak Angle Sınıf I, II ve III Malokluzyona Sahip Hastalarda Mandibular Kemik Dansite ve Morfolojisinin Karşılaştırılması”</t>
  </si>
  <si>
    <t>“Uyku Apnesinde Cerrahi Tedavi Olan ve  Pozitif Havayolu Basıncı(CPAP) Cihazı Kullanan Hastalarla, Amelyat Olmadan CPAP Tedavisi Kullanan Hastaların CPAP Basınç ve Titrasyon  Farklılıklarının Saptanması”</t>
  </si>
  <si>
    <t>“Kurtarıcı Kardeş Uygulamasının Etik Boyutları: Uzman Hekimlerin Yaklaşımları”</t>
  </si>
  <si>
    <t>“Membranöz Nefropati Hastalarında Tiroid Kanseri Taramasının Önemi”</t>
  </si>
  <si>
    <t>“Pediatrik Nöroloji Polikliniğinde Nörogenetik Hastalıkların Dağılımı”</t>
  </si>
  <si>
    <t>“ Santral Sinir Sistemi Atipik Demiyelinizan Olgularında Klinik, Radyolojik ve Patolojik Değerlendirme ”</t>
  </si>
  <si>
    <t>"Zigomatikomaksiller Kompleks Fraktürlerinde 2 Nokta ve 3 Nokta Fiksasyonunun Uzun Dönem Stabilite ve Orbital Hacim Açısından Kraniyometrik Analizi"</t>
  </si>
  <si>
    <t>“Kistik Fibrozis Yenidoğan Tarama Programı: 10 Yıllık Retrospektif Analiz ve Tanısal Değerlendirme”</t>
  </si>
  <si>
    <t>“Arttırılmış Eksantrik Yük Uygulamasının Derinlik Sıçraması Üzerine Akut Etkisinin İncelenmesi”</t>
  </si>
  <si>
    <t>“Atopik Dermatit Tanılı Adölesan Hastalarda Menstrüasyon Siklusun Hastalık Aktivitesi Üzerine Etkisi”</t>
  </si>
  <si>
    <t>“Duygusal Zekâ Temelli Etkinliklerin Konuşma Akıcılığına, Duygusal Zekâya ve Beyin Bağlantısallık Ağlarına Etkisi”</t>
  </si>
  <si>
    <t>“Tıp Fakültesi Öğrencilerinin Anatomi Eğitiminde Kullandıkları Yapay Zeka Araçları Hakkındaki Tutum ve Görüşleri”</t>
  </si>
  <si>
    <t>“Erişkin Özofagus Atrezilere Özgü Hayat Kalitesi Anketi”</t>
  </si>
  <si>
    <t>“Atipik Alzheimer Varyantlarında Glimfatik Sistem, Serebral Perfüzyon ve APOE Genotipinin Bütüncül Değerlendirmesi: Pilot Nörogörüntüleme ve Genetik Çalışma”</t>
  </si>
  <si>
    <t>“Özofagus Atrezili Çocuklarda Tekrarlayan Trakeoözofageal Fistüllerin Yönetimi”</t>
  </si>
  <si>
    <t>“Ağır Akciğer Hastalığı Olan Kistik Fibrozis Hastalarında Modulatör Tedavinin Akciğer Nakil Gereksinimine Etkisi: Ulusal Kistik Fibrozis Kayıt Sistemi Verilerinin İncelenmesi”</t>
  </si>
  <si>
    <t>“Tiroid Göz Hastalığında Hastalık Şiddetinin Oftalmolojik ve Ortoptik Klinik Bulgular ile Korelasyonu”</t>
  </si>
  <si>
    <t>“Kemik Tümörleri Nedeniyle Yapılan Segmental Kemik Rezeksiyonları Sonrası Oluşan Defektlerin Otogreft ve Tümör Protezi Yöntemleriyle Rekonstrüksiyonlarının Karşılaştırılması”</t>
  </si>
  <si>
    <t>“5 Yaş Altı Hastalarda İstismar ve İhmal Değerlendirilmesi, Sandığımız Kadar Nadir Mi?”</t>
  </si>
  <si>
    <t>“Konjenital Tibia Psödoartrozunda Ilizarov Tekniği ile Vaskülarize Fibula Grefti Kombinasyonunun Cerrahi Sonuçlarının Değerlendirilmesi”</t>
  </si>
  <si>
    <t>“Geriatrik Popülasyonda Uykusuzluğu Ölçmeye Yönelik Bergen Uykusuzluk Ölçeğinin Türkçe Geçerlik ve Güvenirlik Çalışması”</t>
  </si>
  <si>
    <t>“Legg-Calve-Perthes Hastalığı Olan Çocukların Kalça Eklem Sıvısından Alınan Örneklerinde Mikroorganizma Araştırılması: Karşılaştırmalı Prospektif Çalışma”</t>
  </si>
  <si>
    <t>“Sarkopenik Obezite ile Serum İlişkili İnflamasyon Belirteçlerin İlişkisinin İncelenmesi”</t>
  </si>
  <si>
    <t>“Psoriatik Tırnak ve Onikomikozda Klinik ve Dermoskopik Özelliklerin Karşılaştırılması”</t>
  </si>
  <si>
    <t>“Alerjik ve Alerjik Olmayan Astımlı Çocuklardan İzole Edilen Eozinofillerde Oksidatif Stres Cevap Mekanizmalarının Araştırılması”</t>
  </si>
  <si>
    <t>“İşitme Kayıplı Hastalarda Multidisipliner İmplant Konseyi Kararları ile ChatGPT Yanıtlarının Karşılaştırılması”</t>
  </si>
  <si>
    <t>“Fetal Anemi Nedeniyle İntrauterin Kan Transfüzyonu Yapılan Bebeklerin Kısa ve Uzun Dönem Nörolojik Sonuçlarının Değerlendirmesi”</t>
  </si>
  <si>
    <t>“Pre-menopozal ve Post-menopozal Kadınlarda Odyolojik ve Vestibüler Fonksiyonların Karşılaştırılması”</t>
  </si>
  <si>
    <t>"Serviks Kanserinde Kemoradyoterapi Öncesi ve Sürecindeki Sarkopeni ve Klinik Önemi"</t>
  </si>
  <si>
    <t>“İç Hastalıkları Servislerinde İntravenöz Diüretik Tedavisi Amacıyla Yatan Hipervolemik Hastaların Diüretik Doz Etkinliğinin İdrar Sodyumu İle Değerlendirilmesi”</t>
  </si>
  <si>
    <t>“Yoğun Bakım Ünitesinde İntravenöz Sıvı Kullanımının Değerlendirilmesi”</t>
  </si>
  <si>
    <t>“Konservatif Tedaviye Dirençli Periartiküler Kas İskelet Sistemi Hastalıklarında Fonksiyon Kısıtlayıcı Semptomların Transarteriyel Periartiküler Embolizasyon (TAPE) Tedavisi Sonrası Yanıt Değerlendirilemesi ”</t>
  </si>
  <si>
    <t>“Klasik Hodgkin Lenfoma Hastalarında İlk Basamak ve Kurtarma Tedavilerinin Karşılaştırılması”</t>
  </si>
  <si>
    <t>''Pulmoner Kapak Replasmanı Yapılan Hastaların Uzun Dönem Sonuçlarının İzlenmesi ve Bunların Maliyet Analizi Sonuçlarının Araştırılması''</t>
  </si>
  <si>
    <t>“Klozapinle İlişkili Nötropeni İçin Aday İmmun Biyobelirteçlerin Araştırılması”</t>
  </si>
  <si>
    <t>“Kronik Plak Tip Psöriazis Vulgaris Tanılı Çoklu Biyolojik Tedavi Dirençli Hastaların Demografik Özellikleri, Klinik Özellikleri ve Komorbiditelerinin İncelenmesinın”</t>
  </si>
  <si>
    <t>“Mylohyoid Kas Transpozisyonunun Fasial Reanimasyondaki Potansiyeli: Kadavra Çalışması”</t>
  </si>
  <si>
    <t>“Superior ve İnferior Labial Arterlerin Vermilion Sınırındaki Derinliklerinin ve Konumunun Ölçümü: Kadavra Çalışması”</t>
  </si>
  <si>
    <t>“İmmünsüpresif Tedavi Öncesi HBV Serolojik Durumuna Göre Alınan Klinik Kararların ve Antiviral Kullanımının Uluslararası ve Ulusal Rehberlerle Uyumu: Tek Merkez Gerçek Yaşam Verilerinin Analizi”</t>
  </si>
  <si>
    <t>"Astımlı Hastalarda Otonom Disfonksiyon ve Termoregülasyon Bozukluklarının Klinik ve Proteomik Etkileri”</t>
  </si>
  <si>
    <t>“Over Kanseri Hastalarında Primer Debulking Cerrahisi Yapılan ve Neoadjuvan Kemoterapi Alanlarda Gelişen Venöz Tromboembolik Olaylar, Risk Faktörleri, Sağkalım ve Profilaksi Uygulamalarının Retrospektif Olarak Araştırılması”</t>
  </si>
  <si>
    <t>“Kistik Fibrozis Hastalarında Balgam Kültüründe Kronik Candida Kolonizasyonunun Solunum Fonksiyonları, Klinik ve Laboratuar Parametreleri Üzerine Olan Etkilerinin Değerlendirilmesi”</t>
  </si>
  <si>
    <t>“İleri Evre Over Kanserinde Pelvik Sitoredüksiyon için Pelvik Peritonektomi Yapılan Hastalar ile Rektosigmoid Rezeksiyon Yapılan Hastalar Arasındaki Pelvik Nüks ve Sağ Kalım Oranlarının Karşılaştırılması”</t>
  </si>
  <si>
    <t>“Obezite Hastalığının Oküler Yüzey Üzerindeki Etkilerinin Değerlendirilmesi”</t>
  </si>
  <si>
    <t>“Ergenlerde Dayanıklılık ile İlişkili Etkenlerin İncelenmesi”</t>
  </si>
  <si>
    <t>“Renal Amiloidozda Prognozu Etkileyen Faktörler: 25 Yıllık Tek Merkez Deneyimi”</t>
  </si>
  <si>
    <t>“Glomerulonefritlerin Gebelik Süreci, Maternal ve Fetal Sonlanıma Etkisi”</t>
  </si>
  <si>
    <t>“Serbest Diş Eti Grefti Alınan Lateral Damak Bölgesine Farklı Ajanlar Uygulanmış Hastaların Verilerinin Karşılaştırılmalı Olarak İncelenmesi”</t>
  </si>
  <si>
    <t>“Klozapine Yanıt ile Yan Etkiler Arasındaki İlişkinin İncelenmesi: Geriye Dönük Bir Çalışma”</t>
  </si>
  <si>
    <t>“Metabolik Disfonksiyonla İlişkili Steatotik Karaciğer Hastalığı (MASLD) Etiyopatogenezinde Safra Asidi Metabolitleri ve Metabolomik Analizi”</t>
  </si>
  <si>
    <t>"U14 Su Topu Oyuncularında Enerji Dengesi ve Bazı Performans Parametrelerinin Belirlenmesi"</t>
  </si>
  <si>
    <t>“Gıda Sağlığı ile İlgili Olan Profesyonellerin Gıda İnfodemisi Hakkındaki Görüş ve Deneyimleri: Niteliksel Bir Çalışma”</t>
  </si>
  <si>
    <t>“Larinks Patolojilerinin Malignleşme Sürecinde SERPİNE1'in Rolü”</t>
  </si>
  <si>
    <t>“Kalsiyum (Ca2+) ve Magnezyum (Mg2+) İlişkili İmmün Yetmezliklerde Fonksiyonel ve Klinik Özellikler”</t>
  </si>
  <si>
    <t>“SCN5A Varyantı Saptanan Hastaların Klinik ve Moleküler Bulgularının Değerlendirilmesi”</t>
  </si>
  <si>
    <t>“Gelişimsel Açıdan Riskli Çocuklarda 4–6 Yaş Arasında Öğrenme Güçlüğü Belirtilerinin Taranması ve Risk Etkenleriyle İlişkisinin Belirlenmesi”</t>
  </si>
  <si>
    <t>“Akondroplazili Çocuk Hastalarda Uyku ile İlişkili Solunum Bozukluklarının ve Polisomnografi Bulgularının Değerlendirilmesi”</t>
  </si>
  <si>
    <t>“Skleroderma Tanılı Olgu ve Bireylerin Biyopsikososyal Durumları ile Çiğneme-Yutma Performansları Arasındaki İlişkinin Araştırılması”</t>
  </si>
  <si>
    <t>“Skleroderma Tanılı Olgu ve Bireylerin Biyopsikososyal Durumları ile Fiziksel Performans ve Fonksiyonellikleri Arasındaki İlişkinin Araştırılması”</t>
  </si>
  <si>
    <t>“JİA Tanılı Olgularda Ebeveynlerin Bildirdiği Ağrıyı Felaketleştirme Durumuna Göre Biyopsikososyal Özelliklerin İncelenmesi”</t>
  </si>
  <si>
    <t>“Üst Ekstremite Deri Kalınlığının Hasta Tarafından Kendi Kendine Değerlendirilmesi Anketinin Türkçe Versiyonunun Kültürel Adaptasyonu, Geçerliği ve Güvenirliğinin İncelenmesi”</t>
  </si>
  <si>
    <t>“Nazal Septal Perforasyon Onarımının Hastaların Nazal Hava Akımı ve Yaşam Kalitesi Üzerine Olan Etkisinin Değerlendirilmesi”</t>
  </si>
  <si>
    <t>“Kistik Fibrozis Transmembran Regülatör Protein-İlişkili Hastalık Tanılı Çocuk Hastalarımızın Klinik ve Radyolojik Özellikleri”</t>
  </si>
  <si>
    <t>“Çocukluk Çağı Sinoviyal Sarkom Olgularının Retrospektif Değerlendrilmesi”</t>
  </si>
  <si>
    <t>“Spinal Musküler Atrofi Tanılı Hastalarda Kemik Sağlığının Retrospektif Olarak Değerlendirilmesi”</t>
  </si>
  <si>
    <t>“Griscelli Sendromu Tanısı Alan Hastaların Klinik ve Laboratuvar Özelliklerinin Değerelnedirilmesi”</t>
  </si>
  <si>
    <t>“Stres, Cinsiyet ve Menstrual Döngünün, Tıkınırcasına Yeme Bozukluğu ve Uyku Kalitesi ile İlişkisinin İncelenmesi”</t>
  </si>
  <si>
    <t>“Otizm Tanılı Ergenlerin Ebeveynlerinin Tükenmişlik ve Damgalanma Algısının Bilinçli Farkındalık Aracılığıyla Ergenlerin Psikososyal İyilik Hali Üzerine Etkisi”</t>
  </si>
  <si>
    <t>“LeFort I Cerrahisi Uygulanan Hastalarda Maksiller Sinüs Membran Kalınlığı ve Sinüs Sağlığının Değerlendirilmesi”</t>
  </si>
  <si>
    <t>"Tiroid İnce İğne Aspirasyon Sitolojisinde Dijital Sitopatoloji ile Konvansiyonel Işık Mikroskobu Değerlendirmesinin Karşılaştırmalı Analizi: Belirsiz Kategorilere Odaklanarak"</t>
  </si>
  <si>
    <t>"Yoğun Bakım Sonrası İzlem Polikliniğinde Takip Edilen Hastaların Demografik ve Klinik Özelliklerinin İncelenmesi "</t>
  </si>
  <si>
    <t>“Benign Histerektomi Öncesi Video Bilgilendirmesinin Anksiyete Düzeyine Etkisi”</t>
  </si>
  <si>
    <t>“Ankara, Türkiye'deki Sahra Altı Afrikalı Üniversite Öğrencileri Arasında Sağlık Durumu, Sağlık Hizmetlerine Erişim, Sağlık Okuryazarlığı Düzeyi ve İlişkili Faktörlerin Belirlenmesi Araştırması”</t>
  </si>
  <si>
    <t>“PIDCAP Skorlama Sisteminin Kronik Granülomatöz Hastalık Tanısı Olan Hastalarda Değerlendirilmesi”</t>
  </si>
  <si>
    <t>“İmmünoterapilere Bağlı Endokrin Yan Etkiler ve Endokrinolojiye Yönlendirme Pratiklerinin Değerlendirilmesi”</t>
  </si>
  <si>
    <t>“Yeme Bozukluğu Olan Ergende Tütün, Alkol ve Madde Kullanım Sıklığı ile Hastalık Şiddeti Arasındaki İlişkinin İncelenmesi”</t>
  </si>
  <si>
    <t>“Uterin Serviksin İnvaziv Stratifiye Müsin Üreten Karsinomu: Klinikopatolojik Bulguların ve Prognostik Faktörlerin Değerlendirilmesi”</t>
  </si>
  <si>
    <t>“Uluslararası İnkontinans Konsültasyonu– Az Aktif Mesane Anketi’nin Türkçe Geçerlik ve Güvenirlik Çalışması”</t>
  </si>
  <si>
    <t>“Böbrek Biyopsilerinde Lupus Nefriti NIH Skorlamasının Dil Modeli ile Otomatikleştirilmesi ve Patolog Değerlendirmesi ile Karşılaştırılması”</t>
  </si>
  <si>
    <t>“Şeffaf Plak Tedavilerinde Refinement Aşamasında Tekrarlayan Ataşman Debonding İşleminin Mine Yüzeyine Etkilerinin 3 Boyutlu Olarak İncelenmesi: In-Vitro Çalışma”</t>
  </si>
  <si>
    <t>“Kistik Fibrozis, Primer Siliyer Diskinezi ve Astım Tanılı Çocukların Solunum Fonksiyon Testlerinin; Spirometri, Akciğer Temizleme İndeksi ve İmpuls Osilometri ile Değerlendirilmesi ve Parametreler Arasındaki İlişkilerin İncelenmesi”</t>
  </si>
  <si>
    <t>“IgA Nefropatisi Oxford (MEST-C) Skorlamasında Dil Modeli Çıktılarının Patolog Değerlendirmeleriyle Karşılaştırılması ve Standardizasyona Yönelik Potansiyelinin Araştırılması”</t>
  </si>
  <si>
    <t>“Fetal Kardiyak Girişim Yapılan Fetuslarda Prenatal Dönemde Yapılan Ekstremite Dopplerlerinin Longitudinal İzlemi ve Perinatal Sonuçlarla İlişkisi”</t>
  </si>
  <si>
    <t>“Anti-TNF Tedavi Sürecinde Çekilen Akciğer Grafilerinin Yapay Zeka Destekli Değerlendirmesinin, Klinisyen Değerlendirmesi ile Karşılaştırması ve Klinik Uygulamalara Entegrasyonunun İncelenmesi”</t>
  </si>
  <si>
    <t>“Küçük Hücreli Akciğer Karsinomunda Moleküler Alt Tiplerin ASCL1, NEUROD1, POU2F3 ve YAP1 İmmünohistokimyasal Ekspresyonuna Göre Sınıflandırılması ve Klinik Önemi”</t>
  </si>
  <si>
    <t>“Multipl Sklerozda Telomer Uzunluğu, p16INK4a İfadesi ve İleri Beyin MR Görüntülemeleri ile Hastalık Progresyonu Arasındaki İlişkinin Prospektif İncelenmesi”</t>
  </si>
  <si>
    <t>“Türkiye’deki Çocukluk Çağı İnterstisiyel Akciğer Hastalığı Tanısıyla İzlenen Hastaların Demografik ve Klinik Özelliklerinin REDCap Veri Tabanına Kaydedilmesi (chILD Türkiye) ve Verilerin Değerlendirilmesi”</t>
  </si>
  <si>
    <t>“Taburculuk Sonrası Bakım Geçiş Kalitesinin Değerlendirilmesi: Çok Boyutlu Bir Ölçüm Yaklaşımı”</t>
  </si>
  <si>
    <t>“Geç Preterm Gebeliklerde Antenatal Kortikosteroid Uygulamasının Neonatal Hipoglisemi ve Klinik Sonuçlara Etkisi”</t>
  </si>
  <si>
    <t>“Oral Biyopsi Uygulanan Hastalarda Anksiyete ve Ağrı Düzeylerinin Değerlendirilmesi”</t>
  </si>
  <si>
    <t>“İdiopatik İzole Ekstrakraniyal İnternal Karotis Arter Vazospazmında Tedavi Seçenekleri ve Prognoza Etkileri”</t>
  </si>
  <si>
    <t>“Yüzücülerde Ultrason ve Güç Ölçümleri ile Omuz Yaralanma Profili Çıkarılması”</t>
  </si>
  <si>
    <t>“Seçilmiş Nöroloji Olgularının Klinik Seyir ve Tedavi-Prognozuna Yönelik Olgu Temelli Derlemesi”</t>
  </si>
  <si>
    <t>“Büllöz Pemfigoid Tanılı Hastalarda Omalizumab Tedavisinin Yanıtlarının Değerlendirilmesi"</t>
  </si>
  <si>
    <t>"Çocukluk Çağında Matür T/NK Hücreli Lenfomalar : Hacettepe Deneyimi"</t>
  </si>
  <si>
    <t>“Kronik Miyeloid Lösemi Hastalarında Tirozin Kinaz Kullanımı İlişkili Proteinüri Gelişimini Etkileyen Faktörlerin İncelenmesi”</t>
  </si>
  <si>
    <t>“Stajyer Diş Hekimlerinde Maket Üzerinde Sütur Eğitiminin Etkinliği ve Memnuniyetinin Değerlendirilmesi"</t>
  </si>
  <si>
    <t>“Preklinik Endodonti Eğitiminde 3D Baskılı Modeller: Öğrenci Perspektifinden Bir Değerlendirme”</t>
  </si>
  <si>
    <t>“Koklear İmplant ile İlgili Tüm Soruların ChatGPT Yanıtlarının Kulak Burun Boğaz Uzmanları Tarafından Değerlendirilmesi”</t>
  </si>
  <si>
    <t>“Susam Alerjisi Olan Çocuklarda Oral İmmünoterapinin Güvenliği ve Yaşam Kalitesi Üzerine Etkilerinin Değerlendirilmesi''</t>
  </si>
  <si>
    <t>“Çocukluk Çağı Over Kistadenomları: Hacettepe Deneyimi”</t>
  </si>
  <si>
    <t>“Sigara İçen Bireylerde Fonksiyonel Yakın Kızılötesi Spektroskopisi Kullanılarak Fonksiyonel Bağlantısallığın ve Kalp Hızı Değişkenliğinin İncelenmesi”</t>
  </si>
  <si>
    <t>“Malignite Tanısı Alan Primer İmmün Yetmezlikli Hastaların Klinik ve Laboratuvar Özelliklerinin Değerlendirilmesi ”</t>
  </si>
  <si>
    <t>“Çene Bölgesi Patolojik Lezyonların CBCT Görüntülerinde Yapay Zeka Tabanlı Otomatik Tanısı: Derin Öğrenme Yaklaşımı”</t>
  </si>
  <si>
    <t>“Endoskopik Endonazal ya da Transkonjonktival Yaklaşımla Optik Sinir Dekompresyonu ve/veya Optik Sinir Kılıf Fenestrasyonu Yapılan Olgularda Sonuçların Karşılaştırılması”</t>
  </si>
  <si>
    <t>“Hacettepe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t>
  </si>
  <si>
    <t>“Ulusal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t>
  </si>
  <si>
    <t>“Dijital Fotoğraf Tabanlı Renk Analizi ile Gingival İndeksin Belirlenmesi: Klinik Sağlık, Gingivitis ve Periodontitis Vakalarının Karşılaştırılması”</t>
  </si>
  <si>
    <t>“İnme Hastalarında Kardiyak Risk Faktörleri: Sol Atriyum Morfolojisi, Koroner Kalsifikasyon Skoru ve Mitral Kazeöz Kalsifikasyonun Kardiyak Bilgisayarlı Tomografi ile Değerlendirilmesi”</t>
  </si>
  <si>
    <t>“Pediatrik Popülasyonda Yaşla Değişen Alerjene Özgü Duyarlanma Dinamikleri</t>
  </si>
  <si>
    <t>“Minimal İnvaziv Kardiyak Cerrahide Anestezi Yönetimi Deneyimimiz Tek Merkezli Gözlemsel Çalışma-Bireysel Araştırma”</t>
  </si>
  <si>
    <t>“Primer Hiperparatiroidi Tanılı Hastaların Demografik, Klinik, Biyokimyasal ve Görüntüleme Bulgularının Değerlendirilmesi”</t>
  </si>
  <si>
    <t>“.Yüksek Dereceli Majör Tükürük Bezleri Malignitelerinin Sonuçlarının Retrospektif İncelenmesi: Uluslararası Çok Merkezli Bir Çalışma”</t>
  </si>
  <si>
    <t>“Prostat Kanserinde Sistemik Tedavi Yanıt Değerlendirilmesinde Ga-68 İşaretli PSMA PET-BT ile Biyokimyasal Belirteçlerin Rolü ve Prognostik Önemi”</t>
  </si>
  <si>
    <t>“Metastatik Prostat Kanseri Olan Hastalarda Androjen Reseptör Yolak İnhibitörlerinin Etkinliğini Tahmin Etmede Klinik-Biyokimyasal ve Moleküler Görüntüleme Parametrelerinin Rolü”</t>
  </si>
  <si>
    <t>“Nöromusküler Hastalıklarda Tüm Ekzom Dizileme Yöntemi ile Genetik Etyolojinin Belirlenmesi”</t>
  </si>
  <si>
    <t>“Örgün ve Mesleki Öğretimde Olmayan veya Çalışmayan (NEET) Gençlerin Ruh Sağlığının Sosyal Eşitsizlikler Açısından İncelenmesi: Nitel ve Nicel bir Derleme”</t>
  </si>
  <si>
    <t>“Pseudo-Bartter Sendromu Olan Kistik Fibrozis Transmembran Regülatör-İlişkili Hastalık Tanılı Çocuklarda Epitel İyon Kanallarının İfade Analizi”</t>
  </si>
  <si>
    <t>“Anaplastik Tiroid Kanserli Olguların Tanı, Tedavi ve Takip Açısından Retrospektif Değerlendirilmesi”</t>
  </si>
  <si>
    <t>“Yeni Bir İrrigasyon Solüsyonu Triton’un Epoksi Rezin ve Kalsiyum Silikat Esaslı Kök Kanal Dolgu Materyallerinin İtme Bağlanma Dayanımına Etkisi”</t>
  </si>
  <si>
    <t>“Pitoz Cerrahisinde Yeni Bir Teknik: Procerus Kas Transferi ile Üst Göz Kapağının Dinamik Reanimasyonu, Kadavra Çalışması”</t>
  </si>
  <si>
    <t>“Türkiye'de Konjenital Miyastenik Sendromların Genetik Profili: Yeni Mutasyonlar ve Klinik Perspektifler”</t>
  </si>
  <si>
    <t>“Menstrüel Kanama Dışı Risk Faktörü Olmayan Genç Kadınlarda Demir Eksikliği ile Menstrüel Kanama Özellikleri Arasındaki İlişkinin Değerlendirilmesi”</t>
  </si>
  <si>
    <t>“Yakınını Kaybetmiş Yaşlılarda Uzamış Yas Belirtilerini Yordayan Faktörler”</t>
  </si>
  <si>
    <t>“Gonadotropin Salgılatıcı Hormon Analoglarının Endometriyal İntraepitelyal Neoplazi ve Erken Evre Endometrium Kanserinde Fertilite Koruyucu Tedaviye Etkisi”</t>
  </si>
  <si>
    <t>“Teikoplanin ile Tedavi Edilen Hastalarda Terapötik İlaç Düzey İzlemi: Retrospektif Bir Analiz”</t>
  </si>
  <si>
    <t>“Vorikonazol Serum Düzeyi İzlemi Yapılan Hastalarda Terapötik Aralığı Etkileyen Faktörlerin Retrospektif Değerlendirilmesi ve Klinik Bir Skorlama Modelinin Geliştirilmesi”</t>
  </si>
  <si>
    <t>“Periventriküler Nodüler Heterotopi İlişkili Epilepside Klinik Özellikler”</t>
  </si>
  <si>
    <t>“Polimikrogiri İlişkili Epilepsi Hastalarında Klinik ve Laboratuvar Bulgular: Tek Merkez Deneyimi”</t>
  </si>
  <si>
    <t>“Diş Hekimliği Fakültesine Başvuran Çocukların Ebeveynlerinin Ağız Sağlığı Okuryazarlık Durumlarının Değerlendirilmesi”</t>
  </si>
  <si>
    <t>“Bronkopulmoner Displazi Tanılı Hastaların İzleminde Akciğer Ultrasonografisinin Yeri”</t>
  </si>
  <si>
    <t>“Ara Değer Ter Testi Olan Kistik Fibrozisli Çocukların Klinik Özellikleri”</t>
  </si>
  <si>
    <t>“Multipl Myelomda Fonksiyonel Görüntüleme: MRG ve PET-BT Yöntemlerinin Karşılaştırılması”</t>
  </si>
  <si>
    <t>“Wolfram Sendromlu ve Midline Anomalili Hastaların Klinik Özelliklerinin Retrospektif Değerlendirilmesi”</t>
  </si>
  <si>
    <t>“MEN1 ve MEN4 Sendromlu Hastaların Klinik Özelliklerinin Retrospektif Değerlendirilmesi”</t>
  </si>
  <si>
    <t>“Yetişkin Bireylerde Sedanter Davranışın Kesintiye Uğratma Sıklığı, Fiziksel Aktivite ve Sedanter Davranış Sürelerinin İncelenmesi”</t>
  </si>
  <si>
    <t>“Clavicula'nin Morfometrik Analizi ve Ortopedik İmplant Planlamasina Yönelik Katkıları”</t>
  </si>
  <si>
    <t>“KBB Hastalarında Farklı Yapay Zekâ Modellerinin Tanı ve Tedavi Önerilerinin Değerlendirip Karşılaştırılması”</t>
  </si>
  <si>
    <t>“Papiller Tiroid Kanserinin Tükürükteki Moleküler Belirteçler ile Tanısı”</t>
  </si>
  <si>
    <t>"Diş Hekimliği Fakültesine Konsülte Edilen Hastalarda Konik Işınlı Bilgisayarlı Tomografi Endikasyonları ve Saptanan Bulgular"</t>
  </si>
  <si>
    <t>"Kadınlarda Spor Türü ve Yaşın Alt Ekstremite de Mekanik Sertlik Üzerine Etkisi: İki Farklı Sıçrama Türü için Karşılaştırmalı Bir Analiz"</t>
  </si>
  <si>
    <t>"Serum Triptaz Düzeyinin Mast Hücre İlişkili Hastalıklardaki Rolünün Retrospektif Olarak Değerlendirilmesi"</t>
  </si>
  <si>
    <t>“Behçet Hastalarının Serum Nörofilaman Seviyelerinin Belirlenmesi”</t>
  </si>
  <si>
    <t>“Topikal Ürünlerde Mikroyapı Benzerliğini Aydınlatmaya Yönelik In Vitro Permeasyon Çalışması”</t>
  </si>
  <si>
    <t>“Bronkopulmoner Displazili Çocuklarda Solunum Fonksiyonlarının Değerlendirilmesinde İmpuls Osilometri ve Spirometrinin Karşılaştırılması”</t>
  </si>
  <si>
    <t>“Metilmalonik Asidemi ve Propiyonik Asidemide Akut Metabolik Dekompanzasyonun Acil Tanı ve Tedavisi”</t>
  </si>
  <si>
    <t>“Pediatrik Proksimal Humerus Kırıklarında Konservatif ve Cerrahi Tedavinin Uzun Dönem Sonuçları”</t>
  </si>
  <si>
    <t>“Yeni Terapötiklerin ve Biyobelirteçlerin Keşfi İçin Metabolik Fonksiyon Bozukluğu ile İlişkili Steatotik Karaciğer Hastalığının (MASLD) Patobiyolojisinin Açığa Çıkarılması(UNMASK- EP PerMed Horizon 2020 Projesi)”</t>
  </si>
  <si>
    <t>“Adölesan Nöromüsküler Kalça Displazisi için Asetabuloplasti ile Kombine Üçlü Pelvik Osteotominin Güvenliği ve Uygulanabilirliği"</t>
  </si>
  <si>
    <t>“Polikistik Böbrek Hastalığı Olan Renal Transplant Alıcılarında Postoperatif Sağkalım ve Komplikasyonların Değerlendirilmesi''</t>
  </si>
  <si>
    <t>“Jüvenil Sistemik Skleroz için Uluslararası Başlangıç Kohortu”</t>
  </si>
  <si>
    <t>“Tiroid Kanserinde Metabolik Çeşitliliğin Açığa Çıkarılması: Fiber Tabanlı, İşaretsiz Orta Dalgaboylu Kızılötesi Optoakustik Prob Teknolojisinin Geliştirilmesi”</t>
  </si>
  <si>
    <t>“Çocuk Kardiyoloji ÜnitesiTransvenöz Lead Çıkarılması Deneyimlerinin Retrospektif Değerlendirilmesi”</t>
  </si>
  <si>
    <t>“Çocuk Acile Başvuran Kritik HastalardaHiperglisemi Sıklığı, Hastalıklara Göre Dağılımı ve Hasta Sonuçlarına Etkisi”</t>
  </si>
  <si>
    <t>“Farklı Branşlardaki Erkek Sporcularda DXA ile Değerlendirilen Vücut Kompozisyonu İndekslerinin Karşılaştırılması”</t>
  </si>
  <si>
    <t>“Melazma Hastalarında Vasküler Endotelyal Büyüme Faktörü Polimorfizminin Değerlendirilmesi”</t>
  </si>
  <si>
    <t>“Platisma KasTranspozisyonunun Fonksiyonel ve Rekonstrüktif Kullanımı: Kadavra Çalışması”</t>
  </si>
  <si>
    <t>“Doğumsal Brakiyal Pleksus Yaralanmalarında Önkol Cerrahi Sonrası Fonksiyonel Başarıyı Etkileyen Radyolojik Parametreler: Radius Anatomisinin Rolü”</t>
  </si>
  <si>
    <t>“Gerçek Yaşam Verileriyle Romatoid Artritli Hastalarda Hedefe Yönelik Tedavi Zamanlaması ve Diz-Kalça Protez Cerrahisi İlişkisi”</t>
  </si>
  <si>
    <t>“Kronik Böbrek Hastalığı İlişkili Bilişsel Bozukluk Patofizyolojisinin Radyolojik, Biyokimyasal ve Metabolomik Biyobelirteçler Işığında Karşılaştırmalı Bir Sistem Biyolojisi Analizi”</t>
  </si>
  <si>
    <t>“Şeffaf Plak Tedavilerinde Kullanılan Ataşmanların Bağlanma ve Uzaklaştırılma Yöntemlerinin Diş Rengi Üzerine Etkileri”</t>
  </si>
  <si>
    <t>“Ottawa Kriz Kaynak Yönetimi Küresel Değerlendirme Ölçeği ve Ottawa Kriz Kaynak Yönetimi Becerileri Kontrol Listesinin Türkçeye Uyarlanması”</t>
  </si>
  <si>
    <t>“Polimiksin Nefrotoksisitesi için Makine Öğrenme Tabanlı Prediktif Skor Geliştirilmesi”</t>
  </si>
  <si>
    <t>“Antrenman Maskesi ile Uygulanan Dar Alan Oyunlarına Verilen İç ve Dış Yük Yanıtlar"</t>
  </si>
  <si>
    <t>“Yorgunluğun Farklı Açısal Hızlarda Alt Ekstremite İzokinetik Kas Kuvvet Çıktıları Üzerine Etkisi”</t>
  </si>
  <si>
    <t>“İç Hastalıkları Servislerinde Yatan ve Eksizyonel Lenf Nodu Biyopsisi Yapılan Hastaların Klinik, Laboratuvar ve Radyolojik Görüntülemelerinin Tanı Süreci ile İlişkili Analizi ve Prediktörlerin Belirlenmesi”</t>
  </si>
  <si>
    <t>“Os Parietale Kalınlığının Bölgesel Değişkenliğinin Analizi ve Klinik Önemi”</t>
  </si>
  <si>
    <t>“Hacettepe Üniversitesi Hastanesinde Solid Tümörlü Kanser Hastalarının Tedaviye Ulaşmak İçin Geçirdikleri Sürenin ve Zaman Toksisitesinin Değerlendirilmesi”</t>
  </si>
  <si>
    <t>“İntihar Davranışı Ayrımı: Ası Vakalarında Proteomik Analiz ve İmmünflöresan İnceleme ile Nörobiyolojik Belirteç Belirlenmesi”</t>
  </si>
  <si>
    <t>“Hücresizleştirilmiş İnsan Amniyotik Membran Temelli Küçük Çaplı Vasküler Greft Geliştirilmesi ve Cerrahi Anastomoz Uygulamalarında Değerlendirilmesi”</t>
  </si>
  <si>
    <t>“Farklı Elektrikli Testere Sistemlerinin Cerrahi Verimlilik, Termal Etki ve Kullanıcı Deneyimi Açısından Kemik Modelinde Karşılaştırılması”</t>
  </si>
  <si>
    <t>“İlaca Dirençli Ekstratemporal Lob Epilepsisi Cerrahisi Geçiren Hastalarda Cerrahi Sonuçlar ve Prognozu Etkileyen Faktörlerin Retrospektif Analizi”</t>
  </si>
  <si>
    <t>“Matematik ve Türkçe Derslerinde Kullanılan Fiziksel Aktivite Tabanlı Aktif ve Pasif Zihin Molalarının Akademik Başarı, Bilişsel İşlevler, Fiziksel Aktivite Düzeyi ve Sınıf İçi Davranışlar Üzerindeki Etkisi”</t>
  </si>
  <si>
    <t>“Kronik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t>
  </si>
  <si>
    <t>“Komplikasyonların Azaltılmasında Distraksiyon Tabanlı Büyüme Dostu Teknikler İçin Uygun Cerrahi Yaş”</t>
  </si>
  <si>
    <t>“Meningomiyesel ve Diğer Nöromusküler Erken Başlangıçlı Skolyozlarda Büyüyen Rod Tedavisini Tekiben Uygulanan Definitif Cerrahinin Klinik ve Radyolojik Sonuçlarının Karşılaştırılması”</t>
  </si>
  <si>
    <t>“Vulva Kanseri ve HER-2 İlişkisi”</t>
  </si>
  <si>
    <t>“Artan Renal Klirensi Olan Hastalarda Meropenem Kan Düzeylerinin Retrospektif Olarak Değerlendirilmesi”</t>
  </si>
  <si>
    <t>“Kanserli Hastalarda Serum Albumin-Kreatin Oranının Sağkalım ve Progresyonsu Sağkalım ile İlişkisinin Araştırılması”</t>
  </si>
  <si>
    <t>“Biyopsi ile Tanımlanmış Lakrimal Bez Patolojilerine Sahip Hastaların Demografik ve Klinik Özelliklerinin Belirlenmesi”</t>
  </si>
  <si>
    <t>“REM Uyku Davranış Bozukluğunun Prodromal, İdiopatik ve Sekonder Alt Tiplerinde Klinik, Polisomnografik Özellikler ve Tedavi Yanıtlarının Karşılaştırılması”</t>
  </si>
  <si>
    <t>“Hipokampal Sklerozlu Mezial Temporal Lob Epilepsisinde Skalp EEG’de İktal Yayılım Özelliklerinin Cerrahi Sonrası Prognozu Öngörmede Rolü: Retrospektif Bir Analiz”</t>
  </si>
  <si>
    <t>“Kronik Çok İlaca Dirençli Pseudomonas Aeruginosa Enfeksiyonu Olan Kistik Fibrozisli Çocuk Hastalarımızın Retrospektif Değerlendirilmesi</t>
  </si>
  <si>
    <t>“Hemoptizi Sebebiyle Fleksible Fiberoptik Bronkoskopi Yaptiğimiz Çocuk Hastalarımızın Retrospektif Değerlendirilmesi”</t>
  </si>
  <si>
    <t>“Pediyatrik Orbital Rabdomyosarkomun Görüntüleme Bulguları”</t>
  </si>
  <si>
    <t>“Sanal Cerrahi Planlamanın Kişiye Özel Plak ve Geleneksel Miniplak Fiksasyonu Yapılmış Hastalardaki Doğruluğunun İncelenmesi”</t>
  </si>
  <si>
    <t>“.Huzurevinde Yaşayan Yaşlı Bireylerin Ağız Sağlığı Durumu ile Bakımevi Personelinin Ağız Sağlığına Yönelik Bilgi Düzeyi Arasındaki İlişkinin Değerlendirilmesi.”</t>
  </si>
  <si>
    <t>“İdiyopatik Jeneralize Epilepside Klinik ve Tanısal Özelliklerin Saptanması ve Tedavi Sonuçlarıyla İlişkisinin Retrospektif Olarak Değerlendirilmesi”</t>
  </si>
  <si>
    <t>“Çevresel Sensör Reseptör Uyarımı ile Koşullandırılmış İnflamasyon Baskılayıcı”</t>
  </si>
  <si>
    <t>“Evre 3 ve 4 Kronik Böbrek Hastalarında Hastalık Farkındalık Ölçeği Geliştirilmesi: Ekolojik Model Temelli Bir Yaklaşım”</t>
  </si>
  <si>
    <t>“Kolorektal Kanserli Hastaların Klinopatolojik Özellikleri”</t>
  </si>
  <si>
    <t>“Kronik Granülomatoz Hastalık Tanılı Çocukların Akciğer Bulgularının Değerlendirilmesi”</t>
  </si>
  <si>
    <t>“Diyabet Tarama Test İstemlerinin Kanıta Dayalı Eğitim Müdahaleleri ile Rasyonel Kullanımının Arttırılması: Kalite Geliştirme Çalışması”</t>
  </si>
  <si>
    <t>“Eczacılıkta Uzmanlık Sınavı Başarısı Açısından Yapay Zeka Tabanlı Büyük Dil Modellerinin Karşılaştırması”</t>
  </si>
  <si>
    <t>“HIV ile Yaşayan Kişilerde HIV Viral Yükün ve İmmünolojik Parametrelerin Quantiferon-TB Gold Plus Testi Sonucuna Etkisi”</t>
  </si>
  <si>
    <t>“40 Yaş ve Üstü HIV Pozitif Bireylerde Kırılganlık Riskinin Tahmini ve Dijital Risk Değerlendirmede Web R Shiny Uygulaması”</t>
  </si>
  <si>
    <t>“İmmunoglobulin-E Aracılı Besin Alerjisi Tanılı Hastalarda Besin Yükleme Testinde Pozitif Reaksiyon Gelişen Eşik Değeri Öngörmek Amacıyla Kullanılabilecek Faktörlerin Belirlenmesi”</t>
  </si>
  <si>
    <t>“Balık İlişkili Besin Proteininin İndüklediği Enterokolit Sendromunda İlk Provakasyon Zamanının Belirlenmesi”</t>
  </si>
  <si>
    <t>“L-Sitrülin Malat Takviyesinin Dövüş Sporcularında Aerobik Egzersiz Performansı Üzerine Etkisi”</t>
  </si>
  <si>
    <t>“Fibrodisplazi Ossifikans Progressiva Tanılı Hastaların Klinik ve Moleküler Özelliklerinin Gözden Geçirilmesi”</t>
  </si>
  <si>
    <t>“İmmün Kontrol Noktası İnhibitörü Alan Kanser Hastalarında Vücut Kompozisyonu, Psikososyal Faktörler ve İlaç İlişkili Sorunların Klinik Seyirle İlişkisinin Değerlendirilmesi”</t>
  </si>
  <si>
    <t>“Oral Bakteri Kaynaklı Ekstraselüler Veziküllerin İnsan Mikroçevre Hücreleri Üzerindeki Etkilerinin Araştırılması”</t>
  </si>
  <si>
    <t>“Amyotrofik Lateral Skleroz Hastalarında trapez Kasına Uygulanan Repetetif Sinir Stimülasyonunun Tanısal Değerlendirilmesi: Kontrollü Prospektif Bir Çalışma”</t>
  </si>
  <si>
    <t>“SOD1 Mutasyonu Taşıyan Amyotrofik Lateral Skleroz Hastalarında Kalp Hızı Değişkenliği ve Sempatik Deri Yanıtı ile Otonomik Disfonksiyonun Değerlendirilmesi”</t>
  </si>
  <si>
    <t>“Susam Alerjisi Olan Çocuklarda Oral İmmünoterapi ve Besinden Kaçınma Yaklaşımlarının Yaşam Kalitesi Üzerine Etkileri”</t>
  </si>
  <si>
    <t>“İdrar Kaçıran Kadınlarda Yapay Zeka Yardımlı Görüntüleme Analizi ile Tanı Süreçlerinin Geliştirilmesi”</t>
  </si>
  <si>
    <t>“Astım Tanılı Çocuklarda Tedavi Edilebilir Özelliklerin İncelenmesi”</t>
  </si>
  <si>
    <t>“Sedanter Davranışın Farklı Şiddette Egzersizlerle Kesintiye Uğratılmasının Postprandiyal Kardiyometabolik Etkileri”</t>
  </si>
  <si>
    <t>“Polikistik Over Sendromu Tanılı Hastaların Endokrinolojik İzlemi ve Veri Tabanı Oluşturulması”</t>
  </si>
  <si>
    <t>"Nörofibromatozis Tip1 İlişkili Pleksiform Nörofibromlarda Selümetinib Kullanımı: Hacettepe Deneyimi”</t>
  </si>
  <si>
    <t>“Proksimal Tibia İntraartiküler Kırıklarının Retrospektif Analizi ve Tedavi Sonuçları”</t>
  </si>
  <si>
    <t>“Graves Hastalarında Beslenme Alışkanlıkları ve Vücut Kompozisyonunun İncelenmesi”</t>
  </si>
  <si>
    <t>“Sekonder İmmün Yetmezlik İçin Farkındalığın Değerlendirilmesi: Pediatri ve İmmünoloji Perspektifi”</t>
  </si>
  <si>
    <t>“ALPACA Tanısı İle İzlenen Hastaların Değerlendirilmesi”</t>
  </si>
  <si>
    <t>“Şeffaf Plak Kompozit Ataşmanlarının Renk Stabilitesi ve Diş Rengi Üzerine Etkileri”</t>
  </si>
  <si>
    <t>“Hacettepe Üniversitesi Hastanesi Ameliyathanesinde Çalışan Cerrahlarda Kas İskelet Sistemi Problemlerinin Tespiti"</t>
  </si>
  <si>
    <t>“Eozinofilik Gastrointestinal Hastalık Tanısı Alan Primer İmmün Yetmezlikli Hastaların Klinik ve Laboratuvar Özelliklerinin Değerlendirilmesi”</t>
  </si>
  <si>
    <t>“Süt Azı Dişlerinde Fizyolojik ve Patolojik Rezorpsiyonun Derin Öğrenme ile Otomatik Sınıflandırılması”</t>
  </si>
  <si>
    <t>“Tip 2 Diyabet Hastalarında Karar Verme Çatışması, Kronik Hastalık Bakım Değerlendirmesi, Diyabet Distresi ve Tedaviye Uyum Arasındaki İlişkilerin Değrlendirilmesi”</t>
  </si>
  <si>
    <t>“LeFort 1 Cerrahisinde Maksillaya Yaptırılan Çeşitli Hareketlerin Dudak ve Burun Estetik Bölgelerindeki Etkilerinin İncelenmesi”</t>
  </si>
  <si>
    <t>“Primer İmmün Yetmezlik Tanısı ile İzlenen Hastalarda Karaciğerde Gelişebilen Fokal Nodüler Hiperplazi Lezyonlarmin Değerlendirilmesi ”</t>
  </si>
  <si>
    <t>“Kronik Tromboembolik Pulmoner Hipertansiyonun Tanisonda ve Tedavi Yanıtı Değerlendirmesinde Akciğer Ventilasyon/Perfüzyon Sintigrafisinin Prognostik Gücü”</t>
  </si>
  <si>
    <t>“Axial ve Koronal Düzlemde Koklear Apertür Ölçümlerinin İnternal Akustik Kanal ve Koklear Sinir ile İlişkisi”</t>
  </si>
  <si>
    <t>“Sigara Kullanan Erişkinlerin Sigaraya Ayırdıkları Bütçeye Dair Farkındalıklarının Sigara Bırakma Motivasyonlarıyla İlişkisi”</t>
  </si>
  <si>
    <t>“Çene Kemiklerinde Multipl Miyeloma Bağlı Mikroyapısal Bozulmaların Kantitatif Analizi: Fraktal, Lakünerite ve Entropi Parametrelerinin Karşılaştırmalı İncelemesi”</t>
  </si>
  <si>
    <t>"Ailesel Akdeniz Ateşi’nde MEFV Genotipine Göre Klinik Özelliklerin Karşılaştırılması: Homozigot, Heterozigot ve Klinik Önemi Bilinmeyen Varyant Taşıyıcıları"</t>
  </si>
  <si>
    <t>"Çocukluk Çağı Kronik Non-Bakteriyel Osteomiyelit Hastalarında Tedaviye Yanıtlar ve Relapsı Öngören Faktörler"</t>
  </si>
  <si>
    <t>“Tablet Tabanlı Mikroperimetri ile Yaşa Bağlı Makula Dejenerasyonunda Görme Keskinliği Değişiminin Ev Ortamında Saptanması”</t>
  </si>
  <si>
    <t>“Humerus Şaft Kırıklarının Retrospektif Analizi ve Tedavi Sonuçları”</t>
  </si>
  <si>
    <t>“Mitokondriyal Hastalık Tanılı Hastaların Semptom ve Bulgularının Mitokondriyal Hastalık Tanı Kriterleri ile Değerlendirilmesi”</t>
  </si>
  <si>
    <t>“Kırım-Kongo Kanamalı Ateşinin Moleküler İmzalarının Ortaya Konması: mRNA, lncRNA, sRNA ve circRNA Profilleri Üzerine Transkriptomik ve Biyoinformatik Yaklaşım”</t>
  </si>
  <si>
    <t>“Konjenital Kalp Hastalığı Nedeniyle Opere Edilen Yenidoğanlarda Mortaliteyi Etkileyen Klinik Faktörler”</t>
  </si>
  <si>
    <t>“Pediatrik Cerrahi Hastalarında Postoperatif Ağrı Yönetimi Başarısının Değerlendirilmesi”</t>
  </si>
  <si>
    <t>“Bilateral Sagital Split Ramus Osteotomisi ve Genioplasti ile Mandibulaya Yaptırılan Çeşitli Hareketlerin Dudak, Çene Ucu ve Angulus Estetik Bölgelerindeki Etkilerinin İncelenmesi”</t>
  </si>
  <si>
    <t>“Üst Ekstremitede Ön Kondisyonlanma ile “Aktivasyon Sonrası Performans Artışı” mümkün mü?”</t>
  </si>
  <si>
    <t>“Tüm Beyin Radyoterapisi Sırasında Hipokampüsün Dentat Girus ve Cornu Ammonis Bölgelerinin Korunduğu Hastalarda Nörokognitif Fonksiyon Durumunun Değerlendirilmesi”</t>
  </si>
  <si>
    <t>“Tek Taraflı Dudak-Damak Yarıklı Dental Modellerde Farklı Ağız İçi Tarayıcıların Karşılaştırılması: İn-vitro Çalışma”</t>
  </si>
  <si>
    <t>“Luminal A Meme Kanseri: Genç Yaşa Özgü Kötü Prognozun Moleküler Temelleri”</t>
  </si>
  <si>
    <t>“Sol Dal Alan Uyarım Metodu ile İmplante Edilen Kardiyak Cihazların Hastalar Üzerideki Takip Verilerinin İncelenmesi ve Konvansiyonel Metodoloji ile Karşılaştırılması”</t>
  </si>
  <si>
    <t>“Periferik Fasiyal Paralizili Hastalarda Kulak MRG Bulguları ve 3D-FLAIR Sekansın Tanıya Katkısının Araştırılması”</t>
  </si>
  <si>
    <t>“İleri Derecede Kemik Kaybı Olan Lezyonlarda Oral Protozoa Varlığının Değerlendirilmesi”</t>
  </si>
  <si>
    <t>“Pemfigus Vulgaris Hastalarında Rituksimab Tedavisinden Sonrası Relaps İle İlişkili Laboratuar ve Klinik Parametrelerin Araştırılması”</t>
  </si>
  <si>
    <t>“PAX1 Gen Mutasyonunun Timus Gelişimi ve Fonksiyonu Üzerinde Etkilerinin Araştırılması”</t>
  </si>
  <si>
    <t>“Mikozis Fungoides ve Ayırıcı Tanısına Giren Lezyonlarda TRPS1, RBC1, TOX ve PDCD1 Ekspresyonlarının Karşılaştırmalı Değerlendirilmesi: Tanısal Algoritma Geliştirmeye Yönelik Klinikopatolojik Yaklaşım”</t>
  </si>
  <si>
    <t>“Başlangıç Yaşına Göre Atopik Dermatit Olgularının Klinik ve Laboratuvar Parametrelerinin Karşılaştırılması”</t>
  </si>
  <si>
    <t>“Metastatik Kolorektal, Over ve Serviks Hastalarında Renal Sonlanımların Değerlendirilmesi”</t>
  </si>
  <si>
    <t>“Pediyatrik Sarkomlarda Metabolik ve Radyomik Parametreler ile Prognostik Modelleme”</t>
  </si>
  <si>
    <t>“Paraservikal Blok Uygulamasının Histeroskopi Sonrası Postoperatif Ağrı Üzerine Etkisi: Anket Çalışması”</t>
  </si>
  <si>
    <t>“Jinekolojik Onkoloji Konsey Kararlarının Yapay Zekâ Destekli Kararlarla Karşılaştırılması: Over, Endometrium ve Serviks Kanseri Üzerine Retrospektif Bir Analiz”</t>
  </si>
  <si>
    <t>“Nazal Dermoid Kistlere Multidisipliner Yaklaşım: Konjenital Vakaların Klinik, Görüntüleme ve Cerrahi Bulguları Üzerine Tek Merkezli Bir Analiz ”</t>
  </si>
  <si>
    <t>''Besin Alerjili Çocuklarda Kazara Alerjen Maruziyeti: Sıklığı, Risk Faktörleri ve Yaşam Kalitesi Üzerindeki Etkileri''</t>
  </si>
  <si>
    <t>“Manyetik Rezonans Görüntüleme ile Belirlenen Pankreas Yağlanmasının ERCP Sonrası Komplikasyonlarla İlişkisinin Değerlendirilmesi”</t>
  </si>
  <si>
    <t>“Triküspid Kapak Cerrahisi Uygulanmış Hastalarda Bradikardi Tedavisinde Kalıcı Kalp Pilinin Koroner Sinüs Yoluyla Uygulanması”</t>
  </si>
  <si>
    <t>“Kardiyak Bilgisayarlı Tomografi Anjiyografi Bulguları ile Koroner Arter Hastalığının Seyri ve Stent İçi Restenoz Arasındaki İlişkinin Degerlendirilmesi”</t>
  </si>
  <si>
    <t>“Türkiye’de 2022–2024 Yılları Arasında Gerçekleştirilen Aile Hekimliği Uyum Eğitimlerinin Etkililiğinin Değerlendirilmesi: Ön Test ve Son Test Sonuçları Üzerinden Bir Analiz”</t>
  </si>
  <si>
    <t>“Yüksek Enerjili Patlayıcılara Bağlı Gelişen İşitme Kayıplarının Adli Tıbbi Değerlendirilmesi”</t>
  </si>
  <si>
    <t>“Travma İlişkili Venöz Tromboembolizm Olgularının Medikolegal Açıdan İncelenmesi”</t>
  </si>
  <si>
    <t>“Santral Sinir Sistemi Lenfomalarında Sentinel Lezyonların Görüntüleme Bulguları ve Tanısal Önemi”</t>
  </si>
  <si>
    <t>"Diş Hekimliği Lisans Eğitiminde Total Protez Konulu Açık Uçlu Sınav Sorularının Büyük Dil Modelleri ve Uzman Puanlamaları ile Karşılaştırılması.”</t>
  </si>
  <si>
    <t>“Gastrointestinal Sistem İlişkili Ani Beklenmedik Ölümler: Retrospektif Otopsi Çalışması”</t>
  </si>
  <si>
    <t>“Çocukluk ve Ergenlik Döneminde Gerçekleşen Doğal Olmayan Ölüm Olgularının Değerlendirilmesi”</t>
  </si>
  <si>
    <t>“El Osteoartriti ve İnflamatuar Artritlerde Transarteriyel Periartiküler Embolizasyon: Teknik Uygulanabilirlik ve Klinik Sonuçları”</t>
  </si>
  <si>
    <t>“Fankoni Anemisinde Büyüme Hormonu Eksikliği Olan Olguların Özelliklerinin İncelenmesi”</t>
  </si>
  <si>
    <t>“Humerus'un Proksimal Kısmının Morfometrik Özelliklerinin Değerlendirilmesi ve Klinik Önemi"</t>
  </si>
  <si>
    <t>“Matür T Hücreli Lenfomalarda INI-1 (SMARCB1) Ekspresyon Kaybının Değerlendirilmesi”</t>
  </si>
  <si>
    <t>“Tip-1 Diyabeti Olan Çocuklarda Sağlıkta Baba Katılımı ve İlişkili Faktörler"</t>
  </si>
  <si>
    <t>“Kronik Oklüzif İliofemoral Hastalıkta Rekanalizasyon: Endovasküler Tedavi Sonuçları ve Venöz Giriş Akımının Asendan Venografi ile Değerlendirilmesi”</t>
  </si>
  <si>
    <t>“Down Sendromu Tanısı Almış Çocuk Hastaların Mandibula Kemik Yapısının Fraktal Analizi”</t>
  </si>
  <si>
    <t>“DiGeorge Sendromu Tanısı Almış Çocuk Hastaların Mandibula Kemik Yapısının Fraktal Analizi”</t>
  </si>
  <si>
    <t>“Disfonili Hastalarda Multidisipliner Ses Konseyi Kararları ile ChatGPT Yanıtlarının Karşılaştırılması”</t>
  </si>
  <si>
    <t>“3D Modelleme ile Cerrahi Planlama'nın Sakral Nöromodülasyon Cerrahisine ve Başarıya Olan Katkısının Değerlendirilmesi”</t>
  </si>
  <si>
    <t>"İmmünoterapi Alan Hastalarda Serum Vitamin D Düzeylerinin Prognostik Önemi "</t>
  </si>
  <si>
    <t>“Ektopik Gebelik Tanısı Alan Hastalarda Metotreksat Tedavisinin mg/m2 veya mg/kg Dozuna Göre Uygulanıp Etkinliğin Değerlendirilmesi ve Cerrahi Müdahale Gerektiren Vakaları Retrospektif Olarak Belirlenmesi”</t>
  </si>
  <si>
    <t>“Pediatrik Pankreas Cerrahisinde Postoperatif Komplikasyonlar: On Yılda Ne Öğrendik?”</t>
  </si>
  <si>
    <t>“Transkateter Aort Kapak İmplantasyonu Yapılan Hastalarda Kapak Fonksiyonlarının, Kalıcı Pil İhtiyacı Prediktörlerinin, Periprosedürel Komplikasyonların ve Takip Verilerinin Retrospektif Değerlendirilmesi”</t>
  </si>
  <si>
    <t>“Hipertrofik Kardiyomiyopati Tanılı Hastalarda Atriyal Fibrilasyon Ablasyonu Sonrası Klinik Sonlanımlar”</t>
  </si>
  <si>
    <t>“Tropomiyozin ve Arjinin Kinaz Duyarlılıkları Arasındaki İlişkilerin İncelenmesi”</t>
  </si>
  <si>
    <t>“CDK 4/6 İnhibitörü Kullanan Metastik Meme Kanseri Hastalarında Sağkalıma Etki Eden Faktörlerin Yapay Zeka Aracılığıy Belirlenmesi”</t>
  </si>
  <si>
    <t>“Kas Ultrasonografisi ile Yapılan Kas Kütlesi Ölçümleri ile Geriatri Populasyonda Referans Kas Kütlesi Değerlerinin Belirlenmesi”</t>
  </si>
  <si>
    <t>“Küçük Hücreli Dışı Akciğer Kanseri Tanılı Hastalarda Venöz Tromboembolizm Riskini Öngören Tahmin Modelinin Geliştirilmesi”</t>
  </si>
  <si>
    <t>“Sistemik Otoinflamatuvar Hastalıklarda Üçüncü Nesil Dizileme ile Genetik Etiyolojinin Belirlenmesi”</t>
  </si>
  <si>
    <t>“Yapay Zekanın Odontojenik Olmayan Ağrı Tanısındaki Başarısının Diş Hekimleri ile Karşılaştırılması: Senaryo Temelli Bir Veri Analizi”</t>
  </si>
  <si>
    <t>“Şok Hastalarında Mikrodolaşım ve Makrodolaşımın Eş Zamanlı Değerlendirilmesi”</t>
  </si>
  <si>
    <t>“Non-Metrik Kraniyal Özelliklerin Cinsiyet Ayrımında Makine Öğrenmesi ve Uzman Değerlendirmeleri”</t>
  </si>
  <si>
    <t>"Anne ve Babaların Olumsuz Çocukluk Çağı Deneyimlerinin Erken Doğum Öyküsü Olan Çocukların Gelişimlerine Etkileri"</t>
  </si>
  <si>
    <t>“Os Naviculare Cerrahi Fiksasyonu İçin İmplant Boyutlarının Optimizasyonu: Morfometrik Çalışma”</t>
  </si>
  <si>
    <t>“Ağız Diş Ve Çene Cerrahisi Kliniğine Başvuran Hastaların Yapay Zeka Farkındalik Düzeyi İle Ağız Sağlığı ile İliskili Yaşam Kalitesi Arasındaki Korelasyonun Değerlendirilmesi”</t>
  </si>
  <si>
    <t>“Kronik Obstrüktif Akciğer Hastalığı Tanılı İleri Yaş Hastalarda Anksiyete ve Depresyonun İnhaler Uyumuyla İlişkisinin İncelenmesi”</t>
  </si>
  <si>
    <t>“Erişkin Kistik Fibrozis Hastalarında Modülatör Tedaviye Erişim Sürecinin Psikososyal ve Ekonomik Etkilerinin Değerlendirilmesi”</t>
  </si>
  <si>
    <t>“Spinal Musküler Atrofi (SMA) Tip 1 ve 2 Hastalarında İntratekal Nusinersenin Ultrasonografi Eşliğinde Uygulanmasının Değerlendirilmesi”</t>
  </si>
  <si>
    <t>“Metafizyel Displazi Olgularında Klinik Spektrumun ve Genetik Etiyolojinin İncelenmesi”</t>
  </si>
  <si>
    <t>“Cerrahi Zorluğu Ölçmenin Yeni Yolu: VESPA skoru ile DIEP Fleplerde Anatomik Karmaşıklığın Sayısallaştırılması”</t>
  </si>
  <si>
    <t>“Karaciğer Hastalıkları ile İlgili Stigmatizasyon Ölçeği Geliştirme Çalışması: Metodolojik Araştırma”</t>
  </si>
  <si>
    <t>“SLC2943 Gen Defekti Olan Hastalarda Otofajinin İncelenmesi”</t>
  </si>
  <si>
    <t>“Cerrahi veya Perkütan Yolla Atriyal Septal Defekt Kapatılan Hastalarda Atriyal Taşikardinin Kateter Ablasyonunun Sonlanım Noktalarının İncelenmesi”</t>
  </si>
  <si>
    <t>“Bir Kamu Hastanesinin Acil Servisinde Yalın Yönetim Uygulaması”</t>
  </si>
  <si>
    <t>“Ankara’da Bir İlçe Belediyesi Ana Hizmet Binasında Görev Yapan Belediye Çalışanlarının İklim Değişikliği Risk Algısının Değerlendirilmesi”</t>
  </si>
  <si>
    <t>“Kalp Hastalığı Olan Çocukların Sağlık Durumları ile Ebeveynlerinin Yaşantılarının Uyum ve Mücadele Dinamiklerinin Nitel Analizi”</t>
  </si>
  <si>
    <t>"Diferansiye Tiroid Kanserlerinde Tedavi Öncesi Kan Sonuçlarının Prognostik Değerlendirmesi"</t>
  </si>
  <si>
    <t>“Hacettepe Üniversitesi Genel Dahiliye Polikliniğine Başvuran 40-65 Yaş Arası Bireylerde Kardiyovasküler Riskin Değerlendirilmesi ve Risk Farkındalığının İncelenmesi”</t>
  </si>
  <si>
    <t>“Susam veya Kabuklu Ağaç Yemişi Alerjisi Olan Hastalarda Deri Prick Testi, Besin Spesifik IgE ve Dudak Teması Testine Dayalı Risk Skorlaması”</t>
  </si>
  <si>
    <t>“Çocuk Acile Başvuran İdrar Toksikolojisi Gönderilen Ergenlerin Ergen Sağlığı İzlemi”</t>
  </si>
  <si>
    <t>“Farklı Kök Kanal Dolgu Materyallerinin Devital Beyazlatma Sonrası Renk Stabilitesi ve Fraktür Direnci Üzerine Etkileri: Laboratuvar Çalışması”</t>
  </si>
  <si>
    <t>“Bronkopulmoner Displazinin Erken Tanı ve Tedavi Sürecinin İzleminde Yapay Zeka Destekli Metabolomik Yaklaşımlar”</t>
  </si>
  <si>
    <t>“Kök Kanal Dolgu Materyalleri ve İntraorifis Bariyer Materyali Etkileşiminin İntrakoronal Beyazlatma ve Kırılma Dayanımı Üzerindeki Etkisi: İn Vitro Çalışma”</t>
  </si>
  <si>
    <t>“Atriyal Septal Defekt Tanısı Olan Pediatrik Hastalarda Demografik, Klinik ve Ekokardiyografik Bulguların Değerlendirilmesi ile İzlem Sürecinde Bu Parametrelerdeki Değişikliklerin Araştırılması”</t>
  </si>
  <si>
    <t>“Glioblastoma Multiforme Hastalarında Venöz Tromboembolizm ve Hidrosefali Risk Faktörlerinin Anlaşılması ve Rekürren Cerrahi Sonrası Komplikasyonların Belirlenmesi”</t>
  </si>
  <si>
    <t>“Çocukluk Başlangıçlı Monogenik Sendromik Obezitenin Erişkin Dönem Klinik Seyri”</t>
  </si>
  <si>
    <t>“Rasgrp1 Mutasyonu Olan Hastaların Klinik ve Laboratuvar Özelliklerinin Değerlendirilmesi ”</t>
  </si>
  <si>
    <t>“İnflamatuar Barsak Hastalıklarında Komplikasyon ve Tedavi Direncinin Retrospektif Veriler Üzerinden Büyük Dil Modeli (LLM) ile Değerlendirilmesi”</t>
  </si>
  <si>
    <t>“IDH Mutant Düşük Gradeli Gliomların Cerrahi Tedavisi Sonrasıda Kullanılan Adjuvan Tedavi Modalitelirinin Karşılaştırılması”</t>
  </si>
  <si>
    <t>“İskelet Siliyopatisi Hastalarında Ağız Sağlığı Durumu Değerlendirilmesi”</t>
  </si>
  <si>
    <t>“Os Hyoideum Anatomik Değerlendirmesi: Şekil, Füzyon, Gövde Genişliği ve Bunların Birbirleriyle Olan İlişkileri, Basit Bir Sınıflandırma Önerisiyle”</t>
  </si>
  <si>
    <t>“Klinefelter Sendromlu Hastalarda Klinik, Gelişimsel, Genetik ve Reprodüktif Özelliklerin Değerlendirilmesi”</t>
  </si>
  <si>
    <t>“Geriatri Hekimlerinin Reçeteleme Kaskadı Hakkında Farkındalığı ve Yönetim Yaklaşımlarının Değerlendirilmesi: Ulusal Düzeyde Bir Çalışma”</t>
  </si>
  <si>
    <t>“Çocuk Romatoloji Hastalarında Tümör Nekroz Faktör Alfa Blokör Tedavisinin Tiroid Fonksiyonu Üzerine Etkisinin Değerlendirilmesi”</t>
  </si>
  <si>
    <t>Minimal İnvaziv Kardiyak Cerrahi Uygulanan Pediatrik Hastalarda Anestezi Yönetimi: Tek Merkezli Olgu Serisi-Bireysel Araştırma”</t>
  </si>
  <si>
    <t>“Kritik Hastalarda Enteral Beslenme Hedeflerine Ulaşma Durumu ve Klinik Sonuçlarla İlişkisi”</t>
  </si>
  <si>
    <t>“Mizofoninin Klinik Alt Türleri: Demografik Özellikler, Ruhsal ve Bedensel Ek Tanıların İki Aşamalı İncelenmesi”</t>
  </si>
  <si>
    <t>“Bireysel Sodyum Sitrat Tüketiminin Kadın Futbolcularda Tekrarlı Sprint Performansına Etkisi”</t>
  </si>
  <si>
    <t>“Radikal Prostatektomiye Bağlı Erektil Disfonksiyon ve Preoperatif Hasta Bilgilendirme Düzeyinin Değerlendirilmesi”</t>
  </si>
  <si>
    <t>“Konjenital Kalp Hastalıkları Ameliyatlarından Sonra Gelişen Akut Böbrek Hasarına Etki Eden Faktörlerin İncelenmesi”</t>
  </si>
  <si>
    <t>“Sanal Mentorluğun Dinamiklerini Keşfetmek: WONCA Araştırma Çalışma Grubu Programındaki Engeller, Kolaylaştırıcılar ve Mentor ve Danışanların Beklentileri Üzerine Betimleyici Bir Çalışma”</t>
  </si>
  <si>
    <t>“Akromegali ve Prolaktinoma Hastalarında Hepsidin, Eritroferron, Eritropoietin, Soluble Transferrin Reseptör ve Fibroblast Growth Faktör-23 Düzeyleri İle Hematolojik Parametrelerin İlişkisi”</t>
  </si>
  <si>
    <t>“Şeffaf Plak Ataşmanlarında Kullanılan Kompozit Rezinin Renklendirme Ajanı Uygulanması Sonrası Dayanıklılık ve Yüzey Özelliklerinin Karşılaştırılması”</t>
  </si>
  <si>
    <t>“Multipl Skleroz (MS) Tanılı Hastalarda MS Mesane Kontrol Aracı Kullanılarak Alt Üriner Sistem Semptomlarının Ön Değerlendirmesi ve Fonksiyonel Üroloji Polikliniğine Yönlendirme Kriterlerinin Belirlenmesi”</t>
  </si>
  <si>
    <t>“Antenatal Kortikosteroid Uygulanan Fetüslerde Fetal Pulmoner Ven Dopplerinin Longitudinal İzlemi ve Perinatal Sonuçlarla İlişkisi: Prospektif Kohort Çalışması”</t>
  </si>
  <si>
    <t>“Tip 1 Interferonopati Tanılı Pediatrik Hastalarda Klinik ve Laboratuvar Bulguların Degerlendirilmesi”</t>
  </si>
  <si>
    <t>“Türkiye'de Dudak ve Damak Yarıklarının Epidemiyoloji”</t>
  </si>
  <si>
    <t>“Nadir Bir Over Tümörü: Ovaryen Fibrosarkom ve Mitotik Aktif Fibrom Olgularının Klinikopatolojik İncelemesi”</t>
  </si>
  <si>
    <t>“Adneksiyel Torsiyon Tanısında Manyetik Rezonans Görüntülemenin Yeri”</t>
  </si>
  <si>
    <t>“Patient Enablement Instrument (PEI)” Hasta Yetkilendirme Ölçeğinin Türkçe Geçerlilik ve Güvenilirlik Çalışması”</t>
  </si>
  <si>
    <t>“Primer Atopik Hastalıklarda Yardımcı T Hücre 2 Yanıtının Multiomik Yaklaşımla Ayrıntılı Olarak Değerlendirilmesi”</t>
  </si>
  <si>
    <t>“Monogenik Obezite ile İlişkili Varyant Saptanmış Erken Başlangıçlı Ciddi Obezitesi Olan Çocuklarda Klinik Ayırıcı Özelliklerin Belirlenmesi”</t>
  </si>
  <si>
    <t>“Sağır ve İşitme Yetersizliği Olan Bireylerin Sağlıkla İlgili Bilgi Gereksinimlerini Karşılamaya Yönelik Görsel ve İşitsel Medya İçeriklerinin Geliştirilmesi Projesi”</t>
  </si>
  <si>
    <t>“Üroloji Aalnında Çalışan Erkek Sağlık Profesyonellerinde Oturarak ve Ayakta İşeme Pozisyonlarının Üroflovmetrik Parametrelere Etkisinin Değerlendirilmesi”</t>
  </si>
  <si>
    <t>“Kronik Obstrüktif Akciğer Hastalığının Oküler Mikrovasküler ParametrelerÜzerine Etkilerinin Değerlendirilmesi”</t>
  </si>
  <si>
    <t>“Hepatosellüler Karsinom Tanılı Hastalarda Küratif Tedavi Al(a)mamasına Rağmen Uzun Süre Sağkalım Sağlanabilmiş Hastaların Klinik Özellikleri”</t>
  </si>
  <si>
    <t>“Çocukluk Çağında Tanı Alan Adrenokortikal Tümörlerde Mitotan Kullanımının Endokrin Yan Etkilerinin İncelenmesi”</t>
  </si>
  <si>
    <t>“Hastanede Yatan ve Nütrisyon Tedavisi alan Hastalarda Aspirasyon Pnömonisi ile İlişkili Faktörler: Retrospektif Kohort Çalışması”</t>
  </si>
  <si>
    <t>“Pediatrik AdrenokortikalTümörler İçin Avrupa-Çapında Araştırma İnisiyatifi-Hastalığı Kavrama ve Tedavi Sonuçlarını Geliştirme”</t>
  </si>
  <si>
    <t>“Nükleer Tıp Görüntüleme Yöntemleri ile Saptanan İnsidental Papiller Tiroid Mikrokarsinomlarının Klinikopatolojik Özelliklerinin Diğer Saptanma Yöntemleriyle Karşılaştırıması”</t>
  </si>
  <si>
    <t>“Alerjik Çocuklarda Bileşene Dayalı Moleküler Test ile Alerjene Özgü IgE Duyarlılık Profilinin İncelenmesi”</t>
  </si>
  <si>
    <t>“Sonografik Sol Ventrikül Çıkış Yolu Hız Zaman İntegrali Değerlendirmesi ile Hesaplanan Kalp Debisinin Akut Kalp Yetmezliği Tedavisinde Diüretik Direnci Göstergesi Olan Spot İdrar Sodyumu Ölçümü ile İlişkisinin İncelenmesi”</t>
  </si>
  <si>
    <t>“Akut İskemik İnme Hastalarında “Genel Obezite”, “Santral Obezite” ve “Adipozite” İndekslerinin İnme Fenotipi, Aterosklerotik Arter Hastalıkları ve Prognoza Etkisi: Prospektif Çalışma”</t>
  </si>
  <si>
    <t>“1 Ocak 2016 - 31 Temmuz 2024 Yılları Arasında Doğum Yapmış Çoğul Gebeliği Olan Hastalarda; Gebeliklerinin Spontan ve Yardımcı Üreme Teknikleri Sonrası Gelişmesi Durumuna Göre Prenatal ve Postnatal Sonuçlarının Değerlendirilmesi”</t>
  </si>
  <si>
    <t>“Çocukluk Çağı Malign Karaciğer Tümörlü Hastalarının Retrospektif Analizi”</t>
  </si>
  <si>
    <t>“IgE Aracılı Kabak Çekirdeği Alerjisinin Moleküler Karakterizasyonu”</t>
  </si>
  <si>
    <t>“Atriyal Fibrilasyon Ablasyonu Planlanan Hastalarda Sol Atriyal Apendikste Trombüs Oluşumunun Öngorülmesi”</t>
  </si>
  <si>
    <t>“Madde Kullanım Bozukluğu Hastalarında Yaygın Tek Nükleotid Polimorfizmlerinin Sıklığının Belirlenmesi ve Bunların Madde Kullanımını Yordayan Alt Özelliklerle İlişkileri”</t>
  </si>
  <si>
    <t>“Koklear Hipoplazili Hastalarda Fasiyal Sinir Seyrinin Değerlendirilmesi”</t>
  </si>
  <si>
    <t>“Çocuklarda Mantar Duyarlılık Profili ve Klinik ile İlişkisi”</t>
  </si>
  <si>
    <t>“Molibden Kofaktor Eksikligi-Tek Merkez Deneyimi”</t>
  </si>
  <si>
    <t>“CHARGE Sendromlu Hastalarda Kokleanın Yerleşiminin Değerlendirilmesi”</t>
  </si>
  <si>
    <t>“Major Depresif Bozukluğu Olan Ergenlerde Kendine Zarar Verme Davranışı ile Ebeveynlerinin Duygu Düzenleme Becerileri ve Aile İşlevselliği Arasındaki İlişki”</t>
  </si>
  <si>
    <t>“Katarakt Cerrahisinde Preoperatif Chord mu ve Chord alpha Referansı ile Yerleştirilen İntraoküler Göz İçi Mercek Santralizasyonunun Postoperatif Mikroperimetrik İki Değişkenli Eliptik Kontur Alan Sapma Açısı ile Değerlendirilmesi”</t>
  </si>
  <si>
    <t>“Sınıf 3 Uzun Yüz Tipine Sahip Hastalarda Cerrahi Planlamanın Barcelona Çizgisi ve Gerçek Dikey Çizgi Açısından Karşılaştırmalı Değerlendirilmesi”</t>
  </si>
  <si>
    <t>“Abdominal Tüberküloz Tanısı ile İzlenen Çocukların Klinik ve Laboratuar Özelliklerinin Değerlendirilmesi”</t>
  </si>
  <si>
    <t>“Dikkat Eksikliği Hiperaktivite Bozukluğu Olan Ergenlerde Duyusal İşlemleme Özellikleri, Zihin Kuramı Becerileri ve Bilinçli Farkındalık Düzeylerinin Akran Zorbalığı İle İlişkisi”</t>
  </si>
  <si>
    <t>“Covid-19 Pandemisinin Toplumdan Kazanılmış Pnömoni Etkenlerinin Epidemiyolojisine Etkisi: Retrospektif Bir Gözlemsel Çalışma”</t>
  </si>
  <si>
    <t>“Malign Potansiyeli Belirsiz Uterus Düz Kas Tümörleri ile Erken Evre Leiomyosarkomda Rekürrensi ve Prognozu Öngörmede Klinik ve Histopatolojik Prediktörler”</t>
  </si>
  <si>
    <t>“Papivir Kullanımının HPV Pozitif Kadınlarda Viral Klirense Etkisi”</t>
  </si>
  <si>
    <t>“Pediatri Günübirlik Tedavi Servisinde İzlenen Tıbbi Olarak Karmaşık Çocukların Değerlendirilmesi”</t>
  </si>
  <si>
    <t>“Tıp Fakültesi Öğrencilerinde İleri Kardiyak Yaşam Desteği Eğitiminde Oyun Kartları ile Öğrenmenin Değerlendirilmesi”</t>
  </si>
  <si>
    <t>“Kistik Fibroziste Kistik Fibrozis Transmembran Regülator Modülatör Tedavinin Etkili Olmama Nedenlerinin İncelenmesi”</t>
  </si>
  <si>
    <t>“Büyüme Hormonu Salgılama Hormonu ve Analoglarının İdrarda Nano Sıvı Kromatografisi Kuadrupol/Orbitrap Kütle Spektrometrisi Kullanılarak Analizi”</t>
  </si>
  <si>
    <t>“Arteria Hepatica Sınıflamasının Radyolojik Olarak İncelenmesi”</t>
  </si>
  <si>
    <t>“Malign Kemik Lezyonlarının Tedavisinde Perkütan Osteosentez ve Sementoplastinin Rolü ve Tedavi Sonuçlarının Değerlendirilmesi”</t>
  </si>
  <si>
    <t>“Ligamentum Falciforme Hepatis Radyolojik Anatomisi: Morfometri ve Yağ Dokusu İlişkisi”</t>
  </si>
  <si>
    <t>“Kulak Burun Boğaz Hastalarının Cerrahi Müdahaleler Hakkında Sık Sordukları Sorulara Büyük Dil Modelleri ve Uzmanlarının Verdiği Cevapların Hasta Bakış Açısından Karşılaştırılması”</t>
  </si>
  <si>
    <t>“Farklı Büyük Dil Modellerinin Benign Larinks Patolojileri Hakkındaki Sorulara Verdiği Cevapların Doğruluklarının Araştırılması”</t>
  </si>
  <si>
    <t>“Plöroparenkimal Fibroelastozis Tanılı Pediatrik Olguların Klinik, Radyolojik ve Tanı Süreçlerinin Değerlendirilmesi: Üç Olguluk Retrospektif Vaka Serisi”</t>
  </si>
  <si>
    <t>“İlaca Dirençli Epilepsisi Olan Erişkin Hastalarda Korpus Kallozotominin Uzun Dönem Sonuçları”</t>
  </si>
  <si>
    <t>“Çocuk Yoğun Bakım Hastalarında Ferritin Yüksekliği Tespit Edilen Olguların İncelenmesi”</t>
  </si>
  <si>
    <t>“Hacettepe Üniversitesi Tıp Fakültesi Genel Dahiliye Bilim Dalı Polikliniklerine Başvuran Diyabet, Hipertansiyon ve Hiperlipidemi Hastalarında İlaç Uyumunun Değerlendirilmesi”</t>
  </si>
  <si>
    <t>“Ev Tipi İnvaziv Mekanik Ventilatör ile İzlenen Hastaların Değerlendirilmesi”</t>
  </si>
  <si>
    <t>“Çocukluk Çağı Romatolojik Hastalıkları Nedeniyle Biyolojik Ajan Kullanan Hastalarda Pnömokok ve Meningokok Taşıyıcılığı”</t>
  </si>
  <si>
    <t>“ECMO Uygulanan Hastalarda Akut Böbrek Hasarı Açısından Risk Faktörlerinin Değerlendirilmesi”</t>
  </si>
  <si>
    <t>“Travma Olgularının Endovasküler Tedavilerle Yönetimi; Neredeyiz?”</t>
  </si>
  <si>
    <t>“Kanal Tedavili Dişlerin Fraktür Direncinde Servikal Bariyer ve Kroniçi Ağartma Materyallerinin Rolü: Laboratuvar Çalışması”</t>
  </si>
  <si>
    <t>“Akçaağaç Şurubu İdrar Hastalığında Nöropsikiyatrik Özellikler”</t>
  </si>
  <si>
    <t>“Küçük Hücreli Dışı Akciğer Kanseri Hastalannda Pulmoner Rezeksiyonu Takiben Göğüs Tüpünün Erken Dönemde Çıkanlmasının Güvenlik ve Uygulama Yönünden Değerlendirilmesi”</t>
  </si>
  <si>
    <t>“Portal Hipertansiyon Tanılı Çocuk Hastaların Uzun Süreli Klinik İzlem Sonuçları”</t>
  </si>
  <si>
    <t>“Klinik Eczacıların Geriatrik Sendromlar Konusundaki Yaklaşımlarının Değerlendirilmesi”</t>
  </si>
  <si>
    <t>“Primer Siliyer Diskinezi Hastalarında Beslenme Durumu ve Solunum Parametreleri İlişkisi: Kesitesel ve Takip Çalışması”</t>
  </si>
  <si>
    <t>“2012 Revize Atlanta Sınıflamasına Göre Şiddetli Akut Pankreatitin Öngörülmesinde Ranson, BISAP ve APACHE-II Skorlarının Karşılaştırmalı Prognostik Doğruluğu: Sistematik Derleme ve Meta-Analiz”</t>
  </si>
  <si>
    <t>“Eczacıların Farmakogenetik Testlere Yaklaşımı: Bilgi, Farkındalık ve Tutum Analizi”</t>
  </si>
  <si>
    <t>“Belirsiz Gastrointestinal Kanaması Olan Hastalarda Kapsül Endoskopisinin Tanısal Sensitivitesi-Kapsamlı Tek Merkez Veri Analizi”</t>
  </si>
  <si>
    <t>“Küçük Hücreli Dışı Akciğer Kanseri Tanılı Hastalarda Cerrahi Kapsam ve Tekniğin Postoperatif Akciğer Fonksiyonları Üzerine Etkisi”</t>
  </si>
  <si>
    <t>“Mahrum Edilmiş Yas: Kürtaj Sonrası Kayıp Sürecinin Anlamlandırılması”</t>
  </si>
  <si>
    <t>“Cinsiyet Uyuşmazlığı Nedeniyle Başvuran Kişilerin Sosyodemografik ve Klinik Özelliklerinin Zaman İçerisindeki Değişiminin İncelenmesi”</t>
  </si>
  <si>
    <t>“Kistik Fibrozis Hastalarında CFTR Modülatör Tedavilerine Bağlı Yan Etkilerin Değerlendirilmesi: Üçüncü Basamak Bir Merkezden Deneyimler”</t>
  </si>
  <si>
    <t>“Koklear İmplant Cerrahisi Sonrası Revizyon Geçirmiş Olgularda Revizyon Nedenlerinin İncelenmesi”</t>
  </si>
  <si>
    <t>“Agresif ve Metastatik Pituiter Nöroendokrin Tümör Tanısı Alan Olguların Retrospektif İncelenmesi”</t>
  </si>
  <si>
    <t>“Kistik Fibrozisli Cocuklarda Balgam Kolonizasyonu ile Ailelerin Enfeksiyon Kontrol Bilgi Düzeyi ve Sosyoekonomik Durumu Arasindaki İlişki”</t>
  </si>
  <si>
    <t>“Coğrafik Atrofi Tanılı Hastalarda Derin Öğrenme Tabanlı Bilgisayarlı Görü Yöntemleriyle Bölütlenmesi ve 5 Yıllık Progresyonun Kestiriminin Değerlendirilmesi”</t>
  </si>
  <si>
    <t>“Erişkin Kistik Fibrozis ve Primer Siliyer Diskinezi Olgularında Solunum Yolu Örneklerinden Nadir Küf Türlerinin İzolasyon Sıklığının ve Klinik Yansımalarının Değerlendirilmesi ”</t>
  </si>
  <si>
    <t>“Trakeotomi Dekanülasyonu Yapılan Hastalarda Havayolu Basınçlarındaki ve Solunum İş Yükündeki Değişimin Bilgisayar Simülasyonu ile Değerlendirilmesi”</t>
  </si>
  <si>
    <t>“Ani İdiyopatik İşitme Kaybı ile Koklear Ossifikasyonun İlişkisinin İncelenmesi”</t>
  </si>
  <si>
    <t>“65 Yaş Üzeri Hastalarda Gereksiz Betahistin Kullanımının Araştırılması”</t>
  </si>
  <si>
    <t>“Kafa Tabanı Osteomyeliti Hastalığının Tedavisinin Finansal Analizi”</t>
  </si>
  <si>
    <t>“65 Yaş ve Üzeri Hastalarda Kısa Nütrisyonel İndekslerinin Tüm Nedenlere Bağlı Mortalite ile İlişkisi”</t>
  </si>
  <si>
    <t>“Geriatri Polikliniği Hastalarında Farklı Kırılganlık İndekslerinin Tüm Nedenlere Bağlı Mortaliteyi Öngörme Etkilerinin Karşılaştırılması”</t>
  </si>
  <si>
    <t>“Migrende Fonksiyonel Transkranial Doppler ultrasonografi”</t>
  </si>
  <si>
    <t>“Avrupa Uyuşturucu Madde Acilleri İletişim Ağı Projesi - ‘European Drug Emergencies Network Plus (Euro-DEN Plus) Proiect’”</t>
  </si>
  <si>
    <t>“D110H Mutasyonu Varhginda; Klinik Seyir Nasil Sekilleniyor?”</t>
  </si>
  <si>
    <t>"Jak İnhibitörlerinin Labaratuvar Parametreleri Üzerindeki Etkilerinin Zaman İçindeki Değişimi: 0., 3. ve 6. Ay Değerlendirmeleri"</t>
  </si>
  <si>
    <t>“Gebelikte Boğmaca Aşısının Uygulanma Haftası ile Doğumda Kord Kanında Anti-PT ve Anti-FHA IgG Düzeylerinin Karşılaştırılması: Prospektif Gözlemsel Çalışma”</t>
  </si>
  <si>
    <t>“Neovasküler Yaşa Bağlı Makula Dejenerasyonunda Fibrotik Skar Özellikleri ve Tedavi Parametrelerinin Görme Keskinliği Üzerine Etkileri: Retrospektif Gözlemsel Bir Çalışma”</t>
  </si>
  <si>
    <t>“Otoimmün Demiyelinizan Hastalıklar (MS, NMO, MOGAD)'a Bağlı Optik Nörit Geçiren Olgularda Mikroperimetri ve Patern Elektroretinografi ile Optik Sinir ile Makula Fonksiyonunun Değerlendirilmesi</t>
  </si>
  <si>
    <t>“Doğal İmmünite Defektleri, Kombine İmmün Yetmezlikler ve İmmün Disregülasyonla Giden Primer İmmün Yetmezliklerin Genetik ve İleri İmmünolojik Yöntemlerle Araştırılması”</t>
  </si>
  <si>
    <t>“Otizm Spektrum Bozukluğu ve Dikkat Eksikliği Hiperaktivite Bozukluğu Tanılı Çocuklarda İnflamasyon Hipotezinin Tam Kan Sayımı Parametreleri ile İncelenmesi”</t>
  </si>
  <si>
    <t>“Kalıtsal Metabolik Hastalıklarda 1,5 Anhidroglusitol (1,5-AG) ve 1,5-Anhidroglusitol-fosfat (1,5-AG6P) Düzeylerinin Araştırılması''</t>
  </si>
  <si>
    <t>“AVNRT Tanısı ile Ablasyon Uygulanan Çocuklarda Transozefagial Elektrofizyolojik Çalışmanin Nüksü Belirlemedeki Rolü''</t>
  </si>
  <si>
    <t>“Çocuk Kardiyoloji Ünitesinde Uygulanan Farmakolojik Provakasyon Testlerinin Tanı Sürecindeki Rolü"</t>
  </si>
  <si>
    <t>“Çocuk Acil Polikliniğine Başvuran Skuter Kazalarının Retrospektif Değerlendirilmesi”</t>
  </si>
  <si>
    <t>“Ankara Grup Başkanlığında Doğal Olmayan Yabancı Uyruklu Ölümlerin Değerlendirilmesi”</t>
  </si>
  <si>
    <t>“Tıbbi Uygulama Hatası İddiası Bulunan Otopsi Vakalarının Medikolegal Açıdan Değerlendirilmesi”</t>
  </si>
  <si>
    <t>“Aort Diseksiyonu ve Anevrizma Rüptürüne Bağlı Ölümler: Otopsi Çalışması”</t>
  </si>
  <si>
    <t>“Asıya Bağlı Ölüm Olgularında Retina Kanamalarının İndirekt Fundoskopi ile Değerlendirilmesi”</t>
  </si>
  <si>
    <t>“Boyun Diseksiyonu Yapılan Hastalarda En-Bloc Rezeksiyon Yöntemi ile Juguler Ven Split Rezeksiyon Yönteminin Karşılaştırılması”</t>
  </si>
  <si>
    <t>“Human Papilloma Virus Aşısı Uygulanan Kadınlarda Serum Anti-Müllerian Hormon Düzeylerindeki Değişimin Değerlendirilmesi”</t>
  </si>
  <si>
    <t>“Santral Sinir Sistemi Hastalıklarında Kappa Serbest Hafif Zincir İndeksinin Tanısal Değeri”</t>
  </si>
  <si>
    <t>“Rotasyon Profilli Bilgisayarlı Tomografi Kullanılarak Oluşturulan Parametreler ile Radyografide Proksimal Femur Rotasyonunun Değerlendirilmesi ve Yapay Zekâ ile Analizi”</t>
  </si>
  <si>
    <t>“Üniversite Öğrencilerinde Akıllı Telefon Bağımlılığı ile Dijital Sağlık Okuryazarlığı Arasındaki İlişkinin İncelenmesi: Tanımlayıcı Araştırma”</t>
  </si>
  <si>
    <t>“Psikotik Bozukluklarda Tedaviye Direnç ve Klozapine Dirençle İlişkili Doğal Dil İşleme Değişkenlerinin ve Düşünce Süreci Bozukluklarının Değerlendirilmesi”</t>
  </si>
  <si>
    <t>“Tek Taraflı Dudak ve Damak Yarığına Sahip Hastalarda Maksiller Ekspansiyon ve Yüz Maskesi Sonrası Oklüzyonun Değerlendirilmesinde İki Farklı İndeksin Karşılaştırılması”</t>
  </si>
  <si>
    <t>“Relapsing Remitting Multipl Skleroz Tanılı Hastalarda Yaş Gruplarına Göre Kognitif Profil ve Görüntüleme Bulgularının Karşılaştırılması”</t>
  </si>
  <si>
    <t>“Odontojenik Kist ve Tümörlerde Kortikal Perforasyon, Kemik Dolumu ve Rekürrens Oranlarının Volümetrik ve Kantitatif Değerlendirilmesi”</t>
  </si>
  <si>
    <t>“Antimikrobiyal Dirençteki Değişimler: Bir Üçüncü Basamak Hastanesindeki 11 Yıllık Deneyim”</t>
  </si>
  <si>
    <t>“Fertilite Koruyucu Tedavi Sonrası In Vitro Fertilizasyon Başarısını Etkileyen Faktörler: Endometrium Kanseri ve Endometrial Intraepitelyal Neoplazi Hastalarına Ait Retrospektif Veri Analizi”</t>
  </si>
  <si>
    <t>“Temporomandibular Eklem Hipermobilitesinde Dekstroz Proloterapisinin Uzun Dönem Klinik Sonuçlarının Retrospektif Değerlendirilmesi”</t>
  </si>
  <si>
    <t>“Duchenne Musküler Distrofi Tanısı ile Pediatrik Yaş Grubunda İzlenen Hastaların Solunum Bulgularının Retrospektif Olarak Değerlendirilmesi”</t>
  </si>
  <si>
    <t>“Ergenlik Döneminde Yeme Bozukluğu Tanısı Almış Yetişkinlerde Ruhsal Hastalık Kimliği ve İyileşme: Nitel Bir Çalışma”</t>
  </si>
  <si>
    <t>“Triple X Sendromlu Hastalarda Demografik, Fenotipik ve Gelişimsel Özelliklerin Değerlendirilmesi”</t>
  </si>
  <si>
    <t>“Yaşlı Yetişkinlerde İnflamasyon Belirteçleri ile Bilişsel İşlevler Arasındaki İlişki”</t>
  </si>
  <si>
    <t>“Erişkinlerde HPV Aşısına Yönelik Tutum, Okuryazarlık ve Ulusal Programa Dahil Edilmesine İlişkin Görüşler”</t>
  </si>
  <si>
    <t>“.Hacettepe Üniversitesi Erişkin ve Onkoloji Hastanelerinde 2017-2025 Yılları Arasında Karbapenem Dirençli Enterobacteriacea Kolonizasyonu ve Takiben İnfeksiyonu Gelişen Hastaların Analizi”</t>
  </si>
  <si>
    <t>"Senil Presbiakuzi ve Sarkopeni Arasındaki İlişkinin İncelenmesi”</t>
  </si>
  <si>
    <t>“Fallot Tetralojisi Hastalarında Kardiyolojik Özellikler ve Uzun Dönem Sonuçlarının Retrospektif Değerlendirilmesi”</t>
  </si>
  <si>
    <t>“Propionik Asidemi Tanılı Hastaların Kardiyak Özelliklerinin Retrospektif Değerlendirilmesi”</t>
  </si>
  <si>
    <t>“Pulmoner Arter Agenezisi ve/veya Hipoplazisi Olan Hastaların Retrospektif Değerlendirilmesi”</t>
  </si>
  <si>
    <t>“Sistemik Venöz Dönüş Anomalisi Olan Hastaların Retrospektif Değerlendirilmesi”</t>
  </si>
  <si>
    <t>“Transkateter Pulmoner Kapak İmplantasyonunun Kardiyopulmoner Egzersiz Kapasitesi Üzerine Etkisinin Retrospektif Analizi''</t>
  </si>
  <si>
    <t>“Kardiyovasküler-Renal-Metabolik Sendromda Malnütrisyon ve Sarkopeni”</t>
  </si>
  <si>
    <t>"Platin Bazlı Kemoterapi Ajanları ile Hızlı İlaç Desensitizasyonuna İlişkin Tek Merkez Deneyimimiz "</t>
  </si>
  <si>
    <t>“Bilateral Vokal Kord Paralizisi Nedeniyle Parsiyel veya Total Aritenoidektomi Yapılan Hastalarda Vücut Kitle Endeksinin Dispne Üzerine Etkisi”</t>
  </si>
  <si>
    <t>“Patolojik Miyopi Hastalarının Retina Bulgularının Uzun Dönem Takip Sonuçları”</t>
  </si>
  <si>
    <t>“Kolorektal Karsinogenezde THY1 İfadesinin Patoloji Arşiv Materyallerinde Değerlendirilmesi”</t>
  </si>
  <si>
    <t>“Çocuklarda Budd-Chiari Sendromu: Tek Merkez Deneyimi”</t>
  </si>
  <si>
    <t>“İç Hastalıkları Servislerinde Yatan 65 Yaş ve Üstü Hastaların Yatış anında Kullandığı İlaçlar ve Taburculuk Reçetelerinin Beers (2023), Stopp/Start V3, TIME (2020) Kriterlerine Göre İncelenmesi”</t>
  </si>
  <si>
    <t>“Motor Beceri Zorlukları Özgül Öğrenme Bozukluğu İçin Fenotipik Bir Belirteç Olabilir mi? Motor Performansın Postürografik Analizi ve Bilişsel Becerilerle İlişkisi”</t>
  </si>
  <si>
    <t>“Kanser Hastalarının Cepten Sağlık Harcamalarının Finansal Yükü ve Sağlık Hizmeti Kullanımı ve Sağlık Sonuçlarıyla İlişkisi”</t>
  </si>
  <si>
    <t>“Çocukluk Çağı Vaskülitlerinde Serum/Plazma Metabolomik Profilinin İncelenmesi: Tanısal ve Klinik İlişkilerin Değerlendirilmesi”</t>
  </si>
  <si>
    <t>“Dikkat Eksikliği ve Hiperaktivite Bozukluğu Tanılı Ergenlerde Çocukluk Çağı Olumsuz Yaşantılarının Klinik Görünüm ve İnflamatuar Biyobelirteçlerle İlişkisi”</t>
  </si>
  <si>
    <t>“Primer Diz Artroplastisi Yapılan Hastaların VKİ Oranlarının Uzun Dönem Klinik ve Fonksiyonel Sonuçlara Etkisi”</t>
  </si>
  <si>
    <t>“Total Diz Artroplastisinde Posterior Tibial Eğim ve Posterior Kondiler Ofset: Gerçekten Önemli Mi?”</t>
  </si>
  <si>
    <t>“Ergenlerde Sağlık Alanında Yapay Zekâ Kullanım Ölçeği’ ve ‘Ebeveynin Çocuğunun Sağlığı ile İlgili Yapay Zekâ Kullanım Ölçeği’nin Geliştirilmesi ve Değerlendirilmesi”</t>
  </si>
  <si>
    <t>“Hipopitüitarizmli Erişkin Hastalarda Morbidite ve Mortaliteyi Etkileyen Faktörler: Retrospektif Değerlendirme”</t>
  </si>
  <si>
    <t>“Primer Hipofizit (Otoimmün ve IgG4 İlişkili) Olgularının Uzun Dönem Klinik Seyri”</t>
  </si>
  <si>
    <t>“İdiopatik Pulmoner Fibrozisin Akut Alevlenmeleri için Hidrojen Sülfür Tedavisinin Etkilerinin Değerlendirilmesi"</t>
  </si>
  <si>
    <t>“Çocukluk Çağı Poliarteritis Nodosa Hastalarının Değerlendirilmesi”</t>
  </si>
  <si>
    <t>“Konjonktival Melanomlarda ATRX, PDL-1 ve p16 İmmünohistokimyasal Ekspresyonlarının Klinikopatolojik Parametrelerle Korelasyonu”</t>
  </si>
  <si>
    <t>“Geriatri Popülasyonda eGFR Tahmin Denklemleri Arasındaki Uyumun ve Tahmin Hatalarına Etki Eden Faktörlerin Değerlendirilmesi”</t>
  </si>
  <si>
    <t>“Geriatrik Hastalarda Telefon Bağımlılığının Geriatrik Sendromlarla İlişkisi”</t>
  </si>
  <si>
    <t>“Mekanik Ventilatörden Ayırmada T-tüp Denemesi Uygulanan Hastalarda Hemodinami Parametrelerinin Değişimlerinin Gözlenmesi”</t>
  </si>
  <si>
    <t>“Bilateral Testis Germ Hücreli Tümörler: Hacettepe Üniversitesi Üroloji Anabilim Dalı'nın 40 Yıllık Deneyimi”</t>
  </si>
  <si>
    <t>“Çocuklarda Fasiküler Ventriküler Aritmi ve Transkateter Ablasyon Uygulaması Deneyimlerimiz”</t>
  </si>
  <si>
    <t>“Ventriküler Erken Vuru Olan Çocuk Hastalarda Transkateter Ablasyon Sonuçlarımız”</t>
  </si>
  <si>
    <t>''Buğday Alerjisi Olan Çocuklarda Oral İmmünoterapi ve Besinden Kaçınma Yaklaşımlarının Beslenme Durumu ve Yaşam Kalitesi Üzerine Etkilerinin Karşılaştırılması''</t>
  </si>
  <si>
    <t>“Seksen Beş Yaş ve Üzeri Geriatrik Hastalarda İntrinsik Kapasite Değişimi, İyileşme Paternleri ve Klinik Sonuçları; Retrospektif Kohort Çalışması”</t>
  </si>
  <si>
    <t>“Kanal Tedavisi Yenileme İşlemine Maruz Kalan Dişlerin Kırılma Dayanımında Ağartmanın Etkisi”</t>
  </si>
  <si>
    <t>“DEHB Tanılı Çocuklarda KOKGB Eşlik Etme Durumuna Göre İrritabilite ve Ödül Sisteminin Fonksiyonel MRG ile İncelenmesi”</t>
  </si>
  <si>
    <t>“Diş Hekimliği Son Sınıf Öğrencilerinin Acil Tıbbi Durumlar Bağlamında Algılanan Güven ve Bilgi Düzeylerinin Değerlendirilmesi”</t>
  </si>
  <si>
    <t>“Melanom Hastalarında Kiraz Anjiyom Sıklığının ve Kiraz Anjiyomların Gelişiminde VEGF ile VEGF Reseptörlerinin Doku ve Serum Düzeyinde Değerlendirilmesi”</t>
  </si>
  <si>
    <t>“Takayasu Arteriti Hastalığında Oftalmolojik Bulguların Değerlendirilmesi”</t>
  </si>
  <si>
    <t>“Hacettepe Üniversitesi Tıp Fakültesi Öğrencilerinin Geriatri Eğitim ve İlgi Düzeylerinin Değerlendirilmesi”</t>
  </si>
  <si>
    <t>“Acil Serviste İntrakraniyal Merkezi Sinir Sistemi Enfeksiyonu Tanısı Konulan Hastalarda Hipokampüs Hacimlerinin Klinik Seyir Tahminindeki Rolü”</t>
  </si>
  <si>
    <t>“TRVaS Türkiye Vaskülit Çalışma Grubu Prospektif, Gözlemsel Veritabanı Devam Çalışması”</t>
  </si>
  <si>
    <t>“Cinsiyet Uyuşmazlığı Tanısı Konulan Kişilerde Otizm Spektrumu Özelliklerinin Klinik Gereksinimler ve Psikososyal İyilik Hali ile İlişkisi”</t>
  </si>
  <si>
    <t>“Hemodiyaliz Sırasında Gelişen İntradialitik Hipotansiyonun Klinik ve Hemodinamik Belirteçlerle İlişkisinin Retrospektif İncelenmesi”</t>
  </si>
  <si>
    <t>“Hyalüronik Asit, ß-Glukan, Centella Asiatica, Coriolus Versicolor, Neem, BioEcolia®, Aloe Vera İçeren Doğal İçerikli Vajinal Jel Papilocare® Kullanımının HPV Pozitif Kadınlarda Viral Klirense Etkisinin Retrospektif Olarak Araştırılması”</t>
  </si>
  <si>
    <t>“İşitme Kaybı Olan Hastalarda Hipopigmentasyon Bozukluklarının İncelenmesi”</t>
  </si>
  <si>
    <t>“Ramus Intermedius Arteriae Hepaticae Sınıflamasının Radyolojik Olarak İncelenmesi”</t>
  </si>
  <si>
    <t>“Saçlı Hücreli Lösemi Hastalarının Tanı Anındaki Klinik, Laboratuvar Parametrelerinin Prognostik, Sağ Kalım ve Tedaviye Yanıt Durumları Açısından Değerlendirilmesi”</t>
  </si>
  <si>
    <t>“Hastane Yatışının Adolesanlarda Ekran Kullanımı Üzerine Etkisi”</t>
  </si>
  <si>
    <t>“Amiyotrofik Lateral Skleroz Hastalarında İpsilateral Transkraniyal Manyetik Uyarım Ölçütleri”</t>
  </si>
  <si>
    <t>“Obez Hastalarda Antimikrobiyal Tedavide Terapötik İlaç Düzeyi İzlemi: Prospektif Gözlemsel Bir Çalışma”</t>
  </si>
  <si>
    <t>“Kadınların Gebelikte Uygulanan Dental ve Radyolojik İşlemler ile Ağız Sağlığına Dair Farkındalık ve Algısı: Anket Temelli Kesitsel Bir Çalışma”</t>
  </si>
  <si>
    <t>“Yeni Nesil Girişimsiz Kapiller Anjiyografi Sisteminin Tasarım Doğrulama Numunesinin Geliştirilmesi ve Sistemin İşlevsellik Değerlendirmesi”</t>
  </si>
  <si>
    <t>"Kronik Böbrek Hastalığının Teşhisi: Bir Makine Öğrenmesi Uygulaması"</t>
  </si>
  <si>
    <t>“Orta-Şiddetli Kronik Plak Tipi Psöriazis Nedeniyle TNF-α İnhibitörü, IL-17 İnhibitörü veya IL-23 İnhibitörü Tedavisi Kullanan Hastalarda, Aynı Grup İçindeki Biyolojik Ajan Değişiminin Değerlendirilmesi”</t>
  </si>
  <si>
    <t>“Üniversiteler Arası Ragbi Turnuvasında Yaralanma ve Semptomların Retrospektif Analizi: Meteorolojik Veriler ile Karşılaştırmalı Değerlendirme”</t>
  </si>
  <si>
    <t>“Hipertansiyon Tedavisine İlişkin YouTube Videolarının DISCERN Kriterleriyle Değerlendirilmesinde Manuel ve Yapay Zekâ Değerlendiricileri Arasındaki Uyum”</t>
  </si>
  <si>
    <t>“Mesleki Kurşun İntoksikasyonu için Etilendiamintetraasetik Asit (EDTA) Şelasyon Tedavisi Alan Hastalarda Eser Element Düzeylerinin Retrospektif Değerlendirilmesi”</t>
  </si>
  <si>
    <t>“Denosumab Alan Geriatrik Hastaların İlaç Uyumunun Değerlendirilmesi ve ilaç Uyum Sonuçlarının Osteoporoz Üzerine Olan Etkisi”</t>
  </si>
  <si>
    <t>“İç Hastalıkları Yoğun Bakım Ünitesinde İzlenen Hastaların Retrospektif Değerlendirilmesi”</t>
  </si>
  <si>
    <t>“Borderline Over Tümörlerinde Fertilite Koruyucu Cerrahi Yaklaşımlar, İntraoperatif Frozen İncelemenin Nihai Patoloji ile Uyumluluğu ve Sağ Kalım Verilerinin Tek Merkez Çok Yönlü Retrospektif İncelenmesi”</t>
  </si>
  <si>
    <t>“Over Kanseri Hastalarında Uygulanan Tedavi Stratejilerinin, Tedavi Yanıtı Öngörücü Parametrelerin, Sağ Kalım ve Nüks Paternlerinin Çok Yönlü Analizi”</t>
  </si>
  <si>
    <t>“MuItidisipliner KBB-Onkoloji Konseyinde Tartışılan Larinks Kanserli Hastalarda Klasifikasyon ve Sağkalım Değerlendirmede Yapay Zeka Temelli Tahmin Modeli Oluşturmak”</t>
  </si>
  <si>
    <t>“Video-EEG Monitorizasyonunda İzlenen Status Epileptikus ve Küme Tip Nöbetlerin Elektrokli̇ni̇k Özellikleri”</t>
  </si>
  <si>
    <t>“Sağlıkta Kalite Standartları Değerlendiricilerinin Sağlık Teknolojilerini Değerlendirme Konusundaki Tutumları”</t>
  </si>
  <si>
    <t>“Nasal Septal Perforasyonlu Hastalarda NOSE-Perf Ölçeğinin Türkçe Uyarlamasının Geçerlilik ve Güvenilirlik Analizi”</t>
  </si>
  <si>
    <t>“Sanal Karaciğer Biyopsisi- Metabolik Hastalık İlişkili Yağlı Karaciğer Hastalığında Prognoz ve İzlem”</t>
  </si>
  <si>
    <t>“Yağlı Karaciğer Hastalığında Karaciğer Yağlanması ve Karaciğer Sertliğinin Değerlendirilmesinde Multiparametrik Ultrasonografi ve Manyetik Rezonans Elastografinin Karşılaştırılması”</t>
  </si>
  <si>
    <t>“Hemşirelerin Bütünsel Sağlık, Duygusal Emek, Şefkat Yorgunluğu ve İş Doyumu Arasındaki İlişkiler: Yol Analizi”</t>
  </si>
  <si>
    <t>“Radyoloji Tetkiklerinde Hastalar İçin Tahmini Fetal Doz Hesaplamaları”</t>
  </si>
  <si>
    <t>“Tıbbi Uygulama Hatası Olgularının Değerlendirilmesinde Büyük Dil Modelleri ve Adli Tıp Uzman Görüşlerinin Karşılaştırmalı Analizi”</t>
  </si>
  <si>
    <t>“Mohs Cerrahisinde Artırılmış Gerçeklik Entegrasyonlu Simülasyon Çalışması”</t>
  </si>
  <si>
    <t>“Pediatrik Non-Hodgkin Lenfoma Tanılı Hastalarda PET-BT'den Elde Edilen Semikantitatif Parametrelerin Değerlendirilmesi”</t>
  </si>
  <si>
    <t>“Parkinson Hastalığında Levodopa-Karbidopa İntestinal Jel Kullanan Hastalarda Periferik Nörolojik Tutulum: Elektrofizyolojik Çalışma”</t>
  </si>
  <si>
    <t>“Özgül Öğrenme Bozukluğu Tanılı Ergenlerde Benlik Saygısı, Yeterlik Algısı ve Baskın Savunma Mekanizmalarının Annelerdeki Psikolojik Farkındalık ve Empati Düzeyi ile İlişkisi”</t>
  </si>
  <si>
    <t>“Normal Gebeliklerde Fetal Farinks Büyüme Paternlerinin Üç Boyutlu Ultrasonografi ile Değerlendirilmesi”</t>
  </si>
  <si>
    <t>“Multiple Skleroz (MS) Tanılı Hastalarda MS Mesane Kontrol Aracı Kullanılarak Alt Üriner Sistem Semptomlarının Ön Değerlendirilmesi ve Fonksiyonel Üroloji Polikliniğine Yönlendirme Kriterlerinin Belirlenmesi”</t>
  </si>
  <si>
    <t>“Sirotik Hastalarda Sarkopeni ve Kognisyon Değerlendirilmesi”</t>
  </si>
  <si>
    <t>“Erişkinlerde Timus Boyutlarının BT ile Değerlendirilmesi, Farklı Yaş Gruplan, Cinsiyet ve Sigara Kullanımıyla İlişkisi”</t>
  </si>
  <si>
    <t>“Onikomikoz Teşhisinde Yapay Zeka Algoritmalarının Dermatolog ve Aile Hekimleri ile Karşılatırmalı Olarak Değerlendirilmesi”</t>
  </si>
  <si>
    <t>“Çocukluk Çağı Astımında Uzun Süreli İzlem ve Remisyon”</t>
  </si>
  <si>
    <t>“DJ-1 Mutasyonuna Bağlı Mitokondriyal Hasarın ve Organeller Arası Etkileşimlerin Hasta Hücrelerinde İncelenmesi”</t>
  </si>
  <si>
    <t>“Lenfoma Hastalarında Warburg Etkisine Bağlı Tip B Laktik Asidoz ve Hipoglisemi: İki Olgu Sunumu ve Literatür Derlemesi”</t>
  </si>
  <si>
    <t>“Vaskülit Hastalarında Erektil Disfonksiyonun Yaygınlığı ve Ürolojik Değerlendirme Sıklığı: Kesitsel Bir Anket Çalışması”</t>
  </si>
  <si>
    <t>“İntra Uterin İnseminasyon Tedavisi Öncesi Elastoscan (Shear Wave Elastografi) ile Uterusun Prospektif Olarak Değerlendirmesi ve Gebelik Sonuçları ile İlişkisinin İncelenmesi”</t>
  </si>
  <si>
    <t>“İn Vitro Fertilizasyon Tedavisi Öncesi Elastoscan (Shear Wave Elastografi) ile Uterusun Prospektif Olarak Değerlendirmesi ve Gebelik Sonuçları ile İlişkisinin İncelenmesi”</t>
  </si>
  <si>
    <t>“Kalp ve Beyin MRG Görüntülerinde Hareket Kaynaklı Aretfaktların Tespiti ve Düzeltilmesine Yönelik Yapay Zeka Yaklaşımı”</t>
  </si>
  <si>
    <t>“Koroner MRA Görüntülerinde Görüntü Kalitesinin Artırılmasına ve Otomatik Değerlendirilmesine Yönelik Yapay Zeka Uygulaması”</t>
  </si>
  <si>
    <t>“Ultrasonografi Eşliğinde Transperineal Prostat Biyopsisinin Güvenirliliği, Uygulanabilirliği ve Kanser Yakalamada Başarı Oranı”</t>
  </si>
  <si>
    <t>“Hemodiyaliz Sürecinde Mikroplastik Varlığının ve Maruziyet Düzeyinin Değerlendirilmesi”</t>
  </si>
  <si>
    <t>“Kurutulmuş İdrar Örneklerinde (DUS) Uyuşturucu-Uyarıcı Madde Analizi”</t>
  </si>
  <si>
    <t>“Vitiligo Tanılı Pediatrik Hastalarda Oral Mikrobiyom ve Diş Çürüğü İlişkisinin İncelenmesi ”</t>
  </si>
  <si>
    <t>“Agresif Başlangıçlı Tip 1 Diabetes Mellitus ile Tanınan CD70 Eksikliği Tanısı Alan Olgunun Klinik ve Laboratuvar Özelliklerinin İncelenmesi</t>
  </si>
  <si>
    <t>“Pelargonium graveolens'in Endometriozis Hücre Hattı (12Z) Üzerindeki Etkilerinin Araştırılması”</t>
  </si>
  <si>
    <t>“Kas Kuvveti ve Fiziksel Performans Ölçümlerinin Yaşlılarda Düşme Riskiyle İlişkisi”</t>
  </si>
  <si>
    <t>“İnsan İmmün Yetmezlik Virüsü (HIV) ile Yaşayan 40 Yaş Üstü Bireylerde 7 Yıllık İzlemde Kırılganlık ve Sarkopeni Değişimi: 2018 Hacettepe Kohortunun Prospektif Yeniden Değerlendirilmesi”</t>
  </si>
  <si>
    <t>“01/01/2015-30/09/2025 Yılları Arasında Koryokarsinom Olgularının Klinik, Patolojik ve Epidemiyolojik Verilerinin Değerlendirilmesi”</t>
  </si>
  <si>
    <t>“Spesifik T Hücre Reseptör Yolağı Yetmezliklerinde İmmün Repertuvar Profillerinin Belirlenmesi”</t>
  </si>
  <si>
    <t>“Proksimal Humerus Kırıklarında Kalkar Vidası Pozisyonunun Başarısızlık Üzerine Etkisi”</t>
  </si>
  <si>
    <t>“Travma Sonrası Yumuşak Doku Yönetimi Nasıl Olmalı Travma Cerrahları Ne Diyor?”</t>
  </si>
  <si>
    <t>“Tiroid Nodüllerinde Telomer Uzunluğunun Prediktif Değeri”</t>
  </si>
  <si>
    <t>“İmmünoterapiye Bağlı Tiroidit Gelişiminde KIR ve HLA Genetik Profillerinin Rolü”</t>
  </si>
  <si>
    <t>“Pediatrik Ürolitiazis Hastalarında Endoskopik Taş Cerrahileri Sonrası Taşsızlık ve Komplikasyon Oranını Etkileyen Faktörlerin Retrospektif İncelemesi”</t>
  </si>
  <si>
    <t>“TESE Başarısını Etkileyen Faktörler”</t>
  </si>
  <si>
    <t>“Stuve-Wiedemann Sendromu Tanısıyla İzlenen Olguların Klinik ve Moleküler Özelliklerinin Değerlendirilmesi”</t>
  </si>
  <si>
    <t>“Hemoroidektomi Sonrası Kanama ve Belirleyici Faktorlerin Degerlendirilmesi: Tek Merkezli Retrospektif Analiz”</t>
  </si>
  <si>
    <t>“Abdominal Nöroblastom Cerrahisinin Böbrek Hacmi Üzerine Etkisi”</t>
  </si>
  <si>
    <t>“Retinopati Tarama Muayenesinde İntranazal Deksmedetomidin: En Uygun Uygulama Zamanının Belirlenmesi”</t>
  </si>
  <si>
    <t>“Histerosalpingografide Uterin Kavite Ölçümlerine Dayalı Uterus Morfometrisinin IVF/Embriyo Transfer Başarısı ile İlişkisinin Değerlendirilmesi”</t>
  </si>
  <si>
    <t>“Hava Kirliliğine Mesleki Maruziyetin Oküler Yüzey Sağlığına Etkisi: Ankara'da Partikül Madde Düzeyleri ile İlişkilendirilmiş Açık Alan ve Ofis Çalışanlarında Gözyaşı İnflamatuar Sitokinlerinin Karşılaştırılması”</t>
  </si>
  <si>
    <t>"Astım Hastalarında Çocukluktan Erişkine Geçişin Tedavi Uyumu ve Takip Üzerine Etkisi"</t>
  </si>
  <si>
    <t>“Sürdürülebilirlik ve Çevre Dostu Eczacılık Uygulamaları Kapsamında Farmasötik Ayak İzi Konusunda Görüş ve Tutumların Değerlendirilmesi”</t>
  </si>
  <si>
    <t>“Nefrotik Sendrom Tanılı Pediatrik Hastalarda Kapsamlı İlaç Yönetimi”</t>
  </si>
  <si>
    <t>“Modülatör Tedavi Kullanan Kistik Fibrozis Tanılı Çocuk Hastalarımızın Özellikleri ve Mental Sağlık Durumları”</t>
  </si>
  <si>
    <t>“Çocuk Yoğun Bakımda Basınç Yaralanması Prevalansı ve Etkileyen Faktörlerin Analizi: Retrospektif Bir Çalışma”</t>
  </si>
  <si>
    <t>"Oral Demir Preparatı Alerjisi Şüphesi Olan Hastalarda Alternatif Demir Tuzları ile Yapılan Oral Provokasyon Sonuçlarının Değerlendirilmesi"</t>
  </si>
  <si>
    <t>"Erişkin Yaygın Değişken İmmün Yetmezlik Hastalarında Klinik Bulgular ve İmmünfenotipik Özelliklerin Analizi"</t>
  </si>
  <si>
    <t>“Vücut Yuvarlaklık İndeksi ve Vücut Şekil İndeksi ile Beyin Hacmi Arasındaki İlişkinin Hafif Bilişsel Bozukluğu veya Demansı olan Hastalarda Manyetik Rezonans Görüntüleme ile (MRG) Değerlendirilmesi”</t>
  </si>
  <si>
    <t>“Yapay Zeka Destekli Yüz Analizi ile Estetik Cerrahi Sonuçlarının Objektif Değerlendirilmesi: Retrospektif Görsel Veri Analizi”</t>
  </si>
  <si>
    <t>“Geriatrik Gastrostomi Olgularında Mortalite ve Gastroskopi Komplikasyonlarını Öngeren Faktörlerin Retrospektif Analizi”</t>
  </si>
  <si>
    <t>“Allojenik Kemik İliği Nakli Sonrası Nüks Hastalıkta Yapılan Tedavilerin Klinik, Laboratuvar, Prognostik, Sağ Kalım ve Yan Etkiler Açısından Değerlendirilmesi”</t>
  </si>
  <si>
    <t>“Menstrual Siklusun Farklı Dönemlerinde Aşil Tendon Elastisitesi ile Anterior Talofibular Ligament Kalınlığının Ultrasonografi ve Shear Wave Elastografi ile Değerlendirilmesi”</t>
  </si>
  <si>
    <t>“Benzotiyofen Oksabütanoik Asit'in Endometriyum Kanserinde Karboplatin Direncine Etkilerinin İn Vitro Araştırılması”</t>
  </si>
  <si>
    <t>“Kronik Plak Psöriazis Tanılı Hastalarda Hepatik Fibrozisin Değerlendirilmesi”</t>
  </si>
  <si>
    <t>“Tuberositas İnterossea Ulnaris Morfolojik ve Morfometrik Özelliklerinin Değerlendirilmesi”</t>
  </si>
  <si>
    <t>“Maksiller Retrüzyon ile Birlikte Obstrüktif Uyku Apne Sendromu Olan Çocuklarda Maksiller İlerletme Tedavisinin Etkilerinin Retrospektif Değerlendirilmesi”</t>
  </si>
  <si>
    <t>“İnfertilitenin Psikolojik Yükü: İnfertilite Tedavisi Gören Kadınlarda Beck Umutsuzluk Ölçeği ile Umutsuzluk Düzeyinin Değerlendirilmesi”</t>
  </si>
  <si>
    <t>“Antenatal Kortikosteroid Uygulanan Gebeliklerde Fetal Dolaşım Dinamiklerinin Longitudinal İzlemi ve Perinatal Sonuçlarla İlişkisi: Prospektif Gözlemsel Çalışma”</t>
  </si>
  <si>
    <t>“Fetal Kardiyak Girişim Sonrası Fetal Hemodinamik Değişimler ve Perinatal Sonuçlar”</t>
  </si>
  <si>
    <t>“Psikotik Bozukluklarda Tedaviye Direnç ile İlişkili Doğal Dil İşleme Değişkenlerinin ve Düşünce Süreci Bozukluklarının Değerlendirilmesi”</t>
  </si>
  <si>
    <t>“Anoreksiya Nervoza ve Atipik Anoreksiya Nervoza Tanılı Ergenlerin Remisyon ve Relaps Süreçlerinin ve Yordayıcılarının Değerlendirilmesi”</t>
  </si>
  <si>
    <t>“Doksan Yaş ve Üzeri Bireylerde Elektrokardiyografik Bulgular ve Aritmi Gelişiminde Rol Oynayan Faktörlerin Değerlendirilmesi”</t>
  </si>
  <si>
    <t>, “Eczacılık Öğrencileri ve Eczacıların Mesleki İlaç Erişimine Bağlı Madde Kullanımı Niyet ve Davranışlarının İncelenmesi: Bir Anket Çalışması”</t>
  </si>
  <si>
    <t>“Maksillofasiyal Protezlerde Konvansiyonel ve Dijital İş Akışlarına Yönelik Diş Hekimliği 4. ve 5. Sınıf Öğrencilerinin Bilgi Düzeyinin Değerlendirilmesi”</t>
  </si>
  <si>
    <t>“Protetik Diş Tedavisinde Yapay Zeka Kullanımına Dair Diş Hekimliği 4. ve 5. Sınıf Öğrencilerinin Farkındalık, Tutum ve Etik Algılarının Değerlendirilmesi”</t>
  </si>
  <si>
    <t>“Adölesan Dönemdeki Çocuklarda Kaygı Düzeyi ve Okul Başarasının Temporomandibular Eklem Bozuklukları ile İlişkisi”</t>
  </si>
  <si>
    <t>''Kalp Nakli Bekleyen Çocukların Ailelerinin Bilgi Düzeyi ve Eğitim İhtiyaçlarının Belirlenmesi: Tek Merkez Örneği''</t>
  </si>
  <si>
    <t>“Tanıdan Tedaviye Güncel Yaklaşımlar Eğitim Programlarının Memnuniyet Anket Sonuçlarının Değerlendirilmesi”</t>
  </si>
  <si>
    <t>“Sistemik Lupus Eritematozus Nefritinde Osteoporoz Risk Faktörlerinin ve Fibroblast Büyüme Faktörü-23 Yolağının Rolünün İncelenmesi”</t>
  </si>
  <si>
    <t>“Term Yenidoğanlarda Kord Klempleme Süresinin Erken Metabolik ve Solunumsal Sonuçlar Üzerine Etkisi”</t>
  </si>
  <si>
    <t>“80 Yaş Üzeri Hastalarda Osteoporoz Bulguları ve Tedavi Yaklaşımlarının Retrospektif Analizi”</t>
  </si>
  <si>
    <t>“KBB Hava Yolu Cerrahilerinde ChatGPT’nin Preoperatif Anestezi Risk Değerlendirme Performansının İncelenmesi”</t>
  </si>
  <si>
    <t>“Acil Servislerin Uygunsuz Kullanımının İncelenmesi: Bir Üniversite Hastanesi Örneği”</t>
  </si>
  <si>
    <t>“İkili Seçim Deneyi Yöntemi Kullanılarak 60 yaş üstü Bireylerin RSV Aşısı ile Aşılanma Davranışına Etki Edebilecek Faktörlerin Değerlendirilmesi”</t>
  </si>
  <si>
    <t>“Kronik Spontan Ürtiker Hastalarında Nonsteroid Antiinflamatuvar İlaç (NSAİİ) Hipersensitivitesinin İncelenmesi”</t>
  </si>
  <si>
    <t>“Acil Serviste Çocukluk Çağı Ekzantemlerinin Haritalanması: Bir Kesitsel Gözlemsel Çalışma”</t>
  </si>
  <si>
    <t>“Dermatoloji Ayaktan ve Yatan Hasta Başvurularında Yama Testi Endikasyonlarının Belirlenmesi ve Klinik ile Test Sonuçlarının Korelasyonunun İncelenmesi”</t>
  </si>
  <si>
    <t>“Yatan Hastalarda Malnütrisyonun Sıklığı ve Kas Kütlesi ile Cilt Altı Yağ Dokusu Kalınlığının Ultrasonografik Korelasyonu”</t>
  </si>
  <si>
    <t>“Kornea Rejenerasyonuna Yönelik Enjekte Edilebilir Gözenekli İpek Mikrotaşıyıcıların In Vivo Çalışmalarda Kullanım Etkinliğinin Belirlenmesi”</t>
  </si>
  <si>
    <t>“Plastik, Rekonstrüktif ve Estetik Cerrahi Polikliniği Hastalarında Hekime Ulaşma ve Tercih Kanallarının İncelenmesi”</t>
  </si>
  <si>
    <t>“Non-Melanositik Deri Tümörlerinin Dermoskopik Özelliklerinin Polarize, Non-Polarize ve UV Modlar ile Karşılaştırılması”</t>
  </si>
  <si>
    <t>“Acil Servise Akut Ataksi Nedeniyle Başvuran Hastaların Klinik Özellikleri ve Yaklaşım Algoritması”</t>
  </si>
  <si>
    <t>“Yüksek Dereceli Servikal Lezyon Saptanan ve Konizasyon Uygulanan Hastalarda Cerrahi Sınır Pozitifliğinin Prognoza Olan Etkisi”</t>
  </si>
  <si>
    <t>“Sepsis/Septik Şok Hastalarında PI, MEWS, qSOFA, APACHE II ve CRT Değerlerinin Analizi ve Klinik Sonuçlarla İlişkisi”</t>
  </si>
  <si>
    <t>“Yapay Zekâ Yardımlı Analizler ile Jinekolojik Onkoloji Konsey Karar Süreçlerinin Geliştirilmesi”</t>
  </si>
  <si>
    <t>“Obsesif Kompulsif Bozukluğu olan Ergenlerde Duyusal Profil ile İnteroseptif Farkındalık ve Doğruluğun İncelenmesi”</t>
  </si>
  <si>
    <t>“Mayer-Rokitansky-Küster-Hauser Sendromlu Hastalarda Uterin Remnant Dokuların Anterior Neovajen Duvarı Oluşturulmasında Kullanıldığı Modifiye Davydov Tekniğinin Tanımlanması ve Uzun Dönem Sonuçlarının Analizi”</t>
  </si>
  <si>
    <t>“Erişkin Kistik Fibrozis Hastalarında Genetik Mutasyon Kombinasyonları ile Organ Sistem Tutulumu İlişkisinin İncelenmesi ”</t>
  </si>
  <si>
    <t>“Mohs Cerrahisi Fellowship Eğitiminde Kullanılan Ölçme ve Değerlendirme Araçlarıyla İlgili Eğitici ve Öğrenci Görüşleri”</t>
  </si>
  <si>
    <t>“Bloom Sendromu Tanısı Alan Hastaların Klinik, Demografik ve İmmünolojik Özelliklerinin Değerlendirilmesi”</t>
  </si>
  <si>
    <t>“Tuberositas İnterossea Radii Morfolojik ve Morfometrik Özelliklerinin Değerlendirilmesi”</t>
  </si>
  <si>
    <t>“Açık Apeksli Devital Dişlerde Vaka Seçimi ve Klinik Protokol Açısından Pratisyen Diş Hekimleri, Endodonti Uzmanları ve Pedodonti Uzmanlarının Tedavi Yaklaşımları”</t>
  </si>
  <si>
    <t>“Beyin Omurilik Sıvısı Örneklerinde Alkol ve Psikoaktif Madde Düzeylerinin Değerlendirilmesi”</t>
  </si>
  <si>
    <t>“Kistik Fibrozisli Çocuklarda Kistik Fibrozis Transmembran Kondüktans Regülatör Modülatör Tedavisinin Beslenme Durumu ve Hepatobiliyer Sistem Üzerine Etkisi”</t>
  </si>
  <si>
    <t>“Multisistem İnflamatuvar Sendrom (MIS-C)’da, Sistemik Siklik Dinükleotitler (CDN’ler) ve İnterferon Genlerini Uyarıcı (STING) Yolu Aktivasyonu: Hiperinflamasyona İmmünopatolojik Bakış”</t>
  </si>
  <si>
    <t>“Alt Ekstremitede Pliometrik Egzersiz Şiddetinin Belirlenmesi”</t>
  </si>
  <si>
    <t>“Çocuklarda Pnömokok Taşıyıcılığı: Kültürün Ötesinde Moleküler Doğruluk”</t>
  </si>
  <si>
    <t>“Uzun Süreli Glukokortikoid Kullanımına Bağlı Adrenal Yetmezlikte İlaç Kesim Sürecinin İncelenmesi”</t>
  </si>
  <si>
    <t>“Subkutan İmmunoglobulin Replasman Tedavisi Almış Olan Primer İmmün Yetmezlik Hastalarının Özelliklerinin Değerlendirilmesi”</t>
  </si>
  <si>
    <t>“Rh Uygunsuzluğu Olan Gebeliklerde 28. Gebelik Haftasında Uygulanan Antenatal Anti-D İmmünoglobulin Profilaksisinin Neonatal Bilirubin Düzeyleri ve Erken Dönem Yenidoğan Sonuçları Üzerine Etkisinin Değerlendirilmesi: Retrospektif Kohort Çalışması”</t>
  </si>
  <si>
    <t>“Geri Dönüşümsüz Pulpitislerde Makrofaj Polarizasyonunun İncelenmesi”</t>
  </si>
  <si>
    <t>“El Kavrama Kuvvetinin Ölçümünde Squegg'in Geriatrik Popülasyondaki Tanısal Geçerliliği”</t>
  </si>
  <si>
    <t>“MELD 3.0 ve GEMA skorlarının Siroz Hastalarında Mortalite Öngörüsünde Etkinliğinin Araştırılması”</t>
  </si>
  <si>
    <t>HACETTEPE ÜNİVERSİTESİ SAĞLIK BİLİMLERİ ARAŞTIRMA ETİK KURULU — TOPLANTI BAZLI KARAR TABLOSU (2026)</t>
  </si>
  <si>
    <t>➕  Yeni toplantı eklemek için: Toplam satırının üstüne bir satır ekleyin, tarihi B sütununa girin, formülleri yukarıdaki satırdan kopyalayın.</t>
  </si>
  <si>
    <t>Sıra</t>
  </si>
  <si>
    <t>Toplantı Tarihi
(Gün/Ay/Yıl)</t>
  </si>
  <si>
    <t>Toplantı No</t>
  </si>
  <si>
    <t>Onay</t>
  </si>
  <si>
    <t>Düzeltme</t>
  </si>
  <si>
    <t>Görüş</t>
  </si>
  <si>
    <t>Ret</t>
  </si>
  <si>
    <t>Kapsam Dışı</t>
  </si>
  <si>
    <t>Geri Çekildi</t>
  </si>
  <si>
    <t>Bekliyor</t>
  </si>
  <si>
    <t>Onay
Oranı (%)</t>
  </si>
  <si>
    <t>Notlar</t>
  </si>
  <si>
    <t>GENEL TOPLAM</t>
  </si>
  <si>
    <t>NOT: Sarı hücreler (Toplantı Tarihi sütunu) kullanıcı girişidir. Yeni toplantı eklemek için Toplam satırının hemen üstüne bir satır ekleyip tarihi girin; Sıra ve formüller otomatik güncellenir. Tüm sayılar Başvuru sayfasından COUNTIFS formülleri ile çekilmektedir.</t>
  </si>
  <si>
    <t>S.No</t>
  </si>
  <si>
    <t>Adı Soyadı</t>
  </si>
  <si>
    <t>Dosya Sayısı</t>
  </si>
  <si>
    <t>Genel</t>
  </si>
  <si>
    <t>BEKLEYEN
DOSYA SAYISI</t>
  </si>
  <si>
    <t>DÜZELTME
OKUYAN</t>
  </si>
  <si>
    <t>R3 SAYISI</t>
  </si>
  <si>
    <t>TOPLAM (Atama)</t>
  </si>
  <si>
    <t>TOPLAM (Dosya)</t>
  </si>
  <si>
    <t>Nitelik</t>
  </si>
  <si>
    <t>Karar</t>
  </si>
  <si>
    <t>Bekleyen</t>
  </si>
  <si>
    <t>BİRİM BAZINDA BAŞVURU ANALİZİ — 2026</t>
  </si>
  <si>
    <t>Büyükten küçüğe otomatik sıralı · Başvuru sayfasından COUNTIFS + INDEX/MATCH formülleri</t>
  </si>
  <si>
    <t>#</t>
  </si>
  <si>
    <t>Adı</t>
  </si>
  <si>
    <t>%</t>
  </si>
  <si>
    <t>Bireysel</t>
  </si>
  <si>
    <t>Uzm.Tezi</t>
  </si>
  <si>
    <t>Doktora</t>
  </si>
  <si>
    <t>YL Tezi</t>
  </si>
  <si>
    <t>DÜZELT</t>
  </si>
  <si>
    <t>KAPSAM</t>
  </si>
  <si>
    <t>GERİ Ç</t>
  </si>
  <si>
    <t>YRD_LİSTE</t>
  </si>
  <si>
    <t>YRD_TOP</t>
  </si>
  <si>
    <t>YRD_SIRA</t>
  </si>
  <si>
    <t>%100</t>
  </si>
  <si>
    <t>TOPLANTI BAZLI BİRİM BAŞVURU SAYILARI (2026) — Yeni toplantı "Toplantı" sayfasına eklenince otomatik güncellenir</t>
  </si>
  <si>
    <t>ℹ️  Yeni toplantı eklemek için: "Toplantı" sayfasına tarihi girin → bu sayfada yeni sütun ekleyip B2 hücresini =Toplantı!$B{yeni_satır} olarak bağlayın → formülleri yukarıdaki sütundan kopyalayın.</t>
  </si>
  <si>
    <t>BİRİM</t>
  </si>
  <si>
    <t>Renk: 🔴 ≥5 başvuru   🟡 3–4 başvuru   🔵 1–2 başvuru   ⬜ 0 başvuru  |  Yeni birim Başvuru sayfasına eklendiğinde bu sayfa ve Birim sayfası otomatik günceller (Excel açılışında veya F9 ile yeniden hesaplatın).</t>
  </si>
  <si>
    <t>SORUMLU ARAŞTIRMACI BAŞVURU ANALİZİ — 2026</t>
  </si>
  <si>
    <t>ARAŞTIRMACI BAŞVURU DETAYI — 2026</t>
  </si>
  <si>
    <t>Açılır listeden bir araştırmacı seçin — başvuruları aşağıda otomatik listelenir  ·  İsim listesi ve sonuçlar Başvuru sayfasından COUNTIF / MATCH / INDEX formülleriyle otomatik türetilir  ·  Yeni araştırmacı eklendiğinde liste otomatik güncellenir</t>
  </si>
  <si>
    <t>ARAŞTIRMACI SEÇ ▾</t>
  </si>
  <si>
    <t>PROJE ADI</t>
  </si>
  <si>
    <t>YRD_SATIR</t>
  </si>
  <si>
    <t>YRD_İSİM_LİSTESİ (OTOMATİK)</t>
  </si>
  <si>
    <t>Not: Bir araştırmacı seçilmediğinde veya seçilen kişinin daha fazla başvurusu olmadığında satırlar boş görünür (tabloda en fazla 30 satır listelenir).</t>
  </si>
  <si>
    <t>2026 GÜNDEM SAYILARI</t>
  </si>
  <si>
    <t>Gündem Tarihleri</t>
  </si>
  <si>
    <t>Başvuru</t>
  </si>
  <si>
    <t>Dilekçe</t>
  </si>
  <si>
    <t>Toplam</t>
  </si>
  <si>
    <t>SBA 25/001</t>
  </si>
  <si>
    <t>Prof. Dr. Başaran DEMİR</t>
  </si>
  <si>
    <t>SBA 25/002</t>
  </si>
  <si>
    <t>Dr. Öğr. Üyesi Buket ACAR</t>
  </si>
  <si>
    <t>SBA 25/003</t>
  </si>
  <si>
    <t>SBA 25/004</t>
  </si>
  <si>
    <t>SBA 25/005</t>
  </si>
  <si>
    <t>SBA 25/006</t>
  </si>
  <si>
    <t>SBA 25/007</t>
  </si>
  <si>
    <t>SBA 25/008</t>
  </si>
  <si>
    <t>SBA 25/009</t>
  </si>
  <si>
    <t>SBA 25/010</t>
  </si>
  <si>
    <t>SBA 25/011</t>
  </si>
  <si>
    <t>Dr. Öğr. Gör. Demet YABANOĞLU</t>
  </si>
  <si>
    <t>SBA 25/012</t>
  </si>
  <si>
    <t>SBA 25/013</t>
  </si>
  <si>
    <t>SBA 25/014</t>
  </si>
  <si>
    <t xml:space="preserve">Prof. Dr. Ebru DAMADOĞLU </t>
  </si>
  <si>
    <t>SBA 25/015</t>
  </si>
  <si>
    <t>SBA 25/016</t>
  </si>
  <si>
    <t>SBA 25/017</t>
  </si>
  <si>
    <t>SBA 25/018</t>
  </si>
  <si>
    <t>SBA 25/019</t>
  </si>
  <si>
    <t>Doç. Dr. Gülten IŞIK KOÇ</t>
  </si>
  <si>
    <t>SBA 25/020</t>
  </si>
  <si>
    <t>SBA 25/021</t>
  </si>
  <si>
    <t>SBA 25/022</t>
  </si>
  <si>
    <t>Doç. Dr. Hatice ABAOĞLU</t>
  </si>
  <si>
    <t>SBA 25/023</t>
  </si>
  <si>
    <t>SBA 25/024</t>
  </si>
  <si>
    <t>SBA 25/025</t>
  </si>
  <si>
    <t>SBA 25/026</t>
  </si>
  <si>
    <t>Doç. Dr. Hayrettin Hakan AYKAN</t>
  </si>
  <si>
    <t>SBA 25/027</t>
  </si>
  <si>
    <t>SBA 25/028</t>
  </si>
  <si>
    <t>SBA 25/029</t>
  </si>
  <si>
    <t>Doç. Dr. İbrahim Halil ÖNCEL</t>
  </si>
  <si>
    <t>SBA 25/030</t>
  </si>
  <si>
    <t>SBA 25/031</t>
  </si>
  <si>
    <t>SBA 25/032</t>
  </si>
  <si>
    <t>SBA 25/033</t>
  </si>
  <si>
    <t>Prof. Dr. Kerim Hakan ALTINTAŞ</t>
  </si>
  <si>
    <t>SBA 25/034</t>
  </si>
  <si>
    <t>SBA 25/035</t>
  </si>
  <si>
    <t>SBA 25/036</t>
  </si>
  <si>
    <t>Doç. Dr. Merve BATUK</t>
  </si>
  <si>
    <t>SBA 25/037</t>
  </si>
  <si>
    <t>SBA 25/038</t>
  </si>
  <si>
    <t>SBA 25/039</t>
  </si>
  <si>
    <t>Prof. Dr. Murat AKOVA</t>
  </si>
  <si>
    <t>SBA 25/040</t>
  </si>
  <si>
    <t>SBA 25/041</t>
  </si>
  <si>
    <t>SBA 25/042</t>
  </si>
  <si>
    <t>Prof. Dr. Mustafa YILMAZ</t>
  </si>
  <si>
    <t>SBA 25/043</t>
  </si>
  <si>
    <t>Prof. Dr. Naciye Vardar YAĞLI</t>
  </si>
  <si>
    <t>SBA 25/044</t>
  </si>
  <si>
    <t>Prof. Dr. Nermin TARHAN</t>
  </si>
  <si>
    <t>SBA 25/045</t>
  </si>
  <si>
    <t>SBA 25/046</t>
  </si>
  <si>
    <t>SBA 25/047</t>
  </si>
  <si>
    <t>SBA 25/048</t>
  </si>
  <si>
    <t>SBA 25/049</t>
  </si>
  <si>
    <t>Prof. Dr. Ömer DİZDAR</t>
  </si>
  <si>
    <t>SBA 25/050</t>
  </si>
  <si>
    <t>SBA 25/051</t>
  </si>
  <si>
    <t>SBA 25/052</t>
  </si>
  <si>
    <t>Dr. Öğr. Üyesi Pınar SERDAR EYMİRLİ</t>
  </si>
  <si>
    <t>SBA 25/053</t>
  </si>
  <si>
    <t>Prof. Dr. Reyhan ATASÜ TOPCUOĞLU</t>
  </si>
  <si>
    <t>SBA 25/054</t>
  </si>
  <si>
    <t>Prof. Dr. Sadriye Ebru ÇENGEL KÜLTÜR</t>
  </si>
  <si>
    <t>SBA 25/055</t>
  </si>
  <si>
    <t>SBA 25/056</t>
  </si>
  <si>
    <t>Prof. Dr. Selen KÜÇÜKKAYA EREN</t>
  </si>
  <si>
    <t>SBA 25/057</t>
  </si>
  <si>
    <t>Doç. Dr. Selman KESİCİ</t>
  </si>
  <si>
    <t>SBA 25/058</t>
  </si>
  <si>
    <t>Dr. Öğr. Üyesi Serdar ARITAN</t>
  </si>
  <si>
    <t>SBA 25/059</t>
  </si>
  <si>
    <t>Prof. Dr. Sergül DUYGULU</t>
  </si>
  <si>
    <t>SBA 25/060</t>
  </si>
  <si>
    <t>SBA 25/061</t>
  </si>
  <si>
    <t>Prof. Dr. Şeref Rahmi YILMAZ</t>
  </si>
  <si>
    <t>SBA 25/062</t>
  </si>
  <si>
    <t>SBA 25/063</t>
  </si>
  <si>
    <t>Prof. Dr. Tolga YILDIRIM</t>
  </si>
  <si>
    <t>SBA 25/064</t>
  </si>
  <si>
    <t>Arş. Gör. Dr. Tuğçe TORUN</t>
  </si>
  <si>
    <t>SBA 25/065</t>
  </si>
  <si>
    <t>SBA 25/066</t>
  </si>
  <si>
    <t>SBA 25/067</t>
  </si>
  <si>
    <t>SBA 25/068</t>
  </si>
  <si>
    <t>SBA 25/069</t>
  </si>
  <si>
    <t>Prof. Dr. Zeliha Günnur DİKMEN</t>
  </si>
  <si>
    <t>SBA 25/070</t>
  </si>
  <si>
    <t>SBA 25/071</t>
  </si>
  <si>
    <t>SBA 25/072</t>
  </si>
  <si>
    <t>SBA 25/073</t>
  </si>
  <si>
    <t>Dr. Öğr. Üyesi Cem VARAN</t>
  </si>
  <si>
    <t>SBA 25/074</t>
  </si>
  <si>
    <t>SBA 25/075</t>
  </si>
  <si>
    <t>SBA 25/076</t>
  </si>
  <si>
    <t>SBA 25/077</t>
  </si>
  <si>
    <t>Prof. Dr. Sercan AKSOY</t>
  </si>
  <si>
    <t>SBA 25/078</t>
  </si>
  <si>
    <t>SBA 25/079</t>
  </si>
  <si>
    <t>Prof. Dr. Zeynep Alev ÖZÖN</t>
  </si>
  <si>
    <t>SBA 25/080</t>
  </si>
  <si>
    <t>SBA 25/081</t>
  </si>
  <si>
    <t>Prof. Dr. Elmas Nazlı GÖNÇ</t>
  </si>
  <si>
    <t>SBA 25/082</t>
  </si>
  <si>
    <t>Doç. Dr. Filiz ÜZÜMCÜGİL</t>
  </si>
  <si>
    <t>SBA 25/083</t>
  </si>
  <si>
    <t>Dr. Öğr. Üyesi Gizem ERBAŞ ÜNVERDİ</t>
  </si>
  <si>
    <t>SBA 25/084</t>
  </si>
  <si>
    <t>Prof. Dr. Yasemin BAYAZIT</t>
  </si>
  <si>
    <t>SBA 25/085</t>
  </si>
  <si>
    <t>Arş. Gör. Dr. Hatice Ceren İSKENDER</t>
  </si>
  <si>
    <t>SBA 25/086</t>
  </si>
  <si>
    <t>SBA 25/087</t>
  </si>
  <si>
    <t>Dr. Öğr. Üyesi Berna ÇELİK ERTAŞ</t>
  </si>
  <si>
    <t>SBA 25/088</t>
  </si>
  <si>
    <t>Prof. Dr. Nuray BAYRAKÇI</t>
  </si>
  <si>
    <t>SBA 25/089</t>
  </si>
  <si>
    <t>Prof. Dr. Nilgün SAYINALP</t>
  </si>
  <si>
    <t>SBA 25/090</t>
  </si>
  <si>
    <t>Prof. Dr. İbrahim Celalettin HAZNEDAROĞLU</t>
  </si>
  <si>
    <t>SBA 25/091</t>
  </si>
  <si>
    <t>Doç. Dr. Ümit Yavuz MALKAN</t>
  </si>
  <si>
    <t>SBA 25/092</t>
  </si>
  <si>
    <t>SBA 25/093</t>
  </si>
  <si>
    <t>SBA 25/094</t>
  </si>
  <si>
    <t>Prof. Dr. Hatice Nursun ÖZCAN</t>
  </si>
  <si>
    <t>SBA 25/095</t>
  </si>
  <si>
    <t>Arş. Gör. Dr. Nihat Şükrü ÖZGÖREN</t>
  </si>
  <si>
    <t>SBA 25/096</t>
  </si>
  <si>
    <t>Arş. Gör. Dt. Tülin TAŞDEMİR</t>
  </si>
  <si>
    <t>SBA 25/097</t>
  </si>
  <si>
    <t>SBA 25/098</t>
  </si>
  <si>
    <t>SBA 25/099</t>
  </si>
  <si>
    <t>SBA 25/100</t>
  </si>
  <si>
    <t>SBA 25/101</t>
  </si>
  <si>
    <t>SBA 25/102</t>
  </si>
  <si>
    <t>SBA 25/103</t>
  </si>
  <si>
    <t>SBA 25/104</t>
  </si>
  <si>
    <t>Prof. Dr. Ferah YILDIZ</t>
  </si>
  <si>
    <t>SBA 25/105</t>
  </si>
  <si>
    <t>SBA 25/106</t>
  </si>
  <si>
    <t>SBA 25/107</t>
  </si>
  <si>
    <t>SBA 25/108</t>
  </si>
  <si>
    <t>SBA 25/109</t>
  </si>
  <si>
    <t>SBA 25/110</t>
  </si>
  <si>
    <t>SBA 25/111</t>
  </si>
  <si>
    <t>SBA 25/112</t>
  </si>
  <si>
    <t>SBA 25/113</t>
  </si>
  <si>
    <t>SBA 25/114</t>
  </si>
  <si>
    <t>SBA 25/115</t>
  </si>
  <si>
    <t>Doç. Dr. Serpil ÖCAL</t>
  </si>
  <si>
    <t>SBA 25/116</t>
  </si>
  <si>
    <t>Doç. Dr. Ahmet Çağkan İNKAYA</t>
  </si>
  <si>
    <t>SBA 25/117</t>
  </si>
  <si>
    <t>SBA 25/118</t>
  </si>
  <si>
    <t>SBA 25/119</t>
  </si>
  <si>
    <t>SBA 25/120</t>
  </si>
  <si>
    <t>SBA 25/121</t>
  </si>
  <si>
    <t>SBA 25/122</t>
  </si>
  <si>
    <t>Dr. Öğr. Üyesi Gamze VARAN</t>
  </si>
  <si>
    <t>SBA 25/123</t>
  </si>
  <si>
    <t>SBA 25/124</t>
  </si>
  <si>
    <t>Doç. Dr. Göksel GÜVEN</t>
  </si>
  <si>
    <t>SBA 25/125</t>
  </si>
  <si>
    <t>Prof. Dr. Ali Bülent CENGİZ</t>
  </si>
  <si>
    <t>SBA 25/126</t>
  </si>
  <si>
    <t>SBA 25/127</t>
  </si>
  <si>
    <t>SBA 25/128</t>
  </si>
  <si>
    <t>Dr. Öğr. Üyesi Arif Mithat AMCA</t>
  </si>
  <si>
    <t>SBA 25/129</t>
  </si>
  <si>
    <t>Prof. Dr. Tahir HAZIR</t>
  </si>
  <si>
    <t>SBA 25/130</t>
  </si>
  <si>
    <t>SBA 25/131</t>
  </si>
  <si>
    <t>SBA 25/132</t>
  </si>
  <si>
    <t>Prof. Dr. Dilek YALNIZOĞLU</t>
  </si>
  <si>
    <t>SBA 25/133</t>
  </si>
  <si>
    <t>SBA 25/134</t>
  </si>
  <si>
    <t>Prof. Dr. Bora PEYNİRCİOĞLU</t>
  </si>
  <si>
    <t>SBA 25/135</t>
  </si>
  <si>
    <t>SBA 25/136</t>
  </si>
  <si>
    <t>SBA 25/137</t>
  </si>
  <si>
    <t>Dr. Öğr. Üyesi Onur KOÇ</t>
  </si>
  <si>
    <t>SBA 25/138</t>
  </si>
  <si>
    <t>SBA 25/139</t>
  </si>
  <si>
    <t>Dr. Öğr. Üyesi Burak TAŞTEKİN</t>
  </si>
  <si>
    <t>SBA 25/140</t>
  </si>
  <si>
    <t>SBA 25/141</t>
  </si>
  <si>
    <t>SBA 25/142</t>
  </si>
  <si>
    <t>Doç. Dr. Deniz ATEŞ ÖZDEMİR</t>
  </si>
  <si>
    <t>SBA 25/143</t>
  </si>
  <si>
    <t>SBA 25/144</t>
  </si>
  <si>
    <t>SBA 25/145</t>
  </si>
  <si>
    <t>SBA 25/146</t>
  </si>
  <si>
    <t>SBA 25/147</t>
  </si>
  <si>
    <t>Prof. Dr. Emirhan NEMUTLU</t>
  </si>
  <si>
    <t>SBA 25/148</t>
  </si>
  <si>
    <t>SBA 25/149</t>
  </si>
  <si>
    <t>SBA 25/150</t>
  </si>
  <si>
    <t>SBA 25/151</t>
  </si>
  <si>
    <t>SBA 25/152</t>
  </si>
  <si>
    <t>SBA 25/153</t>
  </si>
  <si>
    <t>Prof. Dr. Emine ÇAĞLAR</t>
  </si>
  <si>
    <t>SBA 25/154</t>
  </si>
  <si>
    <t>SBA 25/155</t>
  </si>
  <si>
    <t>Dr. Öğr. Üyesi Yağmur ÜNSAL</t>
  </si>
  <si>
    <t>SBA 25/156</t>
  </si>
  <si>
    <t>Dr. Öğr. Üyesi Hilmi Anıl DİNÇER</t>
  </si>
  <si>
    <t>SBA 25/157</t>
  </si>
  <si>
    <t>SBA 25/158</t>
  </si>
  <si>
    <t>Prof. Dr. Güliz Fatma YAVAŞ</t>
  </si>
  <si>
    <t>SBA 25/159</t>
  </si>
  <si>
    <t>SBA 25/160</t>
  </si>
  <si>
    <t>SBA 25/161</t>
  </si>
  <si>
    <t>Doç. Dr. Baran ERMAN</t>
  </si>
  <si>
    <t>SBA 25/162</t>
  </si>
  <si>
    <t>SBA 25/163</t>
  </si>
  <si>
    <t>SBA 25/164</t>
  </si>
  <si>
    <t>Öğr. Gör. Salih Eren MERAL</t>
  </si>
  <si>
    <t>SBA 25/165</t>
  </si>
  <si>
    <t>Doç. Dr. Derman BAŞARAN
Prof. Dr. Alp USUBÜTÜN</t>
  </si>
  <si>
    <t>SBA 25/166</t>
  </si>
  <si>
    <t>Dr. Öğr. Üyesi Şafak ALPAT</t>
  </si>
  <si>
    <t>SBA 25/167</t>
  </si>
  <si>
    <t>Doç. Dr. Ahmet Hakan ATEŞ</t>
  </si>
  <si>
    <t>SBA 25/168</t>
  </si>
  <si>
    <t>SBA 25/169</t>
  </si>
  <si>
    <t>SBA 25/170</t>
  </si>
  <si>
    <t>SBA 25/171</t>
  </si>
  <si>
    <t>SBA 25/172</t>
  </si>
  <si>
    <t>SBA 25/173</t>
  </si>
  <si>
    <t>SBA 25/174</t>
  </si>
  <si>
    <t>SBA 25/175</t>
  </si>
  <si>
    <t>SBA 25/176</t>
  </si>
  <si>
    <t>SBA 25/177</t>
  </si>
  <si>
    <t>Prof. Dr. Şule YİĞİT</t>
  </si>
  <si>
    <t>SBA 25/178</t>
  </si>
  <si>
    <t>SBA 25/179</t>
  </si>
  <si>
    <t>Doç. Dr. Şafak PARLAK SAĞOL</t>
  </si>
  <si>
    <t>SBA 25/180</t>
  </si>
  <si>
    <t>Dr. Öğr. Üyesi Muhammed Çağrı KÜLEKÇİ</t>
  </si>
  <si>
    <t>SBA 25/181</t>
  </si>
  <si>
    <t>Dr. Öğr. Üyesi Ali BATUR</t>
  </si>
  <si>
    <t>SBA 25/182</t>
  </si>
  <si>
    <t>Prof. Dr. Gazi HURİ</t>
  </si>
  <si>
    <t>SBA 25/183</t>
  </si>
  <si>
    <t>SBA 25/184</t>
  </si>
  <si>
    <t>Prof. Dr. Deniz DOĞRU</t>
  </si>
  <si>
    <t>SBA 25/185</t>
  </si>
  <si>
    <t>Doç. Dr. Fatoş KORKMAZ</t>
  </si>
  <si>
    <t>SBA 25/186</t>
  </si>
  <si>
    <t>SBA 25/187</t>
  </si>
  <si>
    <t>SBA 25/188</t>
  </si>
  <si>
    <t>Prof. Dr. Ayşe HEVES KARAGÖZ</t>
  </si>
  <si>
    <t>SBA 25/189</t>
  </si>
  <si>
    <t>Prof. Dr. A. Mazhar TOKGÖZOĞLU</t>
  </si>
  <si>
    <t>SBA 25/190</t>
  </si>
  <si>
    <t>SBA 25/191</t>
  </si>
  <si>
    <t>SBA 25/192</t>
  </si>
  <si>
    <t>SBA 25/193</t>
  </si>
  <si>
    <t>Prof. Dr. Mustafa CENGİZ</t>
  </si>
  <si>
    <t>SBA 25/194</t>
  </si>
  <si>
    <t>SBA 25/195</t>
  </si>
  <si>
    <t>SBA 25/196</t>
  </si>
  <si>
    <t>SBA 25/197</t>
  </si>
  <si>
    <t>SBA 25/198</t>
  </si>
  <si>
    <t>SBA 25/199</t>
  </si>
  <si>
    <t>Prof. Dr. Uğur Özçelik</t>
  </si>
  <si>
    <t>SBA 25/200</t>
  </si>
  <si>
    <t>SBA 25/201</t>
  </si>
  <si>
    <t>Prof. Dr. Sıddıka Songül YALÇIN</t>
  </si>
  <si>
    <t>SBA 25/202</t>
  </si>
  <si>
    <t>SBA 25/203</t>
  </si>
  <si>
    <t>SBA 25/204</t>
  </si>
  <si>
    <t>Doç. Dr. Mevhibe İrem YILDIZ</t>
  </si>
  <si>
    <t>SBA 25/205</t>
  </si>
  <si>
    <t>SBA 25/206</t>
  </si>
  <si>
    <t>SBA 25/207</t>
  </si>
  <si>
    <t>SBA 25/208</t>
  </si>
  <si>
    <t>SBA 25/209</t>
  </si>
  <si>
    <t>Dr. Öğr. Üyesi Sevtap ARSLAN SARIKAYA</t>
  </si>
  <si>
    <t>SBA 25/210</t>
  </si>
  <si>
    <t>SBA 25/211</t>
  </si>
  <si>
    <t>Dr. Öğr. Üyesi Ahmet AYDIN</t>
  </si>
  <si>
    <t>SBA 25/212</t>
  </si>
  <si>
    <t>SBA 25/213</t>
  </si>
  <si>
    <t>Prof. Dr. Gözde YAZICI</t>
  </si>
  <si>
    <t>SBA 25/214</t>
  </si>
  <si>
    <t>SBA 25/215</t>
  </si>
  <si>
    <t>SBA 25/216</t>
  </si>
  <si>
    <t>SBA 25/217</t>
  </si>
  <si>
    <t>SBA 25/218</t>
  </si>
  <si>
    <t>SBA 25/219</t>
  </si>
  <si>
    <t>SBA 25/220</t>
  </si>
  <si>
    <t>Prof. Dr. Banu TAVAT</t>
  </si>
  <si>
    <t>SBA 25/221</t>
  </si>
  <si>
    <t>SBA 25/222</t>
  </si>
  <si>
    <t>SBA 25/223</t>
  </si>
  <si>
    <t>Doç. Dr. Akın ÜZÜMCÜGİL</t>
  </si>
  <si>
    <t>SBA 25/224</t>
  </si>
  <si>
    <t>SBA 25/225</t>
  </si>
  <si>
    <t>SBA 25/226</t>
  </si>
  <si>
    <t>Prof. Dr. Banu ÇAKIR</t>
  </si>
  <si>
    <t>SBA 25/227</t>
  </si>
  <si>
    <t>SBA 25/228</t>
  </si>
  <si>
    <t>SBA 25/229</t>
  </si>
  <si>
    <t>SBA 25/230</t>
  </si>
  <si>
    <t>SBA 25/231</t>
  </si>
  <si>
    <t>Prof. Dr. Diclehan ORHAN</t>
  </si>
  <si>
    <t>SBA 25/232</t>
  </si>
  <si>
    <t>SBA 25/233</t>
  </si>
  <si>
    <t>SBA 25/234</t>
  </si>
  <si>
    <t>SBA 25/235</t>
  </si>
  <si>
    <t>Dr. Öğr. Üyesi Deniz Can GÜVEN</t>
  </si>
  <si>
    <t>SBA 25/236</t>
  </si>
  <si>
    <t>SBA 25/237</t>
  </si>
  <si>
    <t>Doç. Dr. Hanife Güler DÖNMEZ</t>
  </si>
  <si>
    <t>SBA 25/238</t>
  </si>
  <si>
    <t>SBA 25/239</t>
  </si>
  <si>
    <t>SBA 25/240</t>
  </si>
  <si>
    <t>SBA 25/241</t>
  </si>
  <si>
    <t>SBA 25/242</t>
  </si>
  <si>
    <t>SBA 25/243</t>
  </si>
  <si>
    <t>SBA 25/244</t>
  </si>
  <si>
    <t>Prof. Dr. Sunay İL</t>
  </si>
  <si>
    <t>SBA 25/245</t>
  </si>
  <si>
    <t>SBA 25/246</t>
  </si>
  <si>
    <t>SBA 25/247</t>
  </si>
  <si>
    <t>SBA 25/248</t>
  </si>
  <si>
    <t>SBA 25/249</t>
  </si>
  <si>
    <t>SBA 25/250</t>
  </si>
  <si>
    <t>SBA 25/251</t>
  </si>
  <si>
    <t>SBA 25/252</t>
  </si>
  <si>
    <t>SBA 25/253</t>
  </si>
  <si>
    <t>SBA 25/254</t>
  </si>
  <si>
    <t>SBA 25/255</t>
  </si>
  <si>
    <t>SBA 25/256</t>
  </si>
  <si>
    <t>Prof. Dr. Suna SABUNCUOĞLU</t>
  </si>
  <si>
    <t>SBA 25/257</t>
  </si>
  <si>
    <t>Prof. Dr. Şuayip YALÇIN</t>
  </si>
  <si>
    <t>SBA 25/258</t>
  </si>
  <si>
    <t>SBA 25/259</t>
  </si>
  <si>
    <t>SBA 25/260</t>
  </si>
  <si>
    <t>Doç. Dr. İdil Rana USER</t>
  </si>
  <si>
    <t>SBA 25/261</t>
  </si>
  <si>
    <t>SBA 25/262</t>
  </si>
  <si>
    <t>SBA 25/263</t>
  </si>
  <si>
    <t>SBA 25/264</t>
  </si>
  <si>
    <t>SBA 25/265</t>
  </si>
  <si>
    <t>SBA 25/266</t>
  </si>
  <si>
    <t>SBA 25/267</t>
  </si>
  <si>
    <t>SBA 25/268</t>
  </si>
  <si>
    <t>SBA 25/269</t>
  </si>
  <si>
    <t>Dr. Öğr. Üyesi Güneş GÜNER GEBEŞ</t>
  </si>
  <si>
    <t>SBA 25/270</t>
  </si>
  <si>
    <t>SBA 25/271</t>
  </si>
  <si>
    <t>Doç. Dr. Uzay KOÇ VURAL</t>
  </si>
  <si>
    <t>SBA 25/272</t>
  </si>
  <si>
    <t>SBA 25/273</t>
  </si>
  <si>
    <t>SBA 25/274</t>
  </si>
  <si>
    <t>SBA 25/275</t>
  </si>
  <si>
    <t>Doç. Dr. Seda AYDAN</t>
  </si>
  <si>
    <t>SBA 25/276</t>
  </si>
  <si>
    <t>SBA 25/277</t>
  </si>
  <si>
    <t>Prof. Dr. Hüseyin Hüsrev TURNAGÖL</t>
  </si>
  <si>
    <t>SBA 25/278</t>
  </si>
  <si>
    <t>SBA 25/279</t>
  </si>
  <si>
    <t>Doç. Dr. Naşide MANGIR BOLAT</t>
  </si>
  <si>
    <t>SBA 25/280</t>
  </si>
  <si>
    <t>SBA 25/281</t>
  </si>
  <si>
    <t>SBA 25/282</t>
  </si>
  <si>
    <t>Doç. Dr. Mehmet Ali KARACA</t>
  </si>
  <si>
    <t>SBA 25/283</t>
  </si>
  <si>
    <t>SBA 25/284</t>
  </si>
  <si>
    <t>SBA 25/285</t>
  </si>
  <si>
    <t>SBA 25/286</t>
  </si>
  <si>
    <t>SBA 25/287</t>
  </si>
  <si>
    <t>SBA 25/288</t>
  </si>
  <si>
    <t>SBA 25/289</t>
  </si>
  <si>
    <t>SBA 25/290</t>
  </si>
  <si>
    <t>SBA 25/291</t>
  </si>
  <si>
    <t>SBA 25/292</t>
  </si>
  <si>
    <t>SBA 25/293</t>
  </si>
  <si>
    <t>Prof. Dr. Aysun BALSEVEN ODABAŞI</t>
  </si>
  <si>
    <t>SBA 25/294</t>
  </si>
  <si>
    <t>SBA 25/295</t>
  </si>
  <si>
    <t>SBA 25/296</t>
  </si>
  <si>
    <t>SBA 25/297</t>
  </si>
  <si>
    <t>Prof. Dr. Ayşen AKINCI</t>
  </si>
  <si>
    <t>SBA 25/298</t>
  </si>
  <si>
    <t>SBA 25/299</t>
  </si>
  <si>
    <t>Prof. Dr. Güney YILMAZ</t>
  </si>
  <si>
    <t>SBA 25/300</t>
  </si>
  <si>
    <t>SBA 25/301</t>
  </si>
  <si>
    <t>SBA 25/302</t>
  </si>
  <si>
    <t>SBA 25/303</t>
  </si>
  <si>
    <t>SBA 25/304</t>
  </si>
  <si>
    <t>SBA 25/305</t>
  </si>
  <si>
    <t>SBA 25/306</t>
  </si>
  <si>
    <t>SBA 25/307</t>
  </si>
  <si>
    <t>SBA 25/308</t>
  </si>
  <si>
    <t>Arş. Gör. Dr. Evrim ÜNVER</t>
  </si>
  <si>
    <t>SBA 25/309</t>
  </si>
  <si>
    <t>SBA 25/310</t>
  </si>
  <si>
    <t>SBA 25/311</t>
  </si>
  <si>
    <t>SBA 25/312</t>
  </si>
  <si>
    <t>SBA 25/313</t>
  </si>
  <si>
    <t>SBA 25/314</t>
  </si>
  <si>
    <t>Prof. Dr. Özgür CANBAY</t>
  </si>
  <si>
    <t>SBA 25/315</t>
  </si>
  <si>
    <t>Prof. Dr. Ziya Toros SELÇUK</t>
  </si>
  <si>
    <t>SBA 25/316</t>
  </si>
  <si>
    <t>SBA 25/317</t>
  </si>
  <si>
    <t>Prof. Dr. Işkın Pınar ZARAKOL</t>
  </si>
  <si>
    <t>SBA 25/318</t>
  </si>
  <si>
    <t>SBA 25/319</t>
  </si>
  <si>
    <t>SBA 25/320</t>
  </si>
  <si>
    <t>SBA 25/321</t>
  </si>
  <si>
    <t>SBA 25/322</t>
  </si>
  <si>
    <t>SBA 25/323</t>
  </si>
  <si>
    <t>Doç. Dr. Oytun PORTAKAL</t>
  </si>
  <si>
    <t>SBA 25/324</t>
  </si>
  <si>
    <t>SBA 25/325</t>
  </si>
  <si>
    <t>SBA 25/326</t>
  </si>
  <si>
    <t>SBA 25/327</t>
  </si>
  <si>
    <t>SBA 25/328</t>
  </si>
  <si>
    <t>SBA 25/329</t>
  </si>
  <si>
    <t>SBA 25/330</t>
  </si>
  <si>
    <t>Prof. Dr. E. Nazlı GÖNÇ</t>
  </si>
  <si>
    <t>SBA 25/331</t>
  </si>
  <si>
    <t>SBA 25/332</t>
  </si>
  <si>
    <t>SBA 25/333</t>
  </si>
  <si>
    <t>SBA 25/334</t>
  </si>
  <si>
    <t>SBA 25/335</t>
  </si>
  <si>
    <t>SBA 25/336</t>
  </si>
  <si>
    <t>SBA 25/337</t>
  </si>
  <si>
    <t>SBA 25/338</t>
  </si>
  <si>
    <t>Öğr. Gör. Dr. Aslı Şan DAĞLI GÜL</t>
  </si>
  <si>
    <t>SBA 25/339</t>
  </si>
  <si>
    <t>SBA 25/340</t>
  </si>
  <si>
    <t>Prof. Dr. İnci Nur SALTIK TEMİZEL</t>
  </si>
  <si>
    <t>SBA 25/341</t>
  </si>
  <si>
    <t>SBA 25/342</t>
  </si>
  <si>
    <t>Öğr. Gör. Dr. Yaman MUŞDAL</t>
  </si>
  <si>
    <t>SBA 25/343</t>
  </si>
  <si>
    <t>Prof. Dr. Mehmet Ali KILIÇARSLAN</t>
  </si>
  <si>
    <t>SBA 25/344</t>
  </si>
  <si>
    <t>SBA 25/345</t>
  </si>
  <si>
    <t>SBA 25/346</t>
  </si>
  <si>
    <t>SBA 25/347</t>
  </si>
  <si>
    <t>Doç. Dr. Oğuz KUŞCU</t>
  </si>
  <si>
    <t>SBA 25/348</t>
  </si>
  <si>
    <t>Prof. Dr. Mehmet Ruhi ONUR</t>
  </si>
  <si>
    <t>SBA 25/349</t>
  </si>
  <si>
    <t>SBA 25/350</t>
  </si>
  <si>
    <t>Prof. Dr. Nalan ÇELEBİ</t>
  </si>
  <si>
    <t>SBA 25/351</t>
  </si>
  <si>
    <t>SBA 25/352</t>
  </si>
  <si>
    <t>Prof. Dr. İmran VURAL</t>
  </si>
  <si>
    <t>SBA 25/353</t>
  </si>
  <si>
    <t>Dr. Öğr. Üyesi Ceren Damla DURMAZ ÖZDİNÇ</t>
  </si>
  <si>
    <t>SBA 25/354</t>
  </si>
  <si>
    <t>SBA 25/355</t>
  </si>
  <si>
    <t>SBA 25/356</t>
  </si>
  <si>
    <t>SBA 25/357</t>
  </si>
  <si>
    <t>SBA 25/358</t>
  </si>
  <si>
    <t>Prof. Dr. Hane TAYLAN ŞEKEROĞLU</t>
  </si>
  <si>
    <t>SBA 25/359</t>
  </si>
  <si>
    <t>SBA 25/360</t>
  </si>
  <si>
    <t>SBA 25/361</t>
  </si>
  <si>
    <t>Prof. Dr. Taylan TAV</t>
  </si>
  <si>
    <t>SBA 25/362</t>
  </si>
  <si>
    <t>SBA 25/363</t>
  </si>
  <si>
    <t>SBA 25/364</t>
  </si>
  <si>
    <t>Prof. Dr. Murat GÜLTEKİN
Prof. Dr. Türkmen Turan ÇİFTÇİ</t>
  </si>
  <si>
    <t>SBA 25/365</t>
  </si>
  <si>
    <t>SBA 25/366</t>
  </si>
  <si>
    <t>SBA 25/367</t>
  </si>
  <si>
    <t>Prof. Dr. Ahmet PINAR</t>
  </si>
  <si>
    <t>SBA 25/368</t>
  </si>
  <si>
    <t>SBA 25/369</t>
  </si>
  <si>
    <t>Prof. Dr. Feza KORKUSUZ</t>
  </si>
  <si>
    <t>SBA 25/370</t>
  </si>
  <si>
    <t>SBA 25/371</t>
  </si>
  <si>
    <t>Prof. Dr. Cenk Yücel BİLEN</t>
  </si>
  <si>
    <t>SBA 25/372</t>
  </si>
  <si>
    <t>SBA 25/373</t>
  </si>
  <si>
    <t>SBA 25/374</t>
  </si>
  <si>
    <t>SBA 25/375</t>
  </si>
  <si>
    <t>SBA 25/376</t>
  </si>
  <si>
    <t>SBA 25/377</t>
  </si>
  <si>
    <t>SBA 25/378</t>
  </si>
  <si>
    <t>SBA 25/379</t>
  </si>
  <si>
    <t>Doç. Dr. Çiğdem KARACA</t>
  </si>
  <si>
    <t>SBA 25/380</t>
  </si>
  <si>
    <t>SBA 25/381</t>
  </si>
  <si>
    <t>Prof. Dr. Tevfik KARAGÖZ</t>
  </si>
  <si>
    <t>SBA 25/382</t>
  </si>
  <si>
    <t>SBA 25/383</t>
  </si>
  <si>
    <t>SBA 25/384</t>
  </si>
  <si>
    <t>SBA 25/385</t>
  </si>
  <si>
    <t>SBA 25/386</t>
  </si>
  <si>
    <t>SBA 25/387</t>
  </si>
  <si>
    <t>SBA 25/388</t>
  </si>
  <si>
    <t>SBA 25/389</t>
  </si>
  <si>
    <t>SBA 25/390</t>
  </si>
  <si>
    <t>SBA 25/391</t>
  </si>
  <si>
    <t>SBA 25/392</t>
  </si>
  <si>
    <t>SBA 25/393</t>
  </si>
  <si>
    <t>SBA 25/394</t>
  </si>
  <si>
    <t>SBA 25/395</t>
  </si>
  <si>
    <t>SBA 25/396</t>
  </si>
  <si>
    <t>SBA 25/397</t>
  </si>
  <si>
    <t>Prof. Dr. Özgür Ahmet ATAY</t>
  </si>
  <si>
    <t>SBA 25/398</t>
  </si>
  <si>
    <t>Dr. Öğr. Üyesi Cansu ÖZDEMİR SAKA</t>
  </si>
  <si>
    <t>SBA 25/399</t>
  </si>
  <si>
    <t>SBA 25/400</t>
  </si>
  <si>
    <t>SBA 25/401</t>
  </si>
  <si>
    <t>Prof. Dr. Uğur CANPOLAT</t>
  </si>
  <si>
    <t>SBA 25/402</t>
  </si>
  <si>
    <t>SBA 25/403</t>
  </si>
  <si>
    <t>SBA 25/404</t>
  </si>
  <si>
    <t>SBA 25/405</t>
  </si>
  <si>
    <t>SBA 25/406</t>
  </si>
  <si>
    <t>Doç. Dr. Emre ALTUNDAŞAR</t>
  </si>
  <si>
    <t>SBA 25/407</t>
  </si>
  <si>
    <t>SBA 25/408</t>
  </si>
  <si>
    <t>SBA 25/409</t>
  </si>
  <si>
    <t>SBA 25/410</t>
  </si>
  <si>
    <t>SBA 25/411</t>
  </si>
  <si>
    <t>Doç. Dr. Şükrü Alpan CİNEMRE</t>
  </si>
  <si>
    <t>SBA 25/412</t>
  </si>
  <si>
    <t>SBA 25/413</t>
  </si>
  <si>
    <t>SBA 25/414</t>
  </si>
  <si>
    <t>SBA 25/415</t>
  </si>
  <si>
    <t>SBA 25/416</t>
  </si>
  <si>
    <t>SBA 25/417</t>
  </si>
  <si>
    <t>SBA 25/418</t>
  </si>
  <si>
    <t>SBA 25/419</t>
  </si>
  <si>
    <t>Prof. Dr. Sadberk Lale TOKGÖZOĞLU</t>
  </si>
  <si>
    <t>SBA 25/420</t>
  </si>
  <si>
    <t>SBA 25/421</t>
  </si>
  <si>
    <t>SBA 25/422</t>
  </si>
  <si>
    <t>SBA 25/423</t>
  </si>
  <si>
    <t>SBA 25/424</t>
  </si>
  <si>
    <t>Prof. Dr. Ayşe AKINCI</t>
  </si>
  <si>
    <t>SBA 25/425</t>
  </si>
  <si>
    <t>SBA 25/426</t>
  </si>
  <si>
    <t>SBA 25/427</t>
  </si>
  <si>
    <t>SBA 25/428</t>
  </si>
  <si>
    <t>SBA 25/429</t>
  </si>
  <si>
    <t>SBA 25/430</t>
  </si>
  <si>
    <t>SBA 25/431</t>
  </si>
  <si>
    <t>SBA 25/432</t>
  </si>
  <si>
    <t>SBA 25/433</t>
  </si>
  <si>
    <t>SBA 25/434</t>
  </si>
  <si>
    <t>SBA 25/435</t>
  </si>
  <si>
    <t>SBA 25/436</t>
  </si>
  <si>
    <t>SBA 25/437</t>
  </si>
  <si>
    <t>Prof. Dr. Deniz AKATA</t>
  </si>
  <si>
    <t>SBA 25/438</t>
  </si>
  <si>
    <t>SBA 25/439</t>
  </si>
  <si>
    <t>SBA 25/440</t>
  </si>
  <si>
    <t>SBA 25/441</t>
  </si>
  <si>
    <t>SBA 25/442</t>
  </si>
  <si>
    <t>Dr. Öğr. Üyesi Oğuz KARCIOĞLU</t>
  </si>
  <si>
    <t>SBA 25/443</t>
  </si>
  <si>
    <t>Prof. Dr. Nüket PAKSOY ERBAYDAR</t>
  </si>
  <si>
    <t>SBA 25/444</t>
  </si>
  <si>
    <t>SBA 25/445</t>
  </si>
  <si>
    <t>SBA 25/446</t>
  </si>
  <si>
    <t>SBA 25/447</t>
  </si>
  <si>
    <t>SBA 25/448</t>
  </si>
  <si>
    <t>SBA 25/449</t>
  </si>
  <si>
    <t>SBA 25/450</t>
  </si>
  <si>
    <t>SBA 25/451</t>
  </si>
  <si>
    <t>SBA 25/452</t>
  </si>
  <si>
    <t>SBA 25/453</t>
  </si>
  <si>
    <t>SBA 25/454</t>
  </si>
  <si>
    <t>SBA 25/455</t>
  </si>
  <si>
    <t>Doç. Dr. Gülşen TAŞDELEN</t>
  </si>
  <si>
    <t>SBA 25/456</t>
  </si>
  <si>
    <t>SBA 25/457</t>
  </si>
  <si>
    <t>SBA 25/458</t>
  </si>
  <si>
    <t>SBA 25/459</t>
  </si>
  <si>
    <t>Dr. Öğr. Üyesi Melda ÇELİK</t>
  </si>
  <si>
    <t>SBA 25/460</t>
  </si>
  <si>
    <t>SBA 25/461</t>
  </si>
  <si>
    <t>SBA 25/462</t>
  </si>
  <si>
    <t>SBA 25/463</t>
  </si>
  <si>
    <t>SBA 25/464</t>
  </si>
  <si>
    <t>SBA 25/465</t>
  </si>
  <si>
    <t>SBA 25/466</t>
  </si>
  <si>
    <t>SBA 25/467</t>
  </si>
  <si>
    <t>SBA 25/468</t>
  </si>
  <si>
    <t>SBA 25/469</t>
  </si>
  <si>
    <t>Prof. Dr. Ayşe Sanem ŞAHLI</t>
  </si>
  <si>
    <t>SBA 25/470</t>
  </si>
  <si>
    <t>SBA 25/471</t>
  </si>
  <si>
    <t>SBA 25/472</t>
  </si>
  <si>
    <t>SBA 25/473</t>
  </si>
  <si>
    <t>Doç. Dr. Önder İLGİLİ</t>
  </si>
  <si>
    <t>SBA 25/474</t>
  </si>
  <si>
    <t>SBA 25/475</t>
  </si>
  <si>
    <t>SBA 25/476</t>
  </si>
  <si>
    <t>SBA 25/477</t>
  </si>
  <si>
    <t>SBA 25/478</t>
  </si>
  <si>
    <t>SBA 25/479</t>
  </si>
  <si>
    <t>SBA 25/480</t>
  </si>
  <si>
    <t>SBA 25/481</t>
  </si>
  <si>
    <t>Prof. Dr. Filiz METE</t>
  </si>
  <si>
    <t>SBA 25/482</t>
  </si>
  <si>
    <t>Dr. Öğr. Üyesi Hasan Barış ILGAZ</t>
  </si>
  <si>
    <t>SBA 25/483</t>
  </si>
  <si>
    <t>SBA 25/484</t>
  </si>
  <si>
    <t>Dr. Öğr. Üyesi Ezgi YETİM ARSAVA</t>
  </si>
  <si>
    <t>SBA 25/485</t>
  </si>
  <si>
    <t>SBA 25/486</t>
  </si>
  <si>
    <t>SBA 25/487</t>
  </si>
  <si>
    <t>SBA 25/488</t>
  </si>
  <si>
    <t>SBA 25/489</t>
  </si>
  <si>
    <t>SBA 25/490</t>
  </si>
  <si>
    <t>SBA 25/491</t>
  </si>
  <si>
    <t>SBA 25/492</t>
  </si>
  <si>
    <t>Prof. Dr. M. Cemalettin AKSOY</t>
  </si>
  <si>
    <t>SBA 25/493</t>
  </si>
  <si>
    <t>SBA 25/494</t>
  </si>
  <si>
    <t>SBA 25/495</t>
  </si>
  <si>
    <t>Prof. Dr. İbrahim Çağatay KARAASLAN</t>
  </si>
  <si>
    <t>SBA 25/496</t>
  </si>
  <si>
    <t>Öğr. Gör. Dr. Ergin EROĞLU</t>
  </si>
  <si>
    <t>SBA 25/497</t>
  </si>
  <si>
    <t>Prof. Dr. Özgür DEREN</t>
  </si>
  <si>
    <t>SBA 25/498</t>
  </si>
  <si>
    <t>SBA 25/499</t>
  </si>
  <si>
    <t>SBA 25/500</t>
  </si>
  <si>
    <t>Prof. Dr. Mustafa ARICI</t>
  </si>
  <si>
    <t>SBA 25/501</t>
  </si>
  <si>
    <t>SBA 25/502</t>
  </si>
  <si>
    <t>SBA 25/503</t>
  </si>
  <si>
    <t>SBA 25/504</t>
  </si>
  <si>
    <t>Dr. Öğr. Gör. Timuçin SABUNCU</t>
  </si>
  <si>
    <t>SBA 25/505</t>
  </si>
  <si>
    <t>Prof. Dr. A. Elif ANIL YAĞCIOĞLU</t>
  </si>
  <si>
    <t>SBA 25/506</t>
  </si>
  <si>
    <t>SBA 25/507</t>
  </si>
  <si>
    <t>SBA 25/508</t>
  </si>
  <si>
    <t>SBA 25/509</t>
  </si>
  <si>
    <t>Doç. Dr. Meliha Çağla SÖNMEZER</t>
  </si>
  <si>
    <t>SBA 25/510</t>
  </si>
  <si>
    <t>SBA 25/511</t>
  </si>
  <si>
    <t>SBA 25/512</t>
  </si>
  <si>
    <t>Doç. Dr. Nagehan EMİRALİOĞLU ORDUKAYA</t>
  </si>
  <si>
    <t>SBA 25/513</t>
  </si>
  <si>
    <t>SBA 25/514</t>
  </si>
  <si>
    <t>SBA 25/515</t>
  </si>
  <si>
    <t>SBA 25/516</t>
  </si>
  <si>
    <t>SBA 25/517</t>
  </si>
  <si>
    <t>SBA 25/518</t>
  </si>
  <si>
    <t>SBA 25/519</t>
  </si>
  <si>
    <t>SBA 25/520</t>
  </si>
  <si>
    <t>SBA 25/521</t>
  </si>
  <si>
    <t>SBA 25/522</t>
  </si>
  <si>
    <t>SBA 25/523</t>
  </si>
  <si>
    <t>SBA 25/524</t>
  </si>
  <si>
    <t>SBA 25/525</t>
  </si>
  <si>
    <t>SBA 25/526</t>
  </si>
  <si>
    <t>Arş. Gör. Dr. Şüheda BAHTİYAR</t>
  </si>
  <si>
    <t>SBA 25/527</t>
  </si>
  <si>
    <t>Prof. Dr. Hayriye Uğur ÖZÇELİK</t>
  </si>
  <si>
    <t>SBA 25/528</t>
  </si>
  <si>
    <t>SBA 25/529</t>
  </si>
  <si>
    <t>SBA 25/530</t>
  </si>
  <si>
    <t>SBA 25/531</t>
  </si>
  <si>
    <t>SBA 25/532</t>
  </si>
  <si>
    <t>SBA 25/533</t>
  </si>
  <si>
    <t>SBA 25/534</t>
  </si>
  <si>
    <t>Prof. Dr. Ali VARAN</t>
  </si>
  <si>
    <t>SBA 25/535</t>
  </si>
  <si>
    <t>SBA 25/536</t>
  </si>
  <si>
    <t>SBA 25/537</t>
  </si>
  <si>
    <t>Prof. Dr. Bilge PEHLİVANOĞLU</t>
  </si>
  <si>
    <t>SBA 25/538</t>
  </si>
  <si>
    <t>SBA 25/539</t>
  </si>
  <si>
    <t>SBA 25/540</t>
  </si>
  <si>
    <t>Dr. Öğr. Üyesi Olcay KURTULAN</t>
  </si>
  <si>
    <t>SBA 25/541</t>
  </si>
  <si>
    <t>Dr. Öğr. Gör. Esat Kıvanç KAYA</t>
  </si>
  <si>
    <t>SBA 25/542</t>
  </si>
  <si>
    <t>SBA 25/543</t>
  </si>
  <si>
    <t>SBA 25/544</t>
  </si>
  <si>
    <t>SBA 25/545</t>
  </si>
  <si>
    <t>SBA 25/546</t>
  </si>
  <si>
    <t>SBA 25/547</t>
  </si>
  <si>
    <t>SBA 25/548</t>
  </si>
  <si>
    <t>SBA 25/549</t>
  </si>
  <si>
    <t>Dr. Öğr. Üyesi Meral ÜNER</t>
  </si>
  <si>
    <t>SBA 25/550</t>
  </si>
  <si>
    <t>SBA 25/551</t>
  </si>
  <si>
    <t>SBA 25/552</t>
  </si>
  <si>
    <t>SBA 25/553</t>
  </si>
  <si>
    <t>SBA 25/554</t>
  </si>
  <si>
    <t>SBA 25/555</t>
  </si>
  <si>
    <t>Prof. Dr. Deniz KÖKSAL</t>
  </si>
  <si>
    <t>SBA 25/556</t>
  </si>
  <si>
    <t>SBA 25/557</t>
  </si>
  <si>
    <t>SBA 25/558</t>
  </si>
  <si>
    <t>SBA 25/559</t>
  </si>
  <si>
    <t>Prof. Dr.Özgür UĞURLUOĞLU</t>
  </si>
  <si>
    <t>SBA 25/560</t>
  </si>
  <si>
    <t>SBA 25/561</t>
  </si>
  <si>
    <t>SBA 25/562</t>
  </si>
  <si>
    <t>SBA 25/563</t>
  </si>
  <si>
    <t>Dr.Öğr. Üyesi Yiğitcan KARANFİL</t>
  </si>
  <si>
    <t>SBA 25/564</t>
  </si>
  <si>
    <t>SBA 25/565</t>
  </si>
  <si>
    <t>SBA 25/566</t>
  </si>
  <si>
    <t>Doç. Dr. Hilal SUSAM ŞEN</t>
  </si>
  <si>
    <t>SBA 25/567</t>
  </si>
  <si>
    <t>SBA 25/568</t>
  </si>
  <si>
    <t>SBA 25/569</t>
  </si>
  <si>
    <t>SBA 25/570</t>
  </si>
  <si>
    <t>SBA 25/571</t>
  </si>
  <si>
    <t>SBA 25/572</t>
  </si>
  <si>
    <t>SBA 25/573</t>
  </si>
  <si>
    <t>SBA 25/574</t>
  </si>
  <si>
    <t>SBA 25/575</t>
  </si>
  <si>
    <t>SBA 25/576</t>
  </si>
  <si>
    <t>SBA 25/577</t>
  </si>
  <si>
    <t>SBA 25/578</t>
  </si>
  <si>
    <t>SBA 25/579</t>
  </si>
  <si>
    <t>SBA 25/580</t>
  </si>
  <si>
    <t>Prof. Dr. Ethem Murat ARSAVA</t>
  </si>
  <si>
    <t>SBA 25/581</t>
  </si>
  <si>
    <t>SBA 25/582</t>
  </si>
  <si>
    <t>SBA 25/583</t>
  </si>
  <si>
    <t>SBA 25/584</t>
  </si>
  <si>
    <t>SBA 25/585</t>
  </si>
  <si>
    <t>Prof. Dr. Meltem ÇAĞLAR TUNCALI</t>
  </si>
  <si>
    <t>SBA 25/586</t>
  </si>
  <si>
    <t>SBA 25/587</t>
  </si>
  <si>
    <t>Prof. Dr. Can Ebru KURT</t>
  </si>
  <si>
    <t>SBA 25/588</t>
  </si>
  <si>
    <t>SBA 25/589</t>
  </si>
  <si>
    <t>Prof. Dr. Didem DAYANGAÇ ERDEN</t>
  </si>
  <si>
    <t>SBA 25/590</t>
  </si>
  <si>
    <t>SBA 25/591</t>
  </si>
  <si>
    <t>Prof. Dr. Zeliha YILMAZ</t>
  </si>
  <si>
    <t>SBA 25/592</t>
  </si>
  <si>
    <t>SBA 25/593</t>
  </si>
  <si>
    <t>SBA 25/594</t>
  </si>
  <si>
    <t>SBA 25/595</t>
  </si>
  <si>
    <t>Prof. Dr. Şahinde Özlem ERDEN AKİ</t>
  </si>
  <si>
    <t>SBA 25/596</t>
  </si>
  <si>
    <t>SBA 25/597</t>
  </si>
  <si>
    <t>Prof. Dr. Gökhan METAN</t>
  </si>
  <si>
    <t>SBA 25/598</t>
  </si>
  <si>
    <t>SBA 25/599</t>
  </si>
  <si>
    <t>SBA 25/600</t>
  </si>
  <si>
    <t>SBA 25/601</t>
  </si>
  <si>
    <t>SBA 25/602</t>
  </si>
  <si>
    <t>SBA 25/603</t>
  </si>
  <si>
    <t>SBA 25/604</t>
  </si>
  <si>
    <t>SBA 25/605</t>
  </si>
  <si>
    <t>SBA 25/606</t>
  </si>
  <si>
    <t>SBA 25/607</t>
  </si>
  <si>
    <t>Prof. Dr. Ayda KARACA</t>
  </si>
  <si>
    <t>SBA 25/608</t>
  </si>
  <si>
    <t>SBA 25/609</t>
  </si>
  <si>
    <t>SBA 25/610</t>
  </si>
  <si>
    <t>SBA 25/611</t>
  </si>
  <si>
    <t>SBA 25/612</t>
  </si>
  <si>
    <t>Doç. Dr. Pınar ARPINAR AVŞAR</t>
  </si>
  <si>
    <t>SBA 25/613</t>
  </si>
  <si>
    <t>SBA 25/614</t>
  </si>
  <si>
    <t>Arş. Gör. Dr. Tayfun Hilmi AKBABA</t>
  </si>
  <si>
    <t>SBA 25/615</t>
  </si>
  <si>
    <t>Prof. Dr. Erem BİLENSOY</t>
  </si>
  <si>
    <t>SBA 25/616</t>
  </si>
  <si>
    <t>SBA 25/617</t>
  </si>
  <si>
    <t>Doç. Dr. Yılmaz YILDIZ</t>
  </si>
  <si>
    <t>SBA 25/618</t>
  </si>
  <si>
    <t>SBA 25/619</t>
  </si>
  <si>
    <t>SBA 25/620</t>
  </si>
  <si>
    <t>SBA 25/621</t>
  </si>
  <si>
    <t>SBA 25/622</t>
  </si>
  <si>
    <t>SBA 25/623</t>
  </si>
  <si>
    <t>Prof. Dr. Uğur ÜNLÜTÜRK
Dr. Öğr. Üyesi Nasire ULUÇ</t>
  </si>
  <si>
    <t>SBA 25/624</t>
  </si>
  <si>
    <t>SBA 25/625</t>
  </si>
  <si>
    <t>SBA 25/626</t>
  </si>
  <si>
    <t>Dr. Öğr. Üyesi Yasemin GÜZEL</t>
  </si>
  <si>
    <t>SBA 25/627</t>
  </si>
  <si>
    <t>SBA 25/628</t>
  </si>
  <si>
    <t>SBA 25/629</t>
  </si>
  <si>
    <t>SBA 25/630</t>
  </si>
  <si>
    <t>Prof. Dr. Sedat KİRAZ</t>
  </si>
  <si>
    <t>SBA 25/631</t>
  </si>
  <si>
    <t>SBA 25/632</t>
  </si>
  <si>
    <t>SBA 25/633</t>
  </si>
  <si>
    <t>SBA 25/634</t>
  </si>
  <si>
    <t>SBA 25/635</t>
  </si>
  <si>
    <t>SBA 25/636</t>
  </si>
  <si>
    <t>SBA 25/637</t>
  </si>
  <si>
    <t>SBA 25/638</t>
  </si>
  <si>
    <t>SBA 25/639</t>
  </si>
  <si>
    <t>Dr. Öğr. Üyesi Burak Yasin AKTAŞ</t>
  </si>
  <si>
    <t>SBA 25/640</t>
  </si>
  <si>
    <t>SBA 25/641</t>
  </si>
  <si>
    <t>Prof. Dr. Menemşe GÜMÜŞDERELİOĞLU</t>
  </si>
  <si>
    <t>SBA 25/642</t>
  </si>
  <si>
    <t>SBA 25/643</t>
  </si>
  <si>
    <t>SBA 25/644</t>
  </si>
  <si>
    <t>Prof. Dr. Gıyasettin DEMİRHAN</t>
  </si>
  <si>
    <t>SBA 25/645</t>
  </si>
  <si>
    <t>SBA 25/646</t>
  </si>
  <si>
    <t>Prof. Dr. Halil Gökhan DEMİRKIRAN</t>
  </si>
  <si>
    <t>SBA 25/647</t>
  </si>
  <si>
    <t>SBA 25/648</t>
  </si>
  <si>
    <t>SBA 25/649</t>
  </si>
  <si>
    <t>SBA 25/650</t>
  </si>
  <si>
    <t>SBA 25/651</t>
  </si>
  <si>
    <t>SBA 25/652</t>
  </si>
  <si>
    <t>SBA 25/653</t>
  </si>
  <si>
    <t>SBA 25/654</t>
  </si>
  <si>
    <t>SBA 25/655</t>
  </si>
  <si>
    <t>SBA 25/656</t>
  </si>
  <si>
    <t>SBA 25/657</t>
  </si>
  <si>
    <t>SBA 25/658</t>
  </si>
  <si>
    <t>Doç. Dr. Ece MERAL</t>
  </si>
  <si>
    <t>SBA 25/659</t>
  </si>
  <si>
    <t>SBA 25/660</t>
  </si>
  <si>
    <t>Prof. Dr. Fahriye Duygu ÇETİNKAYA</t>
  </si>
  <si>
    <t>SBA 25/661</t>
  </si>
  <si>
    <t>SBA 25/662</t>
  </si>
  <si>
    <t>SBA 25/663</t>
  </si>
  <si>
    <t>SBA 25/664</t>
  </si>
  <si>
    <t>SBA 25/665</t>
  </si>
  <si>
    <t>SBA 25/666</t>
  </si>
  <si>
    <t>Prof. Dr. Burçin ŞENER</t>
  </si>
  <si>
    <t>SBA 25/667</t>
  </si>
  <si>
    <t>Dr. Öğr. Üyesi Hatice Yağmur ZENGİN</t>
  </si>
  <si>
    <t>SBA 25/668</t>
  </si>
  <si>
    <t>SBA 25/669</t>
  </si>
  <si>
    <t>SBA 25/670</t>
  </si>
  <si>
    <t>Öğr. Gör. Dr. Ahmet Onur DAŞTAN</t>
  </si>
  <si>
    <t>SBA 25/671</t>
  </si>
  <si>
    <t>SBA 25/672</t>
  </si>
  <si>
    <t>SBA 25/673</t>
  </si>
  <si>
    <t>SBA 25/674</t>
  </si>
  <si>
    <t>SBA 25/675</t>
  </si>
  <si>
    <t>SBA 25/676</t>
  </si>
  <si>
    <t>SBA 25/677</t>
  </si>
  <si>
    <t>SBA 25/678</t>
  </si>
  <si>
    <t>SBA 25/679</t>
  </si>
  <si>
    <t>Prof. Dr. Şükran Nazan KOŞAR</t>
  </si>
  <si>
    <t>SBA 25/680</t>
  </si>
  <si>
    <t>SBA 25/681</t>
  </si>
  <si>
    <t>SBA 25/682</t>
  </si>
  <si>
    <t>SBA 25/683</t>
  </si>
  <si>
    <t>SBA 25/684</t>
  </si>
  <si>
    <t>SBA 25/685</t>
  </si>
  <si>
    <t>SBA 25/686</t>
  </si>
  <si>
    <t>SBA 25/687</t>
  </si>
  <si>
    <t>SBA 25/688</t>
  </si>
  <si>
    <t>SBA 25/689</t>
  </si>
  <si>
    <t>Uzm. Dt. Tülin TAŞDEMİR</t>
  </si>
  <si>
    <t>SBA 25/690</t>
  </si>
  <si>
    <t>SBA 25/691</t>
  </si>
  <si>
    <t>SBA 25/692</t>
  </si>
  <si>
    <t>SBA 25/693</t>
  </si>
  <si>
    <t>SBA 25/694</t>
  </si>
  <si>
    <t>SBA 25/695</t>
  </si>
  <si>
    <t>SBA 25/696</t>
  </si>
  <si>
    <t>SBA 25/697</t>
  </si>
  <si>
    <t>SBA 25/698</t>
  </si>
  <si>
    <t>SBA 25/699</t>
  </si>
  <si>
    <t>Prof. Dr. Uğur BAYSAL</t>
  </si>
  <si>
    <t>SBA 25/700</t>
  </si>
  <si>
    <t>SBA 25/701</t>
  </si>
  <si>
    <t>SBA 25/702</t>
  </si>
  <si>
    <t>SBA 25/703</t>
  </si>
  <si>
    <t>Dr. Öğr. Üyesi İrem İYİGÜN</t>
  </si>
  <si>
    <t>SBA 25/704</t>
  </si>
  <si>
    <t>SBA 25/705</t>
  </si>
  <si>
    <t>SBA 25/706</t>
  </si>
  <si>
    <t>SBA 25/707</t>
  </si>
  <si>
    <t>Prof. Dr. Gökhan ÖZYİĞİT</t>
  </si>
  <si>
    <t>SBA 25/708</t>
  </si>
  <si>
    <t>SBA 25/709</t>
  </si>
  <si>
    <t>Prof. Dr. A. Elif ERSON BENSAN</t>
  </si>
  <si>
    <t>SBA 25/710</t>
  </si>
  <si>
    <t>SBA 25/711</t>
  </si>
  <si>
    <t>SBA 25/712</t>
  </si>
  <si>
    <t>SBA 25/713</t>
  </si>
  <si>
    <t>SBA 25/714</t>
  </si>
  <si>
    <t>SBA 25/715</t>
  </si>
  <si>
    <t>Dr. Öğr. Üyesi Özay GÖKÖZ</t>
  </si>
  <si>
    <t>SBA 25/716</t>
  </si>
  <si>
    <t>SBA 25/717</t>
  </si>
  <si>
    <t>SBA 25/718</t>
  </si>
  <si>
    <t>SBA 25/719</t>
  </si>
  <si>
    <t>Dr. Öğr. Üyesi Ali Can GÜNEŞ</t>
  </si>
  <si>
    <t>SBA 25/720</t>
  </si>
  <si>
    <t>SBA 25/721</t>
  </si>
  <si>
    <t>SBA 25/722</t>
  </si>
  <si>
    <t>SBA 25/723</t>
  </si>
  <si>
    <t>SBA 25/724</t>
  </si>
  <si>
    <t>SBA 25/725</t>
  </si>
  <si>
    <t>Prof. Dr. Tuncay HAZIROLAN</t>
  </si>
  <si>
    <t>SBA 25/726</t>
  </si>
  <si>
    <t>SBA 25/727</t>
  </si>
  <si>
    <t>SBA 25/728</t>
  </si>
  <si>
    <t>SBA 25/729</t>
  </si>
  <si>
    <t>SBA 25/730</t>
  </si>
  <si>
    <t>Öğr. Gör. Dt. İrem SÖZEN YANIK</t>
  </si>
  <si>
    <t>SBA 25/731</t>
  </si>
  <si>
    <t>SBA 25/732</t>
  </si>
  <si>
    <t>SBA 25/733</t>
  </si>
  <si>
    <t>SBA 25/734</t>
  </si>
  <si>
    <t>SBA 25/735</t>
  </si>
  <si>
    <t>SBA 25/736</t>
  </si>
  <si>
    <t>Öğr. Gör. Dr. Ece ÖZOĞUL</t>
  </si>
  <si>
    <t>SBA 25/737</t>
  </si>
  <si>
    <t>Psk. Dr. Buse ŞENCAN KARAKUŞ</t>
  </si>
  <si>
    <t>SBA 25/738</t>
  </si>
  <si>
    <t>SBA 25/739</t>
  </si>
  <si>
    <t>SBA 25/740</t>
  </si>
  <si>
    <t>SBA 25/741</t>
  </si>
  <si>
    <t>SBA 25/742</t>
  </si>
  <si>
    <t>Prof. Dr. Emre HURİ</t>
  </si>
  <si>
    <t>SBA 25/743</t>
  </si>
  <si>
    <t>SBA 25/744</t>
  </si>
  <si>
    <t>SBA 25/745</t>
  </si>
  <si>
    <t>SBA 25/746</t>
  </si>
  <si>
    <t>SBA 25/747</t>
  </si>
  <si>
    <t>SBA 25/748</t>
  </si>
  <si>
    <t>SBA 25/749</t>
  </si>
  <si>
    <t>SBA 25/750</t>
  </si>
  <si>
    <t>SBA 25/751</t>
  </si>
  <si>
    <t>SBA 25/752</t>
  </si>
  <si>
    <t>Doç. Dr. Zihni Ekim TAŞKIRAN</t>
  </si>
  <si>
    <t>SBA 25/753</t>
  </si>
  <si>
    <t>SBA 25/754</t>
  </si>
  <si>
    <t>SBA 25/755</t>
  </si>
  <si>
    <t>Prof. Dr. Ramazan AKÇAN</t>
  </si>
  <si>
    <t>SBA 25/756</t>
  </si>
  <si>
    <t>Prof. Dr. Elif Nursel ÖZMERT</t>
  </si>
  <si>
    <t>SBA 25/757</t>
  </si>
  <si>
    <t>SBA 25/758</t>
  </si>
  <si>
    <t>SBA 25/759</t>
  </si>
  <si>
    <t>Öğr. Gör. Dr. Aslı ALKAN</t>
  </si>
  <si>
    <t>SBA 25/760</t>
  </si>
  <si>
    <t>SBA 25/761</t>
  </si>
  <si>
    <t>SBA 25/762</t>
  </si>
  <si>
    <t>SBA 25/763</t>
  </si>
  <si>
    <t>SBA 25/764</t>
  </si>
  <si>
    <t>Prof. Dr. Bahar DOĞAN</t>
  </si>
  <si>
    <t>SBA 25/765</t>
  </si>
  <si>
    <t>SBA 25/766</t>
  </si>
  <si>
    <t>SBA 25/767</t>
  </si>
  <si>
    <t>SBA 25/768</t>
  </si>
  <si>
    <t>Prof. Dr. Cavit IŞIK</t>
  </si>
  <si>
    <t>SBA 25/769</t>
  </si>
  <si>
    <t>SBA 25/770</t>
  </si>
  <si>
    <t>Dr. Öğr. Üyesi Büşra KAPLAN</t>
  </si>
  <si>
    <t>SBA 25/771</t>
  </si>
  <si>
    <t>SBA 25/772</t>
  </si>
  <si>
    <t>SBA 25/773</t>
  </si>
  <si>
    <t>SBA 25/774</t>
  </si>
  <si>
    <t>SBA 25/775</t>
  </si>
  <si>
    <t>SBA 25/776</t>
  </si>
  <si>
    <t>SBA 25/777</t>
  </si>
  <si>
    <t>Prof. Dr. Dursun ALEHAN</t>
  </si>
  <si>
    <t>SBA 25/778</t>
  </si>
  <si>
    <t>Dr. Öğr. Üyesi Efecan ÇEKİÇ</t>
  </si>
  <si>
    <t>SBA 25/779</t>
  </si>
  <si>
    <t>SBA 25/780</t>
  </si>
  <si>
    <t>SBA 25/781</t>
  </si>
  <si>
    <t>SBA 25/782</t>
  </si>
  <si>
    <t>Doç. Dr. Neyran KERTMEN</t>
  </si>
  <si>
    <t>SBA 25/783</t>
  </si>
  <si>
    <t>SBA 25/784</t>
  </si>
  <si>
    <t>Doç. Dr. Ayşegül FIRAT</t>
  </si>
  <si>
    <t>SBA 25/785</t>
  </si>
  <si>
    <t>SBA 25/786</t>
  </si>
  <si>
    <t>SBA 25/787</t>
  </si>
  <si>
    <t>SBA 25/788</t>
  </si>
  <si>
    <t>SBA 25/789</t>
  </si>
  <si>
    <t>Dr. Öğr. Üyesi Mehmet YILDIRIM</t>
  </si>
  <si>
    <t>SBA 25/790</t>
  </si>
  <si>
    <t>SBA 25/791</t>
  </si>
  <si>
    <t>SBA 25/792</t>
  </si>
  <si>
    <t>SBA 25/793</t>
  </si>
  <si>
    <t>SBA 25/794</t>
  </si>
  <si>
    <t>SBA 25/795</t>
  </si>
  <si>
    <t>SBA 25/796</t>
  </si>
  <si>
    <t>SBA 25/797</t>
  </si>
  <si>
    <t>SBA 25/798</t>
  </si>
  <si>
    <t>SBA 25/799</t>
  </si>
  <si>
    <t>SBA 25/800</t>
  </si>
  <si>
    <t>SBA 25/801</t>
  </si>
  <si>
    <t>SBA 25/802</t>
  </si>
  <si>
    <t>SBA 25/803</t>
  </si>
  <si>
    <t>SBA 25/804</t>
  </si>
  <si>
    <t>SBA 25/805</t>
  </si>
  <si>
    <t>SBA 25/806</t>
  </si>
  <si>
    <t>SBA 25/807</t>
  </si>
  <si>
    <t>SBA 25/808</t>
  </si>
  <si>
    <t>Prof. Dr. Ali Bülent ÇANKAYA</t>
  </si>
  <si>
    <t>SBA 25/809</t>
  </si>
  <si>
    <t>SBA 25/810</t>
  </si>
  <si>
    <t>SBA 25/811</t>
  </si>
  <si>
    <t>SBA 25/812</t>
  </si>
  <si>
    <t>Prof. Dr. Bilgehan YALÇIN</t>
  </si>
  <si>
    <t>SBA 25/813</t>
  </si>
  <si>
    <t>SBA 25/814</t>
  </si>
  <si>
    <t>SBA 25/815</t>
  </si>
  <si>
    <t>Prof. Dr. Meltem AKKAŞ</t>
  </si>
  <si>
    <t>SBA 25/816</t>
  </si>
  <si>
    <t>SBA 25/817</t>
  </si>
  <si>
    <t>SBA 25/818</t>
  </si>
  <si>
    <t>Prof. Dr. Nilgün KURUCU</t>
  </si>
  <si>
    <t>748.</t>
  </si>
  <si>
    <t>SBA 25/819</t>
  </si>
  <si>
    <t>749.</t>
  </si>
  <si>
    <t>SBA 25/820</t>
  </si>
  <si>
    <t>750.</t>
  </si>
  <si>
    <t>SBA 25/821</t>
  </si>
  <si>
    <t>Prof. Dr. Sertaç AK</t>
  </si>
  <si>
    <t>751.</t>
  </si>
  <si>
    <t>SBA 25/822</t>
  </si>
  <si>
    <t>752.</t>
  </si>
  <si>
    <t>SBA 25/823</t>
  </si>
  <si>
    <t>753.</t>
  </si>
  <si>
    <t>SBA 25/824</t>
  </si>
  <si>
    <t>754.</t>
  </si>
  <si>
    <t>SBA 25/825</t>
  </si>
  <si>
    <t>755.</t>
  </si>
  <si>
    <t>SBA 25/826</t>
  </si>
  <si>
    <t>756.</t>
  </si>
  <si>
    <t>SBA 25/827</t>
  </si>
  <si>
    <t>757.</t>
  </si>
  <si>
    <t>SBA 25/828</t>
  </si>
  <si>
    <t>758.</t>
  </si>
  <si>
    <t>SBA 25/829</t>
  </si>
  <si>
    <t>759.</t>
  </si>
  <si>
    <t>SBA 25/830</t>
  </si>
  <si>
    <t>760.</t>
  </si>
  <si>
    <t>SBA 25/831</t>
  </si>
  <si>
    <t>761.</t>
  </si>
  <si>
    <t>SBA 25/832</t>
  </si>
  <si>
    <t>762.</t>
  </si>
  <si>
    <t>SBA 25/833</t>
  </si>
  <si>
    <t>763.</t>
  </si>
  <si>
    <t>SBA 25/834</t>
  </si>
  <si>
    <t>Doç. Dr. Zuhal AKÇÖREN</t>
  </si>
  <si>
    <t>764.</t>
  </si>
  <si>
    <t>SBA 25/835</t>
  </si>
  <si>
    <t>765.</t>
  </si>
  <si>
    <t>SBA 25/836</t>
  </si>
  <si>
    <t>766.</t>
  </si>
  <si>
    <t>SBA 25/837</t>
  </si>
  <si>
    <t>Doç. Dr. Ebru UÇAKTÜRK</t>
  </si>
  <si>
    <t>767.</t>
  </si>
  <si>
    <t>SBA 25/838</t>
  </si>
  <si>
    <t>768.</t>
  </si>
  <si>
    <t>SBA 25/839</t>
  </si>
  <si>
    <t>Doç. Dr. Emre ÜNAL</t>
  </si>
  <si>
    <t>769.</t>
  </si>
  <si>
    <t>SBA 25/840</t>
  </si>
  <si>
    <t>Prof. Dr. İlkan TATAR</t>
  </si>
  <si>
    <t>770.</t>
  </si>
  <si>
    <t>SBA 25/841</t>
  </si>
  <si>
    <t>771.</t>
  </si>
  <si>
    <t>SBA 25/842</t>
  </si>
  <si>
    <t>772.</t>
  </si>
  <si>
    <t>SBA 25/843</t>
  </si>
  <si>
    <t>Prof. Dr Deniz DOĞRU ERSÖZ</t>
  </si>
  <si>
    <t>773.</t>
  </si>
  <si>
    <t>SBA 25/844</t>
  </si>
  <si>
    <t>774.</t>
  </si>
  <si>
    <t>SBA 25/845</t>
  </si>
  <si>
    <t>Doç. Dr. Mehmet ÇELEĞEN</t>
  </si>
  <si>
    <t>775.</t>
  </si>
  <si>
    <t>SBA 25/846</t>
  </si>
  <si>
    <t>776.</t>
  </si>
  <si>
    <t>SBA 25/847</t>
  </si>
  <si>
    <t>777.</t>
  </si>
  <si>
    <t>SBA 25/848</t>
  </si>
  <si>
    <t>778.</t>
  </si>
  <si>
    <t>SBA 25/849</t>
  </si>
  <si>
    <t>779.</t>
  </si>
  <si>
    <t>SBA 25/850</t>
  </si>
  <si>
    <t>780.</t>
  </si>
  <si>
    <t>SBA 25/851</t>
  </si>
  <si>
    <t>781.</t>
  </si>
  <si>
    <t>SBA 25/852</t>
  </si>
  <si>
    <t>782.</t>
  </si>
  <si>
    <t>SBA 25/853</t>
  </si>
  <si>
    <t>783.</t>
  </si>
  <si>
    <t>SBA 25/854</t>
  </si>
  <si>
    <t>784.</t>
  </si>
  <si>
    <t>SBA 25/855</t>
  </si>
  <si>
    <t>785.</t>
  </si>
  <si>
    <t>SBA 25/856</t>
  </si>
  <si>
    <t>786.</t>
  </si>
  <si>
    <t>SBA 25/857</t>
  </si>
  <si>
    <t>787.</t>
  </si>
  <si>
    <t>SBA 25/858</t>
  </si>
  <si>
    <t>788.</t>
  </si>
  <si>
    <t>SBA 25/859</t>
  </si>
  <si>
    <t>789.</t>
  </si>
  <si>
    <t>SBA 25/860</t>
  </si>
  <si>
    <t>790.</t>
  </si>
  <si>
    <t>SBA 25/861</t>
  </si>
  <si>
    <t>Dr. Öğr. Üyesi Talat DEMİRSÖZ</t>
  </si>
  <si>
    <t>791.</t>
  </si>
  <si>
    <t>SBA 25/862</t>
  </si>
  <si>
    <t>Doç. Dr. Koray BAŞAR</t>
  </si>
  <si>
    <t>792.</t>
  </si>
  <si>
    <t>SBA 25/863</t>
  </si>
  <si>
    <t>793.</t>
  </si>
  <si>
    <t>SBA 25/864</t>
  </si>
  <si>
    <t>794.</t>
  </si>
  <si>
    <t>SBA 25/865</t>
  </si>
  <si>
    <t>795.</t>
  </si>
  <si>
    <t>SBA 25/866</t>
  </si>
  <si>
    <t>796.</t>
  </si>
  <si>
    <t>SBA 25/867</t>
  </si>
  <si>
    <t>797.</t>
  </si>
  <si>
    <t>SBA 25/868</t>
  </si>
  <si>
    <t>Doç. Dr. Oğuz KARCIOĞLU</t>
  </si>
  <si>
    <t>798.</t>
  </si>
  <si>
    <t>SBA 25/869</t>
  </si>
  <si>
    <t>799.</t>
  </si>
  <si>
    <t>SBA 25/870</t>
  </si>
  <si>
    <t>800.</t>
  </si>
  <si>
    <t>SBA 25/871</t>
  </si>
  <si>
    <t>801.</t>
  </si>
  <si>
    <t>SBA 25/872</t>
  </si>
  <si>
    <t>802.</t>
  </si>
  <si>
    <t>SBA 25/873</t>
  </si>
  <si>
    <t>803.</t>
  </si>
  <si>
    <t>SBA 25/874</t>
  </si>
  <si>
    <t>804.</t>
  </si>
  <si>
    <t>SBA 25/875</t>
  </si>
  <si>
    <t>805.</t>
  </si>
  <si>
    <t>SBA 25/876</t>
  </si>
  <si>
    <t>806.</t>
  </si>
  <si>
    <t>SBA 25/877</t>
  </si>
  <si>
    <t>807.</t>
  </si>
  <si>
    <t>SBA 25/878</t>
  </si>
  <si>
    <t>808.</t>
  </si>
  <si>
    <t>SBA 25/879</t>
  </si>
  <si>
    <t>809.</t>
  </si>
  <si>
    <t>SBA 25/880</t>
  </si>
  <si>
    <t>810.</t>
  </si>
  <si>
    <t>SBA 25/881</t>
  </si>
  <si>
    <t>811.</t>
  </si>
  <si>
    <t>SBA 25/882</t>
  </si>
  <si>
    <t>812.</t>
  </si>
  <si>
    <t>SBA 25/883</t>
  </si>
  <si>
    <t>Dr. Öğr. Üyesi Cihan ASLAN</t>
  </si>
  <si>
    <t>813.</t>
  </si>
  <si>
    <t>SBA 25/884</t>
  </si>
  <si>
    <t>814.</t>
  </si>
  <si>
    <t>SBA 25/885</t>
  </si>
  <si>
    <t>815.</t>
  </si>
  <si>
    <t>SBA 25/886</t>
  </si>
  <si>
    <t>816.</t>
  </si>
  <si>
    <t>SBA 25/887</t>
  </si>
  <si>
    <t>817.</t>
  </si>
  <si>
    <t>SBA 25/888</t>
  </si>
  <si>
    <t>818.</t>
  </si>
  <si>
    <t>SBA 25/889</t>
  </si>
  <si>
    <t>819.</t>
  </si>
  <si>
    <t>SBA 25/890</t>
  </si>
  <si>
    <t>820.</t>
  </si>
  <si>
    <t>SBA 25/891</t>
  </si>
  <si>
    <t>821.</t>
  </si>
  <si>
    <t>SBA 25/892</t>
  </si>
  <si>
    <t>822.</t>
  </si>
  <si>
    <t>SBA 25/893</t>
  </si>
  <si>
    <t>823.</t>
  </si>
  <si>
    <t>SBA 25/894</t>
  </si>
  <si>
    <t>Prof. Dr. Meryem Aslı TUNCER
Dr. Öğr. Üyesi Nazire Pınar ACAR ÖZEN</t>
  </si>
  <si>
    <t>824.</t>
  </si>
  <si>
    <t>SBA 25/895</t>
  </si>
  <si>
    <t>825.</t>
  </si>
  <si>
    <t>SBA 25/896</t>
  </si>
  <si>
    <t>826.</t>
  </si>
  <si>
    <t>SBA 25/897</t>
  </si>
  <si>
    <t>827.</t>
  </si>
  <si>
    <t>SBA 25/898</t>
  </si>
  <si>
    <t>828.</t>
  </si>
  <si>
    <t>SBA 25/899</t>
  </si>
  <si>
    <t>829.</t>
  </si>
  <si>
    <t>SBA 25/900</t>
  </si>
  <si>
    <t>830.</t>
  </si>
  <si>
    <t>SBA 25/901</t>
  </si>
  <si>
    <t>831.</t>
  </si>
  <si>
    <t>SBA 25/902</t>
  </si>
  <si>
    <t>832.</t>
  </si>
  <si>
    <t>SBA 25/903</t>
  </si>
  <si>
    <t>833.</t>
  </si>
  <si>
    <t>SBA 25/904</t>
  </si>
  <si>
    <t>834.</t>
  </si>
  <si>
    <t>SBA 25/905</t>
  </si>
  <si>
    <t>835.</t>
  </si>
  <si>
    <t>SBA 25/906</t>
  </si>
  <si>
    <t>836.</t>
  </si>
  <si>
    <t>SBA 25/907</t>
  </si>
  <si>
    <t>837.</t>
  </si>
  <si>
    <t>SBA 25/908</t>
  </si>
  <si>
    <t>838.</t>
  </si>
  <si>
    <t>SBA 25/909</t>
  </si>
  <si>
    <t>839.</t>
  </si>
  <si>
    <t>SBA 25/910</t>
  </si>
  <si>
    <t>840.</t>
  </si>
  <si>
    <t>SBA 25/911</t>
  </si>
  <si>
    <t>841.</t>
  </si>
  <si>
    <t>SBA 25/912</t>
  </si>
  <si>
    <t>842.</t>
  </si>
  <si>
    <t>SBA 25/913</t>
  </si>
  <si>
    <t>843.</t>
  </si>
  <si>
    <t>SBA 25/914</t>
  </si>
  <si>
    <t>844.</t>
  </si>
  <si>
    <t>SBA 25/915</t>
  </si>
  <si>
    <t>845.</t>
  </si>
  <si>
    <t>SBA 25/916</t>
  </si>
  <si>
    <t>846.</t>
  </si>
  <si>
    <t>SBA 25/917</t>
  </si>
  <si>
    <t>847.</t>
  </si>
  <si>
    <t>SBA 25/918</t>
  </si>
  <si>
    <t>848.</t>
  </si>
  <si>
    <t>SBA 25/919</t>
  </si>
  <si>
    <t>Prof. Dr. Sibel KADAYIFÇILAR</t>
  </si>
  <si>
    <t>849.</t>
  </si>
  <si>
    <t>SBA 25/920</t>
  </si>
  <si>
    <t>Prof. Dr. Aytekin AKYOL</t>
  </si>
  <si>
    <t>850.</t>
  </si>
  <si>
    <t>SBA 25/921</t>
  </si>
  <si>
    <t>851.</t>
  </si>
  <si>
    <t>SBA 25/922</t>
  </si>
  <si>
    <t>852.</t>
  </si>
  <si>
    <t>SBA 25/923</t>
  </si>
  <si>
    <t>853.</t>
  </si>
  <si>
    <t>SBA 25/924</t>
  </si>
  <si>
    <t>854.</t>
  </si>
  <si>
    <t>SBA 25/925</t>
  </si>
  <si>
    <t>855.</t>
  </si>
  <si>
    <t>SBA 25/926</t>
  </si>
  <si>
    <t>856.</t>
  </si>
  <si>
    <t>SBA 25/927</t>
  </si>
  <si>
    <t>857.</t>
  </si>
  <si>
    <t>SBA 25/928</t>
  </si>
  <si>
    <t>858.</t>
  </si>
  <si>
    <t>SBA 25/929</t>
  </si>
  <si>
    <t>859.</t>
  </si>
  <si>
    <t>SBA 25/930</t>
  </si>
  <si>
    <t>860.</t>
  </si>
  <si>
    <t>SBA 25/931</t>
  </si>
  <si>
    <t>861.</t>
  </si>
  <si>
    <t>SBA 25/932</t>
  </si>
  <si>
    <t>862.</t>
  </si>
  <si>
    <t>SBA 25/933</t>
  </si>
  <si>
    <t>863.</t>
  </si>
  <si>
    <t>SBA 25/934</t>
  </si>
  <si>
    <t>Prof. Dr. Hayyam KIRATLI</t>
  </si>
  <si>
    <t>864.</t>
  </si>
  <si>
    <t>SBA 25/935</t>
  </si>
  <si>
    <t>865.</t>
  </si>
  <si>
    <t>SBA 25/936</t>
  </si>
  <si>
    <t>866.</t>
  </si>
  <si>
    <t>SBA 25/937</t>
  </si>
  <si>
    <t>867.</t>
  </si>
  <si>
    <t>SBA 25/938</t>
  </si>
  <si>
    <t>868.</t>
  </si>
  <si>
    <t>SBA 25/939</t>
  </si>
  <si>
    <t>869.</t>
  </si>
  <si>
    <t>SBA 25/940</t>
  </si>
  <si>
    <t>870.</t>
  </si>
  <si>
    <t>SBA 25/941</t>
  </si>
  <si>
    <t>871.</t>
  </si>
  <si>
    <t>SBA 25/942</t>
  </si>
  <si>
    <t>872.</t>
  </si>
  <si>
    <t>SBA 25/943</t>
  </si>
  <si>
    <t>873.</t>
  </si>
  <si>
    <t>SBA 25/944</t>
  </si>
  <si>
    <t>874.</t>
  </si>
  <si>
    <t>SBA 25/945</t>
  </si>
  <si>
    <t>Öğr. Gör. Dr. Özge ÖZEN</t>
  </si>
  <si>
    <t>875.</t>
  </si>
  <si>
    <t>SBA 25/946</t>
  </si>
  <si>
    <t>876.</t>
  </si>
  <si>
    <t>SBA 25/947</t>
  </si>
  <si>
    <t>877.</t>
  </si>
  <si>
    <t>SBA 25/948</t>
  </si>
  <si>
    <t>878.</t>
  </si>
  <si>
    <t>SBA 25/949</t>
  </si>
  <si>
    <t>Doç. Dr. Ali BATUR</t>
  </si>
  <si>
    <t>879.</t>
  </si>
  <si>
    <t>SBA 25/950</t>
  </si>
  <si>
    <t>880.</t>
  </si>
  <si>
    <t>SBA 25/951</t>
  </si>
  <si>
    <t>881.</t>
  </si>
  <si>
    <t>SBA 25/952</t>
  </si>
  <si>
    <t>882.</t>
  </si>
  <si>
    <t>SBA 25/953</t>
  </si>
  <si>
    <t>883.</t>
  </si>
  <si>
    <t>SBA 25/954</t>
  </si>
  <si>
    <t>884.</t>
  </si>
  <si>
    <t>SBA 25/955</t>
  </si>
  <si>
    <t>885.</t>
  </si>
  <si>
    <t>SBA 25/956</t>
  </si>
  <si>
    <t>Doç. Dr. Elifcan ALADAĞ KARAKULAK</t>
  </si>
  <si>
    <t>886.</t>
  </si>
  <si>
    <t>SBA 25/957</t>
  </si>
  <si>
    <t>887.</t>
  </si>
  <si>
    <t>SBA 25/958</t>
  </si>
  <si>
    <t>888.</t>
  </si>
  <si>
    <t>SBA 25/959</t>
  </si>
  <si>
    <t>889.</t>
  </si>
  <si>
    <t>SBA 25/960</t>
  </si>
  <si>
    <t>890.</t>
  </si>
  <si>
    <t>SBA 25/961</t>
  </si>
  <si>
    <t>Doç. Dr. Gökhan SERT</t>
  </si>
  <si>
    <t>891.</t>
  </si>
  <si>
    <t>SBA 25/962</t>
  </si>
  <si>
    <t>892.</t>
  </si>
  <si>
    <t>SBA 25/963</t>
  </si>
  <si>
    <t>893.</t>
  </si>
  <si>
    <t>SBA 25/964</t>
  </si>
  <si>
    <t>894.</t>
  </si>
  <si>
    <t>SBA 25/965</t>
  </si>
  <si>
    <t>895.</t>
  </si>
  <si>
    <t>SBA 25/966</t>
  </si>
  <si>
    <t>896.</t>
  </si>
  <si>
    <t>SBA 25/967</t>
  </si>
  <si>
    <t>897.</t>
  </si>
  <si>
    <t>SBA 25/968</t>
  </si>
  <si>
    <t>Dr. Öğr. Üyesi Burçin HALAÇLI</t>
  </si>
  <si>
    <t>898.</t>
  </si>
  <si>
    <t>SBA 25/969</t>
  </si>
  <si>
    <t>899.</t>
  </si>
  <si>
    <t>SBA 25/970</t>
  </si>
  <si>
    <t>900.</t>
  </si>
  <si>
    <t>SBA 25/971</t>
  </si>
  <si>
    <t>Doç. Dr. Ahmet Erim PAMUL</t>
  </si>
  <si>
    <t>901.</t>
  </si>
  <si>
    <t>SBA 25/972</t>
  </si>
  <si>
    <t>902.</t>
  </si>
  <si>
    <t>SBA 25/973</t>
  </si>
  <si>
    <t>903.</t>
  </si>
  <si>
    <t>SBA 25/974</t>
  </si>
  <si>
    <t>904.</t>
  </si>
  <si>
    <t>SBA 25/975</t>
  </si>
  <si>
    <t>Prof. Dr. İlkay Sedakat İDİLMAN</t>
  </si>
  <si>
    <t>905.</t>
  </si>
  <si>
    <t>SBA 25/976</t>
  </si>
  <si>
    <t>906.</t>
  </si>
  <si>
    <t>SBA 25/977</t>
  </si>
  <si>
    <t>Prof. Dr. Benan BAYRAKCİ</t>
  </si>
  <si>
    <t>907.</t>
  </si>
  <si>
    <t>SBA 25/978</t>
  </si>
  <si>
    <t>Prof. Dr. Fatma YURT</t>
  </si>
  <si>
    <t>908.</t>
  </si>
  <si>
    <t>SBA 25/979</t>
  </si>
  <si>
    <t>909.</t>
  </si>
  <si>
    <t>SBA 25/980</t>
  </si>
  <si>
    <t>Doç. Dr. Gülşen TAŞDELEN TEKER</t>
  </si>
  <si>
    <t>910.</t>
  </si>
  <si>
    <t>SBA 25/981</t>
  </si>
  <si>
    <t>911.</t>
  </si>
  <si>
    <t>SBA 25/982</t>
  </si>
  <si>
    <t>912.</t>
  </si>
  <si>
    <t>SBA 25/983</t>
  </si>
  <si>
    <t>913.</t>
  </si>
  <si>
    <t>SBA 25/984</t>
  </si>
  <si>
    <t>914.</t>
  </si>
  <si>
    <t>SBA 25/985</t>
  </si>
  <si>
    <t>915.</t>
  </si>
  <si>
    <t>SBA 25/986</t>
  </si>
  <si>
    <t>916.</t>
  </si>
  <si>
    <t>SBA 25/987</t>
  </si>
  <si>
    <t>Dr. Öğr. Üyesi Selin ARDALI DÜZEGÜN</t>
  </si>
  <si>
    <t>917.</t>
  </si>
  <si>
    <t>SBA 25/988</t>
  </si>
  <si>
    <t>918.</t>
  </si>
  <si>
    <t>SBA 25/989</t>
  </si>
  <si>
    <t>919.</t>
  </si>
  <si>
    <t>SBA 25/990</t>
  </si>
  <si>
    <t>Arş. Gör. Dr. Evrim AKSU MENGEŞ</t>
  </si>
  <si>
    <t>920.</t>
  </si>
  <si>
    <t>SBA 25/991</t>
  </si>
  <si>
    <t>921.</t>
  </si>
  <si>
    <t>SBA 25/992</t>
  </si>
  <si>
    <t>Prof. Dr. Ömer KARADAĞ
Doç. Dr. Mesut ALTAN</t>
  </si>
  <si>
    <t>922.</t>
  </si>
  <si>
    <t>SBA 25/993</t>
  </si>
  <si>
    <t>923.</t>
  </si>
  <si>
    <t>SBA 25/994</t>
  </si>
  <si>
    <t>924.</t>
  </si>
  <si>
    <t>SBA 25/995</t>
  </si>
  <si>
    <t>925.</t>
  </si>
  <si>
    <t>SBA 25/996</t>
  </si>
  <si>
    <t>926.</t>
  </si>
  <si>
    <t>SBA 25/997</t>
  </si>
  <si>
    <t>927.</t>
  </si>
  <si>
    <t>SBA 25/998</t>
  </si>
  <si>
    <t>928.</t>
  </si>
  <si>
    <t>SBA 25/999</t>
  </si>
  <si>
    <t>Prof. Dr. Mukaddes GÜRLER</t>
  </si>
  <si>
    <t>929.</t>
  </si>
  <si>
    <t>SBA 25/1000</t>
  </si>
  <si>
    <t>930.</t>
  </si>
  <si>
    <t>SBA 25/1001</t>
  </si>
  <si>
    <t>931.</t>
  </si>
  <si>
    <t>SBA 25/1002</t>
  </si>
  <si>
    <t>932.</t>
  </si>
  <si>
    <t>SBA 25/1003</t>
  </si>
  <si>
    <t>933.</t>
  </si>
  <si>
    <t>SBA 25/1004</t>
  </si>
  <si>
    <t>934.</t>
  </si>
  <si>
    <t>SBA 25/1005</t>
  </si>
  <si>
    <t>Doç. Dr.Utku AKGÖR</t>
  </si>
  <si>
    <t>935.</t>
  </si>
  <si>
    <t>SBA 25/1006</t>
  </si>
  <si>
    <t>936.</t>
  </si>
  <si>
    <t>SBA 25/1007</t>
  </si>
  <si>
    <t>937.</t>
  </si>
  <si>
    <t>SBA 25/1008</t>
  </si>
  <si>
    <t>938.</t>
  </si>
  <si>
    <t>SBA 25/1009</t>
  </si>
  <si>
    <t>939.</t>
  </si>
  <si>
    <t>SBA 25/1010</t>
  </si>
  <si>
    <t>940.</t>
  </si>
  <si>
    <t>SBA 25/1011</t>
  </si>
  <si>
    <t>941.</t>
  </si>
  <si>
    <t>SBA 25/1012</t>
  </si>
  <si>
    <t>942.</t>
  </si>
  <si>
    <t>SBA 25/1013</t>
  </si>
  <si>
    <t>943.</t>
  </si>
  <si>
    <t>SBA 25/1014</t>
  </si>
  <si>
    <t>Öğr. Gör. Dr. Doğukan DOĞU</t>
  </si>
  <si>
    <t>944.</t>
  </si>
  <si>
    <t>SBA 25/1015</t>
  </si>
  <si>
    <t>945.</t>
  </si>
  <si>
    <t>SBA 25/1016</t>
  </si>
  <si>
    <t>946.</t>
  </si>
  <si>
    <t>SBA 25/1017</t>
  </si>
  <si>
    <t>Prof. Dr. İbrahim ESİNLER</t>
  </si>
  <si>
    <t>947.</t>
  </si>
  <si>
    <t>SBA 25/1018</t>
  </si>
  <si>
    <t>Öğr. Gör. Dr. Demet YABANOĞLU</t>
  </si>
  <si>
    <t>948.</t>
  </si>
  <si>
    <t>SBA 25/1019</t>
  </si>
  <si>
    <t>Doç. Dr. Ayşegül ERTUĞRUL</t>
  </si>
  <si>
    <t>949.</t>
  </si>
  <si>
    <t>SBA 25/1020</t>
  </si>
  <si>
    <t>950.</t>
  </si>
  <si>
    <t>SBA 25/1021</t>
  </si>
  <si>
    <t>951.</t>
  </si>
  <si>
    <t>SBA 25/1022</t>
  </si>
  <si>
    <t>952.</t>
  </si>
  <si>
    <t>SBA 25/1023</t>
  </si>
  <si>
    <t>953.</t>
  </si>
  <si>
    <t>SBA 25/1024</t>
  </si>
  <si>
    <t>Öğr. Gör. Dr. Özge ÖZTÜRK AKTAŞ</t>
  </si>
  <si>
    <t>954.</t>
  </si>
  <si>
    <t>SBA 25/1025</t>
  </si>
  <si>
    <t>955.</t>
  </si>
  <si>
    <t>SBA 25/1026</t>
  </si>
  <si>
    <t>956.</t>
  </si>
  <si>
    <t>SBA 25/1027</t>
  </si>
  <si>
    <t>957.</t>
  </si>
  <si>
    <t>SBA 25/1028</t>
  </si>
  <si>
    <t>958.</t>
  </si>
  <si>
    <t>SBA 25/1029</t>
  </si>
  <si>
    <t>959.</t>
  </si>
  <si>
    <t>SBA 25/1030</t>
  </si>
  <si>
    <t>960.</t>
  </si>
  <si>
    <t>SBA 25/1031</t>
  </si>
  <si>
    <t>961.</t>
  </si>
  <si>
    <t>SBA 25/1032</t>
  </si>
  <si>
    <t>962.</t>
  </si>
  <si>
    <t>SBA 25/1033</t>
  </si>
  <si>
    <t>963.</t>
  </si>
  <si>
    <t>SBA 25/1034</t>
  </si>
  <si>
    <t>Prof. Dr. Tülin TANER</t>
  </si>
  <si>
    <t>964.</t>
  </si>
  <si>
    <t>SBA 25/1035</t>
  </si>
  <si>
    <t>965.</t>
  </si>
  <si>
    <t>SBA 25/1036</t>
  </si>
  <si>
    <t>966.</t>
  </si>
  <si>
    <t>SBA 25/1037</t>
  </si>
  <si>
    <t>967.</t>
  </si>
  <si>
    <t>SBA 25/1038</t>
  </si>
  <si>
    <t>968.</t>
  </si>
  <si>
    <t>SBA 25/1039</t>
  </si>
  <si>
    <t>969.</t>
  </si>
  <si>
    <t>SBA 25/1040</t>
  </si>
  <si>
    <t>970.</t>
  </si>
  <si>
    <t>SBA 25/1041</t>
  </si>
  <si>
    <t>971.</t>
  </si>
  <si>
    <t>SBA 25/1042</t>
  </si>
  <si>
    <t>Dr. Öğr. Üyesi İrem SÖZEN YANIK</t>
  </si>
  <si>
    <t>972.</t>
  </si>
  <si>
    <t>SBA 25/1043</t>
  </si>
  <si>
    <t>Öğr. Gör. Dilara ŞAHİN HAZIR</t>
  </si>
  <si>
    <t>973.</t>
  </si>
  <si>
    <t>SBA 25/1044</t>
  </si>
  <si>
    <t>974.</t>
  </si>
  <si>
    <t>SBA 25/1045</t>
  </si>
  <si>
    <t>Prof. Dr. Murat GÜVENER</t>
  </si>
  <si>
    <t>975.</t>
  </si>
  <si>
    <t>SBA 25/1046</t>
  </si>
  <si>
    <t>976.</t>
  </si>
  <si>
    <t>SBA 25/1047</t>
  </si>
  <si>
    <t>977.</t>
  </si>
  <si>
    <t>SBA 25/1048</t>
  </si>
  <si>
    <t>Dr. Öğr. Üyesi İYİGÜN</t>
  </si>
  <si>
    <t>978.</t>
  </si>
  <si>
    <t>SBA 25/1049</t>
  </si>
  <si>
    <t>979.</t>
  </si>
  <si>
    <t>SBA 25/1050</t>
  </si>
  <si>
    <t>Doç. Dr. Aysun ANKAY YILBAŞ</t>
  </si>
  <si>
    <t>980.</t>
  </si>
  <si>
    <t>SBA 25/1051</t>
  </si>
  <si>
    <t>981.</t>
  </si>
  <si>
    <t>SBA 25/1052</t>
  </si>
  <si>
    <t>982.</t>
  </si>
  <si>
    <t>SBA 25/1053</t>
  </si>
  <si>
    <t>983.</t>
  </si>
  <si>
    <t>SBA 25/1054</t>
  </si>
  <si>
    <t>984.</t>
  </si>
  <si>
    <t>SBA 25/1055</t>
  </si>
  <si>
    <t>985.</t>
  </si>
  <si>
    <t>SBA 25/1056</t>
  </si>
  <si>
    <t>986.</t>
  </si>
  <si>
    <t>SBA 25/1057</t>
  </si>
  <si>
    <t>987.</t>
  </si>
  <si>
    <t>SBA 25/1058</t>
  </si>
  <si>
    <t>988.</t>
  </si>
  <si>
    <t>SBA 25/1059</t>
  </si>
  <si>
    <t>989.</t>
  </si>
  <si>
    <t>SBA 25/1060</t>
  </si>
  <si>
    <t>990.</t>
  </si>
  <si>
    <t>SBA 25/1061</t>
  </si>
  <si>
    <t>991.</t>
  </si>
  <si>
    <t>SBA 25/1062</t>
  </si>
  <si>
    <t>Öğr. Gör. Dr. Volkan ARSLAN</t>
  </si>
  <si>
    <t>992.</t>
  </si>
  <si>
    <t>SBA 25/1063</t>
  </si>
  <si>
    <t>993.</t>
  </si>
  <si>
    <t>SBA 25/1064</t>
  </si>
  <si>
    <t>994.</t>
  </si>
  <si>
    <t>SBA 25/1065</t>
  </si>
  <si>
    <t>995.</t>
  </si>
  <si>
    <t>SBA 25/1066</t>
  </si>
  <si>
    <t>996.</t>
  </si>
  <si>
    <t>SBA 25/1067</t>
  </si>
  <si>
    <t>997.</t>
  </si>
  <si>
    <t>SBA 25/1068</t>
  </si>
  <si>
    <t>998.</t>
  </si>
  <si>
    <t>SBA 25/1069</t>
  </si>
  <si>
    <t>999.</t>
  </si>
  <si>
    <t>SBA 25/1070</t>
  </si>
  <si>
    <t>Dr. Öğr. Üyesi Eda Ezgi ASLANTAŞ</t>
  </si>
  <si>
    <t>1000.</t>
  </si>
  <si>
    <t>SBA 25/1071</t>
  </si>
  <si>
    <t>1001.</t>
  </si>
  <si>
    <t>SBA 25/1072</t>
  </si>
  <si>
    <t>Doç. Dr. Ersin GÜMÜŞ</t>
  </si>
  <si>
    <t>1002.</t>
  </si>
  <si>
    <t>SBA 25/1073</t>
  </si>
  <si>
    <t>1003.</t>
  </si>
  <si>
    <t>SBA 25/1074</t>
  </si>
  <si>
    <t>1004.</t>
  </si>
  <si>
    <t>SBA 25/1075</t>
  </si>
  <si>
    <t>1005.</t>
  </si>
  <si>
    <t>SBA 25/1076</t>
  </si>
  <si>
    <t>1006.</t>
  </si>
  <si>
    <t>SBA 25/1077</t>
  </si>
  <si>
    <t>1007.</t>
  </si>
  <si>
    <t>SBA 25/1078</t>
  </si>
  <si>
    <t>1008.</t>
  </si>
  <si>
    <t>SBA 25/1079</t>
  </si>
  <si>
    <t>1009.</t>
  </si>
  <si>
    <t>SBA 25/1080</t>
  </si>
  <si>
    <t>1010.</t>
  </si>
  <si>
    <t>SBA 25/1081</t>
  </si>
  <si>
    <t>Üniversitemiz Tıp Fakültesi Kardiyoloji Anabilim Dalı öğretim üyelerinden Prof. Dr. Uğur CANPOLAT’ın sorumlu araştırmacı olduğu, Arş. Gör. Dr. Elnur İMAMALİYEV ile birlikte çalışacakları,</t>
  </si>
  <si>
    <t>“Kalp Yetersizliği ve Sol Dal Bloğu Olan Hastalarda Sol Dal Alanı Pace Yöntemiyle CRT Sonrası Pace Ritmi Altında Bazal QTc'yi Öngören Elektrokardiyografik Parametreler ve Düzeltme Formüllerinin İncelenmesi”</t>
  </si>
  <si>
    <t>Üniversitemiz Tıp Fakültesi Çocuk Sağlığı ve Hastalıkları Anabilim Dalı öğretim üyelerinden Prof. Dr. Bora GÜLHAN’ın sorumlu araştırmacı olduğu, Prof. Dr. Fatih ÖZALTIN ve Doç. Dr. Eda Didem KURT ŞÜKÜR ile birlikte çalışacakları,</t>
  </si>
  <si>
    <t>“Diacilgliserol Kinaz Epsilon Mutasyonu lliskili Nefropatisi Olan Cocuk Hastaların Analizi”</t>
  </si>
  <si>
    <t>“Dikkat Eksikliği Hiperaktivite Bozukluğu Tedavisi İçin Metilfenidat Kullanan Üstün Zekalı Çocukların Psikiyatrik Özellikleri”</t>
  </si>
  <si>
    <t>Üniversitemiz Tıp Fakültesi Çocuk ve Ergen Ruh Sağlığı ve Hastalıkları Anabilim Dalı öğretim görevlilerinden Öğr. Gör. Dr. Buket KILIÇ’ın sorumlu araştırmacı olduğu,</t>
  </si>
  <si>
    <t>Üniversitemiz Tıp Fakültesi Çocuk ve Ergen Ruh Sağlığı ve Hastalıkları Anabilim Dalı öğretim elemanlarından Öğr. Gör. Dr. Buket KILIÇ’ın sorumlu araştırmacı olduğu; Doç. Dr. Burcu ERSÖZ ALAN, Arş. Gör. Dr. Ayşe Ekin YİĞİT ve Arş. Gör. Dr. Sevim GENCEL KARAASLAN ile birlikte çalışacakları,</t>
  </si>
  <si>
    <t>Üniversitemiz Tıp Fakültesi Ruh Sağlığı ve Hastalıkları Anabilim Dalı öğretim üyelerinden Dr. Öğr. Üyesi Hayri Can ÖZDEN’in sorumlu araştırmacı olduğu, Arş. Gör. Dr. Miray FURUNCU, Prof. Dr. Cem ATBAŞOĞLU ve Prof. Dr. Başaran DEMİR ile birlikte çalışacakları,</t>
  </si>
  <si>
    <t>“Sınırda Kişilik Bozukluğunda Otistik Özelliklerin Rolü: Duygu Düzenleme, Dürtüsellik, Mentalizasyon, Çocukluk Çağı Travma Süreçlerinin Karşılaştırmalı Analizi”</t>
  </si>
  <si>
    <t>Üniversitemiz Diş Hekimliği Fakültesi Restoratif Diş Tedavisi Anabilim Dalı öğretim üyelerinden Prof. Dr. Filiz YALÇIN ÇAKIR’ın sorumlu araştırmacı olduğu, Doç. Dr. Ece MERAL, Dr. Öğr. Üyesi Aybüke USLU TEKCE ve Arş. Gör. Dt. Betül KESİM ile birlikte çalışacakları,</t>
  </si>
  <si>
    <t>“%6 Hidrojen Peroksit İçerikli Beyazlatma/Remineralizasyon Ajanının in vitro Koşullarda Etkinliğinin Karşılaştırmalı Olarak Değerlendirilmesi”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</si>
</sst>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quot;Son güncelleme: &quot;dd/mm/yyyy"/>
    <numFmt numFmtId="165" formatCode="m/d/yyyy"/>
    <numFmt numFmtId="166" formatCode="[$-F800]dddd&quot;, &quot;mmmm\ dd&quot;, &quot;yyyy"/>
    <numFmt numFmtId="167" formatCode="dd\.mm\.yyyy"/>
    <numFmt numFmtId="168" formatCode="0.0%"/>
  </numFmts>
  <fonts count="83" x14ac:knownFonts="1">
    <font>
      <sz val="11"/>
      <color theme="1"/>
      <name val="Calibri"/>
      <family val="2"/>
      <charset val="162"/>
    </font>
    <font>
      <sz val="11"/>
      <color theme="1"/>
      <name val="Calibri"/>
      <family val="2"/>
      <charset val="1"/>
    </font>
    <font>
      <b/>
      <sz val="11"/>
      <color theme="1"/>
      <name val="Calibri"/>
      <family val="2"/>
      <charset val="162"/>
    </font>
    <font>
      <b/>
      <sz val="14"/>
      <color rgb="FFFFFFFF"/>
      <name val="Calibri"/>
      <family val="2"/>
      <charset val="162"/>
    </font>
    <font>
      <b/>
      <sz val="11"/>
      <color rgb="FFFFFFFF"/>
      <name val="Calibri"/>
      <family val="2"/>
      <charset val="162"/>
    </font>
    <font>
      <b/>
      <sz val="10"/>
      <color rgb="FF1B3A4B"/>
      <name val="Calibri"/>
      <family val="2"/>
      <charset val="162"/>
    </font>
    <font>
      <b/>
      <sz val="11"/>
      <color rgb="FF1B3A4B"/>
      <name val="Calibri"/>
      <family val="2"/>
      <charset val="162"/>
    </font>
    <font>
      <i/>
      <sz val="9"/>
      <color rgb="FF555555"/>
      <name val="Calibri"/>
      <family val="2"/>
      <charset val="162"/>
    </font>
    <font>
      <b/>
      <sz val="10"/>
      <color theme="5" tint="-0.249977111117893"/>
      <name val="Calibri"/>
      <family val="2"/>
      <charset val="162"/>
    </font>
    <font>
      <b/>
      <sz val="11"/>
      <color rgb="FF1A1814"/>
      <name val="Calibri"/>
      <family val="2"/>
      <charset val="162"/>
    </font>
    <font>
      <i/>
      <sz val="9"/>
      <color rgb="FF1B3A4B"/>
      <name val="Calibri"/>
      <family val="2"/>
      <charset val="162"/>
    </font>
    <font>
      <sz val="9"/>
      <color rgb="FF1B3A4B"/>
      <name val="Calibri"/>
      <family val="2"/>
      <charset val="162"/>
    </font>
    <font>
      <sz val="10"/>
      <color rgb="FF1A1814"/>
      <name val="Calibri"/>
      <family val="2"/>
      <charset val="162"/>
    </font>
    <font>
      <i/>
      <sz val="8"/>
      <color rgb="FF888888"/>
      <name val="Calibri"/>
      <family val="2"/>
      <charset val="162"/>
    </font>
    <font>
      <b/>
      <sz val="9"/>
      <color rgb="FFFFFFFF"/>
      <name val="Calibri"/>
      <family val="2"/>
      <charset val="162"/>
    </font>
    <font>
      <b/>
      <sz val="12"/>
      <color theme="1"/>
      <name val="Times New Roman"/>
      <family val="1"/>
      <charset val="162"/>
    </font>
    <font>
      <sz val="12"/>
      <color theme="1"/>
      <name val="Times New Roman"/>
      <family val="1"/>
      <charset val="162"/>
    </font>
    <font>
      <sz val="12"/>
      <name val="Times New Roman"/>
      <family val="1"/>
      <charset val="162"/>
    </font>
    <font>
      <b/>
      <sz val="16"/>
      <color theme="0"/>
      <name val="Times New Roman"/>
      <family val="1"/>
      <charset val="162"/>
    </font>
    <font>
      <b/>
      <sz val="12"/>
      <color rgb="FFFFFF00"/>
      <name val="Times New Roman"/>
      <family val="1"/>
      <charset val="162"/>
    </font>
    <font>
      <b/>
      <sz val="10"/>
      <color rgb="FFFFFFFF"/>
      <name val="Arial"/>
      <family val="2"/>
      <charset val="162"/>
    </font>
    <font>
      <sz val="10"/>
      <name val="Arial"/>
      <family val="2"/>
      <charset val="162"/>
    </font>
    <font>
      <i/>
      <sz val="8"/>
      <color rgb="FF9C9C9C"/>
      <name val="Calibri"/>
      <family val="2"/>
      <charset val="162"/>
    </font>
    <font>
      <sz val="12"/>
      <color rgb="FFFFFF00"/>
      <name val="Times New Roman"/>
      <family val="1"/>
      <charset val="162"/>
    </font>
    <font>
      <b/>
      <sz val="12"/>
      <name val="Times New Roman"/>
      <family val="1"/>
      <charset val="162"/>
    </font>
    <font>
      <sz val="20"/>
      <color theme="0"/>
      <name val="Times New Roman"/>
      <family val="1"/>
      <charset val="162"/>
    </font>
    <font>
      <b/>
      <sz val="20"/>
      <color rgb="FFFFFF00"/>
      <name val="Times New Roman"/>
      <family val="1"/>
      <charset val="162"/>
    </font>
    <font>
      <i/>
      <sz val="9"/>
      <color rgb="FF595959"/>
      <name val="Arial"/>
      <family val="2"/>
      <charset val="162"/>
    </font>
    <font>
      <b/>
      <sz val="10"/>
      <color rgb="FFC00000"/>
      <name val="Arial"/>
      <family val="2"/>
      <charset val="162"/>
    </font>
    <font>
      <sz val="9"/>
      <color rgb="FF595959"/>
      <name val="Arial"/>
      <family val="2"/>
      <charset val="162"/>
    </font>
    <font>
      <b/>
      <sz val="9"/>
      <color rgb="FFC00000"/>
      <name val="Arial"/>
      <family val="2"/>
      <charset val="162"/>
    </font>
    <font>
      <b/>
      <sz val="13"/>
      <color rgb="FFFFFFFF"/>
      <name val="Arial"/>
      <family val="2"/>
      <charset val="162"/>
    </font>
    <font>
      <i/>
      <sz val="9"/>
      <color rgb="FF404040"/>
      <name val="Arial"/>
      <family val="2"/>
      <charset val="162"/>
    </font>
    <font>
      <b/>
      <sz val="11"/>
      <color rgb="FFFFFFFF"/>
      <name val="Arial"/>
      <family val="2"/>
      <charset val="162"/>
    </font>
    <font>
      <b/>
      <sz val="10"/>
      <name val="Arial"/>
      <family val="2"/>
      <charset val="162"/>
    </font>
    <font>
      <b/>
      <sz val="11"/>
      <color rgb="FF1F3864"/>
      <name val="Arial"/>
      <family val="2"/>
      <charset val="162"/>
    </font>
    <font>
      <sz val="14"/>
      <color theme="1"/>
      <name val="Times New Roman"/>
      <family val="1"/>
      <charset val="162"/>
    </font>
    <font>
      <b/>
      <sz val="16"/>
      <color rgb="FFFFFF00"/>
      <name val="Times New Roman"/>
      <family val="1"/>
      <charset val="162"/>
    </font>
    <font>
      <b/>
      <sz val="14"/>
      <color rgb="FFFFFFFF"/>
      <name val="Times New Roman"/>
      <family val="1"/>
      <charset val="162"/>
    </font>
    <font>
      <sz val="16"/>
      <color theme="1"/>
      <name val="Times New Roman"/>
      <family val="1"/>
      <charset val="162"/>
    </font>
    <font>
      <b/>
      <sz val="16"/>
      <color rgb="FF002060"/>
      <name val="Times New Roman"/>
      <family val="1"/>
      <charset val="162"/>
    </font>
    <font>
      <sz val="16"/>
      <color rgb="FF002060"/>
      <name val="Times New Roman"/>
      <family val="1"/>
      <charset val="162"/>
    </font>
    <font>
      <sz val="14"/>
      <color rgb="FF002060"/>
      <name val="Times New Roman"/>
      <family val="1"/>
      <charset val="162"/>
    </font>
    <font>
      <sz val="24"/>
      <color rgb="FF002060"/>
      <name val="Times New Roman"/>
      <family val="1"/>
      <charset val="162"/>
    </font>
    <font>
      <sz val="14"/>
      <color rgb="FFC8502A"/>
      <name val="Times New Roman"/>
      <family val="1"/>
      <charset val="162"/>
    </font>
    <font>
      <sz val="14"/>
      <color rgb="FF4527A0"/>
      <name val="Times New Roman"/>
      <family val="1"/>
      <charset val="162"/>
    </font>
    <font>
      <b/>
      <sz val="26"/>
      <color rgb="FFFFFF00"/>
      <name val="Times New Roman"/>
      <family val="1"/>
      <charset val="162"/>
    </font>
    <font>
      <sz val="26"/>
      <color theme="1"/>
      <name val="Times New Roman"/>
      <family val="1"/>
      <charset val="162"/>
    </font>
    <font>
      <b/>
      <sz val="26"/>
      <color theme="1"/>
      <name val="Times New Roman"/>
      <family val="1"/>
      <charset val="162"/>
    </font>
    <font>
      <b/>
      <sz val="12"/>
      <color rgb="FF002060"/>
      <name val="Times New Roman"/>
      <family val="1"/>
      <charset val="162"/>
    </font>
    <font>
      <b/>
      <sz val="12"/>
      <color rgb="FFFFFFFF"/>
      <name val="Calibri"/>
      <family val="2"/>
      <charset val="162"/>
    </font>
    <font>
      <i/>
      <sz val="9"/>
      <color rgb="FFFFFFFF"/>
      <name val="Calibri"/>
      <family val="2"/>
      <charset val="162"/>
    </font>
    <font>
      <b/>
      <sz val="8"/>
      <color rgb="FFFFFFFF"/>
      <name val="Calibri"/>
      <family val="2"/>
      <charset val="162"/>
    </font>
    <font>
      <b/>
      <sz val="10"/>
      <color rgb="FFFFFFFF"/>
      <name val="Calibri"/>
      <family val="2"/>
      <charset val="162"/>
    </font>
    <font>
      <b/>
      <sz val="8"/>
      <color rgb="FF1B5E20"/>
      <name val="Calibri"/>
      <family val="2"/>
      <charset val="162"/>
    </font>
    <font>
      <b/>
      <sz val="8"/>
      <color rgb="FFE65100"/>
      <name val="Calibri"/>
      <family val="2"/>
      <charset val="162"/>
    </font>
    <font>
      <b/>
      <sz val="8"/>
      <color rgb="FF4527A0"/>
      <name val="Calibri"/>
      <family val="2"/>
      <charset val="162"/>
    </font>
    <font>
      <b/>
      <sz val="8"/>
      <color rgb="FF1565C0"/>
      <name val="Calibri"/>
      <family val="2"/>
      <charset val="162"/>
    </font>
    <font>
      <b/>
      <sz val="8"/>
      <color rgb="FFC62828"/>
      <name val="Calibri"/>
      <family val="2"/>
      <charset val="162"/>
    </font>
    <font>
      <b/>
      <sz val="8"/>
      <color rgb="FF616161"/>
      <name val="Calibri"/>
      <family val="2"/>
      <charset val="162"/>
    </font>
    <font>
      <b/>
      <sz val="8"/>
      <color rgb="FF795548"/>
      <name val="Calibri"/>
      <family val="2"/>
      <charset val="162"/>
    </font>
    <font>
      <sz val="7"/>
      <color rgb="FF999999"/>
      <name val="Calibri"/>
      <family val="2"/>
      <charset val="162"/>
    </font>
    <font>
      <sz val="8"/>
      <color rgb="FF757575"/>
      <name val="Calibri"/>
      <family val="2"/>
      <charset val="162"/>
    </font>
    <font>
      <sz val="9"/>
      <color rgb="FF1A1814"/>
      <name val="Calibri"/>
      <family val="2"/>
      <charset val="162"/>
    </font>
    <font>
      <sz val="9"/>
      <color rgb="FF2D6A8A"/>
      <name val="Calibri"/>
      <family val="2"/>
      <charset val="162"/>
    </font>
    <font>
      <sz val="9"/>
      <color rgb="FF1B5E20"/>
      <name val="Calibri"/>
      <family val="2"/>
      <charset val="162"/>
    </font>
    <font>
      <sz val="9"/>
      <color rgb="FFE65100"/>
      <name val="Calibri"/>
      <family val="2"/>
      <charset val="162"/>
    </font>
    <font>
      <sz val="9"/>
      <color rgb="FF4527A0"/>
      <name val="Calibri"/>
      <family val="2"/>
      <charset val="162"/>
    </font>
    <font>
      <sz val="9"/>
      <color rgb="FF1565C0"/>
      <name val="Calibri"/>
      <family val="2"/>
      <charset val="162"/>
    </font>
    <font>
      <sz val="9"/>
      <color rgb="FFC62828"/>
      <name val="Calibri"/>
      <family val="2"/>
      <charset val="162"/>
    </font>
    <font>
      <sz val="9"/>
      <color rgb="FF616161"/>
      <name val="Calibri"/>
      <family val="2"/>
      <charset val="162"/>
    </font>
    <font>
      <sz val="9"/>
      <color rgb="FF795548"/>
      <name val="Calibri"/>
      <family val="2"/>
      <charset val="162"/>
    </font>
    <font>
      <sz val="8"/>
      <color rgb="FF999999"/>
      <name val="Calibri"/>
      <family val="2"/>
      <charset val="162"/>
    </font>
    <font>
      <sz val="9"/>
      <color rgb="FF404040"/>
      <name val="Arial"/>
      <family val="2"/>
      <charset val="162"/>
    </font>
    <font>
      <b/>
      <sz val="9"/>
      <color rgb="FFFFFFFF"/>
      <name val="Arial"/>
      <family val="2"/>
      <charset val="162"/>
    </font>
    <font>
      <sz val="9"/>
      <color rgb="FF000000"/>
      <name val="Arial"/>
      <family val="2"/>
      <charset val="162"/>
    </font>
    <font>
      <sz val="9"/>
      <name val="Arial"/>
      <family val="2"/>
      <charset val="162"/>
    </font>
    <font>
      <b/>
      <sz val="9"/>
      <color rgb="FF1F4E79"/>
      <name val="Arial"/>
      <family val="2"/>
      <charset val="162"/>
    </font>
    <font>
      <i/>
      <sz val="8"/>
      <color rgb="FF757575"/>
      <name val="Cambria"/>
      <family val="1"/>
      <charset val="162"/>
    </font>
    <font>
      <i/>
      <sz val="9"/>
      <color rgb="FF757575"/>
      <name val="Calibri"/>
      <family val="2"/>
      <charset val="162"/>
    </font>
    <font>
      <sz val="10"/>
      <name val="Arial"/>
      <family val="2"/>
    </font>
    <font>
      <sz val="16"/>
      <color rgb="FFFFFF00"/>
      <name val="Times New Roman"/>
      <family val="1"/>
      <charset val="162"/>
    </font>
    <font>
      <sz val="11"/>
      <color theme="1"/>
      <name val="Calibri"/>
      <family val="2"/>
      <charset val="162"/>
    </font>
  </fonts>
  <fills count="40">
    <fill>
      <patternFill patternType="none"/>
    </fill>
    <fill>
      <patternFill patternType="gray125"/>
    </fill>
    <fill>
      <patternFill patternType="solid">
        <fgColor rgb="FF1A384A"/>
        <bgColor rgb="FF1B3A4B"/>
      </patternFill>
    </fill>
    <fill>
      <patternFill patternType="solid">
        <fgColor rgb="FF2D6A8A"/>
        <bgColor rgb="FF2F5597"/>
      </patternFill>
    </fill>
    <fill>
      <patternFill patternType="solid">
        <fgColor rgb="FFD6E8F0"/>
        <bgColor rgb="FFDEEAF1"/>
      </patternFill>
    </fill>
    <fill>
      <patternFill patternType="solid">
        <fgColor rgb="FFEBF4F8"/>
        <bgColor rgb="FFEBF4FA"/>
      </patternFill>
    </fill>
    <fill>
      <patternFill patternType="solid">
        <fgColor rgb="FFF5F5F5"/>
        <bgColor rgb="FFF2F4F4"/>
      </patternFill>
    </fill>
    <fill>
      <patternFill patternType="solid">
        <fgColor rgb="FFE8F5E9"/>
        <bgColor rgb="FFEBF4F8"/>
      </patternFill>
    </fill>
    <fill>
      <patternFill patternType="solid">
        <fgColor rgb="FFFFFFFF"/>
        <bgColor rgb="FFF5F5F5"/>
      </patternFill>
    </fill>
    <fill>
      <patternFill patternType="solid">
        <fgColor rgb="FFFFF3E0"/>
        <bgColor rgb="FFFFF8E1"/>
      </patternFill>
    </fill>
    <fill>
      <patternFill patternType="solid">
        <fgColor rgb="FFEDE7F6"/>
        <bgColor rgb="FFDEEAF1"/>
      </patternFill>
    </fill>
    <fill>
      <patternFill patternType="solid">
        <fgColor rgb="FFFFEBE9"/>
        <bgColor rgb="FFFFF2F2"/>
      </patternFill>
    </fill>
    <fill>
      <patternFill patternType="solid">
        <fgColor theme="4" tint="-0.499984740745262"/>
        <bgColor rgb="FF2F5597"/>
      </patternFill>
    </fill>
    <fill>
      <patternFill patternType="darkGray">
        <fgColor rgb="FF765D0A"/>
        <bgColor rgb="FF645A56"/>
      </patternFill>
    </fill>
    <fill>
      <patternFill patternType="solid">
        <fgColor rgb="FF002060"/>
        <bgColor rgb="FF1A384A"/>
      </patternFill>
    </fill>
    <fill>
      <patternFill patternType="solid">
        <fgColor rgb="FF00B050"/>
        <bgColor rgb="FF2E75B6"/>
      </patternFill>
    </fill>
    <fill>
      <patternFill patternType="solid">
        <fgColor theme="5" tint="0.39939573351237523"/>
        <bgColor rgb="FFFFD966"/>
      </patternFill>
    </fill>
    <fill>
      <patternFill patternType="solid">
        <fgColor rgb="FF006AC0"/>
        <bgColor rgb="FF2E75B6"/>
      </patternFill>
    </fill>
    <fill>
      <patternFill patternType="solid">
        <fgColor rgb="FF7030A0"/>
        <bgColor rgb="FF5B2CA0"/>
      </patternFill>
    </fill>
    <fill>
      <patternFill patternType="solid">
        <fgColor rgb="FFFF0000"/>
        <bgColor rgb="FFC00000"/>
      </patternFill>
    </fill>
    <fill>
      <patternFill patternType="solid">
        <fgColor theme="1"/>
        <bgColor rgb="FF28071A"/>
      </patternFill>
    </fill>
    <fill>
      <patternFill patternType="solid">
        <fgColor rgb="FFC00000"/>
        <bgColor rgb="FFC62828"/>
      </patternFill>
    </fill>
    <fill>
      <patternFill patternType="solid">
        <fgColor rgb="FFFFF2F2"/>
        <bgColor rgb="FFFFF3E0"/>
      </patternFill>
    </fill>
    <fill>
      <patternFill patternType="solid">
        <fgColor rgb="FF1F3864"/>
        <bgColor rgb="FF1B3A4B"/>
      </patternFill>
    </fill>
    <fill>
      <patternFill patternType="solid">
        <fgColor rgb="FFEBF4FA"/>
        <bgColor rgb="FFEBF4F8"/>
      </patternFill>
    </fill>
    <fill>
      <patternFill patternType="solid">
        <fgColor rgb="FF2E75B6"/>
        <bgColor rgb="FF2D6A8A"/>
      </patternFill>
    </fill>
    <fill>
      <patternFill patternType="solid">
        <fgColor rgb="FFFFF2CC"/>
        <bgColor rgb="FFFFF9C4"/>
      </patternFill>
    </fill>
    <fill>
      <patternFill patternType="solid">
        <fgColor rgb="FFDEEAF1"/>
        <bgColor rgb="FFDEEBF7"/>
      </patternFill>
    </fill>
    <fill>
      <patternFill patternType="solid">
        <fgColor theme="4" tint="0.79979857783745845"/>
        <bgColor rgb="FFDEEAF1"/>
      </patternFill>
    </fill>
    <fill>
      <patternFill patternType="solid">
        <fgColor theme="4" tint="0.59959715567491678"/>
        <bgColor rgb="FFC8D8E0"/>
      </patternFill>
    </fill>
    <fill>
      <patternFill patternType="solid">
        <fgColor rgb="FF1B5E4D"/>
        <bgColor rgb="FF1F4E79"/>
      </patternFill>
    </fill>
    <fill>
      <patternFill patternType="solid">
        <fgColor rgb="FFCB5614"/>
        <bgColor rgb="FFE65100"/>
      </patternFill>
    </fill>
    <fill>
      <patternFill patternType="solid">
        <fgColor rgb="FF5B2CA0"/>
        <bgColor rgb="FF7030A0"/>
      </patternFill>
    </fill>
    <fill>
      <patternFill patternType="solid">
        <fgColor theme="4" tint="0.39939573351237523"/>
        <bgColor rgb="FF9DC3E6"/>
      </patternFill>
    </fill>
    <fill>
      <patternFill patternType="mediumGray">
        <fgColor rgb="FF1B3A4B"/>
        <bgColor rgb="FF1D3A49"/>
      </patternFill>
    </fill>
    <fill>
      <patternFill patternType="solid">
        <fgColor rgb="FFFFF8E1"/>
        <bgColor rgb="FFFFF3E0"/>
      </patternFill>
    </fill>
    <fill>
      <patternFill patternType="solid">
        <fgColor rgb="FFE3F2FD"/>
        <bgColor rgb="FFEBF4FA"/>
      </patternFill>
    </fill>
    <fill>
      <patternFill patternType="solid">
        <fgColor rgb="FFFFF9C4"/>
        <bgColor rgb="FFFFF2CC"/>
      </patternFill>
    </fill>
    <fill>
      <patternFill patternType="solid">
        <fgColor rgb="FFF2F4F4"/>
        <bgColor rgb="FFF2F2F2"/>
      </patternFill>
    </fill>
    <fill>
      <patternFill patternType="solid">
        <fgColor theme="8" tint="-0.249977111117893"/>
        <bgColor rgb="FF1F4E79"/>
      </patternFill>
    </fill>
  </fills>
  <borders count="29">
    <border>
      <left/>
      <right/>
      <top/>
      <bottom/>
      <diagonal/>
    </border>
    <border>
      <left style="thin">
        <color rgb="FFDAD8E0"/>
      </left>
      <right style="thin">
        <color rgb="FFDAD8E0"/>
      </right>
      <top style="thin">
        <color rgb="FFDAD8E0"/>
      </top>
      <bottom style="thin">
        <color rgb="FFDAD8E0"/>
      </bottom>
      <diagonal/>
    </border>
    <border>
      <left style="thin">
        <color auto="1"/>
      </left>
      <right style="thin">
        <color auto="1"/>
      </right>
      <top style="thin">
        <color auto="1"/>
      </top>
      <bottom style="thin">
        <color auto="1"/>
      </bottom>
      <diagonal/>
    </border>
    <border>
      <left style="thin">
        <color auto="1"/>
      </left>
      <right/>
      <top/>
      <bottom style="thin">
        <color auto="1"/>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style="thin">
        <color rgb="FF002060"/>
      </left>
      <right style="thin">
        <color rgb="FF002060"/>
      </right>
      <top style="thin">
        <color rgb="FF002060"/>
      </top>
      <bottom style="thin">
        <color rgb="FF002060"/>
      </bottom>
      <diagonal/>
    </border>
    <border>
      <left style="thin">
        <color rgb="FFFFFF00"/>
      </left>
      <right style="thin">
        <color rgb="FFFFFF00"/>
      </right>
      <top style="thin">
        <color rgb="FFFFFF00"/>
      </top>
      <bottom style="thin">
        <color rgb="FFFFFF00"/>
      </bottom>
      <diagonal/>
    </border>
    <border>
      <left/>
      <right/>
      <top style="thin">
        <color rgb="FFFFFF00"/>
      </top>
      <bottom style="thin">
        <color rgb="FFFFFF00"/>
      </bottom>
      <diagonal/>
    </border>
    <border>
      <left style="thin">
        <color rgb="FFFFFF00"/>
      </left>
      <right/>
      <top style="thin">
        <color rgb="FFFFFF00"/>
      </top>
      <bottom style="thin">
        <color rgb="FFFFFF00"/>
      </bottom>
      <diagonal/>
    </border>
    <border>
      <left style="thin">
        <color rgb="FFFFFF00"/>
      </left>
      <right style="thin">
        <color rgb="FFFFFF00"/>
      </right>
      <top/>
      <bottom style="thin">
        <color rgb="FFFFFF00"/>
      </bottom>
      <diagonal/>
    </border>
    <border>
      <left/>
      <right/>
      <top/>
      <bottom style="thin">
        <color rgb="FFFFFF00"/>
      </bottom>
      <diagonal/>
    </border>
    <border>
      <left/>
      <right/>
      <top/>
      <bottom style="thin">
        <color auto="1"/>
      </bottom>
      <diagonal/>
    </border>
    <border>
      <left style="thin">
        <color rgb="FFCB5614"/>
      </left>
      <right style="thin">
        <color rgb="FFCB5614"/>
      </right>
      <top style="thin">
        <color rgb="FFCB5614"/>
      </top>
      <bottom style="thin">
        <color rgb="FFCB5614"/>
      </bottom>
      <diagonal/>
    </border>
    <border>
      <left style="thin">
        <color rgb="FF95B3D7"/>
      </left>
      <right style="thin">
        <color rgb="FF95B3D7"/>
      </right>
      <top style="thin">
        <color rgb="FF95B3D7"/>
      </top>
      <bottom style="thin">
        <color rgb="FF95B3D7"/>
      </bottom>
      <diagonal/>
    </border>
    <border>
      <left style="medium">
        <color rgb="FFF4B183"/>
      </left>
      <right style="medium">
        <color rgb="FFF4B183"/>
      </right>
      <top style="medium">
        <color rgb="FFF4B183"/>
      </top>
      <bottom style="medium">
        <color rgb="FFF4B183"/>
      </bottom>
      <diagonal/>
    </border>
    <border>
      <left style="thin">
        <color rgb="FF002060"/>
      </left>
      <right/>
      <top style="thin">
        <color rgb="FF002060"/>
      </top>
      <bottom style="thin">
        <color rgb="FF002060"/>
      </bottom>
      <diagonal/>
    </border>
    <border>
      <left style="thin">
        <color auto="1"/>
      </left>
      <right style="thin">
        <color rgb="FFCFCBC0"/>
      </right>
      <top style="thin">
        <color rgb="FFCFCBC0"/>
      </top>
      <bottom style="thin">
        <color rgb="FFCFCBC0"/>
      </bottom>
      <diagonal/>
    </border>
    <border>
      <left style="thin">
        <color rgb="FFCFCBC0"/>
      </left>
      <right style="thin">
        <color rgb="FFCFCBC0"/>
      </right>
      <top style="thin">
        <color rgb="FFCFCBC0"/>
      </top>
      <bottom style="thin">
        <color rgb="FFCFCBC0"/>
      </bottom>
      <diagonal/>
    </border>
    <border>
      <left/>
      <right/>
      <top style="thin">
        <color rgb="FF002060"/>
      </top>
      <bottom/>
      <diagonal/>
    </border>
    <border>
      <left/>
      <right/>
      <top style="thin">
        <color auto="1"/>
      </top>
      <bottom/>
      <diagonal/>
    </border>
    <border>
      <left style="thin">
        <color rgb="FFC8D8E0"/>
      </left>
      <right style="thin">
        <color rgb="FFC8D8E0"/>
      </right>
      <top style="thin">
        <color rgb="FFC8D8E0"/>
      </top>
      <bottom style="thin">
        <color rgb="FFC8D8E0"/>
      </bottom>
      <diagonal/>
    </border>
    <border>
      <left style="medium">
        <color rgb="FF9DC3E6"/>
      </left>
      <right style="medium">
        <color rgb="FF9DC3E6"/>
      </right>
      <top style="medium">
        <color rgb="FF9DC3E6"/>
      </top>
      <bottom style="medium">
        <color rgb="FF9DC3E6"/>
      </bottom>
      <diagonal/>
    </border>
    <border>
      <left style="thin">
        <color rgb="FF9DC3E6"/>
      </left>
      <right style="thin">
        <color rgb="FF9DC3E6"/>
      </right>
      <top style="thin">
        <color rgb="FF9DC3E6"/>
      </top>
      <bottom style="thin">
        <color rgb="FF9DC3E6"/>
      </bottom>
      <diagonal/>
    </border>
    <border>
      <left style="thin">
        <color rgb="FF2E75B6"/>
      </left>
      <right style="thin">
        <color rgb="FF2E75B6"/>
      </right>
      <top style="thin">
        <color rgb="FF2E75B6"/>
      </top>
      <bottom style="thin">
        <color rgb="FF2E75B6"/>
      </bottom>
      <diagonal/>
    </border>
    <border>
      <left style="thin">
        <color rgb="FFD9D9D9"/>
      </left>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FFFF00"/>
      </left>
      <right/>
      <top/>
      <bottom style="thin">
        <color rgb="FFFFFF00"/>
      </bottom>
      <diagonal/>
    </border>
    <border>
      <left style="thin">
        <color rgb="FFFFFF00"/>
      </left>
      <right style="thin">
        <color auto="1"/>
      </right>
      <top/>
      <bottom style="thin">
        <color rgb="FFFFFF00"/>
      </bottom>
      <diagonal/>
    </border>
  </borders>
  <cellStyleXfs count="8">
    <xf numFmtId="0" fontId="0" fillId="0" borderId="0"/>
    <xf numFmtId="0" fontId="1" fillId="0" borderId="0"/>
    <xf numFmtId="0" fontId="82" fillId="0" borderId="0">
      <alignment horizontal="left"/>
    </xf>
    <xf numFmtId="0" fontId="82" fillId="0" borderId="0"/>
    <xf numFmtId="0" fontId="82" fillId="0" borderId="0"/>
    <xf numFmtId="0" fontId="2" fillId="0" borderId="0"/>
    <xf numFmtId="0" fontId="2" fillId="0" borderId="0">
      <alignment horizontal="left"/>
    </xf>
    <xf numFmtId="0" fontId="82" fillId="0" borderId="0"/>
  </cellStyleXfs>
  <cellXfs count="233">
    <xf numFmtId="0" fontId="0" fillId="0" borderId="0" xfId="0"/>
    <xf numFmtId="0" fontId="37" fillId="30" borderId="6" xfId="0" applyFont="1" applyFill="1" applyBorder="1" applyAlignment="1">
      <alignment horizontal="center" vertical="center"/>
    </xf>
    <xf numFmtId="0" fontId="5" fillId="4" borderId="1" xfId="0" applyFont="1" applyFill="1" applyBorder="1" applyAlignment="1">
      <alignment horizontal="center" vertical="center" wrapText="1"/>
    </xf>
    <xf numFmtId="0" fontId="5" fillId="4" borderId="1" xfId="0" applyFont="1" applyFill="1" applyBorder="1" applyAlignment="1">
      <alignment horizontal="left" vertical="center" wrapText="1"/>
    </xf>
    <xf numFmtId="0" fontId="5" fillId="5" borderId="1" xfId="0" applyFont="1" applyFill="1" applyBorder="1" applyAlignment="1">
      <alignment horizontal="left" vertical="center" wrapText="1"/>
    </xf>
    <xf numFmtId="0" fontId="6" fillId="5" borderId="1" xfId="0" applyFont="1" applyFill="1" applyBorder="1" applyAlignment="1">
      <alignment horizontal="center" vertical="center"/>
    </xf>
    <xf numFmtId="0" fontId="7" fillId="6" borderId="1" xfId="0" applyFont="1" applyFill="1" applyBorder="1" applyAlignment="1">
      <alignment horizontal="left" vertical="center" wrapText="1"/>
    </xf>
    <xf numFmtId="0" fontId="5" fillId="6" borderId="1" xfId="0" applyFont="1" applyFill="1" applyBorder="1" applyAlignment="1">
      <alignment horizontal="left" vertical="center" wrapText="1"/>
    </xf>
    <xf numFmtId="0" fontId="6" fillId="6" borderId="1" xfId="0" applyFont="1" applyFill="1" applyBorder="1" applyAlignment="1">
      <alignment horizontal="center" vertical="center"/>
    </xf>
    <xf numFmtId="0" fontId="8" fillId="4" borderId="1" xfId="0" applyFont="1" applyFill="1" applyBorder="1" applyAlignment="1">
      <alignment horizontal="left" vertical="center" wrapText="1"/>
    </xf>
    <xf numFmtId="0" fontId="9" fillId="4" borderId="1" xfId="0" applyFont="1" applyFill="1" applyBorder="1" applyAlignment="1">
      <alignment horizontal="center" vertical="center" wrapText="1"/>
    </xf>
    <xf numFmtId="0" fontId="10" fillId="4" borderId="1" xfId="0" applyFont="1" applyFill="1" applyBorder="1" applyAlignment="1">
      <alignment horizontal="left" vertical="center" wrapText="1"/>
    </xf>
    <xf numFmtId="0" fontId="11" fillId="7" borderId="1" xfId="0" applyFont="1" applyFill="1" applyBorder="1" applyAlignment="1">
      <alignment horizontal="left" vertical="center" wrapText="1"/>
    </xf>
    <xf numFmtId="0" fontId="6" fillId="7" borderId="1" xfId="0" applyFont="1" applyFill="1" applyBorder="1" applyAlignment="1">
      <alignment horizontal="center" vertical="center"/>
    </xf>
    <xf numFmtId="0" fontId="7" fillId="8" borderId="1" xfId="0" applyFont="1" applyFill="1" applyBorder="1" applyAlignment="1">
      <alignment horizontal="left" vertical="center" wrapText="1"/>
    </xf>
    <xf numFmtId="0" fontId="11" fillId="9" borderId="1" xfId="0" applyFont="1" applyFill="1" applyBorder="1" applyAlignment="1">
      <alignment horizontal="left" vertical="center" wrapText="1"/>
    </xf>
    <xf numFmtId="0" fontId="6" fillId="9" borderId="1" xfId="0" applyFont="1" applyFill="1" applyBorder="1" applyAlignment="1">
      <alignment horizontal="center" vertical="center"/>
    </xf>
    <xf numFmtId="0" fontId="11" fillId="10" borderId="1" xfId="0" applyFont="1" applyFill="1" applyBorder="1" applyAlignment="1">
      <alignment horizontal="left" vertical="center" wrapText="1"/>
    </xf>
    <xf numFmtId="0" fontId="6" fillId="10" borderId="1" xfId="0" applyFont="1" applyFill="1" applyBorder="1" applyAlignment="1">
      <alignment horizontal="center" vertical="center"/>
    </xf>
    <xf numFmtId="0" fontId="11" fillId="6" borderId="1" xfId="0" applyFont="1" applyFill="1" applyBorder="1" applyAlignment="1">
      <alignment horizontal="left" vertical="center" wrapText="1"/>
    </xf>
    <xf numFmtId="0" fontId="11" fillId="11" borderId="1" xfId="0" applyFont="1" applyFill="1" applyBorder="1" applyAlignment="1">
      <alignment horizontal="left" vertical="center" wrapText="1"/>
    </xf>
    <xf numFmtId="0" fontId="6" fillId="11" borderId="1" xfId="0" applyFont="1" applyFill="1" applyBorder="1" applyAlignment="1">
      <alignment horizontal="center" vertical="center"/>
    </xf>
    <xf numFmtId="0" fontId="5" fillId="9" borderId="1" xfId="0" applyFont="1" applyFill="1" applyBorder="1" applyAlignment="1">
      <alignment horizontal="left" vertical="center" wrapText="1"/>
    </xf>
    <xf numFmtId="0" fontId="12" fillId="4" borderId="1" xfId="0" applyFont="1" applyFill="1" applyBorder="1" applyAlignment="1">
      <alignment horizontal="center" vertical="center" wrapText="1"/>
    </xf>
    <xf numFmtId="0" fontId="11" fillId="5" borderId="1" xfId="0" applyFont="1" applyFill="1" applyBorder="1" applyAlignment="1">
      <alignment horizontal="left" vertical="center" wrapText="1"/>
    </xf>
    <xf numFmtId="164" fontId="14" fillId="2" borderId="0" xfId="0" applyNumberFormat="1" applyFont="1" applyFill="1" applyAlignment="1">
      <alignment horizontal="left" vertical="center"/>
    </xf>
    <xf numFmtId="0" fontId="15" fillId="0" borderId="0" xfId="0" applyFont="1" applyAlignment="1">
      <alignment horizontal="center" vertical="center"/>
    </xf>
    <xf numFmtId="0" fontId="15" fillId="0" borderId="0" xfId="0" applyFont="1" applyAlignment="1">
      <alignment horizontal="justify" vertical="center"/>
    </xf>
    <xf numFmtId="0" fontId="16" fillId="0" borderId="0" xfId="0" applyFont="1" applyAlignment="1">
      <alignment horizontal="left" vertical="center"/>
    </xf>
    <xf numFmtId="0" fontId="16" fillId="0" borderId="0" xfId="0" applyFont="1" applyAlignment="1">
      <alignment horizontal="center" vertical="center"/>
    </xf>
    <xf numFmtId="165" fontId="16" fillId="0" borderId="0" xfId="0" applyNumberFormat="1" applyFont="1" applyAlignment="1">
      <alignment horizontal="left" vertical="center"/>
    </xf>
    <xf numFmtId="0" fontId="16" fillId="0" borderId="0" xfId="0" applyFont="1" applyAlignment="1">
      <alignment horizontal="justify" vertical="center"/>
    </xf>
    <xf numFmtId="0" fontId="17" fillId="0" borderId="0" xfId="0" applyFont="1" applyAlignment="1">
      <alignment horizontal="left" vertical="center"/>
    </xf>
    <xf numFmtId="0" fontId="18" fillId="0" borderId="0" xfId="0" applyFont="1" applyAlignment="1">
      <alignment horizontal="center" vertical="center"/>
    </xf>
    <xf numFmtId="0" fontId="19" fillId="12" borderId="2" xfId="0" applyFont="1" applyFill="1" applyBorder="1" applyAlignment="1">
      <alignment horizontal="center" vertical="center"/>
    </xf>
    <xf numFmtId="0" fontId="19" fillId="12" borderId="2" xfId="0" applyFont="1" applyFill="1" applyBorder="1" applyAlignment="1">
      <alignment horizontal="center" vertical="center" wrapText="1"/>
    </xf>
    <xf numFmtId="165" fontId="19" fillId="12" borderId="2" xfId="0" applyNumberFormat="1" applyFont="1" applyFill="1" applyBorder="1" applyAlignment="1">
      <alignment horizontal="center" vertical="center" wrapText="1"/>
    </xf>
    <xf numFmtId="0" fontId="19" fillId="12" borderId="3" xfId="0" applyFont="1" applyFill="1" applyBorder="1" applyAlignment="1">
      <alignment vertical="center"/>
    </xf>
    <xf numFmtId="0" fontId="19" fillId="12" borderId="2" xfId="0" applyFont="1" applyFill="1" applyBorder="1" applyAlignment="1">
      <alignment vertical="center"/>
    </xf>
    <xf numFmtId="0" fontId="19" fillId="12" borderId="4" xfId="0" applyFont="1" applyFill="1" applyBorder="1" applyAlignment="1">
      <alignment vertical="center"/>
    </xf>
    <xf numFmtId="0" fontId="20" fillId="13" borderId="0" xfId="0" applyFont="1" applyFill="1" applyAlignment="1">
      <alignment horizontal="center" vertical="center" wrapText="1"/>
    </xf>
    <xf numFmtId="0" fontId="21" fillId="0" borderId="0" xfId="0" applyFont="1"/>
    <xf numFmtId="0" fontId="22" fillId="0" borderId="0" xfId="0" applyFont="1"/>
    <xf numFmtId="0" fontId="15" fillId="0" borderId="2" xfId="0" applyFont="1" applyBorder="1" applyAlignment="1">
      <alignment horizontal="center" vertical="center"/>
    </xf>
    <xf numFmtId="0" fontId="16" fillId="0" borderId="2" xfId="0" applyFont="1" applyBorder="1" applyAlignment="1">
      <alignment horizontal="left" vertical="center"/>
    </xf>
    <xf numFmtId="0" fontId="16" fillId="0" borderId="2" xfId="0" applyFont="1" applyBorder="1" applyAlignment="1">
      <alignment horizontal="justify" vertical="top"/>
    </xf>
    <xf numFmtId="0" fontId="16" fillId="0" borderId="2" xfId="0" applyFont="1" applyBorder="1" applyAlignment="1">
      <alignment horizontal="center" vertical="center"/>
    </xf>
    <xf numFmtId="166" fontId="16" fillId="0" borderId="2" xfId="0" applyNumberFormat="1" applyFont="1" applyBorder="1" applyAlignment="1">
      <alignment horizontal="center" vertical="center"/>
    </xf>
    <xf numFmtId="167" fontId="16" fillId="0" borderId="2" xfId="0" applyNumberFormat="1" applyFont="1" applyBorder="1" applyAlignment="1">
      <alignment horizontal="center" vertical="center"/>
    </xf>
    <xf numFmtId="0" fontId="17" fillId="0" borderId="4" xfId="0" applyFont="1" applyBorder="1" applyAlignment="1">
      <alignment horizontal="left" vertical="center"/>
    </xf>
    <xf numFmtId="0" fontId="17" fillId="0" borderId="2" xfId="0" applyFont="1" applyBorder="1" applyAlignment="1">
      <alignment horizontal="left" vertical="center"/>
    </xf>
    <xf numFmtId="0" fontId="0" fillId="0" borderId="0" xfId="0" applyAlignment="1">
      <alignment horizontal="center" vertical="center" wrapText="1"/>
    </xf>
    <xf numFmtId="0" fontId="17" fillId="0" borderId="5" xfId="0" applyFont="1" applyBorder="1" applyAlignment="1">
      <alignment horizontal="left" vertical="center"/>
    </xf>
    <xf numFmtId="0" fontId="17" fillId="0" borderId="3" xfId="0" applyFont="1" applyBorder="1" applyAlignment="1">
      <alignment horizontal="left" vertical="center"/>
    </xf>
    <xf numFmtId="0" fontId="16" fillId="0" borderId="2" xfId="0" applyFont="1" applyBorder="1" applyAlignment="1">
      <alignment horizontal="left" vertical="center" wrapText="1"/>
    </xf>
    <xf numFmtId="0" fontId="23" fillId="14" borderId="0" xfId="0" applyFont="1" applyFill="1" applyAlignment="1">
      <alignment horizontal="center" vertical="center" wrapText="1"/>
    </xf>
    <xf numFmtId="0" fontId="16" fillId="0" borderId="2" xfId="0" applyFont="1" applyBorder="1" applyAlignment="1">
      <alignment horizontal="justify" vertical="top" wrapText="1"/>
    </xf>
    <xf numFmtId="0" fontId="16" fillId="0" borderId="0" xfId="0" applyFont="1" applyAlignment="1">
      <alignment horizontal="justify" vertical="top"/>
    </xf>
    <xf numFmtId="0" fontId="16" fillId="0" borderId="0" xfId="0" applyFont="1" applyAlignment="1">
      <alignment horizontal="center" vertical="center" wrapText="1"/>
    </xf>
    <xf numFmtId="0" fontId="24" fillId="0" borderId="2" xfId="0" applyFont="1" applyBorder="1" applyAlignment="1">
      <alignment horizontal="center" vertical="center"/>
    </xf>
    <xf numFmtId="0" fontId="17" fillId="0" borderId="2" xfId="0" applyFont="1" applyBorder="1" applyAlignment="1">
      <alignment horizontal="justify" vertical="top"/>
    </xf>
    <xf numFmtId="0" fontId="17" fillId="0" borderId="2" xfId="0" applyFont="1" applyBorder="1" applyAlignment="1">
      <alignment horizontal="center" vertical="center"/>
    </xf>
    <xf numFmtId="167" fontId="17" fillId="0" borderId="2" xfId="0" applyNumberFormat="1" applyFont="1" applyBorder="1" applyAlignment="1">
      <alignment horizontal="center" vertical="center"/>
    </xf>
    <xf numFmtId="166" fontId="16" fillId="0" borderId="0" xfId="0" applyNumberFormat="1" applyFont="1" applyAlignment="1">
      <alignment horizontal="center" vertical="center"/>
    </xf>
    <xf numFmtId="165" fontId="16" fillId="0" borderId="0" xfId="0" applyNumberFormat="1" applyFont="1" applyAlignment="1">
      <alignment horizontal="center" vertical="center"/>
    </xf>
    <xf numFmtId="0" fontId="16" fillId="0" borderId="6" xfId="0" applyFont="1" applyBorder="1" applyAlignment="1">
      <alignment horizontal="justify" vertical="top"/>
    </xf>
    <xf numFmtId="0" fontId="25" fillId="15" borderId="7" xfId="0" applyFont="1" applyFill="1" applyBorder="1" applyAlignment="1">
      <alignment horizontal="right" vertical="center"/>
    </xf>
    <xf numFmtId="0" fontId="25" fillId="15" borderId="8" xfId="0" applyFont="1" applyFill="1" applyBorder="1" applyAlignment="1">
      <alignment horizontal="center" vertical="center"/>
    </xf>
    <xf numFmtId="0" fontId="25" fillId="15" borderId="7" xfId="0" applyFont="1" applyFill="1" applyBorder="1" applyAlignment="1">
      <alignment horizontal="center" vertical="center"/>
    </xf>
    <xf numFmtId="0" fontId="25" fillId="15" borderId="9" xfId="0" applyFont="1" applyFill="1" applyBorder="1" applyAlignment="1">
      <alignment horizontal="center" vertical="center"/>
    </xf>
    <xf numFmtId="0" fontId="25" fillId="16" borderId="7" xfId="0" applyFont="1" applyFill="1" applyBorder="1" applyAlignment="1">
      <alignment horizontal="right" vertical="center"/>
    </xf>
    <xf numFmtId="0" fontId="25" fillId="16" borderId="8" xfId="0" applyFont="1" applyFill="1" applyBorder="1" applyAlignment="1">
      <alignment horizontal="center" vertical="center"/>
    </xf>
    <xf numFmtId="0" fontId="25" fillId="16" borderId="7" xfId="0" applyFont="1" applyFill="1" applyBorder="1" applyAlignment="1">
      <alignment horizontal="center" vertical="center"/>
    </xf>
    <xf numFmtId="0" fontId="25" fillId="16" borderId="10" xfId="0" applyFont="1" applyFill="1" applyBorder="1" applyAlignment="1">
      <alignment horizontal="center" vertical="center"/>
    </xf>
    <xf numFmtId="0" fontId="25" fillId="14" borderId="7" xfId="0" applyFont="1" applyFill="1" applyBorder="1" applyAlignment="1">
      <alignment horizontal="right" vertical="center"/>
    </xf>
    <xf numFmtId="0" fontId="25" fillId="14" borderId="8" xfId="0" applyFont="1" applyFill="1" applyBorder="1" applyAlignment="1">
      <alignment horizontal="center" vertical="center"/>
    </xf>
    <xf numFmtId="0" fontId="25" fillId="14" borderId="7" xfId="0" applyFont="1" applyFill="1" applyBorder="1" applyAlignment="1">
      <alignment horizontal="center" vertical="center"/>
    </xf>
    <xf numFmtId="0" fontId="25" fillId="17" borderId="7" xfId="0" applyFont="1" applyFill="1" applyBorder="1" applyAlignment="1">
      <alignment horizontal="right" vertical="center"/>
    </xf>
    <xf numFmtId="0" fontId="25" fillId="17" borderId="8" xfId="0" applyFont="1" applyFill="1" applyBorder="1" applyAlignment="1">
      <alignment horizontal="center" vertical="center"/>
    </xf>
    <xf numFmtId="0" fontId="25" fillId="17" borderId="7" xfId="0" applyFont="1" applyFill="1" applyBorder="1" applyAlignment="1">
      <alignment horizontal="center" vertical="center"/>
    </xf>
    <xf numFmtId="0" fontId="25" fillId="18" borderId="7" xfId="0" applyFont="1" applyFill="1" applyBorder="1" applyAlignment="1">
      <alignment horizontal="right" vertical="center"/>
    </xf>
    <xf numFmtId="0" fontId="25" fillId="18" borderId="8" xfId="0" applyFont="1" applyFill="1" applyBorder="1" applyAlignment="1">
      <alignment horizontal="center" vertical="center"/>
    </xf>
    <xf numFmtId="0" fontId="25" fillId="18" borderId="7" xfId="0" applyFont="1" applyFill="1" applyBorder="1" applyAlignment="1">
      <alignment horizontal="center" vertical="center"/>
    </xf>
    <xf numFmtId="0" fontId="25" fillId="19" borderId="10" xfId="0" applyFont="1" applyFill="1" applyBorder="1" applyAlignment="1">
      <alignment horizontal="right" vertical="center"/>
    </xf>
    <xf numFmtId="0" fontId="25" fillId="19" borderId="11" xfId="0" applyFont="1" applyFill="1" applyBorder="1" applyAlignment="1">
      <alignment horizontal="center" vertical="center"/>
    </xf>
    <xf numFmtId="0" fontId="25" fillId="19" borderId="10" xfId="0" applyFont="1" applyFill="1" applyBorder="1" applyAlignment="1">
      <alignment horizontal="center" vertical="center"/>
    </xf>
    <xf numFmtId="0" fontId="25" fillId="20" borderId="7" xfId="0" applyFont="1" applyFill="1" applyBorder="1" applyAlignment="1">
      <alignment horizontal="right" vertical="center"/>
    </xf>
    <xf numFmtId="0" fontId="25" fillId="20" borderId="8" xfId="0" applyFont="1" applyFill="1" applyBorder="1" applyAlignment="1">
      <alignment horizontal="center" vertical="center"/>
    </xf>
    <xf numFmtId="0" fontId="25" fillId="20" borderId="7" xfId="0" applyFont="1" applyFill="1" applyBorder="1" applyAlignment="1">
      <alignment horizontal="center" vertical="center"/>
    </xf>
    <xf numFmtId="0" fontId="26" fillId="14" borderId="10" xfId="0" applyFont="1" applyFill="1" applyBorder="1" applyAlignment="1">
      <alignment horizontal="right" vertical="center"/>
    </xf>
    <xf numFmtId="0" fontId="26" fillId="14" borderId="12" xfId="0" applyFont="1" applyFill="1" applyBorder="1" applyAlignment="1">
      <alignment horizontal="center" vertical="center"/>
    </xf>
    <xf numFmtId="0" fontId="26" fillId="14" borderId="10" xfId="0" applyFont="1" applyFill="1" applyBorder="1" applyAlignment="1">
      <alignment horizontal="center" vertical="center"/>
    </xf>
    <xf numFmtId="0" fontId="20" fillId="21" borderId="0" xfId="0" applyFont="1" applyFill="1" applyAlignment="1">
      <alignment horizontal="center" vertical="center"/>
    </xf>
    <xf numFmtId="0" fontId="27" fillId="0" borderId="0" xfId="0" applyFont="1" applyAlignment="1">
      <alignment horizontal="left" vertical="center"/>
    </xf>
    <xf numFmtId="0" fontId="28" fillId="0" borderId="0" xfId="0" applyFont="1" applyAlignment="1">
      <alignment horizontal="center"/>
    </xf>
    <xf numFmtId="0" fontId="29" fillId="0" borderId="0" xfId="0" applyFont="1" applyAlignment="1">
      <alignment horizontal="left" vertical="center"/>
    </xf>
    <xf numFmtId="0" fontId="30" fillId="22" borderId="13" xfId="0" applyFont="1" applyFill="1" applyBorder="1" applyAlignment="1">
      <alignment horizontal="center" vertical="center"/>
    </xf>
    <xf numFmtId="0" fontId="33" fillId="12" borderId="14" xfId="0" applyFont="1" applyFill="1" applyBorder="1" applyAlignment="1">
      <alignment horizontal="center" vertical="center" wrapText="1"/>
    </xf>
    <xf numFmtId="0" fontId="33" fillId="25" borderId="14" xfId="0" applyFont="1" applyFill="1" applyBorder="1" applyAlignment="1">
      <alignment horizontal="center" vertical="center" wrapText="1"/>
    </xf>
    <xf numFmtId="0" fontId="21" fillId="8" borderId="14" xfId="0" applyFont="1" applyFill="1" applyBorder="1" applyAlignment="1">
      <alignment horizontal="center" vertical="center" wrapText="1"/>
    </xf>
    <xf numFmtId="167" fontId="34" fillId="26" borderId="15" xfId="0" applyNumberFormat="1" applyFont="1" applyFill="1" applyBorder="1" applyAlignment="1">
      <alignment horizontal="center" vertical="center" wrapText="1"/>
    </xf>
    <xf numFmtId="0" fontId="34" fillId="8" borderId="14" xfId="0" applyFont="1" applyFill="1" applyBorder="1" applyAlignment="1">
      <alignment horizontal="center" vertical="center" wrapText="1"/>
    </xf>
    <xf numFmtId="168" fontId="21" fillId="8" borderId="14" xfId="0" applyNumberFormat="1" applyFont="1" applyFill="1" applyBorder="1" applyAlignment="1">
      <alignment horizontal="center" vertical="center" wrapText="1"/>
    </xf>
    <xf numFmtId="0" fontId="21" fillId="8" borderId="14" xfId="0" applyFont="1" applyFill="1" applyBorder="1" applyAlignment="1">
      <alignment horizontal="left" vertical="center"/>
    </xf>
    <xf numFmtId="0" fontId="21" fillId="27" borderId="14" xfId="0" applyFont="1" applyFill="1" applyBorder="1" applyAlignment="1">
      <alignment horizontal="center" vertical="center" wrapText="1"/>
    </xf>
    <xf numFmtId="0" fontId="34" fillId="27" borderId="14" xfId="0" applyFont="1" applyFill="1" applyBorder="1" applyAlignment="1">
      <alignment horizontal="center" vertical="center" wrapText="1"/>
    </xf>
    <xf numFmtId="168" fontId="21" fillId="27" borderId="14" xfId="0" applyNumberFormat="1" applyFont="1" applyFill="1" applyBorder="1" applyAlignment="1">
      <alignment horizontal="center" vertical="center" wrapText="1"/>
    </xf>
    <xf numFmtId="0" fontId="21" fillId="27" borderId="14" xfId="0" applyFont="1" applyFill="1" applyBorder="1" applyAlignment="1">
      <alignment horizontal="left" vertical="center"/>
    </xf>
    <xf numFmtId="0" fontId="21" fillId="28" borderId="14" xfId="0" applyFont="1" applyFill="1" applyBorder="1" applyAlignment="1">
      <alignment horizontal="center" vertical="center" wrapText="1"/>
    </xf>
    <xf numFmtId="0" fontId="34" fillId="28" borderId="14" xfId="0" applyFont="1" applyFill="1" applyBorder="1" applyAlignment="1">
      <alignment horizontal="center" vertical="center" wrapText="1"/>
    </xf>
    <xf numFmtId="168" fontId="21" fillId="28" borderId="14" xfId="0" applyNumberFormat="1" applyFont="1" applyFill="1" applyBorder="1" applyAlignment="1">
      <alignment horizontal="center" vertical="center" wrapText="1"/>
    </xf>
    <xf numFmtId="0" fontId="21" fillId="28" borderId="14" xfId="0" applyFont="1" applyFill="1" applyBorder="1" applyAlignment="1">
      <alignment horizontal="left" vertical="center"/>
    </xf>
    <xf numFmtId="0" fontId="34" fillId="29" borderId="14" xfId="0" applyFont="1" applyFill="1" applyBorder="1" applyAlignment="1">
      <alignment horizontal="center" vertical="center" wrapText="1"/>
    </xf>
    <xf numFmtId="168" fontId="34" fillId="29" borderId="14" xfId="0" applyNumberFormat="1" applyFont="1" applyFill="1" applyBorder="1" applyAlignment="1">
      <alignment horizontal="center" vertical="center" wrapText="1"/>
    </xf>
    <xf numFmtId="0" fontId="36" fillId="0" borderId="0" xfId="0" applyFont="1" applyAlignment="1">
      <alignment horizontal="center" vertical="center"/>
    </xf>
    <xf numFmtId="0" fontId="36" fillId="0" borderId="0" xfId="0" applyFont="1"/>
    <xf numFmtId="0" fontId="39" fillId="0" borderId="0" xfId="0" applyFont="1" applyAlignment="1">
      <alignment horizontal="center" vertical="center"/>
    </xf>
    <xf numFmtId="0" fontId="37" fillId="30" borderId="2" xfId="0" applyFont="1" applyFill="1" applyBorder="1" applyAlignment="1">
      <alignment horizontal="center" vertical="center" textRotation="90"/>
    </xf>
    <xf numFmtId="0" fontId="37" fillId="14" borderId="2" xfId="0" applyFont="1" applyFill="1" applyBorder="1" applyAlignment="1">
      <alignment horizontal="center" vertical="center" textRotation="90"/>
    </xf>
    <xf numFmtId="0" fontId="40" fillId="0" borderId="6" xfId="0" applyFont="1" applyBorder="1" applyAlignment="1">
      <alignment horizontal="center" vertical="center"/>
    </xf>
    <xf numFmtId="0" fontId="41" fillId="0" borderId="6" xfId="0" applyFont="1" applyBorder="1" applyAlignment="1">
      <alignment horizontal="justify" vertical="center"/>
    </xf>
    <xf numFmtId="0" fontId="42" fillId="0" borderId="2" xfId="0" applyFont="1" applyBorder="1" applyAlignment="1">
      <alignment horizontal="center" vertical="center"/>
    </xf>
    <xf numFmtId="0" fontId="42" fillId="24" borderId="2" xfId="0" applyFont="1" applyFill="1" applyBorder="1" applyAlignment="1">
      <alignment horizontal="center" vertical="center"/>
    </xf>
    <xf numFmtId="0" fontId="43" fillId="29" borderId="2" xfId="0" applyFont="1" applyFill="1" applyBorder="1" applyAlignment="1">
      <alignment horizontal="center" vertical="center"/>
    </xf>
    <xf numFmtId="0" fontId="43" fillId="29" borderId="4" xfId="0" applyFont="1" applyFill="1" applyBorder="1" applyAlignment="1">
      <alignment horizontal="center" vertical="center"/>
    </xf>
    <xf numFmtId="0" fontId="44" fillId="9" borderId="18" xfId="0" applyFont="1" applyFill="1" applyBorder="1" applyAlignment="1">
      <alignment horizontal="center" vertical="center"/>
    </xf>
    <xf numFmtId="0" fontId="45" fillId="10" borderId="18" xfId="0" applyFont="1" applyFill="1" applyBorder="1" applyAlignment="1">
      <alignment horizontal="center" vertical="center"/>
    </xf>
    <xf numFmtId="0" fontId="46" fillId="30" borderId="6" xfId="0" applyFont="1" applyFill="1" applyBorder="1" applyAlignment="1">
      <alignment horizontal="center" vertical="center"/>
    </xf>
    <xf numFmtId="0" fontId="46" fillId="14" borderId="0" xfId="0" applyFont="1" applyFill="1" applyAlignment="1">
      <alignment horizontal="center" vertical="center"/>
    </xf>
    <xf numFmtId="0" fontId="46" fillId="17" borderId="2" xfId="0" applyFont="1" applyFill="1" applyBorder="1" applyAlignment="1">
      <alignment horizontal="center" vertical="center"/>
    </xf>
    <xf numFmtId="0" fontId="46" fillId="17" borderId="4" xfId="0" applyFont="1" applyFill="1" applyBorder="1" applyAlignment="1">
      <alignment horizontal="center" vertical="center"/>
    </xf>
    <xf numFmtId="0" fontId="46" fillId="14" borderId="6" xfId="0" applyFont="1" applyFill="1" applyBorder="1" applyAlignment="1">
      <alignment horizontal="center" vertical="center"/>
    </xf>
    <xf numFmtId="0" fontId="38" fillId="31" borderId="18" xfId="0" applyFont="1" applyFill="1" applyBorder="1" applyAlignment="1">
      <alignment horizontal="center" vertical="center"/>
    </xf>
    <xf numFmtId="0" fontId="38" fillId="32" borderId="18" xfId="0" applyFont="1" applyFill="1" applyBorder="1" applyAlignment="1">
      <alignment horizontal="center" vertical="center"/>
    </xf>
    <xf numFmtId="0" fontId="47" fillId="0" borderId="0" xfId="0" applyFont="1" applyAlignment="1">
      <alignment horizontal="center" vertical="center"/>
    </xf>
    <xf numFmtId="0" fontId="46" fillId="0" borderId="0" xfId="0" applyFont="1" applyAlignment="1">
      <alignment vertical="center"/>
    </xf>
    <xf numFmtId="0" fontId="47" fillId="0" borderId="0" xfId="0" applyFont="1" applyAlignment="1">
      <alignment vertical="center"/>
    </xf>
    <xf numFmtId="0" fontId="46" fillId="0" borderId="20" xfId="0" applyFont="1" applyBorder="1" applyAlignment="1">
      <alignment horizontal="center" vertical="center"/>
    </xf>
    <xf numFmtId="0" fontId="46" fillId="0" borderId="19" xfId="0" applyFont="1" applyBorder="1" applyAlignment="1">
      <alignment horizontal="center" vertical="center"/>
    </xf>
    <xf numFmtId="0" fontId="48" fillId="0" borderId="0" xfId="0" applyFont="1" applyAlignment="1">
      <alignment horizontal="center" vertical="center"/>
    </xf>
    <xf numFmtId="0" fontId="19" fillId="30" borderId="6" xfId="0" applyFont="1" applyFill="1" applyBorder="1" applyAlignment="1">
      <alignment horizontal="center" vertical="center"/>
    </xf>
    <xf numFmtId="0" fontId="49" fillId="0" borderId="6" xfId="0" applyFont="1" applyBorder="1" applyAlignment="1">
      <alignment horizontal="center" vertical="center"/>
    </xf>
    <xf numFmtId="0" fontId="41" fillId="0" borderId="6" xfId="0" applyFont="1" applyBorder="1" applyAlignment="1">
      <alignment horizontal="center" vertical="center"/>
    </xf>
    <xf numFmtId="0" fontId="49" fillId="33" borderId="6" xfId="0" applyFont="1" applyFill="1" applyBorder="1" applyAlignment="1">
      <alignment horizontal="center" vertical="center"/>
    </xf>
    <xf numFmtId="0" fontId="41" fillId="33" borderId="6" xfId="0" applyFont="1" applyFill="1" applyBorder="1" applyAlignment="1">
      <alignment horizontal="justify" vertical="center"/>
    </xf>
    <xf numFmtId="0" fontId="41" fillId="33" borderId="6" xfId="0" applyFont="1" applyFill="1" applyBorder="1" applyAlignment="1">
      <alignment horizontal="center" vertical="center"/>
    </xf>
    <xf numFmtId="0" fontId="41" fillId="0" borderId="6" xfId="0" applyFont="1" applyBorder="1" applyAlignment="1">
      <alignment horizontal="left" vertical="center"/>
    </xf>
    <xf numFmtId="0" fontId="52" fillId="34" borderId="21" xfId="0" applyFont="1" applyFill="1" applyBorder="1" applyAlignment="1">
      <alignment horizontal="center" vertical="center"/>
    </xf>
    <xf numFmtId="0" fontId="14" fillId="34" borderId="21" xfId="0" applyFont="1" applyFill="1" applyBorder="1" applyAlignment="1">
      <alignment horizontal="left" vertical="center"/>
    </xf>
    <xf numFmtId="0" fontId="53" fillId="34" borderId="21" xfId="0" applyFont="1" applyFill="1" applyBorder="1" applyAlignment="1">
      <alignment horizontal="center" vertical="center"/>
    </xf>
    <xf numFmtId="0" fontId="52" fillId="3" borderId="21" xfId="0" applyFont="1" applyFill="1" applyBorder="1" applyAlignment="1">
      <alignment horizontal="center" vertical="center"/>
    </xf>
    <xf numFmtId="0" fontId="54" fillId="7" borderId="21" xfId="0" applyFont="1" applyFill="1" applyBorder="1" applyAlignment="1">
      <alignment horizontal="center" vertical="center"/>
    </xf>
    <xf numFmtId="0" fontId="55" fillId="35" borderId="21" xfId="0" applyFont="1" applyFill="1" applyBorder="1" applyAlignment="1">
      <alignment horizontal="center" vertical="center"/>
    </xf>
    <xf numFmtId="0" fontId="56" fillId="10" borderId="21" xfId="0" applyFont="1" applyFill="1" applyBorder="1" applyAlignment="1">
      <alignment horizontal="center" vertical="center"/>
    </xf>
    <xf numFmtId="0" fontId="57" fillId="36" borderId="21" xfId="0" applyFont="1" applyFill="1" applyBorder="1" applyAlignment="1">
      <alignment horizontal="center" vertical="center"/>
    </xf>
    <xf numFmtId="0" fontId="58" fillId="11" borderId="21" xfId="0" applyFont="1" applyFill="1" applyBorder="1" applyAlignment="1">
      <alignment horizontal="center" vertical="center"/>
    </xf>
    <xf numFmtId="0" fontId="59" fillId="6" borderId="21" xfId="0" applyFont="1" applyFill="1" applyBorder="1" applyAlignment="1">
      <alignment horizontal="center" vertical="center"/>
    </xf>
    <xf numFmtId="0" fontId="60" fillId="37" borderId="21" xfId="0" applyFont="1" applyFill="1" applyBorder="1" applyAlignment="1">
      <alignment horizontal="center" vertical="center"/>
    </xf>
    <xf numFmtId="0" fontId="61" fillId="38" borderId="21" xfId="0" applyFont="1" applyFill="1" applyBorder="1" applyAlignment="1">
      <alignment horizontal="center" vertical="center"/>
    </xf>
    <xf numFmtId="0" fontId="62" fillId="5" borderId="21" xfId="0" applyFont="1" applyFill="1" applyBorder="1" applyAlignment="1">
      <alignment horizontal="center" vertical="center"/>
    </xf>
    <xf numFmtId="0" fontId="63" fillId="5" borderId="21" xfId="0" applyFont="1" applyFill="1" applyBorder="1" applyAlignment="1">
      <alignment horizontal="left" vertical="center"/>
    </xf>
    <xf numFmtId="0" fontId="5" fillId="5" borderId="21" xfId="0" applyFont="1" applyFill="1" applyBorder="1" applyAlignment="1">
      <alignment horizontal="center" vertical="center"/>
    </xf>
    <xf numFmtId="0" fontId="64" fillId="5" borderId="21" xfId="0" applyFont="1" applyFill="1" applyBorder="1" applyAlignment="1">
      <alignment horizontal="center" vertical="center"/>
    </xf>
    <xf numFmtId="0" fontId="65" fillId="5" borderId="21" xfId="0" applyFont="1" applyFill="1" applyBorder="1" applyAlignment="1">
      <alignment horizontal="center" vertical="center"/>
    </xf>
    <xf numFmtId="0" fontId="66" fillId="5" borderId="21" xfId="0" applyFont="1" applyFill="1" applyBorder="1" applyAlignment="1">
      <alignment horizontal="center" vertical="center"/>
    </xf>
    <xf numFmtId="0" fontId="67" fillId="5" borderId="21" xfId="0" applyFont="1" applyFill="1" applyBorder="1" applyAlignment="1">
      <alignment horizontal="center" vertical="center"/>
    </xf>
    <xf numFmtId="0" fontId="68" fillId="5" borderId="21" xfId="0" applyFont="1" applyFill="1" applyBorder="1" applyAlignment="1">
      <alignment horizontal="center" vertical="center"/>
    </xf>
    <xf numFmtId="0" fontId="69" fillId="5" borderId="21" xfId="0" applyFont="1" applyFill="1" applyBorder="1" applyAlignment="1">
      <alignment horizontal="center" vertical="center"/>
    </xf>
    <xf numFmtId="0" fontId="70" fillId="5" borderId="21" xfId="0" applyFont="1" applyFill="1" applyBorder="1" applyAlignment="1">
      <alignment horizontal="center" vertical="center"/>
    </xf>
    <xf numFmtId="0" fontId="71" fillId="5" borderId="21" xfId="0" applyFont="1" applyFill="1" applyBorder="1" applyAlignment="1">
      <alignment horizontal="center" vertical="center"/>
    </xf>
    <xf numFmtId="0" fontId="72" fillId="6" borderId="0" xfId="0" applyFont="1" applyFill="1" applyAlignment="1">
      <alignment horizontal="left" vertical="center"/>
    </xf>
    <xf numFmtId="0" fontId="72" fillId="6" borderId="0" xfId="0" applyFont="1" applyFill="1" applyAlignment="1">
      <alignment horizontal="center" vertical="center"/>
    </xf>
    <xf numFmtId="0" fontId="72" fillId="6" borderId="0" xfId="0" applyFont="1" applyFill="1" applyAlignment="1">
      <alignment horizontal="left" vertical="center" wrapText="1"/>
    </xf>
    <xf numFmtId="0" fontId="63" fillId="5" borderId="21" xfId="0" applyFont="1" applyFill="1" applyBorder="1" applyAlignment="1">
      <alignment horizontal="left" vertical="center" wrapText="1"/>
    </xf>
    <xf numFmtId="0" fontId="20" fillId="12" borderId="22" xfId="0" applyFont="1" applyFill="1" applyBorder="1" applyAlignment="1">
      <alignment horizontal="center" vertical="center" wrapText="1"/>
    </xf>
    <xf numFmtId="167" fontId="74" fillId="25" borderId="23" xfId="0" applyNumberFormat="1" applyFont="1" applyFill="1" applyBorder="1" applyAlignment="1">
      <alignment horizontal="center" vertical="center" wrapText="1"/>
    </xf>
    <xf numFmtId="0" fontId="75" fillId="27" borderId="23" xfId="0" applyFont="1" applyFill="1" applyBorder="1" applyAlignment="1">
      <alignment horizontal="left" vertical="center" wrapText="1"/>
    </xf>
    <xf numFmtId="0" fontId="76" fillId="27" borderId="23" xfId="0" applyFont="1" applyFill="1" applyBorder="1" applyAlignment="1">
      <alignment horizontal="center" vertical="center" wrapText="1"/>
    </xf>
    <xf numFmtId="0" fontId="77" fillId="29" borderId="24" xfId="0" applyFont="1" applyFill="1" applyBorder="1" applyAlignment="1">
      <alignment horizontal="center" vertical="center" wrapText="1"/>
    </xf>
    <xf numFmtId="0" fontId="52" fillId="34" borderId="0" xfId="0" applyFont="1" applyFill="1" applyAlignment="1">
      <alignment horizontal="center" vertical="center"/>
    </xf>
    <xf numFmtId="0" fontId="3" fillId="34" borderId="0" xfId="0" applyFont="1" applyFill="1" applyAlignment="1">
      <alignment horizontal="center" vertical="center"/>
    </xf>
    <xf numFmtId="0" fontId="14" fillId="34" borderId="26" xfId="0" applyFont="1" applyFill="1" applyBorder="1" applyAlignment="1">
      <alignment horizontal="center" vertical="center"/>
    </xf>
    <xf numFmtId="0" fontId="78" fillId="0" borderId="0" xfId="0" applyFont="1"/>
    <xf numFmtId="0" fontId="62" fillId="5" borderId="26" xfId="0" applyFont="1" applyFill="1" applyBorder="1" applyAlignment="1">
      <alignment horizontal="center" vertical="center"/>
    </xf>
    <xf numFmtId="0" fontId="63" fillId="5" borderId="26" xfId="0" applyFont="1" applyFill="1" applyBorder="1" applyAlignment="1">
      <alignment horizontal="left" vertical="center" indent="1"/>
    </xf>
    <xf numFmtId="0" fontId="63" fillId="5" borderId="26" xfId="0" applyFont="1" applyFill="1" applyBorder="1" applyAlignment="1">
      <alignment horizontal="justify" vertical="center"/>
    </xf>
    <xf numFmtId="167" fontId="63" fillId="5" borderId="26" xfId="0" applyNumberFormat="1" applyFont="1" applyFill="1" applyBorder="1" applyAlignment="1">
      <alignment horizontal="center" vertical="center"/>
    </xf>
    <xf numFmtId="0" fontId="62" fillId="8" borderId="26" xfId="0" applyFont="1" applyFill="1" applyBorder="1" applyAlignment="1">
      <alignment horizontal="center" vertical="center"/>
    </xf>
    <xf numFmtId="0" fontId="63" fillId="8" borderId="26" xfId="0" applyFont="1" applyFill="1" applyBorder="1" applyAlignment="1">
      <alignment horizontal="left" vertical="center" indent="1"/>
    </xf>
    <xf numFmtId="0" fontId="63" fillId="8" borderId="26" xfId="0" applyFont="1" applyFill="1" applyBorder="1" applyAlignment="1">
      <alignment horizontal="justify" vertical="center"/>
    </xf>
    <xf numFmtId="167" fontId="63" fillId="8" borderId="26" xfId="0" applyNumberFormat="1" applyFont="1" applyFill="1" applyBorder="1" applyAlignment="1">
      <alignment horizontal="center" vertical="center"/>
    </xf>
    <xf numFmtId="0" fontId="0" fillId="0" borderId="0" xfId="0" applyAlignment="1">
      <alignment wrapText="1"/>
    </xf>
    <xf numFmtId="0" fontId="23" fillId="39" borderId="2" xfId="0" applyFont="1" applyFill="1" applyBorder="1" applyAlignment="1">
      <alignment horizontal="center" vertical="center"/>
    </xf>
    <xf numFmtId="0" fontId="81" fillId="14" borderId="27" xfId="0" applyFont="1" applyFill="1" applyBorder="1" applyAlignment="1">
      <alignment horizontal="center" vertical="center"/>
    </xf>
    <xf numFmtId="0" fontId="23" fillId="39" borderId="27" xfId="0" applyFont="1" applyFill="1" applyBorder="1" applyAlignment="1">
      <alignment horizontal="center" vertical="center"/>
    </xf>
    <xf numFmtId="0" fontId="23" fillId="39" borderId="10" xfId="0" applyFont="1" applyFill="1" applyBorder="1" applyAlignment="1">
      <alignment horizontal="center" vertical="center"/>
    </xf>
    <xf numFmtId="0" fontId="17" fillId="0" borderId="0" xfId="0" applyFont="1" applyAlignment="1">
      <alignment horizontal="justify" vertical="center"/>
    </xf>
    <xf numFmtId="0" fontId="17" fillId="0" borderId="0" xfId="0" applyFont="1" applyAlignment="1">
      <alignment horizontal="center" vertical="center"/>
    </xf>
    <xf numFmtId="0" fontId="15" fillId="0" borderId="6" xfId="0" applyFont="1" applyBorder="1" applyAlignment="1">
      <alignment horizontal="center" vertical="center"/>
    </xf>
    <xf numFmtId="0" fontId="16" fillId="0" borderId="6" xfId="0" applyFont="1" applyBorder="1" applyAlignment="1">
      <alignment horizontal="left" vertical="center"/>
    </xf>
    <xf numFmtId="0" fontId="16" fillId="0" borderId="6" xfId="0" applyFont="1" applyBorder="1" applyAlignment="1">
      <alignment horizontal="left" vertical="center" wrapText="1"/>
    </xf>
    <xf numFmtId="14" fontId="17" fillId="0" borderId="2" xfId="0" applyNumberFormat="1" applyFont="1" applyBorder="1" applyAlignment="1">
      <alignment horizontal="center" vertical="center"/>
    </xf>
    <xf numFmtId="0" fontId="3" fillId="2" borderId="1" xfId="0" applyFont="1" applyFill="1" applyBorder="1" applyAlignment="1">
      <alignment horizontal="center" vertical="center" wrapText="1"/>
    </xf>
    <xf numFmtId="0" fontId="4" fillId="2" borderId="1"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13" fillId="0" borderId="0" xfId="0" applyFont="1" applyAlignment="1">
      <alignment horizontal="left" vertical="center" wrapText="1"/>
    </xf>
    <xf numFmtId="0" fontId="31" fillId="23" borderId="0" xfId="0" applyFont="1" applyFill="1" applyAlignment="1">
      <alignment horizontal="center" vertical="center" wrapText="1"/>
    </xf>
    <xf numFmtId="0" fontId="32" fillId="24" borderId="0" xfId="0" applyFont="1" applyFill="1" applyAlignment="1">
      <alignment horizontal="left" vertical="center"/>
    </xf>
    <xf numFmtId="0" fontId="35" fillId="29" borderId="14" xfId="0" applyFont="1" applyFill="1" applyBorder="1" applyAlignment="1">
      <alignment horizontal="center" vertical="center" wrapText="1"/>
    </xf>
    <xf numFmtId="0" fontId="27" fillId="0" borderId="0" xfId="0" applyFont="1" applyAlignment="1">
      <alignment horizontal="left" vertical="center" wrapText="1"/>
    </xf>
    <xf numFmtId="0" fontId="38" fillId="32" borderId="18" xfId="0" applyFont="1" applyFill="1" applyBorder="1" applyAlignment="1">
      <alignment horizontal="center" vertical="center" wrapText="1"/>
    </xf>
    <xf numFmtId="0" fontId="46" fillId="30" borderId="6" xfId="0" applyFont="1" applyFill="1" applyBorder="1" applyAlignment="1">
      <alignment horizontal="right" vertical="center"/>
    </xf>
    <xf numFmtId="0" fontId="48" fillId="0" borderId="19" xfId="0" applyFont="1" applyBorder="1" applyAlignment="1">
      <alignment horizontal="right" vertical="center"/>
    </xf>
    <xf numFmtId="0" fontId="19" fillId="30" borderId="6" xfId="0" applyFont="1" applyFill="1" applyBorder="1" applyAlignment="1">
      <alignment horizontal="right" vertical="center"/>
    </xf>
    <xf numFmtId="0" fontId="37" fillId="30" borderId="6" xfId="0" applyFont="1" applyFill="1" applyBorder="1" applyAlignment="1">
      <alignment horizontal="right" vertical="center"/>
    </xf>
    <xf numFmtId="0" fontId="37" fillId="30" borderId="2" xfId="0" applyFont="1" applyFill="1" applyBorder="1" applyAlignment="1">
      <alignment horizontal="center" vertical="center"/>
    </xf>
    <xf numFmtId="0" fontId="37" fillId="17" borderId="2" xfId="0" applyFont="1" applyFill="1" applyBorder="1" applyAlignment="1">
      <alignment horizontal="center" vertical="center"/>
    </xf>
    <xf numFmtId="0" fontId="37" fillId="14" borderId="2" xfId="0" applyFont="1" applyFill="1" applyBorder="1" applyAlignment="1">
      <alignment horizontal="center" vertical="center" wrapText="1"/>
    </xf>
    <xf numFmtId="0" fontId="38" fillId="31" borderId="17" xfId="0" applyFont="1" applyFill="1" applyBorder="1" applyAlignment="1">
      <alignment horizontal="center" vertical="center" wrapText="1"/>
    </xf>
    <xf numFmtId="0" fontId="37" fillId="30" borderId="6" xfId="0" applyFont="1" applyFill="1" applyBorder="1" applyAlignment="1">
      <alignment horizontal="center" vertical="center"/>
    </xf>
    <xf numFmtId="0" fontId="37" fillId="30" borderId="16" xfId="0" applyFont="1" applyFill="1" applyBorder="1" applyAlignment="1">
      <alignment horizontal="center" vertical="center"/>
    </xf>
    <xf numFmtId="0" fontId="50" fillId="34" borderId="21" xfId="0" applyFont="1" applyFill="1" applyBorder="1" applyAlignment="1">
      <alignment horizontal="center" vertical="center"/>
    </xf>
    <xf numFmtId="0" fontId="51" fillId="3" borderId="21" xfId="0" applyFont="1" applyFill="1" applyBorder="1" applyAlignment="1">
      <alignment horizontal="center" vertical="center"/>
    </xf>
    <xf numFmtId="0" fontId="33" fillId="23" borderId="0" xfId="0" applyFont="1" applyFill="1" applyAlignment="1">
      <alignment horizontal="center" vertical="center" wrapText="1"/>
    </xf>
    <xf numFmtId="0" fontId="73" fillId="24" borderId="0" xfId="0" applyFont="1" applyFill="1" applyAlignment="1">
      <alignment horizontal="left" vertical="center" wrapText="1"/>
    </xf>
    <xf numFmtId="0" fontId="50" fillId="34" borderId="0" xfId="0" applyFont="1" applyFill="1" applyAlignment="1">
      <alignment horizontal="center" vertical="center"/>
    </xf>
    <xf numFmtId="0" fontId="51" fillId="3" borderId="0" xfId="0" applyFont="1" applyFill="1" applyAlignment="1">
      <alignment horizontal="center" vertical="center"/>
    </xf>
    <xf numFmtId="0" fontId="9" fillId="26" borderId="25" xfId="0" applyFont="1" applyFill="1" applyBorder="1" applyAlignment="1">
      <alignment horizontal="left" vertical="center" indent="1"/>
    </xf>
    <xf numFmtId="0" fontId="79" fillId="0" borderId="0" xfId="0" applyFont="1" applyAlignment="1">
      <alignment horizontal="left" vertical="center" indent="1"/>
    </xf>
    <xf numFmtId="0" fontId="23" fillId="39" borderId="0" xfId="0" applyFont="1" applyFill="1" applyAlignment="1">
      <alignment horizontal="center" vertical="center"/>
    </xf>
    <xf numFmtId="0" fontId="23" fillId="39" borderId="20" xfId="0" applyFont="1" applyFill="1" applyBorder="1" applyAlignment="1">
      <alignment horizontal="right" vertical="center"/>
    </xf>
    <xf numFmtId="0" fontId="23" fillId="39" borderId="28" xfId="0" applyFont="1" applyFill="1" applyBorder="1" applyAlignment="1">
      <alignment horizontal="center" vertical="center"/>
    </xf>
    <xf numFmtId="0" fontId="16" fillId="0" borderId="0" xfId="0" applyFont="1" applyAlignment="1">
      <alignment horizontal="center" vertical="center"/>
    </xf>
  </cellXfs>
  <cellStyles count="8">
    <cellStyle name="Normal" xfId="0" builtinId="0"/>
    <cellStyle name="Normal 2" xfId="1" xr:uid="{00000000-0005-0000-0000-000006000000}"/>
    <cellStyle name="Pivot Table Category" xfId="2" xr:uid="{00000000-0005-0000-0000-000007000000}"/>
    <cellStyle name="Pivot Table Corner" xfId="3" xr:uid="{00000000-0005-0000-0000-000008000000}"/>
    <cellStyle name="Pivot Table Field" xfId="4" xr:uid="{00000000-0005-0000-0000-000009000000}"/>
    <cellStyle name="Pivot Table Result" xfId="5" xr:uid="{00000000-0005-0000-0000-00000A000000}"/>
    <cellStyle name="Pivot Table Title" xfId="6" xr:uid="{00000000-0005-0000-0000-00000B000000}"/>
    <cellStyle name="Pivot Table Value" xfId="7" xr:uid="{00000000-0005-0000-0000-00000C000000}"/>
  </cellStyles>
  <dxfs count="43">
    <dxf>
      <fill>
        <patternFill>
          <bgColor theme="4" tint="0.39939573351237523"/>
        </patternFill>
      </fill>
    </dxf>
    <dxf>
      <fill>
        <patternFill>
          <bgColor theme="4" tint="0.39939573351237523"/>
        </patternFill>
      </fill>
    </dxf>
    <dxf>
      <fill>
        <patternFill>
          <bgColor theme="4" tint="0.39939573351237523"/>
        </patternFill>
      </fill>
    </dxf>
    <dxf>
      <font>
        <color rgb="FFBFBFBF"/>
      </font>
      <fill>
        <patternFill>
          <bgColor rgb="FFF2F2F2"/>
        </patternFill>
      </fill>
    </dxf>
    <dxf>
      <font>
        <b/>
        <color rgb="FF7F6000"/>
      </font>
      <fill>
        <patternFill>
          <bgColor rgb="FFFFF2CC"/>
        </patternFill>
      </fill>
    </dxf>
    <dxf>
      <font>
        <b/>
        <color rgb="FFC00000"/>
      </font>
      <fill>
        <patternFill>
          <bgColor rgb="FFFCE4D6"/>
        </patternFill>
      </fill>
    </dxf>
    <dxf>
      <fill>
        <patternFill>
          <bgColor theme="4" tint="0.59959715567491678"/>
        </patternFill>
      </fill>
    </dxf>
    <dxf>
      <fill>
        <patternFill>
          <bgColor theme="4" tint="0.59959715567491678"/>
        </patternFill>
      </fill>
    </dxf>
    <dxf>
      <fill>
        <patternFill>
          <bgColor theme="4" tint="0.59959715567491678"/>
        </patternFill>
      </fill>
    </dxf>
    <dxf>
      <fill>
        <patternFill>
          <bgColor theme="4" tint="0.59959715567491678"/>
        </patternFill>
      </fill>
    </dxf>
    <dxf>
      <font>
        <b/>
        <color rgb="FFFFFFFF"/>
      </font>
      <fill>
        <patternFill>
          <bgColor rgb="FFC00000"/>
        </patternFill>
      </fill>
    </dxf>
    <dxf>
      <fill>
        <patternFill>
          <bgColor rgb="FF660033"/>
        </patternFill>
      </fill>
    </dxf>
    <dxf>
      <font>
        <color rgb="FFFFFFFF"/>
      </font>
      <fill>
        <patternFill>
          <bgColor rgb="FF00B050"/>
        </patternFill>
      </fill>
    </dxf>
    <dxf>
      <font>
        <color rgb="FFFFFFFF"/>
      </font>
      <fill>
        <patternFill>
          <bgColor theme="5" tint="0.39939573351237523"/>
        </patternFill>
      </fill>
    </dxf>
    <dxf>
      <font>
        <color rgb="FFFFFF00"/>
      </font>
      <fill>
        <patternFill>
          <bgColor rgb="FF0070C0"/>
        </patternFill>
      </fill>
    </dxf>
    <dxf>
      <font>
        <color rgb="FFFFFF00"/>
      </font>
      <fill>
        <patternFill>
          <bgColor rgb="FF002060"/>
        </patternFill>
      </fill>
    </dxf>
    <dxf>
      <font>
        <color rgb="FFFFFFFF"/>
      </font>
      <fill>
        <patternFill>
          <bgColor rgb="FF7030A0"/>
        </patternFill>
      </fill>
    </dxf>
    <dxf>
      <font>
        <color rgb="FFFFFFFF"/>
      </font>
      <fill>
        <patternFill>
          <bgColor rgb="FFFF0000"/>
        </patternFill>
      </fill>
    </dxf>
    <dxf>
      <font>
        <color rgb="FFFFFFFF"/>
      </font>
      <fill>
        <patternFill>
          <bgColor theme="1"/>
        </patternFill>
      </fill>
    </dxf>
    <dxf>
      <font>
        <color rgb="FFFFFFFF"/>
      </font>
      <fill>
        <patternFill>
          <bgColor rgb="FF00B050"/>
        </patternFill>
      </fill>
    </dxf>
    <dxf>
      <font>
        <color rgb="FFFFFFFF"/>
      </font>
      <fill>
        <patternFill>
          <bgColor theme="5" tint="0.39939573351237523"/>
        </patternFill>
      </fill>
    </dxf>
    <dxf>
      <font>
        <color rgb="FFFFFF00"/>
      </font>
      <fill>
        <patternFill>
          <bgColor rgb="FF0070C0"/>
        </patternFill>
      </fill>
    </dxf>
    <dxf>
      <font>
        <color rgb="FFFFFF00"/>
      </font>
      <fill>
        <patternFill>
          <bgColor rgb="FF002060"/>
        </patternFill>
      </fill>
    </dxf>
    <dxf>
      <font>
        <color rgb="FFFFFFFF"/>
      </font>
      <fill>
        <patternFill>
          <bgColor rgb="FF7030A0"/>
        </patternFill>
      </fill>
    </dxf>
    <dxf>
      <font>
        <color rgb="FFFFFFFF"/>
      </font>
      <fill>
        <patternFill>
          <bgColor rgb="FFFF0000"/>
        </patternFill>
      </fill>
    </dxf>
    <dxf>
      <font>
        <color rgb="FFFFFFFF"/>
      </font>
      <fill>
        <patternFill>
          <bgColor theme="1"/>
        </patternFill>
      </fill>
    </dxf>
    <dxf>
      <fill>
        <patternFill>
          <bgColor theme="4" tint="0.59959715567491678"/>
        </patternFill>
      </fill>
    </dxf>
    <dxf>
      <fill>
        <patternFill>
          <bgColor theme="7" tint="0.39939573351237523"/>
        </patternFill>
      </fill>
    </dxf>
    <dxf>
      <fill>
        <patternFill>
          <bgColor theme="7" tint="0.39939573351237523"/>
        </patternFill>
      </fill>
    </dxf>
    <dxf>
      <fill>
        <patternFill>
          <bgColor theme="7" tint="0.39939573351237523"/>
        </patternFill>
      </fill>
    </dxf>
    <dxf>
      <fill>
        <patternFill>
          <bgColor theme="7" tint="0.39939573351237523"/>
        </patternFill>
      </fill>
    </dxf>
    <dxf>
      <fill>
        <patternFill>
          <bgColor theme="7" tint="0.39939573351237523"/>
        </patternFill>
      </fill>
    </dxf>
    <dxf>
      <fill>
        <patternFill>
          <bgColor theme="7" tint="0.39939573351237523"/>
        </patternFill>
      </fill>
    </dxf>
    <dxf>
      <fill>
        <patternFill>
          <bgColor theme="7" tint="0.39939573351237523"/>
        </patternFill>
      </fill>
    </dxf>
    <dxf>
      <fill>
        <patternFill>
          <bgColor theme="7" tint="0.39939573351237523"/>
        </patternFill>
      </fill>
    </dxf>
    <dxf>
      <fill>
        <patternFill>
          <bgColor theme="4" tint="0.59959715567491678"/>
        </patternFill>
      </fill>
    </dxf>
    <dxf>
      <fill>
        <patternFill>
          <bgColor theme="4" tint="0.59959715567491678"/>
        </patternFill>
      </fill>
    </dxf>
    <dxf>
      <font>
        <b/>
        <color rgb="FFC00000"/>
      </font>
      <fill>
        <patternFill>
          <bgColor rgb="FFFCE4D6"/>
        </patternFill>
      </fill>
    </dxf>
    <dxf>
      <fill>
        <patternFill>
          <bgColor theme="4" tint="0.59959715567491678"/>
        </patternFill>
      </fill>
    </dxf>
    <dxf>
      <fill>
        <patternFill>
          <bgColor theme="4" tint="0.59959715567491678"/>
        </patternFill>
      </fill>
    </dxf>
    <dxf>
      <fill>
        <patternFill>
          <bgColor theme="4" tint="0.59959715567491678"/>
        </patternFill>
      </fill>
    </dxf>
    <dxf>
      <fill>
        <patternFill>
          <bgColor theme="4" tint="0.59959715567491678"/>
        </patternFill>
      </fill>
    </dxf>
    <dxf>
      <fill>
        <patternFill>
          <bgColor theme="4" tint="0.59959715567491678"/>
        </patternFill>
      </fill>
    </dxf>
  </dxfs>
  <tableStyles count="0" defaultTableStyle="TableStyleMedium2" defaultPivotStyle="PivotStyleLight16"/>
  <colors>
    <indexedColors>
      <rgbColor rgb="FF000000"/>
      <rgbColor rgb="FFFFFFFF"/>
      <rgbColor rgb="FFFF0000"/>
      <rgbColor rgb="FFEBF4F8"/>
      <rgbColor rgb="FF2F5597"/>
      <rgbColor rgb="FFFFFF00"/>
      <rgbColor rgb="FFFFEBE9"/>
      <rgbColor rgb="FFDEEAF1"/>
      <rgbColor rgb="FFC00000"/>
      <rgbColor rgb="FF1F4E79"/>
      <rgbColor rgb="FF28071A"/>
      <rgbColor rgb="FF765D0A"/>
      <rgbColor rgb="FFF2F2F2"/>
      <rgbColor rgb="FF2D6A8A"/>
      <rgbColor rgb="FFCFCBC0"/>
      <rgbColor rgb="FF757575"/>
      <rgbColor rgb="FF95B3D7"/>
      <rgbColor rgb="FF7030A0"/>
      <rgbColor rgb="FFFFF9C4"/>
      <rgbColor rgb="FFE3F2FD"/>
      <rgbColor rgb="FF5B2CA0"/>
      <rgbColor rgb="FFD9D9D9"/>
      <rgbColor rgb="FF006AC0"/>
      <rgbColor rgb="FFBDD7EE"/>
      <rgbColor rgb="FF1F3864"/>
      <rgbColor rgb="FFFFF2F2"/>
      <rgbColor rgb="FFFFF8E1"/>
      <rgbColor rgb="FFEBF4FA"/>
      <rgbColor rgb="FFF2F4F4"/>
      <rgbColor rgb="FFFFF3E0"/>
      <rgbColor rgb="FF1B5E4D"/>
      <rgbColor rgb="FFF5F5F5"/>
      <rgbColor rgb="FFEDE7F6"/>
      <rgbColor rgb="FFDEEBF7"/>
      <rgbColor rgb="FFE8F5E9"/>
      <rgbColor rgb="FFFFF2CC"/>
      <rgbColor rgb="FF9CC3E6"/>
      <rgbColor rgb="FFF4B183"/>
      <rgbColor rgb="FF9DC3E6"/>
      <rgbColor rgb="FFFFD966"/>
      <rgbColor rgb="FF2E75B6"/>
      <rgbColor rgb="FFD6E8F0"/>
      <rgbColor rgb="FFC8D8E0"/>
      <rgbColor rgb="FFFCE4D6"/>
      <rgbColor rgb="FFDAD8E0"/>
      <rgbColor rgb="FFE65100"/>
      <rgbColor rgb="FF645A56"/>
      <rgbColor rgb="FF959595"/>
      <rgbColor rgb="FF002060"/>
      <rgbColor rgb="FF00B050"/>
      <rgbColor rgb="FF1B3A4B"/>
      <rgbColor rgb="FF1A384A"/>
      <rgbColor rgb="FFC62828"/>
      <rgbColor rgb="FFCB5614"/>
      <rgbColor rgb="FF4527A0"/>
      <rgbColor rgb="FF1D3A49"/>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eması">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B1:D35"/>
  <sheetViews>
    <sheetView showGridLines="0" showZeros="0" topLeftCell="A3" zoomScaleNormal="100" workbookViewId="0">
      <selection activeCell="C12" sqref="C12"/>
    </sheetView>
  </sheetViews>
  <sheetFormatPr defaultColWidth="8.7109375" defaultRowHeight="15" x14ac:dyDescent="0.25"/>
  <cols>
    <col min="1" max="1" width="3" customWidth="1"/>
    <col min="2" max="2" width="42" customWidth="1"/>
    <col min="3" max="3" width="14" customWidth="1"/>
    <col min="4" max="4" width="52" customWidth="1"/>
    <col min="5" max="5" width="3" customWidth="1"/>
  </cols>
  <sheetData>
    <row r="1" spans="2:4" ht="18" customHeight="1" x14ac:dyDescent="0.25"/>
    <row r="2" spans="2:4" ht="31.5" customHeight="1" x14ac:dyDescent="0.25">
      <c r="B2" s="202" t="s">
        <v>0</v>
      </c>
      <c r="C2" s="202"/>
      <c r="D2" s="202"/>
    </row>
    <row r="3" spans="2:4" ht="24" customHeight="1" x14ac:dyDescent="0.25">
      <c r="B3" s="203" t="s">
        <v>1</v>
      </c>
      <c r="C3" s="203"/>
      <c r="D3" s="203"/>
    </row>
    <row r="4" spans="2:4" ht="18" customHeight="1" x14ac:dyDescent="0.25">
      <c r="B4" s="204" t="s">
        <v>2</v>
      </c>
      <c r="C4" s="204"/>
      <c r="D4" s="204"/>
    </row>
    <row r="5" spans="2:4" ht="7.5" customHeight="1" x14ac:dyDescent="0.25"/>
    <row r="6" spans="2:4" ht="21.75" customHeight="1" x14ac:dyDescent="0.25">
      <c r="B6" s="2" t="s">
        <v>3</v>
      </c>
      <c r="C6" s="2" t="s">
        <v>4</v>
      </c>
      <c r="D6" s="3" t="s">
        <v>5</v>
      </c>
    </row>
    <row r="7" spans="2:4" ht="21.75" customHeight="1" x14ac:dyDescent="0.25">
      <c r="B7" s="4" t="s">
        <v>6</v>
      </c>
      <c r="C7" s="5">
        <f>COUNTIFS(Başvuru!B:B,"SBA 26/*",Başvuru!F:F,"&lt;&gt;"&amp;"")</f>
        <v>741</v>
      </c>
      <c r="D7" s="6" t="s">
        <v>7</v>
      </c>
    </row>
    <row r="8" spans="2:4" ht="21.75" customHeight="1" x14ac:dyDescent="0.25">
      <c r="B8" s="4" t="s">
        <v>8</v>
      </c>
      <c r="C8" s="5">
        <f>COUNTA(Sayılar!B4:B26)</f>
        <v>17</v>
      </c>
      <c r="D8" s="6" t="s">
        <v>9</v>
      </c>
    </row>
    <row r="9" spans="2:4" ht="6" customHeight="1" x14ac:dyDescent="0.25"/>
    <row r="10" spans="2:4" ht="15" customHeight="1" x14ac:dyDescent="0.25">
      <c r="B10" s="7" t="s">
        <v>10</v>
      </c>
      <c r="C10" s="8">
        <f>COUNTIFS(Başvuru!L:L,"DÜZELTME",Başvuru!F:F,"&lt;&gt;"&amp;"")</f>
        <v>208</v>
      </c>
      <c r="D10" s="6" t="s">
        <v>11</v>
      </c>
    </row>
    <row r="11" spans="2:4" ht="6" customHeight="1" x14ac:dyDescent="0.25"/>
    <row r="12" spans="2:4" ht="15" customHeight="1" x14ac:dyDescent="0.25">
      <c r="B12" s="7" t="s">
        <v>12</v>
      </c>
      <c r="C12" s="8">
        <f>MAX(Başvuru!$Z$2:$Z$1833)</f>
        <v>82</v>
      </c>
      <c r="D12" s="6" t="s">
        <v>13</v>
      </c>
    </row>
    <row r="13" spans="2:4" ht="15" customHeight="1" x14ac:dyDescent="0.25">
      <c r="B13" s="7" t="s">
        <v>14</v>
      </c>
      <c r="C13" s="8">
        <f>MAX(Başvuru!$AB$2:$AB$1833)</f>
        <v>347</v>
      </c>
      <c r="D13" s="6" t="s">
        <v>15</v>
      </c>
    </row>
    <row r="14" spans="2:4" ht="21.75" customHeight="1" x14ac:dyDescent="0.25"/>
    <row r="15" spans="2:4" ht="24" customHeight="1" x14ac:dyDescent="0.25">
      <c r="B15" s="9" t="s">
        <v>16</v>
      </c>
      <c r="C15" s="10">
        <f>COUNTIFS(Başvuru!$A:$A,"&lt;&gt;",Başvuru!$F:$F,"&lt;&gt;",Başvuru!$L:$L,"&lt;&gt;")-1</f>
        <v>658</v>
      </c>
      <c r="D15" s="11" t="s">
        <v>17</v>
      </c>
    </row>
    <row r="16" spans="2:4" ht="15" customHeight="1" x14ac:dyDescent="0.25">
      <c r="B16" s="12" t="s">
        <v>18</v>
      </c>
      <c r="C16" s="13">
        <f>COUNTIFS(Başvuru!P:P,"ONAY",Başvuru!F:F,"&lt;&gt;"&amp;"")</f>
        <v>545</v>
      </c>
      <c r="D16" s="14" t="s">
        <v>19</v>
      </c>
    </row>
    <row r="17" spans="2:4" ht="15" customHeight="1" x14ac:dyDescent="0.25">
      <c r="B17" s="12" t="s">
        <v>20</v>
      </c>
      <c r="C17" s="13">
        <f>COUNTIFS(Başvuru!L:L,"DÜZELTME",Başvuru!M:M,"&lt;&gt;"&amp;"",Başvuru!F:F,"&lt;&gt;"&amp;"")</f>
        <v>162</v>
      </c>
      <c r="D17" s="14" t="s">
        <v>21</v>
      </c>
    </row>
    <row r="18" spans="2:4" ht="24" customHeight="1" x14ac:dyDescent="0.25">
      <c r="B18" s="15" t="s">
        <v>22</v>
      </c>
      <c r="C18" s="16">
        <f>COUNTIFS(Başvuru!L:L,"DÜZELTME",Başvuru!M:M,"",Başvuru!F:F,"&lt;&gt;"&amp;"")</f>
        <v>46</v>
      </c>
      <c r="D18" s="14" t="s">
        <v>23</v>
      </c>
    </row>
    <row r="19" spans="2:4" ht="24" customHeight="1" x14ac:dyDescent="0.25">
      <c r="B19" s="17" t="s">
        <v>24</v>
      </c>
      <c r="C19" s="18">
        <f>COUNTIFS(Başvuru!L:L,"KAEK",Başvuru!F:F,"&lt;&gt;"&amp;"")</f>
        <v>17</v>
      </c>
      <c r="D19" s="14" t="s">
        <v>25</v>
      </c>
    </row>
    <row r="20" spans="2:4" ht="15" customHeight="1" x14ac:dyDescent="0.25">
      <c r="B20" s="19" t="s">
        <v>26</v>
      </c>
      <c r="C20" s="8">
        <f>COUNTIFS(Başvuru!P:P,"KAPSAM DIŞI",Başvuru!F:F,"&lt;&gt;"&amp;"")</f>
        <v>15</v>
      </c>
      <c r="D20" s="14" t="s">
        <v>27</v>
      </c>
    </row>
    <row r="21" spans="2:4" ht="15" customHeight="1" x14ac:dyDescent="0.25">
      <c r="B21" s="20" t="s">
        <v>28</v>
      </c>
      <c r="C21" s="21">
        <f>COUNTIFS(Başvuru!P:P,"RET",Başvuru!F:F,"&lt;&gt;"&amp;"")</f>
        <v>19</v>
      </c>
      <c r="D21" s="14" t="s">
        <v>29</v>
      </c>
    </row>
    <row r="22" spans="2:4" ht="15" customHeight="1" x14ac:dyDescent="0.25">
      <c r="B22" s="19" t="s">
        <v>30</v>
      </c>
      <c r="C22" s="8">
        <f>COUNTIFS(Başvuru!P:P,"GERİ ÇEKİLDİ",Başvuru!F:F,"&lt;&gt;"&amp;"")</f>
        <v>4</v>
      </c>
      <c r="D22" s="14" t="s">
        <v>31</v>
      </c>
    </row>
    <row r="24" spans="2:4" ht="15" customHeight="1" x14ac:dyDescent="0.25">
      <c r="B24" s="4" t="s">
        <v>32</v>
      </c>
      <c r="C24" s="5">
        <f>COUNTIFS(Başvuru!L:L,"GÖRÜŞ",Başvuru!F:F,"&lt;&gt;"&amp;"")</f>
        <v>25</v>
      </c>
      <c r="D24" s="6" t="s">
        <v>33</v>
      </c>
    </row>
    <row r="25" spans="2:4" ht="15" customHeight="1" x14ac:dyDescent="0.25">
      <c r="B25" s="22" t="s">
        <v>34</v>
      </c>
      <c r="C25" s="16">
        <f>COUNTIFS(Başvuru!L:L,"",Başvuru!J:J,"&lt;&gt;"&amp;"",Başvuru!F:F,"&lt;&gt;"&amp;"")</f>
        <v>65</v>
      </c>
      <c r="D25" s="6" t="s">
        <v>35</v>
      </c>
    </row>
    <row r="27" spans="2:4" ht="15" customHeight="1" x14ac:dyDescent="0.25">
      <c r="B27" s="9" t="s">
        <v>36</v>
      </c>
      <c r="C27" s="23"/>
      <c r="D27" s="11" t="s">
        <v>37</v>
      </c>
    </row>
    <row r="28" spans="2:4" ht="15" customHeight="1" x14ac:dyDescent="0.25">
      <c r="B28" s="24" t="s">
        <v>38</v>
      </c>
      <c r="C28" s="5">
        <f>COUNTIFS(Başvuru!G:G,"Bireysel Araştırma",Başvuru!F:F,"&lt;&gt;"&amp;"")</f>
        <v>561</v>
      </c>
      <c r="D28" s="14"/>
    </row>
    <row r="29" spans="2:4" ht="15" customHeight="1" x14ac:dyDescent="0.25">
      <c r="B29" s="24" t="s">
        <v>39</v>
      </c>
      <c r="C29" s="5">
        <f>COUNTIFS(Başvuru!G:G,"Uzmanlık Tezi",Başvuru!F:F,"&lt;&gt;"&amp;"")</f>
        <v>126</v>
      </c>
      <c r="D29" s="14"/>
    </row>
    <row r="30" spans="2:4" ht="15" customHeight="1" x14ac:dyDescent="0.25">
      <c r="B30" s="24" t="s">
        <v>40</v>
      </c>
      <c r="C30" s="5">
        <f>COUNTIFS(Başvuru!G:G,"Yüksek Lisans Tezi",Başvuru!F:F,"&lt;&gt;"&amp;"")</f>
        <v>21</v>
      </c>
      <c r="D30" s="14"/>
    </row>
    <row r="31" spans="2:4" ht="15" customHeight="1" x14ac:dyDescent="0.25">
      <c r="B31" s="24" t="s">
        <v>41</v>
      </c>
      <c r="C31" s="5">
        <f>COUNTIFS(Başvuru!G:G,"Doktora Tezi",Başvuru!F:F,"&lt;&gt;"&amp;"")</f>
        <v>33</v>
      </c>
      <c r="D31" s="14"/>
    </row>
    <row r="33" spans="2:4" ht="18" customHeight="1" x14ac:dyDescent="0.25">
      <c r="B33" s="205" t="s">
        <v>42</v>
      </c>
      <c r="C33" s="205"/>
      <c r="D33" s="205"/>
    </row>
    <row r="35" spans="2:4" ht="15" customHeight="1" x14ac:dyDescent="0.25">
      <c r="B35" s="25">
        <f ca="1">TODAY()</f>
        <v>46247</v>
      </c>
    </row>
  </sheetData>
  <mergeCells count="4">
    <mergeCell ref="B2:D2"/>
    <mergeCell ref="B3:D3"/>
    <mergeCell ref="B4:D4"/>
    <mergeCell ref="B33:D33"/>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B050"/>
    <pageSetUpPr fitToPage="1"/>
  </sheetPr>
  <dimension ref="A1:AB1833"/>
  <sheetViews>
    <sheetView showZeros="0" tabSelected="1" zoomScale="90" zoomScaleNormal="90" workbookViewId="0">
      <pane xSplit="2" ySplit="1" topLeftCell="D735" activePane="bottomRight" state="frozen"/>
      <selection pane="topRight" activeCell="C1" sqref="C1"/>
      <selection pane="bottomLeft" activeCell="A730" sqref="A730"/>
      <selection pane="bottomRight" activeCell="I742" sqref="I742"/>
    </sheetView>
  </sheetViews>
  <sheetFormatPr defaultColWidth="26" defaultRowHeight="20.25" x14ac:dyDescent="0.25"/>
  <cols>
    <col min="1" max="1" width="6.28515625" style="26" customWidth="1"/>
    <col min="2" max="2" width="18.85546875" style="26" customWidth="1"/>
    <col min="3" max="3" width="48.7109375" style="26" customWidth="1"/>
    <col min="4" max="5" width="60.7109375" style="26" customWidth="1"/>
    <col min="6" max="6" width="50.7109375" style="27" customWidth="1"/>
    <col min="7" max="7" width="18.140625" style="28" customWidth="1"/>
    <col min="8" max="8" width="25.7109375" style="29" customWidth="1"/>
    <col min="9" max="9" width="18.28515625" style="30" customWidth="1"/>
    <col min="10" max="10" width="39.85546875" style="31" customWidth="1"/>
    <col min="11" max="11" width="39.85546875" style="29" customWidth="1"/>
    <col min="12" max="13" width="28" style="28" customWidth="1"/>
    <col min="14" max="15" width="21.140625" style="29" customWidth="1"/>
    <col min="16" max="16" width="20.5703125" style="32" customWidth="1"/>
    <col min="17" max="17" width="39.42578125" style="28" customWidth="1"/>
    <col min="18" max="18" width="20" style="33" customWidth="1"/>
    <col min="19" max="19" width="20.28515625" style="29" customWidth="1"/>
    <col min="20" max="20" width="30.7109375" style="29" customWidth="1"/>
    <col min="21" max="16384" width="26" style="29"/>
  </cols>
  <sheetData>
    <row r="1" spans="1:28" s="26" customFormat="1" ht="25.5" customHeight="1" x14ac:dyDescent="0.2">
      <c r="A1" s="34" t="s">
        <v>43</v>
      </c>
      <c r="B1" s="34" t="s">
        <v>44</v>
      </c>
      <c r="C1" s="34" t="s">
        <v>45</v>
      </c>
      <c r="D1" s="34" t="s">
        <v>46</v>
      </c>
      <c r="E1" s="34" t="s">
        <v>47</v>
      </c>
      <c r="F1" s="34" t="s">
        <v>48</v>
      </c>
      <c r="G1" s="34" t="s">
        <v>49</v>
      </c>
      <c r="H1" s="35" t="s">
        <v>50</v>
      </c>
      <c r="I1" s="36" t="s">
        <v>51</v>
      </c>
      <c r="J1" s="34" t="s">
        <v>52</v>
      </c>
      <c r="K1" s="34" t="s">
        <v>53</v>
      </c>
      <c r="L1" s="37" t="s">
        <v>54</v>
      </c>
      <c r="M1" s="38" t="s">
        <v>55</v>
      </c>
      <c r="N1" s="38" t="s">
        <v>56</v>
      </c>
      <c r="O1" s="39" t="s">
        <v>57</v>
      </c>
      <c r="P1" s="38" t="s">
        <v>58</v>
      </c>
      <c r="Q1" s="34" t="s">
        <v>59</v>
      </c>
      <c r="R1" s="40" t="s">
        <v>60</v>
      </c>
      <c r="T1" s="41"/>
      <c r="U1" s="42" t="s">
        <v>61</v>
      </c>
      <c r="V1" s="42" t="s">
        <v>62</v>
      </c>
      <c r="W1" s="42" t="s">
        <v>63</v>
      </c>
      <c r="X1" s="26" t="s">
        <v>64</v>
      </c>
      <c r="Y1" s="26" t="s">
        <v>65</v>
      </c>
      <c r="Z1" s="26" t="s">
        <v>66</v>
      </c>
      <c r="AA1" s="26" t="s">
        <v>67</v>
      </c>
      <c r="AB1" s="26" t="s">
        <v>68</v>
      </c>
    </row>
    <row r="2" spans="1:28" ht="63" customHeight="1" x14ac:dyDescent="0.2">
      <c r="A2" s="43" t="s">
        <v>69</v>
      </c>
      <c r="B2" s="43" t="s">
        <v>70</v>
      </c>
      <c r="C2" s="44" t="s">
        <v>71</v>
      </c>
      <c r="D2" s="44" t="s">
        <v>72</v>
      </c>
      <c r="E2" s="45" t="s">
        <v>73</v>
      </c>
      <c r="F2" s="45" t="s">
        <v>74</v>
      </c>
      <c r="G2" s="46" t="s">
        <v>38</v>
      </c>
      <c r="H2" s="47"/>
      <c r="I2" s="48">
        <v>46028</v>
      </c>
      <c r="J2" s="44" t="s">
        <v>75</v>
      </c>
      <c r="K2" s="44" t="s">
        <v>76</v>
      </c>
      <c r="L2" s="49" t="s">
        <v>77</v>
      </c>
      <c r="M2" s="50"/>
      <c r="N2" s="50"/>
      <c r="O2" s="49"/>
      <c r="P2" s="50" t="str">
        <f t="shared" ref="P2:P65" si="0">IF(O2&lt;&gt;"",O2, IF(N2&lt;&gt;"",N2, IF(M2&lt;&gt;"",M2, L2)))</f>
        <v>ONAY</v>
      </c>
      <c r="R2" s="51" t="str">
        <f t="shared" ref="R2:R65" si="1">IF(AND($I2&lt;&gt;"",$I2&gt;=DATE(2026,6,23),COUNTIFS($C:$C,$C2,$I:$I,$I2)&gt;2),"⚠ "&amp;COUNTIFS($C:$C,$C2,$I:$I,$I2)&amp;" BAŞVURU!","")</f>
        <v/>
      </c>
      <c r="S2" s="29" t="str">
        <f>IF(AND(P2="", B2&lt;&gt;""), B2, "")</f>
        <v/>
      </c>
      <c r="T2" s="41"/>
      <c r="U2" s="29">
        <f>IF($C2&lt;&gt;"",COUNTIF($C$2:C2,C2),"")</f>
        <v>1</v>
      </c>
      <c r="V2" s="29" t="str">
        <f t="shared" ref="V2:V65" si="2">IF($C2&lt;&gt;"",C2&amp;"§"&amp;U2,"")</f>
        <v>Dr. Vet. Hek. Özgür Doğuş EROL DUYAR§1</v>
      </c>
      <c r="W2" s="29">
        <f>IF(U2=1,COUNTIF($U$2:U2,1),"")</f>
        <v>1</v>
      </c>
      <c r="X2" s="29">
        <f t="shared" ref="X2:X65" si="3">IF(U2=1,SUMPRODUCT(($U$2:$U$1833=1)*($C$2:$C$1833&lt;C2))+1,"")</f>
        <v>174</v>
      </c>
      <c r="Y2" s="29">
        <f>IF(AND(LEFT($B2,7)="SBA 26/",$D2&lt;&gt;"",$F2&lt;&gt;""),COUNTIFS($D$2:$D2,$D2,$B$2:$B2,"SBA 26/*",$F$2:$F2,"&lt;&gt;"),"")</f>
        <v>1</v>
      </c>
      <c r="Z2" s="29">
        <f>IF(Y2=1,COUNTIF($Y$2:Y2,1),"")</f>
        <v>1</v>
      </c>
      <c r="AA2" s="29">
        <f>IF(AND(LEFT($B2,7)="SBA 26/",$C2&lt;&gt;"",$F2&lt;&gt;""),COUNTIFS($C$2:$C2,$C2,$B$2:$B2,"SBA 26/*",$F$2:$F2,"&lt;&gt;"),"")</f>
        <v>1</v>
      </c>
      <c r="AB2" s="29">
        <f>IF(AA2=1,COUNTIF($AA$2:AA2,1),"")</f>
        <v>1</v>
      </c>
    </row>
    <row r="3" spans="1:28" ht="94.5" customHeight="1" x14ac:dyDescent="0.2">
      <c r="A3" s="43" t="s">
        <v>78</v>
      </c>
      <c r="B3" s="43" t="s">
        <v>79</v>
      </c>
      <c r="C3" s="44" t="s">
        <v>80</v>
      </c>
      <c r="D3" s="44" t="s">
        <v>81</v>
      </c>
      <c r="E3" s="45" t="s">
        <v>82</v>
      </c>
      <c r="F3" s="45" t="s">
        <v>83</v>
      </c>
      <c r="G3" s="46" t="s">
        <v>38</v>
      </c>
      <c r="H3" s="47"/>
      <c r="I3" s="48">
        <v>46028</v>
      </c>
      <c r="J3" s="44" t="s">
        <v>76</v>
      </c>
      <c r="K3" s="44" t="s">
        <v>84</v>
      </c>
      <c r="L3" s="49" t="s">
        <v>77</v>
      </c>
      <c r="M3" s="50"/>
      <c r="N3" s="50"/>
      <c r="O3" s="49"/>
      <c r="P3" s="50" t="str">
        <f t="shared" si="0"/>
        <v>ONAY</v>
      </c>
      <c r="R3" s="51" t="str">
        <f t="shared" si="1"/>
        <v/>
      </c>
      <c r="T3" s="41"/>
      <c r="U3" s="29">
        <f>IF($C3&lt;&gt;"",COUNTIF($C$2:C3,C3),"")</f>
        <v>1</v>
      </c>
      <c r="V3" s="29" t="str">
        <f t="shared" si="2"/>
        <v>Prof. Dr. Esra BİRBEN§1</v>
      </c>
      <c r="W3" s="29">
        <f>IF(U3=1,COUNTIF($U$2:U3,1),"")</f>
        <v>2</v>
      </c>
      <c r="X3" s="29">
        <f t="shared" si="3"/>
        <v>227</v>
      </c>
      <c r="Y3" s="29">
        <f>IF(AND(LEFT($B3,7)="SBA 26/",$D3&lt;&gt;"",$F3&lt;&gt;""),COUNTIFS($D$2:$D3,$D3,$B$2:$B3,"SBA 26/*",$F$2:$F3,"&lt;&gt;"),"")</f>
        <v>1</v>
      </c>
      <c r="Z3" s="29">
        <f>IF(Y3=1,COUNTIF($Y$2:Y3,1),"")</f>
        <v>2</v>
      </c>
      <c r="AA3" s="29">
        <f>IF(AND(LEFT($B3,7)="SBA 26/",$C3&lt;&gt;"",$F3&lt;&gt;""),COUNTIFS($C$2:$C3,$C3,$B$2:$B3,"SBA 26/*",$F$2:$F3,"&lt;&gt;"),"")</f>
        <v>1</v>
      </c>
      <c r="AB3" s="29">
        <f>IF(AA3=1,COUNTIF($AA$2:AA3,1),"")</f>
        <v>2</v>
      </c>
    </row>
    <row r="4" spans="1:28" ht="94.5" customHeight="1" x14ac:dyDescent="0.2">
      <c r="A4" s="43" t="s">
        <v>85</v>
      </c>
      <c r="B4" s="43" t="s">
        <v>86</v>
      </c>
      <c r="C4" s="44" t="s">
        <v>87</v>
      </c>
      <c r="D4" s="44" t="s">
        <v>88</v>
      </c>
      <c r="E4" s="45" t="s">
        <v>89</v>
      </c>
      <c r="F4" s="45" t="s">
        <v>90</v>
      </c>
      <c r="G4" s="46" t="s">
        <v>38</v>
      </c>
      <c r="H4" s="47"/>
      <c r="I4" s="48">
        <v>46028</v>
      </c>
      <c r="J4" s="44" t="s">
        <v>91</v>
      </c>
      <c r="K4" s="44" t="s">
        <v>92</v>
      </c>
      <c r="L4" s="50" t="s">
        <v>77</v>
      </c>
      <c r="M4" s="52"/>
      <c r="N4" s="52"/>
      <c r="O4" s="53"/>
      <c r="P4" s="50" t="str">
        <f t="shared" si="0"/>
        <v>ONAY</v>
      </c>
      <c r="R4" s="51" t="str">
        <f t="shared" si="1"/>
        <v/>
      </c>
      <c r="T4" s="41"/>
      <c r="U4" s="29">
        <f>IF($C4&lt;&gt;"",COUNTIF($C$2:C4,C4),"")</f>
        <v>1</v>
      </c>
      <c r="V4" s="29" t="str">
        <f t="shared" si="2"/>
        <v>Doç. Dr. Gamze DURHAN§1</v>
      </c>
      <c r="W4" s="29">
        <f>IF(U4=1,COUNTIF($U$2:U4,1),"")</f>
        <v>3</v>
      </c>
      <c r="X4" s="29">
        <f t="shared" si="3"/>
        <v>60</v>
      </c>
      <c r="Y4" s="29">
        <f>IF(AND(LEFT($B4,7)="SBA 26/",$D4&lt;&gt;"",$F4&lt;&gt;""),COUNTIFS($D$2:$D4,$D4,$B$2:$B4,"SBA 26/*",$F$2:$F4,"&lt;&gt;"),"")</f>
        <v>1</v>
      </c>
      <c r="Z4" s="29">
        <f>IF(Y4=1,COUNTIF($Y$2:Y4,1),"")</f>
        <v>3</v>
      </c>
      <c r="AA4" s="29">
        <f>IF(AND(LEFT($B4,7)="SBA 26/",$C4&lt;&gt;"",$F4&lt;&gt;""),COUNTIFS($C$2:$C4,$C4,$B$2:$B4,"SBA 26/*",$F$2:$F4,"&lt;&gt;"),"")</f>
        <v>1</v>
      </c>
      <c r="AB4" s="29">
        <f>IF(AA4=1,COUNTIF($AA$2:AA4,1),"")</f>
        <v>3</v>
      </c>
    </row>
    <row r="5" spans="1:28" ht="78.75" customHeight="1" x14ac:dyDescent="0.2">
      <c r="A5" s="43" t="s">
        <v>93</v>
      </c>
      <c r="B5" s="43" t="s">
        <v>94</v>
      </c>
      <c r="C5" s="44" t="s">
        <v>95</v>
      </c>
      <c r="D5" s="54" t="s">
        <v>96</v>
      </c>
      <c r="E5" s="45" t="s">
        <v>97</v>
      </c>
      <c r="F5" s="45" t="s">
        <v>98</v>
      </c>
      <c r="G5" s="46" t="s">
        <v>41</v>
      </c>
      <c r="H5" s="47"/>
      <c r="I5" s="48">
        <v>46028</v>
      </c>
      <c r="J5" s="44" t="s">
        <v>99</v>
      </c>
      <c r="K5" s="44" t="s">
        <v>100</v>
      </c>
      <c r="L5" s="50" t="s">
        <v>101</v>
      </c>
      <c r="M5" s="50" t="s">
        <v>77</v>
      </c>
      <c r="N5" s="50"/>
      <c r="O5" s="49"/>
      <c r="P5" s="50" t="str">
        <f t="shared" si="0"/>
        <v>ONAY</v>
      </c>
      <c r="Q5" s="28" t="s">
        <v>100</v>
      </c>
      <c r="R5" s="51" t="str">
        <f t="shared" si="1"/>
        <v/>
      </c>
      <c r="T5" s="41"/>
      <c r="U5" s="29">
        <f>IF($C5&lt;&gt;"",COUNTIF($C$2:C5,C5),"")</f>
        <v>1</v>
      </c>
      <c r="V5" s="29" t="str">
        <f t="shared" si="2"/>
        <v>Prof. Dr. Bayram ŞAHİN§1</v>
      </c>
      <c r="W5" s="29">
        <f>IF(U5=1,COUNTIF($U$2:U5,1),"")</f>
        <v>4</v>
      </c>
      <c r="X5" s="29">
        <f t="shared" si="3"/>
        <v>204</v>
      </c>
      <c r="Y5" s="29">
        <f>IF(AND(LEFT($B5,7)="SBA 26/",$D5&lt;&gt;"",$F5&lt;&gt;""),COUNTIFS($D$2:$D5,$D5,$B$2:$B5,"SBA 26/*",$F$2:$F5,"&lt;&gt;"),"")</f>
        <v>1</v>
      </c>
      <c r="Z5" s="29">
        <f>IF(Y5=1,COUNTIF($Y$2:Y5,1),"")</f>
        <v>4</v>
      </c>
      <c r="AA5" s="29">
        <f>IF(AND(LEFT($B5,7)="SBA 26/",$C5&lt;&gt;"",$F5&lt;&gt;""),COUNTIFS($C$2:$C5,$C5,$B$2:$B5,"SBA 26/*",$F$2:$F5,"&lt;&gt;"),"")</f>
        <v>1</v>
      </c>
      <c r="AB5" s="29">
        <f>IF(AA5=1,COUNTIF($AA$2:AA5,1),"")</f>
        <v>4</v>
      </c>
    </row>
    <row r="6" spans="1:28" ht="47.25" customHeight="1" x14ac:dyDescent="0.2">
      <c r="A6" s="43" t="s">
        <v>102</v>
      </c>
      <c r="B6" s="43" t="s">
        <v>103</v>
      </c>
      <c r="C6" s="44" t="s">
        <v>104</v>
      </c>
      <c r="D6" s="44" t="s">
        <v>105</v>
      </c>
      <c r="E6" s="45" t="s">
        <v>106</v>
      </c>
      <c r="F6" s="45" t="s">
        <v>107</v>
      </c>
      <c r="G6" s="46" t="s">
        <v>41</v>
      </c>
      <c r="H6" s="47"/>
      <c r="I6" s="48">
        <v>46028</v>
      </c>
      <c r="J6" s="44" t="s">
        <v>108</v>
      </c>
      <c r="K6" s="44" t="s">
        <v>109</v>
      </c>
      <c r="L6" s="50" t="s">
        <v>101</v>
      </c>
      <c r="M6" s="50" t="s">
        <v>77</v>
      </c>
      <c r="N6" s="50"/>
      <c r="O6" s="49"/>
      <c r="P6" s="50" t="str">
        <f t="shared" si="0"/>
        <v>ONAY</v>
      </c>
      <c r="Q6" s="28" t="s">
        <v>109</v>
      </c>
      <c r="R6" s="51" t="str">
        <f t="shared" si="1"/>
        <v/>
      </c>
      <c r="T6" s="41"/>
      <c r="U6" s="29">
        <f>IF($C6&lt;&gt;"",COUNTIF($C$2:C6,C6),"")</f>
        <v>1</v>
      </c>
      <c r="V6" s="29" t="str">
        <f t="shared" si="2"/>
        <v>Prof. Dr. Ömür ÇELİKBIÇAK§1</v>
      </c>
      <c r="W6" s="29">
        <f>IF(U6=1,COUNTIF($U$2:U6,1),"")</f>
        <v>5</v>
      </c>
      <c r="X6" s="29">
        <f t="shared" si="3"/>
        <v>297</v>
      </c>
      <c r="Y6" s="29">
        <f>IF(AND(LEFT($B6,7)="SBA 26/",$D6&lt;&gt;"",$F6&lt;&gt;""),COUNTIFS($D$2:$D6,$D6,$B$2:$B6,"SBA 26/*",$F$2:$F6,"&lt;&gt;"),"")</f>
        <v>1</v>
      </c>
      <c r="Z6" s="29">
        <f>IF(Y6=1,COUNTIF($Y$2:Y6,1),"")</f>
        <v>5</v>
      </c>
      <c r="AA6" s="29">
        <f>IF(AND(LEFT($B6,7)="SBA 26/",$C6&lt;&gt;"",$F6&lt;&gt;""),COUNTIFS($C$2:$C6,$C6,$B$2:$B6,"SBA 26/*",$F$2:$F6,"&lt;&gt;"),"")</f>
        <v>1</v>
      </c>
      <c r="AB6" s="29">
        <f>IF(AA6=1,COUNTIF($AA$2:AA6,1),"")</f>
        <v>5</v>
      </c>
    </row>
    <row r="7" spans="1:28" ht="63" customHeight="1" x14ac:dyDescent="0.2">
      <c r="A7" s="43" t="s">
        <v>110</v>
      </c>
      <c r="B7" s="43" t="s">
        <v>111</v>
      </c>
      <c r="C7" s="44" t="s">
        <v>112</v>
      </c>
      <c r="D7" s="44" t="s">
        <v>113</v>
      </c>
      <c r="E7" s="45" t="s">
        <v>114</v>
      </c>
      <c r="F7" s="45" t="s">
        <v>115</v>
      </c>
      <c r="G7" s="46" t="s">
        <v>38</v>
      </c>
      <c r="H7" s="47"/>
      <c r="I7" s="48">
        <v>46028</v>
      </c>
      <c r="J7" s="44" t="s">
        <v>84</v>
      </c>
      <c r="K7" s="44" t="s">
        <v>116</v>
      </c>
      <c r="L7" s="50" t="s">
        <v>77</v>
      </c>
      <c r="M7" s="50"/>
      <c r="N7" s="50"/>
      <c r="O7" s="49"/>
      <c r="P7" s="50" t="str">
        <f t="shared" si="0"/>
        <v>ONAY</v>
      </c>
      <c r="R7" s="51" t="str">
        <f t="shared" si="1"/>
        <v/>
      </c>
      <c r="T7" s="41"/>
      <c r="U7" s="29">
        <f>IF($C7&lt;&gt;"",COUNTIF($C$2:C7,C7),"")</f>
        <v>1</v>
      </c>
      <c r="V7" s="29" t="str">
        <f t="shared" si="2"/>
        <v>Prof. Dr. Meltem Gülhan HALİL§1</v>
      </c>
      <c r="W7" s="29">
        <f>IF(U7=1,COUNTIF($U$2:U7,1),"")</f>
        <v>6</v>
      </c>
      <c r="X7" s="29">
        <f t="shared" si="3"/>
        <v>270</v>
      </c>
      <c r="Y7" s="29">
        <f>IF(AND(LEFT($B7,7)="SBA 26/",$D7&lt;&gt;"",$F7&lt;&gt;""),COUNTIFS($D$2:$D7,$D7,$B$2:$B7,"SBA 26/*",$F$2:$F7,"&lt;&gt;"),"")</f>
        <v>1</v>
      </c>
      <c r="Z7" s="29">
        <f>IF(Y7=1,COUNTIF($Y$2:Y7,1),"")</f>
        <v>6</v>
      </c>
      <c r="AA7" s="29">
        <f>IF(AND(LEFT($B7,7)="SBA 26/",$C7&lt;&gt;"",$F7&lt;&gt;""),COUNTIFS($C$2:$C7,$C7,$B$2:$B7,"SBA 26/*",$F$2:$F7,"&lt;&gt;"),"")</f>
        <v>1</v>
      </c>
      <c r="AB7" s="29">
        <f>IF(AA7=1,COUNTIF($AA$2:AA7,1),"")</f>
        <v>6</v>
      </c>
    </row>
    <row r="8" spans="1:28" ht="47.25" customHeight="1" x14ac:dyDescent="0.2">
      <c r="A8" s="43" t="s">
        <v>117</v>
      </c>
      <c r="B8" s="43" t="s">
        <v>118</v>
      </c>
      <c r="C8" s="44" t="s">
        <v>119</v>
      </c>
      <c r="D8" s="44" t="s">
        <v>120</v>
      </c>
      <c r="E8" s="45" t="s">
        <v>121</v>
      </c>
      <c r="F8" s="45" t="s">
        <v>122</v>
      </c>
      <c r="G8" s="46" t="s">
        <v>39</v>
      </c>
      <c r="H8" s="47"/>
      <c r="I8" s="48">
        <v>46028</v>
      </c>
      <c r="J8" s="44" t="s">
        <v>123</v>
      </c>
      <c r="K8" s="44" t="s">
        <v>116</v>
      </c>
      <c r="L8" s="50" t="s">
        <v>77</v>
      </c>
      <c r="M8" s="50"/>
      <c r="N8" s="50"/>
      <c r="O8" s="49"/>
      <c r="P8" s="50" t="str">
        <f t="shared" si="0"/>
        <v>ONAY</v>
      </c>
      <c r="R8" s="51" t="str">
        <f t="shared" si="1"/>
        <v/>
      </c>
      <c r="T8" s="41"/>
      <c r="U8" s="29">
        <f>IF($C8&lt;&gt;"",COUNTIF($C$2:C8,C8),"")</f>
        <v>1</v>
      </c>
      <c r="V8" s="29" t="str">
        <f t="shared" si="2"/>
        <v>Doç. Dr. Ayhan EYMİRLİ§1</v>
      </c>
      <c r="W8" s="29">
        <f>IF(U8=1,COUNTIF($U$2:U8,1),"")</f>
        <v>7</v>
      </c>
      <c r="X8" s="29">
        <f t="shared" si="3"/>
        <v>21</v>
      </c>
      <c r="Y8" s="29">
        <f>IF(AND(LEFT($B8,7)="SBA 26/",$D8&lt;&gt;"",$F8&lt;&gt;""),COUNTIFS($D$2:$D8,$D8,$B$2:$B8,"SBA 26/*",$F$2:$F8,"&lt;&gt;"),"")</f>
        <v>1</v>
      </c>
      <c r="Z8" s="29">
        <f>IF(Y8=1,COUNTIF($Y$2:Y8,1),"")</f>
        <v>7</v>
      </c>
      <c r="AA8" s="29">
        <f>IF(AND(LEFT($B8,7)="SBA 26/",$C8&lt;&gt;"",$F8&lt;&gt;""),COUNTIFS($C$2:$C8,$C8,$B$2:$B8,"SBA 26/*",$F$2:$F8,"&lt;&gt;"),"")</f>
        <v>1</v>
      </c>
      <c r="AB8" s="29">
        <f>IF(AA8=1,COUNTIF($AA$2:AA8,1),"")</f>
        <v>7</v>
      </c>
    </row>
    <row r="9" spans="1:28" ht="63" customHeight="1" x14ac:dyDescent="0.2">
      <c r="A9" s="43" t="s">
        <v>124</v>
      </c>
      <c r="B9" s="43" t="s">
        <v>125</v>
      </c>
      <c r="C9" s="44" t="s">
        <v>126</v>
      </c>
      <c r="D9" s="44" t="s">
        <v>113</v>
      </c>
      <c r="E9" s="45" t="s">
        <v>127</v>
      </c>
      <c r="F9" s="45" t="s">
        <v>128</v>
      </c>
      <c r="G9" s="46" t="s">
        <v>39</v>
      </c>
      <c r="H9" s="47"/>
      <c r="I9" s="48">
        <v>46028</v>
      </c>
      <c r="J9" s="44" t="s">
        <v>99</v>
      </c>
      <c r="K9" s="44" t="s">
        <v>129</v>
      </c>
      <c r="L9" s="50" t="s">
        <v>77</v>
      </c>
      <c r="M9" s="50"/>
      <c r="N9" s="50"/>
      <c r="O9" s="49"/>
      <c r="P9" s="50" t="str">
        <f t="shared" si="0"/>
        <v>ONAY</v>
      </c>
      <c r="R9" s="51" t="str">
        <f t="shared" si="1"/>
        <v/>
      </c>
      <c r="T9" s="41"/>
      <c r="U9" s="29">
        <f>IF($C9&lt;&gt;"",COUNTIF($C$2:C9,C9),"")</f>
        <v>1</v>
      </c>
      <c r="V9" s="29" t="str">
        <f t="shared" si="2"/>
        <v>Doç. Dr. Nursel ÇALIK BAŞARAN§1</v>
      </c>
      <c r="W9" s="29">
        <f>IF(U9=1,COUNTIF($U$2:U9,1),"")</f>
        <v>8</v>
      </c>
      <c r="X9" s="29">
        <f t="shared" si="3"/>
        <v>91</v>
      </c>
      <c r="Y9" s="29">
        <f>IF(AND(LEFT($B9,7)="SBA 26/",$D9&lt;&gt;"",$F9&lt;&gt;""),COUNTIFS($D$2:$D9,$D9,$B$2:$B9,"SBA 26/*",$F$2:$F9,"&lt;&gt;"),"")</f>
        <v>2</v>
      </c>
      <c r="Z9" s="29" t="str">
        <f>IF(Y9=1,COUNTIF($Y$2:Y9,1),"")</f>
        <v/>
      </c>
      <c r="AA9" s="29">
        <f>IF(AND(LEFT($B9,7)="SBA 26/",$C9&lt;&gt;"",$F9&lt;&gt;""),COUNTIFS($C$2:$C9,$C9,$B$2:$B9,"SBA 26/*",$F$2:$F9,"&lt;&gt;"),"")</f>
        <v>1</v>
      </c>
      <c r="AB9" s="29">
        <f>IF(AA9=1,COUNTIF($AA$2:AA9,1),"")</f>
        <v>8</v>
      </c>
    </row>
    <row r="10" spans="1:28" ht="110.25" customHeight="1" x14ac:dyDescent="0.2">
      <c r="A10" s="43" t="s">
        <v>130</v>
      </c>
      <c r="B10" s="43" t="s">
        <v>131</v>
      </c>
      <c r="C10" s="44" t="s">
        <v>132</v>
      </c>
      <c r="D10" s="44" t="s">
        <v>133</v>
      </c>
      <c r="E10" s="45" t="s">
        <v>134</v>
      </c>
      <c r="F10" s="45" t="s">
        <v>135</v>
      </c>
      <c r="G10" s="46" t="s">
        <v>38</v>
      </c>
      <c r="H10" s="47"/>
      <c r="I10" s="48">
        <v>46028</v>
      </c>
      <c r="J10" s="44" t="s">
        <v>100</v>
      </c>
      <c r="K10" s="44" t="s">
        <v>76</v>
      </c>
      <c r="L10" s="50" t="s">
        <v>77</v>
      </c>
      <c r="M10" s="50"/>
      <c r="N10" s="50"/>
      <c r="O10" s="49"/>
      <c r="P10" s="50" t="str">
        <f t="shared" si="0"/>
        <v>ONAY</v>
      </c>
      <c r="R10" s="51" t="str">
        <f t="shared" si="1"/>
        <v/>
      </c>
      <c r="T10" s="41"/>
      <c r="U10" s="29">
        <f>IF($C10&lt;&gt;"",COUNTIF($C$2:C10,C10),"")</f>
        <v>1</v>
      </c>
      <c r="V10" s="29" t="str">
        <f t="shared" si="2"/>
        <v>Öğr. Gör. Dr. Buket KILIÇ§1</v>
      </c>
      <c r="W10" s="29">
        <f>IF(U10=1,COUNTIF($U$2:U10,1),"")</f>
        <v>9</v>
      </c>
      <c r="X10" s="29">
        <f t="shared" si="3"/>
        <v>178</v>
      </c>
      <c r="Y10" s="29">
        <f>IF(AND(LEFT($B10,7)="SBA 26/",$D10&lt;&gt;"",$F10&lt;&gt;""),COUNTIFS($D$2:$D10,$D10,$B$2:$B10,"SBA 26/*",$F$2:$F10,"&lt;&gt;"),"")</f>
        <v>1</v>
      </c>
      <c r="Z10" s="29">
        <f>IF(Y10=1,COUNTIF($Y$2:Y10,1),"")</f>
        <v>8</v>
      </c>
      <c r="AA10" s="29">
        <f>IF(AND(LEFT($B10,7)="SBA 26/",$C10&lt;&gt;"",$F10&lt;&gt;""),COUNTIFS($C$2:$C10,$C10,$B$2:$B10,"SBA 26/*",$F$2:$F10,"&lt;&gt;"),"")</f>
        <v>1</v>
      </c>
      <c r="AB10" s="29">
        <f>IF(AA10=1,COUNTIF($AA$2:AA10,1),"")</f>
        <v>9</v>
      </c>
    </row>
    <row r="11" spans="1:28" ht="94.5" customHeight="1" x14ac:dyDescent="0.2">
      <c r="A11" s="43" t="s">
        <v>136</v>
      </c>
      <c r="B11" s="43" t="s">
        <v>137</v>
      </c>
      <c r="C11" s="44" t="s">
        <v>138</v>
      </c>
      <c r="D11" s="44" t="s">
        <v>139</v>
      </c>
      <c r="E11" s="45" t="s">
        <v>140</v>
      </c>
      <c r="F11" s="45" t="s">
        <v>141</v>
      </c>
      <c r="G11" s="46" t="s">
        <v>41</v>
      </c>
      <c r="H11" s="47"/>
      <c r="I11" s="48">
        <v>46028</v>
      </c>
      <c r="J11" s="44" t="s">
        <v>123</v>
      </c>
      <c r="K11" s="44" t="s">
        <v>75</v>
      </c>
      <c r="L11" s="50" t="s">
        <v>101</v>
      </c>
      <c r="M11" s="50" t="s">
        <v>77</v>
      </c>
      <c r="N11" s="50"/>
      <c r="O11" s="49"/>
      <c r="P11" s="50" t="str">
        <f t="shared" si="0"/>
        <v>ONAY</v>
      </c>
      <c r="Q11" s="28" t="s">
        <v>75</v>
      </c>
      <c r="R11" s="51" t="str">
        <f t="shared" si="1"/>
        <v/>
      </c>
      <c r="T11" s="41"/>
      <c r="U11" s="29">
        <f>IF($C11&lt;&gt;"",COUNTIF($C$2:C11,C11),"")</f>
        <v>1</v>
      </c>
      <c r="V11" s="29" t="str">
        <f t="shared" si="2"/>
        <v>Prof. Dr. Yakut AKYÖN YILMAZ§1</v>
      </c>
      <c r="W11" s="29">
        <f>IF(U11=1,COUNTIF($U$2:U11,1),"")</f>
        <v>10</v>
      </c>
      <c r="X11" s="29">
        <f t="shared" si="3"/>
        <v>343</v>
      </c>
      <c r="Y11" s="29">
        <f>IF(AND(LEFT($B11,7)="SBA 26/",$D11&lt;&gt;"",$F11&lt;&gt;""),COUNTIFS($D$2:$D11,$D11,$B$2:$B11,"SBA 26/*",$F$2:$F11,"&lt;&gt;"),"")</f>
        <v>1</v>
      </c>
      <c r="Z11" s="29">
        <f>IF(Y11=1,COUNTIF($Y$2:Y11,1),"")</f>
        <v>9</v>
      </c>
      <c r="AA11" s="29">
        <f>IF(AND(LEFT($B11,7)="SBA 26/",$C11&lt;&gt;"",$F11&lt;&gt;""),COUNTIFS($C$2:$C11,$C11,$B$2:$B11,"SBA 26/*",$F$2:$F11,"&lt;&gt;"),"")</f>
        <v>1</v>
      </c>
      <c r="AB11" s="29">
        <f>IF(AA11=1,COUNTIF($AA$2:AA11,1),"")</f>
        <v>10</v>
      </c>
    </row>
    <row r="12" spans="1:28" ht="78.75" customHeight="1" x14ac:dyDescent="0.2">
      <c r="A12" s="43" t="s">
        <v>142</v>
      </c>
      <c r="B12" s="43" t="s">
        <v>143</v>
      </c>
      <c r="C12" s="44" t="s">
        <v>144</v>
      </c>
      <c r="D12" s="44" t="s">
        <v>113</v>
      </c>
      <c r="E12" s="45" t="s">
        <v>145</v>
      </c>
      <c r="F12" s="45" t="s">
        <v>146</v>
      </c>
      <c r="G12" s="46" t="s">
        <v>38</v>
      </c>
      <c r="H12" s="47"/>
      <c r="I12" s="48">
        <v>46028</v>
      </c>
      <c r="J12" s="44" t="s">
        <v>129</v>
      </c>
      <c r="K12" s="44" t="s">
        <v>108</v>
      </c>
      <c r="L12" s="50" t="s">
        <v>77</v>
      </c>
      <c r="M12" s="50"/>
      <c r="N12" s="50"/>
      <c r="O12" s="49"/>
      <c r="P12" s="50" t="str">
        <f t="shared" si="0"/>
        <v>ONAY</v>
      </c>
      <c r="R12" s="51" t="str">
        <f t="shared" si="1"/>
        <v/>
      </c>
      <c r="T12" s="41"/>
      <c r="U12" s="29">
        <f>IF($C12&lt;&gt;"",COUNTIF($C$2:C12,C12),"")</f>
        <v>1</v>
      </c>
      <c r="V12" s="29" t="str">
        <f t="shared" si="2"/>
        <v>Prof. Dr. Ömer KARADAĞ§1</v>
      </c>
      <c r="W12" s="29">
        <f>IF(U12=1,COUNTIF($U$2:U12,1),"")</f>
        <v>11</v>
      </c>
      <c r="X12" s="29">
        <f t="shared" si="3"/>
        <v>293</v>
      </c>
      <c r="Y12" s="29">
        <f>IF(AND(LEFT($B12,7)="SBA 26/",$D12&lt;&gt;"",$F12&lt;&gt;""),COUNTIFS($D$2:$D12,$D12,$B$2:$B12,"SBA 26/*",$F$2:$F12,"&lt;&gt;"),"")</f>
        <v>3</v>
      </c>
      <c r="Z12" s="29" t="str">
        <f>IF(Y12=1,COUNTIF($Y$2:Y12,1),"")</f>
        <v/>
      </c>
      <c r="AA12" s="29">
        <f>IF(AND(LEFT($B12,7)="SBA 26/",$C12&lt;&gt;"",$F12&lt;&gt;""),COUNTIFS($C$2:$C12,$C12,$B$2:$B12,"SBA 26/*",$F$2:$F12,"&lt;&gt;"),"")</f>
        <v>1</v>
      </c>
      <c r="AB12" s="29">
        <f>IF(AA12=1,COUNTIF($AA$2:AA12,1),"")</f>
        <v>11</v>
      </c>
    </row>
    <row r="13" spans="1:28" ht="78.75" customHeight="1" x14ac:dyDescent="0.2">
      <c r="A13" s="43" t="s">
        <v>147</v>
      </c>
      <c r="B13" s="43" t="s">
        <v>148</v>
      </c>
      <c r="C13" s="44" t="s">
        <v>149</v>
      </c>
      <c r="D13" s="44" t="s">
        <v>150</v>
      </c>
      <c r="E13" s="45" t="s">
        <v>151</v>
      </c>
      <c r="F13" s="45" t="s">
        <v>152</v>
      </c>
      <c r="G13" s="46" t="s">
        <v>39</v>
      </c>
      <c r="H13" s="47"/>
      <c r="I13" s="48">
        <v>46028</v>
      </c>
      <c r="J13" s="44" t="s">
        <v>92</v>
      </c>
      <c r="K13" s="44" t="s">
        <v>109</v>
      </c>
      <c r="L13" s="50" t="s">
        <v>153</v>
      </c>
      <c r="M13" s="50"/>
      <c r="N13" s="50"/>
      <c r="O13" s="49"/>
      <c r="P13" s="50" t="str">
        <f t="shared" si="0"/>
        <v>KAPSAM DIŞI</v>
      </c>
      <c r="R13" s="51" t="str">
        <f t="shared" si="1"/>
        <v/>
      </c>
      <c r="T13" s="41"/>
      <c r="U13" s="29">
        <f>IF($C13&lt;&gt;"",COUNTIF($C$2:C13,C13),"")</f>
        <v>1</v>
      </c>
      <c r="V13" s="29" t="str">
        <f t="shared" si="2"/>
        <v>Prof. Dr. N. Dilara ZEYBEK§1</v>
      </c>
      <c r="W13" s="29">
        <f>IF(U13=1,COUNTIF($U$2:U13,1),"")</f>
        <v>12</v>
      </c>
      <c r="X13" s="29">
        <f t="shared" si="3"/>
        <v>283</v>
      </c>
      <c r="Y13" s="29">
        <f>IF(AND(LEFT($B13,7)="SBA 26/",$D13&lt;&gt;"",$F13&lt;&gt;""),COUNTIFS($D$2:$D13,$D13,$B$2:$B13,"SBA 26/*",$F$2:$F13,"&lt;&gt;"),"")</f>
        <v>1</v>
      </c>
      <c r="Z13" s="29">
        <f>IF(Y13=1,COUNTIF($Y$2:Y13,1),"")</f>
        <v>10</v>
      </c>
      <c r="AA13" s="29">
        <f>IF(AND(LEFT($B13,7)="SBA 26/",$C13&lt;&gt;"",$F13&lt;&gt;""),COUNTIFS($C$2:$C13,$C13,$B$2:$B13,"SBA 26/*",$F$2:$F13,"&lt;&gt;"),"")</f>
        <v>1</v>
      </c>
      <c r="AB13" s="29">
        <f>IF(AA13=1,COUNTIF($AA$2:AA13,1),"")</f>
        <v>12</v>
      </c>
    </row>
    <row r="14" spans="1:28" ht="63" customHeight="1" x14ac:dyDescent="0.2">
      <c r="A14" s="43" t="s">
        <v>154</v>
      </c>
      <c r="B14" s="43" t="s">
        <v>155</v>
      </c>
      <c r="C14" s="44" t="s">
        <v>156</v>
      </c>
      <c r="D14" s="44" t="s">
        <v>157</v>
      </c>
      <c r="E14" s="45" t="s">
        <v>158</v>
      </c>
      <c r="F14" s="45" t="s">
        <v>159</v>
      </c>
      <c r="G14" s="46" t="s">
        <v>40</v>
      </c>
      <c r="H14" s="47"/>
      <c r="I14" s="48">
        <v>46028</v>
      </c>
      <c r="J14" s="44" t="s">
        <v>91</v>
      </c>
      <c r="K14" s="44" t="s">
        <v>99</v>
      </c>
      <c r="L14" s="50" t="s">
        <v>101</v>
      </c>
      <c r="M14" s="50" t="s">
        <v>77</v>
      </c>
      <c r="N14" s="50"/>
      <c r="O14" s="49"/>
      <c r="P14" s="50" t="str">
        <f t="shared" si="0"/>
        <v>ONAY</v>
      </c>
      <c r="Q14" s="28" t="s">
        <v>91</v>
      </c>
      <c r="R14" s="51" t="str">
        <f t="shared" si="1"/>
        <v/>
      </c>
      <c r="T14" s="41"/>
      <c r="U14" s="29">
        <f>IF($C14&lt;&gt;"",COUNTIF($C$2:C14,C14),"")</f>
        <v>1</v>
      </c>
      <c r="V14" s="29" t="str">
        <f t="shared" si="2"/>
        <v>Prof. Dr. Orhan ODABAŞI§1</v>
      </c>
      <c r="W14" s="29">
        <f>IF(U14=1,COUNTIF($U$2:U14,1),"")</f>
        <v>13</v>
      </c>
      <c r="X14" s="29">
        <f t="shared" si="3"/>
        <v>290</v>
      </c>
      <c r="Y14" s="29">
        <f>IF(AND(LEFT($B14,7)="SBA 26/",$D14&lt;&gt;"",$F14&lt;&gt;""),COUNTIFS($D$2:$D14,$D14,$B$2:$B14,"SBA 26/*",$F$2:$F14,"&lt;&gt;"),"")</f>
        <v>1</v>
      </c>
      <c r="Z14" s="29">
        <f>IF(Y14=1,COUNTIF($Y$2:Y14,1),"")</f>
        <v>11</v>
      </c>
      <c r="AA14" s="29">
        <f>IF(AND(LEFT($B14,7)="SBA 26/",$C14&lt;&gt;"",$F14&lt;&gt;""),COUNTIFS($C$2:$C14,$C14,$B$2:$B14,"SBA 26/*",$F$2:$F14,"&lt;&gt;"),"")</f>
        <v>1</v>
      </c>
      <c r="AB14" s="29">
        <f>IF(AA14=1,COUNTIF($AA$2:AA14,1),"")</f>
        <v>13</v>
      </c>
    </row>
    <row r="15" spans="1:28" ht="78.75" customHeight="1" x14ac:dyDescent="0.2">
      <c r="A15" s="43" t="s">
        <v>160</v>
      </c>
      <c r="B15" s="43" t="s">
        <v>161</v>
      </c>
      <c r="C15" s="44" t="s">
        <v>162</v>
      </c>
      <c r="D15" s="44" t="s">
        <v>163</v>
      </c>
      <c r="E15" s="45" t="s">
        <v>164</v>
      </c>
      <c r="F15" s="45" t="s">
        <v>165</v>
      </c>
      <c r="G15" s="46" t="s">
        <v>38</v>
      </c>
      <c r="H15" s="47"/>
      <c r="I15" s="48">
        <v>46028</v>
      </c>
      <c r="J15" s="44" t="s">
        <v>116</v>
      </c>
      <c r="K15" s="44" t="s">
        <v>76</v>
      </c>
      <c r="L15" s="50" t="s">
        <v>77</v>
      </c>
      <c r="M15" s="50"/>
      <c r="N15" s="50"/>
      <c r="O15" s="49"/>
      <c r="P15" s="50" t="str">
        <f t="shared" si="0"/>
        <v>ONAY</v>
      </c>
      <c r="R15" s="51" t="str">
        <f t="shared" si="1"/>
        <v/>
      </c>
      <c r="T15" s="41"/>
      <c r="U15" s="29">
        <f>IF($C15&lt;&gt;"",COUNTIF($C$2:C15,C15),"")</f>
        <v>1</v>
      </c>
      <c r="V15" s="29" t="str">
        <f t="shared" si="2"/>
        <v>Dr. Öğr. Üyesi Yiğitcan KARANFİL§1</v>
      </c>
      <c r="W15" s="29">
        <f>IF(U15=1,COUNTIF($U$2:U15,1),"")</f>
        <v>14</v>
      </c>
      <c r="X15" s="29">
        <f t="shared" si="3"/>
        <v>173</v>
      </c>
      <c r="Y15" s="29">
        <f>IF(AND(LEFT($B15,7)="SBA 26/",$D15&lt;&gt;"",$F15&lt;&gt;""),COUNTIFS($D$2:$D15,$D15,$B$2:$B15,"SBA 26/*",$F$2:$F15,"&lt;&gt;"),"")</f>
        <v>1</v>
      </c>
      <c r="Z15" s="29">
        <f>IF(Y15=1,COUNTIF($Y$2:Y15,1),"")</f>
        <v>12</v>
      </c>
      <c r="AA15" s="29">
        <f>IF(AND(LEFT($B15,7)="SBA 26/",$C15&lt;&gt;"",$F15&lt;&gt;""),COUNTIFS($C$2:$C15,$C15,$B$2:$B15,"SBA 26/*",$F$2:$F15,"&lt;&gt;"),"")</f>
        <v>1</v>
      </c>
      <c r="AB15" s="29">
        <f>IF(AA15=1,COUNTIF($AA$2:AA15,1),"")</f>
        <v>14</v>
      </c>
    </row>
    <row r="16" spans="1:28" ht="94.5" customHeight="1" x14ac:dyDescent="0.2">
      <c r="A16" s="43" t="s">
        <v>166</v>
      </c>
      <c r="B16" s="43" t="s">
        <v>167</v>
      </c>
      <c r="C16" s="44" t="s">
        <v>168</v>
      </c>
      <c r="D16" s="44" t="s">
        <v>169</v>
      </c>
      <c r="E16" s="45" t="s">
        <v>170</v>
      </c>
      <c r="F16" s="45" t="s">
        <v>171</v>
      </c>
      <c r="G16" s="46" t="s">
        <v>38</v>
      </c>
      <c r="H16" s="47"/>
      <c r="I16" s="48">
        <v>46028</v>
      </c>
      <c r="J16" s="44" t="s">
        <v>109</v>
      </c>
      <c r="K16" s="44" t="s">
        <v>84</v>
      </c>
      <c r="L16" s="50" t="s">
        <v>172</v>
      </c>
      <c r="M16" s="50" t="s">
        <v>101</v>
      </c>
      <c r="N16" s="50" t="s">
        <v>101</v>
      </c>
      <c r="O16" s="49"/>
      <c r="P16" s="50" t="str">
        <f t="shared" si="0"/>
        <v>DÜZELTME</v>
      </c>
      <c r="R16" s="51" t="str">
        <f t="shared" si="1"/>
        <v/>
      </c>
      <c r="T16" s="41"/>
      <c r="U16" s="29">
        <f>IF($C16&lt;&gt;"",COUNTIF($C$2:C16,C16),"")</f>
        <v>1</v>
      </c>
      <c r="V16" s="29" t="str">
        <f t="shared" si="2"/>
        <v>Prof. Dr. Ali Fuat KALYONCU§1</v>
      </c>
      <c r="W16" s="29">
        <f>IF(U16=1,COUNTIF($U$2:U16,1),"")</f>
        <v>15</v>
      </c>
      <c r="X16" s="29">
        <f t="shared" si="3"/>
        <v>191</v>
      </c>
      <c r="Y16" s="29">
        <f>IF(AND(LEFT($B16,7)="SBA 26/",$D16&lt;&gt;"",$F16&lt;&gt;""),COUNTIFS($D$2:$D16,$D16,$B$2:$B16,"SBA 26/*",$F$2:$F16,"&lt;&gt;"),"")</f>
        <v>1</v>
      </c>
      <c r="Z16" s="29">
        <f>IF(Y16=1,COUNTIF($Y$2:Y16,1),"")</f>
        <v>13</v>
      </c>
      <c r="AA16" s="29">
        <f>IF(AND(LEFT($B16,7)="SBA 26/",$C16&lt;&gt;"",$F16&lt;&gt;""),COUNTIFS($C$2:$C16,$C16,$B$2:$B16,"SBA 26/*",$F$2:$F16,"&lt;&gt;"),"")</f>
        <v>1</v>
      </c>
      <c r="AB16" s="29">
        <f>IF(AA16=1,COUNTIF($AA$2:AA16,1),"")</f>
        <v>15</v>
      </c>
    </row>
    <row r="17" spans="1:28" ht="94.5" customHeight="1" x14ac:dyDescent="0.2">
      <c r="A17" s="43" t="s">
        <v>173</v>
      </c>
      <c r="B17" s="43" t="s">
        <v>174</v>
      </c>
      <c r="C17" s="44" t="s">
        <v>175</v>
      </c>
      <c r="D17" s="44" t="s">
        <v>169</v>
      </c>
      <c r="E17" s="45" t="s">
        <v>176</v>
      </c>
      <c r="F17" s="45" t="s">
        <v>177</v>
      </c>
      <c r="G17" s="46" t="s">
        <v>38</v>
      </c>
      <c r="H17" s="47"/>
      <c r="I17" s="48">
        <v>46028</v>
      </c>
      <c r="J17" s="44" t="s">
        <v>129</v>
      </c>
      <c r="K17" s="44" t="s">
        <v>108</v>
      </c>
      <c r="L17" s="50" t="s">
        <v>77</v>
      </c>
      <c r="M17" s="50"/>
      <c r="N17" s="50"/>
      <c r="O17" s="49"/>
      <c r="P17" s="50" t="str">
        <f t="shared" si="0"/>
        <v>ONAY</v>
      </c>
      <c r="R17" s="51" t="str">
        <f t="shared" si="1"/>
        <v/>
      </c>
      <c r="T17" s="41"/>
      <c r="U17" s="29">
        <f>IF($C17&lt;&gt;"",COUNTIF($C$2:C17,C17),"")</f>
        <v>1</v>
      </c>
      <c r="V17" s="29" t="str">
        <f t="shared" si="2"/>
        <v>Prof. Dr. Gül KARAKAYA§1</v>
      </c>
      <c r="W17" s="29">
        <f>IF(U17=1,COUNTIF($U$2:U17,1),"")</f>
        <v>16</v>
      </c>
      <c r="X17" s="29">
        <f t="shared" si="3"/>
        <v>237</v>
      </c>
      <c r="Y17" s="29">
        <f>IF(AND(LEFT($B17,7)="SBA 26/",$D17&lt;&gt;"",$F17&lt;&gt;""),COUNTIFS($D$2:$D17,$D17,$B$2:$B17,"SBA 26/*",$F$2:$F17,"&lt;&gt;"),"")</f>
        <v>2</v>
      </c>
      <c r="Z17" s="29" t="str">
        <f>IF(Y17=1,COUNTIF($Y$2:Y17,1),"")</f>
        <v/>
      </c>
      <c r="AA17" s="29">
        <f>IF(AND(LEFT($B17,7)="SBA 26/",$C17&lt;&gt;"",$F17&lt;&gt;""),COUNTIFS($C$2:$C17,$C17,$B$2:$B17,"SBA 26/*",$F$2:$F17,"&lt;&gt;"),"")</f>
        <v>1</v>
      </c>
      <c r="AB17" s="29">
        <f>IF(AA17=1,COUNTIF($AA$2:AA17,1),"")</f>
        <v>16</v>
      </c>
    </row>
    <row r="18" spans="1:28" ht="63" customHeight="1" x14ac:dyDescent="0.2">
      <c r="A18" s="43" t="s">
        <v>178</v>
      </c>
      <c r="B18" s="43" t="s">
        <v>179</v>
      </c>
      <c r="C18" s="44" t="s">
        <v>180</v>
      </c>
      <c r="D18" s="44" t="s">
        <v>181</v>
      </c>
      <c r="E18" s="45" t="s">
        <v>182</v>
      </c>
      <c r="F18" s="45" t="s">
        <v>183</v>
      </c>
      <c r="G18" s="46" t="s">
        <v>39</v>
      </c>
      <c r="H18" s="47"/>
      <c r="I18" s="48">
        <v>46028</v>
      </c>
      <c r="J18" s="44" t="s">
        <v>99</v>
      </c>
      <c r="K18" s="44" t="s">
        <v>100</v>
      </c>
      <c r="L18" s="50" t="s">
        <v>101</v>
      </c>
      <c r="M18" s="50" t="s">
        <v>77</v>
      </c>
      <c r="N18" s="50"/>
      <c r="O18" s="49"/>
      <c r="P18" s="50" t="str">
        <f t="shared" si="0"/>
        <v>ONAY</v>
      </c>
      <c r="Q18" s="28" t="s">
        <v>75</v>
      </c>
      <c r="R18" s="51" t="str">
        <f t="shared" si="1"/>
        <v/>
      </c>
      <c r="T18" s="41"/>
      <c r="U18" s="29">
        <f>IF($C18&lt;&gt;"",COUNTIF($C$2:C18,C18),"")</f>
        <v>1</v>
      </c>
      <c r="V18" s="29" t="str">
        <f t="shared" si="2"/>
        <v>Prof. Dr. Banu KILIÇASLAN§1</v>
      </c>
      <c r="W18" s="29">
        <f>IF(U18=1,COUNTIF($U$2:U18,1),"")</f>
        <v>17</v>
      </c>
      <c r="X18" s="29">
        <f t="shared" si="3"/>
        <v>202</v>
      </c>
      <c r="Y18" s="29">
        <f>IF(AND(LEFT($B18,7)="SBA 26/",$D18&lt;&gt;"",$F18&lt;&gt;""),COUNTIFS($D$2:$D18,$D18,$B$2:$B18,"SBA 26/*",$F$2:$F18,"&lt;&gt;"),"")</f>
        <v>1</v>
      </c>
      <c r="Z18" s="29">
        <f>IF(Y18=1,COUNTIF($Y$2:Y18,1),"")</f>
        <v>14</v>
      </c>
      <c r="AA18" s="29">
        <f>IF(AND(LEFT($B18,7)="SBA 26/",$C18&lt;&gt;"",$F18&lt;&gt;""),COUNTIFS($C$2:$C18,$C18,$B$2:$B18,"SBA 26/*",$F$2:$F18,"&lt;&gt;"),"")</f>
        <v>1</v>
      </c>
      <c r="AB18" s="29">
        <f>IF(AA18=1,COUNTIF($AA$2:AA18,1),"")</f>
        <v>17</v>
      </c>
    </row>
    <row r="19" spans="1:28" ht="63" customHeight="1" x14ac:dyDescent="0.2">
      <c r="A19" s="43" t="s">
        <v>184</v>
      </c>
      <c r="B19" s="43" t="s">
        <v>185</v>
      </c>
      <c r="C19" s="44" t="s">
        <v>186</v>
      </c>
      <c r="D19" s="44" t="s">
        <v>187</v>
      </c>
      <c r="E19" s="45" t="s">
        <v>188</v>
      </c>
      <c r="F19" s="45" t="s">
        <v>189</v>
      </c>
      <c r="G19" s="46" t="s">
        <v>38</v>
      </c>
      <c r="H19" s="47"/>
      <c r="I19" s="48">
        <v>46028</v>
      </c>
      <c r="J19" s="44" t="s">
        <v>75</v>
      </c>
      <c r="K19" s="44" t="s">
        <v>76</v>
      </c>
      <c r="L19" s="50" t="s">
        <v>77</v>
      </c>
      <c r="M19" s="50"/>
      <c r="N19" s="50"/>
      <c r="O19" s="49"/>
      <c r="P19" s="50" t="str">
        <f t="shared" si="0"/>
        <v>ONAY</v>
      </c>
      <c r="R19" s="51" t="str">
        <f t="shared" si="1"/>
        <v/>
      </c>
      <c r="T19" s="41"/>
      <c r="U19" s="29">
        <f>IF($C19&lt;&gt;"",COUNTIF($C$2:C19,C19),"")</f>
        <v>1</v>
      </c>
      <c r="V19" s="29" t="str">
        <f t="shared" si="2"/>
        <v>Doç. Dr. Ulaş KUMBASAR§1</v>
      </c>
      <c r="W19" s="29">
        <f>IF(U19=1,COUNTIF($U$2:U19,1),"")</f>
        <v>18</v>
      </c>
      <c r="X19" s="29">
        <f t="shared" si="3"/>
        <v>105</v>
      </c>
      <c r="Y19" s="29">
        <f>IF(AND(LEFT($B19,7)="SBA 26/",$D19&lt;&gt;"",$F19&lt;&gt;""),COUNTIFS($D$2:$D19,$D19,$B$2:$B19,"SBA 26/*",$F$2:$F19,"&lt;&gt;"),"")</f>
        <v>1</v>
      </c>
      <c r="Z19" s="29">
        <f>IF(Y19=1,COUNTIF($Y$2:Y19,1),"")</f>
        <v>15</v>
      </c>
      <c r="AA19" s="29">
        <f>IF(AND(LEFT($B19,7)="SBA 26/",$C19&lt;&gt;"",$F19&lt;&gt;""),COUNTIFS($C$2:$C19,$C19,$B$2:$B19,"SBA 26/*",$F$2:$F19,"&lt;&gt;"),"")</f>
        <v>1</v>
      </c>
      <c r="AB19" s="29">
        <f>IF(AA19=1,COUNTIF($AA$2:AA19,1),"")</f>
        <v>18</v>
      </c>
    </row>
    <row r="20" spans="1:28" ht="76.5" customHeight="1" x14ac:dyDescent="0.2">
      <c r="A20" s="43" t="s">
        <v>190</v>
      </c>
      <c r="B20" s="43" t="s">
        <v>191</v>
      </c>
      <c r="C20" s="44" t="s">
        <v>192</v>
      </c>
      <c r="D20" s="44" t="s">
        <v>193</v>
      </c>
      <c r="E20" s="45" t="s">
        <v>194</v>
      </c>
      <c r="F20" s="45" t="s">
        <v>195</v>
      </c>
      <c r="G20" s="46" t="s">
        <v>38</v>
      </c>
      <c r="H20" s="47"/>
      <c r="I20" s="48">
        <v>46028</v>
      </c>
      <c r="J20" s="44" t="s">
        <v>92</v>
      </c>
      <c r="K20" s="44" t="s">
        <v>129</v>
      </c>
      <c r="L20" s="50" t="s">
        <v>77</v>
      </c>
      <c r="M20" s="50"/>
      <c r="N20" s="50"/>
      <c r="O20" s="49"/>
      <c r="P20" s="50" t="str">
        <f t="shared" si="0"/>
        <v>ONAY</v>
      </c>
      <c r="R20" s="51" t="str">
        <f t="shared" si="1"/>
        <v/>
      </c>
      <c r="T20" s="41"/>
      <c r="U20" s="29">
        <f>IF($C20&lt;&gt;"",COUNTIF($C$2:C20,C20),"")</f>
        <v>1</v>
      </c>
      <c r="V20" s="29" t="str">
        <f t="shared" si="2"/>
        <v>Dr. Öğr. Üyesi Figen BEZCİ AYGÜN§1</v>
      </c>
      <c r="W20" s="29">
        <f>IF(U20=1,COUNTIF($U$2:U20,1),"")</f>
        <v>19</v>
      </c>
      <c r="X20" s="29">
        <f t="shared" si="3"/>
        <v>137</v>
      </c>
      <c r="Y20" s="29">
        <f>IF(AND(LEFT($B20,7)="SBA 26/",$D20&lt;&gt;"",$F20&lt;&gt;""),COUNTIFS($D$2:$D20,$D20,$B$2:$B20,"SBA 26/*",$F$2:$F20,"&lt;&gt;"),"")</f>
        <v>1</v>
      </c>
      <c r="Z20" s="29">
        <f>IF(Y20=1,COUNTIF($Y$2:Y20,1),"")</f>
        <v>16</v>
      </c>
      <c r="AA20" s="29">
        <f>IF(AND(LEFT($B20,7)="SBA 26/",$C20&lt;&gt;"",$F20&lt;&gt;""),COUNTIFS($C$2:$C20,$C20,$B$2:$B20,"SBA 26/*",$F$2:$F20,"&lt;&gt;"),"")</f>
        <v>1</v>
      </c>
      <c r="AB20" s="29">
        <f>IF(AA20=1,COUNTIF($AA$2:AA20,1),"")</f>
        <v>19</v>
      </c>
    </row>
    <row r="21" spans="1:28" ht="80.25" customHeight="1" x14ac:dyDescent="0.2">
      <c r="A21" s="43" t="s">
        <v>196</v>
      </c>
      <c r="B21" s="43" t="s">
        <v>197</v>
      </c>
      <c r="C21" s="44" t="s">
        <v>192</v>
      </c>
      <c r="D21" s="44" t="s">
        <v>193</v>
      </c>
      <c r="E21" s="45" t="s">
        <v>198</v>
      </c>
      <c r="F21" s="45" t="s">
        <v>199</v>
      </c>
      <c r="G21" s="46" t="s">
        <v>38</v>
      </c>
      <c r="H21" s="47"/>
      <c r="I21" s="48">
        <v>46028</v>
      </c>
      <c r="J21" s="44" t="s">
        <v>91</v>
      </c>
      <c r="K21" s="44" t="s">
        <v>108</v>
      </c>
      <c r="L21" s="50" t="s">
        <v>77</v>
      </c>
      <c r="M21" s="50"/>
      <c r="N21" s="50"/>
      <c r="O21" s="49"/>
      <c r="P21" s="50" t="str">
        <f t="shared" si="0"/>
        <v>ONAY</v>
      </c>
      <c r="R21" s="51" t="str">
        <f t="shared" si="1"/>
        <v/>
      </c>
      <c r="T21" s="41"/>
      <c r="U21" s="29">
        <f>IF($C21&lt;&gt;"",COUNTIF($C$2:C21,C21),"")</f>
        <v>2</v>
      </c>
      <c r="V21" s="29" t="str">
        <f t="shared" si="2"/>
        <v>Dr. Öğr. Üyesi Figen BEZCİ AYGÜN§2</v>
      </c>
      <c r="W21" s="29" t="str">
        <f>IF(U21=1,COUNTIF($U$2:U21,1),"")</f>
        <v/>
      </c>
      <c r="X21" s="29" t="str">
        <f t="shared" si="3"/>
        <v/>
      </c>
      <c r="Y21" s="29">
        <f>IF(AND(LEFT($B21,7)="SBA 26/",$D21&lt;&gt;"",$F21&lt;&gt;""),COUNTIFS($D$2:$D21,$D21,$B$2:$B21,"SBA 26/*",$F$2:$F21,"&lt;&gt;"),"")</f>
        <v>2</v>
      </c>
      <c r="Z21" s="29" t="str">
        <f>IF(Y21=1,COUNTIF($Y$2:Y21,1),"")</f>
        <v/>
      </c>
      <c r="AA21" s="29">
        <f>IF(AND(LEFT($B21,7)="SBA 26/",$C21&lt;&gt;"",$F21&lt;&gt;""),COUNTIFS($C$2:$C21,$C21,$B$2:$B21,"SBA 26/*",$F$2:$F21,"&lt;&gt;"),"")</f>
        <v>2</v>
      </c>
      <c r="AB21" s="29" t="str">
        <f>IF(AA21=1,COUNTIF($AA$2:AA21,1),"")</f>
        <v/>
      </c>
    </row>
    <row r="22" spans="1:28" ht="63" customHeight="1" x14ac:dyDescent="0.2">
      <c r="A22" s="43" t="s">
        <v>200</v>
      </c>
      <c r="B22" s="43" t="s">
        <v>201</v>
      </c>
      <c r="C22" s="44" t="s">
        <v>202</v>
      </c>
      <c r="D22" s="44" t="s">
        <v>203</v>
      </c>
      <c r="E22" s="45" t="s">
        <v>204</v>
      </c>
      <c r="F22" s="45" t="s">
        <v>205</v>
      </c>
      <c r="G22" s="46" t="s">
        <v>41</v>
      </c>
      <c r="H22" s="47"/>
      <c r="I22" s="48">
        <v>46028</v>
      </c>
      <c r="J22" s="44" t="s">
        <v>116</v>
      </c>
      <c r="K22" s="44" t="s">
        <v>109</v>
      </c>
      <c r="L22" s="50" t="s">
        <v>101</v>
      </c>
      <c r="M22" s="50" t="s">
        <v>206</v>
      </c>
      <c r="N22" s="50" t="s">
        <v>77</v>
      </c>
      <c r="O22" s="49"/>
      <c r="P22" s="50" t="str">
        <f t="shared" si="0"/>
        <v>ONAY</v>
      </c>
      <c r="Q22" s="28" t="s">
        <v>116</v>
      </c>
      <c r="R22" s="51" t="str">
        <f t="shared" si="1"/>
        <v/>
      </c>
      <c r="T22" s="41"/>
      <c r="U22" s="29">
        <f>IF($C22&lt;&gt;"",COUNTIF($C$2:C22,C22),"")</f>
        <v>1</v>
      </c>
      <c r="V22" s="29" t="str">
        <f t="shared" si="2"/>
        <v>Prof. Dr. Oğuz IŞIK§1</v>
      </c>
      <c r="W22" s="29">
        <f>IF(U22=1,COUNTIF($U$2:U22,1),"")</f>
        <v>20</v>
      </c>
      <c r="X22" s="29">
        <f t="shared" si="3"/>
        <v>286</v>
      </c>
      <c r="Y22" s="29">
        <f>IF(AND(LEFT($B22,7)="SBA 26/",$D22&lt;&gt;"",$F22&lt;&gt;""),COUNTIFS($D$2:$D22,$D22,$B$2:$B22,"SBA 26/*",$F$2:$F22,"&lt;&gt;"),"")</f>
        <v>1</v>
      </c>
      <c r="Z22" s="29">
        <f>IF(Y22=1,COUNTIF($Y$2:Y22,1),"")</f>
        <v>17</v>
      </c>
      <c r="AA22" s="29">
        <f>IF(AND(LEFT($B22,7)="SBA 26/",$C22&lt;&gt;"",$F22&lt;&gt;""),COUNTIFS($C$2:$C22,$C22,$B$2:$B22,"SBA 26/*",$F$2:$F22,"&lt;&gt;"),"")</f>
        <v>1</v>
      </c>
      <c r="AB22" s="29">
        <f>IF(AA22=1,COUNTIF($AA$2:AA22,1),"")</f>
        <v>20</v>
      </c>
    </row>
    <row r="23" spans="1:28" ht="63" customHeight="1" x14ac:dyDescent="0.2">
      <c r="A23" s="43" t="s">
        <v>207</v>
      </c>
      <c r="B23" s="43" t="s">
        <v>208</v>
      </c>
      <c r="C23" s="44" t="s">
        <v>209</v>
      </c>
      <c r="D23" s="44" t="s">
        <v>133</v>
      </c>
      <c r="E23" s="45" t="s">
        <v>210</v>
      </c>
      <c r="F23" s="45" t="s">
        <v>211</v>
      </c>
      <c r="G23" s="46" t="s">
        <v>39</v>
      </c>
      <c r="H23" s="47"/>
      <c r="I23" s="48">
        <v>46028</v>
      </c>
      <c r="J23" s="44" t="s">
        <v>100</v>
      </c>
      <c r="K23" s="44" t="s">
        <v>84</v>
      </c>
      <c r="L23" s="50" t="s">
        <v>101</v>
      </c>
      <c r="M23" s="50" t="s">
        <v>77</v>
      </c>
      <c r="N23" s="50"/>
      <c r="O23" s="49"/>
      <c r="P23" s="50" t="str">
        <f t="shared" si="0"/>
        <v>ONAY</v>
      </c>
      <c r="Q23" s="28" t="s">
        <v>100</v>
      </c>
      <c r="R23" s="51" t="str">
        <f t="shared" si="1"/>
        <v/>
      </c>
      <c r="T23" s="41"/>
      <c r="U23" s="29">
        <f>IF($C23&lt;&gt;"",COUNTIF($C$2:C23,C23),"")</f>
        <v>1</v>
      </c>
      <c r="V23" s="29" t="str">
        <f t="shared" si="2"/>
        <v>Doç. Dr. Dilek ÜNAL§1</v>
      </c>
      <c r="W23" s="29">
        <f>IF(U23=1,COUNTIF($U$2:U23,1),"")</f>
        <v>21</v>
      </c>
      <c r="X23" s="29">
        <f t="shared" si="3"/>
        <v>40</v>
      </c>
      <c r="Y23" s="29">
        <f>IF(AND(LEFT($B23,7)="SBA 26/",$D23&lt;&gt;"",$F23&lt;&gt;""),COUNTIFS($D$2:$D23,$D23,$B$2:$B23,"SBA 26/*",$F$2:$F23,"&lt;&gt;"),"")</f>
        <v>2</v>
      </c>
      <c r="Z23" s="29" t="str">
        <f>IF(Y23=1,COUNTIF($Y$2:Y23,1),"")</f>
        <v/>
      </c>
      <c r="AA23" s="29">
        <f>IF(AND(LEFT($B23,7)="SBA 26/",$C23&lt;&gt;"",$F23&lt;&gt;""),COUNTIFS($C$2:$C23,$C23,$B$2:$B23,"SBA 26/*",$F$2:$F23,"&lt;&gt;"),"")</f>
        <v>1</v>
      </c>
      <c r="AB23" s="29">
        <f>IF(AA23=1,COUNTIF($AA$2:AA23,1),"")</f>
        <v>21</v>
      </c>
    </row>
    <row r="24" spans="1:28" ht="78.75" customHeight="1" x14ac:dyDescent="0.2">
      <c r="A24" s="43" t="s">
        <v>212</v>
      </c>
      <c r="B24" s="43" t="s">
        <v>213</v>
      </c>
      <c r="C24" s="44" t="s">
        <v>214</v>
      </c>
      <c r="D24" s="44" t="s">
        <v>215</v>
      </c>
      <c r="E24" s="45" t="s">
        <v>216</v>
      </c>
      <c r="F24" s="45" t="s">
        <v>217</v>
      </c>
      <c r="G24" s="46" t="s">
        <v>38</v>
      </c>
      <c r="H24" s="47"/>
      <c r="I24" s="48">
        <v>46028</v>
      </c>
      <c r="J24" s="44" t="s">
        <v>123</v>
      </c>
      <c r="K24" s="44" t="s">
        <v>92</v>
      </c>
      <c r="L24" s="50" t="s">
        <v>206</v>
      </c>
      <c r="M24" s="50" t="s">
        <v>218</v>
      </c>
      <c r="N24" s="50"/>
      <c r="O24" s="49"/>
      <c r="P24" s="50" t="str">
        <f t="shared" si="0"/>
        <v>KAEK</v>
      </c>
      <c r="R24" s="51" t="str">
        <f t="shared" si="1"/>
        <v/>
      </c>
      <c r="T24" s="41"/>
      <c r="U24" s="29">
        <f>IF($C24&lt;&gt;"",COUNTIF($C$2:C24,C24),"")</f>
        <v>1</v>
      </c>
      <c r="V24" s="29" t="str">
        <f t="shared" si="2"/>
        <v>Prof. Dr. Emre TOSUN§1</v>
      </c>
      <c r="W24" s="29">
        <f>IF(U24=1,COUNTIF($U$2:U24,1),"")</f>
        <v>22</v>
      </c>
      <c r="X24" s="29">
        <f t="shared" si="3"/>
        <v>225</v>
      </c>
      <c r="Y24" s="29">
        <f>IF(AND(LEFT($B24,7)="SBA 26/",$D24&lt;&gt;"",$F24&lt;&gt;""),COUNTIFS($D$2:$D24,$D24,$B$2:$B24,"SBA 26/*",$F$2:$F24,"&lt;&gt;"),"")</f>
        <v>1</v>
      </c>
      <c r="Z24" s="29">
        <f>IF(Y24=1,COUNTIF($Y$2:Y24,1),"")</f>
        <v>18</v>
      </c>
      <c r="AA24" s="29">
        <f>IF(AND(LEFT($B24,7)="SBA 26/",$C24&lt;&gt;"",$F24&lt;&gt;""),COUNTIFS($C$2:$C24,$C24,$B$2:$B24,"SBA 26/*",$F$2:$F24,"&lt;&gt;"),"")</f>
        <v>1</v>
      </c>
      <c r="AB24" s="29">
        <f>IF(AA24=1,COUNTIF($AA$2:AA24,1),"")</f>
        <v>22</v>
      </c>
    </row>
    <row r="25" spans="1:28" ht="94.5" customHeight="1" x14ac:dyDescent="0.2">
      <c r="A25" s="43" t="s">
        <v>219</v>
      </c>
      <c r="B25" s="43" t="s">
        <v>220</v>
      </c>
      <c r="C25" s="44" t="s">
        <v>221</v>
      </c>
      <c r="D25" s="44" t="s">
        <v>222</v>
      </c>
      <c r="E25" s="45" t="s">
        <v>223</v>
      </c>
      <c r="F25" s="45" t="s">
        <v>224</v>
      </c>
      <c r="G25" s="46" t="s">
        <v>38</v>
      </c>
      <c r="H25" s="47"/>
      <c r="I25" s="48">
        <v>46028</v>
      </c>
      <c r="J25" s="44" t="s">
        <v>100</v>
      </c>
      <c r="K25" s="44" t="s">
        <v>108</v>
      </c>
      <c r="L25" s="50" t="s">
        <v>206</v>
      </c>
      <c r="M25" s="50" t="s">
        <v>101</v>
      </c>
      <c r="N25" s="50" t="s">
        <v>77</v>
      </c>
      <c r="O25" s="49"/>
      <c r="P25" s="50" t="str">
        <f t="shared" si="0"/>
        <v>ONAY</v>
      </c>
      <c r="Q25" s="28" t="s">
        <v>108</v>
      </c>
      <c r="R25" s="51" t="str">
        <f t="shared" si="1"/>
        <v/>
      </c>
      <c r="T25" s="41"/>
      <c r="U25" s="29">
        <f>IF($C25&lt;&gt;"",COUNTIF($C$2:C25,C25),"")</f>
        <v>1</v>
      </c>
      <c r="V25" s="29" t="str">
        <f t="shared" si="2"/>
        <v>Prof. Dr. Seza ÖZEN§1</v>
      </c>
      <c r="W25" s="29">
        <f>IF(U25=1,COUNTIF($U$2:U25,1),"")</f>
        <v>23</v>
      </c>
      <c r="X25" s="29">
        <f t="shared" si="3"/>
        <v>319</v>
      </c>
      <c r="Y25" s="29">
        <f>IF(AND(LEFT($B25,7)="SBA 26/",$D25&lt;&gt;"",$F25&lt;&gt;""),COUNTIFS($D$2:$D25,$D25,$B$2:$B25,"SBA 26/*",$F$2:$F25,"&lt;&gt;"),"")</f>
        <v>1</v>
      </c>
      <c r="Z25" s="29">
        <f>IF(Y25=1,COUNTIF($Y$2:Y25,1),"")</f>
        <v>19</v>
      </c>
      <c r="AA25" s="29">
        <f>IF(AND(LEFT($B25,7)="SBA 26/",$C25&lt;&gt;"",$F25&lt;&gt;""),COUNTIFS($C$2:$C25,$C25,$B$2:$B25,"SBA 26/*",$F$2:$F25,"&lt;&gt;"),"")</f>
        <v>1</v>
      </c>
      <c r="AB25" s="29">
        <f>IF(AA25=1,COUNTIF($AA$2:AA25,1),"")</f>
        <v>23</v>
      </c>
    </row>
    <row r="26" spans="1:28" ht="63" customHeight="1" x14ac:dyDescent="0.2">
      <c r="A26" s="43" t="s">
        <v>225</v>
      </c>
      <c r="B26" s="43" t="s">
        <v>226</v>
      </c>
      <c r="C26" s="44" t="s">
        <v>227</v>
      </c>
      <c r="D26" s="44" t="s">
        <v>228</v>
      </c>
      <c r="E26" s="45" t="s">
        <v>229</v>
      </c>
      <c r="F26" s="45" t="s">
        <v>230</v>
      </c>
      <c r="G26" s="46" t="s">
        <v>38</v>
      </c>
      <c r="H26" s="47"/>
      <c r="I26" s="48">
        <v>46028</v>
      </c>
      <c r="J26" s="44" t="s">
        <v>92</v>
      </c>
      <c r="K26" s="44" t="s">
        <v>76</v>
      </c>
      <c r="L26" s="50" t="s">
        <v>77</v>
      </c>
      <c r="M26" s="50"/>
      <c r="N26" s="50"/>
      <c r="O26" s="49"/>
      <c r="P26" s="50" t="str">
        <f t="shared" si="0"/>
        <v>ONAY</v>
      </c>
      <c r="R26" s="51" t="str">
        <f t="shared" si="1"/>
        <v/>
      </c>
      <c r="T26" s="41"/>
      <c r="U26" s="29">
        <f>IF($C26&lt;&gt;"",COUNTIF($C$2:C26,C26),"")</f>
        <v>1</v>
      </c>
      <c r="V26" s="29" t="str">
        <f t="shared" si="2"/>
        <v>Dr. Öğr. Üyesi Gonca ÖZTEN DERE§1</v>
      </c>
      <c r="W26" s="29">
        <f>IF(U26=1,COUNTIF($U$2:U26,1),"")</f>
        <v>24</v>
      </c>
      <c r="X26" s="29">
        <f t="shared" si="3"/>
        <v>139</v>
      </c>
      <c r="Y26" s="29">
        <f>IF(AND(LEFT($B26,7)="SBA 26/",$D26&lt;&gt;"",$F26&lt;&gt;""),COUNTIFS($D$2:$D26,$D26,$B$2:$B26,"SBA 26/*",$F$2:$F26,"&lt;&gt;"),"")</f>
        <v>1</v>
      </c>
      <c r="Z26" s="29">
        <f>IF(Y26=1,COUNTIF($Y$2:Y26,1),"")</f>
        <v>20</v>
      </c>
      <c r="AA26" s="29">
        <f>IF(AND(LEFT($B26,7)="SBA 26/",$C26&lt;&gt;"",$F26&lt;&gt;""),COUNTIFS($C$2:$C26,$C26,$B$2:$B26,"SBA 26/*",$F$2:$F26,"&lt;&gt;"),"")</f>
        <v>1</v>
      </c>
      <c r="AB26" s="29">
        <f>IF(AA26=1,COUNTIF($AA$2:AA26,1),"")</f>
        <v>24</v>
      </c>
    </row>
    <row r="27" spans="1:28" ht="63" customHeight="1" x14ac:dyDescent="0.2">
      <c r="A27" s="43" t="s">
        <v>231</v>
      </c>
      <c r="B27" s="43" t="s">
        <v>232</v>
      </c>
      <c r="C27" s="44" t="s">
        <v>233</v>
      </c>
      <c r="D27" s="44" t="s">
        <v>234</v>
      </c>
      <c r="E27" s="45" t="s">
        <v>235</v>
      </c>
      <c r="F27" s="45" t="s">
        <v>236</v>
      </c>
      <c r="G27" s="46" t="s">
        <v>38</v>
      </c>
      <c r="H27" s="47"/>
      <c r="I27" s="48">
        <v>46028</v>
      </c>
      <c r="J27" s="44" t="s">
        <v>91</v>
      </c>
      <c r="K27" s="44" t="s">
        <v>123</v>
      </c>
      <c r="L27" s="50" t="s">
        <v>77</v>
      </c>
      <c r="M27" s="50"/>
      <c r="N27" s="50"/>
      <c r="O27" s="49"/>
      <c r="P27" s="50" t="str">
        <f t="shared" si="0"/>
        <v>ONAY</v>
      </c>
      <c r="R27" s="51" t="str">
        <f t="shared" si="1"/>
        <v/>
      </c>
      <c r="T27" s="41"/>
      <c r="U27" s="29">
        <f>IF($C27&lt;&gt;"",COUNTIF($C$2:C27,C27),"")</f>
        <v>1</v>
      </c>
      <c r="V27" s="29" t="str">
        <f t="shared" si="2"/>
        <v>Prof. Dr. Hikmet YORGUN§1</v>
      </c>
      <c r="W27" s="29">
        <f>IF(U27=1,COUNTIF($U$2:U27,1),"")</f>
        <v>25</v>
      </c>
      <c r="X27" s="29">
        <f t="shared" si="3"/>
        <v>250</v>
      </c>
      <c r="Y27" s="29">
        <f>IF(AND(LEFT($B27,7)="SBA 26/",$D27&lt;&gt;"",$F27&lt;&gt;""),COUNTIFS($D$2:$D27,$D27,$B$2:$B27,"SBA 26/*",$F$2:$F27,"&lt;&gt;"),"")</f>
        <v>1</v>
      </c>
      <c r="Z27" s="29">
        <f>IF(Y27=1,COUNTIF($Y$2:Y27,1),"")</f>
        <v>21</v>
      </c>
      <c r="AA27" s="29">
        <f>IF(AND(LEFT($B27,7)="SBA 26/",$C27&lt;&gt;"",$F27&lt;&gt;""),COUNTIFS($C$2:$C27,$C27,$B$2:$B27,"SBA 26/*",$F$2:$F27,"&lt;&gt;"),"")</f>
        <v>1</v>
      </c>
      <c r="AB27" s="29">
        <f>IF(AA27=1,COUNTIF($AA$2:AA27,1),"")</f>
        <v>25</v>
      </c>
    </row>
    <row r="28" spans="1:28" ht="63" customHeight="1" x14ac:dyDescent="0.2">
      <c r="A28" s="43" t="s">
        <v>237</v>
      </c>
      <c r="B28" s="43" t="s">
        <v>238</v>
      </c>
      <c r="C28" s="44" t="s">
        <v>162</v>
      </c>
      <c r="D28" s="44" t="s">
        <v>163</v>
      </c>
      <c r="E28" s="45" t="s">
        <v>239</v>
      </c>
      <c r="F28" s="45" t="s">
        <v>240</v>
      </c>
      <c r="G28" s="46" t="s">
        <v>38</v>
      </c>
      <c r="H28" s="47"/>
      <c r="I28" s="48">
        <v>46028</v>
      </c>
      <c r="J28" s="44" t="s">
        <v>116</v>
      </c>
      <c r="K28" s="44" t="s">
        <v>99</v>
      </c>
      <c r="L28" s="50" t="s">
        <v>77</v>
      </c>
      <c r="M28" s="50"/>
      <c r="N28" s="50"/>
      <c r="O28" s="49"/>
      <c r="P28" s="50" t="str">
        <f t="shared" si="0"/>
        <v>ONAY</v>
      </c>
      <c r="R28" s="51" t="str">
        <f t="shared" si="1"/>
        <v/>
      </c>
      <c r="T28" s="41"/>
      <c r="U28" s="29">
        <f>IF($C28&lt;&gt;"",COUNTIF($C$2:C28,C28),"")</f>
        <v>2</v>
      </c>
      <c r="V28" s="29" t="str">
        <f t="shared" si="2"/>
        <v>Dr. Öğr. Üyesi Yiğitcan KARANFİL§2</v>
      </c>
      <c r="W28" s="29" t="str">
        <f>IF(U28=1,COUNTIF($U$2:U28,1),"")</f>
        <v/>
      </c>
      <c r="X28" s="29" t="str">
        <f t="shared" si="3"/>
        <v/>
      </c>
      <c r="Y28" s="29">
        <f>IF(AND(LEFT($B28,7)="SBA 26/",$D28&lt;&gt;"",$F28&lt;&gt;""),COUNTIFS($D$2:$D28,$D28,$B$2:$B28,"SBA 26/*",$F$2:$F28,"&lt;&gt;"),"")</f>
        <v>2</v>
      </c>
      <c r="Z28" s="29" t="str">
        <f>IF(Y28=1,COUNTIF($Y$2:Y28,1),"")</f>
        <v/>
      </c>
      <c r="AA28" s="29">
        <f>IF(AND(LEFT($B28,7)="SBA 26/",$C28&lt;&gt;"",$F28&lt;&gt;""),COUNTIFS($C$2:$C28,$C28,$B$2:$B28,"SBA 26/*",$F$2:$F28,"&lt;&gt;"),"")</f>
        <v>2</v>
      </c>
      <c r="AB28" s="29" t="str">
        <f>IF(AA28=1,COUNTIF($AA$2:AA28,1),"")</f>
        <v/>
      </c>
    </row>
    <row r="29" spans="1:28" ht="47.25" customHeight="1" x14ac:dyDescent="0.2">
      <c r="A29" s="43" t="s">
        <v>241</v>
      </c>
      <c r="B29" s="43" t="s">
        <v>242</v>
      </c>
      <c r="C29" s="44" t="s">
        <v>243</v>
      </c>
      <c r="D29" s="44" t="s">
        <v>113</v>
      </c>
      <c r="E29" s="45" t="s">
        <v>244</v>
      </c>
      <c r="F29" s="45" t="s">
        <v>245</v>
      </c>
      <c r="G29" s="46" t="s">
        <v>38</v>
      </c>
      <c r="H29" s="47"/>
      <c r="I29" s="48">
        <v>46028</v>
      </c>
      <c r="J29" s="44" t="s">
        <v>92</v>
      </c>
      <c r="K29" s="44" t="s">
        <v>84</v>
      </c>
      <c r="L29" s="50" t="s">
        <v>77</v>
      </c>
      <c r="M29" s="50"/>
      <c r="N29" s="50"/>
      <c r="O29" s="49"/>
      <c r="P29" s="50" t="str">
        <f t="shared" si="0"/>
        <v>ONAY</v>
      </c>
      <c r="R29" s="51" t="str">
        <f t="shared" si="1"/>
        <v/>
      </c>
      <c r="T29" s="41"/>
      <c r="U29" s="29">
        <f>IF($C29&lt;&gt;"",COUNTIF($C$2:C29,C29),"")</f>
        <v>1</v>
      </c>
      <c r="V29" s="29" t="str">
        <f t="shared" si="2"/>
        <v>Doç. Dr. Levent KILIÇ§1</v>
      </c>
      <c r="W29" s="29">
        <f>IF(U29=1,COUNTIF($U$2:U29,1),"")</f>
        <v>26</v>
      </c>
      <c r="X29" s="29">
        <f t="shared" si="3"/>
        <v>79</v>
      </c>
      <c r="Y29" s="29">
        <f>IF(AND(LEFT($B29,7)="SBA 26/",$D29&lt;&gt;"",$F29&lt;&gt;""),COUNTIFS($D$2:$D29,$D29,$B$2:$B29,"SBA 26/*",$F$2:$F29,"&lt;&gt;"),"")</f>
        <v>4</v>
      </c>
      <c r="Z29" s="29" t="str">
        <f>IF(Y29=1,COUNTIF($Y$2:Y29,1),"")</f>
        <v/>
      </c>
      <c r="AA29" s="29">
        <f>IF(AND(LEFT($B29,7)="SBA 26/",$C29&lt;&gt;"",$F29&lt;&gt;""),COUNTIFS($C$2:$C29,$C29,$B$2:$B29,"SBA 26/*",$F$2:$F29,"&lt;&gt;"),"")</f>
        <v>1</v>
      </c>
      <c r="AB29" s="29">
        <f>IF(AA29=1,COUNTIF($AA$2:AA29,1),"")</f>
        <v>26</v>
      </c>
    </row>
    <row r="30" spans="1:28" ht="63" customHeight="1" x14ac:dyDescent="0.2">
      <c r="A30" s="43" t="s">
        <v>246</v>
      </c>
      <c r="B30" s="43" t="s">
        <v>247</v>
      </c>
      <c r="C30" s="44" t="s">
        <v>248</v>
      </c>
      <c r="D30" s="44" t="s">
        <v>234</v>
      </c>
      <c r="E30" s="45" t="s">
        <v>249</v>
      </c>
      <c r="F30" s="45" t="s">
        <v>250</v>
      </c>
      <c r="G30" s="46" t="s">
        <v>38</v>
      </c>
      <c r="H30" s="48">
        <v>46017</v>
      </c>
      <c r="I30" s="48">
        <v>46028</v>
      </c>
      <c r="J30" s="44" t="s">
        <v>109</v>
      </c>
      <c r="K30" s="44" t="s">
        <v>129</v>
      </c>
      <c r="L30" s="50" t="s">
        <v>77</v>
      </c>
      <c r="M30" s="50"/>
      <c r="N30" s="50"/>
      <c r="O30" s="49"/>
      <c r="P30" s="50" t="str">
        <f t="shared" si="0"/>
        <v>ONAY</v>
      </c>
      <c r="R30" s="51" t="str">
        <f t="shared" si="1"/>
        <v/>
      </c>
      <c r="T30" s="41"/>
      <c r="U30" s="29">
        <f>IF($C30&lt;&gt;"",COUNTIF($C$2:C30,C30),"")</f>
        <v>1</v>
      </c>
      <c r="V30" s="29" t="str">
        <f t="shared" si="2"/>
        <v>Prof. Dr. Kudret AYTEMİR§1</v>
      </c>
      <c r="W30" s="29">
        <f>IF(U30=1,COUNTIF($U$2:U30,1),"")</f>
        <v>27</v>
      </c>
      <c r="X30" s="29">
        <f t="shared" si="3"/>
        <v>259</v>
      </c>
      <c r="Y30" s="29">
        <f>IF(AND(LEFT($B30,7)="SBA 26/",$D30&lt;&gt;"",$F30&lt;&gt;""),COUNTIFS($D$2:$D30,$D30,$B$2:$B30,"SBA 26/*",$F$2:$F30,"&lt;&gt;"),"")</f>
        <v>2</v>
      </c>
      <c r="Z30" s="29" t="str">
        <f>IF(Y30=1,COUNTIF($Y$2:Y30,1),"")</f>
        <v/>
      </c>
      <c r="AA30" s="29">
        <f>IF(AND(LEFT($B30,7)="SBA 26/",$C30&lt;&gt;"",$F30&lt;&gt;""),COUNTIFS($C$2:$C30,$C30,$B$2:$B30,"SBA 26/*",$F$2:$F30,"&lt;&gt;"),"")</f>
        <v>1</v>
      </c>
      <c r="AB30" s="29">
        <f>IF(AA30=1,COUNTIF($AA$2:AA30,1),"")</f>
        <v>27</v>
      </c>
    </row>
    <row r="31" spans="1:28" ht="93.75" customHeight="1" x14ac:dyDescent="0.2">
      <c r="A31" s="43" t="s">
        <v>251</v>
      </c>
      <c r="B31" s="43" t="s">
        <v>252</v>
      </c>
      <c r="C31" s="44" t="s">
        <v>168</v>
      </c>
      <c r="D31" s="44" t="s">
        <v>169</v>
      </c>
      <c r="E31" s="45" t="s">
        <v>253</v>
      </c>
      <c r="F31" s="45" t="s">
        <v>254</v>
      </c>
      <c r="G31" s="46" t="s">
        <v>38</v>
      </c>
      <c r="H31" s="48">
        <v>46017</v>
      </c>
      <c r="I31" s="48">
        <v>46028</v>
      </c>
      <c r="J31" s="44" t="s">
        <v>109</v>
      </c>
      <c r="K31" s="44" t="s">
        <v>76</v>
      </c>
      <c r="L31" s="50" t="s">
        <v>101</v>
      </c>
      <c r="M31" s="50" t="s">
        <v>77</v>
      </c>
      <c r="N31" s="50"/>
      <c r="O31" s="49"/>
      <c r="P31" s="50" t="str">
        <f t="shared" si="0"/>
        <v>ONAY</v>
      </c>
      <c r="Q31" s="28" t="s">
        <v>109</v>
      </c>
      <c r="R31" s="51" t="str">
        <f t="shared" si="1"/>
        <v/>
      </c>
      <c r="T31" s="41"/>
      <c r="U31" s="29">
        <f>IF($C31&lt;&gt;"",COUNTIF($C$2:C31,C31),"")</f>
        <v>2</v>
      </c>
      <c r="V31" s="29" t="str">
        <f t="shared" si="2"/>
        <v>Prof. Dr. Ali Fuat KALYONCU§2</v>
      </c>
      <c r="W31" s="29" t="str">
        <f>IF(U31=1,COUNTIF($U$2:U31,1),"")</f>
        <v/>
      </c>
      <c r="X31" s="29" t="str">
        <f t="shared" si="3"/>
        <v/>
      </c>
      <c r="Y31" s="29">
        <f>IF(AND(LEFT($B31,7)="SBA 26/",$D31&lt;&gt;"",$F31&lt;&gt;""),COUNTIFS($D$2:$D31,$D31,$B$2:$B31,"SBA 26/*",$F$2:$F31,"&lt;&gt;"),"")</f>
        <v>3</v>
      </c>
      <c r="Z31" s="29" t="str">
        <f>IF(Y31=1,COUNTIF($Y$2:Y31,1),"")</f>
        <v/>
      </c>
      <c r="AA31" s="29">
        <f>IF(AND(LEFT($B31,7)="SBA 26/",$C31&lt;&gt;"",$F31&lt;&gt;""),COUNTIFS($C$2:$C31,$C31,$B$2:$B31,"SBA 26/*",$F$2:$F31,"&lt;&gt;"),"")</f>
        <v>2</v>
      </c>
      <c r="AB31" s="29" t="str">
        <f>IF(AA31=1,COUNTIF($AA$2:AA31,1),"")</f>
        <v/>
      </c>
    </row>
    <row r="32" spans="1:28" ht="94.5" customHeight="1" x14ac:dyDescent="0.2">
      <c r="A32" s="43" t="s">
        <v>255</v>
      </c>
      <c r="B32" s="43" t="s">
        <v>256</v>
      </c>
      <c r="C32" s="44" t="s">
        <v>168</v>
      </c>
      <c r="D32" s="44" t="s">
        <v>169</v>
      </c>
      <c r="E32" s="45" t="s">
        <v>253</v>
      </c>
      <c r="F32" s="45" t="s">
        <v>257</v>
      </c>
      <c r="G32" s="46" t="s">
        <v>38</v>
      </c>
      <c r="H32" s="48">
        <v>46017</v>
      </c>
      <c r="I32" s="48">
        <v>46028</v>
      </c>
      <c r="J32" s="44" t="s">
        <v>109</v>
      </c>
      <c r="K32" s="44" t="s">
        <v>129</v>
      </c>
      <c r="L32" s="50" t="s">
        <v>101</v>
      </c>
      <c r="M32" s="50"/>
      <c r="N32" s="50"/>
      <c r="O32" s="49"/>
      <c r="P32" s="50" t="str">
        <f t="shared" si="0"/>
        <v>DÜZELTME</v>
      </c>
      <c r="R32" s="51" t="str">
        <f t="shared" si="1"/>
        <v/>
      </c>
      <c r="T32" s="41"/>
      <c r="U32" s="29">
        <f>IF($C32&lt;&gt;"",COUNTIF($C$2:C32,C32),"")</f>
        <v>3</v>
      </c>
      <c r="V32" s="29" t="str">
        <f t="shared" si="2"/>
        <v>Prof. Dr. Ali Fuat KALYONCU§3</v>
      </c>
      <c r="W32" s="29" t="str">
        <f>IF(U32=1,COUNTIF($U$2:U32,1),"")</f>
        <v/>
      </c>
      <c r="X32" s="29" t="str">
        <f t="shared" si="3"/>
        <v/>
      </c>
      <c r="Y32" s="29">
        <f>IF(AND(LEFT($B32,7)="SBA 26/",$D32&lt;&gt;"",$F32&lt;&gt;""),COUNTIFS($D$2:$D32,$D32,$B$2:$B32,"SBA 26/*",$F$2:$F32,"&lt;&gt;"),"")</f>
        <v>4</v>
      </c>
      <c r="Z32" s="29" t="str">
        <f>IF(Y32=1,COUNTIF($Y$2:Y32,1),"")</f>
        <v/>
      </c>
      <c r="AA32" s="29">
        <f>IF(AND(LEFT($B32,7)="SBA 26/",$C32&lt;&gt;"",$F32&lt;&gt;""),COUNTIFS($C$2:$C32,$C32,$B$2:$B32,"SBA 26/*",$F$2:$F32,"&lt;&gt;"),"")</f>
        <v>3</v>
      </c>
      <c r="AB32" s="29" t="str">
        <f>IF(AA32=1,COUNTIF($AA$2:AA32,1),"")</f>
        <v/>
      </c>
    </row>
    <row r="33" spans="1:28" ht="94.5" customHeight="1" x14ac:dyDescent="0.2">
      <c r="A33" s="43" t="s">
        <v>258</v>
      </c>
      <c r="B33" s="43" t="s">
        <v>259</v>
      </c>
      <c r="C33" s="44" t="s">
        <v>260</v>
      </c>
      <c r="D33" s="44" t="s">
        <v>169</v>
      </c>
      <c r="E33" s="45" t="s">
        <v>261</v>
      </c>
      <c r="F33" s="45" t="s">
        <v>262</v>
      </c>
      <c r="G33" s="46" t="s">
        <v>38</v>
      </c>
      <c r="H33" s="48">
        <v>46017</v>
      </c>
      <c r="I33" s="48">
        <v>46028</v>
      </c>
      <c r="J33" s="44" t="s">
        <v>129</v>
      </c>
      <c r="K33" s="44" t="s">
        <v>84</v>
      </c>
      <c r="L33" s="50" t="s">
        <v>77</v>
      </c>
      <c r="M33" s="50"/>
      <c r="N33" s="50"/>
      <c r="O33" s="49"/>
      <c r="P33" s="50" t="str">
        <f t="shared" si="0"/>
        <v>ONAY</v>
      </c>
      <c r="R33" s="51" t="str">
        <f t="shared" si="1"/>
        <v/>
      </c>
      <c r="T33" s="41"/>
      <c r="U33" s="29">
        <f>IF($C33&lt;&gt;"",COUNTIF($C$2:C33,C33),"")</f>
        <v>1</v>
      </c>
      <c r="V33" s="29" t="str">
        <f t="shared" si="2"/>
        <v>Prof. Dr. Ebru DAMADOĞLU§1</v>
      </c>
      <c r="W33" s="29">
        <f>IF(U33=1,COUNTIF($U$2:U33,1),"")</f>
        <v>28</v>
      </c>
      <c r="X33" s="29">
        <f t="shared" si="3"/>
        <v>221</v>
      </c>
      <c r="Y33" s="29">
        <f>IF(AND(LEFT($B33,7)="SBA 26/",$D33&lt;&gt;"",$F33&lt;&gt;""),COUNTIFS($D$2:$D33,$D33,$B$2:$B33,"SBA 26/*",$F$2:$F33,"&lt;&gt;"),"")</f>
        <v>5</v>
      </c>
      <c r="Z33" s="29" t="str">
        <f>IF(Y33=1,COUNTIF($Y$2:Y33,1),"")</f>
        <v/>
      </c>
      <c r="AA33" s="29">
        <f>IF(AND(LEFT($B33,7)="SBA 26/",$C33&lt;&gt;"",$F33&lt;&gt;""),COUNTIFS($C$2:$C33,$C33,$B$2:$B33,"SBA 26/*",$F$2:$F33,"&lt;&gt;"),"")</f>
        <v>1</v>
      </c>
      <c r="AB33" s="29">
        <f>IF(AA33=1,COUNTIF($AA$2:AA33,1),"")</f>
        <v>28</v>
      </c>
    </row>
    <row r="34" spans="1:28" ht="63" customHeight="1" x14ac:dyDescent="0.2">
      <c r="A34" s="43" t="s">
        <v>263</v>
      </c>
      <c r="B34" s="43" t="s">
        <v>264</v>
      </c>
      <c r="C34" s="44" t="s">
        <v>112</v>
      </c>
      <c r="D34" s="44" t="s">
        <v>113</v>
      </c>
      <c r="E34" s="45" t="s">
        <v>265</v>
      </c>
      <c r="F34" s="45" t="s">
        <v>266</v>
      </c>
      <c r="G34" s="46" t="s">
        <v>39</v>
      </c>
      <c r="H34" s="48">
        <v>46017</v>
      </c>
      <c r="I34" s="48">
        <v>46028</v>
      </c>
      <c r="J34" s="44" t="s">
        <v>99</v>
      </c>
      <c r="K34" s="44" t="s">
        <v>108</v>
      </c>
      <c r="L34" s="50" t="s">
        <v>77</v>
      </c>
      <c r="M34" s="50"/>
      <c r="N34" s="50"/>
      <c r="O34" s="49"/>
      <c r="P34" s="50" t="str">
        <f t="shared" si="0"/>
        <v>ONAY</v>
      </c>
      <c r="R34" s="51" t="str">
        <f t="shared" si="1"/>
        <v/>
      </c>
      <c r="T34" s="41"/>
      <c r="U34" s="29">
        <f>IF($C34&lt;&gt;"",COUNTIF($C$2:C34,C34),"")</f>
        <v>2</v>
      </c>
      <c r="V34" s="29" t="str">
        <f t="shared" si="2"/>
        <v>Prof. Dr. Meltem Gülhan HALİL§2</v>
      </c>
      <c r="W34" s="29" t="str">
        <f>IF(U34=1,COUNTIF($U$2:U34,1),"")</f>
        <v/>
      </c>
      <c r="X34" s="29" t="str">
        <f t="shared" si="3"/>
        <v/>
      </c>
      <c r="Y34" s="29">
        <f>IF(AND(LEFT($B34,7)="SBA 26/",$D34&lt;&gt;"",$F34&lt;&gt;""),COUNTIFS($D$2:$D34,$D34,$B$2:$B34,"SBA 26/*",$F$2:$F34,"&lt;&gt;"),"")</f>
        <v>5</v>
      </c>
      <c r="Z34" s="29" t="str">
        <f>IF(Y34=1,COUNTIF($Y$2:Y34,1),"")</f>
        <v/>
      </c>
      <c r="AA34" s="29">
        <f>IF(AND(LEFT($B34,7)="SBA 26/",$C34&lt;&gt;"",$F34&lt;&gt;""),COUNTIFS($C$2:$C34,$C34,$B$2:$B34,"SBA 26/*",$F$2:$F34,"&lt;&gt;"),"")</f>
        <v>2</v>
      </c>
      <c r="AB34" s="29" t="str">
        <f>IF(AA34=1,COUNTIF($AA$2:AA34,1),"")</f>
        <v/>
      </c>
    </row>
    <row r="35" spans="1:28" ht="63" customHeight="1" x14ac:dyDescent="0.2">
      <c r="A35" s="43" t="s">
        <v>267</v>
      </c>
      <c r="B35" s="43" t="s">
        <v>268</v>
      </c>
      <c r="C35" s="44" t="s">
        <v>269</v>
      </c>
      <c r="D35" s="44" t="s">
        <v>270</v>
      </c>
      <c r="E35" s="45" t="s">
        <v>271</v>
      </c>
      <c r="F35" s="45" t="s">
        <v>272</v>
      </c>
      <c r="G35" s="46" t="s">
        <v>38</v>
      </c>
      <c r="H35" s="48">
        <v>46017</v>
      </c>
      <c r="I35" s="48">
        <v>46028</v>
      </c>
      <c r="J35" s="44" t="s">
        <v>123</v>
      </c>
      <c r="K35" s="44" t="s">
        <v>116</v>
      </c>
      <c r="L35" s="50" t="s">
        <v>77</v>
      </c>
      <c r="M35" s="50"/>
      <c r="N35" s="50"/>
      <c r="O35" s="49"/>
      <c r="P35" s="50" t="str">
        <f t="shared" si="0"/>
        <v>ONAY</v>
      </c>
      <c r="R35" s="51" t="str">
        <f t="shared" si="1"/>
        <v/>
      </c>
      <c r="T35" s="41"/>
      <c r="U35" s="29">
        <f>IF($C35&lt;&gt;"",COUNTIF($C$2:C35,C35),"")</f>
        <v>1</v>
      </c>
      <c r="V35" s="29" t="str">
        <f t="shared" si="2"/>
        <v>Öğr. Gör. Dr. Bahattin PASLI§1</v>
      </c>
      <c r="W35" s="29">
        <f>IF(U35=1,COUNTIF($U$2:U35,1),"")</f>
        <v>29</v>
      </c>
      <c r="X35" s="29">
        <f t="shared" si="3"/>
        <v>176</v>
      </c>
      <c r="Y35" s="29">
        <f>IF(AND(LEFT($B35,7)="SBA 26/",$D35&lt;&gt;"",$F35&lt;&gt;""),COUNTIFS($D$2:$D35,$D35,$B$2:$B35,"SBA 26/*",$F$2:$F35,"&lt;&gt;"),"")</f>
        <v>1</v>
      </c>
      <c r="Z35" s="29">
        <f>IF(Y35=1,COUNTIF($Y$2:Y35,1),"")</f>
        <v>22</v>
      </c>
      <c r="AA35" s="29">
        <f>IF(AND(LEFT($B35,7)="SBA 26/",$C35&lt;&gt;"",$F35&lt;&gt;""),COUNTIFS($C$2:$C35,$C35,$B$2:$B35,"SBA 26/*",$F$2:$F35,"&lt;&gt;"),"")</f>
        <v>1</v>
      </c>
      <c r="AB35" s="29">
        <f>IF(AA35=1,COUNTIF($AA$2:AA35,1),"")</f>
        <v>29</v>
      </c>
    </row>
    <row r="36" spans="1:28" ht="78.75" customHeight="1" x14ac:dyDescent="0.2">
      <c r="A36" s="43" t="s">
        <v>273</v>
      </c>
      <c r="B36" s="43" t="s">
        <v>274</v>
      </c>
      <c r="C36" s="44" t="s">
        <v>269</v>
      </c>
      <c r="D36" s="44" t="s">
        <v>270</v>
      </c>
      <c r="E36" s="45" t="s">
        <v>275</v>
      </c>
      <c r="F36" s="45" t="s">
        <v>276</v>
      </c>
      <c r="G36" s="46" t="s">
        <v>38</v>
      </c>
      <c r="H36" s="48">
        <v>46017</v>
      </c>
      <c r="I36" s="48">
        <v>46028</v>
      </c>
      <c r="J36" s="44" t="s">
        <v>91</v>
      </c>
      <c r="K36" s="44" t="s">
        <v>116</v>
      </c>
      <c r="L36" s="50" t="s">
        <v>77</v>
      </c>
      <c r="M36" s="50"/>
      <c r="N36" s="50"/>
      <c r="O36" s="49"/>
      <c r="P36" s="50" t="str">
        <f t="shared" si="0"/>
        <v>ONAY</v>
      </c>
      <c r="R36" s="51" t="str">
        <f t="shared" si="1"/>
        <v/>
      </c>
      <c r="T36" s="41"/>
      <c r="U36" s="29">
        <f>IF($C36&lt;&gt;"",COUNTIF($C$2:C36,C36),"")</f>
        <v>2</v>
      </c>
      <c r="V36" s="29" t="str">
        <f t="shared" si="2"/>
        <v>Öğr. Gör. Dr. Bahattin PASLI§2</v>
      </c>
      <c r="W36" s="29" t="str">
        <f>IF(U36=1,COUNTIF($U$2:U36,1),"")</f>
        <v/>
      </c>
      <c r="X36" s="29" t="str">
        <f t="shared" si="3"/>
        <v/>
      </c>
      <c r="Y36" s="29">
        <f>IF(AND(LEFT($B36,7)="SBA 26/",$D36&lt;&gt;"",$F36&lt;&gt;""),COUNTIFS($D$2:$D36,$D36,$B$2:$B36,"SBA 26/*",$F$2:$F36,"&lt;&gt;"),"")</f>
        <v>2</v>
      </c>
      <c r="Z36" s="29" t="str">
        <f>IF(Y36=1,COUNTIF($Y$2:Y36,1),"")</f>
        <v/>
      </c>
      <c r="AA36" s="29">
        <f>IF(AND(LEFT($B36,7)="SBA 26/",$C36&lt;&gt;"",$F36&lt;&gt;""),COUNTIFS($C$2:$C36,$C36,$B$2:$B36,"SBA 26/*",$F$2:$F36,"&lt;&gt;"),"")</f>
        <v>2</v>
      </c>
      <c r="AB36" s="29" t="str">
        <f>IF(AA36=1,COUNTIF($AA$2:AA36,1),"")</f>
        <v/>
      </c>
    </row>
    <row r="37" spans="1:28" ht="78.75" customHeight="1" x14ac:dyDescent="0.2">
      <c r="A37" s="43" t="s">
        <v>277</v>
      </c>
      <c r="B37" s="43" t="s">
        <v>278</v>
      </c>
      <c r="C37" s="44" t="s">
        <v>279</v>
      </c>
      <c r="D37" s="44" t="s">
        <v>280</v>
      </c>
      <c r="E37" s="45" t="s">
        <v>281</v>
      </c>
      <c r="F37" s="45" t="s">
        <v>282</v>
      </c>
      <c r="G37" s="46" t="s">
        <v>38</v>
      </c>
      <c r="H37" s="48">
        <v>46017</v>
      </c>
      <c r="I37" s="48">
        <v>46028</v>
      </c>
      <c r="J37" s="44" t="s">
        <v>91</v>
      </c>
      <c r="K37" s="44" t="s">
        <v>92</v>
      </c>
      <c r="L37" s="50" t="s">
        <v>77</v>
      </c>
      <c r="M37" s="50"/>
      <c r="N37" s="50"/>
      <c r="O37" s="49"/>
      <c r="P37" s="50" t="str">
        <f t="shared" si="0"/>
        <v>ONAY</v>
      </c>
      <c r="R37" s="51" t="str">
        <f t="shared" si="1"/>
        <v/>
      </c>
      <c r="T37" s="41"/>
      <c r="U37" s="29">
        <f>IF($C37&lt;&gt;"",COUNTIF($C$2:C37,C37),"")</f>
        <v>1</v>
      </c>
      <c r="V37" s="29" t="str">
        <f t="shared" si="2"/>
        <v>Prof. Dr. Müzeyyen Pınar ÖZGEN KIRATLI§1</v>
      </c>
      <c r="W37" s="29">
        <f>IF(U37=1,COUNTIF($U$2:U37,1),"")</f>
        <v>30</v>
      </c>
      <c r="X37" s="29">
        <f t="shared" si="3"/>
        <v>282</v>
      </c>
      <c r="Y37" s="29">
        <f>IF(AND(LEFT($B37,7)="SBA 26/",$D37&lt;&gt;"",$F37&lt;&gt;""),COUNTIFS($D$2:$D37,$D37,$B$2:$B37,"SBA 26/*",$F$2:$F37,"&lt;&gt;"),"")</f>
        <v>1</v>
      </c>
      <c r="Z37" s="29">
        <f>IF(Y37=1,COUNTIF($Y$2:Y37,1),"")</f>
        <v>23</v>
      </c>
      <c r="AA37" s="29">
        <f>IF(AND(LEFT($B37,7)="SBA 26/",$C37&lt;&gt;"",$F37&lt;&gt;""),COUNTIFS($C$2:$C37,$C37,$B$2:$B37,"SBA 26/*",$F$2:$F37,"&lt;&gt;"),"")</f>
        <v>1</v>
      </c>
      <c r="AB37" s="29">
        <f>IF(AA37=1,COUNTIF($AA$2:AA37,1),"")</f>
        <v>30</v>
      </c>
    </row>
    <row r="38" spans="1:28" ht="63" customHeight="1" x14ac:dyDescent="0.2">
      <c r="A38" s="43" t="s">
        <v>283</v>
      </c>
      <c r="B38" s="43" t="s">
        <v>284</v>
      </c>
      <c r="C38" s="44" t="s">
        <v>285</v>
      </c>
      <c r="D38" s="44" t="s">
        <v>222</v>
      </c>
      <c r="E38" s="45" t="s">
        <v>286</v>
      </c>
      <c r="F38" s="45" t="s">
        <v>287</v>
      </c>
      <c r="G38" s="46" t="s">
        <v>38</v>
      </c>
      <c r="H38" s="48">
        <v>46017</v>
      </c>
      <c r="I38" s="48">
        <v>46028</v>
      </c>
      <c r="J38" s="44" t="s">
        <v>76</v>
      </c>
      <c r="K38" s="44" t="s">
        <v>100</v>
      </c>
      <c r="L38" s="50" t="s">
        <v>77</v>
      </c>
      <c r="M38" s="50"/>
      <c r="N38" s="50"/>
      <c r="O38" s="49"/>
      <c r="P38" s="50" t="str">
        <f t="shared" si="0"/>
        <v>ONAY</v>
      </c>
      <c r="R38" s="51" t="str">
        <f t="shared" si="1"/>
        <v/>
      </c>
      <c r="T38" s="41"/>
      <c r="U38" s="29">
        <f>IF($C38&lt;&gt;"",COUNTIF($C$2:C38,C38),"")</f>
        <v>1</v>
      </c>
      <c r="V38" s="29" t="str">
        <f t="shared" si="2"/>
        <v>Prof. Dr. Yasemin ÖZSÜREKCİ§1</v>
      </c>
      <c r="W38" s="29">
        <f>IF(U38=1,COUNTIF($U$2:U38,1),"")</f>
        <v>31</v>
      </c>
      <c r="X38" s="29">
        <f t="shared" si="3"/>
        <v>344</v>
      </c>
      <c r="Y38" s="29">
        <f>IF(AND(LEFT($B38,7)="SBA 26/",$D38&lt;&gt;"",$F38&lt;&gt;""),COUNTIFS($D$2:$D38,$D38,$B$2:$B38,"SBA 26/*",$F$2:$F38,"&lt;&gt;"),"")</f>
        <v>2</v>
      </c>
      <c r="Z38" s="29" t="str">
        <f>IF(Y38=1,COUNTIF($Y$2:Y38,1),"")</f>
        <v/>
      </c>
      <c r="AA38" s="29">
        <f>IF(AND(LEFT($B38,7)="SBA 26/",$C38&lt;&gt;"",$F38&lt;&gt;""),COUNTIFS($C$2:$C38,$C38,$B$2:$B38,"SBA 26/*",$F$2:$F38,"&lt;&gt;"),"")</f>
        <v>1</v>
      </c>
      <c r="AB38" s="29">
        <f>IF(AA38=1,COUNTIF($AA$2:AA38,1),"")</f>
        <v>31</v>
      </c>
    </row>
    <row r="39" spans="1:28" ht="63" customHeight="1" x14ac:dyDescent="0.2">
      <c r="A39" s="43" t="s">
        <v>288</v>
      </c>
      <c r="B39" s="43" t="s">
        <v>289</v>
      </c>
      <c r="C39" s="44" t="s">
        <v>290</v>
      </c>
      <c r="D39" s="44" t="s">
        <v>291</v>
      </c>
      <c r="E39" s="45" t="s">
        <v>292</v>
      </c>
      <c r="F39" s="45" t="s">
        <v>293</v>
      </c>
      <c r="G39" s="46" t="s">
        <v>38</v>
      </c>
      <c r="H39" s="48">
        <v>46017</v>
      </c>
      <c r="I39" s="48">
        <v>46028</v>
      </c>
      <c r="J39" s="44" t="s">
        <v>75</v>
      </c>
      <c r="K39" s="44" t="s">
        <v>92</v>
      </c>
      <c r="L39" s="50" t="s">
        <v>206</v>
      </c>
      <c r="M39" s="50" t="s">
        <v>101</v>
      </c>
      <c r="N39" s="50" t="s">
        <v>77</v>
      </c>
      <c r="O39" s="49"/>
      <c r="P39" s="50" t="str">
        <f t="shared" si="0"/>
        <v>ONAY</v>
      </c>
      <c r="Q39" s="28" t="s">
        <v>91</v>
      </c>
      <c r="R39" s="51" t="str">
        <f t="shared" si="1"/>
        <v/>
      </c>
      <c r="T39" s="41"/>
      <c r="U39" s="29">
        <f>IF($C39&lt;&gt;"",COUNTIF($C$2:C39,C39),"")</f>
        <v>1</v>
      </c>
      <c r="V39" s="29" t="str">
        <f t="shared" si="2"/>
        <v>Öğr. Gör. Dr. Burçay TELLİOĞLU§1</v>
      </c>
      <c r="W39" s="29">
        <f>IF(U39=1,COUNTIF($U$2:U39,1),"")</f>
        <v>32</v>
      </c>
      <c r="X39" s="29">
        <f t="shared" si="3"/>
        <v>179</v>
      </c>
      <c r="Y39" s="29">
        <f>IF(AND(LEFT($B39,7)="SBA 26/",$D39&lt;&gt;"",$F39&lt;&gt;""),COUNTIFS($D$2:$D39,$D39,$B$2:$B39,"SBA 26/*",$F$2:$F39,"&lt;&gt;"),"")</f>
        <v>1</v>
      </c>
      <c r="Z39" s="29">
        <f>IF(Y39=1,COUNTIF($Y$2:Y39,1),"")</f>
        <v>24</v>
      </c>
      <c r="AA39" s="29">
        <f>IF(AND(LEFT($B39,7)="SBA 26/",$C39&lt;&gt;"",$F39&lt;&gt;""),COUNTIFS($C$2:$C39,$C39,$B$2:$B39,"SBA 26/*",$F$2:$F39,"&lt;&gt;"),"")</f>
        <v>1</v>
      </c>
      <c r="AB39" s="29">
        <f>IF(AA39=1,COUNTIF($AA$2:AA39,1),"")</f>
        <v>32</v>
      </c>
    </row>
    <row r="40" spans="1:28" ht="47.25" customHeight="1" x14ac:dyDescent="0.2">
      <c r="A40" s="43" t="s">
        <v>294</v>
      </c>
      <c r="B40" s="43" t="s">
        <v>295</v>
      </c>
      <c r="C40" s="44" t="s">
        <v>296</v>
      </c>
      <c r="D40" s="44" t="s">
        <v>297</v>
      </c>
      <c r="E40" s="45" t="s">
        <v>298</v>
      </c>
      <c r="F40" s="45" t="s">
        <v>299</v>
      </c>
      <c r="G40" s="46" t="s">
        <v>38</v>
      </c>
      <c r="H40" s="48">
        <v>46017</v>
      </c>
      <c r="I40" s="48">
        <v>46028</v>
      </c>
      <c r="J40" s="44" t="s">
        <v>123</v>
      </c>
      <c r="K40" s="44" t="s">
        <v>99</v>
      </c>
      <c r="L40" s="50" t="s">
        <v>172</v>
      </c>
      <c r="M40" s="50" t="s">
        <v>77</v>
      </c>
      <c r="N40" s="50"/>
      <c r="O40" s="49"/>
      <c r="P40" s="50" t="str">
        <f t="shared" si="0"/>
        <v>ONAY</v>
      </c>
      <c r="R40" s="51" t="str">
        <f t="shared" si="1"/>
        <v/>
      </c>
      <c r="T40" s="41"/>
      <c r="U40" s="29">
        <f>IF($C40&lt;&gt;"",COUNTIF($C$2:C40,C40),"")</f>
        <v>1</v>
      </c>
      <c r="V40" s="29" t="str">
        <f t="shared" si="2"/>
        <v>Doç. Dr. Hande GÖRÜCÜ COŞKUNER§1</v>
      </c>
      <c r="W40" s="29">
        <f>IF(U40=1,COUNTIF($U$2:U40,1),"")</f>
        <v>33</v>
      </c>
      <c r="X40" s="29">
        <f t="shared" si="3"/>
        <v>66</v>
      </c>
      <c r="Y40" s="29">
        <f>IF(AND(LEFT($B40,7)="SBA 26/",$D40&lt;&gt;"",$F40&lt;&gt;""),COUNTIFS($D$2:$D40,$D40,$B$2:$B40,"SBA 26/*",$F$2:$F40,"&lt;&gt;"),"")</f>
        <v>1</v>
      </c>
      <c r="Z40" s="29">
        <f>IF(Y40=1,COUNTIF($Y$2:Y40,1),"")</f>
        <v>25</v>
      </c>
      <c r="AA40" s="29">
        <f>IF(AND(LEFT($B40,7)="SBA 26/",$C40&lt;&gt;"",$F40&lt;&gt;""),COUNTIFS($C$2:$C40,$C40,$B$2:$B40,"SBA 26/*",$F$2:$F40,"&lt;&gt;"),"")</f>
        <v>1</v>
      </c>
      <c r="AB40" s="29">
        <f>IF(AA40=1,COUNTIF($AA$2:AA40,1),"")</f>
        <v>33</v>
      </c>
    </row>
    <row r="41" spans="1:28" ht="96.75" customHeight="1" x14ac:dyDescent="0.2">
      <c r="A41" s="43" t="s">
        <v>300</v>
      </c>
      <c r="B41" s="43" t="s">
        <v>301</v>
      </c>
      <c r="C41" s="44" t="s">
        <v>302</v>
      </c>
      <c r="D41" s="44" t="s">
        <v>222</v>
      </c>
      <c r="E41" s="45" t="s">
        <v>303</v>
      </c>
      <c r="F41" s="45" t="s">
        <v>304</v>
      </c>
      <c r="G41" s="46" t="s">
        <v>38</v>
      </c>
      <c r="H41" s="48">
        <v>46017</v>
      </c>
      <c r="I41" s="48">
        <v>46028</v>
      </c>
      <c r="J41" s="44" t="s">
        <v>84</v>
      </c>
      <c r="K41" s="44" t="s">
        <v>100</v>
      </c>
      <c r="L41" s="50" t="s">
        <v>77</v>
      </c>
      <c r="M41" s="50"/>
      <c r="N41" s="50"/>
      <c r="O41" s="49"/>
      <c r="P41" s="50" t="str">
        <f t="shared" si="0"/>
        <v>ONAY</v>
      </c>
      <c r="R41" s="51" t="str">
        <f t="shared" si="1"/>
        <v/>
      </c>
      <c r="T41" s="41"/>
      <c r="U41" s="29">
        <f>IF($C41&lt;&gt;"",COUNTIF($C$2:C41,C41),"")</f>
        <v>1</v>
      </c>
      <c r="V41" s="29" t="str">
        <f t="shared" si="2"/>
        <v>Doç. Dr. Saliha ESENBOĞA§1</v>
      </c>
      <c r="W41" s="29">
        <f>IF(U41=1,COUNTIF($U$2:U41,1),"")</f>
        <v>34</v>
      </c>
      <c r="X41" s="29">
        <f t="shared" si="3"/>
        <v>96</v>
      </c>
      <c r="Y41" s="29">
        <f>IF(AND(LEFT($B41,7)="SBA 26/",$D41&lt;&gt;"",$F41&lt;&gt;""),COUNTIFS($D$2:$D41,$D41,$B$2:$B41,"SBA 26/*",$F$2:$F41,"&lt;&gt;"),"")</f>
        <v>3</v>
      </c>
      <c r="Z41" s="29" t="str">
        <f>IF(Y41=1,COUNTIF($Y$2:Y41,1),"")</f>
        <v/>
      </c>
      <c r="AA41" s="29">
        <f>IF(AND(LEFT($B41,7)="SBA 26/",$C41&lt;&gt;"",$F41&lt;&gt;""),COUNTIFS($C$2:$C41,$C41,$B$2:$B41,"SBA 26/*",$F$2:$F41,"&lt;&gt;"),"")</f>
        <v>1</v>
      </c>
      <c r="AB41" s="29">
        <f>IF(AA41=1,COUNTIF($AA$2:AA41,1),"")</f>
        <v>34</v>
      </c>
    </row>
    <row r="42" spans="1:28" ht="78.75" customHeight="1" x14ac:dyDescent="0.2">
      <c r="A42" s="43" t="s">
        <v>305</v>
      </c>
      <c r="B42" s="43" t="s">
        <v>306</v>
      </c>
      <c r="C42" s="44" t="s">
        <v>307</v>
      </c>
      <c r="D42" s="44" t="s">
        <v>234</v>
      </c>
      <c r="E42" s="45" t="s">
        <v>308</v>
      </c>
      <c r="F42" s="45" t="s">
        <v>309</v>
      </c>
      <c r="G42" s="46" t="s">
        <v>39</v>
      </c>
      <c r="H42" s="48">
        <v>46017</v>
      </c>
      <c r="I42" s="48">
        <v>46028</v>
      </c>
      <c r="J42" s="44" t="s">
        <v>108</v>
      </c>
      <c r="K42" s="44" t="s">
        <v>123</v>
      </c>
      <c r="L42" s="50" t="s">
        <v>77</v>
      </c>
      <c r="M42" s="50"/>
      <c r="N42" s="50"/>
      <c r="O42" s="49"/>
      <c r="P42" s="50" t="str">
        <f t="shared" si="0"/>
        <v>ONAY</v>
      </c>
      <c r="R42" s="51" t="str">
        <f t="shared" si="1"/>
        <v/>
      </c>
      <c r="T42" s="41"/>
      <c r="U42" s="29">
        <f>IF($C42&lt;&gt;"",COUNTIF($C$2:C42,C42),"")</f>
        <v>1</v>
      </c>
      <c r="V42" s="29" t="str">
        <f t="shared" si="2"/>
        <v>Dr. Öğr. Üyesi Ahmet KIVRAK§1</v>
      </c>
      <c r="W42" s="29">
        <f>IF(U42=1,COUNTIF($U$2:U42,1),"")</f>
        <v>35</v>
      </c>
      <c r="X42" s="29">
        <f t="shared" si="3"/>
        <v>114</v>
      </c>
      <c r="Y42" s="29">
        <f>IF(AND(LEFT($B42,7)="SBA 26/",$D42&lt;&gt;"",$F42&lt;&gt;""),COUNTIFS($D$2:$D42,$D42,$B$2:$B42,"SBA 26/*",$F$2:$F42,"&lt;&gt;"),"")</f>
        <v>3</v>
      </c>
      <c r="Z42" s="29" t="str">
        <f>IF(Y42=1,COUNTIF($Y$2:Y42,1),"")</f>
        <v/>
      </c>
      <c r="AA42" s="29">
        <f>IF(AND(LEFT($B42,7)="SBA 26/",$C42&lt;&gt;"",$F42&lt;&gt;""),COUNTIFS($C$2:$C42,$C42,$B$2:$B42,"SBA 26/*",$F$2:$F42,"&lt;&gt;"),"")</f>
        <v>1</v>
      </c>
      <c r="AB42" s="29">
        <f>IF(AA42=1,COUNTIF($AA$2:AA42,1),"")</f>
        <v>35</v>
      </c>
    </row>
    <row r="43" spans="1:28" ht="63" customHeight="1" x14ac:dyDescent="0.2">
      <c r="A43" s="43" t="s">
        <v>310</v>
      </c>
      <c r="B43" s="43" t="s">
        <v>311</v>
      </c>
      <c r="C43" s="44" t="s">
        <v>307</v>
      </c>
      <c r="D43" s="44" t="s">
        <v>234</v>
      </c>
      <c r="E43" s="45" t="s">
        <v>312</v>
      </c>
      <c r="F43" s="45" t="s">
        <v>313</v>
      </c>
      <c r="G43" s="46" t="s">
        <v>38</v>
      </c>
      <c r="H43" s="48">
        <v>46017</v>
      </c>
      <c r="I43" s="48">
        <v>46028</v>
      </c>
      <c r="J43" s="44" t="s">
        <v>109</v>
      </c>
      <c r="K43" s="44" t="s">
        <v>76</v>
      </c>
      <c r="L43" s="50" t="s">
        <v>101</v>
      </c>
      <c r="M43" s="50" t="s">
        <v>206</v>
      </c>
      <c r="N43" s="50" t="s">
        <v>77</v>
      </c>
      <c r="O43" s="49"/>
      <c r="P43" s="50" t="str">
        <f t="shared" si="0"/>
        <v>ONAY</v>
      </c>
      <c r="Q43" s="28" t="s">
        <v>91</v>
      </c>
      <c r="R43" s="51" t="str">
        <f t="shared" si="1"/>
        <v/>
      </c>
      <c r="T43" s="41"/>
      <c r="U43" s="29">
        <f>IF($C43&lt;&gt;"",COUNTIF($C$2:C43,C43),"")</f>
        <v>2</v>
      </c>
      <c r="V43" s="29" t="str">
        <f t="shared" si="2"/>
        <v>Dr. Öğr. Üyesi Ahmet KIVRAK§2</v>
      </c>
      <c r="W43" s="29" t="str">
        <f>IF(U43=1,COUNTIF($U$2:U43,1),"")</f>
        <v/>
      </c>
      <c r="X43" s="29" t="str">
        <f t="shared" si="3"/>
        <v/>
      </c>
      <c r="Y43" s="29">
        <f>IF(AND(LEFT($B43,7)="SBA 26/",$D43&lt;&gt;"",$F43&lt;&gt;""),COUNTIFS($D$2:$D43,$D43,$B$2:$B43,"SBA 26/*",$F$2:$F43,"&lt;&gt;"),"")</f>
        <v>4</v>
      </c>
      <c r="Z43" s="29" t="str">
        <f>IF(Y43=1,COUNTIF($Y$2:Y43,1),"")</f>
        <v/>
      </c>
      <c r="AA43" s="29">
        <f>IF(AND(LEFT($B43,7)="SBA 26/",$C43&lt;&gt;"",$F43&lt;&gt;""),COUNTIFS($C$2:$C43,$C43,$B$2:$B43,"SBA 26/*",$F$2:$F43,"&lt;&gt;"),"")</f>
        <v>2</v>
      </c>
      <c r="AB43" s="29" t="str">
        <f>IF(AA43=1,COUNTIF($AA$2:AA43,1),"")</f>
        <v/>
      </c>
    </row>
    <row r="44" spans="1:28" ht="63" customHeight="1" x14ac:dyDescent="0.2">
      <c r="A44" s="43" t="s">
        <v>314</v>
      </c>
      <c r="B44" s="43" t="s">
        <v>315</v>
      </c>
      <c r="C44" s="44" t="s">
        <v>307</v>
      </c>
      <c r="D44" s="44" t="s">
        <v>234</v>
      </c>
      <c r="E44" s="45" t="s">
        <v>312</v>
      </c>
      <c r="F44" s="45" t="s">
        <v>316</v>
      </c>
      <c r="G44" s="46" t="s">
        <v>38</v>
      </c>
      <c r="H44" s="48">
        <v>46017</v>
      </c>
      <c r="I44" s="48">
        <v>46028</v>
      </c>
      <c r="J44" s="44" t="s">
        <v>91</v>
      </c>
      <c r="K44" s="44" t="s">
        <v>75</v>
      </c>
      <c r="L44" s="50" t="s">
        <v>77</v>
      </c>
      <c r="M44" s="50"/>
      <c r="N44" s="50"/>
      <c r="O44" s="49"/>
      <c r="P44" s="50" t="str">
        <f t="shared" si="0"/>
        <v>ONAY</v>
      </c>
      <c r="R44" s="51" t="str">
        <f t="shared" si="1"/>
        <v/>
      </c>
      <c r="T44" s="41"/>
      <c r="U44" s="29">
        <f>IF($C44&lt;&gt;"",COUNTIF($C$2:C44,C44),"")</f>
        <v>3</v>
      </c>
      <c r="V44" s="29" t="str">
        <f t="shared" si="2"/>
        <v>Dr. Öğr. Üyesi Ahmet KIVRAK§3</v>
      </c>
      <c r="W44" s="29" t="str">
        <f>IF(U44=1,COUNTIF($U$2:U44,1),"")</f>
        <v/>
      </c>
      <c r="X44" s="29" t="str">
        <f t="shared" si="3"/>
        <v/>
      </c>
      <c r="Y44" s="29">
        <f>IF(AND(LEFT($B44,7)="SBA 26/",$D44&lt;&gt;"",$F44&lt;&gt;""),COUNTIFS($D$2:$D44,$D44,$B$2:$B44,"SBA 26/*",$F$2:$F44,"&lt;&gt;"),"")</f>
        <v>5</v>
      </c>
      <c r="Z44" s="29" t="str">
        <f>IF(Y44=1,COUNTIF($Y$2:Y44,1),"")</f>
        <v/>
      </c>
      <c r="AA44" s="29">
        <f>IF(AND(LEFT($B44,7)="SBA 26/",$C44&lt;&gt;"",$F44&lt;&gt;""),COUNTIFS($C$2:$C44,$C44,$B$2:$B44,"SBA 26/*",$F$2:$F44,"&lt;&gt;"),"")</f>
        <v>3</v>
      </c>
      <c r="AB44" s="29" t="str">
        <f>IF(AA44=1,COUNTIF($AA$2:AA44,1),"")</f>
        <v/>
      </c>
    </row>
    <row r="45" spans="1:28" ht="98.25" customHeight="1" x14ac:dyDescent="0.2">
      <c r="A45" s="43" t="s">
        <v>317</v>
      </c>
      <c r="B45" s="43" t="s">
        <v>318</v>
      </c>
      <c r="C45" s="44" t="s">
        <v>319</v>
      </c>
      <c r="D45" s="44" t="s">
        <v>113</v>
      </c>
      <c r="E45" s="45" t="s">
        <v>320</v>
      </c>
      <c r="F45" s="45" t="s">
        <v>321</v>
      </c>
      <c r="G45" s="46" t="s">
        <v>38</v>
      </c>
      <c r="H45" s="48">
        <v>46017</v>
      </c>
      <c r="I45" s="48">
        <v>46028</v>
      </c>
      <c r="J45" s="44" t="s">
        <v>75</v>
      </c>
      <c r="K45" s="44" t="s">
        <v>100</v>
      </c>
      <c r="L45" s="50" t="s">
        <v>77</v>
      </c>
      <c r="M45" s="50"/>
      <c r="N45" s="50"/>
      <c r="O45" s="49"/>
      <c r="P45" s="50" t="str">
        <f t="shared" si="0"/>
        <v>ONAY</v>
      </c>
      <c r="R45" s="51" t="str">
        <f t="shared" si="1"/>
        <v/>
      </c>
      <c r="T45" s="41"/>
      <c r="U45" s="29">
        <f>IF($C45&lt;&gt;"",COUNTIF($C$2:C45,C45),"")</f>
        <v>1</v>
      </c>
      <c r="V45" s="29" t="str">
        <f t="shared" si="2"/>
        <v>Prof. Dr. Bülent ALTUN§1</v>
      </c>
      <c r="W45" s="29">
        <f>IF(U45=1,COUNTIF($U$2:U45,1),"")</f>
        <v>36</v>
      </c>
      <c r="X45" s="29">
        <f t="shared" si="3"/>
        <v>209</v>
      </c>
      <c r="Y45" s="29">
        <f>IF(AND(LEFT($B45,7)="SBA 26/",$D45&lt;&gt;"",$F45&lt;&gt;""),COUNTIFS($D$2:$D45,$D45,$B$2:$B45,"SBA 26/*",$F$2:$F45,"&lt;&gt;"),"")</f>
        <v>6</v>
      </c>
      <c r="Z45" s="29" t="str">
        <f>IF(Y45=1,COUNTIF($Y$2:Y45,1),"")</f>
        <v/>
      </c>
      <c r="AA45" s="29">
        <f>IF(AND(LEFT($B45,7)="SBA 26/",$C45&lt;&gt;"",$F45&lt;&gt;""),COUNTIFS($C$2:$C45,$C45,$B$2:$B45,"SBA 26/*",$F$2:$F45,"&lt;&gt;"),"")</f>
        <v>1</v>
      </c>
      <c r="AB45" s="29">
        <f>IF(AA45=1,COUNTIF($AA$2:AA45,1),"")</f>
        <v>36</v>
      </c>
    </row>
    <row r="46" spans="1:28" ht="47.25" customHeight="1" x14ac:dyDescent="0.2">
      <c r="A46" s="43" t="s">
        <v>322</v>
      </c>
      <c r="B46" s="43" t="s">
        <v>323</v>
      </c>
      <c r="C46" s="44" t="s">
        <v>324</v>
      </c>
      <c r="D46" s="44" t="s">
        <v>325</v>
      </c>
      <c r="E46" s="45" t="s">
        <v>326</v>
      </c>
      <c r="F46" s="45" t="s">
        <v>327</v>
      </c>
      <c r="G46" s="46" t="s">
        <v>41</v>
      </c>
      <c r="H46" s="48">
        <v>46017</v>
      </c>
      <c r="I46" s="48">
        <v>46028</v>
      </c>
      <c r="J46" s="44" t="s">
        <v>116</v>
      </c>
      <c r="K46" s="44" t="s">
        <v>91</v>
      </c>
      <c r="L46" s="50" t="s">
        <v>77</v>
      </c>
      <c r="M46" s="50"/>
      <c r="N46" s="50"/>
      <c r="O46" s="49"/>
      <c r="P46" s="50" t="str">
        <f t="shared" si="0"/>
        <v>ONAY</v>
      </c>
      <c r="R46" s="51" t="str">
        <f t="shared" si="1"/>
        <v/>
      </c>
      <c r="T46" s="41"/>
      <c r="U46" s="29">
        <f>IF($C46&lt;&gt;"",COUNTIF($C$2:C46,C46),"")</f>
        <v>1</v>
      </c>
      <c r="V46" s="29" t="str">
        <f t="shared" si="2"/>
        <v>Prof. Dr. Dilek ASLAN§1</v>
      </c>
      <c r="W46" s="29">
        <f>IF(U46=1,COUNTIF($U$2:U46,1),"")</f>
        <v>37</v>
      </c>
      <c r="X46" s="29">
        <f t="shared" si="3"/>
        <v>218</v>
      </c>
      <c r="Y46" s="29">
        <f>IF(AND(LEFT($B46,7)="SBA 26/",$D46&lt;&gt;"",$F46&lt;&gt;""),COUNTIFS($D$2:$D46,$D46,$B$2:$B46,"SBA 26/*",$F$2:$F46,"&lt;&gt;"),"")</f>
        <v>1</v>
      </c>
      <c r="Z46" s="29">
        <f>IF(Y46=1,COUNTIF($Y$2:Y46,1),"")</f>
        <v>26</v>
      </c>
      <c r="AA46" s="29">
        <f>IF(AND(LEFT($B46,7)="SBA 26/",$C46&lt;&gt;"",$F46&lt;&gt;""),COUNTIFS($C$2:$C46,$C46,$B$2:$B46,"SBA 26/*",$F$2:$F46,"&lt;&gt;"),"")</f>
        <v>1</v>
      </c>
      <c r="AB46" s="29">
        <f>IF(AA46=1,COUNTIF($AA$2:AA46,1),"")</f>
        <v>37</v>
      </c>
    </row>
    <row r="47" spans="1:28" ht="63" customHeight="1" x14ac:dyDescent="0.2">
      <c r="A47" s="43" t="s">
        <v>328</v>
      </c>
      <c r="B47" s="43" t="s">
        <v>329</v>
      </c>
      <c r="C47" s="44" t="s">
        <v>330</v>
      </c>
      <c r="D47" s="44" t="s">
        <v>222</v>
      </c>
      <c r="E47" s="45" t="s">
        <v>331</v>
      </c>
      <c r="F47" s="45" t="s">
        <v>332</v>
      </c>
      <c r="G47" s="46" t="s">
        <v>38</v>
      </c>
      <c r="H47" s="48">
        <v>46017</v>
      </c>
      <c r="I47" s="48">
        <v>46028</v>
      </c>
      <c r="J47" s="44" t="s">
        <v>100</v>
      </c>
      <c r="K47" s="44" t="s">
        <v>99</v>
      </c>
      <c r="L47" s="50" t="s">
        <v>77</v>
      </c>
      <c r="M47" s="50"/>
      <c r="N47" s="50"/>
      <c r="O47" s="49"/>
      <c r="P47" s="50" t="str">
        <f t="shared" si="0"/>
        <v>ONAY</v>
      </c>
      <c r="R47" s="51" t="str">
        <f t="shared" si="1"/>
        <v/>
      </c>
      <c r="T47" s="41"/>
      <c r="U47" s="29">
        <f>IF($C47&lt;&gt;"",COUNTIF($C$2:C47,C47),"")</f>
        <v>1</v>
      </c>
      <c r="V47" s="29" t="str">
        <f t="shared" si="2"/>
        <v>Prof. Dr. Ali DÜZOVA§1</v>
      </c>
      <c r="W47" s="29">
        <f>IF(U47=1,COUNTIF($U$2:U47,1),"")</f>
        <v>38</v>
      </c>
      <c r="X47" s="29">
        <f t="shared" si="3"/>
        <v>190</v>
      </c>
      <c r="Y47" s="29">
        <f>IF(AND(LEFT($B47,7)="SBA 26/",$D47&lt;&gt;"",$F47&lt;&gt;""),COUNTIFS($D$2:$D47,$D47,$B$2:$B47,"SBA 26/*",$F$2:$F47,"&lt;&gt;"),"")</f>
        <v>4</v>
      </c>
      <c r="Z47" s="29" t="str">
        <f>IF(Y47=1,COUNTIF($Y$2:Y47,1),"")</f>
        <v/>
      </c>
      <c r="AA47" s="29">
        <f>IF(AND(LEFT($B47,7)="SBA 26/",$C47&lt;&gt;"",$F47&lt;&gt;""),COUNTIFS($C$2:$C47,$C47,$B$2:$B47,"SBA 26/*",$F$2:$F47,"&lt;&gt;"),"")</f>
        <v>1</v>
      </c>
      <c r="AB47" s="29">
        <f>IF(AA47=1,COUNTIF($AA$2:AA47,1),"")</f>
        <v>38</v>
      </c>
    </row>
    <row r="48" spans="1:28" ht="126" customHeight="1" x14ac:dyDescent="0.2">
      <c r="A48" s="43" t="s">
        <v>333</v>
      </c>
      <c r="B48" s="43" t="s">
        <v>334</v>
      </c>
      <c r="C48" s="44" t="s">
        <v>335</v>
      </c>
      <c r="D48" s="44" t="s">
        <v>150</v>
      </c>
      <c r="E48" s="45" t="s">
        <v>336</v>
      </c>
      <c r="F48" s="45" t="s">
        <v>337</v>
      </c>
      <c r="G48" s="46" t="s">
        <v>38</v>
      </c>
      <c r="H48" s="48">
        <v>46017</v>
      </c>
      <c r="I48" s="48">
        <v>46028</v>
      </c>
      <c r="J48" s="44" t="s">
        <v>75</v>
      </c>
      <c r="K48" s="44" t="s">
        <v>108</v>
      </c>
      <c r="L48" s="50" t="s">
        <v>101</v>
      </c>
      <c r="M48" s="50" t="s">
        <v>77</v>
      </c>
      <c r="N48" s="50"/>
      <c r="O48" s="49"/>
      <c r="P48" s="50" t="str">
        <f t="shared" si="0"/>
        <v>ONAY</v>
      </c>
      <c r="Q48" s="28" t="s">
        <v>75</v>
      </c>
      <c r="R48" s="51" t="str">
        <f t="shared" si="1"/>
        <v/>
      </c>
      <c r="T48" s="41"/>
      <c r="U48" s="29">
        <f>IF($C48&lt;&gt;"",COUNTIF($C$2:C48,C48),"")</f>
        <v>1</v>
      </c>
      <c r="V48" s="29" t="str">
        <f t="shared" si="2"/>
        <v>Prof. Dr. Petek KORKUSUZ§1</v>
      </c>
      <c r="W48" s="29">
        <f>IF(U48=1,COUNTIF($U$2:U48,1),"")</f>
        <v>39</v>
      </c>
      <c r="X48" s="29">
        <f t="shared" si="3"/>
        <v>304</v>
      </c>
      <c r="Y48" s="29">
        <f>IF(AND(LEFT($B48,7)="SBA 26/",$D48&lt;&gt;"",$F48&lt;&gt;""),COUNTIFS($D$2:$D48,$D48,$B$2:$B48,"SBA 26/*",$F$2:$F48,"&lt;&gt;"),"")</f>
        <v>2</v>
      </c>
      <c r="Z48" s="29" t="str">
        <f>IF(Y48=1,COUNTIF($Y$2:Y48,1),"")</f>
        <v/>
      </c>
      <c r="AA48" s="29">
        <f>IF(AND(LEFT($B48,7)="SBA 26/",$C48&lt;&gt;"",$F48&lt;&gt;""),COUNTIFS($C$2:$C48,$C48,$B$2:$B48,"SBA 26/*",$F$2:$F48,"&lt;&gt;"),"")</f>
        <v>1</v>
      </c>
      <c r="AB48" s="29">
        <f>IF(AA48=1,COUNTIF($AA$2:AA48,1),"")</f>
        <v>39</v>
      </c>
    </row>
    <row r="49" spans="1:28" ht="63" customHeight="1" x14ac:dyDescent="0.2">
      <c r="A49" s="43" t="s">
        <v>338</v>
      </c>
      <c r="B49" s="43" t="s">
        <v>339</v>
      </c>
      <c r="C49" s="44" t="s">
        <v>340</v>
      </c>
      <c r="D49" s="44" t="s">
        <v>341</v>
      </c>
      <c r="E49" s="45" t="s">
        <v>342</v>
      </c>
      <c r="F49" s="45" t="s">
        <v>343</v>
      </c>
      <c r="G49" s="46" t="s">
        <v>38</v>
      </c>
      <c r="H49" s="48">
        <v>46017</v>
      </c>
      <c r="I49" s="48">
        <v>46028</v>
      </c>
      <c r="J49" s="44" t="s">
        <v>76</v>
      </c>
      <c r="K49" s="44" t="s">
        <v>92</v>
      </c>
      <c r="L49" s="50" t="s">
        <v>206</v>
      </c>
      <c r="M49" s="50" t="s">
        <v>101</v>
      </c>
      <c r="N49" s="50" t="s">
        <v>77</v>
      </c>
      <c r="O49" s="49"/>
      <c r="P49" s="50" t="str">
        <f t="shared" si="0"/>
        <v>ONAY</v>
      </c>
      <c r="Q49" s="28" t="s">
        <v>91</v>
      </c>
      <c r="R49" s="51" t="str">
        <f t="shared" si="1"/>
        <v/>
      </c>
      <c r="T49" s="41"/>
      <c r="U49" s="29">
        <f>IF($C49&lt;&gt;"",COUNTIF($C$2:C49,C49),"")</f>
        <v>1</v>
      </c>
      <c r="V49" s="29" t="str">
        <f t="shared" si="2"/>
        <v>Prof. Dr. Sibel ERSOY EVANS§1</v>
      </c>
      <c r="W49" s="29">
        <f>IF(U49=1,COUNTIF($U$2:U49,1),"")</f>
        <v>40</v>
      </c>
      <c r="X49" s="29">
        <f t="shared" si="3"/>
        <v>322</v>
      </c>
      <c r="Y49" s="29">
        <f>IF(AND(LEFT($B49,7)="SBA 26/",$D49&lt;&gt;"",$F49&lt;&gt;""),COUNTIFS($D$2:$D49,$D49,$B$2:$B49,"SBA 26/*",$F$2:$F49,"&lt;&gt;"),"")</f>
        <v>1</v>
      </c>
      <c r="Z49" s="29">
        <f>IF(Y49=1,COUNTIF($Y$2:Y49,1),"")</f>
        <v>27</v>
      </c>
      <c r="AA49" s="29">
        <f>IF(AND(LEFT($B49,7)="SBA 26/",$C49&lt;&gt;"",$F49&lt;&gt;""),COUNTIFS($C$2:$C49,$C49,$B$2:$B49,"SBA 26/*",$F$2:$F49,"&lt;&gt;"),"")</f>
        <v>1</v>
      </c>
      <c r="AB49" s="29">
        <f>IF(AA49=1,COUNTIF($AA$2:AA49,1),"")</f>
        <v>40</v>
      </c>
    </row>
    <row r="50" spans="1:28" ht="78.75" customHeight="1" x14ac:dyDescent="0.2">
      <c r="A50" s="43" t="s">
        <v>344</v>
      </c>
      <c r="B50" s="43" t="s">
        <v>345</v>
      </c>
      <c r="C50" s="44" t="s">
        <v>346</v>
      </c>
      <c r="D50" s="44" t="s">
        <v>347</v>
      </c>
      <c r="E50" s="45" t="s">
        <v>348</v>
      </c>
      <c r="F50" s="45" t="s">
        <v>349</v>
      </c>
      <c r="G50" s="46" t="s">
        <v>39</v>
      </c>
      <c r="H50" s="48">
        <v>46020</v>
      </c>
      <c r="I50" s="48">
        <v>46028</v>
      </c>
      <c r="J50" s="44" t="s">
        <v>84</v>
      </c>
      <c r="K50" s="44" t="s">
        <v>123</v>
      </c>
      <c r="L50" s="50" t="s">
        <v>77</v>
      </c>
      <c r="M50" s="50"/>
      <c r="N50" s="50"/>
      <c r="O50" s="49"/>
      <c r="P50" s="50" t="str">
        <f t="shared" si="0"/>
        <v>ONAY</v>
      </c>
      <c r="R50" s="51" t="str">
        <f t="shared" si="1"/>
        <v/>
      </c>
      <c r="T50" s="41"/>
      <c r="U50" s="29">
        <f>IF($C50&lt;&gt;"",COUNTIF($C$2:C50,C50),"")</f>
        <v>1</v>
      </c>
      <c r="V50" s="29" t="str">
        <f t="shared" si="2"/>
        <v>Prof. Dr. Oya ÖZDEMİR§1</v>
      </c>
      <c r="W50" s="29">
        <f>IF(U50=1,COUNTIF($U$2:U50,1),"")</f>
        <v>41</v>
      </c>
      <c r="X50" s="29">
        <f t="shared" si="3"/>
        <v>291</v>
      </c>
      <c r="Y50" s="29">
        <f>IF(AND(LEFT($B50,7)="SBA 26/",$D50&lt;&gt;"",$F50&lt;&gt;""),COUNTIFS($D$2:$D50,$D50,$B$2:$B50,"SBA 26/*",$F$2:$F50,"&lt;&gt;"),"")</f>
        <v>1</v>
      </c>
      <c r="Z50" s="29">
        <f>IF(Y50=1,COUNTIF($Y$2:Y50,1),"")</f>
        <v>28</v>
      </c>
      <c r="AA50" s="29">
        <f>IF(AND(LEFT($B50,7)="SBA 26/",$C50&lt;&gt;"",$F50&lt;&gt;""),COUNTIFS($C$2:$C50,$C50,$B$2:$B50,"SBA 26/*",$F$2:$F50,"&lt;&gt;"),"")</f>
        <v>1</v>
      </c>
      <c r="AB50" s="29">
        <f>IF(AA50=1,COUNTIF($AA$2:AA50,1),"")</f>
        <v>41</v>
      </c>
    </row>
    <row r="51" spans="1:28" ht="63" customHeight="1" x14ac:dyDescent="0.2">
      <c r="A51" s="43" t="s">
        <v>350</v>
      </c>
      <c r="B51" s="43" t="s">
        <v>351</v>
      </c>
      <c r="C51" s="44" t="s">
        <v>352</v>
      </c>
      <c r="D51" s="44" t="s">
        <v>353</v>
      </c>
      <c r="E51" s="45" t="s">
        <v>354</v>
      </c>
      <c r="F51" s="45" t="s">
        <v>355</v>
      </c>
      <c r="G51" s="46" t="s">
        <v>38</v>
      </c>
      <c r="H51" s="48">
        <v>46020</v>
      </c>
      <c r="I51" s="48">
        <v>46028</v>
      </c>
      <c r="J51" s="44" t="s">
        <v>123</v>
      </c>
      <c r="K51" s="44" t="s">
        <v>91</v>
      </c>
      <c r="L51" s="50" t="s">
        <v>101</v>
      </c>
      <c r="M51" s="50" t="s">
        <v>77</v>
      </c>
      <c r="N51" s="50"/>
      <c r="O51" s="49"/>
      <c r="P51" s="50" t="str">
        <f t="shared" si="0"/>
        <v>ONAY</v>
      </c>
      <c r="Q51" s="28" t="s">
        <v>91</v>
      </c>
      <c r="R51" s="51" t="str">
        <f t="shared" si="1"/>
        <v/>
      </c>
      <c r="T51" s="41"/>
      <c r="U51" s="29">
        <f>IF($C51&lt;&gt;"",COUNTIF($C$2:C51,C51),"")</f>
        <v>1</v>
      </c>
      <c r="V51" s="29" t="str">
        <f t="shared" si="2"/>
        <v>Prof. Dr. Bahar GÜÇİZ DOĞAN§1</v>
      </c>
      <c r="W51" s="29">
        <f>IF(U51=1,COUNTIF($U$2:U51,1),"")</f>
        <v>42</v>
      </c>
      <c r="X51" s="29">
        <f t="shared" si="3"/>
        <v>201</v>
      </c>
      <c r="Y51" s="29">
        <f>IF(AND(LEFT($B51,7)="SBA 26/",$D51&lt;&gt;"",$F51&lt;&gt;""),COUNTIFS($D$2:$D51,$D51,$B$2:$B51,"SBA 26/*",$F$2:$F51,"&lt;&gt;"),"")</f>
        <v>1</v>
      </c>
      <c r="Z51" s="29">
        <f>IF(Y51=1,COUNTIF($Y$2:Y51,1),"")</f>
        <v>29</v>
      </c>
      <c r="AA51" s="29">
        <f>IF(AND(LEFT($B51,7)="SBA 26/",$C51&lt;&gt;"",$F51&lt;&gt;""),COUNTIFS($C$2:$C51,$C51,$B$2:$B51,"SBA 26/*",$F$2:$F51,"&lt;&gt;"),"")</f>
        <v>1</v>
      </c>
      <c r="AB51" s="29">
        <f>IF(AA51=1,COUNTIF($AA$2:AA51,1),"")</f>
        <v>42</v>
      </c>
    </row>
    <row r="52" spans="1:28" ht="78.75" customHeight="1" x14ac:dyDescent="0.2">
      <c r="A52" s="43" t="s">
        <v>356</v>
      </c>
      <c r="B52" s="43" t="s">
        <v>357</v>
      </c>
      <c r="C52" s="44" t="s">
        <v>358</v>
      </c>
      <c r="D52" s="44" t="s">
        <v>228</v>
      </c>
      <c r="E52" s="45" t="s">
        <v>359</v>
      </c>
      <c r="F52" s="45" t="s">
        <v>360</v>
      </c>
      <c r="G52" s="46" t="s">
        <v>39</v>
      </c>
      <c r="H52" s="48">
        <v>46021</v>
      </c>
      <c r="I52" s="48">
        <v>46028</v>
      </c>
      <c r="J52" s="44" t="s">
        <v>109</v>
      </c>
      <c r="K52" s="44" t="s">
        <v>108</v>
      </c>
      <c r="L52" s="50" t="s">
        <v>101</v>
      </c>
      <c r="M52" s="50" t="s">
        <v>77</v>
      </c>
      <c r="N52" s="50"/>
      <c r="O52" s="49"/>
      <c r="P52" s="50" t="str">
        <f t="shared" si="0"/>
        <v>ONAY</v>
      </c>
      <c r="Q52" s="28" t="s">
        <v>108</v>
      </c>
      <c r="R52" s="51" t="str">
        <f t="shared" si="1"/>
        <v/>
      </c>
      <c r="T52" s="41"/>
      <c r="U52" s="29">
        <f>IF($C52&lt;&gt;"",COUNTIF($C$2:C52,C52),"")</f>
        <v>1</v>
      </c>
      <c r="V52" s="29" t="str">
        <f t="shared" si="2"/>
        <v>Doç. Dr. Erdem FADILOĞLU§1</v>
      </c>
      <c r="W52" s="29">
        <f>IF(U52=1,COUNTIF($U$2:U52,1),"")</f>
        <v>43</v>
      </c>
      <c r="X52" s="29">
        <f t="shared" si="3"/>
        <v>51</v>
      </c>
      <c r="Y52" s="29">
        <f>IF(AND(LEFT($B52,7)="SBA 26/",$D52&lt;&gt;"",$F52&lt;&gt;""),COUNTIFS($D$2:$D52,$D52,$B$2:$B52,"SBA 26/*",$F$2:$F52,"&lt;&gt;"),"")</f>
        <v>2</v>
      </c>
      <c r="Z52" s="29" t="str">
        <f>IF(Y52=1,COUNTIF($Y$2:Y52,1),"")</f>
        <v/>
      </c>
      <c r="AA52" s="29">
        <f>IF(AND(LEFT($B52,7)="SBA 26/",$C52&lt;&gt;"",$F52&lt;&gt;""),COUNTIFS($C$2:$C52,$C52,$B$2:$B52,"SBA 26/*",$F$2:$F52,"&lt;&gt;"),"")</f>
        <v>1</v>
      </c>
      <c r="AB52" s="29">
        <f>IF(AA52=1,COUNTIF($AA$2:AA52,1),"")</f>
        <v>43</v>
      </c>
    </row>
    <row r="53" spans="1:28" ht="63" customHeight="1" x14ac:dyDescent="0.2">
      <c r="A53" s="43" t="s">
        <v>361</v>
      </c>
      <c r="B53" s="43" t="s">
        <v>362</v>
      </c>
      <c r="C53" s="44" t="s">
        <v>363</v>
      </c>
      <c r="D53" s="44" t="s">
        <v>364</v>
      </c>
      <c r="E53" s="45" t="s">
        <v>365</v>
      </c>
      <c r="F53" s="45" t="s">
        <v>366</v>
      </c>
      <c r="G53" s="46" t="s">
        <v>38</v>
      </c>
      <c r="H53" s="48">
        <v>46021</v>
      </c>
      <c r="I53" s="48">
        <v>46028</v>
      </c>
      <c r="J53" s="44" t="s">
        <v>75</v>
      </c>
      <c r="K53" s="44" t="s">
        <v>116</v>
      </c>
      <c r="L53" s="50" t="s">
        <v>77</v>
      </c>
      <c r="M53" s="50"/>
      <c r="N53" s="50"/>
      <c r="O53" s="49"/>
      <c r="P53" s="50" t="str">
        <f t="shared" si="0"/>
        <v>ONAY</v>
      </c>
      <c r="R53" s="51" t="str">
        <f t="shared" si="1"/>
        <v/>
      </c>
      <c r="T53" s="41"/>
      <c r="U53" s="29">
        <f>IF($C53&lt;&gt;"",COUNTIF($C$2:C53,C53),"")</f>
        <v>1</v>
      </c>
      <c r="V53" s="29" t="str">
        <f t="shared" si="2"/>
        <v>Prof. Dr. Mehmet Akif TOPÇUOĞLU§1</v>
      </c>
      <c r="W53" s="29">
        <f>IF(U53=1,COUNTIF($U$2:U53,1),"")</f>
        <v>44</v>
      </c>
      <c r="X53" s="29">
        <f t="shared" si="3"/>
        <v>265</v>
      </c>
      <c r="Y53" s="29">
        <f>IF(AND(LEFT($B53,7)="SBA 26/",$D53&lt;&gt;"",$F53&lt;&gt;""),COUNTIFS($D$2:$D53,$D53,$B$2:$B53,"SBA 26/*",$F$2:$F53,"&lt;&gt;"),"")</f>
        <v>1</v>
      </c>
      <c r="Z53" s="29">
        <f>IF(Y53=1,COUNTIF($Y$2:Y53,1),"")</f>
        <v>30</v>
      </c>
      <c r="AA53" s="29">
        <f>IF(AND(LEFT($B53,7)="SBA 26/",$C53&lt;&gt;"",$F53&lt;&gt;""),COUNTIFS($C$2:$C53,$C53,$B$2:$B53,"SBA 26/*",$F$2:$F53,"&lt;&gt;"),"")</f>
        <v>1</v>
      </c>
      <c r="AB53" s="29">
        <f>IF(AA53=1,COUNTIF($AA$2:AA53,1),"")</f>
        <v>44</v>
      </c>
    </row>
    <row r="54" spans="1:28" ht="94.5" customHeight="1" x14ac:dyDescent="0.2">
      <c r="A54" s="43" t="s">
        <v>367</v>
      </c>
      <c r="B54" s="43" t="s">
        <v>368</v>
      </c>
      <c r="C54" s="44" t="s">
        <v>369</v>
      </c>
      <c r="D54" s="44" t="s">
        <v>341</v>
      </c>
      <c r="E54" s="45" t="s">
        <v>370</v>
      </c>
      <c r="F54" s="45" t="s">
        <v>371</v>
      </c>
      <c r="G54" s="46" t="s">
        <v>39</v>
      </c>
      <c r="H54" s="48">
        <v>46021</v>
      </c>
      <c r="I54" s="48">
        <v>46028</v>
      </c>
      <c r="J54" s="44" t="s">
        <v>91</v>
      </c>
      <c r="K54" s="44" t="s">
        <v>129</v>
      </c>
      <c r="L54" s="50" t="s">
        <v>218</v>
      </c>
      <c r="M54" s="50"/>
      <c r="N54" s="50"/>
      <c r="O54" s="49"/>
      <c r="P54" s="50" t="str">
        <f t="shared" si="0"/>
        <v>KAEK</v>
      </c>
      <c r="R54" s="51" t="str">
        <f t="shared" si="1"/>
        <v/>
      </c>
      <c r="T54" s="41"/>
      <c r="U54" s="29">
        <f>IF($C54&lt;&gt;"",COUNTIF($C$2:C54,C54),"")</f>
        <v>1</v>
      </c>
      <c r="V54" s="29" t="str">
        <f t="shared" si="2"/>
        <v>Doç. Dr. Başak YALICI ARMAĞAN§1</v>
      </c>
      <c r="W54" s="29">
        <f>IF(U54=1,COUNTIF($U$2:U54,1),"")</f>
        <v>45</v>
      </c>
      <c r="X54" s="29">
        <f t="shared" si="3"/>
        <v>26</v>
      </c>
      <c r="Y54" s="29">
        <f>IF(AND(LEFT($B54,7)="SBA 26/",$D54&lt;&gt;"",$F54&lt;&gt;""),COUNTIFS($D$2:$D54,$D54,$B$2:$B54,"SBA 26/*",$F$2:$F54,"&lt;&gt;"),"")</f>
        <v>2</v>
      </c>
      <c r="Z54" s="29" t="str">
        <f>IF(Y54=1,COUNTIF($Y$2:Y54,1),"")</f>
        <v/>
      </c>
      <c r="AA54" s="29">
        <f>IF(AND(LEFT($B54,7)="SBA 26/",$C54&lt;&gt;"",$F54&lt;&gt;""),COUNTIFS($C$2:$C54,$C54,$B$2:$B54,"SBA 26/*",$F$2:$F54,"&lt;&gt;"),"")</f>
        <v>1</v>
      </c>
      <c r="AB54" s="29">
        <f>IF(AA54=1,COUNTIF($AA$2:AA54,1),"")</f>
        <v>45</v>
      </c>
    </row>
    <row r="55" spans="1:28" ht="78.75" customHeight="1" x14ac:dyDescent="0.2">
      <c r="A55" s="43" t="s">
        <v>372</v>
      </c>
      <c r="B55" s="43" t="s">
        <v>373</v>
      </c>
      <c r="C55" s="44" t="s">
        <v>374</v>
      </c>
      <c r="D55" s="44" t="s">
        <v>341</v>
      </c>
      <c r="E55" s="45" t="s">
        <v>375</v>
      </c>
      <c r="F55" s="45" t="s">
        <v>376</v>
      </c>
      <c r="G55" s="46" t="s">
        <v>39</v>
      </c>
      <c r="H55" s="48">
        <v>46021</v>
      </c>
      <c r="I55" s="48">
        <v>46028</v>
      </c>
      <c r="J55" s="44" t="s">
        <v>84</v>
      </c>
      <c r="K55" s="44" t="s">
        <v>129</v>
      </c>
      <c r="L55" s="50" t="s">
        <v>77</v>
      </c>
      <c r="M55" s="50"/>
      <c r="N55" s="50"/>
      <c r="O55" s="49"/>
      <c r="P55" s="50" t="str">
        <f t="shared" si="0"/>
        <v>ONAY</v>
      </c>
      <c r="R55" s="51" t="str">
        <f t="shared" si="1"/>
        <v/>
      </c>
      <c r="T55" s="41"/>
      <c r="U55" s="29">
        <f>IF($C55&lt;&gt;"",COUNTIF($C$2:C55,C55),"")</f>
        <v>1</v>
      </c>
      <c r="V55" s="29" t="str">
        <f t="shared" si="2"/>
        <v>Doç. Dr. Neslihan AKDOĞAN§1</v>
      </c>
      <c r="W55" s="29">
        <f>IF(U55=1,COUNTIF($U$2:U55,1),"")</f>
        <v>46</v>
      </c>
      <c r="X55" s="29">
        <f t="shared" si="3"/>
        <v>88</v>
      </c>
      <c r="Y55" s="29">
        <f>IF(AND(LEFT($B55,7)="SBA 26/",$D55&lt;&gt;"",$F55&lt;&gt;""),COUNTIFS($D$2:$D55,$D55,$B$2:$B55,"SBA 26/*",$F$2:$F55,"&lt;&gt;"),"")</f>
        <v>3</v>
      </c>
      <c r="Z55" s="29" t="str">
        <f>IF(Y55=1,COUNTIF($Y$2:Y55,1),"")</f>
        <v/>
      </c>
      <c r="AA55" s="29">
        <f>IF(AND(LEFT($B55,7)="SBA 26/",$C55&lt;&gt;"",$F55&lt;&gt;""),COUNTIFS($C$2:$C55,$C55,$B$2:$B55,"SBA 26/*",$F$2:$F55,"&lt;&gt;"),"")</f>
        <v>1</v>
      </c>
      <c r="AB55" s="29">
        <f>IF(AA55=1,COUNTIF($AA$2:AA55,1),"")</f>
        <v>46</v>
      </c>
    </row>
    <row r="56" spans="1:28" ht="78.75" customHeight="1" x14ac:dyDescent="0.2">
      <c r="A56" s="43" t="s">
        <v>377</v>
      </c>
      <c r="B56" s="43" t="s">
        <v>378</v>
      </c>
      <c r="C56" s="44" t="s">
        <v>379</v>
      </c>
      <c r="D56" s="44" t="s">
        <v>222</v>
      </c>
      <c r="E56" s="45" t="s">
        <v>380</v>
      </c>
      <c r="F56" s="45" t="s">
        <v>381</v>
      </c>
      <c r="G56" s="46" t="s">
        <v>38</v>
      </c>
      <c r="H56" s="48">
        <v>46021</v>
      </c>
      <c r="I56" s="48">
        <v>46028</v>
      </c>
      <c r="J56" s="44" t="s">
        <v>75</v>
      </c>
      <c r="K56" s="44" t="s">
        <v>99</v>
      </c>
      <c r="L56" s="50" t="s">
        <v>77</v>
      </c>
      <c r="M56" s="50"/>
      <c r="N56" s="50"/>
      <c r="O56" s="49"/>
      <c r="P56" s="50" t="str">
        <f t="shared" si="0"/>
        <v>ONAY</v>
      </c>
      <c r="R56" s="51" t="str">
        <f t="shared" si="1"/>
        <v/>
      </c>
      <c r="T56" s="41"/>
      <c r="U56" s="29">
        <f>IF($C56&lt;&gt;"",COUNTIF($C$2:C56,C56),"")</f>
        <v>1</v>
      </c>
      <c r="V56" s="29" t="str">
        <f t="shared" si="2"/>
        <v>Prof. Dr. Deniz ÇAĞDAŞ AYVAZ§1</v>
      </c>
      <c r="W56" s="29">
        <f>IF(U56=1,COUNTIF($U$2:U56,1),"")</f>
        <v>47</v>
      </c>
      <c r="X56" s="29">
        <f t="shared" si="3"/>
        <v>215</v>
      </c>
      <c r="Y56" s="29">
        <f>IF(AND(LEFT($B56,7)="SBA 26/",$D56&lt;&gt;"",$F56&lt;&gt;""),COUNTIFS($D$2:$D56,$D56,$B$2:$B56,"SBA 26/*",$F$2:$F56,"&lt;&gt;"),"")</f>
        <v>5</v>
      </c>
      <c r="Z56" s="29" t="str">
        <f>IF(Y56=1,COUNTIF($Y$2:Y56,1),"")</f>
        <v/>
      </c>
      <c r="AA56" s="29">
        <f>IF(AND(LEFT($B56,7)="SBA 26/",$C56&lt;&gt;"",$F56&lt;&gt;""),COUNTIFS($C$2:$C56,$C56,$B$2:$B56,"SBA 26/*",$F$2:$F56,"&lt;&gt;"),"")</f>
        <v>1</v>
      </c>
      <c r="AB56" s="29">
        <f>IF(AA56=1,COUNTIF($AA$2:AA56,1),"")</f>
        <v>47</v>
      </c>
    </row>
    <row r="57" spans="1:28" ht="63" customHeight="1" x14ac:dyDescent="0.2">
      <c r="A57" s="43" t="s">
        <v>382</v>
      </c>
      <c r="B57" s="43" t="s">
        <v>383</v>
      </c>
      <c r="C57" s="44" t="s">
        <v>384</v>
      </c>
      <c r="D57" s="44" t="s">
        <v>385</v>
      </c>
      <c r="E57" s="45" t="s">
        <v>386</v>
      </c>
      <c r="F57" s="45" t="s">
        <v>387</v>
      </c>
      <c r="G57" s="46" t="s">
        <v>38</v>
      </c>
      <c r="H57" s="48">
        <v>46024</v>
      </c>
      <c r="I57" s="48">
        <v>46042</v>
      </c>
      <c r="J57" s="44" t="s">
        <v>116</v>
      </c>
      <c r="K57" s="44" t="s">
        <v>84</v>
      </c>
      <c r="L57" s="50" t="s">
        <v>101</v>
      </c>
      <c r="M57" s="50" t="s">
        <v>77</v>
      </c>
      <c r="N57" s="50"/>
      <c r="O57" s="49"/>
      <c r="P57" s="50" t="str">
        <f t="shared" si="0"/>
        <v>ONAY</v>
      </c>
      <c r="Q57" s="28" t="s">
        <v>116</v>
      </c>
      <c r="R57" s="51" t="str">
        <f t="shared" si="1"/>
        <v/>
      </c>
      <c r="T57" s="41"/>
      <c r="U57" s="29">
        <f>IF($C57&lt;&gt;"",COUNTIF($C$2:C57,C57),"")</f>
        <v>1</v>
      </c>
      <c r="V57" s="29" t="str">
        <f t="shared" si="2"/>
        <v>Prof. Dr. Tutku SOYER§1</v>
      </c>
      <c r="W57" s="29">
        <f>IF(U57=1,COUNTIF($U$2:U57,1),"")</f>
        <v>48</v>
      </c>
      <c r="X57" s="29">
        <f t="shared" si="3"/>
        <v>333</v>
      </c>
      <c r="Y57" s="29">
        <f>IF(AND(LEFT($B57,7)="SBA 26/",$D57&lt;&gt;"",$F57&lt;&gt;""),COUNTIFS($D$2:$D57,$D57,$B$2:$B57,"SBA 26/*",$F$2:$F57,"&lt;&gt;"),"")</f>
        <v>1</v>
      </c>
      <c r="Z57" s="29">
        <f>IF(Y57=1,COUNTIF($Y$2:Y57,1),"")</f>
        <v>31</v>
      </c>
      <c r="AA57" s="29">
        <f>IF(AND(LEFT($B57,7)="SBA 26/",$C57&lt;&gt;"",$F57&lt;&gt;""),COUNTIFS($C$2:$C57,$C57,$B$2:$B57,"SBA 26/*",$F$2:$F57,"&lt;&gt;"),"")</f>
        <v>1</v>
      </c>
      <c r="AB57" s="29">
        <f>IF(AA57=1,COUNTIF($AA$2:AA57,1),"")</f>
        <v>48</v>
      </c>
    </row>
    <row r="58" spans="1:28" ht="63" customHeight="1" x14ac:dyDescent="0.2">
      <c r="A58" s="43" t="s">
        <v>388</v>
      </c>
      <c r="B58" s="43" t="s">
        <v>389</v>
      </c>
      <c r="C58" s="44" t="s">
        <v>390</v>
      </c>
      <c r="D58" s="44" t="s">
        <v>391</v>
      </c>
      <c r="E58" s="45" t="s">
        <v>392</v>
      </c>
      <c r="F58" s="45" t="s">
        <v>393</v>
      </c>
      <c r="G58" s="46" t="s">
        <v>38</v>
      </c>
      <c r="H58" s="48">
        <v>46024</v>
      </c>
      <c r="I58" s="48">
        <v>46042</v>
      </c>
      <c r="J58" s="44" t="s">
        <v>91</v>
      </c>
      <c r="K58" s="44" t="s">
        <v>92</v>
      </c>
      <c r="L58" s="50" t="s">
        <v>101</v>
      </c>
      <c r="M58" s="50" t="s">
        <v>77</v>
      </c>
      <c r="N58" s="50"/>
      <c r="O58" s="49"/>
      <c r="P58" s="50" t="str">
        <f t="shared" si="0"/>
        <v>ONAY</v>
      </c>
      <c r="Q58" s="28" t="s">
        <v>91</v>
      </c>
      <c r="R58" s="51" t="str">
        <f t="shared" si="1"/>
        <v/>
      </c>
      <c r="T58" s="41"/>
      <c r="U58" s="29">
        <f>IF($C58&lt;&gt;"",COUNTIF($C$2:C58,C58),"")</f>
        <v>1</v>
      </c>
      <c r="V58" s="29" t="str">
        <f t="shared" si="2"/>
        <v>Prof. Dr. Mehmet AYVAZ§1</v>
      </c>
      <c r="W58" s="29">
        <f>IF(U58=1,COUNTIF($U$2:U58,1),"")</f>
        <v>49</v>
      </c>
      <c r="X58" s="29">
        <f t="shared" si="3"/>
        <v>266</v>
      </c>
      <c r="Y58" s="29">
        <f>IF(AND(LEFT($B58,7)="SBA 26/",$D58&lt;&gt;"",$F58&lt;&gt;""),COUNTIFS($D$2:$D58,$D58,$B$2:$B58,"SBA 26/*",$F$2:$F58,"&lt;&gt;"),"")</f>
        <v>1</v>
      </c>
      <c r="Z58" s="29">
        <f>IF(Y58=1,COUNTIF($Y$2:Y58,1),"")</f>
        <v>32</v>
      </c>
      <c r="AA58" s="29">
        <f>IF(AND(LEFT($B58,7)="SBA 26/",$C58&lt;&gt;"",$F58&lt;&gt;""),COUNTIFS($C$2:$C58,$C58,$B$2:$B58,"SBA 26/*",$F$2:$F58,"&lt;&gt;"),"")</f>
        <v>1</v>
      </c>
      <c r="AB58" s="29">
        <f>IF(AA58=1,COUNTIF($AA$2:AA58,1),"")</f>
        <v>49</v>
      </c>
    </row>
    <row r="59" spans="1:28" ht="78.75" customHeight="1" x14ac:dyDescent="0.2">
      <c r="A59" s="43" t="s">
        <v>394</v>
      </c>
      <c r="B59" s="43" t="s">
        <v>395</v>
      </c>
      <c r="C59" s="44" t="s">
        <v>396</v>
      </c>
      <c r="D59" s="44" t="s">
        <v>397</v>
      </c>
      <c r="E59" s="45" t="s">
        <v>398</v>
      </c>
      <c r="F59" s="45" t="s">
        <v>399</v>
      </c>
      <c r="G59" s="46" t="s">
        <v>41</v>
      </c>
      <c r="H59" s="48">
        <v>46024</v>
      </c>
      <c r="I59" s="48">
        <v>46042</v>
      </c>
      <c r="J59" s="44" t="s">
        <v>129</v>
      </c>
      <c r="K59" s="44" t="s">
        <v>99</v>
      </c>
      <c r="L59" s="50" t="s">
        <v>101</v>
      </c>
      <c r="M59" s="50" t="s">
        <v>400</v>
      </c>
      <c r="N59" s="50"/>
      <c r="O59" s="49"/>
      <c r="P59" s="50" t="str">
        <f t="shared" si="0"/>
        <v>GERİ ÇEKİLDİ</v>
      </c>
      <c r="R59" s="51" t="str">
        <f t="shared" si="1"/>
        <v/>
      </c>
      <c r="T59" s="41"/>
      <c r="U59" s="29">
        <f>IF($C59&lt;&gt;"",COUNTIF($C$2:C59,C59),"")</f>
        <v>1</v>
      </c>
      <c r="V59" s="29" t="str">
        <f t="shared" si="2"/>
        <v>Prof. Dr. Salih Kutay DEMİRKAN§1</v>
      </c>
      <c r="W59" s="29">
        <f>IF(U59=1,COUNTIF($U$2:U59,1),"")</f>
        <v>50</v>
      </c>
      <c r="X59" s="29">
        <f t="shared" si="3"/>
        <v>309</v>
      </c>
      <c r="Y59" s="29">
        <f>IF(AND(LEFT($B59,7)="SBA 26/",$D59&lt;&gt;"",$F59&lt;&gt;""),COUNTIFS($D$2:$D59,$D59,$B$2:$B59,"SBA 26/*",$F$2:$F59,"&lt;&gt;"),"")</f>
        <v>1</v>
      </c>
      <c r="Z59" s="29">
        <f>IF(Y59=1,COUNTIF($Y$2:Y59,1),"")</f>
        <v>33</v>
      </c>
      <c r="AA59" s="29">
        <f>IF(AND(LEFT($B59,7)="SBA 26/",$C59&lt;&gt;"",$F59&lt;&gt;""),COUNTIFS($C$2:$C59,$C59,$B$2:$B59,"SBA 26/*",$F$2:$F59,"&lt;&gt;"),"")</f>
        <v>1</v>
      </c>
      <c r="AB59" s="29">
        <f>IF(AA59=1,COUNTIF($AA$2:AA59,1),"")</f>
        <v>50</v>
      </c>
    </row>
    <row r="60" spans="1:28" ht="78.75" customHeight="1" x14ac:dyDescent="0.2">
      <c r="A60" s="43" t="s">
        <v>401</v>
      </c>
      <c r="B60" s="43" t="s">
        <v>402</v>
      </c>
      <c r="C60" s="44" t="s">
        <v>403</v>
      </c>
      <c r="D60" s="44" t="s">
        <v>404</v>
      </c>
      <c r="E60" s="45" t="s">
        <v>405</v>
      </c>
      <c r="F60" s="45" t="s">
        <v>406</v>
      </c>
      <c r="G60" s="46" t="s">
        <v>38</v>
      </c>
      <c r="H60" s="48">
        <v>46024</v>
      </c>
      <c r="I60" s="48">
        <v>46042</v>
      </c>
      <c r="J60" s="44" t="s">
        <v>76</v>
      </c>
      <c r="K60" s="44" t="s">
        <v>108</v>
      </c>
      <c r="L60" s="50" t="s">
        <v>101</v>
      </c>
      <c r="M60" s="50" t="s">
        <v>400</v>
      </c>
      <c r="N60" s="50"/>
      <c r="O60" s="49"/>
      <c r="P60" s="50" t="str">
        <f t="shared" si="0"/>
        <v>GERİ ÇEKİLDİ</v>
      </c>
      <c r="R60" s="51" t="str">
        <f t="shared" si="1"/>
        <v/>
      </c>
      <c r="T60" s="41"/>
      <c r="U60" s="29">
        <f>IF($C60&lt;&gt;"",COUNTIF($C$2:C60,C60),"")</f>
        <v>1</v>
      </c>
      <c r="V60" s="29" t="str">
        <f t="shared" si="2"/>
        <v>Prof. Dr. Hasan Serkan DOĞAN§1</v>
      </c>
      <c r="W60" s="29">
        <f>IF(U60=1,COUNTIF($U$2:U60,1),"")</f>
        <v>51</v>
      </c>
      <c r="X60" s="29">
        <f t="shared" si="3"/>
        <v>247</v>
      </c>
      <c r="Y60" s="29">
        <f>IF(AND(LEFT($B60,7)="SBA 26/",$D60&lt;&gt;"",$F60&lt;&gt;""),COUNTIFS($D$2:$D60,$D60,$B$2:$B60,"SBA 26/*",$F$2:$F60,"&lt;&gt;"),"")</f>
        <v>1</v>
      </c>
      <c r="Z60" s="29">
        <f>IF(Y60=1,COUNTIF($Y$2:Y60,1),"")</f>
        <v>34</v>
      </c>
      <c r="AA60" s="29">
        <f>IF(AND(LEFT($B60,7)="SBA 26/",$C60&lt;&gt;"",$F60&lt;&gt;""),COUNTIFS($C$2:$C60,$C60,$B$2:$B60,"SBA 26/*",$F$2:$F60,"&lt;&gt;"),"")</f>
        <v>1</v>
      </c>
      <c r="AB60" s="29">
        <f>IF(AA60=1,COUNTIF($AA$2:AA60,1),"")</f>
        <v>51</v>
      </c>
    </row>
    <row r="61" spans="1:28" ht="126" customHeight="1" x14ac:dyDescent="0.2">
      <c r="A61" s="43" t="s">
        <v>407</v>
      </c>
      <c r="B61" s="43" t="s">
        <v>408</v>
      </c>
      <c r="C61" s="44" t="s">
        <v>379</v>
      </c>
      <c r="D61" s="44" t="s">
        <v>222</v>
      </c>
      <c r="E61" s="45" t="s">
        <v>409</v>
      </c>
      <c r="F61" s="45" t="s">
        <v>410</v>
      </c>
      <c r="G61" s="46" t="s">
        <v>40</v>
      </c>
      <c r="H61" s="48">
        <v>46024</v>
      </c>
      <c r="I61" s="48">
        <v>46042</v>
      </c>
      <c r="J61" s="44" t="s">
        <v>109</v>
      </c>
      <c r="K61" s="44" t="s">
        <v>76</v>
      </c>
      <c r="L61" s="50" t="s">
        <v>101</v>
      </c>
      <c r="M61" s="50" t="s">
        <v>77</v>
      </c>
      <c r="N61" s="50"/>
      <c r="O61" s="49"/>
      <c r="P61" s="50" t="str">
        <f t="shared" si="0"/>
        <v>ONAY</v>
      </c>
      <c r="Q61" s="28" t="s">
        <v>109</v>
      </c>
      <c r="R61" s="51" t="str">
        <f t="shared" si="1"/>
        <v/>
      </c>
      <c r="T61" s="41"/>
      <c r="U61" s="29">
        <f>IF($C61&lt;&gt;"",COUNTIF($C$2:C61,C61),"")</f>
        <v>2</v>
      </c>
      <c r="V61" s="29" t="str">
        <f t="shared" si="2"/>
        <v>Prof. Dr. Deniz ÇAĞDAŞ AYVAZ§2</v>
      </c>
      <c r="W61" s="29" t="str">
        <f>IF(U61=1,COUNTIF($U$2:U61,1),"")</f>
        <v/>
      </c>
      <c r="X61" s="29" t="str">
        <f t="shared" si="3"/>
        <v/>
      </c>
      <c r="Y61" s="29">
        <f>IF(AND(LEFT($B61,7)="SBA 26/",$D61&lt;&gt;"",$F61&lt;&gt;""),COUNTIFS($D$2:$D61,$D61,$B$2:$B61,"SBA 26/*",$F$2:$F61,"&lt;&gt;"),"")</f>
        <v>6</v>
      </c>
      <c r="Z61" s="29" t="str">
        <f>IF(Y61=1,COUNTIF($Y$2:Y61,1),"")</f>
        <v/>
      </c>
      <c r="AA61" s="29">
        <f>IF(AND(LEFT($B61,7)="SBA 26/",$C61&lt;&gt;"",$F61&lt;&gt;""),COUNTIFS($C$2:$C61,$C61,$B$2:$B61,"SBA 26/*",$F$2:$F61,"&lt;&gt;"),"")</f>
        <v>2</v>
      </c>
      <c r="AB61" s="29" t="str">
        <f>IF(AA61=1,COUNTIF($AA$2:AA61,1),"")</f>
        <v/>
      </c>
    </row>
    <row r="62" spans="1:28" ht="63" customHeight="1" x14ac:dyDescent="0.2">
      <c r="A62" s="43" t="s">
        <v>411</v>
      </c>
      <c r="B62" s="43" t="s">
        <v>412</v>
      </c>
      <c r="C62" s="44" t="s">
        <v>413</v>
      </c>
      <c r="D62" s="44" t="s">
        <v>414</v>
      </c>
      <c r="E62" s="45" t="s">
        <v>415</v>
      </c>
      <c r="F62" s="45" t="s">
        <v>416</v>
      </c>
      <c r="G62" s="46" t="s">
        <v>38</v>
      </c>
      <c r="H62" s="48">
        <v>46024</v>
      </c>
      <c r="I62" s="48">
        <v>46042</v>
      </c>
      <c r="J62" s="44" t="s">
        <v>123</v>
      </c>
      <c r="K62" s="44" t="s">
        <v>100</v>
      </c>
      <c r="L62" s="50" t="s">
        <v>206</v>
      </c>
      <c r="M62" s="50" t="s">
        <v>101</v>
      </c>
      <c r="N62" s="50"/>
      <c r="O62" s="49"/>
      <c r="P62" s="50" t="str">
        <f t="shared" si="0"/>
        <v>DÜZELTME</v>
      </c>
      <c r="R62" s="51" t="str">
        <f t="shared" si="1"/>
        <v/>
      </c>
      <c r="T62" s="41"/>
      <c r="U62" s="29">
        <f>IF($C62&lt;&gt;"",COUNTIF($C$2:C62,C62),"")</f>
        <v>1</v>
      </c>
      <c r="V62" s="29" t="str">
        <f t="shared" si="2"/>
        <v>Prof. Dr. Kıvanç AKÇA§1</v>
      </c>
      <c r="W62" s="29">
        <f>IF(U62=1,COUNTIF($U$2:U62,1),"")</f>
        <v>52</v>
      </c>
      <c r="X62" s="29">
        <f t="shared" si="3"/>
        <v>258</v>
      </c>
      <c r="Y62" s="29">
        <f>IF(AND(LEFT($B62,7)="SBA 26/",$D62&lt;&gt;"",$F62&lt;&gt;""),COUNTIFS($D$2:$D62,$D62,$B$2:$B62,"SBA 26/*",$F$2:$F62,"&lt;&gt;"),"")</f>
        <v>1</v>
      </c>
      <c r="Z62" s="29">
        <f>IF(Y62=1,COUNTIF($Y$2:Y62,1),"")</f>
        <v>35</v>
      </c>
      <c r="AA62" s="29">
        <f>IF(AND(LEFT($B62,7)="SBA 26/",$C62&lt;&gt;"",$F62&lt;&gt;""),COUNTIFS($C$2:$C62,$C62,$B$2:$B62,"SBA 26/*",$F$2:$F62,"&lt;&gt;"),"")</f>
        <v>1</v>
      </c>
      <c r="AB62" s="29">
        <f>IF(AA62=1,COUNTIF($AA$2:AA62,1),"")</f>
        <v>52</v>
      </c>
    </row>
    <row r="63" spans="1:28" ht="63.75" customHeight="1" x14ac:dyDescent="0.2">
      <c r="A63" s="43" t="s">
        <v>417</v>
      </c>
      <c r="B63" s="43" t="s">
        <v>418</v>
      </c>
      <c r="C63" s="44" t="s">
        <v>419</v>
      </c>
      <c r="D63" s="44" t="s">
        <v>397</v>
      </c>
      <c r="E63" s="45" t="s">
        <v>420</v>
      </c>
      <c r="F63" s="45" t="s">
        <v>421</v>
      </c>
      <c r="G63" s="46" t="s">
        <v>38</v>
      </c>
      <c r="H63" s="48">
        <v>46024</v>
      </c>
      <c r="I63" s="48">
        <v>46042</v>
      </c>
      <c r="J63" s="44" t="s">
        <v>116</v>
      </c>
      <c r="K63" s="44" t="s">
        <v>100</v>
      </c>
      <c r="L63" s="50" t="s">
        <v>77</v>
      </c>
      <c r="M63" s="50"/>
      <c r="N63" s="50"/>
      <c r="O63" s="49"/>
      <c r="P63" s="50" t="str">
        <f t="shared" si="0"/>
        <v>ONAY</v>
      </c>
      <c r="R63" s="51" t="str">
        <f t="shared" si="1"/>
        <v/>
      </c>
      <c r="T63" s="41"/>
      <c r="U63" s="29">
        <f>IF($C63&lt;&gt;"",COUNTIF($C$2:C63,C63),"")</f>
        <v>1</v>
      </c>
      <c r="V63" s="29" t="str">
        <f t="shared" si="2"/>
        <v>Dr. Öğr. Üyesi Burcu KELLECİ ÇAKIR§1</v>
      </c>
      <c r="W63" s="29">
        <f>IF(U63=1,COUNTIF($U$2:U63,1),"")</f>
        <v>53</v>
      </c>
      <c r="X63" s="29">
        <f t="shared" si="3"/>
        <v>125</v>
      </c>
      <c r="Y63" s="29">
        <f>IF(AND(LEFT($B63,7)="SBA 26/",$D63&lt;&gt;"",$F63&lt;&gt;""),COUNTIFS($D$2:$D63,$D63,$B$2:$B63,"SBA 26/*",$F$2:$F63,"&lt;&gt;"),"")</f>
        <v>2</v>
      </c>
      <c r="Z63" s="29" t="str">
        <f>IF(Y63=1,COUNTIF($Y$2:Y63,1),"")</f>
        <v/>
      </c>
      <c r="AA63" s="29">
        <f>IF(AND(LEFT($B63,7)="SBA 26/",$C63&lt;&gt;"",$F63&lt;&gt;""),COUNTIFS($C$2:$C63,$C63,$B$2:$B63,"SBA 26/*",$F$2:$F63,"&lt;&gt;"),"")</f>
        <v>1</v>
      </c>
      <c r="AB63" s="29">
        <f>IF(AA63=1,COUNTIF($AA$2:AA63,1),"")</f>
        <v>53</v>
      </c>
    </row>
    <row r="64" spans="1:28" ht="78.75" customHeight="1" x14ac:dyDescent="0.2">
      <c r="A64" s="43" t="s">
        <v>422</v>
      </c>
      <c r="B64" s="43" t="s">
        <v>423</v>
      </c>
      <c r="C64" s="44" t="s">
        <v>424</v>
      </c>
      <c r="D64" s="44" t="s">
        <v>364</v>
      </c>
      <c r="E64" s="45" t="s">
        <v>425</v>
      </c>
      <c r="F64" s="45" t="s">
        <v>426</v>
      </c>
      <c r="G64" s="46" t="s">
        <v>38</v>
      </c>
      <c r="H64" s="48">
        <v>46024</v>
      </c>
      <c r="I64" s="48">
        <v>46042</v>
      </c>
      <c r="J64" s="44" t="s">
        <v>109</v>
      </c>
      <c r="K64" s="44" t="s">
        <v>84</v>
      </c>
      <c r="L64" s="50" t="s">
        <v>77</v>
      </c>
      <c r="M64" s="50"/>
      <c r="N64" s="50"/>
      <c r="O64" s="49"/>
      <c r="P64" s="50" t="str">
        <f t="shared" si="0"/>
        <v>ONAY</v>
      </c>
      <c r="R64" s="51" t="str">
        <f t="shared" si="1"/>
        <v/>
      </c>
      <c r="T64" s="41"/>
      <c r="U64" s="29">
        <f>IF($C64&lt;&gt;"",COUNTIF($C$2:C64,C64),"")</f>
        <v>1</v>
      </c>
      <c r="V64" s="29" t="str">
        <f t="shared" si="2"/>
        <v>Prof. Dr. Fatma Gökçem YILDIZ SARIKAYA§1</v>
      </c>
      <c r="W64" s="29">
        <f>IF(U64=1,COUNTIF($U$2:U64,1),"")</f>
        <v>54</v>
      </c>
      <c r="X64" s="29">
        <f t="shared" si="3"/>
        <v>231</v>
      </c>
      <c r="Y64" s="29">
        <f>IF(AND(LEFT($B64,7)="SBA 26/",$D64&lt;&gt;"",$F64&lt;&gt;""),COUNTIFS($D$2:$D64,$D64,$B$2:$B64,"SBA 26/*",$F$2:$F64,"&lt;&gt;"),"")</f>
        <v>2</v>
      </c>
      <c r="Z64" s="29" t="str">
        <f>IF(Y64=1,COUNTIF($Y$2:Y64,1),"")</f>
        <v/>
      </c>
      <c r="AA64" s="29">
        <f>IF(AND(LEFT($B64,7)="SBA 26/",$C64&lt;&gt;"",$F64&lt;&gt;""),COUNTIFS($C$2:$C64,$C64,$B$2:$B64,"SBA 26/*",$F$2:$F64,"&lt;&gt;"),"")</f>
        <v>1</v>
      </c>
      <c r="AB64" s="29">
        <f>IF(AA64=1,COUNTIF($AA$2:AA64,1),"")</f>
        <v>54</v>
      </c>
    </row>
    <row r="65" spans="1:28" ht="47.25" customHeight="1" x14ac:dyDescent="0.2">
      <c r="A65" s="43" t="s">
        <v>427</v>
      </c>
      <c r="B65" s="43" t="s">
        <v>428</v>
      </c>
      <c r="C65" s="44" t="s">
        <v>429</v>
      </c>
      <c r="D65" s="44" t="s">
        <v>430</v>
      </c>
      <c r="E65" s="45" t="s">
        <v>431</v>
      </c>
      <c r="F65" s="45" t="s">
        <v>432</v>
      </c>
      <c r="G65" s="46" t="s">
        <v>39</v>
      </c>
      <c r="H65" s="48">
        <v>46024</v>
      </c>
      <c r="I65" s="48">
        <v>46042</v>
      </c>
      <c r="J65" s="44" t="s">
        <v>108</v>
      </c>
      <c r="K65" s="44" t="s">
        <v>129</v>
      </c>
      <c r="L65" s="50" t="s">
        <v>101</v>
      </c>
      <c r="M65" s="50" t="s">
        <v>101</v>
      </c>
      <c r="N65" s="50" t="s">
        <v>77</v>
      </c>
      <c r="O65" s="49"/>
      <c r="P65" s="50" t="str">
        <f t="shared" si="0"/>
        <v>ONAY</v>
      </c>
      <c r="Q65" s="28" t="s">
        <v>75</v>
      </c>
      <c r="R65" s="51" t="str">
        <f t="shared" si="1"/>
        <v/>
      </c>
      <c r="T65" s="41"/>
      <c r="U65" s="29">
        <f>IF($C65&lt;&gt;"",COUNTIF($C$2:C65,C65),"")</f>
        <v>1</v>
      </c>
      <c r="V65" s="29" t="str">
        <f t="shared" si="2"/>
        <v>Prof. Dr. Cengiz KILIÇ§1</v>
      </c>
      <c r="W65" s="29">
        <f>IF(U65=1,COUNTIF($U$2:U65,1),"")</f>
        <v>55</v>
      </c>
      <c r="X65" s="29">
        <f t="shared" si="3"/>
        <v>213</v>
      </c>
      <c r="Y65" s="29">
        <f>IF(AND(LEFT($B65,7)="SBA 26/",$D65&lt;&gt;"",$F65&lt;&gt;""),COUNTIFS($D$2:$D65,$D65,$B$2:$B65,"SBA 26/*",$F$2:$F65,"&lt;&gt;"),"")</f>
        <v>1</v>
      </c>
      <c r="Z65" s="29">
        <f>IF(Y65=1,COUNTIF($Y$2:Y65,1),"")</f>
        <v>36</v>
      </c>
      <c r="AA65" s="29">
        <f>IF(AND(LEFT($B65,7)="SBA 26/",$C65&lt;&gt;"",$F65&lt;&gt;""),COUNTIFS($C$2:$C65,$C65,$B$2:$B65,"SBA 26/*",$F$2:$F65,"&lt;&gt;"),"")</f>
        <v>1</v>
      </c>
      <c r="AB65" s="29">
        <f>IF(AA65=1,COUNTIF($AA$2:AA65,1),"")</f>
        <v>55</v>
      </c>
    </row>
    <row r="66" spans="1:28" ht="63" customHeight="1" x14ac:dyDescent="0.2">
      <c r="A66" s="43" t="s">
        <v>433</v>
      </c>
      <c r="B66" s="43" t="s">
        <v>434</v>
      </c>
      <c r="C66" s="44" t="s">
        <v>429</v>
      </c>
      <c r="D66" s="44" t="s">
        <v>430</v>
      </c>
      <c r="E66" s="45" t="s">
        <v>435</v>
      </c>
      <c r="F66" s="45" t="s">
        <v>436</v>
      </c>
      <c r="G66" s="46" t="s">
        <v>39</v>
      </c>
      <c r="H66" s="48">
        <v>46024</v>
      </c>
      <c r="I66" s="48">
        <v>46042</v>
      </c>
      <c r="J66" s="44" t="s">
        <v>108</v>
      </c>
      <c r="K66" s="44" t="s">
        <v>129</v>
      </c>
      <c r="L66" s="50" t="s">
        <v>101</v>
      </c>
      <c r="M66" s="50" t="s">
        <v>400</v>
      </c>
      <c r="N66" s="50"/>
      <c r="O66" s="49"/>
      <c r="P66" s="50" t="str">
        <f t="shared" ref="P66:P129" si="4">IF(O66&lt;&gt;"",O66, IF(N66&lt;&gt;"",N66, IF(M66&lt;&gt;"",M66, L66)))</f>
        <v>GERİ ÇEKİLDİ</v>
      </c>
      <c r="R66" s="51" t="str">
        <f t="shared" ref="R66:R129" si="5">IF(AND($I66&lt;&gt;"",$I66&gt;=DATE(2026,6,23),COUNTIFS($C:$C,$C66,$I:$I,$I66)&gt;2),"⚠ "&amp;COUNTIFS($C:$C,$C66,$I:$I,$I66)&amp;" BAŞVURU!","")</f>
        <v/>
      </c>
      <c r="T66" s="41"/>
      <c r="U66" s="29">
        <f>IF($C66&lt;&gt;"",COUNTIF($C$2:C66,C66),"")</f>
        <v>2</v>
      </c>
      <c r="V66" s="29" t="str">
        <f t="shared" ref="V66:V129" si="6">IF($C66&lt;&gt;"",C66&amp;"§"&amp;U66,"")</f>
        <v>Prof. Dr. Cengiz KILIÇ§2</v>
      </c>
      <c r="W66" s="29" t="str">
        <f>IF(U66=1,COUNTIF($U$2:U66,1),"")</f>
        <v/>
      </c>
      <c r="X66" s="29" t="str">
        <f t="shared" ref="X66:X129" si="7">IF(U66=1,SUMPRODUCT(($U$2:$U$1833=1)*($C$2:$C$1833&lt;C66))+1,"")</f>
        <v/>
      </c>
      <c r="Y66" s="29">
        <f>IF(AND(LEFT($B66,7)="SBA 26/",$D66&lt;&gt;"",$F66&lt;&gt;""),COUNTIFS($D$2:$D66,$D66,$B$2:$B66,"SBA 26/*",$F$2:$F66,"&lt;&gt;"),"")</f>
        <v>2</v>
      </c>
      <c r="Z66" s="29" t="str">
        <f>IF(Y66=1,COUNTIF($Y$2:Y66,1),"")</f>
        <v/>
      </c>
      <c r="AA66" s="29">
        <f>IF(AND(LEFT($B66,7)="SBA 26/",$C66&lt;&gt;"",$F66&lt;&gt;""),COUNTIFS($C$2:$C66,$C66,$B$2:$B66,"SBA 26/*",$F$2:$F66,"&lt;&gt;"),"")</f>
        <v>2</v>
      </c>
      <c r="AB66" s="29" t="str">
        <f>IF(AA66=1,COUNTIF($AA$2:AA66,1),"")</f>
        <v/>
      </c>
    </row>
    <row r="67" spans="1:28" ht="81" customHeight="1" x14ac:dyDescent="0.2">
      <c r="A67" s="43" t="s">
        <v>437</v>
      </c>
      <c r="B67" s="43" t="s">
        <v>438</v>
      </c>
      <c r="C67" s="44" t="s">
        <v>439</v>
      </c>
      <c r="D67" s="44" t="s">
        <v>187</v>
      </c>
      <c r="E67" s="45" t="s">
        <v>440</v>
      </c>
      <c r="F67" s="45" t="s">
        <v>441</v>
      </c>
      <c r="G67" s="46" t="s">
        <v>38</v>
      </c>
      <c r="H67" s="48">
        <v>46027</v>
      </c>
      <c r="I67" s="48">
        <v>46042</v>
      </c>
      <c r="J67" s="44" t="s">
        <v>92</v>
      </c>
      <c r="K67" s="44" t="s">
        <v>109</v>
      </c>
      <c r="L67" s="50" t="s">
        <v>77</v>
      </c>
      <c r="M67" s="50"/>
      <c r="N67" s="50"/>
      <c r="O67" s="49"/>
      <c r="P67" s="50" t="str">
        <f t="shared" si="4"/>
        <v>ONAY</v>
      </c>
      <c r="R67" s="51" t="str">
        <f t="shared" si="5"/>
        <v/>
      </c>
      <c r="T67" s="41"/>
      <c r="U67" s="29">
        <f>IF($C67&lt;&gt;"",COUNTIF($C$2:C67,C67),"")</f>
        <v>1</v>
      </c>
      <c r="V67" s="29" t="str">
        <f t="shared" si="6"/>
        <v>Dr. Öğr. Üyesi Serkan UYSAL§1</v>
      </c>
      <c r="W67" s="29">
        <f>IF(U67=1,COUNTIF($U$2:U67,1),"")</f>
        <v>56</v>
      </c>
      <c r="X67" s="29">
        <f t="shared" si="7"/>
        <v>165</v>
      </c>
      <c r="Y67" s="29">
        <f>IF(AND(LEFT($B67,7)="SBA 26/",$D67&lt;&gt;"",$F67&lt;&gt;""),COUNTIFS($D$2:$D67,$D67,$B$2:$B67,"SBA 26/*",$F$2:$F67,"&lt;&gt;"),"")</f>
        <v>2</v>
      </c>
      <c r="Z67" s="29" t="str">
        <f>IF(Y67=1,COUNTIF($Y$2:Y67,1),"")</f>
        <v/>
      </c>
      <c r="AA67" s="29">
        <f>IF(AND(LEFT($B67,7)="SBA 26/",$C67&lt;&gt;"",$F67&lt;&gt;""),COUNTIFS($C$2:$C67,$C67,$B$2:$B67,"SBA 26/*",$F$2:$F67,"&lt;&gt;"),"")</f>
        <v>1</v>
      </c>
      <c r="AB67" s="29">
        <f>IF(AA67=1,COUNTIF($AA$2:AA67,1),"")</f>
        <v>56</v>
      </c>
    </row>
    <row r="68" spans="1:28" ht="80.25" customHeight="1" x14ac:dyDescent="0.2">
      <c r="A68" s="43" t="s">
        <v>442</v>
      </c>
      <c r="B68" s="43" t="s">
        <v>443</v>
      </c>
      <c r="C68" s="44" t="s">
        <v>444</v>
      </c>
      <c r="D68" s="44" t="s">
        <v>88</v>
      </c>
      <c r="E68" s="45" t="s">
        <v>445</v>
      </c>
      <c r="F68" s="45" t="s">
        <v>446</v>
      </c>
      <c r="G68" s="46" t="s">
        <v>38</v>
      </c>
      <c r="H68" s="48">
        <v>46027</v>
      </c>
      <c r="I68" s="48">
        <v>46042</v>
      </c>
      <c r="J68" s="44" t="s">
        <v>92</v>
      </c>
      <c r="K68" s="44" t="s">
        <v>91</v>
      </c>
      <c r="L68" s="50" t="s">
        <v>101</v>
      </c>
      <c r="M68" s="50" t="s">
        <v>77</v>
      </c>
      <c r="N68" s="50"/>
      <c r="O68" s="49"/>
      <c r="P68" s="50" t="str">
        <f t="shared" si="4"/>
        <v>ONAY</v>
      </c>
      <c r="Q68" s="28" t="s">
        <v>91</v>
      </c>
      <c r="R68" s="51" t="str">
        <f t="shared" si="5"/>
        <v/>
      </c>
      <c r="T68" s="41"/>
      <c r="U68" s="29">
        <f>IF($C68&lt;&gt;"",COUNTIF($C$2:C68,C68),"")</f>
        <v>1</v>
      </c>
      <c r="V68" s="29" t="str">
        <f t="shared" si="6"/>
        <v>Arş. Gör. Dr. Aycan UYSAL§1</v>
      </c>
      <c r="W68" s="29">
        <f>IF(U68=1,COUNTIF($U$2:U68,1),"")</f>
        <v>57</v>
      </c>
      <c r="X68" s="29">
        <f t="shared" si="7"/>
        <v>1</v>
      </c>
      <c r="Y68" s="29">
        <f>IF(AND(LEFT($B68,7)="SBA 26/",$D68&lt;&gt;"",$F68&lt;&gt;""),COUNTIFS($D$2:$D68,$D68,$B$2:$B68,"SBA 26/*",$F$2:$F68,"&lt;&gt;"),"")</f>
        <v>2</v>
      </c>
      <c r="Z68" s="29" t="str">
        <f>IF(Y68=1,COUNTIF($Y$2:Y68,1),"")</f>
        <v/>
      </c>
      <c r="AA68" s="29">
        <f>IF(AND(LEFT($B68,7)="SBA 26/",$C68&lt;&gt;"",$F68&lt;&gt;""),COUNTIFS($C$2:$C68,$C68,$B$2:$B68,"SBA 26/*",$F$2:$F68,"&lt;&gt;"),"")</f>
        <v>1</v>
      </c>
      <c r="AB68" s="29">
        <f>IF(AA68=1,COUNTIF($AA$2:AA68,1),"")</f>
        <v>57</v>
      </c>
    </row>
    <row r="69" spans="1:28" ht="126" customHeight="1" x14ac:dyDescent="0.2">
      <c r="A69" s="43" t="s">
        <v>447</v>
      </c>
      <c r="B69" s="43" t="s">
        <v>448</v>
      </c>
      <c r="C69" s="44" t="s">
        <v>92</v>
      </c>
      <c r="D69" s="44" t="s">
        <v>88</v>
      </c>
      <c r="E69" s="45" t="s">
        <v>449</v>
      </c>
      <c r="F69" s="45" t="s">
        <v>450</v>
      </c>
      <c r="G69" s="46" t="s">
        <v>39</v>
      </c>
      <c r="H69" s="48">
        <v>46027</v>
      </c>
      <c r="I69" s="48">
        <v>46042</v>
      </c>
      <c r="J69" s="44" t="s">
        <v>91</v>
      </c>
      <c r="K69" s="44" t="s">
        <v>76</v>
      </c>
      <c r="L69" s="50" t="s">
        <v>77</v>
      </c>
      <c r="M69" s="50"/>
      <c r="N69" s="50"/>
      <c r="O69" s="49"/>
      <c r="P69" s="50" t="str">
        <f t="shared" si="4"/>
        <v>ONAY</v>
      </c>
      <c r="R69" s="51" t="str">
        <f t="shared" si="5"/>
        <v/>
      </c>
      <c r="T69" s="41"/>
      <c r="U69" s="29">
        <f>IF($C69&lt;&gt;"",COUNTIF($C$2:C69,C69),"")</f>
        <v>1</v>
      </c>
      <c r="V69" s="29" t="str">
        <f t="shared" si="6"/>
        <v>Doç. Dr. Ekim GÜMELER§1</v>
      </c>
      <c r="W69" s="29">
        <f>IF(U69=1,COUNTIF($U$2:U69,1),"")</f>
        <v>58</v>
      </c>
      <c r="X69" s="29">
        <f t="shared" si="7"/>
        <v>45</v>
      </c>
      <c r="Y69" s="29">
        <f>IF(AND(LEFT($B69,7)="SBA 26/",$D69&lt;&gt;"",$F69&lt;&gt;""),COUNTIFS($D$2:$D69,$D69,$B$2:$B69,"SBA 26/*",$F$2:$F69,"&lt;&gt;"),"")</f>
        <v>3</v>
      </c>
      <c r="Z69" s="29" t="str">
        <f>IF(Y69=1,COUNTIF($Y$2:Y69,1),"")</f>
        <v/>
      </c>
      <c r="AA69" s="29">
        <f>IF(AND(LEFT($B69,7)="SBA 26/",$C69&lt;&gt;"",$F69&lt;&gt;""),COUNTIFS($C$2:$C69,$C69,$B$2:$B69,"SBA 26/*",$F$2:$F69,"&lt;&gt;"),"")</f>
        <v>1</v>
      </c>
      <c r="AB69" s="29">
        <f>IF(AA69=1,COUNTIF($AA$2:AA69,1),"")</f>
        <v>58</v>
      </c>
    </row>
    <row r="70" spans="1:28" ht="63" customHeight="1" x14ac:dyDescent="0.2">
      <c r="A70" s="43" t="s">
        <v>451</v>
      </c>
      <c r="B70" s="43" t="s">
        <v>452</v>
      </c>
      <c r="C70" s="44" t="s">
        <v>419</v>
      </c>
      <c r="D70" s="44" t="s">
        <v>397</v>
      </c>
      <c r="E70" s="45" t="s">
        <v>453</v>
      </c>
      <c r="F70" s="45" t="s">
        <v>454</v>
      </c>
      <c r="G70" s="46" t="s">
        <v>38</v>
      </c>
      <c r="H70" s="48">
        <v>46027</v>
      </c>
      <c r="I70" s="48">
        <v>46042</v>
      </c>
      <c r="J70" s="44" t="s">
        <v>84</v>
      </c>
      <c r="K70" s="44" t="s">
        <v>108</v>
      </c>
      <c r="L70" s="50" t="s">
        <v>77</v>
      </c>
      <c r="M70" s="50"/>
      <c r="N70" s="50"/>
      <c r="O70" s="49"/>
      <c r="P70" s="50" t="str">
        <f t="shared" si="4"/>
        <v>ONAY</v>
      </c>
      <c r="R70" s="51" t="str">
        <f t="shared" si="5"/>
        <v/>
      </c>
      <c r="T70" s="41"/>
      <c r="U70" s="29">
        <f>IF($C70&lt;&gt;"",COUNTIF($C$2:C70,C70),"")</f>
        <v>2</v>
      </c>
      <c r="V70" s="29" t="str">
        <f t="shared" si="6"/>
        <v>Dr. Öğr. Üyesi Burcu KELLECİ ÇAKIR§2</v>
      </c>
      <c r="W70" s="29" t="str">
        <f>IF(U70=1,COUNTIF($U$2:U70,1),"")</f>
        <v/>
      </c>
      <c r="X70" s="29" t="str">
        <f t="shared" si="7"/>
        <v/>
      </c>
      <c r="Y70" s="29">
        <f>IF(AND(LEFT($B70,7)="SBA 26/",$D70&lt;&gt;"",$F70&lt;&gt;""),COUNTIFS($D$2:$D70,$D70,$B$2:$B70,"SBA 26/*",$F$2:$F70,"&lt;&gt;"),"")</f>
        <v>3</v>
      </c>
      <c r="Z70" s="29" t="str">
        <f>IF(Y70=1,COUNTIF($Y$2:Y70,1),"")</f>
        <v/>
      </c>
      <c r="AA70" s="29">
        <f>IF(AND(LEFT($B70,7)="SBA 26/",$C70&lt;&gt;"",$F70&lt;&gt;""),COUNTIFS($C$2:$C70,$C70,$B$2:$B70,"SBA 26/*",$F$2:$F70,"&lt;&gt;"),"")</f>
        <v>2</v>
      </c>
      <c r="AB70" s="29" t="str">
        <f>IF(AA70=1,COUNTIF($AA$2:AA70,1),"")</f>
        <v/>
      </c>
    </row>
    <row r="71" spans="1:28" ht="63" customHeight="1" x14ac:dyDescent="0.2">
      <c r="A71" s="43" t="s">
        <v>455</v>
      </c>
      <c r="B71" s="43" t="s">
        <v>456</v>
      </c>
      <c r="C71" s="44" t="s">
        <v>457</v>
      </c>
      <c r="D71" s="44" t="s">
        <v>280</v>
      </c>
      <c r="E71" s="45" t="s">
        <v>458</v>
      </c>
      <c r="F71" s="45" t="s">
        <v>459</v>
      </c>
      <c r="G71" s="46" t="s">
        <v>38</v>
      </c>
      <c r="H71" s="48">
        <v>46027</v>
      </c>
      <c r="I71" s="48">
        <v>46042</v>
      </c>
      <c r="J71" s="44" t="s">
        <v>92</v>
      </c>
      <c r="K71" s="44" t="s">
        <v>108</v>
      </c>
      <c r="L71" s="50" t="s">
        <v>77</v>
      </c>
      <c r="M71" s="50"/>
      <c r="N71" s="50"/>
      <c r="O71" s="49"/>
      <c r="P71" s="50" t="str">
        <f t="shared" si="4"/>
        <v>ONAY</v>
      </c>
      <c r="R71" s="51" t="str">
        <f t="shared" si="5"/>
        <v/>
      </c>
      <c r="T71" s="41"/>
      <c r="U71" s="29">
        <f>IF($C71&lt;&gt;"",COUNTIF($C$2:C71,C71),"")</f>
        <v>1</v>
      </c>
      <c r="V71" s="29" t="str">
        <f t="shared" si="6"/>
        <v>Prof. Dr. Ömer UĞUR§1</v>
      </c>
      <c r="W71" s="29">
        <f>IF(U71=1,COUNTIF($U$2:U71,1),"")</f>
        <v>59</v>
      </c>
      <c r="X71" s="29">
        <f t="shared" si="7"/>
        <v>294</v>
      </c>
      <c r="Y71" s="29">
        <f>IF(AND(LEFT($B71,7)="SBA 26/",$D71&lt;&gt;"",$F71&lt;&gt;""),COUNTIFS($D$2:$D71,$D71,$B$2:$B71,"SBA 26/*",$F$2:$F71,"&lt;&gt;"),"")</f>
        <v>2</v>
      </c>
      <c r="Z71" s="29" t="str">
        <f>IF(Y71=1,COUNTIF($Y$2:Y71,1),"")</f>
        <v/>
      </c>
      <c r="AA71" s="29">
        <f>IF(AND(LEFT($B71,7)="SBA 26/",$C71&lt;&gt;"",$F71&lt;&gt;""),COUNTIFS($C$2:$C71,$C71,$B$2:$B71,"SBA 26/*",$F$2:$F71,"&lt;&gt;"),"")</f>
        <v>1</v>
      </c>
      <c r="AB71" s="29">
        <f>IF(AA71=1,COUNTIF($AA$2:AA71,1),"")</f>
        <v>59</v>
      </c>
    </row>
    <row r="72" spans="1:28" ht="78.75" customHeight="1" x14ac:dyDescent="0.2">
      <c r="A72" s="43" t="s">
        <v>460</v>
      </c>
      <c r="B72" s="43" t="s">
        <v>461</v>
      </c>
      <c r="C72" s="44" t="s">
        <v>462</v>
      </c>
      <c r="D72" s="44" t="s">
        <v>463</v>
      </c>
      <c r="E72" s="45" t="s">
        <v>464</v>
      </c>
      <c r="F72" s="45" t="s">
        <v>465</v>
      </c>
      <c r="G72" s="46" t="s">
        <v>38</v>
      </c>
      <c r="H72" s="48">
        <v>46029</v>
      </c>
      <c r="I72" s="48">
        <v>46042</v>
      </c>
      <c r="J72" s="44" t="s">
        <v>75</v>
      </c>
      <c r="K72" s="44" t="s">
        <v>91</v>
      </c>
      <c r="L72" s="50" t="s">
        <v>101</v>
      </c>
      <c r="M72" s="50" t="s">
        <v>77</v>
      </c>
      <c r="N72" s="50"/>
      <c r="O72" s="49"/>
      <c r="P72" s="50" t="str">
        <f t="shared" si="4"/>
        <v>ONAY</v>
      </c>
      <c r="Q72" s="28" t="s">
        <v>75</v>
      </c>
      <c r="R72" s="51" t="str">
        <f t="shared" si="5"/>
        <v/>
      </c>
      <c r="T72" s="41"/>
      <c r="U72" s="29">
        <f>IF($C72&lt;&gt;"",COUNTIF($C$2:C72,C72),"")</f>
        <v>1</v>
      </c>
      <c r="V72" s="29" t="str">
        <f t="shared" si="6"/>
        <v>Dr. Natalia RAKİSLOVA§1</v>
      </c>
      <c r="W72" s="29">
        <f>IF(U72=1,COUNTIF($U$2:U72,1),"")</f>
        <v>60</v>
      </c>
      <c r="X72" s="29">
        <f t="shared" si="7"/>
        <v>110</v>
      </c>
      <c r="Y72" s="29">
        <f>IF(AND(LEFT($B72,7)="SBA 26/",$D72&lt;&gt;"",$F72&lt;&gt;""),COUNTIFS($D$2:$D72,$D72,$B$2:$B72,"SBA 26/*",$F$2:$F72,"&lt;&gt;"),"")</f>
        <v>1</v>
      </c>
      <c r="Z72" s="29">
        <f>IF(Y72=1,COUNTIF($Y$2:Y72,1),"")</f>
        <v>37</v>
      </c>
      <c r="AA72" s="29">
        <f>IF(AND(LEFT($B72,7)="SBA 26/",$C72&lt;&gt;"",$F72&lt;&gt;""),COUNTIFS($C$2:$C72,$C72,$B$2:$B72,"SBA 26/*",$F$2:$F72,"&lt;&gt;"),"")</f>
        <v>1</v>
      </c>
      <c r="AB72" s="29">
        <f>IF(AA72=1,COUNTIF($AA$2:AA72,1),"")</f>
        <v>60</v>
      </c>
    </row>
    <row r="73" spans="1:28" ht="63" customHeight="1" x14ac:dyDescent="0.2">
      <c r="A73" s="43" t="s">
        <v>466</v>
      </c>
      <c r="B73" s="43" t="s">
        <v>467</v>
      </c>
      <c r="C73" s="44" t="s">
        <v>468</v>
      </c>
      <c r="D73" s="44" t="s">
        <v>222</v>
      </c>
      <c r="E73" s="45" t="s">
        <v>469</v>
      </c>
      <c r="F73" s="45" t="s">
        <v>470</v>
      </c>
      <c r="G73" s="46" t="s">
        <v>38</v>
      </c>
      <c r="H73" s="48">
        <v>46029</v>
      </c>
      <c r="I73" s="48">
        <v>46042</v>
      </c>
      <c r="J73" s="44" t="s">
        <v>109</v>
      </c>
      <c r="K73" s="44" t="s">
        <v>123</v>
      </c>
      <c r="L73" s="50" t="s">
        <v>101</v>
      </c>
      <c r="M73" s="50"/>
      <c r="N73" s="50"/>
      <c r="O73" s="49"/>
      <c r="P73" s="50" t="str">
        <f t="shared" si="4"/>
        <v>DÜZELTME</v>
      </c>
      <c r="R73" s="51" t="str">
        <f t="shared" si="5"/>
        <v/>
      </c>
      <c r="T73" s="41"/>
      <c r="U73" s="29">
        <f>IF($C73&lt;&gt;"",COUNTIF($C$2:C73,C73),"")</f>
        <v>1</v>
      </c>
      <c r="V73" s="29" t="str">
        <f t="shared" si="6"/>
        <v>Doç. Dr. İlker ERTUĞRUL§1</v>
      </c>
      <c r="W73" s="29">
        <f>IF(U73=1,COUNTIF($U$2:U73,1),"")</f>
        <v>61</v>
      </c>
      <c r="X73" s="29">
        <f t="shared" si="7"/>
        <v>71</v>
      </c>
      <c r="Y73" s="29">
        <f>IF(AND(LEFT($B73,7)="SBA 26/",$D73&lt;&gt;"",$F73&lt;&gt;""),COUNTIFS($D$2:$D73,$D73,$B$2:$B73,"SBA 26/*",$F$2:$F73,"&lt;&gt;"),"")</f>
        <v>7</v>
      </c>
      <c r="Z73" s="29" t="str">
        <f>IF(Y73=1,COUNTIF($Y$2:Y73,1),"")</f>
        <v/>
      </c>
      <c r="AA73" s="29">
        <f>IF(AND(LEFT($B73,7)="SBA 26/",$C73&lt;&gt;"",$F73&lt;&gt;""),COUNTIFS($C$2:$C73,$C73,$B$2:$B73,"SBA 26/*",$F$2:$F73,"&lt;&gt;"),"")</f>
        <v>1</v>
      </c>
      <c r="AB73" s="29">
        <f>IF(AA73=1,COUNTIF($AA$2:AA73,1),"")</f>
        <v>61</v>
      </c>
    </row>
    <row r="74" spans="1:28" ht="78.75" customHeight="1" x14ac:dyDescent="0.2">
      <c r="A74" s="43" t="s">
        <v>471</v>
      </c>
      <c r="B74" s="43" t="s">
        <v>472</v>
      </c>
      <c r="C74" s="44" t="s">
        <v>396</v>
      </c>
      <c r="D74" s="44" t="s">
        <v>397</v>
      </c>
      <c r="E74" s="45" t="s">
        <v>473</v>
      </c>
      <c r="F74" s="45" t="s">
        <v>474</v>
      </c>
      <c r="G74" s="46" t="s">
        <v>38</v>
      </c>
      <c r="H74" s="48">
        <v>46029</v>
      </c>
      <c r="I74" s="48">
        <v>46042</v>
      </c>
      <c r="J74" s="44" t="s">
        <v>84</v>
      </c>
      <c r="K74" s="44" t="s">
        <v>116</v>
      </c>
      <c r="L74" s="50" t="s">
        <v>101</v>
      </c>
      <c r="M74" s="50" t="s">
        <v>206</v>
      </c>
      <c r="N74" s="50" t="s">
        <v>77</v>
      </c>
      <c r="O74" s="49"/>
      <c r="P74" s="50" t="str">
        <f t="shared" si="4"/>
        <v>ONAY</v>
      </c>
      <c r="R74" s="51" t="str">
        <f t="shared" si="5"/>
        <v/>
      </c>
      <c r="T74" s="41"/>
      <c r="U74" s="29">
        <f>IF($C74&lt;&gt;"",COUNTIF($C$2:C74,C74),"")</f>
        <v>2</v>
      </c>
      <c r="V74" s="29" t="str">
        <f t="shared" si="6"/>
        <v>Prof. Dr. Salih Kutay DEMİRKAN§2</v>
      </c>
      <c r="W74" s="29" t="str">
        <f>IF(U74=1,COUNTIF($U$2:U74,1),"")</f>
        <v/>
      </c>
      <c r="X74" s="29" t="str">
        <f t="shared" si="7"/>
        <v/>
      </c>
      <c r="Y74" s="29">
        <f>IF(AND(LEFT($B74,7)="SBA 26/",$D74&lt;&gt;"",$F74&lt;&gt;""),COUNTIFS($D$2:$D74,$D74,$B$2:$B74,"SBA 26/*",$F$2:$F74,"&lt;&gt;"),"")</f>
        <v>4</v>
      </c>
      <c r="Z74" s="29" t="str">
        <f>IF(Y74=1,COUNTIF($Y$2:Y74,1),"")</f>
        <v/>
      </c>
      <c r="AA74" s="29">
        <f>IF(AND(LEFT($B74,7)="SBA 26/",$C74&lt;&gt;"",$F74&lt;&gt;""),COUNTIFS($C$2:$C74,$C74,$B$2:$B74,"SBA 26/*",$F$2:$F74,"&lt;&gt;"),"")</f>
        <v>2</v>
      </c>
      <c r="AB74" s="29" t="str">
        <f>IF(AA74=1,COUNTIF($AA$2:AA74,1),"")</f>
        <v/>
      </c>
    </row>
    <row r="75" spans="1:28" ht="47.25" customHeight="1" x14ac:dyDescent="0.2">
      <c r="A75" s="43" t="s">
        <v>475</v>
      </c>
      <c r="B75" s="43" t="s">
        <v>476</v>
      </c>
      <c r="C75" s="44" t="s">
        <v>477</v>
      </c>
      <c r="D75" s="44" t="s">
        <v>478</v>
      </c>
      <c r="E75" s="45" t="s">
        <v>479</v>
      </c>
      <c r="F75" s="45" t="s">
        <v>480</v>
      </c>
      <c r="G75" s="46" t="s">
        <v>41</v>
      </c>
      <c r="H75" s="48">
        <v>46030</v>
      </c>
      <c r="I75" s="48">
        <v>46042</v>
      </c>
      <c r="J75" s="44" t="s">
        <v>99</v>
      </c>
      <c r="K75" s="44" t="s">
        <v>100</v>
      </c>
      <c r="L75" s="50" t="s">
        <v>77</v>
      </c>
      <c r="M75" s="50"/>
      <c r="N75" s="50"/>
      <c r="O75" s="49"/>
      <c r="P75" s="50" t="str">
        <f t="shared" si="4"/>
        <v>ONAY</v>
      </c>
      <c r="R75" s="51" t="str">
        <f t="shared" si="5"/>
        <v/>
      </c>
      <c r="T75" s="41"/>
      <c r="U75" s="29">
        <f>IF($C75&lt;&gt;"",COUNTIF($C$2:C75,C75),"")</f>
        <v>1</v>
      </c>
      <c r="V75" s="29" t="str">
        <f t="shared" si="6"/>
        <v>Prof. Dr. Sıddika Songül YALÇIN§1</v>
      </c>
      <c r="W75" s="29">
        <f>IF(U75=1,COUNTIF($U$2:U75,1),"")</f>
        <v>62</v>
      </c>
      <c r="X75" s="29">
        <f t="shared" si="7"/>
        <v>320</v>
      </c>
      <c r="Y75" s="29">
        <f>IF(AND(LEFT($B75,7)="SBA 26/",$D75&lt;&gt;"",$F75&lt;&gt;""),COUNTIFS($D$2:$D75,$D75,$B$2:$B75,"SBA 26/*",$F$2:$F75,"&lt;&gt;"),"")</f>
        <v>1</v>
      </c>
      <c r="Z75" s="29">
        <f>IF(Y75=1,COUNTIF($Y$2:Y75,1),"")</f>
        <v>38</v>
      </c>
      <c r="AA75" s="29">
        <f>IF(AND(LEFT($B75,7)="SBA 26/",$C75&lt;&gt;"",$F75&lt;&gt;""),COUNTIFS($C$2:$C75,$C75,$B$2:$B75,"SBA 26/*",$F$2:$F75,"&lt;&gt;"),"")</f>
        <v>1</v>
      </c>
      <c r="AB75" s="29">
        <f>IF(AA75=1,COUNTIF($AA$2:AA75,1),"")</f>
        <v>62</v>
      </c>
    </row>
    <row r="76" spans="1:28" ht="78.75" customHeight="1" x14ac:dyDescent="0.2">
      <c r="A76" s="43" t="s">
        <v>481</v>
      </c>
      <c r="B76" s="43" t="s">
        <v>482</v>
      </c>
      <c r="C76" s="44" t="s">
        <v>483</v>
      </c>
      <c r="D76" s="44" t="s">
        <v>484</v>
      </c>
      <c r="E76" s="45" t="s">
        <v>485</v>
      </c>
      <c r="F76" s="45" t="s">
        <v>486</v>
      </c>
      <c r="G76" s="46" t="s">
        <v>39</v>
      </c>
      <c r="H76" s="48">
        <v>46030</v>
      </c>
      <c r="I76" s="48">
        <v>46042</v>
      </c>
      <c r="J76" s="44" t="s">
        <v>123</v>
      </c>
      <c r="K76" s="44" t="s">
        <v>92</v>
      </c>
      <c r="L76" s="50" t="s">
        <v>77</v>
      </c>
      <c r="M76" s="50"/>
      <c r="N76" s="50"/>
      <c r="O76" s="49"/>
      <c r="P76" s="50" t="str">
        <f t="shared" si="4"/>
        <v>ONAY</v>
      </c>
      <c r="R76" s="51" t="str">
        <f t="shared" si="5"/>
        <v/>
      </c>
      <c r="T76" s="41"/>
      <c r="U76" s="29">
        <f>IF($C76&lt;&gt;"",COUNTIF($C$2:C76,C76),"")</f>
        <v>1</v>
      </c>
      <c r="V76" s="29" t="str">
        <f t="shared" si="6"/>
        <v>Dr. Öğr. Üyesi Gökçen AKÇİÇEK§1</v>
      </c>
      <c r="W76" s="29">
        <f>IF(U76=1,COUNTIF($U$2:U76,1),"")</f>
        <v>63</v>
      </c>
      <c r="X76" s="29">
        <f t="shared" si="7"/>
        <v>140</v>
      </c>
      <c r="Y76" s="29">
        <f>IF(AND(LEFT($B76,7)="SBA 26/",$D76&lt;&gt;"",$F76&lt;&gt;""),COUNTIFS($D$2:$D76,$D76,$B$2:$B76,"SBA 26/*",$F$2:$F76,"&lt;&gt;"),"")</f>
        <v>1</v>
      </c>
      <c r="Z76" s="29">
        <f>IF(Y76=1,COUNTIF($Y$2:Y76,1),"")</f>
        <v>39</v>
      </c>
      <c r="AA76" s="29">
        <f>IF(AND(LEFT($B76,7)="SBA 26/",$C76&lt;&gt;"",$F76&lt;&gt;""),COUNTIFS($C$2:$C76,$C76,$B$2:$B76,"SBA 26/*",$F$2:$F76,"&lt;&gt;"),"")</f>
        <v>1</v>
      </c>
      <c r="AB76" s="29">
        <f>IF(AA76=1,COUNTIF($AA$2:AA76,1),"")</f>
        <v>63</v>
      </c>
    </row>
    <row r="77" spans="1:28" ht="63" customHeight="1" x14ac:dyDescent="0.2">
      <c r="A77" s="43" t="s">
        <v>487</v>
      </c>
      <c r="B77" s="43" t="s">
        <v>488</v>
      </c>
      <c r="C77" s="44" t="s">
        <v>489</v>
      </c>
      <c r="D77" s="44" t="s">
        <v>297</v>
      </c>
      <c r="E77" s="45" t="s">
        <v>490</v>
      </c>
      <c r="F77" s="45" t="s">
        <v>491</v>
      </c>
      <c r="G77" s="46" t="s">
        <v>38</v>
      </c>
      <c r="H77" s="48">
        <v>46031</v>
      </c>
      <c r="I77" s="48">
        <v>46042</v>
      </c>
      <c r="J77" s="44" t="s">
        <v>123</v>
      </c>
      <c r="K77" s="44" t="s">
        <v>76</v>
      </c>
      <c r="L77" s="50" t="s">
        <v>77</v>
      </c>
      <c r="M77" s="50"/>
      <c r="N77" s="50"/>
      <c r="O77" s="49"/>
      <c r="P77" s="50" t="str">
        <f t="shared" si="4"/>
        <v>ONAY</v>
      </c>
      <c r="R77" s="51" t="str">
        <f t="shared" si="5"/>
        <v/>
      </c>
      <c r="T77" s="41"/>
      <c r="U77" s="29">
        <f>IF($C77&lt;&gt;"",COUNTIF($C$2:C77,C77),"")</f>
        <v>1</v>
      </c>
      <c r="V77" s="29" t="str">
        <f t="shared" si="6"/>
        <v>Doç. Dr. Ezgi ATİK§1</v>
      </c>
      <c r="W77" s="29">
        <f>IF(U77=1,COUNTIF($U$2:U77,1),"")</f>
        <v>64</v>
      </c>
      <c r="X77" s="29">
        <f t="shared" si="7"/>
        <v>54</v>
      </c>
      <c r="Y77" s="29">
        <f>IF(AND(LEFT($B77,7)="SBA 26/",$D77&lt;&gt;"",$F77&lt;&gt;""),COUNTIFS($D$2:$D77,$D77,$B$2:$B77,"SBA 26/*",$F$2:$F77,"&lt;&gt;"),"")</f>
        <v>2</v>
      </c>
      <c r="Z77" s="29" t="str">
        <f>IF(Y77=1,COUNTIF($Y$2:Y77,1),"")</f>
        <v/>
      </c>
      <c r="AA77" s="29">
        <f>IF(AND(LEFT($B77,7)="SBA 26/",$C77&lt;&gt;"",$F77&lt;&gt;""),COUNTIFS($C$2:$C77,$C77,$B$2:$B77,"SBA 26/*",$F$2:$F77,"&lt;&gt;"),"")</f>
        <v>1</v>
      </c>
      <c r="AB77" s="29">
        <f>IF(AA77=1,COUNTIF($AA$2:AA77,1),"")</f>
        <v>64</v>
      </c>
    </row>
    <row r="78" spans="1:28" ht="63" customHeight="1" x14ac:dyDescent="0.2">
      <c r="A78" s="43" t="s">
        <v>492</v>
      </c>
      <c r="B78" s="43" t="s">
        <v>493</v>
      </c>
      <c r="C78" s="44" t="s">
        <v>494</v>
      </c>
      <c r="D78" s="44" t="s">
        <v>385</v>
      </c>
      <c r="E78" s="45" t="s">
        <v>495</v>
      </c>
      <c r="F78" s="45" t="s">
        <v>496</v>
      </c>
      <c r="G78" s="46" t="s">
        <v>38</v>
      </c>
      <c r="H78" s="48">
        <v>46031</v>
      </c>
      <c r="I78" s="48">
        <v>46042</v>
      </c>
      <c r="J78" s="44" t="s">
        <v>76</v>
      </c>
      <c r="K78" s="44" t="s">
        <v>100</v>
      </c>
      <c r="L78" s="50" t="s">
        <v>101</v>
      </c>
      <c r="M78" s="50" t="s">
        <v>77</v>
      </c>
      <c r="N78" s="50"/>
      <c r="O78" s="49"/>
      <c r="P78" s="50" t="str">
        <f t="shared" si="4"/>
        <v>ONAY</v>
      </c>
      <c r="Q78" s="28" t="s">
        <v>100</v>
      </c>
      <c r="R78" s="51" t="str">
        <f t="shared" si="5"/>
        <v/>
      </c>
      <c r="T78" s="41"/>
      <c r="U78" s="29">
        <f>IF($C78&lt;&gt;"",COUNTIF($C$2:C78,C78),"")</f>
        <v>1</v>
      </c>
      <c r="V78" s="29" t="str">
        <f t="shared" si="6"/>
        <v>Prof. Dr. Özlem BOYBEYİ§1</v>
      </c>
      <c r="W78" s="29">
        <f>IF(U78=1,COUNTIF($U$2:U78,1),"")</f>
        <v>65</v>
      </c>
      <c r="X78" s="29">
        <f t="shared" si="7"/>
        <v>300</v>
      </c>
      <c r="Y78" s="29">
        <f>IF(AND(LEFT($B78,7)="SBA 26/",$D78&lt;&gt;"",$F78&lt;&gt;""),COUNTIFS($D$2:$D78,$D78,$B$2:$B78,"SBA 26/*",$F$2:$F78,"&lt;&gt;"),"")</f>
        <v>2</v>
      </c>
      <c r="Z78" s="29" t="str">
        <f>IF(Y78=1,COUNTIF($Y$2:Y78,1),"")</f>
        <v/>
      </c>
      <c r="AA78" s="29">
        <f>IF(AND(LEFT($B78,7)="SBA 26/",$C78&lt;&gt;"",$F78&lt;&gt;""),COUNTIFS($C$2:$C78,$C78,$B$2:$B78,"SBA 26/*",$F$2:$F78,"&lt;&gt;"),"")</f>
        <v>1</v>
      </c>
      <c r="AB78" s="29">
        <f>IF(AA78=1,COUNTIF($AA$2:AA78,1),"")</f>
        <v>65</v>
      </c>
    </row>
    <row r="79" spans="1:28" ht="78.75" customHeight="1" x14ac:dyDescent="0.2">
      <c r="A79" s="43" t="s">
        <v>497</v>
      </c>
      <c r="B79" s="43" t="s">
        <v>498</v>
      </c>
      <c r="C79" s="44" t="s">
        <v>285</v>
      </c>
      <c r="D79" s="44" t="s">
        <v>222</v>
      </c>
      <c r="E79" s="45" t="s">
        <v>499</v>
      </c>
      <c r="F79" s="45" t="s">
        <v>500</v>
      </c>
      <c r="G79" s="46" t="s">
        <v>39</v>
      </c>
      <c r="H79" s="48">
        <v>46031</v>
      </c>
      <c r="I79" s="48">
        <v>46042</v>
      </c>
      <c r="J79" s="44" t="s">
        <v>100</v>
      </c>
      <c r="K79" s="44" t="s">
        <v>99</v>
      </c>
      <c r="L79" s="50" t="s">
        <v>77</v>
      </c>
      <c r="M79" s="50"/>
      <c r="N79" s="50"/>
      <c r="O79" s="49"/>
      <c r="P79" s="50" t="str">
        <f t="shared" si="4"/>
        <v>ONAY</v>
      </c>
      <c r="R79" s="51" t="str">
        <f t="shared" si="5"/>
        <v/>
      </c>
      <c r="T79" s="41"/>
      <c r="U79" s="29">
        <f>IF($C79&lt;&gt;"",COUNTIF($C$2:C79,C79),"")</f>
        <v>2</v>
      </c>
      <c r="V79" s="29" t="str">
        <f t="shared" si="6"/>
        <v>Prof. Dr. Yasemin ÖZSÜREKCİ§2</v>
      </c>
      <c r="W79" s="29" t="str">
        <f>IF(U79=1,COUNTIF($U$2:U79,1),"")</f>
        <v/>
      </c>
      <c r="X79" s="29" t="str">
        <f t="shared" si="7"/>
        <v/>
      </c>
      <c r="Y79" s="29">
        <f>IF(AND(LEFT($B79,7)="SBA 26/",$D79&lt;&gt;"",$F79&lt;&gt;""),COUNTIFS($D$2:$D79,$D79,$B$2:$B79,"SBA 26/*",$F$2:$F79,"&lt;&gt;"),"")</f>
        <v>8</v>
      </c>
      <c r="Z79" s="29" t="str">
        <f>IF(Y79=1,COUNTIF($Y$2:Y79,1),"")</f>
        <v/>
      </c>
      <c r="AA79" s="29">
        <f>IF(AND(LEFT($B79,7)="SBA 26/",$C79&lt;&gt;"",$F79&lt;&gt;""),COUNTIFS($C$2:$C79,$C79,$B$2:$B79,"SBA 26/*",$F$2:$F79,"&lt;&gt;"),"")</f>
        <v>2</v>
      </c>
      <c r="AB79" s="29" t="str">
        <f>IF(AA79=1,COUNTIF($AA$2:AA79,1),"")</f>
        <v/>
      </c>
    </row>
    <row r="80" spans="1:28" ht="94.5" customHeight="1" x14ac:dyDescent="0.2">
      <c r="A80" s="43" t="s">
        <v>501</v>
      </c>
      <c r="B80" s="43" t="s">
        <v>502</v>
      </c>
      <c r="C80" s="44" t="s">
        <v>503</v>
      </c>
      <c r="D80" s="44" t="s">
        <v>504</v>
      </c>
      <c r="E80" s="45" t="s">
        <v>505</v>
      </c>
      <c r="F80" s="45" t="s">
        <v>506</v>
      </c>
      <c r="G80" s="46" t="s">
        <v>41</v>
      </c>
      <c r="H80" s="48">
        <v>46031</v>
      </c>
      <c r="I80" s="48">
        <v>46042</v>
      </c>
      <c r="J80" s="44" t="s">
        <v>99</v>
      </c>
      <c r="K80" s="44" t="s">
        <v>84</v>
      </c>
      <c r="L80" s="50" t="s">
        <v>101</v>
      </c>
      <c r="M80" s="50" t="s">
        <v>77</v>
      </c>
      <c r="N80" s="50"/>
      <c r="O80" s="49"/>
      <c r="P80" s="50" t="str">
        <f t="shared" si="4"/>
        <v>ONAY</v>
      </c>
      <c r="Q80" s="28" t="s">
        <v>84</v>
      </c>
      <c r="R80" s="51" t="str">
        <f t="shared" si="5"/>
        <v/>
      </c>
      <c r="T80" s="41"/>
      <c r="U80" s="29">
        <f>IF($C80&lt;&gt;"",COUNTIF($C$2:C80,C80),"")</f>
        <v>1</v>
      </c>
      <c r="V80" s="29" t="str">
        <f t="shared" si="6"/>
        <v>Prof. Dr. Ülkü ÜNDEĞER BUCURGAT§1</v>
      </c>
      <c r="W80" s="29">
        <f>IF(U80=1,COUNTIF($U$2:U80,1),"")</f>
        <v>66</v>
      </c>
      <c r="X80" s="29">
        <f t="shared" si="7"/>
        <v>339</v>
      </c>
      <c r="Y80" s="29">
        <f>IF(AND(LEFT($B80,7)="SBA 26/",$D80&lt;&gt;"",$F80&lt;&gt;""),COUNTIFS($D$2:$D80,$D80,$B$2:$B80,"SBA 26/*",$F$2:$F80,"&lt;&gt;"),"")</f>
        <v>1</v>
      </c>
      <c r="Z80" s="29">
        <f>IF(Y80=1,COUNTIF($Y$2:Y80,1),"")</f>
        <v>40</v>
      </c>
      <c r="AA80" s="29">
        <f>IF(AND(LEFT($B80,7)="SBA 26/",$C80&lt;&gt;"",$F80&lt;&gt;""),COUNTIFS($C$2:$C80,$C80,$B$2:$B80,"SBA 26/*",$F$2:$F80,"&lt;&gt;"),"")</f>
        <v>1</v>
      </c>
      <c r="AB80" s="29">
        <f>IF(AA80=1,COUNTIF($AA$2:AA80,1),"")</f>
        <v>66</v>
      </c>
    </row>
    <row r="81" spans="1:28" ht="78.75" customHeight="1" x14ac:dyDescent="0.2">
      <c r="A81" s="43" t="s">
        <v>507</v>
      </c>
      <c r="B81" s="43" t="s">
        <v>508</v>
      </c>
      <c r="C81" s="44" t="s">
        <v>509</v>
      </c>
      <c r="D81" s="44" t="s">
        <v>222</v>
      </c>
      <c r="E81" s="45" t="s">
        <v>510</v>
      </c>
      <c r="F81" s="45" t="s">
        <v>511</v>
      </c>
      <c r="G81" s="46" t="s">
        <v>39</v>
      </c>
      <c r="H81" s="48">
        <v>46034</v>
      </c>
      <c r="I81" s="48">
        <v>46042</v>
      </c>
      <c r="J81" s="44" t="s">
        <v>109</v>
      </c>
      <c r="K81" s="44" t="s">
        <v>76</v>
      </c>
      <c r="L81" s="50" t="s">
        <v>101</v>
      </c>
      <c r="M81" s="50" t="s">
        <v>77</v>
      </c>
      <c r="N81" s="50"/>
      <c r="O81" s="49"/>
      <c r="P81" s="50" t="str">
        <f t="shared" si="4"/>
        <v>ONAY</v>
      </c>
      <c r="Q81" s="28" t="s">
        <v>109</v>
      </c>
      <c r="R81" s="51" t="str">
        <f t="shared" si="5"/>
        <v/>
      </c>
      <c r="T81" s="41"/>
      <c r="U81" s="29">
        <f>IF($C81&lt;&gt;"",COUNTIF($C$2:C81,C81),"")</f>
        <v>1</v>
      </c>
      <c r="V81" s="29" t="str">
        <f t="shared" si="6"/>
        <v>Doç. Dr. Erdal SAĞ§1</v>
      </c>
      <c r="W81" s="29">
        <f>IF(U81=1,COUNTIF($U$2:U81,1),"")</f>
        <v>67</v>
      </c>
      <c r="X81" s="29">
        <f t="shared" si="7"/>
        <v>50</v>
      </c>
      <c r="Y81" s="29">
        <f>IF(AND(LEFT($B81,7)="SBA 26/",$D81&lt;&gt;"",$F81&lt;&gt;""),COUNTIFS($D$2:$D81,$D81,$B$2:$B81,"SBA 26/*",$F$2:$F81,"&lt;&gt;"),"")</f>
        <v>9</v>
      </c>
      <c r="Z81" s="29" t="str">
        <f>IF(Y81=1,COUNTIF($Y$2:Y81,1),"")</f>
        <v/>
      </c>
      <c r="AA81" s="29">
        <f>IF(AND(LEFT($B81,7)="SBA 26/",$C81&lt;&gt;"",$F81&lt;&gt;""),COUNTIFS($C$2:$C81,$C81,$B$2:$B81,"SBA 26/*",$F$2:$F81,"&lt;&gt;"),"")</f>
        <v>1</v>
      </c>
      <c r="AB81" s="29">
        <f>IF(AA81=1,COUNTIF($AA$2:AA81,1),"")</f>
        <v>67</v>
      </c>
    </row>
    <row r="82" spans="1:28" ht="63" customHeight="1" x14ac:dyDescent="0.2">
      <c r="A82" s="43" t="s">
        <v>512</v>
      </c>
      <c r="B82" s="43" t="s">
        <v>513</v>
      </c>
      <c r="C82" s="44" t="s">
        <v>514</v>
      </c>
      <c r="D82" s="44" t="s">
        <v>291</v>
      </c>
      <c r="E82" s="45" t="s">
        <v>515</v>
      </c>
      <c r="F82" s="45" t="s">
        <v>516</v>
      </c>
      <c r="G82" s="46" t="s">
        <v>38</v>
      </c>
      <c r="H82" s="48">
        <v>46034</v>
      </c>
      <c r="I82" s="48">
        <v>46042</v>
      </c>
      <c r="J82" s="44" t="s">
        <v>91</v>
      </c>
      <c r="K82" s="44" t="s">
        <v>116</v>
      </c>
      <c r="L82" s="50" t="s">
        <v>77</v>
      </c>
      <c r="M82" s="50"/>
      <c r="N82" s="50"/>
      <c r="O82" s="49"/>
      <c r="P82" s="50" t="str">
        <f t="shared" si="4"/>
        <v>ONAY</v>
      </c>
      <c r="R82" s="51" t="str">
        <f t="shared" si="5"/>
        <v/>
      </c>
      <c r="T82" s="41"/>
      <c r="U82" s="29">
        <f>IF($C82&lt;&gt;"",COUNTIF($C$2:C82,C82),"")</f>
        <v>1</v>
      </c>
      <c r="V82" s="29" t="str">
        <f t="shared" si="6"/>
        <v>Prof. Dr. Taner YILMAZ§1</v>
      </c>
      <c r="W82" s="29">
        <f>IF(U82=1,COUNTIF($U$2:U82,1),"")</f>
        <v>68</v>
      </c>
      <c r="X82" s="29">
        <f t="shared" si="7"/>
        <v>329</v>
      </c>
      <c r="Y82" s="29">
        <f>IF(AND(LEFT($B82,7)="SBA 26/",$D82&lt;&gt;"",$F82&lt;&gt;""),COUNTIFS($D$2:$D82,$D82,$B$2:$B82,"SBA 26/*",$F$2:$F82,"&lt;&gt;"),"")</f>
        <v>2</v>
      </c>
      <c r="Z82" s="29" t="str">
        <f>IF(Y82=1,COUNTIF($Y$2:Y82,1),"")</f>
        <v/>
      </c>
      <c r="AA82" s="29">
        <f>IF(AND(LEFT($B82,7)="SBA 26/",$C82&lt;&gt;"",$F82&lt;&gt;""),COUNTIFS($C$2:$C82,$C82,$B$2:$B82,"SBA 26/*",$F$2:$F82,"&lt;&gt;"),"")</f>
        <v>1</v>
      </c>
      <c r="AB82" s="29">
        <f>IF(AA82=1,COUNTIF($AA$2:AA82,1),"")</f>
        <v>68</v>
      </c>
    </row>
    <row r="83" spans="1:28" ht="78.75" customHeight="1" x14ac:dyDescent="0.2">
      <c r="A83" s="43" t="s">
        <v>517</v>
      </c>
      <c r="B83" s="43" t="s">
        <v>518</v>
      </c>
      <c r="C83" s="44" t="s">
        <v>519</v>
      </c>
      <c r="D83" s="44" t="s">
        <v>364</v>
      </c>
      <c r="E83" s="45" t="s">
        <v>520</v>
      </c>
      <c r="F83" s="45" t="s">
        <v>521</v>
      </c>
      <c r="G83" s="46" t="s">
        <v>38</v>
      </c>
      <c r="H83" s="48">
        <v>46034</v>
      </c>
      <c r="I83" s="48">
        <v>46042</v>
      </c>
      <c r="J83" s="44" t="s">
        <v>108</v>
      </c>
      <c r="K83" s="44" t="s">
        <v>129</v>
      </c>
      <c r="L83" s="50" t="s">
        <v>101</v>
      </c>
      <c r="M83" s="50" t="s">
        <v>77</v>
      </c>
      <c r="N83" s="50"/>
      <c r="O83" s="49"/>
      <c r="P83" s="50" t="str">
        <f t="shared" si="4"/>
        <v>ONAY</v>
      </c>
      <c r="Q83" s="28" t="s">
        <v>108</v>
      </c>
      <c r="R83" s="51" t="str">
        <f t="shared" si="5"/>
        <v/>
      </c>
      <c r="T83" s="41"/>
      <c r="U83" s="29">
        <f>IF($C83&lt;&gt;"",COUNTIF($C$2:C83,C83),"")</f>
        <v>1</v>
      </c>
      <c r="V83" s="29" t="str">
        <f t="shared" si="6"/>
        <v>Prof. Dr. Neşe DERİCİOĞLU§1</v>
      </c>
      <c r="W83" s="29">
        <f>IF(U83=1,COUNTIF($U$2:U83,1),"")</f>
        <v>69</v>
      </c>
      <c r="X83" s="29">
        <f t="shared" si="7"/>
        <v>285</v>
      </c>
      <c r="Y83" s="29">
        <f>IF(AND(LEFT($B83,7)="SBA 26/",$D83&lt;&gt;"",$F83&lt;&gt;""),COUNTIFS($D$2:$D83,$D83,$B$2:$B83,"SBA 26/*",$F$2:$F83,"&lt;&gt;"),"")</f>
        <v>3</v>
      </c>
      <c r="Z83" s="29" t="str">
        <f>IF(Y83=1,COUNTIF($Y$2:Y83,1),"")</f>
        <v/>
      </c>
      <c r="AA83" s="29">
        <f>IF(AND(LEFT($B83,7)="SBA 26/",$C83&lt;&gt;"",$F83&lt;&gt;""),COUNTIFS($C$2:$C83,$C83,$B$2:$B83,"SBA 26/*",$F$2:$F83,"&lt;&gt;"),"")</f>
        <v>1</v>
      </c>
      <c r="AB83" s="29">
        <f>IF(AA83=1,COUNTIF($AA$2:AA83,1),"")</f>
        <v>69</v>
      </c>
    </row>
    <row r="84" spans="1:28" ht="63" customHeight="1" x14ac:dyDescent="0.2">
      <c r="A84" s="43" t="s">
        <v>522</v>
      </c>
      <c r="B84" s="43" t="s">
        <v>523</v>
      </c>
      <c r="C84" s="44" t="s">
        <v>524</v>
      </c>
      <c r="D84" s="44" t="s">
        <v>113</v>
      </c>
      <c r="E84" s="45" t="s">
        <v>525</v>
      </c>
      <c r="F84" s="45" t="s">
        <v>526</v>
      </c>
      <c r="G84" s="46" t="s">
        <v>38</v>
      </c>
      <c r="H84" s="48">
        <v>46034</v>
      </c>
      <c r="I84" s="48">
        <v>46042</v>
      </c>
      <c r="J84" s="44" t="s">
        <v>99</v>
      </c>
      <c r="K84" s="44" t="s">
        <v>116</v>
      </c>
      <c r="L84" s="50" t="s">
        <v>206</v>
      </c>
      <c r="M84" s="50" t="s">
        <v>77</v>
      </c>
      <c r="N84" s="50"/>
      <c r="O84" s="49"/>
      <c r="P84" s="50" t="str">
        <f t="shared" si="4"/>
        <v>ONAY</v>
      </c>
      <c r="R84" s="51" t="str">
        <f t="shared" si="5"/>
        <v/>
      </c>
      <c r="T84" s="41"/>
      <c r="U84" s="29">
        <f>IF($C84&lt;&gt;"",COUNTIF($C$2:C84,C84),"")</f>
        <v>1</v>
      </c>
      <c r="V84" s="29" t="str">
        <f t="shared" si="6"/>
        <v>Doç. Dr. Mert EŞME§1</v>
      </c>
      <c r="W84" s="29">
        <f>IF(U84=1,COUNTIF($U$2:U84,1),"")</f>
        <v>70</v>
      </c>
      <c r="X84" s="29">
        <f t="shared" si="7"/>
        <v>82</v>
      </c>
      <c r="Y84" s="29">
        <f>IF(AND(LEFT($B84,7)="SBA 26/",$D84&lt;&gt;"",$F84&lt;&gt;""),COUNTIFS($D$2:$D84,$D84,$B$2:$B84,"SBA 26/*",$F$2:$F84,"&lt;&gt;"),"")</f>
        <v>7</v>
      </c>
      <c r="Z84" s="29" t="str">
        <f>IF(Y84=1,COUNTIF($Y$2:Y84,1),"")</f>
        <v/>
      </c>
      <c r="AA84" s="29">
        <f>IF(AND(LEFT($B84,7)="SBA 26/",$C84&lt;&gt;"",$F84&lt;&gt;""),COUNTIFS($C$2:$C84,$C84,$B$2:$B84,"SBA 26/*",$F$2:$F84,"&lt;&gt;"),"")</f>
        <v>1</v>
      </c>
      <c r="AB84" s="29">
        <f>IF(AA84=1,COUNTIF($AA$2:AA84,1),"")</f>
        <v>70</v>
      </c>
    </row>
    <row r="85" spans="1:28" ht="63" customHeight="1" x14ac:dyDescent="0.2">
      <c r="A85" s="43" t="s">
        <v>527</v>
      </c>
      <c r="B85" s="43" t="s">
        <v>528</v>
      </c>
      <c r="C85" s="44" t="s">
        <v>112</v>
      </c>
      <c r="D85" s="44" t="s">
        <v>113</v>
      </c>
      <c r="E85" s="45" t="s">
        <v>529</v>
      </c>
      <c r="F85" s="45" t="s">
        <v>530</v>
      </c>
      <c r="G85" s="46" t="s">
        <v>38</v>
      </c>
      <c r="H85" s="48">
        <v>46034</v>
      </c>
      <c r="I85" s="48">
        <v>46042</v>
      </c>
      <c r="J85" s="44" t="s">
        <v>129</v>
      </c>
      <c r="K85" s="44" t="s">
        <v>116</v>
      </c>
      <c r="L85" s="50" t="s">
        <v>206</v>
      </c>
      <c r="M85" s="50" t="s">
        <v>101</v>
      </c>
      <c r="N85" s="50"/>
      <c r="O85" s="49"/>
      <c r="P85" s="50" t="str">
        <f t="shared" si="4"/>
        <v>DÜZELTME</v>
      </c>
      <c r="R85" s="51" t="str">
        <f t="shared" si="5"/>
        <v/>
      </c>
      <c r="T85" s="41"/>
      <c r="U85" s="29">
        <f>IF($C85&lt;&gt;"",COUNTIF($C$2:C85,C85),"")</f>
        <v>3</v>
      </c>
      <c r="V85" s="29" t="str">
        <f t="shared" si="6"/>
        <v>Prof. Dr. Meltem Gülhan HALİL§3</v>
      </c>
      <c r="W85" s="29" t="str">
        <f>IF(U85=1,COUNTIF($U$2:U85,1),"")</f>
        <v/>
      </c>
      <c r="X85" s="29" t="str">
        <f t="shared" si="7"/>
        <v/>
      </c>
      <c r="Y85" s="29">
        <f>IF(AND(LEFT($B85,7)="SBA 26/",$D85&lt;&gt;"",$F85&lt;&gt;""),COUNTIFS($D$2:$D85,$D85,$B$2:$B85,"SBA 26/*",$F$2:$F85,"&lt;&gt;"),"")</f>
        <v>8</v>
      </c>
      <c r="Z85" s="29" t="str">
        <f>IF(Y85=1,COUNTIF($Y$2:Y85,1),"")</f>
        <v/>
      </c>
      <c r="AA85" s="29">
        <f>IF(AND(LEFT($B85,7)="SBA 26/",$C85&lt;&gt;"",$F85&lt;&gt;""),COUNTIFS($C$2:$C85,$C85,$B$2:$B85,"SBA 26/*",$F$2:$F85,"&lt;&gt;"),"")</f>
        <v>3</v>
      </c>
      <c r="AB85" s="29" t="str">
        <f>IF(AA85=1,COUNTIF($AA$2:AA85,1),"")</f>
        <v/>
      </c>
    </row>
    <row r="86" spans="1:28" ht="63" customHeight="1" x14ac:dyDescent="0.2">
      <c r="A86" s="43" t="s">
        <v>531</v>
      </c>
      <c r="B86" s="43" t="s">
        <v>532</v>
      </c>
      <c r="C86" s="44" t="s">
        <v>533</v>
      </c>
      <c r="D86" s="44" t="s">
        <v>113</v>
      </c>
      <c r="E86" s="45" t="s">
        <v>534</v>
      </c>
      <c r="F86" s="45" t="s">
        <v>535</v>
      </c>
      <c r="G86" s="46" t="s">
        <v>38</v>
      </c>
      <c r="H86" s="48">
        <v>46036</v>
      </c>
      <c r="I86" s="48">
        <v>46042</v>
      </c>
      <c r="J86" s="44" t="s">
        <v>109</v>
      </c>
      <c r="K86" s="44" t="s">
        <v>100</v>
      </c>
      <c r="L86" s="50" t="s">
        <v>77</v>
      </c>
      <c r="M86" s="50"/>
      <c r="N86" s="50"/>
      <c r="O86" s="49"/>
      <c r="P86" s="50" t="str">
        <f t="shared" si="4"/>
        <v>ONAY</v>
      </c>
      <c r="R86" s="51" t="str">
        <f t="shared" si="5"/>
        <v/>
      </c>
      <c r="T86" s="41"/>
      <c r="U86" s="29">
        <f>IF($C86&lt;&gt;"",COUNTIF($C$2:C86,C86),"")</f>
        <v>1</v>
      </c>
      <c r="V86" s="29" t="str">
        <f t="shared" si="6"/>
        <v>Prof. Dr. Salih AKSU§1</v>
      </c>
      <c r="W86" s="29">
        <f>IF(U86=1,COUNTIF($U$2:U86,1),"")</f>
        <v>71</v>
      </c>
      <c r="X86" s="29">
        <f t="shared" si="7"/>
        <v>308</v>
      </c>
      <c r="Y86" s="29">
        <f>IF(AND(LEFT($B86,7)="SBA 26/",$D86&lt;&gt;"",$F86&lt;&gt;""),COUNTIFS($D$2:$D86,$D86,$B$2:$B86,"SBA 26/*",$F$2:$F86,"&lt;&gt;"),"")</f>
        <v>9</v>
      </c>
      <c r="Z86" s="29" t="str">
        <f>IF(Y86=1,COUNTIF($Y$2:Y86,1),"")</f>
        <v/>
      </c>
      <c r="AA86" s="29">
        <f>IF(AND(LEFT($B86,7)="SBA 26/",$C86&lt;&gt;"",$F86&lt;&gt;""),COUNTIFS($C$2:$C86,$C86,$B$2:$B86,"SBA 26/*",$F$2:$F86,"&lt;&gt;"),"")</f>
        <v>1</v>
      </c>
      <c r="AB86" s="29">
        <f>IF(AA86=1,COUNTIF($AA$2:AA86,1),"")</f>
        <v>71</v>
      </c>
    </row>
    <row r="87" spans="1:28" ht="78.75" customHeight="1" x14ac:dyDescent="0.2">
      <c r="A87" s="43" t="s">
        <v>536</v>
      </c>
      <c r="B87" s="43" t="s">
        <v>537</v>
      </c>
      <c r="C87" s="44" t="s">
        <v>538</v>
      </c>
      <c r="D87" s="44" t="s">
        <v>539</v>
      </c>
      <c r="E87" s="45" t="s">
        <v>540</v>
      </c>
      <c r="F87" s="45" t="s">
        <v>541</v>
      </c>
      <c r="G87" s="46" t="s">
        <v>39</v>
      </c>
      <c r="H87" s="48">
        <v>46036</v>
      </c>
      <c r="I87" s="48">
        <v>46042</v>
      </c>
      <c r="J87" s="44" t="s">
        <v>123</v>
      </c>
      <c r="K87" s="44" t="s">
        <v>84</v>
      </c>
      <c r="L87" s="50" t="s">
        <v>101</v>
      </c>
      <c r="M87" s="50" t="s">
        <v>77</v>
      </c>
      <c r="N87" s="50"/>
      <c r="O87" s="49"/>
      <c r="P87" s="50" t="str">
        <f t="shared" si="4"/>
        <v>ONAY</v>
      </c>
      <c r="Q87" s="28" t="s">
        <v>123</v>
      </c>
      <c r="R87" s="51" t="str">
        <f t="shared" si="5"/>
        <v/>
      </c>
      <c r="T87" s="41"/>
      <c r="U87" s="29">
        <f>IF($C87&lt;&gt;"",COUNTIF($C$2:C87,C87),"")</f>
        <v>1</v>
      </c>
      <c r="V87" s="29" t="str">
        <f t="shared" si="6"/>
        <v>Prof. Dr. Güliz Nigar GÜNCÜ§1</v>
      </c>
      <c r="W87" s="29">
        <f>IF(U87=1,COUNTIF($U$2:U87,1),"")</f>
        <v>72</v>
      </c>
      <c r="X87" s="29">
        <f t="shared" si="7"/>
        <v>241</v>
      </c>
      <c r="Y87" s="29">
        <f>IF(AND(LEFT($B87,7)="SBA 26/",$D87&lt;&gt;"",$F87&lt;&gt;""),COUNTIFS($D$2:$D87,$D87,$B$2:$B87,"SBA 26/*",$F$2:$F87,"&lt;&gt;"),"")</f>
        <v>1</v>
      </c>
      <c r="Z87" s="29">
        <f>IF(Y87=1,COUNTIF($Y$2:Y87,1),"")</f>
        <v>41</v>
      </c>
      <c r="AA87" s="29">
        <f>IF(AND(LEFT($B87,7)="SBA 26/",$C87&lt;&gt;"",$F87&lt;&gt;""),COUNTIFS($C$2:$C87,$C87,$B$2:$B87,"SBA 26/*",$F$2:$F87,"&lt;&gt;"),"")</f>
        <v>1</v>
      </c>
      <c r="AB87" s="29">
        <f>IF(AA87=1,COUNTIF($AA$2:AA87,1),"")</f>
        <v>72</v>
      </c>
    </row>
    <row r="88" spans="1:28" ht="78.75" customHeight="1" x14ac:dyDescent="0.2">
      <c r="A88" s="43" t="s">
        <v>542</v>
      </c>
      <c r="B88" s="43" t="s">
        <v>543</v>
      </c>
      <c r="C88" s="44" t="s">
        <v>477</v>
      </c>
      <c r="D88" s="44" t="s">
        <v>222</v>
      </c>
      <c r="E88" s="45" t="s">
        <v>544</v>
      </c>
      <c r="F88" s="45" t="s">
        <v>545</v>
      </c>
      <c r="G88" s="46" t="s">
        <v>38</v>
      </c>
      <c r="H88" s="48">
        <v>46036</v>
      </c>
      <c r="I88" s="48">
        <v>46042</v>
      </c>
      <c r="J88" s="44" t="s">
        <v>116</v>
      </c>
      <c r="K88" s="44" t="s">
        <v>92</v>
      </c>
      <c r="L88" s="50" t="s">
        <v>77</v>
      </c>
      <c r="M88" s="50"/>
      <c r="N88" s="50"/>
      <c r="O88" s="49"/>
      <c r="P88" s="50" t="str">
        <f t="shared" si="4"/>
        <v>ONAY</v>
      </c>
      <c r="R88" s="51" t="str">
        <f t="shared" si="5"/>
        <v/>
      </c>
      <c r="T88" s="41"/>
      <c r="U88" s="29">
        <f>IF($C88&lt;&gt;"",COUNTIF($C$2:C88,C88),"")</f>
        <v>2</v>
      </c>
      <c r="V88" s="29" t="str">
        <f t="shared" si="6"/>
        <v>Prof. Dr. Sıddika Songül YALÇIN§2</v>
      </c>
      <c r="W88" s="29" t="str">
        <f>IF(U88=1,COUNTIF($U$2:U88,1),"")</f>
        <v/>
      </c>
      <c r="X88" s="29" t="str">
        <f t="shared" si="7"/>
        <v/>
      </c>
      <c r="Y88" s="29">
        <f>IF(AND(LEFT($B88,7)="SBA 26/",$D88&lt;&gt;"",$F88&lt;&gt;""),COUNTIFS($D$2:$D88,$D88,$B$2:$B88,"SBA 26/*",$F$2:$F88,"&lt;&gt;"),"")</f>
        <v>10</v>
      </c>
      <c r="Z88" s="29" t="str">
        <f>IF(Y88=1,COUNTIF($Y$2:Y88,1),"")</f>
        <v/>
      </c>
      <c r="AA88" s="29">
        <f>IF(AND(LEFT($B88,7)="SBA 26/",$C88&lt;&gt;"",$F88&lt;&gt;""),COUNTIFS($C$2:$C88,$C88,$B$2:$B88,"SBA 26/*",$F$2:$F88,"&lt;&gt;"),"")</f>
        <v>2</v>
      </c>
      <c r="AB88" s="29" t="str">
        <f>IF(AA88=1,COUNTIF($AA$2:AA88,1),"")</f>
        <v/>
      </c>
    </row>
    <row r="89" spans="1:28" ht="63" customHeight="1" x14ac:dyDescent="0.2">
      <c r="A89" s="43" t="s">
        <v>546</v>
      </c>
      <c r="B89" s="43" t="s">
        <v>547</v>
      </c>
      <c r="C89" s="44" t="s">
        <v>548</v>
      </c>
      <c r="D89" s="44" t="s">
        <v>193</v>
      </c>
      <c r="E89" s="45" t="s">
        <v>549</v>
      </c>
      <c r="F89" s="45" t="s">
        <v>550</v>
      </c>
      <c r="G89" s="46" t="s">
        <v>38</v>
      </c>
      <c r="H89" s="48">
        <v>46036</v>
      </c>
      <c r="I89" s="48">
        <v>46042</v>
      </c>
      <c r="J89" s="44" t="s">
        <v>108</v>
      </c>
      <c r="K89" s="44" t="s">
        <v>109</v>
      </c>
      <c r="L89" s="50" t="s">
        <v>77</v>
      </c>
      <c r="M89" s="50"/>
      <c r="N89" s="50"/>
      <c r="O89" s="49"/>
      <c r="P89" s="50" t="str">
        <f t="shared" si="4"/>
        <v>ONAY</v>
      </c>
      <c r="R89" s="51" t="str">
        <f t="shared" si="5"/>
        <v/>
      </c>
      <c r="T89" s="41"/>
      <c r="U89" s="29">
        <f>IF($C89&lt;&gt;"",COUNTIF($C$2:C89,C89),"")</f>
        <v>1</v>
      </c>
      <c r="V89" s="29" t="str">
        <f t="shared" si="6"/>
        <v>Doç. Dr. İrem KOÇ§1</v>
      </c>
      <c r="W89" s="29">
        <f>IF(U89=1,COUNTIF($U$2:U89,1),"")</f>
        <v>73</v>
      </c>
      <c r="X89" s="29">
        <f t="shared" si="7"/>
        <v>72</v>
      </c>
      <c r="Y89" s="29">
        <f>IF(AND(LEFT($B89,7)="SBA 26/",$D89&lt;&gt;"",$F89&lt;&gt;""),COUNTIFS($D$2:$D89,$D89,$B$2:$B89,"SBA 26/*",$F$2:$F89,"&lt;&gt;"),"")</f>
        <v>3</v>
      </c>
      <c r="Z89" s="29" t="str">
        <f>IF(Y89=1,COUNTIF($Y$2:Y89,1),"")</f>
        <v/>
      </c>
      <c r="AA89" s="29">
        <f>IF(AND(LEFT($B89,7)="SBA 26/",$C89&lt;&gt;"",$F89&lt;&gt;""),COUNTIFS($C$2:$C89,$C89,$B$2:$B89,"SBA 26/*",$F$2:$F89,"&lt;&gt;"),"")</f>
        <v>1</v>
      </c>
      <c r="AB89" s="29">
        <f>IF(AA89=1,COUNTIF($AA$2:AA89,1),"")</f>
        <v>73</v>
      </c>
    </row>
    <row r="90" spans="1:28" ht="63" customHeight="1" x14ac:dyDescent="0.2">
      <c r="A90" s="43" t="s">
        <v>551</v>
      </c>
      <c r="B90" s="43" t="s">
        <v>552</v>
      </c>
      <c r="C90" s="44" t="s">
        <v>548</v>
      </c>
      <c r="D90" s="44" t="s">
        <v>193</v>
      </c>
      <c r="E90" s="45" t="s">
        <v>549</v>
      </c>
      <c r="F90" s="45" t="s">
        <v>553</v>
      </c>
      <c r="G90" s="46" t="s">
        <v>38</v>
      </c>
      <c r="H90" s="48">
        <v>46036</v>
      </c>
      <c r="I90" s="48">
        <v>46042</v>
      </c>
      <c r="J90" s="44" t="s">
        <v>92</v>
      </c>
      <c r="K90" s="44" t="s">
        <v>129</v>
      </c>
      <c r="L90" s="50" t="s">
        <v>77</v>
      </c>
      <c r="M90" s="50"/>
      <c r="N90" s="50"/>
      <c r="O90" s="49"/>
      <c r="P90" s="50" t="str">
        <f t="shared" si="4"/>
        <v>ONAY</v>
      </c>
      <c r="R90" s="51" t="str">
        <f t="shared" si="5"/>
        <v/>
      </c>
      <c r="T90" s="41"/>
      <c r="U90" s="29">
        <f>IF($C90&lt;&gt;"",COUNTIF($C$2:C90,C90),"")</f>
        <v>2</v>
      </c>
      <c r="V90" s="29" t="str">
        <f t="shared" si="6"/>
        <v>Doç. Dr. İrem KOÇ§2</v>
      </c>
      <c r="W90" s="29" t="str">
        <f>IF(U90=1,COUNTIF($U$2:U90,1),"")</f>
        <v/>
      </c>
      <c r="X90" s="29" t="str">
        <f t="shared" si="7"/>
        <v/>
      </c>
      <c r="Y90" s="29">
        <f>IF(AND(LEFT($B90,7)="SBA 26/",$D90&lt;&gt;"",$F90&lt;&gt;""),COUNTIFS($D$2:$D90,$D90,$B$2:$B90,"SBA 26/*",$F$2:$F90,"&lt;&gt;"),"")</f>
        <v>4</v>
      </c>
      <c r="Z90" s="29" t="str">
        <f>IF(Y90=1,COUNTIF($Y$2:Y90,1),"")</f>
        <v/>
      </c>
      <c r="AA90" s="29">
        <f>IF(AND(LEFT($B90,7)="SBA 26/",$C90&lt;&gt;"",$F90&lt;&gt;""),COUNTIFS($C$2:$C90,$C90,$B$2:$B90,"SBA 26/*",$F$2:$F90,"&lt;&gt;"),"")</f>
        <v>2</v>
      </c>
      <c r="AB90" s="29" t="str">
        <f>IF(AA90=1,COUNTIF($AA$2:AA90,1),"")</f>
        <v/>
      </c>
    </row>
    <row r="91" spans="1:28" ht="78.75" customHeight="1" x14ac:dyDescent="0.2">
      <c r="A91" s="43" t="s">
        <v>554</v>
      </c>
      <c r="B91" s="43" t="s">
        <v>555</v>
      </c>
      <c r="C91" s="44" t="s">
        <v>379</v>
      </c>
      <c r="D91" s="44" t="s">
        <v>222</v>
      </c>
      <c r="E91" s="45" t="s">
        <v>556</v>
      </c>
      <c r="F91" s="45" t="s">
        <v>557</v>
      </c>
      <c r="G91" s="46" t="s">
        <v>38</v>
      </c>
      <c r="H91" s="48">
        <v>46036</v>
      </c>
      <c r="I91" s="48">
        <v>46042</v>
      </c>
      <c r="J91" s="44" t="s">
        <v>76</v>
      </c>
      <c r="K91" s="44" t="s">
        <v>99</v>
      </c>
      <c r="L91" s="50" t="s">
        <v>101</v>
      </c>
      <c r="M91" s="50" t="s">
        <v>77</v>
      </c>
      <c r="N91" s="50"/>
      <c r="O91" s="49"/>
      <c r="P91" s="50" t="str">
        <f t="shared" si="4"/>
        <v>ONAY</v>
      </c>
      <c r="Q91" s="28" t="s">
        <v>76</v>
      </c>
      <c r="R91" s="51" t="str">
        <f t="shared" si="5"/>
        <v/>
      </c>
      <c r="T91" s="41"/>
      <c r="U91" s="29">
        <f>IF($C91&lt;&gt;"",COUNTIF($C$2:C91,C91),"")</f>
        <v>3</v>
      </c>
      <c r="V91" s="29" t="str">
        <f t="shared" si="6"/>
        <v>Prof. Dr. Deniz ÇAĞDAŞ AYVAZ§3</v>
      </c>
      <c r="W91" s="29" t="str">
        <f>IF(U91=1,COUNTIF($U$2:U91,1),"")</f>
        <v/>
      </c>
      <c r="X91" s="29" t="str">
        <f t="shared" si="7"/>
        <v/>
      </c>
      <c r="Y91" s="29">
        <f>IF(AND(LEFT($B91,7)="SBA 26/",$D91&lt;&gt;"",$F91&lt;&gt;""),COUNTIFS($D$2:$D91,$D91,$B$2:$B91,"SBA 26/*",$F$2:$F91,"&lt;&gt;"),"")</f>
        <v>11</v>
      </c>
      <c r="Z91" s="29" t="str">
        <f>IF(Y91=1,COUNTIF($Y$2:Y91,1),"")</f>
        <v/>
      </c>
      <c r="AA91" s="29">
        <f>IF(AND(LEFT($B91,7)="SBA 26/",$C91&lt;&gt;"",$F91&lt;&gt;""),COUNTIFS($C$2:$C91,$C91,$B$2:$B91,"SBA 26/*",$F$2:$F91,"&lt;&gt;"),"")</f>
        <v>3</v>
      </c>
      <c r="AB91" s="29" t="str">
        <f>IF(AA91=1,COUNTIF($AA$2:AA91,1),"")</f>
        <v/>
      </c>
    </row>
    <row r="92" spans="1:28" ht="63" customHeight="1" x14ac:dyDescent="0.2">
      <c r="A92" s="43" t="s">
        <v>558</v>
      </c>
      <c r="B92" s="43" t="s">
        <v>559</v>
      </c>
      <c r="C92" s="44" t="s">
        <v>560</v>
      </c>
      <c r="D92" s="44" t="s">
        <v>113</v>
      </c>
      <c r="E92" s="45" t="s">
        <v>561</v>
      </c>
      <c r="F92" s="45" t="s">
        <v>562</v>
      </c>
      <c r="G92" s="46" t="s">
        <v>38</v>
      </c>
      <c r="H92" s="48">
        <v>46036</v>
      </c>
      <c r="I92" s="48">
        <v>46042</v>
      </c>
      <c r="J92" s="44" t="s">
        <v>100</v>
      </c>
      <c r="K92" s="44" t="s">
        <v>123</v>
      </c>
      <c r="L92" s="50" t="s">
        <v>77</v>
      </c>
      <c r="M92" s="50"/>
      <c r="N92" s="50"/>
      <c r="O92" s="49"/>
      <c r="P92" s="50" t="str">
        <f t="shared" si="4"/>
        <v>ONAY</v>
      </c>
      <c r="R92" s="51" t="str">
        <f t="shared" si="5"/>
        <v/>
      </c>
      <c r="T92" s="41"/>
      <c r="U92" s="29">
        <f>IF($C92&lt;&gt;"",COUNTIF($C$2:C92,C92),"")</f>
        <v>1</v>
      </c>
      <c r="V92" s="29" t="str">
        <f t="shared" si="6"/>
        <v>Doç. Dr. Hacı Hasan YETER§1</v>
      </c>
      <c r="W92" s="29">
        <f>IF(U92=1,COUNTIF($U$2:U92,1),"")</f>
        <v>74</v>
      </c>
      <c r="X92" s="29">
        <f t="shared" si="7"/>
        <v>64</v>
      </c>
      <c r="Y92" s="29">
        <f>IF(AND(LEFT($B92,7)="SBA 26/",$D92&lt;&gt;"",$F92&lt;&gt;""),COUNTIFS($D$2:$D92,$D92,$B$2:$B92,"SBA 26/*",$F$2:$F92,"&lt;&gt;"),"")</f>
        <v>10</v>
      </c>
      <c r="Z92" s="29" t="str">
        <f>IF(Y92=1,COUNTIF($Y$2:Y92,1),"")</f>
        <v/>
      </c>
      <c r="AA92" s="29">
        <f>IF(AND(LEFT($B92,7)="SBA 26/",$C92&lt;&gt;"",$F92&lt;&gt;""),COUNTIFS($C$2:$C92,$C92,$B$2:$B92,"SBA 26/*",$F$2:$F92,"&lt;&gt;"),"")</f>
        <v>1</v>
      </c>
      <c r="AB92" s="29">
        <f>IF(AA92=1,COUNTIF($AA$2:AA92,1),"")</f>
        <v>74</v>
      </c>
    </row>
    <row r="93" spans="1:28" ht="63" customHeight="1" x14ac:dyDescent="0.2">
      <c r="A93" s="43" t="s">
        <v>563</v>
      </c>
      <c r="B93" s="43" t="s">
        <v>564</v>
      </c>
      <c r="C93" s="44" t="s">
        <v>192</v>
      </c>
      <c r="D93" s="44" t="s">
        <v>193</v>
      </c>
      <c r="E93" s="45" t="s">
        <v>565</v>
      </c>
      <c r="F93" s="45" t="s">
        <v>566</v>
      </c>
      <c r="G93" s="46" t="s">
        <v>38</v>
      </c>
      <c r="H93" s="48">
        <v>46036</v>
      </c>
      <c r="I93" s="48">
        <v>46042</v>
      </c>
      <c r="J93" s="44" t="s">
        <v>108</v>
      </c>
      <c r="K93" s="44" t="s">
        <v>116</v>
      </c>
      <c r="L93" s="50" t="s">
        <v>77</v>
      </c>
      <c r="M93" s="50"/>
      <c r="N93" s="50"/>
      <c r="O93" s="49"/>
      <c r="P93" s="50" t="str">
        <f t="shared" si="4"/>
        <v>ONAY</v>
      </c>
      <c r="R93" s="51" t="str">
        <f t="shared" si="5"/>
        <v/>
      </c>
      <c r="T93" s="41"/>
      <c r="U93" s="29">
        <f>IF($C93&lt;&gt;"",COUNTIF($C$2:C93,C93),"")</f>
        <v>3</v>
      </c>
      <c r="V93" s="29" t="str">
        <f t="shared" si="6"/>
        <v>Dr. Öğr. Üyesi Figen BEZCİ AYGÜN§3</v>
      </c>
      <c r="W93" s="29" t="str">
        <f>IF(U93=1,COUNTIF($U$2:U93,1),"")</f>
        <v/>
      </c>
      <c r="X93" s="29" t="str">
        <f t="shared" si="7"/>
        <v/>
      </c>
      <c r="Y93" s="29">
        <f>IF(AND(LEFT($B93,7)="SBA 26/",$D93&lt;&gt;"",$F93&lt;&gt;""),COUNTIFS($D$2:$D93,$D93,$B$2:$B93,"SBA 26/*",$F$2:$F93,"&lt;&gt;"),"")</f>
        <v>5</v>
      </c>
      <c r="Z93" s="29" t="str">
        <f>IF(Y93=1,COUNTIF($Y$2:Y93,1),"")</f>
        <v/>
      </c>
      <c r="AA93" s="29">
        <f>IF(AND(LEFT($B93,7)="SBA 26/",$C93&lt;&gt;"",$F93&lt;&gt;""),COUNTIFS($C$2:$C93,$C93,$B$2:$B93,"SBA 26/*",$F$2:$F93,"&lt;&gt;"),"")</f>
        <v>3</v>
      </c>
      <c r="AB93" s="29" t="str">
        <f>IF(AA93=1,COUNTIF($AA$2:AA93,1),"")</f>
        <v/>
      </c>
    </row>
    <row r="94" spans="1:28" ht="63" customHeight="1" x14ac:dyDescent="0.2">
      <c r="A94" s="43" t="s">
        <v>567</v>
      </c>
      <c r="B94" s="43" t="s">
        <v>568</v>
      </c>
      <c r="C94" s="44" t="s">
        <v>76</v>
      </c>
      <c r="D94" s="44" t="s">
        <v>222</v>
      </c>
      <c r="E94" s="45" t="s">
        <v>569</v>
      </c>
      <c r="F94" s="45" t="s">
        <v>570</v>
      </c>
      <c r="G94" s="46" t="s">
        <v>39</v>
      </c>
      <c r="H94" s="48">
        <v>46036</v>
      </c>
      <c r="I94" s="48">
        <v>46042</v>
      </c>
      <c r="J94" s="44" t="s">
        <v>109</v>
      </c>
      <c r="K94" s="44" t="s">
        <v>123</v>
      </c>
      <c r="L94" s="50" t="s">
        <v>77</v>
      </c>
      <c r="M94" s="50"/>
      <c r="N94" s="50"/>
      <c r="O94" s="49"/>
      <c r="P94" s="50" t="str">
        <f t="shared" si="4"/>
        <v>ONAY</v>
      </c>
      <c r="R94" s="51" t="str">
        <f t="shared" si="5"/>
        <v/>
      </c>
      <c r="T94" s="41"/>
      <c r="U94" s="29">
        <f>IF($C94&lt;&gt;"",COUNTIF($C$2:C94,C94),"")</f>
        <v>1</v>
      </c>
      <c r="V94" s="29" t="str">
        <f t="shared" si="6"/>
        <v>Doç. Dr. Kübra AYKAÇ§1</v>
      </c>
      <c r="W94" s="29">
        <f>IF(U94=1,COUNTIF($U$2:U94,1),"")</f>
        <v>75</v>
      </c>
      <c r="X94" s="29">
        <f t="shared" si="7"/>
        <v>77</v>
      </c>
      <c r="Y94" s="29">
        <f>IF(AND(LEFT($B94,7)="SBA 26/",$D94&lt;&gt;"",$F94&lt;&gt;""),COUNTIFS($D$2:$D94,$D94,$B$2:$B94,"SBA 26/*",$F$2:$F94,"&lt;&gt;"),"")</f>
        <v>12</v>
      </c>
      <c r="Z94" s="29" t="str">
        <f>IF(Y94=1,COUNTIF($Y$2:Y94,1),"")</f>
        <v/>
      </c>
      <c r="AA94" s="29">
        <f>IF(AND(LEFT($B94,7)="SBA 26/",$C94&lt;&gt;"",$F94&lt;&gt;""),COUNTIFS($C$2:$C94,$C94,$B$2:$B94,"SBA 26/*",$F$2:$F94,"&lt;&gt;"),"")</f>
        <v>1</v>
      </c>
      <c r="AB94" s="29">
        <f>IF(AA94=1,COUNTIF($AA$2:AA94,1),"")</f>
        <v>75</v>
      </c>
    </row>
    <row r="95" spans="1:28" ht="78.75" customHeight="1" x14ac:dyDescent="0.2">
      <c r="A95" s="43" t="s">
        <v>571</v>
      </c>
      <c r="B95" s="43" t="s">
        <v>572</v>
      </c>
      <c r="C95" s="44" t="s">
        <v>573</v>
      </c>
      <c r="D95" s="44" t="s">
        <v>222</v>
      </c>
      <c r="E95" s="45" t="s">
        <v>574</v>
      </c>
      <c r="F95" s="45" t="s">
        <v>575</v>
      </c>
      <c r="G95" s="46" t="s">
        <v>39</v>
      </c>
      <c r="H95" s="48">
        <v>46036</v>
      </c>
      <c r="I95" s="48">
        <v>46042</v>
      </c>
      <c r="J95" s="44" t="s">
        <v>91</v>
      </c>
      <c r="K95" s="44" t="s">
        <v>76</v>
      </c>
      <c r="L95" s="50" t="s">
        <v>101</v>
      </c>
      <c r="M95" s="50" t="s">
        <v>77</v>
      </c>
      <c r="N95" s="50"/>
      <c r="O95" s="49"/>
      <c r="P95" s="50" t="str">
        <f t="shared" si="4"/>
        <v>ONAY</v>
      </c>
      <c r="Q95" s="28" t="s">
        <v>91</v>
      </c>
      <c r="R95" s="51" t="str">
        <f t="shared" si="5"/>
        <v/>
      </c>
      <c r="T95" s="41"/>
      <c r="U95" s="29">
        <f>IF($C95&lt;&gt;"",COUNTIF($C$2:C95,C95),"")</f>
        <v>1</v>
      </c>
      <c r="V95" s="29" t="str">
        <f t="shared" si="6"/>
        <v>Doç. Dr. Emel ISIYEL§1</v>
      </c>
      <c r="W95" s="29">
        <f>IF(U95=1,COUNTIF($U$2:U95,1),"")</f>
        <v>76</v>
      </c>
      <c r="X95" s="29">
        <f t="shared" si="7"/>
        <v>48</v>
      </c>
      <c r="Y95" s="29">
        <f>IF(AND(LEFT($B95,7)="SBA 26/",$D95&lt;&gt;"",$F95&lt;&gt;""),COUNTIFS($D$2:$D95,$D95,$B$2:$B95,"SBA 26/*",$F$2:$F95,"&lt;&gt;"),"")</f>
        <v>13</v>
      </c>
      <c r="Z95" s="29" t="str">
        <f>IF(Y95=1,COUNTIF($Y$2:Y95,1),"")</f>
        <v/>
      </c>
      <c r="AA95" s="29">
        <f>IF(AND(LEFT($B95,7)="SBA 26/",$C95&lt;&gt;"",$F95&lt;&gt;""),COUNTIFS($C$2:$C95,$C95,$B$2:$B95,"SBA 26/*",$F$2:$F95,"&lt;&gt;"),"")</f>
        <v>1</v>
      </c>
      <c r="AB95" s="29">
        <f>IF(AA95=1,COUNTIF($AA$2:AA95,1),"")</f>
        <v>76</v>
      </c>
    </row>
    <row r="96" spans="1:28" ht="78.75" customHeight="1" x14ac:dyDescent="0.2">
      <c r="A96" s="43" t="s">
        <v>576</v>
      </c>
      <c r="B96" s="43" t="s">
        <v>577</v>
      </c>
      <c r="C96" s="44" t="s">
        <v>578</v>
      </c>
      <c r="D96" s="44" t="s">
        <v>113</v>
      </c>
      <c r="E96" s="45" t="s">
        <v>579</v>
      </c>
      <c r="F96" s="45" t="s">
        <v>580</v>
      </c>
      <c r="G96" s="46" t="s">
        <v>38</v>
      </c>
      <c r="H96" s="48">
        <v>46036</v>
      </c>
      <c r="I96" s="48">
        <v>46042</v>
      </c>
      <c r="J96" s="44" t="s">
        <v>99</v>
      </c>
      <c r="K96" s="44" t="s">
        <v>100</v>
      </c>
      <c r="L96" s="50" t="s">
        <v>77</v>
      </c>
      <c r="M96" s="50"/>
      <c r="N96" s="50"/>
      <c r="O96" s="49"/>
      <c r="P96" s="50" t="str">
        <f t="shared" si="4"/>
        <v>ONAY</v>
      </c>
      <c r="R96" s="51" t="str">
        <f t="shared" si="5"/>
        <v/>
      </c>
      <c r="T96" s="41"/>
      <c r="U96" s="29">
        <f>IF($C96&lt;&gt;"",COUNTIF($C$2:C96,C96),"")</f>
        <v>1</v>
      </c>
      <c r="V96" s="29" t="str">
        <f t="shared" si="6"/>
        <v>Prof. Dr. Ayşe Tomris ERBAŞ§1</v>
      </c>
      <c r="W96" s="29">
        <f>IF(U96=1,COUNTIF($U$2:U96,1),"")</f>
        <v>77</v>
      </c>
      <c r="X96" s="29">
        <f t="shared" si="7"/>
        <v>199</v>
      </c>
      <c r="Y96" s="29">
        <f>IF(AND(LEFT($B96,7)="SBA 26/",$D96&lt;&gt;"",$F96&lt;&gt;""),COUNTIFS($D$2:$D96,$D96,$B$2:$B96,"SBA 26/*",$F$2:$F96,"&lt;&gt;"),"")</f>
        <v>11</v>
      </c>
      <c r="Z96" s="29" t="str">
        <f>IF(Y96=1,COUNTIF($Y$2:Y96,1),"")</f>
        <v/>
      </c>
      <c r="AA96" s="29">
        <f>IF(AND(LEFT($B96,7)="SBA 26/",$C96&lt;&gt;"",$F96&lt;&gt;""),COUNTIFS($C$2:$C96,$C96,$B$2:$B96,"SBA 26/*",$F$2:$F96,"&lt;&gt;"),"")</f>
        <v>1</v>
      </c>
      <c r="AB96" s="29">
        <f>IF(AA96=1,COUNTIF($AA$2:AA96,1),"")</f>
        <v>77</v>
      </c>
    </row>
    <row r="97" spans="1:28" ht="47.25" customHeight="1" x14ac:dyDescent="0.2">
      <c r="A97" s="43" t="s">
        <v>581</v>
      </c>
      <c r="B97" s="43" t="s">
        <v>582</v>
      </c>
      <c r="C97" s="44" t="s">
        <v>583</v>
      </c>
      <c r="D97" s="44" t="s">
        <v>584</v>
      </c>
      <c r="E97" s="45" t="s">
        <v>585</v>
      </c>
      <c r="F97" s="45" t="s">
        <v>586</v>
      </c>
      <c r="G97" s="46" t="s">
        <v>41</v>
      </c>
      <c r="H97" s="48">
        <v>46037</v>
      </c>
      <c r="I97" s="48">
        <v>46042</v>
      </c>
      <c r="J97" s="44" t="s">
        <v>91</v>
      </c>
      <c r="K97" s="44" t="s">
        <v>99</v>
      </c>
      <c r="L97" s="50" t="s">
        <v>77</v>
      </c>
      <c r="M97" s="50"/>
      <c r="N97" s="50"/>
      <c r="O97" s="49"/>
      <c r="P97" s="50" t="str">
        <f t="shared" si="4"/>
        <v>ONAY</v>
      </c>
      <c r="R97" s="51" t="str">
        <f t="shared" si="5"/>
        <v/>
      </c>
      <c r="T97" s="41"/>
      <c r="U97" s="29">
        <f>IF($C97&lt;&gt;"",COUNTIF($C$2:C97,C97),"")</f>
        <v>1</v>
      </c>
      <c r="V97" s="29" t="str">
        <f t="shared" si="6"/>
        <v>Doç. Dr. Aslıhan AYKARA§1</v>
      </c>
      <c r="W97" s="29">
        <f>IF(U97=1,COUNTIF($U$2:U97,1),"")</f>
        <v>78</v>
      </c>
      <c r="X97" s="29">
        <f t="shared" si="7"/>
        <v>20</v>
      </c>
      <c r="Y97" s="29">
        <f>IF(AND(LEFT($B97,7)="SBA 26/",$D97&lt;&gt;"",$F97&lt;&gt;""),COUNTIFS($D$2:$D97,$D97,$B$2:$B97,"SBA 26/*",$F$2:$F97,"&lt;&gt;"),"")</f>
        <v>1</v>
      </c>
      <c r="Z97" s="29">
        <f>IF(Y97=1,COUNTIF($Y$2:Y97,1),"")</f>
        <v>42</v>
      </c>
      <c r="AA97" s="29">
        <f>IF(AND(LEFT($B97,7)="SBA 26/",$C97&lt;&gt;"",$F97&lt;&gt;""),COUNTIFS($C$2:$C97,$C97,$B$2:$B97,"SBA 26/*",$F$2:$F97,"&lt;&gt;"),"")</f>
        <v>1</v>
      </c>
      <c r="AB97" s="29">
        <f>IF(AA97=1,COUNTIF($AA$2:AA97,1),"")</f>
        <v>78</v>
      </c>
    </row>
    <row r="98" spans="1:28" ht="47.25" customHeight="1" x14ac:dyDescent="0.2">
      <c r="A98" s="43" t="s">
        <v>587</v>
      </c>
      <c r="B98" s="43" t="s">
        <v>588</v>
      </c>
      <c r="C98" s="44" t="s">
        <v>112</v>
      </c>
      <c r="D98" s="44" t="s">
        <v>113</v>
      </c>
      <c r="E98" s="45" t="s">
        <v>589</v>
      </c>
      <c r="F98" s="45" t="s">
        <v>590</v>
      </c>
      <c r="G98" s="46" t="s">
        <v>38</v>
      </c>
      <c r="H98" s="48">
        <v>46037</v>
      </c>
      <c r="I98" s="48">
        <v>46042</v>
      </c>
      <c r="J98" s="44" t="s">
        <v>129</v>
      </c>
      <c r="K98" s="44" t="s">
        <v>84</v>
      </c>
      <c r="L98" s="50" t="s">
        <v>77</v>
      </c>
      <c r="M98" s="50"/>
      <c r="N98" s="50"/>
      <c r="O98" s="49"/>
      <c r="P98" s="50" t="str">
        <f t="shared" si="4"/>
        <v>ONAY</v>
      </c>
      <c r="R98" s="51" t="str">
        <f t="shared" si="5"/>
        <v/>
      </c>
      <c r="T98" s="41"/>
      <c r="U98" s="29">
        <f>IF($C98&lt;&gt;"",COUNTIF($C$2:C98,C98),"")</f>
        <v>4</v>
      </c>
      <c r="V98" s="29" t="str">
        <f t="shared" si="6"/>
        <v>Prof. Dr. Meltem Gülhan HALİL§4</v>
      </c>
      <c r="W98" s="29" t="str">
        <f>IF(U98=1,COUNTIF($U$2:U98,1),"")</f>
        <v/>
      </c>
      <c r="X98" s="29" t="str">
        <f t="shared" si="7"/>
        <v/>
      </c>
      <c r="Y98" s="29">
        <f>IF(AND(LEFT($B98,7)="SBA 26/",$D98&lt;&gt;"",$F98&lt;&gt;""),COUNTIFS($D$2:$D98,$D98,$B$2:$B98,"SBA 26/*",$F$2:$F98,"&lt;&gt;"),"")</f>
        <v>12</v>
      </c>
      <c r="Z98" s="29" t="str">
        <f>IF(Y98=1,COUNTIF($Y$2:Y98,1),"")</f>
        <v/>
      </c>
      <c r="AA98" s="29">
        <f>IF(AND(LEFT($B98,7)="SBA 26/",$C98&lt;&gt;"",$F98&lt;&gt;""),COUNTIFS($C$2:$C98,$C98,$B$2:$B98,"SBA 26/*",$F$2:$F98,"&lt;&gt;"),"")</f>
        <v>4</v>
      </c>
      <c r="AB98" s="29" t="str">
        <f>IF(AA98=1,COUNTIF($AA$2:AA98,1),"")</f>
        <v/>
      </c>
    </row>
    <row r="99" spans="1:28" ht="47.25" customHeight="1" x14ac:dyDescent="0.2">
      <c r="A99" s="43" t="s">
        <v>591</v>
      </c>
      <c r="B99" s="43" t="s">
        <v>592</v>
      </c>
      <c r="C99" s="44" t="s">
        <v>112</v>
      </c>
      <c r="D99" s="44" t="s">
        <v>113</v>
      </c>
      <c r="E99" s="45" t="s">
        <v>589</v>
      </c>
      <c r="F99" s="45" t="s">
        <v>593</v>
      </c>
      <c r="G99" s="46" t="s">
        <v>38</v>
      </c>
      <c r="H99" s="48">
        <v>46037</v>
      </c>
      <c r="I99" s="48">
        <v>46042</v>
      </c>
      <c r="J99" s="44" t="s">
        <v>129</v>
      </c>
      <c r="K99" s="44" t="s">
        <v>84</v>
      </c>
      <c r="L99" s="50" t="s">
        <v>77</v>
      </c>
      <c r="M99" s="50"/>
      <c r="N99" s="50"/>
      <c r="O99" s="49"/>
      <c r="P99" s="50" t="str">
        <f t="shared" si="4"/>
        <v>ONAY</v>
      </c>
      <c r="R99" s="51" t="str">
        <f t="shared" si="5"/>
        <v/>
      </c>
      <c r="T99" s="41"/>
      <c r="U99" s="29">
        <f>IF($C99&lt;&gt;"",COUNTIF($C$2:C99,C99),"")</f>
        <v>5</v>
      </c>
      <c r="V99" s="29" t="str">
        <f t="shared" si="6"/>
        <v>Prof. Dr. Meltem Gülhan HALİL§5</v>
      </c>
      <c r="W99" s="29" t="str">
        <f>IF(U99=1,COUNTIF($U$2:U99,1),"")</f>
        <v/>
      </c>
      <c r="X99" s="29" t="str">
        <f t="shared" si="7"/>
        <v/>
      </c>
      <c r="Y99" s="29">
        <f>IF(AND(LEFT($B99,7)="SBA 26/",$D99&lt;&gt;"",$F99&lt;&gt;""),COUNTIFS($D$2:$D99,$D99,$B$2:$B99,"SBA 26/*",$F$2:$F99,"&lt;&gt;"),"")</f>
        <v>13</v>
      </c>
      <c r="Z99" s="29" t="str">
        <f>IF(Y99=1,COUNTIF($Y$2:Y99,1),"")</f>
        <v/>
      </c>
      <c r="AA99" s="29">
        <f>IF(AND(LEFT($B99,7)="SBA 26/",$C99&lt;&gt;"",$F99&lt;&gt;""),COUNTIFS($C$2:$C99,$C99,$B$2:$B99,"SBA 26/*",$F$2:$F99,"&lt;&gt;"),"")</f>
        <v>5</v>
      </c>
      <c r="AB99" s="29" t="str">
        <f>IF(AA99=1,COUNTIF($AA$2:AA99,1),"")</f>
        <v/>
      </c>
    </row>
    <row r="100" spans="1:28" ht="63" customHeight="1" x14ac:dyDescent="0.2">
      <c r="A100" s="43" t="s">
        <v>594</v>
      </c>
      <c r="B100" s="43" t="s">
        <v>595</v>
      </c>
      <c r="C100" s="44" t="s">
        <v>583</v>
      </c>
      <c r="D100" s="44" t="s">
        <v>584</v>
      </c>
      <c r="E100" s="45" t="s">
        <v>596</v>
      </c>
      <c r="F100" s="45" t="s">
        <v>597</v>
      </c>
      <c r="G100" s="46" t="s">
        <v>41</v>
      </c>
      <c r="H100" s="48">
        <v>46037</v>
      </c>
      <c r="I100" s="48">
        <v>46042</v>
      </c>
      <c r="J100" s="44" t="s">
        <v>91</v>
      </c>
      <c r="K100" s="44" t="s">
        <v>92</v>
      </c>
      <c r="L100" s="50" t="s">
        <v>77</v>
      </c>
      <c r="M100" s="50"/>
      <c r="N100" s="50"/>
      <c r="O100" s="49"/>
      <c r="P100" s="50" t="str">
        <f t="shared" si="4"/>
        <v>ONAY</v>
      </c>
      <c r="R100" s="51" t="str">
        <f t="shared" si="5"/>
        <v/>
      </c>
      <c r="T100" s="41"/>
      <c r="U100" s="29">
        <f>IF($C100&lt;&gt;"",COUNTIF($C$2:C100,C100),"")</f>
        <v>2</v>
      </c>
      <c r="V100" s="29" t="str">
        <f t="shared" si="6"/>
        <v>Doç. Dr. Aslıhan AYKARA§2</v>
      </c>
      <c r="W100" s="29" t="str">
        <f>IF(U100=1,COUNTIF($U$2:U100,1),"")</f>
        <v/>
      </c>
      <c r="X100" s="29" t="str">
        <f t="shared" si="7"/>
        <v/>
      </c>
      <c r="Y100" s="29">
        <f>IF(AND(LEFT($B100,7)="SBA 26/",$D100&lt;&gt;"",$F100&lt;&gt;""),COUNTIFS($D$2:$D100,$D100,$B$2:$B100,"SBA 26/*",$F$2:$F100,"&lt;&gt;"),"")</f>
        <v>2</v>
      </c>
      <c r="Z100" s="29" t="str">
        <f>IF(Y100=1,COUNTIF($Y$2:Y100,1),"")</f>
        <v/>
      </c>
      <c r="AA100" s="29">
        <f>IF(AND(LEFT($B100,7)="SBA 26/",$C100&lt;&gt;"",$F100&lt;&gt;""),COUNTIFS($C$2:$C100,$C100,$B$2:$B100,"SBA 26/*",$F$2:$F100,"&lt;&gt;"),"")</f>
        <v>2</v>
      </c>
      <c r="AB100" s="29" t="str">
        <f>IF(AA100=1,COUNTIF($AA$2:AA100,1),"")</f>
        <v/>
      </c>
    </row>
    <row r="101" spans="1:28" ht="78.75" customHeight="1" x14ac:dyDescent="0.2">
      <c r="A101" s="43" t="s">
        <v>598</v>
      </c>
      <c r="B101" s="43" t="s">
        <v>599</v>
      </c>
      <c r="C101" s="44" t="s">
        <v>477</v>
      </c>
      <c r="D101" s="44" t="s">
        <v>222</v>
      </c>
      <c r="E101" s="45" t="s">
        <v>600</v>
      </c>
      <c r="F101" s="45" t="s">
        <v>601</v>
      </c>
      <c r="G101" s="46" t="s">
        <v>38</v>
      </c>
      <c r="H101" s="48">
        <v>46037</v>
      </c>
      <c r="I101" s="48">
        <v>46042</v>
      </c>
      <c r="J101" s="44" t="s">
        <v>75</v>
      </c>
      <c r="K101" s="44" t="s">
        <v>91</v>
      </c>
      <c r="L101" s="50" t="s">
        <v>77</v>
      </c>
      <c r="M101" s="50"/>
      <c r="N101" s="50"/>
      <c r="O101" s="49"/>
      <c r="P101" s="50" t="str">
        <f t="shared" si="4"/>
        <v>ONAY</v>
      </c>
      <c r="R101" s="51" t="str">
        <f t="shared" si="5"/>
        <v/>
      </c>
      <c r="T101" s="41"/>
      <c r="U101" s="29">
        <f>IF($C101&lt;&gt;"",COUNTIF($C$2:C101,C101),"")</f>
        <v>3</v>
      </c>
      <c r="V101" s="29" t="str">
        <f t="shared" si="6"/>
        <v>Prof. Dr. Sıddika Songül YALÇIN§3</v>
      </c>
      <c r="W101" s="29" t="str">
        <f>IF(U101=1,COUNTIF($U$2:U101,1),"")</f>
        <v/>
      </c>
      <c r="X101" s="29" t="str">
        <f t="shared" si="7"/>
        <v/>
      </c>
      <c r="Y101" s="29">
        <f>IF(AND(LEFT($B101,7)="SBA 26/",$D101&lt;&gt;"",$F101&lt;&gt;""),COUNTIFS($D$2:$D101,$D101,$B$2:$B101,"SBA 26/*",$F$2:$F101,"&lt;&gt;"),"")</f>
        <v>14</v>
      </c>
      <c r="Z101" s="29" t="str">
        <f>IF(Y101=1,COUNTIF($Y$2:Y101,1),"")</f>
        <v/>
      </c>
      <c r="AA101" s="29">
        <f>IF(AND(LEFT($B101,7)="SBA 26/",$C101&lt;&gt;"",$F101&lt;&gt;""),COUNTIFS($C$2:$C101,$C101,$B$2:$B101,"SBA 26/*",$F$2:$F101,"&lt;&gt;"),"")</f>
        <v>3</v>
      </c>
      <c r="AB101" s="29" t="str">
        <f>IF(AA101=1,COUNTIF($AA$2:AA101,1),"")</f>
        <v/>
      </c>
    </row>
    <row r="102" spans="1:28" ht="79.5" customHeight="1" x14ac:dyDescent="0.2">
      <c r="A102" s="43" t="s">
        <v>602</v>
      </c>
      <c r="B102" s="43" t="s">
        <v>603</v>
      </c>
      <c r="C102" s="44" t="s">
        <v>604</v>
      </c>
      <c r="D102" s="44" t="s">
        <v>215</v>
      </c>
      <c r="E102" s="45" t="s">
        <v>605</v>
      </c>
      <c r="F102" s="45" t="s">
        <v>606</v>
      </c>
      <c r="G102" s="46" t="s">
        <v>39</v>
      </c>
      <c r="H102" s="48">
        <v>46044</v>
      </c>
      <c r="I102" s="48">
        <v>46057</v>
      </c>
      <c r="J102" s="44" t="s">
        <v>123</v>
      </c>
      <c r="K102" s="44" t="s">
        <v>84</v>
      </c>
      <c r="L102" s="50" t="s">
        <v>77</v>
      </c>
      <c r="M102" s="50"/>
      <c r="N102" s="50"/>
      <c r="O102" s="49"/>
      <c r="P102" s="50" t="str">
        <f t="shared" si="4"/>
        <v>ONAY</v>
      </c>
      <c r="R102" s="51" t="str">
        <f t="shared" si="5"/>
        <v/>
      </c>
      <c r="T102" s="41"/>
      <c r="U102" s="29">
        <f>IF($C102&lt;&gt;"",COUNTIF($C$2:C102,C102),"")</f>
        <v>1</v>
      </c>
      <c r="V102" s="29" t="str">
        <f t="shared" si="6"/>
        <v>Prof. Dr. Hakan Hıfzı TÜZ§1</v>
      </c>
      <c r="W102" s="29">
        <f>IF(U102=1,COUNTIF($U$2:U102,1),"")</f>
        <v>79</v>
      </c>
      <c r="X102" s="29">
        <f t="shared" si="7"/>
        <v>244</v>
      </c>
      <c r="Y102" s="29">
        <f>IF(AND(LEFT($B102,7)="SBA 26/",$D102&lt;&gt;"",$F102&lt;&gt;""),COUNTIFS($D$2:$D102,$D102,$B$2:$B102,"SBA 26/*",$F$2:$F102,"&lt;&gt;"),"")</f>
        <v>2</v>
      </c>
      <c r="Z102" s="29" t="str">
        <f>IF(Y102=1,COUNTIF($Y$2:Y102,1),"")</f>
        <v/>
      </c>
      <c r="AA102" s="29">
        <f>IF(AND(LEFT($B102,7)="SBA 26/",$C102&lt;&gt;"",$F102&lt;&gt;""),COUNTIFS($C$2:$C102,$C102,$B$2:$B102,"SBA 26/*",$F$2:$F102,"&lt;&gt;"),"")</f>
        <v>1</v>
      </c>
      <c r="AB102" s="29">
        <f>IF(AA102=1,COUNTIF($AA$2:AA102,1),"")</f>
        <v>79</v>
      </c>
    </row>
    <row r="103" spans="1:28" ht="94.5" customHeight="1" x14ac:dyDescent="0.2">
      <c r="A103" s="43" t="s">
        <v>607</v>
      </c>
      <c r="B103" s="43" t="s">
        <v>608</v>
      </c>
      <c r="C103" s="44" t="s">
        <v>609</v>
      </c>
      <c r="D103" s="44" t="s">
        <v>163</v>
      </c>
      <c r="E103" s="45" t="s">
        <v>610</v>
      </c>
      <c r="F103" s="45" t="s">
        <v>611</v>
      </c>
      <c r="G103" s="46" t="s">
        <v>38</v>
      </c>
      <c r="H103" s="48">
        <v>46044</v>
      </c>
      <c r="I103" s="48">
        <v>46057</v>
      </c>
      <c r="J103" s="44" t="s">
        <v>129</v>
      </c>
      <c r="K103" s="44" t="s">
        <v>109</v>
      </c>
      <c r="L103" s="50" t="s">
        <v>101</v>
      </c>
      <c r="M103" s="50" t="s">
        <v>77</v>
      </c>
      <c r="N103" s="50"/>
      <c r="O103" s="49"/>
      <c r="P103" s="50" t="str">
        <f t="shared" si="4"/>
        <v>ONAY</v>
      </c>
      <c r="Q103" s="28" t="s">
        <v>129</v>
      </c>
      <c r="R103" s="51" t="str">
        <f t="shared" si="5"/>
        <v/>
      </c>
      <c r="T103" s="41"/>
      <c r="U103" s="29">
        <f>IF($C103&lt;&gt;"",COUNTIF($C$2:C103,C103),"")</f>
        <v>1</v>
      </c>
      <c r="V103" s="29" t="str">
        <f t="shared" si="6"/>
        <v>Dr. Öğr. Üyesi Burkay UTKU§1</v>
      </c>
      <c r="W103" s="29">
        <f>IF(U103=1,COUNTIF($U$2:U103,1),"")</f>
        <v>80</v>
      </c>
      <c r="X103" s="29">
        <f t="shared" si="7"/>
        <v>127</v>
      </c>
      <c r="Y103" s="29">
        <f>IF(AND(LEFT($B103,7)="SBA 26/",$D103&lt;&gt;"",$F103&lt;&gt;""),COUNTIFS($D$2:$D103,$D103,$B$2:$B103,"SBA 26/*",$F$2:$F103,"&lt;&gt;"),"")</f>
        <v>3</v>
      </c>
      <c r="Z103" s="29" t="str">
        <f>IF(Y103=1,COUNTIF($Y$2:Y103,1),"")</f>
        <v/>
      </c>
      <c r="AA103" s="29">
        <f>IF(AND(LEFT($B103,7)="SBA 26/",$C103&lt;&gt;"",$F103&lt;&gt;""),COUNTIFS($C$2:$C103,$C103,$B$2:$B103,"SBA 26/*",$F$2:$F103,"&lt;&gt;"),"")</f>
        <v>1</v>
      </c>
      <c r="AB103" s="29">
        <f>IF(AA103=1,COUNTIF($AA$2:AA103,1),"")</f>
        <v>80</v>
      </c>
    </row>
    <row r="104" spans="1:28" ht="63" customHeight="1" x14ac:dyDescent="0.2">
      <c r="A104" s="43" t="s">
        <v>612</v>
      </c>
      <c r="B104" s="43" t="s">
        <v>613</v>
      </c>
      <c r="C104" s="44" t="s">
        <v>100</v>
      </c>
      <c r="D104" s="44" t="s">
        <v>133</v>
      </c>
      <c r="E104" s="45" t="s">
        <v>614</v>
      </c>
      <c r="F104" s="45" t="s">
        <v>615</v>
      </c>
      <c r="G104" s="46" t="s">
        <v>39</v>
      </c>
      <c r="H104" s="48">
        <v>46044</v>
      </c>
      <c r="I104" s="48">
        <v>46057</v>
      </c>
      <c r="J104" s="44" t="s">
        <v>91</v>
      </c>
      <c r="K104" s="44" t="s">
        <v>76</v>
      </c>
      <c r="L104" s="50" t="s">
        <v>77</v>
      </c>
      <c r="M104" s="50"/>
      <c r="N104" s="50"/>
      <c r="O104" s="49"/>
      <c r="P104" s="50" t="str">
        <f t="shared" si="4"/>
        <v>ONAY</v>
      </c>
      <c r="R104" s="51" t="str">
        <f t="shared" si="5"/>
        <v/>
      </c>
      <c r="T104" s="41"/>
      <c r="U104" s="29">
        <f>IF($C104&lt;&gt;"",COUNTIF($C$2:C104,C104),"")</f>
        <v>1</v>
      </c>
      <c r="V104" s="29" t="str">
        <f t="shared" si="6"/>
        <v>Doç. Dr. Burcu ERSÖZ ALAN§1</v>
      </c>
      <c r="W104" s="29">
        <f>IF(U104=1,COUNTIF($U$2:U104,1),"")</f>
        <v>81</v>
      </c>
      <c r="X104" s="29">
        <f t="shared" si="7"/>
        <v>29</v>
      </c>
      <c r="Y104" s="29">
        <f>IF(AND(LEFT($B104,7)="SBA 26/",$D104&lt;&gt;"",$F104&lt;&gt;""),COUNTIFS($D$2:$D104,$D104,$B$2:$B104,"SBA 26/*",$F$2:$F104,"&lt;&gt;"),"")</f>
        <v>3</v>
      </c>
      <c r="Z104" s="29" t="str">
        <f>IF(Y104=1,COUNTIF($Y$2:Y104,1),"")</f>
        <v/>
      </c>
      <c r="AA104" s="29">
        <f>IF(AND(LEFT($B104,7)="SBA 26/",$C104&lt;&gt;"",$F104&lt;&gt;""),COUNTIFS($C$2:$C104,$C104,$B$2:$B104,"SBA 26/*",$F$2:$F104,"&lt;&gt;"),"")</f>
        <v>1</v>
      </c>
      <c r="AB104" s="29">
        <f>IF(AA104=1,COUNTIF($AA$2:AA104,1),"")</f>
        <v>81</v>
      </c>
    </row>
    <row r="105" spans="1:28" ht="97.5" customHeight="1" x14ac:dyDescent="0.2">
      <c r="A105" s="43" t="s">
        <v>616</v>
      </c>
      <c r="B105" s="43" t="s">
        <v>617</v>
      </c>
      <c r="C105" s="44" t="s">
        <v>618</v>
      </c>
      <c r="D105" s="44" t="s">
        <v>113</v>
      </c>
      <c r="E105" s="45" t="s">
        <v>619</v>
      </c>
      <c r="F105" s="45" t="s">
        <v>620</v>
      </c>
      <c r="G105" s="46" t="s">
        <v>38</v>
      </c>
      <c r="H105" s="48">
        <v>46044</v>
      </c>
      <c r="I105" s="48">
        <v>46057</v>
      </c>
      <c r="J105" s="44" t="s">
        <v>109</v>
      </c>
      <c r="K105" s="44" t="s">
        <v>84</v>
      </c>
      <c r="L105" s="50" t="s">
        <v>77</v>
      </c>
      <c r="M105" s="50"/>
      <c r="N105" s="50"/>
      <c r="O105" s="49"/>
      <c r="P105" s="50" t="str">
        <f t="shared" si="4"/>
        <v>ONAY</v>
      </c>
      <c r="R105" s="51" t="str">
        <f t="shared" si="5"/>
        <v/>
      </c>
      <c r="T105" s="41"/>
      <c r="U105" s="29">
        <f>IF($C105&lt;&gt;"",COUNTIF($C$2:C105,C105),"")</f>
        <v>1</v>
      </c>
      <c r="V105" s="29" t="str">
        <f t="shared" si="6"/>
        <v>Prof. Dr. Selçuk DAĞDELEN§1</v>
      </c>
      <c r="W105" s="29">
        <f>IF(U105=1,COUNTIF($U$2:U105,1),"")</f>
        <v>82</v>
      </c>
      <c r="X105" s="29">
        <f t="shared" si="7"/>
        <v>312</v>
      </c>
      <c r="Y105" s="29">
        <f>IF(AND(LEFT($B105,7)="SBA 26/",$D105&lt;&gt;"",$F105&lt;&gt;""),COUNTIFS($D$2:$D105,$D105,$B$2:$B105,"SBA 26/*",$F$2:$F105,"&lt;&gt;"),"")</f>
        <v>14</v>
      </c>
      <c r="Z105" s="29" t="str">
        <f>IF(Y105=1,COUNTIF($Y$2:Y105,1),"")</f>
        <v/>
      </c>
      <c r="AA105" s="29">
        <f>IF(AND(LEFT($B105,7)="SBA 26/",$C105&lt;&gt;"",$F105&lt;&gt;""),COUNTIFS($C$2:$C105,$C105,$B$2:$B105,"SBA 26/*",$F$2:$F105,"&lt;&gt;"),"")</f>
        <v>1</v>
      </c>
      <c r="AB105" s="29">
        <f>IF(AA105=1,COUNTIF($AA$2:AA105,1),"")</f>
        <v>82</v>
      </c>
    </row>
    <row r="106" spans="1:28" ht="78.75" customHeight="1" x14ac:dyDescent="0.2">
      <c r="A106" s="43" t="s">
        <v>621</v>
      </c>
      <c r="B106" s="43" t="s">
        <v>622</v>
      </c>
      <c r="C106" s="44" t="s">
        <v>623</v>
      </c>
      <c r="D106" s="44" t="s">
        <v>169</v>
      </c>
      <c r="E106" s="45" t="s">
        <v>624</v>
      </c>
      <c r="F106" s="45" t="s">
        <v>625</v>
      </c>
      <c r="G106" s="46" t="s">
        <v>38</v>
      </c>
      <c r="H106" s="48">
        <v>46044</v>
      </c>
      <c r="I106" s="48">
        <v>46057</v>
      </c>
      <c r="J106" s="44" t="s">
        <v>109</v>
      </c>
      <c r="K106" s="44" t="s">
        <v>75</v>
      </c>
      <c r="L106" s="50" t="s">
        <v>77</v>
      </c>
      <c r="M106" s="50"/>
      <c r="N106" s="50"/>
      <c r="O106" s="49"/>
      <c r="P106" s="50" t="str">
        <f t="shared" si="4"/>
        <v>ONAY</v>
      </c>
      <c r="R106" s="51" t="str">
        <f t="shared" si="5"/>
        <v/>
      </c>
      <c r="T106" s="41"/>
      <c r="U106" s="29">
        <f>IF($C106&lt;&gt;"",COUNTIF($C$2:C106,C106),"")</f>
        <v>1</v>
      </c>
      <c r="V106" s="29" t="str">
        <f t="shared" si="6"/>
        <v>Öğr. Gör. Dr. Aytekin İDİKUT§1</v>
      </c>
      <c r="W106" s="29">
        <f>IF(U106=1,COUNTIF($U$2:U106,1),"")</f>
        <v>83</v>
      </c>
      <c r="X106" s="29">
        <f t="shared" si="7"/>
        <v>175</v>
      </c>
      <c r="Y106" s="29">
        <f>IF(AND(LEFT($B106,7)="SBA 26/",$D106&lt;&gt;"",$F106&lt;&gt;""),COUNTIFS($D$2:$D106,$D106,$B$2:$B106,"SBA 26/*",$F$2:$F106,"&lt;&gt;"),"")</f>
        <v>6</v>
      </c>
      <c r="Z106" s="29" t="str">
        <f>IF(Y106=1,COUNTIF($Y$2:Y106,1),"")</f>
        <v/>
      </c>
      <c r="AA106" s="29">
        <f>IF(AND(LEFT($B106,7)="SBA 26/",$C106&lt;&gt;"",$F106&lt;&gt;""),COUNTIFS($C$2:$C106,$C106,$B$2:$B106,"SBA 26/*",$F$2:$F106,"&lt;&gt;"),"")</f>
        <v>1</v>
      </c>
      <c r="AB106" s="29">
        <f>IF(AA106=1,COUNTIF($AA$2:AA106,1),"")</f>
        <v>83</v>
      </c>
    </row>
    <row r="107" spans="1:28" ht="63" customHeight="1" x14ac:dyDescent="0.2">
      <c r="A107" s="43" t="s">
        <v>626</v>
      </c>
      <c r="B107" s="43" t="s">
        <v>627</v>
      </c>
      <c r="C107" s="44" t="s">
        <v>628</v>
      </c>
      <c r="D107" s="44" t="s">
        <v>228</v>
      </c>
      <c r="E107" s="45" t="s">
        <v>629</v>
      </c>
      <c r="F107" s="45" t="s">
        <v>630</v>
      </c>
      <c r="G107" s="46" t="s">
        <v>38</v>
      </c>
      <c r="H107" s="48">
        <v>46044</v>
      </c>
      <c r="I107" s="48">
        <v>46057</v>
      </c>
      <c r="J107" s="44" t="s">
        <v>100</v>
      </c>
      <c r="K107" s="44" t="s">
        <v>129</v>
      </c>
      <c r="L107" s="50" t="s">
        <v>77</v>
      </c>
      <c r="M107" s="50"/>
      <c r="N107" s="50"/>
      <c r="O107" s="49"/>
      <c r="P107" s="50" t="str">
        <f t="shared" si="4"/>
        <v>ONAY</v>
      </c>
      <c r="R107" s="51" t="str">
        <f t="shared" si="5"/>
        <v/>
      </c>
      <c r="T107" s="41"/>
      <c r="U107" s="29">
        <f>IF($C107&lt;&gt;"",COUNTIF($C$2:C107,C107),"")</f>
        <v>1</v>
      </c>
      <c r="V107" s="29" t="str">
        <f t="shared" si="6"/>
        <v>Dr. Öğr. Üyesi Murat ÇAĞAN§1</v>
      </c>
      <c r="W107" s="29">
        <f>IF(U107=1,COUNTIF($U$2:U107,1),"")</f>
        <v>84</v>
      </c>
      <c r="X107" s="29">
        <f t="shared" si="7"/>
        <v>153</v>
      </c>
      <c r="Y107" s="29">
        <f>IF(AND(LEFT($B107,7)="SBA 26/",$D107&lt;&gt;"",$F107&lt;&gt;""),COUNTIFS($D$2:$D107,$D107,$B$2:$B107,"SBA 26/*",$F$2:$F107,"&lt;&gt;"),"")</f>
        <v>3</v>
      </c>
      <c r="Z107" s="29" t="str">
        <f>IF(Y107=1,COUNTIF($Y$2:Y107,1),"")</f>
        <v/>
      </c>
      <c r="AA107" s="29">
        <f>IF(AND(LEFT($B107,7)="SBA 26/",$C107&lt;&gt;"",$F107&lt;&gt;""),COUNTIFS($C$2:$C107,$C107,$B$2:$B107,"SBA 26/*",$F$2:$F107,"&lt;&gt;"),"")</f>
        <v>1</v>
      </c>
      <c r="AB107" s="29">
        <f>IF(AA107=1,COUNTIF($AA$2:AA107,1),"")</f>
        <v>84</v>
      </c>
    </row>
    <row r="108" spans="1:28" ht="110.25" customHeight="1" x14ac:dyDescent="0.2">
      <c r="A108" s="43" t="s">
        <v>631</v>
      </c>
      <c r="B108" s="43" t="s">
        <v>632</v>
      </c>
      <c r="C108" s="44" t="s">
        <v>633</v>
      </c>
      <c r="D108" s="44" t="s">
        <v>228</v>
      </c>
      <c r="E108" s="45" t="s">
        <v>634</v>
      </c>
      <c r="F108" s="45" t="s">
        <v>635</v>
      </c>
      <c r="G108" s="46" t="s">
        <v>38</v>
      </c>
      <c r="H108" s="48">
        <v>46044</v>
      </c>
      <c r="I108" s="48">
        <v>46057</v>
      </c>
      <c r="J108" s="44" t="s">
        <v>75</v>
      </c>
      <c r="K108" s="44" t="s">
        <v>76</v>
      </c>
      <c r="L108" s="50" t="s">
        <v>101</v>
      </c>
      <c r="M108" s="50" t="s">
        <v>77</v>
      </c>
      <c r="N108" s="50"/>
      <c r="O108" s="49"/>
      <c r="P108" s="50" t="str">
        <f t="shared" si="4"/>
        <v>ONAY</v>
      </c>
      <c r="Q108" s="28" t="s">
        <v>75</v>
      </c>
      <c r="R108" s="51" t="str">
        <f t="shared" si="5"/>
        <v/>
      </c>
      <c r="T108" s="41"/>
      <c r="U108" s="29">
        <f>IF($C108&lt;&gt;"",COUNTIF($C$2:C108,C108),"")</f>
        <v>1</v>
      </c>
      <c r="V108" s="29" t="str">
        <f t="shared" si="6"/>
        <v>Doç. Dr. Utku AKGÖR§1</v>
      </c>
      <c r="W108" s="29">
        <f>IF(U108=1,COUNTIF($U$2:U108,1),"")</f>
        <v>85</v>
      </c>
      <c r="X108" s="29">
        <f t="shared" si="7"/>
        <v>106</v>
      </c>
      <c r="Y108" s="29">
        <f>IF(AND(LEFT($B108,7)="SBA 26/",$D108&lt;&gt;"",$F108&lt;&gt;""),COUNTIFS($D$2:$D108,$D108,$B$2:$B108,"SBA 26/*",$F$2:$F108,"&lt;&gt;"),"")</f>
        <v>4</v>
      </c>
      <c r="Z108" s="29" t="str">
        <f>IF(Y108=1,COUNTIF($Y$2:Y108,1),"")</f>
        <v/>
      </c>
      <c r="AA108" s="29">
        <f>IF(AND(LEFT($B108,7)="SBA 26/",$C108&lt;&gt;"",$F108&lt;&gt;""),COUNTIFS($C$2:$C108,$C108,$B$2:$B108,"SBA 26/*",$F$2:$F108,"&lt;&gt;"),"")</f>
        <v>1</v>
      </c>
      <c r="AB108" s="29">
        <f>IF(AA108=1,COUNTIF($AA$2:AA108,1),"")</f>
        <v>85</v>
      </c>
    </row>
    <row r="109" spans="1:28" ht="78.75" customHeight="1" x14ac:dyDescent="0.2">
      <c r="A109" s="43" t="s">
        <v>636</v>
      </c>
      <c r="B109" s="43" t="s">
        <v>637</v>
      </c>
      <c r="C109" s="44" t="s">
        <v>638</v>
      </c>
      <c r="D109" s="44" t="s">
        <v>484</v>
      </c>
      <c r="E109" s="45" t="s">
        <v>639</v>
      </c>
      <c r="F109" s="45" t="s">
        <v>640</v>
      </c>
      <c r="G109" s="46" t="s">
        <v>38</v>
      </c>
      <c r="H109" s="48">
        <v>46044</v>
      </c>
      <c r="I109" s="48">
        <v>46057</v>
      </c>
      <c r="J109" s="44" t="s">
        <v>123</v>
      </c>
      <c r="K109" s="44" t="s">
        <v>100</v>
      </c>
      <c r="L109" s="50" t="s">
        <v>77</v>
      </c>
      <c r="M109" s="50"/>
      <c r="N109" s="50"/>
      <c r="O109" s="49"/>
      <c r="P109" s="50" t="str">
        <f t="shared" si="4"/>
        <v>ONAY</v>
      </c>
      <c r="R109" s="51" t="str">
        <f t="shared" si="5"/>
        <v/>
      </c>
      <c r="T109" s="41"/>
      <c r="U109" s="29">
        <f>IF($C109&lt;&gt;"",COUNTIF($C$2:C109,C109),"")</f>
        <v>1</v>
      </c>
      <c r="V109" s="29" t="str">
        <f t="shared" si="6"/>
        <v>Arş. Gör. Dt. Dilara KARA§1</v>
      </c>
      <c r="W109" s="29">
        <f>IF(U109=1,COUNTIF($U$2:U109,1),"")</f>
        <v>86</v>
      </c>
      <c r="X109" s="29">
        <f t="shared" si="7"/>
        <v>14</v>
      </c>
      <c r="Y109" s="29">
        <f>IF(AND(LEFT($B109,7)="SBA 26/",$D109&lt;&gt;"",$F109&lt;&gt;""),COUNTIFS($D$2:$D109,$D109,$B$2:$B109,"SBA 26/*",$F$2:$F109,"&lt;&gt;"),"")</f>
        <v>2</v>
      </c>
      <c r="Z109" s="29" t="str">
        <f>IF(Y109=1,COUNTIF($Y$2:Y109,1),"")</f>
        <v/>
      </c>
      <c r="AA109" s="29">
        <f>IF(AND(LEFT($B109,7)="SBA 26/",$C109&lt;&gt;"",$F109&lt;&gt;""),COUNTIFS($C$2:$C109,$C109,$B$2:$B109,"SBA 26/*",$F$2:$F109,"&lt;&gt;"),"")</f>
        <v>1</v>
      </c>
      <c r="AB109" s="29">
        <f>IF(AA109=1,COUNTIF($AA$2:AA109,1),"")</f>
        <v>86</v>
      </c>
    </row>
    <row r="110" spans="1:28" ht="78.75" customHeight="1" x14ac:dyDescent="0.2">
      <c r="A110" s="43" t="s">
        <v>641</v>
      </c>
      <c r="B110" s="43" t="s">
        <v>642</v>
      </c>
      <c r="C110" s="44" t="s">
        <v>643</v>
      </c>
      <c r="D110" s="44" t="s">
        <v>222</v>
      </c>
      <c r="E110" s="45" t="s">
        <v>644</v>
      </c>
      <c r="F110" s="45" t="s">
        <v>645</v>
      </c>
      <c r="G110" s="46" t="s">
        <v>38</v>
      </c>
      <c r="H110" s="48">
        <v>46044</v>
      </c>
      <c r="I110" s="48">
        <v>46057</v>
      </c>
      <c r="J110" s="44" t="s">
        <v>76</v>
      </c>
      <c r="K110" s="44" t="s">
        <v>84</v>
      </c>
      <c r="L110" s="50" t="s">
        <v>77</v>
      </c>
      <c r="M110" s="50"/>
      <c r="N110" s="50"/>
      <c r="O110" s="49"/>
      <c r="P110" s="50" t="str">
        <f t="shared" si="4"/>
        <v>ONAY</v>
      </c>
      <c r="R110" s="51" t="str">
        <f t="shared" si="5"/>
        <v/>
      </c>
      <c r="T110" s="41"/>
      <c r="U110" s="29">
        <f>IF($C110&lt;&gt;"",COUNTIF($C$2:C110,C110),"")</f>
        <v>1</v>
      </c>
      <c r="V110" s="29" t="str">
        <f t="shared" si="6"/>
        <v>Arş. Gör. Dr. Sebiha Şükran GÜNDEŞLİ§1</v>
      </c>
      <c r="W110" s="29">
        <f>IF(U110=1,COUNTIF($U$2:U110,1),"")</f>
        <v>87</v>
      </c>
      <c r="X110" s="29">
        <f t="shared" si="7"/>
        <v>9</v>
      </c>
      <c r="Y110" s="29">
        <f>IF(AND(LEFT($B110,7)="SBA 26/",$D110&lt;&gt;"",$F110&lt;&gt;""),COUNTIFS($D$2:$D110,$D110,$B$2:$B110,"SBA 26/*",$F$2:$F110,"&lt;&gt;"),"")</f>
        <v>15</v>
      </c>
      <c r="Z110" s="29" t="str">
        <f>IF(Y110=1,COUNTIF($Y$2:Y110,1),"")</f>
        <v/>
      </c>
      <c r="AA110" s="29">
        <f>IF(AND(LEFT($B110,7)="SBA 26/",$C110&lt;&gt;"",$F110&lt;&gt;""),COUNTIFS($C$2:$C110,$C110,$B$2:$B110,"SBA 26/*",$F$2:$F110,"&lt;&gt;"),"")</f>
        <v>1</v>
      </c>
      <c r="AB110" s="29">
        <f>IF(AA110=1,COUNTIF($AA$2:AA110,1),"")</f>
        <v>87</v>
      </c>
    </row>
    <row r="111" spans="1:28" ht="81.75" customHeight="1" x14ac:dyDescent="0.2">
      <c r="A111" s="43" t="s">
        <v>646</v>
      </c>
      <c r="B111" s="43" t="s">
        <v>647</v>
      </c>
      <c r="C111" s="44" t="s">
        <v>396</v>
      </c>
      <c r="D111" s="44" t="s">
        <v>397</v>
      </c>
      <c r="E111" s="45" t="s">
        <v>648</v>
      </c>
      <c r="F111" s="45" t="s">
        <v>649</v>
      </c>
      <c r="G111" s="46" t="s">
        <v>38</v>
      </c>
      <c r="H111" s="48">
        <v>46044</v>
      </c>
      <c r="I111" s="48">
        <v>46057</v>
      </c>
      <c r="J111" s="44" t="s">
        <v>84</v>
      </c>
      <c r="K111" s="44" t="s">
        <v>123</v>
      </c>
      <c r="L111" s="50" t="s">
        <v>77</v>
      </c>
      <c r="M111" s="50"/>
      <c r="N111" s="50"/>
      <c r="O111" s="49"/>
      <c r="P111" s="50" t="str">
        <f t="shared" si="4"/>
        <v>ONAY</v>
      </c>
      <c r="R111" s="51" t="str">
        <f t="shared" si="5"/>
        <v/>
      </c>
      <c r="T111" s="41"/>
      <c r="U111" s="29">
        <f>IF($C111&lt;&gt;"",COUNTIF($C$2:C111,C111),"")</f>
        <v>3</v>
      </c>
      <c r="V111" s="29" t="str">
        <f t="shared" si="6"/>
        <v>Prof. Dr. Salih Kutay DEMİRKAN§3</v>
      </c>
      <c r="W111" s="29" t="str">
        <f>IF(U111=1,COUNTIF($U$2:U111,1),"")</f>
        <v/>
      </c>
      <c r="X111" s="29" t="str">
        <f t="shared" si="7"/>
        <v/>
      </c>
      <c r="Y111" s="29">
        <f>IF(AND(LEFT($B111,7)="SBA 26/",$D111&lt;&gt;"",$F111&lt;&gt;""),COUNTIFS($D$2:$D111,$D111,$B$2:$B111,"SBA 26/*",$F$2:$F111,"&lt;&gt;"),"")</f>
        <v>5</v>
      </c>
      <c r="Z111" s="29" t="str">
        <f>IF(Y111=1,COUNTIF($Y$2:Y111,1),"")</f>
        <v/>
      </c>
      <c r="AA111" s="29">
        <f>IF(AND(LEFT($B111,7)="SBA 26/",$C111&lt;&gt;"",$F111&lt;&gt;""),COUNTIFS($C$2:$C111,$C111,$B$2:$B111,"SBA 26/*",$F$2:$F111,"&lt;&gt;"),"")</f>
        <v>3</v>
      </c>
      <c r="AB111" s="29" t="str">
        <f>IF(AA111=1,COUNTIF($AA$2:AA111,1),"")</f>
        <v/>
      </c>
    </row>
    <row r="112" spans="1:28" ht="94.5" customHeight="1" x14ac:dyDescent="0.2">
      <c r="A112" s="43" t="s">
        <v>650</v>
      </c>
      <c r="B112" s="43" t="s">
        <v>651</v>
      </c>
      <c r="C112" s="44" t="s">
        <v>652</v>
      </c>
      <c r="D112" s="44" t="s">
        <v>364</v>
      </c>
      <c r="E112" s="45" t="s">
        <v>653</v>
      </c>
      <c r="F112" s="45" t="s">
        <v>654</v>
      </c>
      <c r="G112" s="46" t="s">
        <v>38</v>
      </c>
      <c r="H112" s="48">
        <v>46044</v>
      </c>
      <c r="I112" s="48">
        <v>46057</v>
      </c>
      <c r="J112" s="44" t="s">
        <v>76</v>
      </c>
      <c r="K112" s="44" t="s">
        <v>100</v>
      </c>
      <c r="L112" s="50" t="s">
        <v>101</v>
      </c>
      <c r="M112" s="50" t="s">
        <v>77</v>
      </c>
      <c r="N112" s="50"/>
      <c r="O112" s="49"/>
      <c r="P112" s="50" t="str">
        <f t="shared" si="4"/>
        <v>ONAY</v>
      </c>
      <c r="Q112" s="28" t="s">
        <v>100</v>
      </c>
      <c r="R112" s="51" t="str">
        <f t="shared" si="5"/>
        <v/>
      </c>
      <c r="T112" s="41"/>
      <c r="U112" s="29">
        <f>IF($C112&lt;&gt;"",COUNTIF($C$2:C112,C112),"")</f>
        <v>1</v>
      </c>
      <c r="V112" s="29" t="str">
        <f t="shared" si="6"/>
        <v>Prof. Dr. Çağrı Mesut TEMUÇİN§1</v>
      </c>
      <c r="W112" s="29">
        <f>IF(U112=1,COUNTIF($U$2:U112,1),"")</f>
        <v>88</v>
      </c>
      <c r="X112" s="29">
        <f t="shared" si="7"/>
        <v>214</v>
      </c>
      <c r="Y112" s="29">
        <f>IF(AND(LEFT($B112,7)="SBA 26/",$D112&lt;&gt;"",$F112&lt;&gt;""),COUNTIFS($D$2:$D112,$D112,$B$2:$B112,"SBA 26/*",$F$2:$F112,"&lt;&gt;"),"")</f>
        <v>4</v>
      </c>
      <c r="Z112" s="29" t="str">
        <f>IF(Y112=1,COUNTIF($Y$2:Y112,1),"")</f>
        <v/>
      </c>
      <c r="AA112" s="29">
        <f>IF(AND(LEFT($B112,7)="SBA 26/",$C112&lt;&gt;"",$F112&lt;&gt;""),COUNTIFS($C$2:$C112,$C112,$B$2:$B112,"SBA 26/*",$F$2:$F112,"&lt;&gt;"),"")</f>
        <v>1</v>
      </c>
      <c r="AB112" s="29">
        <f>IF(AA112=1,COUNTIF($AA$2:AA112,1),"")</f>
        <v>88</v>
      </c>
    </row>
    <row r="113" spans="1:28" ht="63" customHeight="1" x14ac:dyDescent="0.2">
      <c r="A113" s="43" t="s">
        <v>655</v>
      </c>
      <c r="B113" s="43" t="s">
        <v>656</v>
      </c>
      <c r="C113" s="44" t="s">
        <v>657</v>
      </c>
      <c r="D113" s="44" t="s">
        <v>297</v>
      </c>
      <c r="E113" s="45" t="s">
        <v>658</v>
      </c>
      <c r="F113" s="45" t="s">
        <v>659</v>
      </c>
      <c r="G113" s="46" t="s">
        <v>38</v>
      </c>
      <c r="H113" s="48">
        <v>46044</v>
      </c>
      <c r="I113" s="48">
        <v>46057</v>
      </c>
      <c r="J113" s="44" t="s">
        <v>123</v>
      </c>
      <c r="K113" s="44" t="s">
        <v>129</v>
      </c>
      <c r="L113" s="50" t="s">
        <v>77</v>
      </c>
      <c r="M113" s="50"/>
      <c r="N113" s="50"/>
      <c r="O113" s="49"/>
      <c r="P113" s="50" t="str">
        <f t="shared" si="4"/>
        <v>ONAY</v>
      </c>
      <c r="R113" s="51" t="str">
        <f t="shared" si="5"/>
        <v/>
      </c>
      <c r="T113" s="41"/>
      <c r="U113" s="29">
        <f>IF($C113&lt;&gt;"",COUNTIF($C$2:C113,C113),"")</f>
        <v>1</v>
      </c>
      <c r="V113" s="29" t="str">
        <f t="shared" si="6"/>
        <v>Dr. Öğr. Üyesi Irmak OCAK§1</v>
      </c>
      <c r="W113" s="29">
        <f>IF(U113=1,COUNTIF($U$2:U113,1),"")</f>
        <v>89</v>
      </c>
      <c r="X113" s="29">
        <f t="shared" si="7"/>
        <v>149</v>
      </c>
      <c r="Y113" s="29">
        <f>IF(AND(LEFT($B113,7)="SBA 26/",$D113&lt;&gt;"",$F113&lt;&gt;""),COUNTIFS($D$2:$D113,$D113,$B$2:$B113,"SBA 26/*",$F$2:$F113,"&lt;&gt;"),"")</f>
        <v>3</v>
      </c>
      <c r="Z113" s="29" t="str">
        <f>IF(Y113=1,COUNTIF($Y$2:Y113,1),"")</f>
        <v/>
      </c>
      <c r="AA113" s="29">
        <f>IF(AND(LEFT($B113,7)="SBA 26/",$C113&lt;&gt;"",$F113&lt;&gt;""),COUNTIFS($C$2:$C113,$C113,$B$2:$B113,"SBA 26/*",$F$2:$F113,"&lt;&gt;"),"")</f>
        <v>1</v>
      </c>
      <c r="AB113" s="29">
        <f>IF(AA113=1,COUNTIF($AA$2:AA113,1),"")</f>
        <v>89</v>
      </c>
    </row>
    <row r="114" spans="1:28" ht="78.75" customHeight="1" x14ac:dyDescent="0.2">
      <c r="A114" s="43" t="s">
        <v>660</v>
      </c>
      <c r="B114" s="43" t="s">
        <v>661</v>
      </c>
      <c r="C114" s="44" t="s">
        <v>116</v>
      </c>
      <c r="D114" s="44" t="s">
        <v>662</v>
      </c>
      <c r="E114" s="45" t="s">
        <v>663</v>
      </c>
      <c r="F114" s="45" t="s">
        <v>664</v>
      </c>
      <c r="G114" s="46" t="s">
        <v>41</v>
      </c>
      <c r="H114" s="48">
        <v>46044</v>
      </c>
      <c r="I114" s="48">
        <v>46057</v>
      </c>
      <c r="J114" s="44" t="s">
        <v>75</v>
      </c>
      <c r="K114" s="44" t="s">
        <v>129</v>
      </c>
      <c r="L114" s="50" t="s">
        <v>101</v>
      </c>
      <c r="M114" s="50" t="s">
        <v>77</v>
      </c>
      <c r="N114" s="50"/>
      <c r="O114" s="49"/>
      <c r="P114" s="50" t="str">
        <f t="shared" si="4"/>
        <v>ONAY</v>
      </c>
      <c r="Q114" s="28" t="s">
        <v>75</v>
      </c>
      <c r="R114" s="51" t="str">
        <f t="shared" si="5"/>
        <v/>
      </c>
      <c r="T114" s="41"/>
      <c r="U114" s="29">
        <f>IF($C114&lt;&gt;"",COUNTIF($C$2:C114,C114),"")</f>
        <v>1</v>
      </c>
      <c r="V114" s="29" t="str">
        <f t="shared" si="6"/>
        <v>Prof. Dr. Ayşe KİN İŞLER§1</v>
      </c>
      <c r="W114" s="29">
        <f>IF(U114=1,COUNTIF($U$2:U114,1),"")</f>
        <v>90</v>
      </c>
      <c r="X114" s="29">
        <f t="shared" si="7"/>
        <v>198</v>
      </c>
      <c r="Y114" s="29">
        <f>IF(AND(LEFT($B114,7)="SBA 26/",$D114&lt;&gt;"",$F114&lt;&gt;""),COUNTIFS($D$2:$D114,$D114,$B$2:$B114,"SBA 26/*",$F$2:$F114,"&lt;&gt;"),"")</f>
        <v>1</v>
      </c>
      <c r="Z114" s="29">
        <f>IF(Y114=1,COUNTIF($Y$2:Y114,1),"")</f>
        <v>43</v>
      </c>
      <c r="AA114" s="29">
        <f>IF(AND(LEFT($B114,7)="SBA 26/",$C114&lt;&gt;"",$F114&lt;&gt;""),COUNTIFS($C$2:$C114,$C114,$B$2:$B114,"SBA 26/*",$F$2:$F114,"&lt;&gt;"),"")</f>
        <v>1</v>
      </c>
      <c r="AB114" s="29">
        <f>IF(AA114=1,COUNTIF($AA$2:AA114,1),"")</f>
        <v>90</v>
      </c>
    </row>
    <row r="115" spans="1:28" ht="110.25" customHeight="1" x14ac:dyDescent="0.2">
      <c r="A115" s="43" t="s">
        <v>665</v>
      </c>
      <c r="B115" s="43" t="s">
        <v>666</v>
      </c>
      <c r="C115" s="44" t="s">
        <v>260</v>
      </c>
      <c r="D115" s="44" t="s">
        <v>169</v>
      </c>
      <c r="E115" s="45" t="s">
        <v>667</v>
      </c>
      <c r="F115" s="45" t="s">
        <v>668</v>
      </c>
      <c r="G115" s="46" t="s">
        <v>38</v>
      </c>
      <c r="H115" s="48">
        <v>46044</v>
      </c>
      <c r="I115" s="48">
        <v>46057</v>
      </c>
      <c r="J115" s="44" t="s">
        <v>91</v>
      </c>
      <c r="K115" s="44" t="s">
        <v>100</v>
      </c>
      <c r="L115" s="50" t="s">
        <v>77</v>
      </c>
      <c r="M115" s="50"/>
      <c r="N115" s="50"/>
      <c r="O115" s="49"/>
      <c r="P115" s="50" t="str">
        <f t="shared" si="4"/>
        <v>ONAY</v>
      </c>
      <c r="R115" s="51" t="str">
        <f t="shared" si="5"/>
        <v/>
      </c>
      <c r="T115" s="41"/>
      <c r="U115" s="29">
        <f>IF($C115&lt;&gt;"",COUNTIF($C$2:C115,C115),"")</f>
        <v>2</v>
      </c>
      <c r="V115" s="29" t="str">
        <f t="shared" si="6"/>
        <v>Prof. Dr. Ebru DAMADOĞLU§2</v>
      </c>
      <c r="W115" s="29" t="str">
        <f>IF(U115=1,COUNTIF($U$2:U115,1),"")</f>
        <v/>
      </c>
      <c r="X115" s="29" t="str">
        <f t="shared" si="7"/>
        <v/>
      </c>
      <c r="Y115" s="29">
        <f>IF(AND(LEFT($B115,7)="SBA 26/",$D115&lt;&gt;"",$F115&lt;&gt;""),COUNTIFS($D$2:$D115,$D115,$B$2:$B115,"SBA 26/*",$F$2:$F115,"&lt;&gt;"),"")</f>
        <v>7</v>
      </c>
      <c r="Z115" s="29" t="str">
        <f>IF(Y115=1,COUNTIF($Y$2:Y115,1),"")</f>
        <v/>
      </c>
      <c r="AA115" s="29">
        <f>IF(AND(LEFT($B115,7)="SBA 26/",$C115&lt;&gt;"",$F115&lt;&gt;""),COUNTIFS($C$2:$C115,$C115,$B$2:$B115,"SBA 26/*",$F$2:$F115,"&lt;&gt;"),"")</f>
        <v>2</v>
      </c>
      <c r="AB115" s="29" t="str">
        <f>IF(AA115=1,COUNTIF($AA$2:AA115,1),"")</f>
        <v/>
      </c>
    </row>
    <row r="116" spans="1:28" ht="63" customHeight="1" x14ac:dyDescent="0.2">
      <c r="A116" s="43" t="s">
        <v>669</v>
      </c>
      <c r="B116" s="43" t="s">
        <v>670</v>
      </c>
      <c r="C116" s="44" t="s">
        <v>671</v>
      </c>
      <c r="D116" s="44" t="s">
        <v>347</v>
      </c>
      <c r="E116" s="45" t="s">
        <v>672</v>
      </c>
      <c r="F116" s="45" t="s">
        <v>673</v>
      </c>
      <c r="G116" s="46" t="s">
        <v>39</v>
      </c>
      <c r="H116" s="48">
        <v>46044</v>
      </c>
      <c r="I116" s="48">
        <v>46057</v>
      </c>
      <c r="J116" s="44" t="s">
        <v>91</v>
      </c>
      <c r="K116" s="44" t="s">
        <v>109</v>
      </c>
      <c r="L116" s="50" t="s">
        <v>101</v>
      </c>
      <c r="M116" s="50"/>
      <c r="N116" s="50"/>
      <c r="O116" s="49"/>
      <c r="P116" s="50" t="str">
        <f t="shared" si="4"/>
        <v>DÜZELTME</v>
      </c>
      <c r="R116" s="51" t="str">
        <f t="shared" si="5"/>
        <v/>
      </c>
      <c r="T116" s="41"/>
      <c r="U116" s="29">
        <f>IF($C116&lt;&gt;"",COUNTIF($C$2:C116,C116),"")</f>
        <v>1</v>
      </c>
      <c r="V116" s="29" t="str">
        <f t="shared" si="6"/>
        <v>Prof. Dr. Alp ÇETİN§1</v>
      </c>
      <c r="W116" s="29">
        <f>IF(U116=1,COUNTIF($U$2:U116,1),"")</f>
        <v>91</v>
      </c>
      <c r="X116" s="29">
        <f t="shared" si="7"/>
        <v>193</v>
      </c>
      <c r="Y116" s="29">
        <f>IF(AND(LEFT($B116,7)="SBA 26/",$D116&lt;&gt;"",$F116&lt;&gt;""),COUNTIFS($D$2:$D116,$D116,$B$2:$B116,"SBA 26/*",$F$2:$F116,"&lt;&gt;"),"")</f>
        <v>2</v>
      </c>
      <c r="Z116" s="29" t="str">
        <f>IF(Y116=1,COUNTIF($Y$2:Y116,1),"")</f>
        <v/>
      </c>
      <c r="AA116" s="29">
        <f>IF(AND(LEFT($B116,7)="SBA 26/",$C116&lt;&gt;"",$F116&lt;&gt;""),COUNTIFS($C$2:$C116,$C116,$B$2:$B116,"SBA 26/*",$F$2:$F116,"&lt;&gt;"),"")</f>
        <v>1</v>
      </c>
      <c r="AB116" s="29">
        <f>IF(AA116=1,COUNTIF($AA$2:AA116,1),"")</f>
        <v>91</v>
      </c>
    </row>
    <row r="117" spans="1:28" ht="78.75" customHeight="1" x14ac:dyDescent="0.2">
      <c r="A117" s="43" t="s">
        <v>674</v>
      </c>
      <c r="B117" s="43" t="s">
        <v>675</v>
      </c>
      <c r="C117" s="44" t="s">
        <v>676</v>
      </c>
      <c r="D117" s="44" t="s">
        <v>270</v>
      </c>
      <c r="E117" s="45" t="s">
        <v>677</v>
      </c>
      <c r="F117" s="45" t="s">
        <v>678</v>
      </c>
      <c r="G117" s="46" t="s">
        <v>41</v>
      </c>
      <c r="H117" s="48">
        <v>46044</v>
      </c>
      <c r="I117" s="48">
        <v>46057</v>
      </c>
      <c r="J117" s="44" t="s">
        <v>75</v>
      </c>
      <c r="K117" s="44" t="s">
        <v>100</v>
      </c>
      <c r="L117" s="50" t="s">
        <v>77</v>
      </c>
      <c r="M117" s="50"/>
      <c r="N117" s="50"/>
      <c r="O117" s="49"/>
      <c r="P117" s="50" t="str">
        <f t="shared" si="4"/>
        <v>ONAY</v>
      </c>
      <c r="R117" s="51" t="str">
        <f t="shared" si="5"/>
        <v/>
      </c>
      <c r="T117" s="41"/>
      <c r="U117" s="29">
        <f>IF($C117&lt;&gt;"",COUNTIF($C$2:C117,C117),"")</f>
        <v>1</v>
      </c>
      <c r="V117" s="29" t="str">
        <f t="shared" si="6"/>
        <v>Doç. Dr. Ceren GÜNENÇ BEŞER§1</v>
      </c>
      <c r="W117" s="29">
        <f>IF(U117=1,COUNTIF($U$2:U117,1),"")</f>
        <v>92</v>
      </c>
      <c r="X117" s="29">
        <f t="shared" si="7"/>
        <v>36</v>
      </c>
      <c r="Y117" s="29">
        <f>IF(AND(LEFT($B117,7)="SBA 26/",$D117&lt;&gt;"",$F117&lt;&gt;""),COUNTIFS($D$2:$D117,$D117,$B$2:$B117,"SBA 26/*",$F$2:$F117,"&lt;&gt;"),"")</f>
        <v>3</v>
      </c>
      <c r="Z117" s="29" t="str">
        <f>IF(Y117=1,COUNTIF($Y$2:Y117,1),"")</f>
        <v/>
      </c>
      <c r="AA117" s="29">
        <f>IF(AND(LEFT($B117,7)="SBA 26/",$C117&lt;&gt;"",$F117&lt;&gt;""),COUNTIFS($C$2:$C117,$C117,$B$2:$B117,"SBA 26/*",$F$2:$F117,"&lt;&gt;"),"")</f>
        <v>1</v>
      </c>
      <c r="AB117" s="29">
        <f>IF(AA117=1,COUNTIF($AA$2:AA117,1),"")</f>
        <v>92</v>
      </c>
    </row>
    <row r="118" spans="1:28" ht="63" customHeight="1" x14ac:dyDescent="0.2">
      <c r="A118" s="43" t="s">
        <v>679</v>
      </c>
      <c r="B118" s="43" t="s">
        <v>680</v>
      </c>
      <c r="C118" s="44" t="s">
        <v>681</v>
      </c>
      <c r="D118" s="44" t="s">
        <v>113</v>
      </c>
      <c r="E118" s="45" t="s">
        <v>682</v>
      </c>
      <c r="F118" s="45" t="s">
        <v>683</v>
      </c>
      <c r="G118" s="46" t="s">
        <v>38</v>
      </c>
      <c r="H118" s="48">
        <v>46044</v>
      </c>
      <c r="I118" s="48">
        <v>46057</v>
      </c>
      <c r="J118" s="44" t="s">
        <v>109</v>
      </c>
      <c r="K118" s="44" t="s">
        <v>129</v>
      </c>
      <c r="L118" s="50" t="s">
        <v>101</v>
      </c>
      <c r="M118" s="50" t="s">
        <v>77</v>
      </c>
      <c r="N118" s="50"/>
      <c r="O118" s="49"/>
      <c r="P118" s="50" t="str">
        <f t="shared" si="4"/>
        <v>ONAY</v>
      </c>
      <c r="Q118" s="28" t="s">
        <v>129</v>
      </c>
      <c r="R118" s="51" t="str">
        <f t="shared" si="5"/>
        <v/>
      </c>
      <c r="T118" s="41"/>
      <c r="U118" s="29">
        <f>IF($C118&lt;&gt;"",COUNTIF($C$2:C118,C118),"")</f>
        <v>1</v>
      </c>
      <c r="V118" s="29" t="str">
        <f t="shared" si="6"/>
        <v>Prof. Dr. Hatice Yasemin BALABAN§1</v>
      </c>
      <c r="W118" s="29">
        <f>IF(U118=1,COUNTIF($U$2:U118,1),"")</f>
        <v>93</v>
      </c>
      <c r="X118" s="29">
        <f t="shared" si="7"/>
        <v>249</v>
      </c>
      <c r="Y118" s="29">
        <f>IF(AND(LEFT($B118,7)="SBA 26/",$D118&lt;&gt;"",$F118&lt;&gt;""),COUNTIFS($D$2:$D118,$D118,$B$2:$B118,"SBA 26/*",$F$2:$F118,"&lt;&gt;"),"")</f>
        <v>15</v>
      </c>
      <c r="Z118" s="29" t="str">
        <f>IF(Y118=1,COUNTIF($Y$2:Y118,1),"")</f>
        <v/>
      </c>
      <c r="AA118" s="29">
        <f>IF(AND(LEFT($B118,7)="SBA 26/",$C118&lt;&gt;"",$F118&lt;&gt;""),COUNTIFS($C$2:$C118,$C118,$B$2:$B118,"SBA 26/*",$F$2:$F118,"&lt;&gt;"),"")</f>
        <v>1</v>
      </c>
      <c r="AB118" s="29">
        <f>IF(AA118=1,COUNTIF($AA$2:AA118,1),"")</f>
        <v>93</v>
      </c>
    </row>
    <row r="119" spans="1:28" ht="94.5" customHeight="1" x14ac:dyDescent="0.2">
      <c r="A119" s="43" t="s">
        <v>684</v>
      </c>
      <c r="B119" s="43" t="s">
        <v>685</v>
      </c>
      <c r="C119" s="44" t="s">
        <v>686</v>
      </c>
      <c r="D119" s="44" t="s">
        <v>687</v>
      </c>
      <c r="E119" s="45" t="s">
        <v>688</v>
      </c>
      <c r="F119" s="45" t="s">
        <v>689</v>
      </c>
      <c r="G119" s="46" t="s">
        <v>38</v>
      </c>
      <c r="H119" s="48">
        <v>46045</v>
      </c>
      <c r="I119" s="48">
        <v>46057</v>
      </c>
      <c r="J119" s="44" t="s">
        <v>75</v>
      </c>
      <c r="K119" s="44" t="s">
        <v>91</v>
      </c>
      <c r="L119" s="50" t="s">
        <v>101</v>
      </c>
      <c r="M119" s="50" t="s">
        <v>77</v>
      </c>
      <c r="N119" s="50"/>
      <c r="O119" s="49"/>
      <c r="P119" s="50" t="str">
        <f t="shared" si="4"/>
        <v>ONAY</v>
      </c>
      <c r="Q119" s="28" t="s">
        <v>91</v>
      </c>
      <c r="R119" s="51" t="str">
        <f t="shared" si="5"/>
        <v/>
      </c>
      <c r="T119" s="41"/>
      <c r="U119" s="29">
        <f>IF($C119&lt;&gt;"",COUNTIF($C$2:C119,C119),"")</f>
        <v>1</v>
      </c>
      <c r="V119" s="29" t="str">
        <f t="shared" si="6"/>
        <v>Doç. Dr. Serra ÖRSTEN§1</v>
      </c>
      <c r="W119" s="29">
        <f>IF(U119=1,COUNTIF($U$2:U119,1),"")</f>
        <v>94</v>
      </c>
      <c r="X119" s="29">
        <f t="shared" si="7"/>
        <v>98</v>
      </c>
      <c r="Y119" s="29">
        <f>IF(AND(LEFT($B119,7)="SBA 26/",$D119&lt;&gt;"",$F119&lt;&gt;""),COUNTIFS($D$2:$D119,$D119,$B$2:$B119,"SBA 26/*",$F$2:$F119,"&lt;&gt;"),"")</f>
        <v>1</v>
      </c>
      <c r="Z119" s="29">
        <f>IF(Y119=1,COUNTIF($Y$2:Y119,1),"")</f>
        <v>44</v>
      </c>
      <c r="AA119" s="29">
        <f>IF(AND(LEFT($B119,7)="SBA 26/",$C119&lt;&gt;"",$F119&lt;&gt;""),COUNTIFS($C$2:$C119,$C119,$B$2:$B119,"SBA 26/*",$F$2:$F119,"&lt;&gt;"),"")</f>
        <v>1</v>
      </c>
      <c r="AB119" s="29">
        <f>IF(AA119=1,COUNTIF($AA$2:AA119,1),"")</f>
        <v>94</v>
      </c>
    </row>
    <row r="120" spans="1:28" ht="63" customHeight="1" x14ac:dyDescent="0.2">
      <c r="A120" s="43" t="s">
        <v>690</v>
      </c>
      <c r="B120" s="43" t="s">
        <v>691</v>
      </c>
      <c r="C120" s="44" t="s">
        <v>692</v>
      </c>
      <c r="D120" s="44" t="s">
        <v>270</v>
      </c>
      <c r="E120" s="45" t="s">
        <v>693</v>
      </c>
      <c r="F120" s="45" t="s">
        <v>694</v>
      </c>
      <c r="G120" s="46" t="s">
        <v>38</v>
      </c>
      <c r="H120" s="48">
        <v>46045</v>
      </c>
      <c r="I120" s="48">
        <v>46057</v>
      </c>
      <c r="J120" s="44" t="s">
        <v>75</v>
      </c>
      <c r="K120" s="44" t="s">
        <v>123</v>
      </c>
      <c r="L120" s="50" t="s">
        <v>101</v>
      </c>
      <c r="M120" s="50" t="s">
        <v>77</v>
      </c>
      <c r="N120" s="50"/>
      <c r="O120" s="49"/>
      <c r="P120" s="50" t="str">
        <f t="shared" si="4"/>
        <v>ONAY</v>
      </c>
      <c r="Q120" s="28" t="s">
        <v>75</v>
      </c>
      <c r="R120" s="51" t="str">
        <f t="shared" si="5"/>
        <v/>
      </c>
      <c r="T120" s="41"/>
      <c r="U120" s="29">
        <f>IF($C120&lt;&gt;"",COUNTIF($C$2:C120,C120),"")</f>
        <v>1</v>
      </c>
      <c r="V120" s="29" t="str">
        <f t="shared" si="6"/>
        <v>Dr. Öğr. Üyesi Hilal AKDEMİR AKTAŞ§1</v>
      </c>
      <c r="W120" s="29">
        <f>IF(U120=1,COUNTIF($U$2:U120,1),"")</f>
        <v>95</v>
      </c>
      <c r="X120" s="29">
        <f t="shared" si="7"/>
        <v>148</v>
      </c>
      <c r="Y120" s="29">
        <f>IF(AND(LEFT($B120,7)="SBA 26/",$D120&lt;&gt;"",$F120&lt;&gt;""),COUNTIFS($D$2:$D120,$D120,$B$2:$B120,"SBA 26/*",$F$2:$F120,"&lt;&gt;"),"")</f>
        <v>4</v>
      </c>
      <c r="Z120" s="29" t="str">
        <f>IF(Y120=1,COUNTIF($Y$2:Y120,1),"")</f>
        <v/>
      </c>
      <c r="AA120" s="29">
        <f>IF(AND(LEFT($B120,7)="SBA 26/",$C120&lt;&gt;"",$F120&lt;&gt;""),COUNTIFS($C$2:$C120,$C120,$B$2:$B120,"SBA 26/*",$F$2:$F120,"&lt;&gt;"),"")</f>
        <v>1</v>
      </c>
      <c r="AB120" s="29">
        <f>IF(AA120=1,COUNTIF($AA$2:AA120,1),"")</f>
        <v>95</v>
      </c>
    </row>
    <row r="121" spans="1:28" ht="94.5" customHeight="1" x14ac:dyDescent="0.2">
      <c r="A121" s="43" t="s">
        <v>695</v>
      </c>
      <c r="B121" s="43" t="s">
        <v>696</v>
      </c>
      <c r="C121" s="44" t="s">
        <v>697</v>
      </c>
      <c r="D121" s="44" t="s">
        <v>698</v>
      </c>
      <c r="E121" s="45" t="s">
        <v>699</v>
      </c>
      <c r="F121" s="45" t="s">
        <v>700</v>
      </c>
      <c r="G121" s="46" t="s">
        <v>38</v>
      </c>
      <c r="H121" s="48">
        <v>46045</v>
      </c>
      <c r="I121" s="48">
        <v>46057</v>
      </c>
      <c r="J121" s="44" t="s">
        <v>75</v>
      </c>
      <c r="K121" s="44" t="s">
        <v>76</v>
      </c>
      <c r="L121" s="50" t="s">
        <v>101</v>
      </c>
      <c r="M121" s="50" t="s">
        <v>77</v>
      </c>
      <c r="N121" s="50"/>
      <c r="O121" s="49"/>
      <c r="P121" s="50" t="str">
        <f t="shared" si="4"/>
        <v>ONAY</v>
      </c>
      <c r="Q121" s="28" t="s">
        <v>75</v>
      </c>
      <c r="R121" s="51" t="str">
        <f t="shared" si="5"/>
        <v/>
      </c>
      <c r="T121" s="41"/>
      <c r="U121" s="29">
        <f>IF($C121&lt;&gt;"",COUNTIF($C$2:C121,C121),"")</f>
        <v>1</v>
      </c>
      <c r="V121" s="29" t="str">
        <f t="shared" si="6"/>
        <v>Prof. Dr. Rıza Köksal ÖZGÜL§1</v>
      </c>
      <c r="W121" s="29">
        <f>IF(U121=1,COUNTIF($U$2:U121,1),"")</f>
        <v>96</v>
      </c>
      <c r="X121" s="29">
        <f t="shared" si="7"/>
        <v>306</v>
      </c>
      <c r="Y121" s="29">
        <f>IF(AND(LEFT($B121,7)="SBA 26/",$D121&lt;&gt;"",$F121&lt;&gt;""),COUNTIFS($D$2:$D121,$D121,$B$2:$B121,"SBA 26/*",$F$2:$F121,"&lt;&gt;"),"")</f>
        <v>1</v>
      </c>
      <c r="Z121" s="29">
        <f>IF(Y121=1,COUNTIF($Y$2:Y121,1),"")</f>
        <v>45</v>
      </c>
      <c r="AA121" s="29">
        <f>IF(AND(LEFT($B121,7)="SBA 26/",$C121&lt;&gt;"",$F121&lt;&gt;""),COUNTIFS($C$2:$C121,$C121,$B$2:$B121,"SBA 26/*",$F$2:$F121,"&lt;&gt;"),"")</f>
        <v>1</v>
      </c>
      <c r="AB121" s="29">
        <f>IF(AA121=1,COUNTIF($AA$2:AA121,1),"")</f>
        <v>96</v>
      </c>
    </row>
    <row r="122" spans="1:28" ht="78.75" customHeight="1" x14ac:dyDescent="0.2">
      <c r="A122" s="43" t="s">
        <v>701</v>
      </c>
      <c r="B122" s="43" t="s">
        <v>702</v>
      </c>
      <c r="C122" s="44" t="s">
        <v>116</v>
      </c>
      <c r="D122" s="44" t="s">
        <v>662</v>
      </c>
      <c r="E122" s="45" t="s">
        <v>703</v>
      </c>
      <c r="F122" s="45" t="s">
        <v>704</v>
      </c>
      <c r="G122" s="46" t="s">
        <v>38</v>
      </c>
      <c r="H122" s="48">
        <v>46045</v>
      </c>
      <c r="I122" s="48">
        <v>46057</v>
      </c>
      <c r="J122" s="44" t="s">
        <v>75</v>
      </c>
      <c r="K122" s="44" t="s">
        <v>123</v>
      </c>
      <c r="L122" s="50" t="s">
        <v>101</v>
      </c>
      <c r="M122" s="50" t="s">
        <v>77</v>
      </c>
      <c r="N122" s="50"/>
      <c r="O122" s="49"/>
      <c r="P122" s="50" t="str">
        <f t="shared" si="4"/>
        <v>ONAY</v>
      </c>
      <c r="Q122" s="28" t="s">
        <v>75</v>
      </c>
      <c r="R122" s="51" t="str">
        <f t="shared" si="5"/>
        <v/>
      </c>
      <c r="T122" s="41"/>
      <c r="U122" s="29">
        <f>IF($C122&lt;&gt;"",COUNTIF($C$2:C122,C122),"")</f>
        <v>2</v>
      </c>
      <c r="V122" s="29" t="str">
        <f t="shared" si="6"/>
        <v>Prof. Dr. Ayşe KİN İŞLER§2</v>
      </c>
      <c r="W122" s="29" t="str">
        <f>IF(U122=1,COUNTIF($U$2:U122,1),"")</f>
        <v/>
      </c>
      <c r="X122" s="29" t="str">
        <f t="shared" si="7"/>
        <v/>
      </c>
      <c r="Y122" s="29">
        <f>IF(AND(LEFT($B122,7)="SBA 26/",$D122&lt;&gt;"",$F122&lt;&gt;""),COUNTIFS($D$2:$D122,$D122,$B$2:$B122,"SBA 26/*",$F$2:$F122,"&lt;&gt;"),"")</f>
        <v>2</v>
      </c>
      <c r="Z122" s="29" t="str">
        <f>IF(Y122=1,COUNTIF($Y$2:Y122,1),"")</f>
        <v/>
      </c>
      <c r="AA122" s="29">
        <f>IF(AND(LEFT($B122,7)="SBA 26/",$C122&lt;&gt;"",$F122&lt;&gt;""),COUNTIFS($C$2:$C122,$C122,$B$2:$B122,"SBA 26/*",$F$2:$F122,"&lt;&gt;"),"")</f>
        <v>2</v>
      </c>
      <c r="AB122" s="29" t="str">
        <f>IF(AA122=1,COUNTIF($AA$2:AA122,1),"")</f>
        <v/>
      </c>
    </row>
    <row r="123" spans="1:28" ht="65.25" customHeight="1" x14ac:dyDescent="0.2">
      <c r="A123" s="43" t="s">
        <v>705</v>
      </c>
      <c r="B123" s="43" t="s">
        <v>706</v>
      </c>
      <c r="C123" s="44" t="s">
        <v>439</v>
      </c>
      <c r="D123" s="44" t="s">
        <v>187</v>
      </c>
      <c r="E123" s="45" t="s">
        <v>707</v>
      </c>
      <c r="F123" s="45" t="s">
        <v>708</v>
      </c>
      <c r="G123" s="46" t="s">
        <v>38</v>
      </c>
      <c r="H123" s="48">
        <v>46045</v>
      </c>
      <c r="I123" s="48">
        <v>46057</v>
      </c>
      <c r="J123" s="44" t="s">
        <v>109</v>
      </c>
      <c r="K123" s="44" t="s">
        <v>84</v>
      </c>
      <c r="L123" s="50" t="s">
        <v>101</v>
      </c>
      <c r="M123" s="50" t="s">
        <v>77</v>
      </c>
      <c r="N123" s="50"/>
      <c r="O123" s="49"/>
      <c r="P123" s="50" t="str">
        <f t="shared" si="4"/>
        <v>ONAY</v>
      </c>
      <c r="Q123" s="28" t="s">
        <v>109</v>
      </c>
      <c r="R123" s="51" t="str">
        <f t="shared" si="5"/>
        <v/>
      </c>
      <c r="T123" s="41"/>
      <c r="U123" s="29">
        <f>IF($C123&lt;&gt;"",COUNTIF($C$2:C123,C123),"")</f>
        <v>2</v>
      </c>
      <c r="V123" s="29" t="str">
        <f t="shared" si="6"/>
        <v>Dr. Öğr. Üyesi Serkan UYSAL§2</v>
      </c>
      <c r="W123" s="29" t="str">
        <f>IF(U123=1,COUNTIF($U$2:U123,1),"")</f>
        <v/>
      </c>
      <c r="X123" s="29" t="str">
        <f t="shared" si="7"/>
        <v/>
      </c>
      <c r="Y123" s="29">
        <f>IF(AND(LEFT($B123,7)="SBA 26/",$D123&lt;&gt;"",$F123&lt;&gt;""),COUNTIFS($D$2:$D123,$D123,$B$2:$B123,"SBA 26/*",$F$2:$F123,"&lt;&gt;"),"")</f>
        <v>3</v>
      </c>
      <c r="Z123" s="29" t="str">
        <f>IF(Y123=1,COUNTIF($Y$2:Y123,1),"")</f>
        <v/>
      </c>
      <c r="AA123" s="29">
        <f>IF(AND(LEFT($B123,7)="SBA 26/",$C123&lt;&gt;"",$F123&lt;&gt;""),COUNTIFS($C$2:$C123,$C123,$B$2:$B123,"SBA 26/*",$F$2:$F123,"&lt;&gt;"),"")</f>
        <v>2</v>
      </c>
      <c r="AB123" s="29" t="str">
        <f>IF(AA123=1,COUNTIF($AA$2:AA123,1),"")</f>
        <v/>
      </c>
    </row>
    <row r="124" spans="1:28" ht="78.75" customHeight="1" x14ac:dyDescent="0.2">
      <c r="A124" s="43" t="s">
        <v>709</v>
      </c>
      <c r="B124" s="43" t="s">
        <v>710</v>
      </c>
      <c r="C124" s="44" t="s">
        <v>711</v>
      </c>
      <c r="D124" s="44" t="s">
        <v>113</v>
      </c>
      <c r="E124" s="45" t="s">
        <v>712</v>
      </c>
      <c r="F124" s="45" t="s">
        <v>713</v>
      </c>
      <c r="G124" s="46" t="s">
        <v>38</v>
      </c>
      <c r="H124" s="48">
        <v>46045</v>
      </c>
      <c r="I124" s="48">
        <v>46057</v>
      </c>
      <c r="J124" s="44" t="s">
        <v>91</v>
      </c>
      <c r="K124" s="44" t="s">
        <v>129</v>
      </c>
      <c r="L124" s="50" t="s">
        <v>77</v>
      </c>
      <c r="M124" s="50"/>
      <c r="N124" s="50"/>
      <c r="O124" s="49"/>
      <c r="P124" s="50" t="str">
        <f t="shared" si="4"/>
        <v>ONAY</v>
      </c>
      <c r="R124" s="51" t="str">
        <f t="shared" si="5"/>
        <v/>
      </c>
      <c r="T124" s="41"/>
      <c r="U124" s="29">
        <f>IF($C124&lt;&gt;"",COUNTIF($C$2:C124,C124),"")</f>
        <v>1</v>
      </c>
      <c r="V124" s="29" t="str">
        <f t="shared" si="6"/>
        <v>Doç. Dr. Süleyman Nahit ŞENDUR§1</v>
      </c>
      <c r="W124" s="29">
        <f>IF(U124=1,COUNTIF($U$2:U124,1),"")</f>
        <v>97</v>
      </c>
      <c r="X124" s="29">
        <f t="shared" si="7"/>
        <v>101</v>
      </c>
      <c r="Y124" s="29">
        <f>IF(AND(LEFT($B124,7)="SBA 26/",$D124&lt;&gt;"",$F124&lt;&gt;""),COUNTIFS($D$2:$D124,$D124,$B$2:$B124,"SBA 26/*",$F$2:$F124,"&lt;&gt;"),"")</f>
        <v>16</v>
      </c>
      <c r="Z124" s="29" t="str">
        <f>IF(Y124=1,COUNTIF($Y$2:Y124,1),"")</f>
        <v/>
      </c>
      <c r="AA124" s="29">
        <f>IF(AND(LEFT($B124,7)="SBA 26/",$C124&lt;&gt;"",$F124&lt;&gt;""),COUNTIFS($C$2:$C124,$C124,$B$2:$B124,"SBA 26/*",$F$2:$F124,"&lt;&gt;"),"")</f>
        <v>1</v>
      </c>
      <c r="AB124" s="29">
        <f>IF(AA124=1,COUNTIF($AA$2:AA124,1),"")</f>
        <v>97</v>
      </c>
    </row>
    <row r="125" spans="1:28" ht="94.5" customHeight="1" x14ac:dyDescent="0.2">
      <c r="A125" s="43" t="s">
        <v>714</v>
      </c>
      <c r="B125" s="43" t="s">
        <v>715</v>
      </c>
      <c r="C125" s="44" t="s">
        <v>108</v>
      </c>
      <c r="D125" s="44" t="s">
        <v>430</v>
      </c>
      <c r="E125" s="45" t="s">
        <v>716</v>
      </c>
      <c r="F125" s="45" t="s">
        <v>717</v>
      </c>
      <c r="G125" s="46" t="s">
        <v>38</v>
      </c>
      <c r="H125" s="48">
        <v>46045</v>
      </c>
      <c r="I125" s="48">
        <v>46057</v>
      </c>
      <c r="J125" s="44" t="s">
        <v>100</v>
      </c>
      <c r="K125" s="44" t="s">
        <v>75</v>
      </c>
      <c r="L125" s="50" t="s">
        <v>101</v>
      </c>
      <c r="M125" s="50"/>
      <c r="N125" s="50"/>
      <c r="O125" s="49"/>
      <c r="P125" s="50" t="str">
        <f t="shared" si="4"/>
        <v>DÜZELTME</v>
      </c>
      <c r="R125" s="51" t="str">
        <f t="shared" si="5"/>
        <v/>
      </c>
      <c r="T125" s="41"/>
      <c r="U125" s="29">
        <f>IF($C125&lt;&gt;"",COUNTIF($C$2:C125,C125),"")</f>
        <v>1</v>
      </c>
      <c r="V125" s="29" t="str">
        <f t="shared" si="6"/>
        <v>Prof. Dr. Yavuz AYHAN§1</v>
      </c>
      <c r="W125" s="29">
        <f>IF(U125=1,COUNTIF($U$2:U125,1),"")</f>
        <v>98</v>
      </c>
      <c r="X125" s="29">
        <f t="shared" si="7"/>
        <v>345</v>
      </c>
      <c r="Y125" s="29">
        <f>IF(AND(LEFT($B125,7)="SBA 26/",$D125&lt;&gt;"",$F125&lt;&gt;""),COUNTIFS($D$2:$D125,$D125,$B$2:$B125,"SBA 26/*",$F$2:$F125,"&lt;&gt;"),"")</f>
        <v>3</v>
      </c>
      <c r="Z125" s="29" t="str">
        <f>IF(Y125=1,COUNTIF($Y$2:Y125,1),"")</f>
        <v/>
      </c>
      <c r="AA125" s="29">
        <f>IF(AND(LEFT($B125,7)="SBA 26/",$C125&lt;&gt;"",$F125&lt;&gt;""),COUNTIFS($C$2:$C125,$C125,$B$2:$B125,"SBA 26/*",$F$2:$F125,"&lt;&gt;"),"")</f>
        <v>1</v>
      </c>
      <c r="AB125" s="29">
        <f>IF(AA125=1,COUNTIF($AA$2:AA125,1),"")</f>
        <v>98</v>
      </c>
    </row>
    <row r="126" spans="1:28" ht="110.25" customHeight="1" x14ac:dyDescent="0.2">
      <c r="A126" s="43" t="s">
        <v>718</v>
      </c>
      <c r="B126" s="43" t="s">
        <v>719</v>
      </c>
      <c r="C126" s="44" t="s">
        <v>168</v>
      </c>
      <c r="D126" s="44" t="s">
        <v>169</v>
      </c>
      <c r="E126" s="45" t="s">
        <v>720</v>
      </c>
      <c r="F126" s="45" t="s">
        <v>721</v>
      </c>
      <c r="G126" s="46" t="s">
        <v>38</v>
      </c>
      <c r="H126" s="48">
        <v>46045</v>
      </c>
      <c r="I126" s="48">
        <v>46057</v>
      </c>
      <c r="J126" s="44" t="s">
        <v>109</v>
      </c>
      <c r="K126" s="44" t="s">
        <v>76</v>
      </c>
      <c r="L126" s="50" t="s">
        <v>101</v>
      </c>
      <c r="M126" s="50"/>
      <c r="N126" s="50"/>
      <c r="O126" s="49"/>
      <c r="P126" s="50" t="str">
        <f t="shared" si="4"/>
        <v>DÜZELTME</v>
      </c>
      <c r="R126" s="51" t="str">
        <f t="shared" si="5"/>
        <v/>
      </c>
      <c r="T126" s="41"/>
      <c r="U126" s="29">
        <f>IF($C126&lt;&gt;"",COUNTIF($C$2:C126,C126),"")</f>
        <v>4</v>
      </c>
      <c r="V126" s="29" t="str">
        <f t="shared" si="6"/>
        <v>Prof. Dr. Ali Fuat KALYONCU§4</v>
      </c>
      <c r="W126" s="29" t="str">
        <f>IF(U126=1,COUNTIF($U$2:U126,1),"")</f>
        <v/>
      </c>
      <c r="X126" s="29" t="str">
        <f t="shared" si="7"/>
        <v/>
      </c>
      <c r="Y126" s="29">
        <f>IF(AND(LEFT($B126,7)="SBA 26/",$D126&lt;&gt;"",$F126&lt;&gt;""),COUNTIFS($D$2:$D126,$D126,$B$2:$B126,"SBA 26/*",$F$2:$F126,"&lt;&gt;"),"")</f>
        <v>8</v>
      </c>
      <c r="Z126" s="29" t="str">
        <f>IF(Y126=1,COUNTIF($Y$2:Y126,1),"")</f>
        <v/>
      </c>
      <c r="AA126" s="29">
        <f>IF(AND(LEFT($B126,7)="SBA 26/",$C126&lt;&gt;"",$F126&lt;&gt;""),COUNTIFS($C$2:$C126,$C126,$B$2:$B126,"SBA 26/*",$F$2:$F126,"&lt;&gt;"),"")</f>
        <v>4</v>
      </c>
      <c r="AB126" s="29" t="str">
        <f>IF(AA126=1,COUNTIF($AA$2:AA126,1),"")</f>
        <v/>
      </c>
    </row>
    <row r="127" spans="1:28" ht="94.5" customHeight="1" x14ac:dyDescent="0.2">
      <c r="A127" s="43" t="s">
        <v>722</v>
      </c>
      <c r="B127" s="43" t="s">
        <v>723</v>
      </c>
      <c r="C127" s="44" t="s">
        <v>724</v>
      </c>
      <c r="D127" s="44" t="s">
        <v>725</v>
      </c>
      <c r="E127" s="45" t="s">
        <v>726</v>
      </c>
      <c r="F127" s="45" t="s">
        <v>727</v>
      </c>
      <c r="G127" s="46" t="s">
        <v>41</v>
      </c>
      <c r="H127" s="48">
        <v>46045</v>
      </c>
      <c r="I127" s="48">
        <v>46057</v>
      </c>
      <c r="J127" s="44" t="s">
        <v>76</v>
      </c>
      <c r="K127" s="44" t="s">
        <v>84</v>
      </c>
      <c r="L127" s="50" t="s">
        <v>101</v>
      </c>
      <c r="M127" s="50" t="s">
        <v>77</v>
      </c>
      <c r="N127" s="50"/>
      <c r="O127" s="49"/>
      <c r="P127" s="50" t="str">
        <f t="shared" si="4"/>
        <v>ONAY</v>
      </c>
      <c r="Q127" s="28" t="s">
        <v>84</v>
      </c>
      <c r="R127" s="51" t="str">
        <f t="shared" si="5"/>
        <v/>
      </c>
      <c r="T127" s="41"/>
      <c r="U127" s="29">
        <f>IF($C127&lt;&gt;"",COUNTIF($C$2:C127,C127),"")</f>
        <v>1</v>
      </c>
      <c r="V127" s="29" t="str">
        <f t="shared" si="6"/>
        <v>Doç. Dr. Ceren ÖZKUL KOÇAK§1</v>
      </c>
      <c r="W127" s="29">
        <f>IF(U127=1,COUNTIF($U$2:U127,1),"")</f>
        <v>99</v>
      </c>
      <c r="X127" s="29">
        <f t="shared" si="7"/>
        <v>37</v>
      </c>
      <c r="Y127" s="29">
        <f>IF(AND(LEFT($B127,7)="SBA 26/",$D127&lt;&gt;"",$F127&lt;&gt;""),COUNTIFS($D$2:$D127,$D127,$B$2:$B127,"SBA 26/*",$F$2:$F127,"&lt;&gt;"),"")</f>
        <v>1</v>
      </c>
      <c r="Z127" s="29">
        <f>IF(Y127=1,COUNTIF($Y$2:Y127,1),"")</f>
        <v>46</v>
      </c>
      <c r="AA127" s="29">
        <f>IF(AND(LEFT($B127,7)="SBA 26/",$C127&lt;&gt;"",$F127&lt;&gt;""),COUNTIFS($C$2:$C127,$C127,$B$2:$B127,"SBA 26/*",$F$2:$F127,"&lt;&gt;"),"")</f>
        <v>1</v>
      </c>
      <c r="AB127" s="29">
        <f>IF(AA127=1,COUNTIF($AA$2:AA127,1),"")</f>
        <v>99</v>
      </c>
    </row>
    <row r="128" spans="1:28" ht="63" customHeight="1" x14ac:dyDescent="0.2">
      <c r="A128" s="43" t="s">
        <v>728</v>
      </c>
      <c r="B128" s="43" t="s">
        <v>729</v>
      </c>
      <c r="C128" s="44" t="s">
        <v>202</v>
      </c>
      <c r="D128" s="44" t="s">
        <v>203</v>
      </c>
      <c r="E128" s="45" t="s">
        <v>730</v>
      </c>
      <c r="F128" s="45" t="s">
        <v>731</v>
      </c>
      <c r="G128" s="46" t="s">
        <v>41</v>
      </c>
      <c r="H128" s="48">
        <v>46045</v>
      </c>
      <c r="I128" s="48">
        <v>46057</v>
      </c>
      <c r="J128" s="44" t="s">
        <v>75</v>
      </c>
      <c r="K128" s="44" t="s">
        <v>84</v>
      </c>
      <c r="L128" s="50" t="s">
        <v>77</v>
      </c>
      <c r="M128" s="50"/>
      <c r="N128" s="50"/>
      <c r="O128" s="49"/>
      <c r="P128" s="50" t="str">
        <f t="shared" si="4"/>
        <v>ONAY</v>
      </c>
      <c r="R128" s="51" t="str">
        <f t="shared" si="5"/>
        <v/>
      </c>
      <c r="T128" s="41"/>
      <c r="U128" s="29">
        <f>IF($C128&lt;&gt;"",COUNTIF($C$2:C128,C128),"")</f>
        <v>2</v>
      </c>
      <c r="V128" s="29" t="str">
        <f t="shared" si="6"/>
        <v>Prof. Dr. Oğuz IŞIK§2</v>
      </c>
      <c r="W128" s="29" t="str">
        <f>IF(U128=1,COUNTIF($U$2:U128,1),"")</f>
        <v/>
      </c>
      <c r="X128" s="29" t="str">
        <f t="shared" si="7"/>
        <v/>
      </c>
      <c r="Y128" s="29">
        <f>IF(AND(LEFT($B128,7)="SBA 26/",$D128&lt;&gt;"",$F128&lt;&gt;""),COUNTIFS($D$2:$D128,$D128,$B$2:$B128,"SBA 26/*",$F$2:$F128,"&lt;&gt;"),"")</f>
        <v>2</v>
      </c>
      <c r="Z128" s="29" t="str">
        <f>IF(Y128=1,COUNTIF($Y$2:Y128,1),"")</f>
        <v/>
      </c>
      <c r="AA128" s="29">
        <f>IF(AND(LEFT($B128,7)="SBA 26/",$C128&lt;&gt;"",$F128&lt;&gt;""),COUNTIFS($C$2:$C128,$C128,$B$2:$B128,"SBA 26/*",$F$2:$F128,"&lt;&gt;"),"")</f>
        <v>2</v>
      </c>
      <c r="AB128" s="29" t="str">
        <f>IF(AA128=1,COUNTIF($AA$2:AA128,1),"")</f>
        <v/>
      </c>
    </row>
    <row r="129" spans="1:28" ht="78.75" customHeight="1" x14ac:dyDescent="0.2">
      <c r="A129" s="43" t="s">
        <v>732</v>
      </c>
      <c r="B129" s="43" t="s">
        <v>733</v>
      </c>
      <c r="C129" s="44" t="s">
        <v>734</v>
      </c>
      <c r="D129" s="44" t="s">
        <v>222</v>
      </c>
      <c r="E129" s="45" t="s">
        <v>735</v>
      </c>
      <c r="F129" s="45" t="s">
        <v>736</v>
      </c>
      <c r="G129" s="46" t="s">
        <v>39</v>
      </c>
      <c r="H129" s="48">
        <v>46045</v>
      </c>
      <c r="I129" s="48">
        <v>46057</v>
      </c>
      <c r="J129" s="44" t="s">
        <v>100</v>
      </c>
      <c r="K129" s="44" t="s">
        <v>91</v>
      </c>
      <c r="L129" s="50" t="s">
        <v>101</v>
      </c>
      <c r="M129" s="50" t="s">
        <v>77</v>
      </c>
      <c r="N129" s="50"/>
      <c r="O129" s="49"/>
      <c r="P129" s="50" t="str">
        <f t="shared" si="4"/>
        <v>ONAY</v>
      </c>
      <c r="Q129" s="28" t="s">
        <v>91</v>
      </c>
      <c r="R129" s="51" t="str">
        <f t="shared" si="5"/>
        <v/>
      </c>
      <c r="T129" s="41"/>
      <c r="U129" s="29">
        <f>IF($C129&lt;&gt;"",COUNTIF($C$2:C129,C129),"")</f>
        <v>1</v>
      </c>
      <c r="V129" s="29" t="str">
        <f t="shared" si="6"/>
        <v>Dr. Öğr. Üyesi Ayşe METE YEŞİL§1</v>
      </c>
      <c r="W129" s="29">
        <f>IF(U129=1,COUNTIF($U$2:U129,1),"")</f>
        <v>100</v>
      </c>
      <c r="X129" s="29">
        <f t="shared" si="7"/>
        <v>121</v>
      </c>
      <c r="Y129" s="29">
        <f>IF(AND(LEFT($B129,7)="SBA 26/",$D129&lt;&gt;"",$F129&lt;&gt;""),COUNTIFS($D$2:$D129,$D129,$B$2:$B129,"SBA 26/*",$F$2:$F129,"&lt;&gt;"),"")</f>
        <v>16</v>
      </c>
      <c r="Z129" s="29" t="str">
        <f>IF(Y129=1,COUNTIF($Y$2:Y129,1),"")</f>
        <v/>
      </c>
      <c r="AA129" s="29">
        <f>IF(AND(LEFT($B129,7)="SBA 26/",$C129&lt;&gt;"",$F129&lt;&gt;""),COUNTIFS($C$2:$C129,$C129,$B$2:$B129,"SBA 26/*",$F$2:$F129,"&lt;&gt;"),"")</f>
        <v>1</v>
      </c>
      <c r="AB129" s="29">
        <f>IF(AA129=1,COUNTIF($AA$2:AA129,1),"")</f>
        <v>100</v>
      </c>
    </row>
    <row r="130" spans="1:28" ht="78.75" customHeight="1" x14ac:dyDescent="0.2">
      <c r="A130" s="43" t="s">
        <v>737</v>
      </c>
      <c r="B130" s="43" t="s">
        <v>738</v>
      </c>
      <c r="C130" s="44" t="s">
        <v>739</v>
      </c>
      <c r="D130" s="44" t="s">
        <v>133</v>
      </c>
      <c r="E130" s="45" t="s">
        <v>740</v>
      </c>
      <c r="F130" s="45" t="s">
        <v>741</v>
      </c>
      <c r="G130" s="46" t="s">
        <v>39</v>
      </c>
      <c r="H130" s="48">
        <v>46045</v>
      </c>
      <c r="I130" s="48">
        <v>46057</v>
      </c>
      <c r="J130" s="44" t="s">
        <v>100</v>
      </c>
      <c r="K130" s="44" t="s">
        <v>129</v>
      </c>
      <c r="L130" s="50" t="s">
        <v>77</v>
      </c>
      <c r="M130" s="50"/>
      <c r="N130" s="50"/>
      <c r="O130" s="49"/>
      <c r="P130" s="50" t="str">
        <f t="shared" ref="P130:P193" si="8">IF(O130&lt;&gt;"",O130, IF(N130&lt;&gt;"",N130, IF(M130&lt;&gt;"",M130, L130)))</f>
        <v>ONAY</v>
      </c>
      <c r="R130" s="51" t="str">
        <f t="shared" ref="R130:R193" si="9">IF(AND($I130&lt;&gt;"",$I130&gt;=DATE(2026,6,23),COUNTIFS($C:$C,$C130,$I:$I,$I130)&gt;2),"⚠ "&amp;COUNTIFS($C:$C,$C130,$I:$I,$I130)&amp;" BAŞVURU!","")</f>
        <v/>
      </c>
      <c r="T130" s="41"/>
      <c r="U130" s="29">
        <f>IF($C130&lt;&gt;"",COUNTIF($C$2:C130,C130),"")</f>
        <v>1</v>
      </c>
      <c r="V130" s="29" t="str">
        <f t="shared" ref="V130:V193" si="10">IF($C130&lt;&gt;"",C130&amp;"§"&amp;U130,"")</f>
        <v>Prof. Dr. Dilşad FOTO ÖZDEMİR§1</v>
      </c>
      <c r="W130" s="29">
        <f>IF(U130=1,COUNTIF($U$2:U130,1),"")</f>
        <v>101</v>
      </c>
      <c r="X130" s="29">
        <f t="shared" ref="X130:X193" si="11">IF(U130=1,SUMPRODUCT(($U$2:$U$1833=1)*($C$2:$C$1833&lt;C130))+1,"")</f>
        <v>219</v>
      </c>
      <c r="Y130" s="29">
        <f>IF(AND(LEFT($B130,7)="SBA 26/",$D130&lt;&gt;"",$F130&lt;&gt;""),COUNTIFS($D$2:$D130,$D130,$B$2:$B130,"SBA 26/*",$F$2:$F130,"&lt;&gt;"),"")</f>
        <v>4</v>
      </c>
      <c r="Z130" s="29" t="str">
        <f>IF(Y130=1,COUNTIF($Y$2:Y130,1),"")</f>
        <v/>
      </c>
      <c r="AA130" s="29">
        <f>IF(AND(LEFT($B130,7)="SBA 26/",$C130&lt;&gt;"",$F130&lt;&gt;""),COUNTIFS($C$2:$C130,$C130,$B$2:$B130,"SBA 26/*",$F$2:$F130,"&lt;&gt;"),"")</f>
        <v>1</v>
      </c>
      <c r="AB130" s="29">
        <f>IF(AA130=1,COUNTIF($AA$2:AA130,1),"")</f>
        <v>101</v>
      </c>
    </row>
    <row r="131" spans="1:28" ht="79.5" customHeight="1" x14ac:dyDescent="0.2">
      <c r="A131" s="43" t="s">
        <v>742</v>
      </c>
      <c r="B131" s="43" t="s">
        <v>743</v>
      </c>
      <c r="C131" s="44" t="s">
        <v>744</v>
      </c>
      <c r="D131" s="44" t="s">
        <v>291</v>
      </c>
      <c r="E131" s="45" t="s">
        <v>745</v>
      </c>
      <c r="F131" s="45" t="s">
        <v>746</v>
      </c>
      <c r="G131" s="46" t="s">
        <v>39</v>
      </c>
      <c r="H131" s="48">
        <v>46045</v>
      </c>
      <c r="I131" s="48">
        <v>46057</v>
      </c>
      <c r="J131" s="44" t="s">
        <v>109</v>
      </c>
      <c r="K131" s="44" t="s">
        <v>123</v>
      </c>
      <c r="L131" s="50" t="s">
        <v>77</v>
      </c>
      <c r="M131" s="50"/>
      <c r="N131" s="50"/>
      <c r="O131" s="49"/>
      <c r="P131" s="50" t="str">
        <f t="shared" si="8"/>
        <v>ONAY</v>
      </c>
      <c r="R131" s="51" t="str">
        <f t="shared" si="9"/>
        <v/>
      </c>
      <c r="T131" s="41"/>
      <c r="U131" s="29">
        <f>IF($C131&lt;&gt;"",COUNTIF($C$2:C131,C131),"")</f>
        <v>1</v>
      </c>
      <c r="V131" s="29" t="str">
        <f t="shared" si="10"/>
        <v>Prof. Dr. Serdar ÖZER§1</v>
      </c>
      <c r="W131" s="29">
        <f>IF(U131=1,COUNTIF($U$2:U131,1),"")</f>
        <v>102</v>
      </c>
      <c r="X131" s="29">
        <f t="shared" si="11"/>
        <v>316</v>
      </c>
      <c r="Y131" s="29">
        <f>IF(AND(LEFT($B131,7)="SBA 26/",$D131&lt;&gt;"",$F131&lt;&gt;""),COUNTIFS($D$2:$D131,$D131,$B$2:$B131,"SBA 26/*",$F$2:$F131,"&lt;&gt;"),"")</f>
        <v>3</v>
      </c>
      <c r="Z131" s="29" t="str">
        <f>IF(Y131=1,COUNTIF($Y$2:Y131,1),"")</f>
        <v/>
      </c>
      <c r="AA131" s="29">
        <f>IF(AND(LEFT($B131,7)="SBA 26/",$C131&lt;&gt;"",$F131&lt;&gt;""),COUNTIFS($C$2:$C131,$C131,$B$2:$B131,"SBA 26/*",$F$2:$F131,"&lt;&gt;"),"")</f>
        <v>1</v>
      </c>
      <c r="AB131" s="29">
        <f>IF(AA131=1,COUNTIF($AA$2:AA131,1),"")</f>
        <v>102</v>
      </c>
    </row>
    <row r="132" spans="1:28" ht="63" customHeight="1" x14ac:dyDescent="0.2">
      <c r="A132" s="43" t="s">
        <v>747</v>
      </c>
      <c r="B132" s="43" t="s">
        <v>748</v>
      </c>
      <c r="C132" s="44" t="s">
        <v>681</v>
      </c>
      <c r="D132" s="44" t="s">
        <v>113</v>
      </c>
      <c r="E132" s="45" t="s">
        <v>682</v>
      </c>
      <c r="F132" s="45" t="s">
        <v>749</v>
      </c>
      <c r="G132" s="46" t="s">
        <v>38</v>
      </c>
      <c r="H132" s="48">
        <v>46045</v>
      </c>
      <c r="I132" s="48">
        <v>46057</v>
      </c>
      <c r="J132" s="44" t="s">
        <v>129</v>
      </c>
      <c r="K132" s="44" t="s">
        <v>76</v>
      </c>
      <c r="L132" s="50" t="s">
        <v>101</v>
      </c>
      <c r="M132" s="50" t="s">
        <v>101</v>
      </c>
      <c r="N132" s="50" t="s">
        <v>77</v>
      </c>
      <c r="O132" s="49"/>
      <c r="P132" s="50" t="str">
        <f t="shared" si="8"/>
        <v>ONAY</v>
      </c>
      <c r="Q132" s="28" t="s">
        <v>129</v>
      </c>
      <c r="R132" s="51" t="str">
        <f t="shared" si="9"/>
        <v/>
      </c>
      <c r="T132" s="41"/>
      <c r="U132" s="29">
        <f>IF($C132&lt;&gt;"",COUNTIF($C$2:C132,C132),"")</f>
        <v>2</v>
      </c>
      <c r="V132" s="29" t="str">
        <f t="shared" si="10"/>
        <v>Prof. Dr. Hatice Yasemin BALABAN§2</v>
      </c>
      <c r="W132" s="29" t="str">
        <f>IF(U132=1,COUNTIF($U$2:U132,1),"")</f>
        <v/>
      </c>
      <c r="X132" s="29" t="str">
        <f t="shared" si="11"/>
        <v/>
      </c>
      <c r="Y132" s="29">
        <f>IF(AND(LEFT($B132,7)="SBA 26/",$D132&lt;&gt;"",$F132&lt;&gt;""),COUNTIFS($D$2:$D132,$D132,$B$2:$B132,"SBA 26/*",$F$2:$F132,"&lt;&gt;"),"")</f>
        <v>17</v>
      </c>
      <c r="Z132" s="29" t="str">
        <f>IF(Y132=1,COUNTIF($Y$2:Y132,1),"")</f>
        <v/>
      </c>
      <c r="AA132" s="29">
        <f>IF(AND(LEFT($B132,7)="SBA 26/",$C132&lt;&gt;"",$F132&lt;&gt;""),COUNTIFS($C$2:$C132,$C132,$B$2:$B132,"SBA 26/*",$F$2:$F132,"&lt;&gt;"),"")</f>
        <v>2</v>
      </c>
      <c r="AB132" s="29" t="str">
        <f>IF(AA132=1,COUNTIF($AA$2:AA132,1),"")</f>
        <v/>
      </c>
    </row>
    <row r="133" spans="1:28" ht="64.5" customHeight="1" x14ac:dyDescent="0.2">
      <c r="A133" s="43" t="s">
        <v>750</v>
      </c>
      <c r="B133" s="43" t="s">
        <v>751</v>
      </c>
      <c r="C133" s="44" t="s">
        <v>752</v>
      </c>
      <c r="D133" s="44" t="s">
        <v>113</v>
      </c>
      <c r="E133" s="45" t="s">
        <v>753</v>
      </c>
      <c r="F133" s="45" t="s">
        <v>754</v>
      </c>
      <c r="G133" s="46" t="s">
        <v>39</v>
      </c>
      <c r="H133" s="48">
        <v>46045</v>
      </c>
      <c r="I133" s="48">
        <v>46057</v>
      </c>
      <c r="J133" s="44" t="s">
        <v>129</v>
      </c>
      <c r="K133" s="44" t="s">
        <v>100</v>
      </c>
      <c r="L133" s="50" t="s">
        <v>77</v>
      </c>
      <c r="M133" s="50"/>
      <c r="N133" s="50"/>
      <c r="O133" s="49"/>
      <c r="P133" s="50" t="str">
        <f t="shared" si="8"/>
        <v>ONAY</v>
      </c>
      <c r="R133" s="51" t="str">
        <f t="shared" si="9"/>
        <v/>
      </c>
      <c r="T133" s="41"/>
      <c r="U133" s="29">
        <f>IF($C133&lt;&gt;"",COUNTIF($C$2:C133,C133),"")</f>
        <v>1</v>
      </c>
      <c r="V133" s="29" t="str">
        <f t="shared" si="10"/>
        <v>Prof. Dr. Yahya BÜYÜKAŞIK§1</v>
      </c>
      <c r="W133" s="29">
        <f>IF(U133=1,COUNTIF($U$2:U133,1),"")</f>
        <v>103</v>
      </c>
      <c r="X133" s="29">
        <f t="shared" si="11"/>
        <v>342</v>
      </c>
      <c r="Y133" s="29">
        <f>IF(AND(LEFT($B133,7)="SBA 26/",$D133&lt;&gt;"",$F133&lt;&gt;""),COUNTIFS($D$2:$D133,$D133,$B$2:$B133,"SBA 26/*",$F$2:$F133,"&lt;&gt;"),"")</f>
        <v>18</v>
      </c>
      <c r="Z133" s="29" t="str">
        <f>IF(Y133=1,COUNTIF($Y$2:Y133,1),"")</f>
        <v/>
      </c>
      <c r="AA133" s="29">
        <f>IF(AND(LEFT($B133,7)="SBA 26/",$C133&lt;&gt;"",$F133&lt;&gt;""),COUNTIFS($C$2:$C133,$C133,$B$2:$B133,"SBA 26/*",$F$2:$F133,"&lt;&gt;"),"")</f>
        <v>1</v>
      </c>
      <c r="AB133" s="29">
        <f>IF(AA133=1,COUNTIF($AA$2:AA133,1),"")</f>
        <v>103</v>
      </c>
    </row>
    <row r="134" spans="1:28" ht="78.75" customHeight="1" x14ac:dyDescent="0.2">
      <c r="A134" s="43" t="s">
        <v>755</v>
      </c>
      <c r="B134" s="43" t="s">
        <v>756</v>
      </c>
      <c r="C134" s="44" t="s">
        <v>757</v>
      </c>
      <c r="D134" s="44" t="s">
        <v>397</v>
      </c>
      <c r="E134" s="45" t="s">
        <v>758</v>
      </c>
      <c r="F134" s="45" t="s">
        <v>759</v>
      </c>
      <c r="G134" s="46" t="s">
        <v>38</v>
      </c>
      <c r="H134" s="48">
        <v>46045</v>
      </c>
      <c r="I134" s="48">
        <v>46057</v>
      </c>
      <c r="J134" s="44" t="s">
        <v>91</v>
      </c>
      <c r="K134" s="44" t="s">
        <v>84</v>
      </c>
      <c r="L134" s="50" t="s">
        <v>101</v>
      </c>
      <c r="M134" s="50" t="s">
        <v>77</v>
      </c>
      <c r="N134" s="50"/>
      <c r="O134" s="49"/>
      <c r="P134" s="50" t="str">
        <f t="shared" si="8"/>
        <v>ONAY</v>
      </c>
      <c r="Q134" s="28" t="s">
        <v>91</v>
      </c>
      <c r="R134" s="51" t="str">
        <f t="shared" si="9"/>
        <v/>
      </c>
      <c r="T134" s="41"/>
      <c r="U134" s="29">
        <f>IF($C134&lt;&gt;"",COUNTIF($C$2:C134,C134),"")</f>
        <v>1</v>
      </c>
      <c r="V134" s="29" t="str">
        <f t="shared" si="10"/>
        <v>Prof. Dr. Aygin EKİNCİOĞLU§1</v>
      </c>
      <c r="W134" s="29">
        <f>IF(U134=1,COUNTIF($U$2:U134,1),"")</f>
        <v>104</v>
      </c>
      <c r="X134" s="29">
        <f t="shared" si="11"/>
        <v>197</v>
      </c>
      <c r="Y134" s="29">
        <f>IF(AND(LEFT($B134,7)="SBA 26/",$D134&lt;&gt;"",$F134&lt;&gt;""),COUNTIFS($D$2:$D134,$D134,$B$2:$B134,"SBA 26/*",$F$2:$F134,"&lt;&gt;"),"")</f>
        <v>6</v>
      </c>
      <c r="Z134" s="29" t="str">
        <f>IF(Y134=1,COUNTIF($Y$2:Y134,1),"")</f>
        <v/>
      </c>
      <c r="AA134" s="29">
        <f>IF(AND(LEFT($B134,7)="SBA 26/",$C134&lt;&gt;"",$F134&lt;&gt;""),COUNTIFS($C$2:$C134,$C134,$B$2:$B134,"SBA 26/*",$F$2:$F134,"&lt;&gt;"),"")</f>
        <v>1</v>
      </c>
      <c r="AB134" s="29">
        <f>IF(AA134=1,COUNTIF($AA$2:AA134,1),"")</f>
        <v>104</v>
      </c>
    </row>
    <row r="135" spans="1:28" ht="94.5" customHeight="1" x14ac:dyDescent="0.2">
      <c r="A135" s="43" t="s">
        <v>760</v>
      </c>
      <c r="B135" s="43" t="s">
        <v>761</v>
      </c>
      <c r="C135" s="44" t="s">
        <v>87</v>
      </c>
      <c r="D135" s="44" t="s">
        <v>88</v>
      </c>
      <c r="E135" s="45" t="s">
        <v>762</v>
      </c>
      <c r="F135" s="45" t="s">
        <v>763</v>
      </c>
      <c r="G135" s="46" t="s">
        <v>38</v>
      </c>
      <c r="H135" s="48">
        <v>46045</v>
      </c>
      <c r="I135" s="48">
        <v>46057</v>
      </c>
      <c r="J135" s="44" t="s">
        <v>91</v>
      </c>
      <c r="K135" s="44" t="s">
        <v>109</v>
      </c>
      <c r="L135" s="50" t="s">
        <v>77</v>
      </c>
      <c r="M135" s="50"/>
      <c r="N135" s="50"/>
      <c r="O135" s="49"/>
      <c r="P135" s="50" t="str">
        <f t="shared" si="8"/>
        <v>ONAY</v>
      </c>
      <c r="R135" s="51" t="str">
        <f t="shared" si="9"/>
        <v/>
      </c>
      <c r="T135" s="41"/>
      <c r="U135" s="29">
        <f>IF($C135&lt;&gt;"",COUNTIF($C$2:C135,C135),"")</f>
        <v>2</v>
      </c>
      <c r="V135" s="29" t="str">
        <f t="shared" si="10"/>
        <v>Doç. Dr. Gamze DURHAN§2</v>
      </c>
      <c r="W135" s="29" t="str">
        <f>IF(U135=1,COUNTIF($U$2:U135,1),"")</f>
        <v/>
      </c>
      <c r="X135" s="29" t="str">
        <f t="shared" si="11"/>
        <v/>
      </c>
      <c r="Y135" s="29">
        <f>IF(AND(LEFT($B135,7)="SBA 26/",$D135&lt;&gt;"",$F135&lt;&gt;""),COUNTIFS($D$2:$D135,$D135,$B$2:$B135,"SBA 26/*",$F$2:$F135,"&lt;&gt;"),"")</f>
        <v>4</v>
      </c>
      <c r="Z135" s="29" t="str">
        <f>IF(Y135=1,COUNTIF($Y$2:Y135,1),"")</f>
        <v/>
      </c>
      <c r="AA135" s="29">
        <f>IF(AND(LEFT($B135,7)="SBA 26/",$C135&lt;&gt;"",$F135&lt;&gt;""),COUNTIFS($C$2:$C135,$C135,$B$2:$B135,"SBA 26/*",$F$2:$F135,"&lt;&gt;"),"")</f>
        <v>2</v>
      </c>
      <c r="AB135" s="29" t="str">
        <f>IF(AA135=1,COUNTIF($AA$2:AA135,1),"")</f>
        <v/>
      </c>
    </row>
    <row r="136" spans="1:28" ht="78.75" customHeight="1" x14ac:dyDescent="0.2">
      <c r="A136" s="43" t="s">
        <v>764</v>
      </c>
      <c r="B136" s="43" t="s">
        <v>765</v>
      </c>
      <c r="C136" s="44" t="s">
        <v>489</v>
      </c>
      <c r="D136" s="44" t="s">
        <v>297</v>
      </c>
      <c r="E136" s="45" t="s">
        <v>766</v>
      </c>
      <c r="F136" s="45" t="s">
        <v>767</v>
      </c>
      <c r="G136" s="46" t="s">
        <v>38</v>
      </c>
      <c r="H136" s="48">
        <v>46045</v>
      </c>
      <c r="I136" s="48">
        <v>46057</v>
      </c>
      <c r="J136" s="44" t="s">
        <v>123</v>
      </c>
      <c r="K136" s="44" t="s">
        <v>84</v>
      </c>
      <c r="L136" s="50" t="s">
        <v>101</v>
      </c>
      <c r="M136" s="50" t="s">
        <v>77</v>
      </c>
      <c r="N136" s="50"/>
      <c r="O136" s="49"/>
      <c r="P136" s="50" t="str">
        <f t="shared" si="8"/>
        <v>ONAY</v>
      </c>
      <c r="Q136" s="28" t="s">
        <v>84</v>
      </c>
      <c r="R136" s="51" t="str">
        <f t="shared" si="9"/>
        <v/>
      </c>
      <c r="T136" s="41"/>
      <c r="U136" s="29">
        <f>IF($C136&lt;&gt;"",COUNTIF($C$2:C136,C136),"")</f>
        <v>2</v>
      </c>
      <c r="V136" s="29" t="str">
        <f t="shared" si="10"/>
        <v>Doç. Dr. Ezgi ATİK§2</v>
      </c>
      <c r="W136" s="29" t="str">
        <f>IF(U136=1,COUNTIF($U$2:U136,1),"")</f>
        <v/>
      </c>
      <c r="X136" s="29" t="str">
        <f t="shared" si="11"/>
        <v/>
      </c>
      <c r="Y136" s="29">
        <f>IF(AND(LEFT($B136,7)="SBA 26/",$D136&lt;&gt;"",$F136&lt;&gt;""),COUNTIFS($D$2:$D136,$D136,$B$2:$B136,"SBA 26/*",$F$2:$F136,"&lt;&gt;"),"")</f>
        <v>4</v>
      </c>
      <c r="Z136" s="29" t="str">
        <f>IF(Y136=1,COUNTIF($Y$2:Y136,1),"")</f>
        <v/>
      </c>
      <c r="AA136" s="29">
        <f>IF(AND(LEFT($B136,7)="SBA 26/",$C136&lt;&gt;"",$F136&lt;&gt;""),COUNTIFS($C$2:$C136,$C136,$B$2:$B136,"SBA 26/*",$F$2:$F136,"&lt;&gt;"),"")</f>
        <v>2</v>
      </c>
      <c r="AB136" s="29" t="str">
        <f>IF(AA136=1,COUNTIF($AA$2:AA136,1),"")</f>
        <v/>
      </c>
    </row>
    <row r="137" spans="1:28" ht="63" customHeight="1" x14ac:dyDescent="0.2">
      <c r="A137" s="43" t="s">
        <v>768</v>
      </c>
      <c r="B137" s="43" t="s">
        <v>769</v>
      </c>
      <c r="C137" s="44" t="s">
        <v>770</v>
      </c>
      <c r="D137" s="44" t="s">
        <v>771</v>
      </c>
      <c r="E137" s="45" t="s">
        <v>772</v>
      </c>
      <c r="F137" s="45" t="s">
        <v>773</v>
      </c>
      <c r="G137" s="46" t="s">
        <v>40</v>
      </c>
      <c r="H137" s="48">
        <v>46045</v>
      </c>
      <c r="I137" s="48">
        <v>46057</v>
      </c>
      <c r="J137" s="44" t="s">
        <v>91</v>
      </c>
      <c r="K137" s="44" t="s">
        <v>123</v>
      </c>
      <c r="L137" s="50" t="s">
        <v>77</v>
      </c>
      <c r="M137" s="50"/>
      <c r="N137" s="50"/>
      <c r="O137" s="49"/>
      <c r="P137" s="50" t="str">
        <f t="shared" si="8"/>
        <v>ONAY</v>
      </c>
      <c r="R137" s="51" t="str">
        <f t="shared" si="9"/>
        <v/>
      </c>
      <c r="T137" s="41"/>
      <c r="U137" s="29">
        <f>IF($C137&lt;&gt;"",COUNTIF($C$2:C137,C137),"")</f>
        <v>1</v>
      </c>
      <c r="V137" s="29" t="str">
        <f t="shared" si="10"/>
        <v>Dr. Öğr. Üyesi Arda ÇETİNKAYA§1</v>
      </c>
      <c r="W137" s="29">
        <f>IF(U137=1,COUNTIF($U$2:U137,1),"")</f>
        <v>105</v>
      </c>
      <c r="X137" s="29">
        <f t="shared" si="11"/>
        <v>115</v>
      </c>
      <c r="Y137" s="29">
        <f>IF(AND(LEFT($B137,7)="SBA 26/",$D137&lt;&gt;"",$F137&lt;&gt;""),COUNTIFS($D$2:$D137,$D137,$B$2:$B137,"SBA 26/*",$F$2:$F137,"&lt;&gt;"),"")</f>
        <v>1</v>
      </c>
      <c r="Z137" s="29">
        <f>IF(Y137=1,COUNTIF($Y$2:Y137,1),"")</f>
        <v>47</v>
      </c>
      <c r="AA137" s="29">
        <f>IF(AND(LEFT($B137,7)="SBA 26/",$C137&lt;&gt;"",$F137&lt;&gt;""),COUNTIFS($C$2:$C137,$C137,$B$2:$B137,"SBA 26/*",$F$2:$F137,"&lt;&gt;"),"")</f>
        <v>1</v>
      </c>
      <c r="AB137" s="29">
        <f>IF(AA137=1,COUNTIF($AA$2:AA137,1),"")</f>
        <v>105</v>
      </c>
    </row>
    <row r="138" spans="1:28" ht="78.75" customHeight="1" x14ac:dyDescent="0.2">
      <c r="A138" s="43" t="s">
        <v>774</v>
      </c>
      <c r="B138" s="43" t="s">
        <v>775</v>
      </c>
      <c r="C138" s="44" t="s">
        <v>776</v>
      </c>
      <c r="D138" s="44" t="s">
        <v>291</v>
      </c>
      <c r="E138" s="45" t="s">
        <v>777</v>
      </c>
      <c r="F138" s="45" t="s">
        <v>778</v>
      </c>
      <c r="G138" s="46" t="s">
        <v>38</v>
      </c>
      <c r="H138" s="48">
        <v>46048</v>
      </c>
      <c r="I138" s="48">
        <v>46057</v>
      </c>
      <c r="J138" s="44" t="s">
        <v>91</v>
      </c>
      <c r="K138" s="44" t="s">
        <v>76</v>
      </c>
      <c r="L138" s="50" t="s">
        <v>77</v>
      </c>
      <c r="M138" s="50"/>
      <c r="N138" s="50"/>
      <c r="O138" s="49"/>
      <c r="P138" s="50" t="str">
        <f t="shared" si="8"/>
        <v>ONAY</v>
      </c>
      <c r="R138" s="51" t="str">
        <f t="shared" si="9"/>
        <v/>
      </c>
      <c r="T138" s="41"/>
      <c r="U138" s="29">
        <f>IF($C138&lt;&gt;"",COUNTIF($C$2:C138,C138),"")</f>
        <v>1</v>
      </c>
      <c r="V138" s="29" t="str">
        <f t="shared" si="10"/>
        <v>Dr. Öğr. Üyesi Ergin EROĞLU§1</v>
      </c>
      <c r="W138" s="29">
        <f>IF(U138=1,COUNTIF($U$2:U138,1),"")</f>
        <v>106</v>
      </c>
      <c r="X138" s="29">
        <f t="shared" si="11"/>
        <v>133</v>
      </c>
      <c r="Y138" s="29">
        <f>IF(AND(LEFT($B138,7)="SBA 26/",$D138&lt;&gt;"",$F138&lt;&gt;""),COUNTIFS($D$2:$D138,$D138,$B$2:$B138,"SBA 26/*",$F$2:$F138,"&lt;&gt;"),"")</f>
        <v>4</v>
      </c>
      <c r="Z138" s="29" t="str">
        <f>IF(Y138=1,COUNTIF($Y$2:Y138,1),"")</f>
        <v/>
      </c>
      <c r="AA138" s="29">
        <f>IF(AND(LEFT($B138,7)="SBA 26/",$C138&lt;&gt;"",$F138&lt;&gt;""),COUNTIFS($C$2:$C138,$C138,$B$2:$B138,"SBA 26/*",$F$2:$F138,"&lt;&gt;"),"")</f>
        <v>1</v>
      </c>
      <c r="AB138" s="29">
        <f>IF(AA138=1,COUNTIF($AA$2:AA138,1),"")</f>
        <v>106</v>
      </c>
    </row>
    <row r="139" spans="1:28" ht="110.25" customHeight="1" x14ac:dyDescent="0.2">
      <c r="A139" s="43" t="s">
        <v>779</v>
      </c>
      <c r="B139" s="43" t="s">
        <v>780</v>
      </c>
      <c r="C139" s="44" t="s">
        <v>781</v>
      </c>
      <c r="D139" s="44" t="s">
        <v>222</v>
      </c>
      <c r="E139" s="45" t="s">
        <v>782</v>
      </c>
      <c r="F139" s="45" t="s">
        <v>783</v>
      </c>
      <c r="G139" s="46" t="s">
        <v>38</v>
      </c>
      <c r="H139" s="48">
        <v>46048</v>
      </c>
      <c r="I139" s="48">
        <v>46057</v>
      </c>
      <c r="J139" s="44" t="s">
        <v>75</v>
      </c>
      <c r="K139" s="44" t="s">
        <v>100</v>
      </c>
      <c r="L139" s="50" t="s">
        <v>77</v>
      </c>
      <c r="M139" s="50"/>
      <c r="N139" s="50"/>
      <c r="O139" s="49"/>
      <c r="P139" s="50" t="str">
        <f t="shared" si="8"/>
        <v>ONAY</v>
      </c>
      <c r="R139" s="51" t="str">
        <f t="shared" si="9"/>
        <v/>
      </c>
      <c r="T139" s="41"/>
      <c r="U139" s="29">
        <f>IF($C139&lt;&gt;"",COUNTIF($C$2:C139,C139),"")</f>
        <v>1</v>
      </c>
      <c r="V139" s="29" t="str">
        <f t="shared" si="10"/>
        <v>Prof. Dr. Hülya DEMİR§1</v>
      </c>
      <c r="W139" s="29">
        <f>IF(U139=1,COUNTIF($U$2:U139,1),"")</f>
        <v>107</v>
      </c>
      <c r="X139" s="29">
        <f t="shared" si="11"/>
        <v>251</v>
      </c>
      <c r="Y139" s="29">
        <f>IF(AND(LEFT($B139,7)="SBA 26/",$D139&lt;&gt;"",$F139&lt;&gt;""),COUNTIFS($D$2:$D139,$D139,$B$2:$B139,"SBA 26/*",$F$2:$F139,"&lt;&gt;"),"")</f>
        <v>17</v>
      </c>
      <c r="Z139" s="29" t="str">
        <f>IF(Y139=1,COUNTIF($Y$2:Y139,1),"")</f>
        <v/>
      </c>
      <c r="AA139" s="29">
        <f>IF(AND(LEFT($B139,7)="SBA 26/",$C139&lt;&gt;"",$F139&lt;&gt;""),COUNTIFS($C$2:$C139,$C139,$B$2:$B139,"SBA 26/*",$F$2:$F139,"&lt;&gt;"),"")</f>
        <v>1</v>
      </c>
      <c r="AB139" s="29">
        <f>IF(AA139=1,COUNTIF($AA$2:AA139,1),"")</f>
        <v>107</v>
      </c>
    </row>
    <row r="140" spans="1:28" ht="63" customHeight="1" x14ac:dyDescent="0.2">
      <c r="A140" s="43" t="s">
        <v>784</v>
      </c>
      <c r="B140" s="43" t="s">
        <v>785</v>
      </c>
      <c r="C140" s="44" t="s">
        <v>786</v>
      </c>
      <c r="D140" s="44" t="s">
        <v>113</v>
      </c>
      <c r="E140" s="45" t="s">
        <v>787</v>
      </c>
      <c r="F140" s="45" t="s">
        <v>788</v>
      </c>
      <c r="G140" s="46" t="s">
        <v>38</v>
      </c>
      <c r="H140" s="48">
        <v>46048</v>
      </c>
      <c r="I140" s="48">
        <v>46057</v>
      </c>
      <c r="J140" s="44" t="s">
        <v>76</v>
      </c>
      <c r="K140" s="44" t="s">
        <v>129</v>
      </c>
      <c r="L140" s="50" t="s">
        <v>77</v>
      </c>
      <c r="M140" s="50"/>
      <c r="N140" s="50"/>
      <c r="O140" s="49"/>
      <c r="P140" s="50" t="str">
        <f t="shared" si="8"/>
        <v>ONAY</v>
      </c>
      <c r="R140" s="51" t="str">
        <f t="shared" si="9"/>
        <v/>
      </c>
      <c r="T140" s="41"/>
      <c r="U140" s="29">
        <f>IF($C140&lt;&gt;"",COUNTIF($C$2:C140,C140),"")</f>
        <v>1</v>
      </c>
      <c r="V140" s="29" t="str">
        <f t="shared" si="10"/>
        <v>Doç. Dr. Seda Hanife OĞUZ BAYKAL§1</v>
      </c>
      <c r="W140" s="29">
        <f>IF(U140=1,COUNTIF($U$2:U140,1),"")</f>
        <v>108</v>
      </c>
      <c r="X140" s="29">
        <f t="shared" si="11"/>
        <v>97</v>
      </c>
      <c r="Y140" s="29">
        <f>IF(AND(LEFT($B140,7)="SBA 26/",$D140&lt;&gt;"",$F140&lt;&gt;""),COUNTIFS($D$2:$D140,$D140,$B$2:$B140,"SBA 26/*",$F$2:$F140,"&lt;&gt;"),"")</f>
        <v>19</v>
      </c>
      <c r="Z140" s="29" t="str">
        <f>IF(Y140=1,COUNTIF($Y$2:Y140,1),"")</f>
        <v/>
      </c>
      <c r="AA140" s="29">
        <f>IF(AND(LEFT($B140,7)="SBA 26/",$C140&lt;&gt;"",$F140&lt;&gt;""),COUNTIFS($C$2:$C140,$C140,$B$2:$B140,"SBA 26/*",$F$2:$F140,"&lt;&gt;"),"")</f>
        <v>1</v>
      </c>
      <c r="AB140" s="29">
        <f>IF(AA140=1,COUNTIF($AA$2:AA140,1),"")</f>
        <v>108</v>
      </c>
    </row>
    <row r="141" spans="1:28" ht="80.25" customHeight="1" x14ac:dyDescent="0.2">
      <c r="A141" s="43" t="s">
        <v>789</v>
      </c>
      <c r="B141" s="43" t="s">
        <v>790</v>
      </c>
      <c r="C141" s="44" t="s">
        <v>578</v>
      </c>
      <c r="D141" s="44" t="s">
        <v>113</v>
      </c>
      <c r="E141" s="45" t="s">
        <v>791</v>
      </c>
      <c r="F141" s="45" t="s">
        <v>792</v>
      </c>
      <c r="G141" s="46" t="s">
        <v>38</v>
      </c>
      <c r="H141" s="48">
        <v>46048</v>
      </c>
      <c r="I141" s="48">
        <v>46057</v>
      </c>
      <c r="J141" s="44" t="s">
        <v>129</v>
      </c>
      <c r="K141" s="44" t="s">
        <v>109</v>
      </c>
      <c r="L141" s="50" t="s">
        <v>77</v>
      </c>
      <c r="M141" s="50"/>
      <c r="N141" s="50"/>
      <c r="O141" s="49"/>
      <c r="P141" s="50" t="str">
        <f t="shared" si="8"/>
        <v>ONAY</v>
      </c>
      <c r="R141" s="51" t="str">
        <f t="shared" si="9"/>
        <v/>
      </c>
      <c r="T141" s="41"/>
      <c r="U141" s="29">
        <f>IF($C141&lt;&gt;"",COUNTIF($C$2:C141,C141),"")</f>
        <v>2</v>
      </c>
      <c r="V141" s="29" t="str">
        <f t="shared" si="10"/>
        <v>Prof. Dr. Ayşe Tomris ERBAŞ§2</v>
      </c>
      <c r="W141" s="29" t="str">
        <f>IF(U141=1,COUNTIF($U$2:U141,1),"")</f>
        <v/>
      </c>
      <c r="X141" s="29" t="str">
        <f t="shared" si="11"/>
        <v/>
      </c>
      <c r="Y141" s="29">
        <f>IF(AND(LEFT($B141,7)="SBA 26/",$D141&lt;&gt;"",$F141&lt;&gt;""),COUNTIFS($D$2:$D141,$D141,$B$2:$B141,"SBA 26/*",$F$2:$F141,"&lt;&gt;"),"")</f>
        <v>20</v>
      </c>
      <c r="Z141" s="29" t="str">
        <f>IF(Y141=1,COUNTIF($Y$2:Y141,1),"")</f>
        <v/>
      </c>
      <c r="AA141" s="29">
        <f>IF(AND(LEFT($B141,7)="SBA 26/",$C141&lt;&gt;"",$F141&lt;&gt;""),COUNTIFS($C$2:$C141,$C141,$B$2:$B141,"SBA 26/*",$F$2:$F141,"&lt;&gt;"),"")</f>
        <v>2</v>
      </c>
      <c r="AB141" s="29" t="str">
        <f>IF(AA141=1,COUNTIF($AA$2:AA141,1),"")</f>
        <v/>
      </c>
    </row>
    <row r="142" spans="1:28" ht="126" customHeight="1" x14ac:dyDescent="0.2">
      <c r="A142" s="43" t="s">
        <v>793</v>
      </c>
      <c r="B142" s="43" t="s">
        <v>794</v>
      </c>
      <c r="C142" s="44" t="s">
        <v>795</v>
      </c>
      <c r="D142" s="44" t="s">
        <v>222</v>
      </c>
      <c r="E142" s="45" t="s">
        <v>796</v>
      </c>
      <c r="F142" s="45" t="s">
        <v>797</v>
      </c>
      <c r="G142" s="46" t="s">
        <v>38</v>
      </c>
      <c r="H142" s="48">
        <v>46048</v>
      </c>
      <c r="I142" s="48">
        <v>46057</v>
      </c>
      <c r="J142" s="44" t="s">
        <v>91</v>
      </c>
      <c r="K142" s="44" t="s">
        <v>76</v>
      </c>
      <c r="L142" s="50" t="s">
        <v>218</v>
      </c>
      <c r="M142" s="50"/>
      <c r="N142" s="50"/>
      <c r="O142" s="49"/>
      <c r="P142" s="50" t="str">
        <f t="shared" si="8"/>
        <v>KAEK</v>
      </c>
      <c r="R142" s="51" t="str">
        <f t="shared" si="9"/>
        <v/>
      </c>
      <c r="T142" s="41"/>
      <c r="U142" s="29">
        <f>IF($C142&lt;&gt;"",COUNTIF($C$2:C142,C142),"")</f>
        <v>1</v>
      </c>
      <c r="V142" s="29" t="str">
        <f t="shared" si="10"/>
        <v>Prof. Dr. Deniz DOĞRU ERSÖZ§1</v>
      </c>
      <c r="W142" s="29">
        <f>IF(U142=1,COUNTIF($U$2:U142,1),"")</f>
        <v>109</v>
      </c>
      <c r="X142" s="29">
        <f t="shared" si="11"/>
        <v>216</v>
      </c>
      <c r="Y142" s="29">
        <f>IF(AND(LEFT($B142,7)="SBA 26/",$D142&lt;&gt;"",$F142&lt;&gt;""),COUNTIFS($D$2:$D142,$D142,$B$2:$B142,"SBA 26/*",$F$2:$F142,"&lt;&gt;"),"")</f>
        <v>18</v>
      </c>
      <c r="Z142" s="29" t="str">
        <f>IF(Y142=1,COUNTIF($Y$2:Y142,1),"")</f>
        <v/>
      </c>
      <c r="AA142" s="29">
        <f>IF(AND(LEFT($B142,7)="SBA 26/",$C142&lt;&gt;"",$F142&lt;&gt;""),COUNTIFS($C$2:$C142,$C142,$B$2:$B142,"SBA 26/*",$F$2:$F142,"&lt;&gt;"),"")</f>
        <v>1</v>
      </c>
      <c r="AB142" s="29">
        <f>IF(AA142=1,COUNTIF($AA$2:AA142,1),"")</f>
        <v>109</v>
      </c>
    </row>
    <row r="143" spans="1:28" ht="63" customHeight="1" x14ac:dyDescent="0.2">
      <c r="A143" s="43" t="s">
        <v>798</v>
      </c>
      <c r="B143" s="43" t="s">
        <v>799</v>
      </c>
      <c r="C143" s="44" t="s">
        <v>800</v>
      </c>
      <c r="D143" s="44" t="s">
        <v>397</v>
      </c>
      <c r="E143" s="45" t="s">
        <v>801</v>
      </c>
      <c r="F143" s="45" t="s">
        <v>802</v>
      </c>
      <c r="G143" s="46" t="s">
        <v>38</v>
      </c>
      <c r="H143" s="48">
        <v>46048</v>
      </c>
      <c r="I143" s="48">
        <v>46057</v>
      </c>
      <c r="J143" s="44" t="s">
        <v>84</v>
      </c>
      <c r="K143" s="44" t="s">
        <v>109</v>
      </c>
      <c r="L143" s="50" t="s">
        <v>77</v>
      </c>
      <c r="M143" s="50"/>
      <c r="N143" s="50"/>
      <c r="O143" s="49"/>
      <c r="P143" s="50" t="str">
        <f t="shared" si="8"/>
        <v>ONAY</v>
      </c>
      <c r="R143" s="51" t="str">
        <f t="shared" si="9"/>
        <v/>
      </c>
      <c r="T143" s="41"/>
      <c r="U143" s="29">
        <f>IF($C143&lt;&gt;"",COUNTIF($C$2:C143,C143),"")</f>
        <v>1</v>
      </c>
      <c r="V143" s="29" t="str">
        <f t="shared" si="10"/>
        <v>Dr. Öğr. Üyesi Emre KARA§1</v>
      </c>
      <c r="W143" s="29">
        <f>IF(U143=1,COUNTIF($U$2:U143,1),"")</f>
        <v>110</v>
      </c>
      <c r="X143" s="29">
        <f t="shared" si="11"/>
        <v>131</v>
      </c>
      <c r="Y143" s="29">
        <f>IF(AND(LEFT($B143,7)="SBA 26/",$D143&lt;&gt;"",$F143&lt;&gt;""),COUNTIFS($D$2:$D143,$D143,$B$2:$B143,"SBA 26/*",$F$2:$F143,"&lt;&gt;"),"")</f>
        <v>7</v>
      </c>
      <c r="Z143" s="29" t="str">
        <f>IF(Y143=1,COUNTIF($Y$2:Y143,1),"")</f>
        <v/>
      </c>
      <c r="AA143" s="29">
        <f>IF(AND(LEFT($B143,7)="SBA 26/",$C143&lt;&gt;"",$F143&lt;&gt;""),COUNTIFS($C$2:$C143,$C143,$B$2:$B143,"SBA 26/*",$F$2:$F143,"&lt;&gt;"),"")</f>
        <v>1</v>
      </c>
      <c r="AB143" s="29">
        <f>IF(AA143=1,COUNTIF($AA$2:AA143,1),"")</f>
        <v>110</v>
      </c>
    </row>
    <row r="144" spans="1:28" ht="63" customHeight="1" x14ac:dyDescent="0.2">
      <c r="A144" s="43" t="s">
        <v>803</v>
      </c>
      <c r="B144" s="43" t="s">
        <v>804</v>
      </c>
      <c r="C144" s="44" t="s">
        <v>384</v>
      </c>
      <c r="D144" s="44" t="s">
        <v>385</v>
      </c>
      <c r="E144" s="45" t="s">
        <v>805</v>
      </c>
      <c r="F144" s="45" t="s">
        <v>806</v>
      </c>
      <c r="G144" s="46" t="s">
        <v>38</v>
      </c>
      <c r="H144" s="48">
        <v>46049</v>
      </c>
      <c r="I144" s="48">
        <v>46057</v>
      </c>
      <c r="J144" s="44" t="s">
        <v>91</v>
      </c>
      <c r="K144" s="44" t="s">
        <v>100</v>
      </c>
      <c r="L144" s="50" t="s">
        <v>101</v>
      </c>
      <c r="M144" s="50" t="s">
        <v>77</v>
      </c>
      <c r="N144" s="50"/>
      <c r="O144" s="49"/>
      <c r="P144" s="50" t="str">
        <f t="shared" si="8"/>
        <v>ONAY</v>
      </c>
      <c r="Q144" s="28" t="s">
        <v>91</v>
      </c>
      <c r="R144" s="51" t="str">
        <f t="shared" si="9"/>
        <v/>
      </c>
      <c r="T144" s="41"/>
      <c r="U144" s="29">
        <f>IF($C144&lt;&gt;"",COUNTIF($C$2:C144,C144),"")</f>
        <v>2</v>
      </c>
      <c r="V144" s="29" t="str">
        <f t="shared" si="10"/>
        <v>Prof. Dr. Tutku SOYER§2</v>
      </c>
      <c r="W144" s="29" t="str">
        <f>IF(U144=1,COUNTIF($U$2:U144,1),"")</f>
        <v/>
      </c>
      <c r="X144" s="29" t="str">
        <f t="shared" si="11"/>
        <v/>
      </c>
      <c r="Y144" s="29">
        <f>IF(AND(LEFT($B144,7)="SBA 26/",$D144&lt;&gt;"",$F144&lt;&gt;""),COUNTIFS($D$2:$D144,$D144,$B$2:$B144,"SBA 26/*",$F$2:$F144,"&lt;&gt;"),"")</f>
        <v>3</v>
      </c>
      <c r="Z144" s="29" t="str">
        <f>IF(Y144=1,COUNTIF($Y$2:Y144,1),"")</f>
        <v/>
      </c>
      <c r="AA144" s="29">
        <f>IF(AND(LEFT($B144,7)="SBA 26/",$C144&lt;&gt;"",$F144&lt;&gt;""),COUNTIFS($C$2:$C144,$C144,$B$2:$B144,"SBA 26/*",$F$2:$F144,"&lt;&gt;"),"")</f>
        <v>2</v>
      </c>
      <c r="AB144" s="29" t="str">
        <f>IF(AA144=1,COUNTIF($AA$2:AA144,1),"")</f>
        <v/>
      </c>
    </row>
    <row r="145" spans="1:28" ht="94.5" customHeight="1" x14ac:dyDescent="0.2">
      <c r="A145" s="43" t="s">
        <v>807</v>
      </c>
      <c r="B145" s="43" t="s">
        <v>808</v>
      </c>
      <c r="C145" s="44" t="s">
        <v>809</v>
      </c>
      <c r="D145" s="44" t="s">
        <v>222</v>
      </c>
      <c r="E145" s="45" t="s">
        <v>810</v>
      </c>
      <c r="F145" s="45" t="s">
        <v>811</v>
      </c>
      <c r="G145" s="46" t="s">
        <v>39</v>
      </c>
      <c r="H145" s="48">
        <v>46049</v>
      </c>
      <c r="I145" s="48">
        <v>46057</v>
      </c>
      <c r="J145" s="44" t="s">
        <v>76</v>
      </c>
      <c r="K145" s="44" t="s">
        <v>123</v>
      </c>
      <c r="L145" s="50" t="s">
        <v>77</v>
      </c>
      <c r="M145" s="50"/>
      <c r="N145" s="50"/>
      <c r="O145" s="49"/>
      <c r="P145" s="50" t="str">
        <f t="shared" si="8"/>
        <v>ONAY</v>
      </c>
      <c r="R145" s="51" t="str">
        <f t="shared" si="9"/>
        <v/>
      </c>
      <c r="T145" s="41"/>
      <c r="U145" s="29">
        <f>IF($C145&lt;&gt;"",COUNTIF($C$2:C145,C145),"")</f>
        <v>1</v>
      </c>
      <c r="V145" s="29" t="str">
        <f t="shared" si="10"/>
        <v>Prof. Dr. Nagehan EMİRALİOĞLU ORDUKAYA§1</v>
      </c>
      <c r="W145" s="29">
        <f>IF(U145=1,COUNTIF($U$2:U145,1),"")</f>
        <v>111</v>
      </c>
      <c r="X145" s="29">
        <f t="shared" si="11"/>
        <v>284</v>
      </c>
      <c r="Y145" s="29">
        <f>IF(AND(LEFT($B145,7)="SBA 26/",$D145&lt;&gt;"",$F145&lt;&gt;""),COUNTIFS($D$2:$D145,$D145,$B$2:$B145,"SBA 26/*",$F$2:$F145,"&lt;&gt;"),"")</f>
        <v>19</v>
      </c>
      <c r="Z145" s="29" t="str">
        <f>IF(Y145=1,COUNTIF($Y$2:Y145,1),"")</f>
        <v/>
      </c>
      <c r="AA145" s="29">
        <f>IF(AND(LEFT($B145,7)="SBA 26/",$C145&lt;&gt;"",$F145&lt;&gt;""),COUNTIFS($C$2:$C145,$C145,$B$2:$B145,"SBA 26/*",$F$2:$F145,"&lt;&gt;"),"")</f>
        <v>1</v>
      </c>
      <c r="AB145" s="29">
        <f>IF(AA145=1,COUNTIF($AA$2:AA145,1),"")</f>
        <v>111</v>
      </c>
    </row>
    <row r="146" spans="1:28" ht="63" customHeight="1" x14ac:dyDescent="0.2">
      <c r="A146" s="43" t="s">
        <v>812</v>
      </c>
      <c r="B146" s="43" t="s">
        <v>813</v>
      </c>
      <c r="C146" s="44" t="s">
        <v>419</v>
      </c>
      <c r="D146" s="44" t="s">
        <v>397</v>
      </c>
      <c r="E146" s="45" t="s">
        <v>814</v>
      </c>
      <c r="F146" s="45" t="s">
        <v>815</v>
      </c>
      <c r="G146" s="46" t="s">
        <v>38</v>
      </c>
      <c r="H146" s="48">
        <v>46049</v>
      </c>
      <c r="I146" s="48">
        <v>46057</v>
      </c>
      <c r="J146" s="44" t="s">
        <v>84</v>
      </c>
      <c r="K146" s="44" t="s">
        <v>123</v>
      </c>
      <c r="L146" s="50" t="s">
        <v>77</v>
      </c>
      <c r="M146" s="50"/>
      <c r="N146" s="50"/>
      <c r="O146" s="49"/>
      <c r="P146" s="50" t="str">
        <f t="shared" si="8"/>
        <v>ONAY</v>
      </c>
      <c r="R146" s="51" t="str">
        <f t="shared" si="9"/>
        <v/>
      </c>
      <c r="T146" s="41"/>
      <c r="U146" s="29">
        <f>IF($C146&lt;&gt;"",COUNTIF($C$2:C146,C146),"")</f>
        <v>3</v>
      </c>
      <c r="V146" s="29" t="str">
        <f t="shared" si="10"/>
        <v>Dr. Öğr. Üyesi Burcu KELLECİ ÇAKIR§3</v>
      </c>
      <c r="W146" s="29" t="str">
        <f>IF(U146=1,COUNTIF($U$2:U146,1),"")</f>
        <v/>
      </c>
      <c r="X146" s="29" t="str">
        <f t="shared" si="11"/>
        <v/>
      </c>
      <c r="Y146" s="29">
        <f>IF(AND(LEFT($B146,7)="SBA 26/",$D146&lt;&gt;"",$F146&lt;&gt;""),COUNTIFS($D$2:$D146,$D146,$B$2:$B146,"SBA 26/*",$F$2:$F146,"&lt;&gt;"),"")</f>
        <v>8</v>
      </c>
      <c r="Z146" s="29" t="str">
        <f>IF(Y146=1,COUNTIF($Y$2:Y146,1),"")</f>
        <v/>
      </c>
      <c r="AA146" s="29">
        <f>IF(AND(LEFT($B146,7)="SBA 26/",$C146&lt;&gt;"",$F146&lt;&gt;""),COUNTIFS($C$2:$C146,$C146,$B$2:$B146,"SBA 26/*",$F$2:$F146,"&lt;&gt;"),"")</f>
        <v>3</v>
      </c>
      <c r="AB146" s="29" t="str">
        <f>IF(AA146=1,COUNTIF($AA$2:AA146,1),"")</f>
        <v/>
      </c>
    </row>
    <row r="147" spans="1:28" ht="81" customHeight="1" x14ac:dyDescent="0.2">
      <c r="A147" s="43" t="s">
        <v>816</v>
      </c>
      <c r="B147" s="43" t="s">
        <v>817</v>
      </c>
      <c r="C147" s="44" t="s">
        <v>818</v>
      </c>
      <c r="D147" s="54" t="s">
        <v>819</v>
      </c>
      <c r="E147" s="45" t="s">
        <v>820</v>
      </c>
      <c r="F147" s="45" t="s">
        <v>821</v>
      </c>
      <c r="G147" s="46" t="s">
        <v>38</v>
      </c>
      <c r="H147" s="48">
        <v>46058</v>
      </c>
      <c r="I147" s="48">
        <v>46070</v>
      </c>
      <c r="J147" s="44" t="s">
        <v>129</v>
      </c>
      <c r="K147" s="44" t="s">
        <v>76</v>
      </c>
      <c r="L147" s="50" t="s">
        <v>77</v>
      </c>
      <c r="M147" s="50"/>
      <c r="N147" s="50"/>
      <c r="O147" s="49"/>
      <c r="P147" s="50" t="str">
        <f t="shared" si="8"/>
        <v>ONAY</v>
      </c>
      <c r="R147" s="51" t="str">
        <f t="shared" si="9"/>
        <v/>
      </c>
      <c r="T147" s="41"/>
      <c r="U147" s="29">
        <f>IF($C147&lt;&gt;"",COUNTIF($C$2:C147,C147),"")</f>
        <v>1</v>
      </c>
      <c r="V147" s="29" t="str">
        <f t="shared" si="10"/>
        <v>Doç. Dr. Gölşah KÖK§1</v>
      </c>
      <c r="W147" s="29">
        <f>IF(U147=1,COUNTIF($U$2:U147,1),"")</f>
        <v>112</v>
      </c>
      <c r="X147" s="29">
        <f t="shared" si="11"/>
        <v>61</v>
      </c>
      <c r="Y147" s="29">
        <f>IF(AND(LEFT($B147,7)="SBA 26/",$D147&lt;&gt;"",$F147&lt;&gt;""),COUNTIFS($D$2:$D147,$D147,$B$2:$B147,"SBA 26/*",$F$2:$F147,"&lt;&gt;"),"")</f>
        <v>1</v>
      </c>
      <c r="Z147" s="29">
        <f>IF(Y147=1,COUNTIF($Y$2:Y147,1),"")</f>
        <v>48</v>
      </c>
      <c r="AA147" s="29">
        <f>IF(AND(LEFT($B147,7)="SBA 26/",$C147&lt;&gt;"",$F147&lt;&gt;""),COUNTIFS($C$2:$C147,$C147,$B$2:$B147,"SBA 26/*",$F$2:$F147,"&lt;&gt;"),"")</f>
        <v>1</v>
      </c>
      <c r="AB147" s="29">
        <f>IF(AA147=1,COUNTIF($AA$2:AA147,1),"")</f>
        <v>112</v>
      </c>
    </row>
    <row r="148" spans="1:28" ht="78.75" customHeight="1" x14ac:dyDescent="0.2">
      <c r="A148" s="43" t="s">
        <v>822</v>
      </c>
      <c r="B148" s="43" t="s">
        <v>823</v>
      </c>
      <c r="C148" s="44" t="s">
        <v>824</v>
      </c>
      <c r="D148" s="44" t="s">
        <v>181</v>
      </c>
      <c r="E148" s="45" t="s">
        <v>825</v>
      </c>
      <c r="F148" s="45" t="s">
        <v>826</v>
      </c>
      <c r="G148" s="46" t="s">
        <v>38</v>
      </c>
      <c r="H148" s="48">
        <v>46058</v>
      </c>
      <c r="I148" s="48">
        <v>46070</v>
      </c>
      <c r="J148" s="44" t="s">
        <v>91</v>
      </c>
      <c r="K148" s="44" t="s">
        <v>92</v>
      </c>
      <c r="L148" s="50" t="s">
        <v>218</v>
      </c>
      <c r="M148" s="50"/>
      <c r="N148" s="50"/>
      <c r="O148" s="49"/>
      <c r="P148" s="50" t="str">
        <f t="shared" si="8"/>
        <v>KAEK</v>
      </c>
      <c r="R148" s="51" t="str">
        <f t="shared" si="9"/>
        <v/>
      </c>
      <c r="T148" s="41"/>
      <c r="U148" s="29">
        <f>IF($C148&lt;&gt;"",COUNTIF($C$2:C148,C148),"")</f>
        <v>1</v>
      </c>
      <c r="V148" s="29" t="str">
        <f t="shared" si="10"/>
        <v>Öğr. Gör. Dr. Pınar ÖZDEMİR YAŞAR§1</v>
      </c>
      <c r="W148" s="29">
        <f>IF(U148=1,COUNTIF($U$2:U148,1),"")</f>
        <v>113</v>
      </c>
      <c r="X148" s="29">
        <f t="shared" si="11"/>
        <v>183</v>
      </c>
      <c r="Y148" s="29">
        <f>IF(AND(LEFT($B148,7)="SBA 26/",$D148&lt;&gt;"",$F148&lt;&gt;""),COUNTIFS($D$2:$D148,$D148,$B$2:$B148,"SBA 26/*",$F$2:$F148,"&lt;&gt;"),"")</f>
        <v>2</v>
      </c>
      <c r="Z148" s="29" t="str">
        <f>IF(Y148=1,COUNTIF($Y$2:Y148,1),"")</f>
        <v/>
      </c>
      <c r="AA148" s="29">
        <f>IF(AND(LEFT($B148,7)="SBA 26/",$C148&lt;&gt;"",$F148&lt;&gt;""),COUNTIFS($C$2:$C148,$C148,$B$2:$B148,"SBA 26/*",$F$2:$F148,"&lt;&gt;"),"")</f>
        <v>1</v>
      </c>
      <c r="AB148" s="29">
        <f>IF(AA148=1,COUNTIF($AA$2:AA148,1),"")</f>
        <v>113</v>
      </c>
    </row>
    <row r="149" spans="1:28" ht="78.75" customHeight="1" x14ac:dyDescent="0.2">
      <c r="A149" s="43" t="s">
        <v>827</v>
      </c>
      <c r="B149" s="43" t="s">
        <v>828</v>
      </c>
      <c r="C149" s="44" t="s">
        <v>711</v>
      </c>
      <c r="D149" s="44" t="s">
        <v>113</v>
      </c>
      <c r="E149" s="45" t="s">
        <v>829</v>
      </c>
      <c r="F149" s="45" t="s">
        <v>830</v>
      </c>
      <c r="G149" s="46" t="s">
        <v>38</v>
      </c>
      <c r="H149" s="48">
        <v>46058</v>
      </c>
      <c r="I149" s="48">
        <v>46070</v>
      </c>
      <c r="J149" s="44" t="s">
        <v>108</v>
      </c>
      <c r="K149" s="44" t="s">
        <v>84</v>
      </c>
      <c r="L149" s="50" t="s">
        <v>77</v>
      </c>
      <c r="M149" s="50"/>
      <c r="N149" s="50"/>
      <c r="O149" s="49"/>
      <c r="P149" s="50" t="str">
        <f t="shared" si="8"/>
        <v>ONAY</v>
      </c>
      <c r="R149" s="51" t="str">
        <f t="shared" si="9"/>
        <v/>
      </c>
      <c r="T149" s="41"/>
      <c r="U149" s="29">
        <f>IF($C149&lt;&gt;"",COUNTIF($C$2:C149,C149),"")</f>
        <v>2</v>
      </c>
      <c r="V149" s="29" t="str">
        <f t="shared" si="10"/>
        <v>Doç. Dr. Süleyman Nahit ŞENDUR§2</v>
      </c>
      <c r="W149" s="29" t="str">
        <f>IF(U149=1,COUNTIF($U$2:U149,1),"")</f>
        <v/>
      </c>
      <c r="X149" s="29" t="str">
        <f t="shared" si="11"/>
        <v/>
      </c>
      <c r="Y149" s="29">
        <f>IF(AND(LEFT($B149,7)="SBA 26/",$D149&lt;&gt;"",$F149&lt;&gt;""),COUNTIFS($D$2:$D149,$D149,$B$2:$B149,"SBA 26/*",$F$2:$F149,"&lt;&gt;"),"")</f>
        <v>21</v>
      </c>
      <c r="Z149" s="29" t="str">
        <f>IF(Y149=1,COUNTIF($Y$2:Y149,1),"")</f>
        <v/>
      </c>
      <c r="AA149" s="29">
        <f>IF(AND(LEFT($B149,7)="SBA 26/",$C149&lt;&gt;"",$F149&lt;&gt;""),COUNTIFS($C$2:$C149,$C149,$B$2:$B149,"SBA 26/*",$F$2:$F149,"&lt;&gt;"),"")</f>
        <v>2</v>
      </c>
      <c r="AB149" s="29" t="str">
        <f>IF(AA149=1,COUNTIF($AA$2:AA149,1),"")</f>
        <v/>
      </c>
    </row>
    <row r="150" spans="1:28" ht="78.75" customHeight="1" x14ac:dyDescent="0.2">
      <c r="A150" s="43" t="s">
        <v>831</v>
      </c>
      <c r="B150" s="43" t="s">
        <v>832</v>
      </c>
      <c r="C150" s="44" t="s">
        <v>711</v>
      </c>
      <c r="D150" s="44" t="s">
        <v>113</v>
      </c>
      <c r="E150" s="45" t="s">
        <v>829</v>
      </c>
      <c r="F150" s="45" t="s">
        <v>833</v>
      </c>
      <c r="G150" s="46" t="s">
        <v>38</v>
      </c>
      <c r="H150" s="48">
        <v>46058</v>
      </c>
      <c r="I150" s="48">
        <v>46070</v>
      </c>
      <c r="J150" s="44" t="s">
        <v>129</v>
      </c>
      <c r="K150" s="44" t="s">
        <v>99</v>
      </c>
      <c r="L150" s="50" t="s">
        <v>77</v>
      </c>
      <c r="M150" s="50"/>
      <c r="N150" s="50"/>
      <c r="O150" s="49"/>
      <c r="P150" s="50" t="str">
        <f t="shared" si="8"/>
        <v>ONAY</v>
      </c>
      <c r="R150" s="51" t="str">
        <f t="shared" si="9"/>
        <v/>
      </c>
      <c r="T150" s="41"/>
      <c r="U150" s="29">
        <f>IF($C150&lt;&gt;"",COUNTIF($C$2:C150,C150),"")</f>
        <v>3</v>
      </c>
      <c r="V150" s="29" t="str">
        <f t="shared" si="10"/>
        <v>Doç. Dr. Süleyman Nahit ŞENDUR§3</v>
      </c>
      <c r="W150" s="29" t="str">
        <f>IF(U150=1,COUNTIF($U$2:U150,1),"")</f>
        <v/>
      </c>
      <c r="X150" s="29" t="str">
        <f t="shared" si="11"/>
        <v/>
      </c>
      <c r="Y150" s="29">
        <f>IF(AND(LEFT($B150,7)="SBA 26/",$D150&lt;&gt;"",$F150&lt;&gt;""),COUNTIFS($D$2:$D150,$D150,$B$2:$B150,"SBA 26/*",$F$2:$F150,"&lt;&gt;"),"")</f>
        <v>22</v>
      </c>
      <c r="Z150" s="29" t="str">
        <f>IF(Y150=1,COUNTIF($Y$2:Y150,1),"")</f>
        <v/>
      </c>
      <c r="AA150" s="29">
        <f>IF(AND(LEFT($B150,7)="SBA 26/",$C150&lt;&gt;"",$F150&lt;&gt;""),COUNTIFS($C$2:$C150,$C150,$B$2:$B150,"SBA 26/*",$F$2:$F150,"&lt;&gt;"),"")</f>
        <v>3</v>
      </c>
      <c r="AB150" s="29" t="str">
        <f>IF(AA150=1,COUNTIF($AA$2:AA150,1),"")</f>
        <v/>
      </c>
    </row>
    <row r="151" spans="1:28" ht="78.75" customHeight="1" x14ac:dyDescent="0.2">
      <c r="A151" s="43" t="s">
        <v>834</v>
      </c>
      <c r="B151" s="43" t="s">
        <v>835</v>
      </c>
      <c r="C151" s="44" t="s">
        <v>711</v>
      </c>
      <c r="D151" s="44" t="s">
        <v>113</v>
      </c>
      <c r="E151" s="45" t="s">
        <v>836</v>
      </c>
      <c r="F151" s="45" t="s">
        <v>837</v>
      </c>
      <c r="G151" s="46" t="s">
        <v>38</v>
      </c>
      <c r="H151" s="48">
        <v>46058</v>
      </c>
      <c r="I151" s="48">
        <v>46070</v>
      </c>
      <c r="J151" s="44" t="s">
        <v>100</v>
      </c>
      <c r="K151" s="44" t="s">
        <v>92</v>
      </c>
      <c r="L151" s="50" t="s">
        <v>77</v>
      </c>
      <c r="M151" s="50"/>
      <c r="N151" s="50"/>
      <c r="O151" s="49"/>
      <c r="P151" s="50" t="str">
        <f t="shared" si="8"/>
        <v>ONAY</v>
      </c>
      <c r="R151" s="51" t="str">
        <f t="shared" si="9"/>
        <v/>
      </c>
      <c r="T151" s="41"/>
      <c r="U151" s="29">
        <f>IF($C151&lt;&gt;"",COUNTIF($C$2:C151,C151),"")</f>
        <v>4</v>
      </c>
      <c r="V151" s="29" t="str">
        <f t="shared" si="10"/>
        <v>Doç. Dr. Süleyman Nahit ŞENDUR§4</v>
      </c>
      <c r="W151" s="29" t="str">
        <f>IF(U151=1,COUNTIF($U$2:U151,1),"")</f>
        <v/>
      </c>
      <c r="X151" s="29" t="str">
        <f t="shared" si="11"/>
        <v/>
      </c>
      <c r="Y151" s="29">
        <f>IF(AND(LEFT($B151,7)="SBA 26/",$D151&lt;&gt;"",$F151&lt;&gt;""),COUNTIFS($D$2:$D151,$D151,$B$2:$B151,"SBA 26/*",$F$2:$F151,"&lt;&gt;"),"")</f>
        <v>23</v>
      </c>
      <c r="Z151" s="29" t="str">
        <f>IF(Y151=1,COUNTIF($Y$2:Y151,1),"")</f>
        <v/>
      </c>
      <c r="AA151" s="29">
        <f>IF(AND(LEFT($B151,7)="SBA 26/",$C151&lt;&gt;"",$F151&lt;&gt;""),COUNTIFS($C$2:$C151,$C151,$B$2:$B151,"SBA 26/*",$F$2:$F151,"&lt;&gt;"),"")</f>
        <v>4</v>
      </c>
      <c r="AB151" s="29" t="str">
        <f>IF(AA151=1,COUNTIF($AA$2:AA151,1),"")</f>
        <v/>
      </c>
    </row>
    <row r="152" spans="1:28" ht="63" customHeight="1" x14ac:dyDescent="0.2">
      <c r="A152" s="43" t="s">
        <v>838</v>
      </c>
      <c r="B152" s="43" t="s">
        <v>839</v>
      </c>
      <c r="C152" s="44" t="s">
        <v>192</v>
      </c>
      <c r="D152" s="44" t="s">
        <v>193</v>
      </c>
      <c r="E152" s="45" t="s">
        <v>840</v>
      </c>
      <c r="F152" s="45" t="s">
        <v>841</v>
      </c>
      <c r="G152" s="46" t="s">
        <v>38</v>
      </c>
      <c r="H152" s="48">
        <v>46058</v>
      </c>
      <c r="I152" s="48">
        <v>46070</v>
      </c>
      <c r="J152" s="44" t="s">
        <v>91</v>
      </c>
      <c r="K152" s="44" t="s">
        <v>123</v>
      </c>
      <c r="L152" s="50" t="s">
        <v>101</v>
      </c>
      <c r="M152" s="50" t="s">
        <v>77</v>
      </c>
      <c r="N152" s="50"/>
      <c r="O152" s="49"/>
      <c r="P152" s="50" t="str">
        <f t="shared" si="8"/>
        <v>ONAY</v>
      </c>
      <c r="Q152" s="28" t="s">
        <v>91</v>
      </c>
      <c r="R152" s="51" t="str">
        <f t="shared" si="9"/>
        <v/>
      </c>
      <c r="T152" s="41"/>
      <c r="U152" s="29">
        <f>IF($C152&lt;&gt;"",COUNTIF($C$2:C152,C152),"")</f>
        <v>4</v>
      </c>
      <c r="V152" s="29" t="str">
        <f t="shared" si="10"/>
        <v>Dr. Öğr. Üyesi Figen BEZCİ AYGÜN§4</v>
      </c>
      <c r="W152" s="29" t="str">
        <f>IF(U152=1,COUNTIF($U$2:U152,1),"")</f>
        <v/>
      </c>
      <c r="X152" s="29" t="str">
        <f t="shared" si="11"/>
        <v/>
      </c>
      <c r="Y152" s="29">
        <f>IF(AND(LEFT($B152,7)="SBA 26/",$D152&lt;&gt;"",$F152&lt;&gt;""),COUNTIFS($D$2:$D152,$D152,$B$2:$B152,"SBA 26/*",$F$2:$F152,"&lt;&gt;"),"")</f>
        <v>6</v>
      </c>
      <c r="Z152" s="29" t="str">
        <f>IF(Y152=1,COUNTIF($Y$2:Y152,1),"")</f>
        <v/>
      </c>
      <c r="AA152" s="29">
        <f>IF(AND(LEFT($B152,7)="SBA 26/",$C152&lt;&gt;"",$F152&lt;&gt;""),COUNTIFS($C$2:$C152,$C152,$B$2:$B152,"SBA 26/*",$F$2:$F152,"&lt;&gt;"),"")</f>
        <v>4</v>
      </c>
      <c r="AB152" s="29" t="str">
        <f>IF(AA152=1,COUNTIF($AA$2:AA152,1),"")</f>
        <v/>
      </c>
    </row>
    <row r="153" spans="1:28" ht="94.5" customHeight="1" x14ac:dyDescent="0.2">
      <c r="A153" s="43" t="s">
        <v>842</v>
      </c>
      <c r="B153" s="43" t="s">
        <v>843</v>
      </c>
      <c r="C153" s="44" t="s">
        <v>112</v>
      </c>
      <c r="D153" s="44" t="s">
        <v>113</v>
      </c>
      <c r="E153" s="45" t="s">
        <v>844</v>
      </c>
      <c r="F153" s="45" t="s">
        <v>845</v>
      </c>
      <c r="G153" s="46" t="s">
        <v>41</v>
      </c>
      <c r="H153" s="48">
        <v>46058</v>
      </c>
      <c r="I153" s="48">
        <v>46070</v>
      </c>
      <c r="J153" s="44" t="s">
        <v>108</v>
      </c>
      <c r="K153" s="44" t="s">
        <v>84</v>
      </c>
      <c r="L153" s="50" t="s">
        <v>206</v>
      </c>
      <c r="M153" s="50" t="s">
        <v>101</v>
      </c>
      <c r="N153" s="50" t="s">
        <v>77</v>
      </c>
      <c r="O153" s="49"/>
      <c r="P153" s="50" t="str">
        <f t="shared" si="8"/>
        <v>ONAY</v>
      </c>
      <c r="Q153" s="28" t="s">
        <v>84</v>
      </c>
      <c r="R153" s="51" t="str">
        <f t="shared" si="9"/>
        <v/>
      </c>
      <c r="T153" s="41"/>
      <c r="U153" s="29">
        <f>IF($C153&lt;&gt;"",COUNTIF($C$2:C153,C153),"")</f>
        <v>6</v>
      </c>
      <c r="V153" s="29" t="str">
        <f t="shared" si="10"/>
        <v>Prof. Dr. Meltem Gülhan HALİL§6</v>
      </c>
      <c r="W153" s="29" t="str">
        <f>IF(U153=1,COUNTIF($U$2:U153,1),"")</f>
        <v/>
      </c>
      <c r="X153" s="29" t="str">
        <f t="shared" si="11"/>
        <v/>
      </c>
      <c r="Y153" s="29">
        <f>IF(AND(LEFT($B153,7)="SBA 26/",$D153&lt;&gt;"",$F153&lt;&gt;""),COUNTIFS($D$2:$D153,$D153,$B$2:$B153,"SBA 26/*",$F$2:$F153,"&lt;&gt;"),"")</f>
        <v>24</v>
      </c>
      <c r="Z153" s="29" t="str">
        <f>IF(Y153=1,COUNTIF($Y$2:Y153,1),"")</f>
        <v/>
      </c>
      <c r="AA153" s="29">
        <f>IF(AND(LEFT($B153,7)="SBA 26/",$C153&lt;&gt;"",$F153&lt;&gt;""),COUNTIFS($C$2:$C153,$C153,$B$2:$B153,"SBA 26/*",$F$2:$F153,"&lt;&gt;"),"")</f>
        <v>6</v>
      </c>
      <c r="AB153" s="29" t="str">
        <f>IF(AA153=1,COUNTIF($AA$2:AA153,1),"")</f>
        <v/>
      </c>
    </row>
    <row r="154" spans="1:28" ht="63" customHeight="1" x14ac:dyDescent="0.2">
      <c r="A154" s="43" t="s">
        <v>846</v>
      </c>
      <c r="B154" s="43" t="s">
        <v>847</v>
      </c>
      <c r="C154" s="44" t="s">
        <v>848</v>
      </c>
      <c r="D154" s="44" t="s">
        <v>391</v>
      </c>
      <c r="E154" s="45" t="s">
        <v>849</v>
      </c>
      <c r="F154" s="45" t="s">
        <v>850</v>
      </c>
      <c r="G154" s="46" t="s">
        <v>38</v>
      </c>
      <c r="H154" s="48">
        <v>46058</v>
      </c>
      <c r="I154" s="48">
        <v>46070</v>
      </c>
      <c r="J154" s="44" t="s">
        <v>76</v>
      </c>
      <c r="K154" s="44" t="s">
        <v>99</v>
      </c>
      <c r="L154" s="50" t="s">
        <v>101</v>
      </c>
      <c r="M154" s="50" t="s">
        <v>77</v>
      </c>
      <c r="N154" s="50"/>
      <c r="O154" s="49"/>
      <c r="P154" s="50" t="str">
        <f t="shared" si="8"/>
        <v>ONAY</v>
      </c>
      <c r="Q154" s="28" t="s">
        <v>76</v>
      </c>
      <c r="R154" s="51" t="str">
        <f t="shared" si="9"/>
        <v/>
      </c>
      <c r="T154" s="41"/>
      <c r="U154" s="29">
        <f>IF($C154&lt;&gt;"",COUNTIF($C$2:C154,C154),"")</f>
        <v>1</v>
      </c>
      <c r="V154" s="29" t="str">
        <f t="shared" si="10"/>
        <v>Dr. Öğr. Üyesi Barış KAFA§1</v>
      </c>
      <c r="W154" s="29">
        <f>IF(U154=1,COUNTIF($U$2:U154,1),"")</f>
        <v>114</v>
      </c>
      <c r="X154" s="29">
        <f t="shared" si="11"/>
        <v>122</v>
      </c>
      <c r="Y154" s="29">
        <f>IF(AND(LEFT($B154,7)="SBA 26/",$D154&lt;&gt;"",$F154&lt;&gt;""),COUNTIFS($D$2:$D154,$D154,$B$2:$B154,"SBA 26/*",$F$2:$F154,"&lt;&gt;"),"")</f>
        <v>2</v>
      </c>
      <c r="Z154" s="29" t="str">
        <f>IF(Y154=1,COUNTIF($Y$2:Y154,1),"")</f>
        <v/>
      </c>
      <c r="AA154" s="29">
        <f>IF(AND(LEFT($B154,7)="SBA 26/",$C154&lt;&gt;"",$F154&lt;&gt;""),COUNTIFS($C$2:$C154,$C154,$B$2:$B154,"SBA 26/*",$F$2:$F154,"&lt;&gt;"),"")</f>
        <v>1</v>
      </c>
      <c r="AB154" s="29">
        <f>IF(AA154=1,COUNTIF($AA$2:AA154,1),"")</f>
        <v>114</v>
      </c>
    </row>
    <row r="155" spans="1:28" ht="63" customHeight="1" x14ac:dyDescent="0.2">
      <c r="A155" s="43" t="s">
        <v>851</v>
      </c>
      <c r="B155" s="43" t="s">
        <v>852</v>
      </c>
      <c r="C155" s="44" t="s">
        <v>853</v>
      </c>
      <c r="D155" s="44" t="s">
        <v>584</v>
      </c>
      <c r="E155" s="45" t="s">
        <v>854</v>
      </c>
      <c r="F155" s="45" t="s">
        <v>855</v>
      </c>
      <c r="G155" s="46" t="s">
        <v>41</v>
      </c>
      <c r="H155" s="48">
        <v>46058</v>
      </c>
      <c r="I155" s="48">
        <v>46070</v>
      </c>
      <c r="J155" s="44" t="s">
        <v>91</v>
      </c>
      <c r="K155" s="44" t="s">
        <v>100</v>
      </c>
      <c r="L155" s="50" t="s">
        <v>77</v>
      </c>
      <c r="M155" s="50"/>
      <c r="N155" s="50"/>
      <c r="O155" s="49"/>
      <c r="P155" s="50" t="str">
        <f t="shared" si="8"/>
        <v>ONAY</v>
      </c>
      <c r="R155" s="51" t="str">
        <f t="shared" si="9"/>
        <v/>
      </c>
      <c r="T155" s="41"/>
      <c r="U155" s="29">
        <f>IF($C155&lt;&gt;"",COUNTIF($C$2:C155,C155),"")</f>
        <v>1</v>
      </c>
      <c r="V155" s="29" t="str">
        <f t="shared" si="10"/>
        <v>Doç. Dr. Burcu HATİBOĞLU§1</v>
      </c>
      <c r="W155" s="29">
        <f>IF(U155=1,COUNTIF($U$2:U155,1),"")</f>
        <v>115</v>
      </c>
      <c r="X155" s="29">
        <f t="shared" si="11"/>
        <v>30</v>
      </c>
      <c r="Y155" s="29">
        <f>IF(AND(LEFT($B155,7)="SBA 26/",$D155&lt;&gt;"",$F155&lt;&gt;""),COUNTIFS($D$2:$D155,$D155,$B$2:$B155,"SBA 26/*",$F$2:$F155,"&lt;&gt;"),"")</f>
        <v>3</v>
      </c>
      <c r="Z155" s="29" t="str">
        <f>IF(Y155=1,COUNTIF($Y$2:Y155,1),"")</f>
        <v/>
      </c>
      <c r="AA155" s="29">
        <f>IF(AND(LEFT($B155,7)="SBA 26/",$C155&lt;&gt;"",$F155&lt;&gt;""),COUNTIFS($C$2:$C155,$C155,$B$2:$B155,"SBA 26/*",$F$2:$F155,"&lt;&gt;"),"")</f>
        <v>1</v>
      </c>
      <c r="AB155" s="29">
        <f>IF(AA155=1,COUNTIF($AA$2:AA155,1),"")</f>
        <v>115</v>
      </c>
    </row>
    <row r="156" spans="1:28" ht="47.25" customHeight="1" x14ac:dyDescent="0.2">
      <c r="A156" s="43" t="s">
        <v>856</v>
      </c>
      <c r="B156" s="43" t="s">
        <v>857</v>
      </c>
      <c r="C156" s="44" t="s">
        <v>858</v>
      </c>
      <c r="D156" s="44" t="s">
        <v>539</v>
      </c>
      <c r="E156" s="45" t="s">
        <v>859</v>
      </c>
      <c r="F156" s="45" t="s">
        <v>860</v>
      </c>
      <c r="G156" s="46" t="s">
        <v>38</v>
      </c>
      <c r="H156" s="48">
        <v>46058</v>
      </c>
      <c r="I156" s="48">
        <v>46070</v>
      </c>
      <c r="J156" s="44" t="s">
        <v>123</v>
      </c>
      <c r="K156" s="44" t="s">
        <v>116</v>
      </c>
      <c r="L156" s="50" t="s">
        <v>77</v>
      </c>
      <c r="M156" s="50"/>
      <c r="N156" s="50"/>
      <c r="O156" s="49"/>
      <c r="P156" s="50" t="str">
        <f t="shared" si="8"/>
        <v>ONAY</v>
      </c>
      <c r="R156" s="51" t="str">
        <f t="shared" si="9"/>
        <v/>
      </c>
      <c r="T156" s="41"/>
      <c r="U156" s="29">
        <f>IF($C156&lt;&gt;"",COUNTIF($C$2:C156,C156),"")</f>
        <v>1</v>
      </c>
      <c r="V156" s="29" t="str">
        <f t="shared" si="10"/>
        <v>Dr. Öğr. Üyesi Hanife Merva PARLAK§1</v>
      </c>
      <c r="W156" s="29">
        <f>IF(U156=1,COUNTIF($U$2:U156,1),"")</f>
        <v>116</v>
      </c>
      <c r="X156" s="29">
        <f t="shared" si="11"/>
        <v>145</v>
      </c>
      <c r="Y156" s="29">
        <f>IF(AND(LEFT($B156,7)="SBA 26/",$D156&lt;&gt;"",$F156&lt;&gt;""),COUNTIFS($D$2:$D156,$D156,$B$2:$B156,"SBA 26/*",$F$2:$F156,"&lt;&gt;"),"")</f>
        <v>2</v>
      </c>
      <c r="Z156" s="29" t="str">
        <f>IF(Y156=1,COUNTIF($Y$2:Y156,1),"")</f>
        <v/>
      </c>
      <c r="AA156" s="29">
        <f>IF(AND(LEFT($B156,7)="SBA 26/",$C156&lt;&gt;"",$F156&lt;&gt;""),COUNTIFS($C$2:$C156,$C156,$B$2:$B156,"SBA 26/*",$F$2:$F156,"&lt;&gt;"),"")</f>
        <v>1</v>
      </c>
      <c r="AB156" s="29">
        <f>IF(AA156=1,COUNTIF($AA$2:AA156,1),"")</f>
        <v>116</v>
      </c>
    </row>
    <row r="157" spans="1:28" ht="78.75" customHeight="1" x14ac:dyDescent="0.2">
      <c r="A157" s="43" t="s">
        <v>861</v>
      </c>
      <c r="B157" s="43" t="s">
        <v>862</v>
      </c>
      <c r="C157" s="44" t="s">
        <v>285</v>
      </c>
      <c r="D157" s="44" t="s">
        <v>222</v>
      </c>
      <c r="E157" s="45" t="s">
        <v>863</v>
      </c>
      <c r="F157" s="45" t="s">
        <v>864</v>
      </c>
      <c r="G157" s="46" t="s">
        <v>38</v>
      </c>
      <c r="H157" s="48">
        <v>46058</v>
      </c>
      <c r="I157" s="48">
        <v>46070</v>
      </c>
      <c r="J157" s="44" t="s">
        <v>91</v>
      </c>
      <c r="K157" s="44" t="s">
        <v>92</v>
      </c>
      <c r="L157" s="50" t="s">
        <v>101</v>
      </c>
      <c r="M157" s="50" t="s">
        <v>77</v>
      </c>
      <c r="N157" s="50"/>
      <c r="O157" s="49"/>
      <c r="P157" s="50" t="str">
        <f t="shared" si="8"/>
        <v>ONAY</v>
      </c>
      <c r="Q157" s="28" t="s">
        <v>91</v>
      </c>
      <c r="R157" s="51" t="str">
        <f t="shared" si="9"/>
        <v/>
      </c>
      <c r="T157" s="41"/>
      <c r="U157" s="29">
        <f>IF($C157&lt;&gt;"",COUNTIF($C$2:C157,C157),"")</f>
        <v>3</v>
      </c>
      <c r="V157" s="29" t="str">
        <f t="shared" si="10"/>
        <v>Prof. Dr. Yasemin ÖZSÜREKCİ§3</v>
      </c>
      <c r="W157" s="29" t="str">
        <f>IF(U157=1,COUNTIF($U$2:U157,1),"")</f>
        <v/>
      </c>
      <c r="X157" s="29" t="str">
        <f t="shared" si="11"/>
        <v/>
      </c>
      <c r="Y157" s="29">
        <f>IF(AND(LEFT($B157,7)="SBA 26/",$D157&lt;&gt;"",$F157&lt;&gt;""),COUNTIFS($D$2:$D157,$D157,$B$2:$B157,"SBA 26/*",$F$2:$F157,"&lt;&gt;"),"")</f>
        <v>20</v>
      </c>
      <c r="Z157" s="29" t="str">
        <f>IF(Y157=1,COUNTIF($Y$2:Y157,1),"")</f>
        <v/>
      </c>
      <c r="AA157" s="29">
        <f>IF(AND(LEFT($B157,7)="SBA 26/",$C157&lt;&gt;"",$F157&lt;&gt;""),COUNTIFS($C$2:$C157,$C157,$B$2:$B157,"SBA 26/*",$F$2:$F157,"&lt;&gt;"),"")</f>
        <v>3</v>
      </c>
      <c r="AB157" s="29" t="str">
        <f>IF(AA157=1,COUNTIF($AA$2:AA157,1),"")</f>
        <v/>
      </c>
    </row>
    <row r="158" spans="1:28" ht="94.5" customHeight="1" x14ac:dyDescent="0.2">
      <c r="A158" s="43" t="s">
        <v>865</v>
      </c>
      <c r="B158" s="43" t="s">
        <v>866</v>
      </c>
      <c r="C158" s="44" t="s">
        <v>867</v>
      </c>
      <c r="D158" s="44" t="s">
        <v>120</v>
      </c>
      <c r="E158" s="45" t="s">
        <v>868</v>
      </c>
      <c r="F158" s="45" t="s">
        <v>869</v>
      </c>
      <c r="G158" s="46" t="s">
        <v>41</v>
      </c>
      <c r="H158" s="48">
        <v>46058</v>
      </c>
      <c r="I158" s="48">
        <v>46070</v>
      </c>
      <c r="J158" s="44" t="s">
        <v>123</v>
      </c>
      <c r="K158" s="44" t="s">
        <v>76</v>
      </c>
      <c r="L158" s="50" t="s">
        <v>77</v>
      </c>
      <c r="M158" s="50"/>
      <c r="N158" s="50"/>
      <c r="O158" s="49"/>
      <c r="P158" s="50" t="str">
        <f t="shared" si="8"/>
        <v>ONAY</v>
      </c>
      <c r="R158" s="51" t="str">
        <f t="shared" si="9"/>
        <v/>
      </c>
      <c r="T158" s="41"/>
      <c r="U158" s="29">
        <f>IF($C158&lt;&gt;"",COUNTIF($C$2:C158,C158),"")</f>
        <v>1</v>
      </c>
      <c r="V158" s="29" t="str">
        <f t="shared" si="10"/>
        <v>Prof. Dr. Hatice DOĞAN BUZOĞLU§1</v>
      </c>
      <c r="W158" s="29">
        <f>IF(U158=1,COUNTIF($U$2:U158,1),"")</f>
        <v>117</v>
      </c>
      <c r="X158" s="29">
        <f t="shared" si="11"/>
        <v>248</v>
      </c>
      <c r="Y158" s="29">
        <f>IF(AND(LEFT($B158,7)="SBA 26/",$D158&lt;&gt;"",$F158&lt;&gt;""),COUNTIFS($D$2:$D158,$D158,$B$2:$B158,"SBA 26/*",$F$2:$F158,"&lt;&gt;"),"")</f>
        <v>2</v>
      </c>
      <c r="Z158" s="29" t="str">
        <f>IF(Y158=1,COUNTIF($Y$2:Y158,1),"")</f>
        <v/>
      </c>
      <c r="AA158" s="29">
        <f>IF(AND(LEFT($B158,7)="SBA 26/",$C158&lt;&gt;"",$F158&lt;&gt;""),COUNTIFS($C$2:$C158,$C158,$B$2:$B158,"SBA 26/*",$F$2:$F158,"&lt;&gt;"),"")</f>
        <v>1</v>
      </c>
      <c r="AB158" s="29">
        <f>IF(AA158=1,COUNTIF($AA$2:AA158,1),"")</f>
        <v>117</v>
      </c>
    </row>
    <row r="159" spans="1:28" ht="63" customHeight="1" x14ac:dyDescent="0.2">
      <c r="A159" s="43" t="s">
        <v>870</v>
      </c>
      <c r="B159" s="43" t="s">
        <v>871</v>
      </c>
      <c r="C159" s="44" t="s">
        <v>872</v>
      </c>
      <c r="D159" s="44" t="s">
        <v>181</v>
      </c>
      <c r="E159" s="45" t="s">
        <v>873</v>
      </c>
      <c r="F159" s="45" t="s">
        <v>874</v>
      </c>
      <c r="G159" s="46" t="s">
        <v>39</v>
      </c>
      <c r="H159" s="48">
        <v>46058</v>
      </c>
      <c r="I159" s="48">
        <v>46070</v>
      </c>
      <c r="J159" s="44" t="s">
        <v>92</v>
      </c>
      <c r="K159" s="44" t="s">
        <v>100</v>
      </c>
      <c r="L159" s="50" t="s">
        <v>101</v>
      </c>
      <c r="M159" s="50" t="s">
        <v>77</v>
      </c>
      <c r="N159" s="50"/>
      <c r="O159" s="49"/>
      <c r="P159" s="50" t="str">
        <f t="shared" si="8"/>
        <v>ONAY</v>
      </c>
      <c r="Q159" s="28" t="s">
        <v>92</v>
      </c>
      <c r="R159" s="51" t="str">
        <f t="shared" si="9"/>
        <v/>
      </c>
      <c r="T159" s="41"/>
      <c r="U159" s="29">
        <f>IF($C159&lt;&gt;"",COUNTIF($C$2:C159,C159),"")</f>
        <v>1</v>
      </c>
      <c r="V159" s="29" t="str">
        <f t="shared" si="10"/>
        <v>Doç. Dr. Almıla Gülsün PAMUK§1</v>
      </c>
      <c r="W159" s="29">
        <f>IF(U159=1,COUNTIF($U$2:U159,1),"")</f>
        <v>118</v>
      </c>
      <c r="X159" s="29">
        <f t="shared" si="11"/>
        <v>19</v>
      </c>
      <c r="Y159" s="29">
        <f>IF(AND(LEFT($B159,7)="SBA 26/",$D159&lt;&gt;"",$F159&lt;&gt;""),COUNTIFS($D$2:$D159,$D159,$B$2:$B159,"SBA 26/*",$F$2:$F159,"&lt;&gt;"),"")</f>
        <v>3</v>
      </c>
      <c r="Z159" s="29" t="str">
        <f>IF(Y159=1,COUNTIF($Y$2:Y159,1),"")</f>
        <v/>
      </c>
      <c r="AA159" s="29">
        <f>IF(AND(LEFT($B159,7)="SBA 26/",$C159&lt;&gt;"",$F159&lt;&gt;""),COUNTIFS($C$2:$C159,$C159,$B$2:$B159,"SBA 26/*",$F$2:$F159,"&lt;&gt;"),"")</f>
        <v>1</v>
      </c>
      <c r="AB159" s="29">
        <f>IF(AA159=1,COUNTIF($AA$2:AA159,1),"")</f>
        <v>118</v>
      </c>
    </row>
    <row r="160" spans="1:28" ht="94.5" customHeight="1" x14ac:dyDescent="0.2">
      <c r="A160" s="43" t="s">
        <v>875</v>
      </c>
      <c r="B160" s="43" t="s">
        <v>876</v>
      </c>
      <c r="C160" s="44" t="s">
        <v>877</v>
      </c>
      <c r="D160" s="44" t="s">
        <v>291</v>
      </c>
      <c r="E160" s="45" t="s">
        <v>878</v>
      </c>
      <c r="F160" s="45" t="s">
        <v>879</v>
      </c>
      <c r="G160" s="46" t="s">
        <v>39</v>
      </c>
      <c r="H160" s="48">
        <v>46058</v>
      </c>
      <c r="I160" s="48">
        <v>46070</v>
      </c>
      <c r="J160" s="44" t="s">
        <v>116</v>
      </c>
      <c r="K160" s="44" t="s">
        <v>129</v>
      </c>
      <c r="L160" s="50" t="s">
        <v>101</v>
      </c>
      <c r="M160" s="50" t="s">
        <v>77</v>
      </c>
      <c r="N160" s="50"/>
      <c r="O160" s="49"/>
      <c r="P160" s="50" t="str">
        <f t="shared" si="8"/>
        <v>ONAY</v>
      </c>
      <c r="Q160" s="28" t="s">
        <v>116</v>
      </c>
      <c r="R160" s="51" t="str">
        <f t="shared" si="9"/>
        <v/>
      </c>
      <c r="T160" s="41"/>
      <c r="U160" s="29">
        <f>IF($C160&lt;&gt;"",COUNTIF($C$2:C160,C160),"")</f>
        <v>1</v>
      </c>
      <c r="V160" s="29" t="str">
        <f t="shared" si="10"/>
        <v>Doç. Dr. Gamze ATAY§1</v>
      </c>
      <c r="W160" s="29">
        <f>IF(U160=1,COUNTIF($U$2:U160,1),"")</f>
        <v>119</v>
      </c>
      <c r="X160" s="29">
        <f t="shared" si="11"/>
        <v>59</v>
      </c>
      <c r="Y160" s="29">
        <f>IF(AND(LEFT($B160,7)="SBA 26/",$D160&lt;&gt;"",$F160&lt;&gt;""),COUNTIFS($D$2:$D160,$D160,$B$2:$B160,"SBA 26/*",$F$2:$F160,"&lt;&gt;"),"")</f>
        <v>5</v>
      </c>
      <c r="Z160" s="29" t="str">
        <f>IF(Y160=1,COUNTIF($Y$2:Y160,1),"")</f>
        <v/>
      </c>
      <c r="AA160" s="29">
        <f>IF(AND(LEFT($B160,7)="SBA 26/",$C160&lt;&gt;"",$F160&lt;&gt;""),COUNTIFS($C$2:$C160,$C160,$B$2:$B160,"SBA 26/*",$F$2:$F160,"&lt;&gt;"),"")</f>
        <v>1</v>
      </c>
      <c r="AB160" s="29">
        <f>IF(AA160=1,COUNTIF($AA$2:AA160,1),"")</f>
        <v>119</v>
      </c>
    </row>
    <row r="161" spans="1:28" ht="80.25" customHeight="1" x14ac:dyDescent="0.2">
      <c r="A161" s="43" t="s">
        <v>880</v>
      </c>
      <c r="B161" s="43" t="s">
        <v>881</v>
      </c>
      <c r="C161" s="44" t="s">
        <v>285</v>
      </c>
      <c r="D161" s="44" t="s">
        <v>222</v>
      </c>
      <c r="E161" s="45" t="s">
        <v>882</v>
      </c>
      <c r="F161" s="45" t="s">
        <v>883</v>
      </c>
      <c r="G161" s="46" t="s">
        <v>38</v>
      </c>
      <c r="H161" s="48">
        <v>46059</v>
      </c>
      <c r="I161" s="48">
        <v>46070</v>
      </c>
      <c r="J161" s="44" t="s">
        <v>76</v>
      </c>
      <c r="K161" s="44" t="s">
        <v>99</v>
      </c>
      <c r="L161" s="50" t="s">
        <v>172</v>
      </c>
      <c r="M161" s="50"/>
      <c r="N161" s="50"/>
      <c r="O161" s="49"/>
      <c r="P161" s="50" t="str">
        <f t="shared" si="8"/>
        <v>RET</v>
      </c>
      <c r="R161" s="51" t="str">
        <f t="shared" si="9"/>
        <v/>
      </c>
      <c r="S161" s="55" t="s">
        <v>884</v>
      </c>
      <c r="T161" s="41"/>
      <c r="U161" s="29">
        <f>IF($C161&lt;&gt;"",COUNTIF($C$2:C161,C161),"")</f>
        <v>4</v>
      </c>
      <c r="V161" s="29" t="str">
        <f t="shared" si="10"/>
        <v>Prof. Dr. Yasemin ÖZSÜREKCİ§4</v>
      </c>
      <c r="W161" s="29" t="str">
        <f>IF(U161=1,COUNTIF($U$2:U161,1),"")</f>
        <v/>
      </c>
      <c r="X161" s="29" t="str">
        <f t="shared" si="11"/>
        <v/>
      </c>
      <c r="Y161" s="29">
        <f>IF(AND(LEFT($B161,7)="SBA 26/",$D161&lt;&gt;"",$F161&lt;&gt;""),COUNTIFS($D$2:$D161,$D161,$B$2:$B161,"SBA 26/*",$F$2:$F161,"&lt;&gt;"),"")</f>
        <v>21</v>
      </c>
      <c r="Z161" s="29" t="str">
        <f>IF(Y161=1,COUNTIF($Y$2:Y161,1),"")</f>
        <v/>
      </c>
      <c r="AA161" s="29">
        <f>IF(AND(LEFT($B161,7)="SBA 26/",$C161&lt;&gt;"",$F161&lt;&gt;""),COUNTIFS($C$2:$C161,$C161,$B$2:$B161,"SBA 26/*",$F$2:$F161,"&lt;&gt;"),"")</f>
        <v>4</v>
      </c>
      <c r="AB161" s="29" t="str">
        <f>IF(AA161=1,COUNTIF($AA$2:AA161,1),"")</f>
        <v/>
      </c>
    </row>
    <row r="162" spans="1:28" ht="78.75" customHeight="1" x14ac:dyDescent="0.2">
      <c r="A162" s="43" t="s">
        <v>885</v>
      </c>
      <c r="B162" s="43" t="s">
        <v>886</v>
      </c>
      <c r="C162" s="44" t="s">
        <v>419</v>
      </c>
      <c r="D162" s="44" t="s">
        <v>397</v>
      </c>
      <c r="E162" s="45" t="s">
        <v>887</v>
      </c>
      <c r="F162" s="45" t="s">
        <v>888</v>
      </c>
      <c r="G162" s="46" t="s">
        <v>38</v>
      </c>
      <c r="H162" s="48">
        <v>46059</v>
      </c>
      <c r="I162" s="48">
        <v>46070</v>
      </c>
      <c r="J162" s="44" t="s">
        <v>129</v>
      </c>
      <c r="K162" s="44" t="s">
        <v>116</v>
      </c>
      <c r="L162" s="50" t="s">
        <v>77</v>
      </c>
      <c r="M162" s="50"/>
      <c r="N162" s="50"/>
      <c r="O162" s="49"/>
      <c r="P162" s="50" t="str">
        <f t="shared" si="8"/>
        <v>ONAY</v>
      </c>
      <c r="R162" s="51" t="str">
        <f t="shared" si="9"/>
        <v/>
      </c>
      <c r="T162" s="41"/>
      <c r="U162" s="29">
        <f>IF($C162&lt;&gt;"",COUNTIF($C$2:C162,C162),"")</f>
        <v>4</v>
      </c>
      <c r="V162" s="29" t="str">
        <f t="shared" si="10"/>
        <v>Dr. Öğr. Üyesi Burcu KELLECİ ÇAKIR§4</v>
      </c>
      <c r="W162" s="29" t="str">
        <f>IF(U162=1,COUNTIF($U$2:U162,1),"")</f>
        <v/>
      </c>
      <c r="X162" s="29" t="str">
        <f t="shared" si="11"/>
        <v/>
      </c>
      <c r="Y162" s="29">
        <f>IF(AND(LEFT($B162,7)="SBA 26/",$D162&lt;&gt;"",$F162&lt;&gt;""),COUNTIFS($D$2:$D162,$D162,$B$2:$B162,"SBA 26/*",$F$2:$F162,"&lt;&gt;"),"")</f>
        <v>9</v>
      </c>
      <c r="Z162" s="29" t="str">
        <f>IF(Y162=1,COUNTIF($Y$2:Y162,1),"")</f>
        <v/>
      </c>
      <c r="AA162" s="29">
        <f>IF(AND(LEFT($B162,7)="SBA 26/",$C162&lt;&gt;"",$F162&lt;&gt;""),COUNTIFS($C$2:$C162,$C162,$B$2:$B162,"SBA 26/*",$F$2:$F162,"&lt;&gt;"),"")</f>
        <v>4</v>
      </c>
      <c r="AB162" s="29" t="str">
        <f>IF(AA162=1,COUNTIF($AA$2:AA162,1),"")</f>
        <v/>
      </c>
    </row>
    <row r="163" spans="1:28" ht="63" customHeight="1" x14ac:dyDescent="0.2">
      <c r="A163" s="43" t="s">
        <v>889</v>
      </c>
      <c r="B163" s="43" t="s">
        <v>890</v>
      </c>
      <c r="C163" s="44" t="s">
        <v>891</v>
      </c>
      <c r="D163" s="44" t="s">
        <v>892</v>
      </c>
      <c r="E163" s="45" t="s">
        <v>893</v>
      </c>
      <c r="F163" s="45" t="s">
        <v>894</v>
      </c>
      <c r="G163" s="46" t="s">
        <v>38</v>
      </c>
      <c r="H163" s="48">
        <v>46059</v>
      </c>
      <c r="I163" s="48">
        <v>46070</v>
      </c>
      <c r="J163" s="44" t="s">
        <v>108</v>
      </c>
      <c r="K163" s="44" t="s">
        <v>84</v>
      </c>
      <c r="L163" s="50" t="s">
        <v>101</v>
      </c>
      <c r="M163" s="50" t="s">
        <v>77</v>
      </c>
      <c r="N163" s="50"/>
      <c r="O163" s="49"/>
      <c r="P163" s="50" t="str">
        <f t="shared" si="8"/>
        <v>ONAY</v>
      </c>
      <c r="Q163" s="28" t="s">
        <v>108</v>
      </c>
      <c r="R163" s="51" t="str">
        <f t="shared" si="9"/>
        <v/>
      </c>
      <c r="T163" s="41"/>
      <c r="U163" s="29">
        <f>IF($C163&lt;&gt;"",COUNTIF($C$2:C163,C163),"")</f>
        <v>1</v>
      </c>
      <c r="V163" s="29" t="str">
        <f t="shared" si="10"/>
        <v>Doç. Dr. Hilal KORKMAZ§1</v>
      </c>
      <c r="W163" s="29">
        <f>IF(U163=1,COUNTIF($U$2:U163,1),"")</f>
        <v>120</v>
      </c>
      <c r="X163" s="29">
        <f t="shared" si="11"/>
        <v>69</v>
      </c>
      <c r="Y163" s="29">
        <f>IF(AND(LEFT($B163,7)="SBA 26/",$D163&lt;&gt;"",$F163&lt;&gt;""),COUNTIFS($D$2:$D163,$D163,$B$2:$B163,"SBA 26/*",$F$2:$F163,"&lt;&gt;"),"")</f>
        <v>1</v>
      </c>
      <c r="Z163" s="29">
        <f>IF(Y163=1,COUNTIF($Y$2:Y163,1),"")</f>
        <v>49</v>
      </c>
      <c r="AA163" s="29">
        <f>IF(AND(LEFT($B163,7)="SBA 26/",$C163&lt;&gt;"",$F163&lt;&gt;""),COUNTIFS($C$2:$C163,$C163,$B$2:$B163,"SBA 26/*",$F$2:$F163,"&lt;&gt;"),"")</f>
        <v>1</v>
      </c>
      <c r="AB163" s="29">
        <f>IF(AA163=1,COUNTIF($AA$2:AA163,1),"")</f>
        <v>120</v>
      </c>
    </row>
    <row r="164" spans="1:28" ht="81.75" customHeight="1" x14ac:dyDescent="0.2">
      <c r="A164" s="43" t="s">
        <v>895</v>
      </c>
      <c r="B164" s="43" t="s">
        <v>896</v>
      </c>
      <c r="C164" s="44" t="s">
        <v>524</v>
      </c>
      <c r="D164" s="44" t="s">
        <v>113</v>
      </c>
      <c r="E164" s="45" t="s">
        <v>897</v>
      </c>
      <c r="F164" s="45" t="s">
        <v>898</v>
      </c>
      <c r="G164" s="46" t="s">
        <v>39</v>
      </c>
      <c r="H164" s="48">
        <v>46059</v>
      </c>
      <c r="I164" s="48">
        <v>46070</v>
      </c>
      <c r="J164" s="44" t="s">
        <v>108</v>
      </c>
      <c r="K164" s="44" t="s">
        <v>84</v>
      </c>
      <c r="L164" s="50" t="s">
        <v>77</v>
      </c>
      <c r="M164" s="50"/>
      <c r="N164" s="50"/>
      <c r="O164" s="49"/>
      <c r="P164" s="50" t="str">
        <f t="shared" si="8"/>
        <v>ONAY</v>
      </c>
      <c r="R164" s="51" t="str">
        <f t="shared" si="9"/>
        <v/>
      </c>
      <c r="T164" s="41"/>
      <c r="U164" s="29">
        <f>IF($C164&lt;&gt;"",COUNTIF($C$2:C164,C164),"")</f>
        <v>2</v>
      </c>
      <c r="V164" s="29" t="str">
        <f t="shared" si="10"/>
        <v>Doç. Dr. Mert EŞME§2</v>
      </c>
      <c r="W164" s="29" t="str">
        <f>IF(U164=1,COUNTIF($U$2:U164,1),"")</f>
        <v/>
      </c>
      <c r="X164" s="29" t="str">
        <f t="shared" si="11"/>
        <v/>
      </c>
      <c r="Y164" s="29">
        <f>IF(AND(LEFT($B164,7)="SBA 26/",$D164&lt;&gt;"",$F164&lt;&gt;""),COUNTIFS($D$2:$D164,$D164,$B$2:$B164,"SBA 26/*",$F$2:$F164,"&lt;&gt;"),"")</f>
        <v>25</v>
      </c>
      <c r="Z164" s="29" t="str">
        <f>IF(Y164=1,COUNTIF($Y$2:Y164,1),"")</f>
        <v/>
      </c>
      <c r="AA164" s="29">
        <f>IF(AND(LEFT($B164,7)="SBA 26/",$C164&lt;&gt;"",$F164&lt;&gt;""),COUNTIFS($C$2:$C164,$C164,$B$2:$B164,"SBA 26/*",$F$2:$F164,"&lt;&gt;"),"")</f>
        <v>2</v>
      </c>
      <c r="AB164" s="29" t="str">
        <f>IF(AA164=1,COUNTIF($AA$2:AA164,1),"")</f>
        <v/>
      </c>
    </row>
    <row r="165" spans="1:28" ht="78.75" customHeight="1" x14ac:dyDescent="0.2">
      <c r="A165" s="43" t="s">
        <v>899</v>
      </c>
      <c r="B165" s="43" t="s">
        <v>900</v>
      </c>
      <c r="C165" s="44" t="s">
        <v>227</v>
      </c>
      <c r="D165" s="44" t="s">
        <v>228</v>
      </c>
      <c r="E165" s="45" t="s">
        <v>901</v>
      </c>
      <c r="F165" s="45" t="s">
        <v>902</v>
      </c>
      <c r="G165" s="46" t="s">
        <v>38</v>
      </c>
      <c r="H165" s="48">
        <v>46059</v>
      </c>
      <c r="I165" s="48">
        <v>46070</v>
      </c>
      <c r="J165" s="44" t="s">
        <v>91</v>
      </c>
      <c r="K165" s="44" t="s">
        <v>92</v>
      </c>
      <c r="L165" s="50" t="s">
        <v>101</v>
      </c>
      <c r="M165" s="50" t="s">
        <v>77</v>
      </c>
      <c r="N165" s="50"/>
      <c r="O165" s="49"/>
      <c r="P165" s="50" t="str">
        <f t="shared" si="8"/>
        <v>ONAY</v>
      </c>
      <c r="Q165" s="28" t="s">
        <v>91</v>
      </c>
      <c r="R165" s="51" t="str">
        <f t="shared" si="9"/>
        <v/>
      </c>
      <c r="T165" s="41"/>
      <c r="U165" s="29">
        <f>IF($C165&lt;&gt;"",COUNTIF($C$2:C165,C165),"")</f>
        <v>2</v>
      </c>
      <c r="V165" s="29" t="str">
        <f t="shared" si="10"/>
        <v>Dr. Öğr. Üyesi Gonca ÖZTEN DERE§2</v>
      </c>
      <c r="W165" s="29" t="str">
        <f>IF(U165=1,COUNTIF($U$2:U165,1),"")</f>
        <v/>
      </c>
      <c r="X165" s="29" t="str">
        <f t="shared" si="11"/>
        <v/>
      </c>
      <c r="Y165" s="29">
        <f>IF(AND(LEFT($B165,7)="SBA 26/",$D165&lt;&gt;"",$F165&lt;&gt;""),COUNTIFS($D$2:$D165,$D165,$B$2:$B165,"SBA 26/*",$F$2:$F165,"&lt;&gt;"),"")</f>
        <v>5</v>
      </c>
      <c r="Z165" s="29" t="str">
        <f>IF(Y165=1,COUNTIF($Y$2:Y165,1),"")</f>
        <v/>
      </c>
      <c r="AA165" s="29">
        <f>IF(AND(LEFT($B165,7)="SBA 26/",$C165&lt;&gt;"",$F165&lt;&gt;""),COUNTIFS($C$2:$C165,$C165,$B$2:$B165,"SBA 26/*",$F$2:$F165,"&lt;&gt;"),"")</f>
        <v>2</v>
      </c>
      <c r="AB165" s="29" t="str">
        <f>IF(AA165=1,COUNTIF($AA$2:AA165,1),"")</f>
        <v/>
      </c>
    </row>
    <row r="166" spans="1:28" ht="78.75" customHeight="1" x14ac:dyDescent="0.2">
      <c r="A166" s="43" t="s">
        <v>903</v>
      </c>
      <c r="B166" s="43" t="s">
        <v>904</v>
      </c>
      <c r="C166" s="44" t="s">
        <v>227</v>
      </c>
      <c r="D166" s="44" t="s">
        <v>228</v>
      </c>
      <c r="E166" s="45" t="s">
        <v>905</v>
      </c>
      <c r="F166" s="45" t="s">
        <v>906</v>
      </c>
      <c r="G166" s="46" t="s">
        <v>38</v>
      </c>
      <c r="H166" s="48">
        <v>46059</v>
      </c>
      <c r="I166" s="48">
        <v>46070</v>
      </c>
      <c r="J166" s="44" t="s">
        <v>91</v>
      </c>
      <c r="K166" s="44" t="s">
        <v>92</v>
      </c>
      <c r="L166" s="50" t="s">
        <v>101</v>
      </c>
      <c r="M166" s="50" t="s">
        <v>77</v>
      </c>
      <c r="N166" s="50"/>
      <c r="O166" s="49"/>
      <c r="P166" s="50" t="str">
        <f t="shared" si="8"/>
        <v>ONAY</v>
      </c>
      <c r="Q166" s="28" t="s">
        <v>91</v>
      </c>
      <c r="R166" s="51" t="str">
        <f t="shared" si="9"/>
        <v/>
      </c>
      <c r="T166" s="41"/>
      <c r="U166" s="29">
        <f>IF($C166&lt;&gt;"",COUNTIF($C$2:C166,C166),"")</f>
        <v>3</v>
      </c>
      <c r="V166" s="29" t="str">
        <f t="shared" si="10"/>
        <v>Dr. Öğr. Üyesi Gonca ÖZTEN DERE§3</v>
      </c>
      <c r="W166" s="29" t="str">
        <f>IF(U166=1,COUNTIF($U$2:U166,1),"")</f>
        <v/>
      </c>
      <c r="X166" s="29" t="str">
        <f t="shared" si="11"/>
        <v/>
      </c>
      <c r="Y166" s="29">
        <f>IF(AND(LEFT($B166,7)="SBA 26/",$D166&lt;&gt;"",$F166&lt;&gt;""),COUNTIFS($D$2:$D166,$D166,$B$2:$B166,"SBA 26/*",$F$2:$F166,"&lt;&gt;"),"")</f>
        <v>6</v>
      </c>
      <c r="Z166" s="29" t="str">
        <f>IF(Y166=1,COUNTIF($Y$2:Y166,1),"")</f>
        <v/>
      </c>
      <c r="AA166" s="29">
        <f>IF(AND(LEFT($B166,7)="SBA 26/",$C166&lt;&gt;"",$F166&lt;&gt;""),COUNTIFS($C$2:$C166,$C166,$B$2:$B166,"SBA 26/*",$F$2:$F166,"&lt;&gt;"),"")</f>
        <v>3</v>
      </c>
      <c r="AB166" s="29" t="str">
        <f>IF(AA166=1,COUNTIF($AA$2:AA166,1),"")</f>
        <v/>
      </c>
    </row>
    <row r="167" spans="1:28" ht="63" customHeight="1" x14ac:dyDescent="0.2">
      <c r="A167" s="43" t="s">
        <v>907</v>
      </c>
      <c r="B167" s="43" t="s">
        <v>908</v>
      </c>
      <c r="C167" s="44" t="s">
        <v>390</v>
      </c>
      <c r="D167" s="44" t="s">
        <v>391</v>
      </c>
      <c r="E167" s="45" t="s">
        <v>909</v>
      </c>
      <c r="F167" s="45" t="s">
        <v>910</v>
      </c>
      <c r="G167" s="46" t="s">
        <v>38</v>
      </c>
      <c r="H167" s="48">
        <v>46059</v>
      </c>
      <c r="I167" s="48">
        <v>46070</v>
      </c>
      <c r="J167" s="44" t="s">
        <v>92</v>
      </c>
      <c r="K167" s="44" t="s">
        <v>100</v>
      </c>
      <c r="L167" s="50" t="s">
        <v>101</v>
      </c>
      <c r="M167" s="50"/>
      <c r="N167" s="50"/>
      <c r="O167" s="49"/>
      <c r="P167" s="50" t="str">
        <f t="shared" si="8"/>
        <v>DÜZELTME</v>
      </c>
      <c r="R167" s="51" t="str">
        <f t="shared" si="9"/>
        <v/>
      </c>
      <c r="T167" s="41"/>
      <c r="U167" s="29">
        <f>IF($C167&lt;&gt;"",COUNTIF($C$2:C167,C167),"")</f>
        <v>2</v>
      </c>
      <c r="V167" s="29" t="str">
        <f t="shared" si="10"/>
        <v>Prof. Dr. Mehmet AYVAZ§2</v>
      </c>
      <c r="W167" s="29" t="str">
        <f>IF(U167=1,COUNTIF($U$2:U167,1),"")</f>
        <v/>
      </c>
      <c r="X167" s="29" t="str">
        <f t="shared" si="11"/>
        <v/>
      </c>
      <c r="Y167" s="29">
        <f>IF(AND(LEFT($B167,7)="SBA 26/",$D167&lt;&gt;"",$F167&lt;&gt;""),COUNTIFS($D$2:$D167,$D167,$B$2:$B167,"SBA 26/*",$F$2:$F167,"&lt;&gt;"),"")</f>
        <v>3</v>
      </c>
      <c r="Z167" s="29" t="str">
        <f>IF(Y167=1,COUNTIF($Y$2:Y167,1),"")</f>
        <v/>
      </c>
      <c r="AA167" s="29">
        <f>IF(AND(LEFT($B167,7)="SBA 26/",$C167&lt;&gt;"",$F167&lt;&gt;""),COUNTIFS($C$2:$C167,$C167,$B$2:$B167,"SBA 26/*",$F$2:$F167,"&lt;&gt;"),"")</f>
        <v>2</v>
      </c>
      <c r="AB167" s="29" t="str">
        <f>IF(AA167=1,COUNTIF($AA$2:AA167,1),"")</f>
        <v/>
      </c>
    </row>
    <row r="168" spans="1:28" ht="63" customHeight="1" x14ac:dyDescent="0.2">
      <c r="A168" s="43" t="s">
        <v>911</v>
      </c>
      <c r="B168" s="43" t="s">
        <v>912</v>
      </c>
      <c r="C168" s="44" t="s">
        <v>390</v>
      </c>
      <c r="D168" s="44" t="s">
        <v>391</v>
      </c>
      <c r="E168" s="45" t="s">
        <v>909</v>
      </c>
      <c r="F168" s="45" t="s">
        <v>913</v>
      </c>
      <c r="G168" s="46" t="s">
        <v>38</v>
      </c>
      <c r="H168" s="48">
        <v>46059</v>
      </c>
      <c r="I168" s="48">
        <v>46070</v>
      </c>
      <c r="J168" s="44" t="s">
        <v>75</v>
      </c>
      <c r="K168" s="44" t="s">
        <v>84</v>
      </c>
      <c r="L168" s="50" t="s">
        <v>101</v>
      </c>
      <c r="M168" s="50"/>
      <c r="N168" s="50"/>
      <c r="O168" s="49"/>
      <c r="P168" s="50" t="str">
        <f t="shared" si="8"/>
        <v>DÜZELTME</v>
      </c>
      <c r="R168" s="51" t="str">
        <f t="shared" si="9"/>
        <v/>
      </c>
      <c r="T168" s="41"/>
      <c r="U168" s="29">
        <f>IF($C168&lt;&gt;"",COUNTIF($C$2:C168,C168),"")</f>
        <v>3</v>
      </c>
      <c r="V168" s="29" t="str">
        <f t="shared" si="10"/>
        <v>Prof. Dr. Mehmet AYVAZ§3</v>
      </c>
      <c r="W168" s="29" t="str">
        <f>IF(U168=1,COUNTIF($U$2:U168,1),"")</f>
        <v/>
      </c>
      <c r="X168" s="29" t="str">
        <f t="shared" si="11"/>
        <v/>
      </c>
      <c r="Y168" s="29">
        <f>IF(AND(LEFT($B168,7)="SBA 26/",$D168&lt;&gt;"",$F168&lt;&gt;""),COUNTIFS($D$2:$D168,$D168,$B$2:$B168,"SBA 26/*",$F$2:$F168,"&lt;&gt;"),"")</f>
        <v>4</v>
      </c>
      <c r="Z168" s="29" t="str">
        <f>IF(Y168=1,COUNTIF($Y$2:Y168,1),"")</f>
        <v/>
      </c>
      <c r="AA168" s="29">
        <f>IF(AND(LEFT($B168,7)="SBA 26/",$C168&lt;&gt;"",$F168&lt;&gt;""),COUNTIFS($C$2:$C168,$C168,$B$2:$B168,"SBA 26/*",$F$2:$F168,"&lt;&gt;"),"")</f>
        <v>3</v>
      </c>
      <c r="AB168" s="29" t="str">
        <f>IF(AA168=1,COUNTIF($AA$2:AA168,1),"")</f>
        <v/>
      </c>
    </row>
    <row r="169" spans="1:28" ht="78.75" customHeight="1" x14ac:dyDescent="0.2">
      <c r="A169" s="43" t="s">
        <v>914</v>
      </c>
      <c r="B169" s="43" t="s">
        <v>915</v>
      </c>
      <c r="C169" s="44" t="s">
        <v>652</v>
      </c>
      <c r="D169" s="44" t="s">
        <v>364</v>
      </c>
      <c r="E169" s="45" t="s">
        <v>916</v>
      </c>
      <c r="F169" s="45" t="s">
        <v>917</v>
      </c>
      <c r="G169" s="46" t="s">
        <v>38</v>
      </c>
      <c r="H169" s="48">
        <v>46059</v>
      </c>
      <c r="I169" s="48">
        <v>46070</v>
      </c>
      <c r="J169" s="44" t="s">
        <v>108</v>
      </c>
      <c r="K169" s="44" t="s">
        <v>116</v>
      </c>
      <c r="L169" s="50" t="s">
        <v>77</v>
      </c>
      <c r="M169" s="50"/>
      <c r="N169" s="50"/>
      <c r="O169" s="49"/>
      <c r="P169" s="50" t="str">
        <f t="shared" si="8"/>
        <v>ONAY</v>
      </c>
      <c r="R169" s="51" t="str">
        <f t="shared" si="9"/>
        <v/>
      </c>
      <c r="T169" s="41"/>
      <c r="U169" s="29">
        <f>IF($C169&lt;&gt;"",COUNTIF($C$2:C169,C169),"")</f>
        <v>2</v>
      </c>
      <c r="V169" s="29" t="str">
        <f t="shared" si="10"/>
        <v>Prof. Dr. Çağrı Mesut TEMUÇİN§2</v>
      </c>
      <c r="W169" s="29" t="str">
        <f>IF(U169=1,COUNTIF($U$2:U169,1),"")</f>
        <v/>
      </c>
      <c r="X169" s="29" t="str">
        <f t="shared" si="11"/>
        <v/>
      </c>
      <c r="Y169" s="29">
        <f>IF(AND(LEFT($B169,7)="SBA 26/",$D169&lt;&gt;"",$F169&lt;&gt;""),COUNTIFS($D$2:$D169,$D169,$B$2:$B169,"SBA 26/*",$F$2:$F169,"&lt;&gt;"),"")</f>
        <v>5</v>
      </c>
      <c r="Z169" s="29" t="str">
        <f>IF(Y169=1,COUNTIF($Y$2:Y169,1),"")</f>
        <v/>
      </c>
      <c r="AA169" s="29">
        <f>IF(AND(LEFT($B169,7)="SBA 26/",$C169&lt;&gt;"",$F169&lt;&gt;""),COUNTIFS($C$2:$C169,$C169,$B$2:$B169,"SBA 26/*",$F$2:$F169,"&lt;&gt;"),"")</f>
        <v>2</v>
      </c>
      <c r="AB169" s="29" t="str">
        <f>IF(AA169=1,COUNTIF($AA$2:AA169,1),"")</f>
        <v/>
      </c>
    </row>
    <row r="170" spans="1:28" ht="78.75" customHeight="1" x14ac:dyDescent="0.2">
      <c r="A170" s="43" t="s">
        <v>918</v>
      </c>
      <c r="B170" s="43" t="s">
        <v>919</v>
      </c>
      <c r="C170" s="44" t="s">
        <v>633</v>
      </c>
      <c r="D170" s="44" t="s">
        <v>228</v>
      </c>
      <c r="E170" s="45" t="s">
        <v>920</v>
      </c>
      <c r="F170" s="45" t="s">
        <v>921</v>
      </c>
      <c r="G170" s="46" t="s">
        <v>38</v>
      </c>
      <c r="H170" s="48">
        <v>46059</v>
      </c>
      <c r="I170" s="48">
        <v>46070</v>
      </c>
      <c r="J170" s="44" t="s">
        <v>75</v>
      </c>
      <c r="K170" s="44" t="s">
        <v>99</v>
      </c>
      <c r="L170" s="50" t="s">
        <v>77</v>
      </c>
      <c r="M170" s="50"/>
      <c r="N170" s="50"/>
      <c r="O170" s="49"/>
      <c r="P170" s="50" t="str">
        <f t="shared" si="8"/>
        <v>ONAY</v>
      </c>
      <c r="R170" s="51" t="str">
        <f t="shared" si="9"/>
        <v/>
      </c>
      <c r="T170" s="41"/>
      <c r="U170" s="29">
        <f>IF($C170&lt;&gt;"",COUNTIF($C$2:C170,C170),"")</f>
        <v>2</v>
      </c>
      <c r="V170" s="29" t="str">
        <f t="shared" si="10"/>
        <v>Doç. Dr. Utku AKGÖR§2</v>
      </c>
      <c r="W170" s="29" t="str">
        <f>IF(U170=1,COUNTIF($U$2:U170,1),"")</f>
        <v/>
      </c>
      <c r="X170" s="29" t="str">
        <f t="shared" si="11"/>
        <v/>
      </c>
      <c r="Y170" s="29">
        <f>IF(AND(LEFT($B170,7)="SBA 26/",$D170&lt;&gt;"",$F170&lt;&gt;""),COUNTIFS($D$2:$D170,$D170,$B$2:$B170,"SBA 26/*",$F$2:$F170,"&lt;&gt;"),"")</f>
        <v>7</v>
      </c>
      <c r="Z170" s="29" t="str">
        <f>IF(Y170=1,COUNTIF($Y$2:Y170,1),"")</f>
        <v/>
      </c>
      <c r="AA170" s="29">
        <f>IF(AND(LEFT($B170,7)="SBA 26/",$C170&lt;&gt;"",$F170&lt;&gt;""),COUNTIFS($C$2:$C170,$C170,$B$2:$B170,"SBA 26/*",$F$2:$F170,"&lt;&gt;"),"")</f>
        <v>2</v>
      </c>
      <c r="AB170" s="29" t="str">
        <f>IF(AA170=1,COUNTIF($AA$2:AA170,1),"")</f>
        <v/>
      </c>
    </row>
    <row r="171" spans="1:28" ht="81.75" customHeight="1" x14ac:dyDescent="0.2">
      <c r="A171" s="43" t="s">
        <v>922</v>
      </c>
      <c r="B171" s="43" t="s">
        <v>923</v>
      </c>
      <c r="C171" s="44" t="s">
        <v>924</v>
      </c>
      <c r="D171" s="44" t="s">
        <v>228</v>
      </c>
      <c r="E171" s="45" t="s">
        <v>925</v>
      </c>
      <c r="F171" s="45" t="s">
        <v>926</v>
      </c>
      <c r="G171" s="46" t="s">
        <v>38</v>
      </c>
      <c r="H171" s="48">
        <v>46059</v>
      </c>
      <c r="I171" s="48">
        <v>46070</v>
      </c>
      <c r="J171" s="44" t="s">
        <v>75</v>
      </c>
      <c r="K171" s="44" t="s">
        <v>99</v>
      </c>
      <c r="L171" s="50" t="s">
        <v>77</v>
      </c>
      <c r="M171" s="50"/>
      <c r="N171" s="50"/>
      <c r="O171" s="49"/>
      <c r="P171" s="50" t="str">
        <f t="shared" si="8"/>
        <v>ONAY</v>
      </c>
      <c r="R171" s="51" t="str">
        <f t="shared" si="9"/>
        <v/>
      </c>
      <c r="T171" s="41"/>
      <c r="U171" s="29">
        <f>IF($C171&lt;&gt;"",COUNTIF($C$2:C171,C171),"")</f>
        <v>1</v>
      </c>
      <c r="V171" s="29" t="str">
        <f t="shared" si="10"/>
        <v>Doç. Dr. Derman BAŞARAN§1</v>
      </c>
      <c r="W171" s="29">
        <f>IF(U171=1,COUNTIF($U$2:U171,1),"")</f>
        <v>121</v>
      </c>
      <c r="X171" s="29">
        <f t="shared" si="11"/>
        <v>38</v>
      </c>
      <c r="Y171" s="29">
        <f>IF(AND(LEFT($B171,7)="SBA 26/",$D171&lt;&gt;"",$F171&lt;&gt;""),COUNTIFS($D$2:$D171,$D171,$B$2:$B171,"SBA 26/*",$F$2:$F171,"&lt;&gt;"),"")</f>
        <v>8</v>
      </c>
      <c r="Z171" s="29" t="str">
        <f>IF(Y171=1,COUNTIF($Y$2:Y171,1),"")</f>
        <v/>
      </c>
      <c r="AA171" s="29">
        <f>IF(AND(LEFT($B171,7)="SBA 26/",$C171&lt;&gt;"",$F171&lt;&gt;""),COUNTIFS($C$2:$C171,$C171,$B$2:$B171,"SBA 26/*",$F$2:$F171,"&lt;&gt;"),"")</f>
        <v>1</v>
      </c>
      <c r="AB171" s="29">
        <f>IF(AA171=1,COUNTIF($AA$2:AA171,1),"")</f>
        <v>121</v>
      </c>
    </row>
    <row r="172" spans="1:28" ht="63" customHeight="1" x14ac:dyDescent="0.2">
      <c r="A172" s="43" t="s">
        <v>927</v>
      </c>
      <c r="B172" s="43" t="s">
        <v>928</v>
      </c>
      <c r="C172" s="44" t="s">
        <v>285</v>
      </c>
      <c r="D172" s="44" t="s">
        <v>222</v>
      </c>
      <c r="E172" s="45" t="s">
        <v>929</v>
      </c>
      <c r="F172" s="45" t="s">
        <v>930</v>
      </c>
      <c r="G172" s="46" t="s">
        <v>38</v>
      </c>
      <c r="H172" s="48">
        <v>46059</v>
      </c>
      <c r="I172" s="48">
        <v>46070</v>
      </c>
      <c r="J172" s="44" t="s">
        <v>76</v>
      </c>
      <c r="K172" s="44" t="s">
        <v>100</v>
      </c>
      <c r="L172" s="50" t="s">
        <v>101</v>
      </c>
      <c r="M172" s="50" t="s">
        <v>77</v>
      </c>
      <c r="N172" s="50"/>
      <c r="O172" s="49"/>
      <c r="P172" s="50" t="str">
        <f t="shared" si="8"/>
        <v>ONAY</v>
      </c>
      <c r="Q172" s="28" t="s">
        <v>76</v>
      </c>
      <c r="R172" s="51" t="str">
        <f t="shared" si="9"/>
        <v/>
      </c>
      <c r="T172" s="41"/>
      <c r="U172" s="29">
        <f>IF($C172&lt;&gt;"",COUNTIF($C$2:C172,C172),"")</f>
        <v>5</v>
      </c>
      <c r="V172" s="29" t="str">
        <f t="shared" si="10"/>
        <v>Prof. Dr. Yasemin ÖZSÜREKCİ§5</v>
      </c>
      <c r="W172" s="29" t="str">
        <f>IF(U172=1,COUNTIF($U$2:U172,1),"")</f>
        <v/>
      </c>
      <c r="X172" s="29" t="str">
        <f t="shared" si="11"/>
        <v/>
      </c>
      <c r="Y172" s="29">
        <f>IF(AND(LEFT($B172,7)="SBA 26/",$D172&lt;&gt;"",$F172&lt;&gt;""),COUNTIFS($D$2:$D172,$D172,$B$2:$B172,"SBA 26/*",$F$2:$F172,"&lt;&gt;"),"")</f>
        <v>22</v>
      </c>
      <c r="Z172" s="29" t="str">
        <f>IF(Y172=1,COUNTIF($Y$2:Y172,1),"")</f>
        <v/>
      </c>
      <c r="AA172" s="29">
        <f>IF(AND(LEFT($B172,7)="SBA 26/",$C172&lt;&gt;"",$F172&lt;&gt;""),COUNTIFS($C$2:$C172,$C172,$B$2:$B172,"SBA 26/*",$F$2:$F172,"&lt;&gt;"),"")</f>
        <v>5</v>
      </c>
      <c r="AB172" s="29" t="str">
        <f>IF(AA172=1,COUNTIF($AA$2:AA172,1),"")</f>
        <v/>
      </c>
    </row>
    <row r="173" spans="1:28" ht="78.75" customHeight="1" x14ac:dyDescent="0.2">
      <c r="A173" s="43" t="s">
        <v>931</v>
      </c>
      <c r="B173" s="43" t="s">
        <v>932</v>
      </c>
      <c r="C173" s="44" t="s">
        <v>524</v>
      </c>
      <c r="D173" s="44" t="s">
        <v>113</v>
      </c>
      <c r="E173" s="45" t="s">
        <v>933</v>
      </c>
      <c r="F173" s="45" t="s">
        <v>934</v>
      </c>
      <c r="G173" s="46" t="s">
        <v>38</v>
      </c>
      <c r="H173" s="48">
        <v>46059</v>
      </c>
      <c r="I173" s="48">
        <v>46070</v>
      </c>
      <c r="J173" s="44" t="s">
        <v>116</v>
      </c>
      <c r="K173" s="44" t="s">
        <v>129</v>
      </c>
      <c r="L173" s="50" t="s">
        <v>101</v>
      </c>
      <c r="M173" s="50" t="s">
        <v>77</v>
      </c>
      <c r="N173" s="50"/>
      <c r="O173" s="49"/>
      <c r="P173" s="50" t="str">
        <f t="shared" si="8"/>
        <v>ONAY</v>
      </c>
      <c r="Q173" s="28" t="s">
        <v>116</v>
      </c>
      <c r="R173" s="51" t="str">
        <f t="shared" si="9"/>
        <v/>
      </c>
      <c r="T173" s="41"/>
      <c r="U173" s="29">
        <f>IF($C173&lt;&gt;"",COUNTIF($C$2:C173,C173),"")</f>
        <v>3</v>
      </c>
      <c r="V173" s="29" t="str">
        <f t="shared" si="10"/>
        <v>Doç. Dr. Mert EŞME§3</v>
      </c>
      <c r="W173" s="29" t="str">
        <f>IF(U173=1,COUNTIF($U$2:U173,1),"")</f>
        <v/>
      </c>
      <c r="X173" s="29" t="str">
        <f t="shared" si="11"/>
        <v/>
      </c>
      <c r="Y173" s="29">
        <f>IF(AND(LEFT($B173,7)="SBA 26/",$D173&lt;&gt;"",$F173&lt;&gt;""),COUNTIFS($D$2:$D173,$D173,$B$2:$B173,"SBA 26/*",$F$2:$F173,"&lt;&gt;"),"")</f>
        <v>26</v>
      </c>
      <c r="Z173" s="29" t="str">
        <f>IF(Y173=1,COUNTIF($Y$2:Y173,1),"")</f>
        <v/>
      </c>
      <c r="AA173" s="29">
        <f>IF(AND(LEFT($B173,7)="SBA 26/",$C173&lt;&gt;"",$F173&lt;&gt;""),COUNTIFS($C$2:$C173,$C173,$B$2:$B173,"SBA 26/*",$F$2:$F173,"&lt;&gt;"),"")</f>
        <v>3</v>
      </c>
      <c r="AB173" s="29" t="str">
        <f>IF(AA173=1,COUNTIF($AA$2:AA173,1),"")</f>
        <v/>
      </c>
    </row>
    <row r="174" spans="1:28" ht="80.25" customHeight="1" x14ac:dyDescent="0.2">
      <c r="A174" s="43" t="s">
        <v>935</v>
      </c>
      <c r="B174" s="43" t="s">
        <v>936</v>
      </c>
      <c r="C174" s="44" t="s">
        <v>937</v>
      </c>
      <c r="D174" s="44" t="s">
        <v>341</v>
      </c>
      <c r="E174" s="45" t="s">
        <v>938</v>
      </c>
      <c r="F174" s="45" t="s">
        <v>939</v>
      </c>
      <c r="G174" s="46" t="s">
        <v>38</v>
      </c>
      <c r="H174" s="48">
        <v>46059</v>
      </c>
      <c r="I174" s="48">
        <v>46070</v>
      </c>
      <c r="J174" s="44" t="s">
        <v>75</v>
      </c>
      <c r="K174" s="44" t="s">
        <v>123</v>
      </c>
      <c r="L174" s="50" t="s">
        <v>77</v>
      </c>
      <c r="M174" s="50"/>
      <c r="N174" s="50"/>
      <c r="O174" s="49"/>
      <c r="P174" s="50" t="str">
        <f t="shared" si="8"/>
        <v>ONAY</v>
      </c>
      <c r="R174" s="51" t="str">
        <f t="shared" si="9"/>
        <v/>
      </c>
      <c r="T174" s="41"/>
      <c r="U174" s="29">
        <f>IF($C174&lt;&gt;"",COUNTIF($C$2:C174,C174),"")</f>
        <v>1</v>
      </c>
      <c r="V174" s="29" t="str">
        <f t="shared" si="10"/>
        <v>Doç. Dr. Duygu GÜLSEREN§1</v>
      </c>
      <c r="W174" s="29">
        <f>IF(U174=1,COUNTIF($U$2:U174,1),"")</f>
        <v>122</v>
      </c>
      <c r="X174" s="29">
        <f t="shared" si="11"/>
        <v>42</v>
      </c>
      <c r="Y174" s="29">
        <f>IF(AND(LEFT($B174,7)="SBA 26/",$D174&lt;&gt;"",$F174&lt;&gt;""),COUNTIFS($D$2:$D174,$D174,$B$2:$B174,"SBA 26/*",$F$2:$F174,"&lt;&gt;"),"")</f>
        <v>4</v>
      </c>
      <c r="Z174" s="29" t="str">
        <f>IF(Y174=1,COUNTIF($Y$2:Y174,1),"")</f>
        <v/>
      </c>
      <c r="AA174" s="29">
        <f>IF(AND(LEFT($B174,7)="SBA 26/",$C174&lt;&gt;"",$F174&lt;&gt;""),COUNTIFS($C$2:$C174,$C174,$B$2:$B174,"SBA 26/*",$F$2:$F174,"&lt;&gt;"),"")</f>
        <v>1</v>
      </c>
      <c r="AB174" s="29">
        <f>IF(AA174=1,COUNTIF($AA$2:AA174,1),"")</f>
        <v>122</v>
      </c>
    </row>
    <row r="175" spans="1:28" ht="94.5" customHeight="1" x14ac:dyDescent="0.2">
      <c r="A175" s="43" t="s">
        <v>940</v>
      </c>
      <c r="B175" s="43" t="s">
        <v>941</v>
      </c>
      <c r="C175" s="44" t="s">
        <v>942</v>
      </c>
      <c r="D175" s="44" t="s">
        <v>391</v>
      </c>
      <c r="E175" s="45" t="s">
        <v>943</v>
      </c>
      <c r="F175" s="45" t="s">
        <v>944</v>
      </c>
      <c r="G175" s="46" t="s">
        <v>40</v>
      </c>
      <c r="H175" s="48">
        <v>46062</v>
      </c>
      <c r="I175" s="48">
        <v>46070</v>
      </c>
      <c r="J175" s="44" t="s">
        <v>75</v>
      </c>
      <c r="K175" s="44" t="s">
        <v>84</v>
      </c>
      <c r="L175" s="50" t="s">
        <v>101</v>
      </c>
      <c r="M175" s="50" t="s">
        <v>77</v>
      </c>
      <c r="N175" s="50"/>
      <c r="O175" s="49"/>
      <c r="P175" s="50" t="str">
        <f t="shared" si="8"/>
        <v>ONAY</v>
      </c>
      <c r="Q175" s="28" t="s">
        <v>75</v>
      </c>
      <c r="R175" s="51" t="str">
        <f t="shared" si="9"/>
        <v/>
      </c>
      <c r="T175" s="41"/>
      <c r="U175" s="29">
        <f>IF($C175&lt;&gt;"",COUNTIF($C$2:C175,C175),"")</f>
        <v>1</v>
      </c>
      <c r="V175" s="29" t="str">
        <f t="shared" si="10"/>
        <v>Prof. Dr. Egemen TURHAN§1</v>
      </c>
      <c r="W175" s="29">
        <f>IF(U175=1,COUNTIF($U$2:U175,1),"")</f>
        <v>123</v>
      </c>
      <c r="X175" s="29">
        <f t="shared" si="11"/>
        <v>222</v>
      </c>
      <c r="Y175" s="29">
        <f>IF(AND(LEFT($B175,7)="SBA 26/",$D175&lt;&gt;"",$F175&lt;&gt;""),COUNTIFS($D$2:$D175,$D175,$B$2:$B175,"SBA 26/*",$F$2:$F175,"&lt;&gt;"),"")</f>
        <v>5</v>
      </c>
      <c r="Z175" s="29" t="str">
        <f>IF(Y175=1,COUNTIF($Y$2:Y175,1),"")</f>
        <v/>
      </c>
      <c r="AA175" s="29">
        <f>IF(AND(LEFT($B175,7)="SBA 26/",$C175&lt;&gt;"",$F175&lt;&gt;""),COUNTIFS($C$2:$C175,$C175,$B$2:$B175,"SBA 26/*",$F$2:$F175,"&lt;&gt;"),"")</f>
        <v>1</v>
      </c>
      <c r="AB175" s="29">
        <f>IF(AA175=1,COUNTIF($AA$2:AA175,1),"")</f>
        <v>123</v>
      </c>
    </row>
    <row r="176" spans="1:28" ht="95.25" customHeight="1" x14ac:dyDescent="0.2">
      <c r="A176" s="43" t="s">
        <v>945</v>
      </c>
      <c r="B176" s="43" t="s">
        <v>946</v>
      </c>
      <c r="C176" s="44" t="s">
        <v>947</v>
      </c>
      <c r="D176" s="44" t="s">
        <v>169</v>
      </c>
      <c r="E176" s="45" t="s">
        <v>948</v>
      </c>
      <c r="F176" s="45" t="s">
        <v>949</v>
      </c>
      <c r="G176" s="46" t="s">
        <v>39</v>
      </c>
      <c r="H176" s="48">
        <v>46062</v>
      </c>
      <c r="I176" s="48">
        <v>46070</v>
      </c>
      <c r="J176" s="44" t="s">
        <v>75</v>
      </c>
      <c r="K176" s="44" t="s">
        <v>108</v>
      </c>
      <c r="L176" s="50" t="s">
        <v>101</v>
      </c>
      <c r="M176" s="50" t="s">
        <v>77</v>
      </c>
      <c r="N176" s="50"/>
      <c r="O176" s="49"/>
      <c r="P176" s="50" t="str">
        <f t="shared" si="8"/>
        <v>ONAY</v>
      </c>
      <c r="Q176" s="28" t="s">
        <v>75</v>
      </c>
      <c r="R176" s="51" t="str">
        <f t="shared" si="9"/>
        <v/>
      </c>
      <c r="T176" s="41"/>
      <c r="U176" s="29">
        <f>IF($C176&lt;&gt;"",COUNTIF($C$2:C176,C176),"")</f>
        <v>1</v>
      </c>
      <c r="V176" s="29" t="str">
        <f t="shared" si="10"/>
        <v>Prof. Dr. Sevinç SARINÇ§1</v>
      </c>
      <c r="W176" s="29">
        <f>IF(U176=1,COUNTIF($U$2:U176,1),"")</f>
        <v>124</v>
      </c>
      <c r="X176" s="29">
        <f t="shared" si="11"/>
        <v>318</v>
      </c>
      <c r="Y176" s="29">
        <f>IF(AND(LEFT($B176,7)="SBA 26/",$D176&lt;&gt;"",$F176&lt;&gt;""),COUNTIFS($D$2:$D176,$D176,$B$2:$B176,"SBA 26/*",$F$2:$F176,"&lt;&gt;"),"")</f>
        <v>9</v>
      </c>
      <c r="Z176" s="29" t="str">
        <f>IF(Y176=1,COUNTIF($Y$2:Y176,1),"")</f>
        <v/>
      </c>
      <c r="AA176" s="29">
        <f>IF(AND(LEFT($B176,7)="SBA 26/",$C176&lt;&gt;"",$F176&lt;&gt;""),COUNTIFS($C$2:$C176,$C176,$B$2:$B176,"SBA 26/*",$F$2:$F176,"&lt;&gt;"),"")</f>
        <v>1</v>
      </c>
      <c r="AB176" s="29">
        <f>IF(AA176=1,COUNTIF($AA$2:AA176,1),"")</f>
        <v>124</v>
      </c>
    </row>
    <row r="177" spans="1:28" ht="94.5" customHeight="1" x14ac:dyDescent="0.2">
      <c r="A177" s="43" t="s">
        <v>950</v>
      </c>
      <c r="B177" s="43" t="s">
        <v>951</v>
      </c>
      <c r="C177" s="44" t="s">
        <v>952</v>
      </c>
      <c r="D177" s="44" t="s">
        <v>404</v>
      </c>
      <c r="E177" s="45" t="s">
        <v>953</v>
      </c>
      <c r="F177" s="45" t="s">
        <v>954</v>
      </c>
      <c r="G177" s="46" t="s">
        <v>38</v>
      </c>
      <c r="H177" s="48">
        <v>46062</v>
      </c>
      <c r="I177" s="48">
        <v>46070</v>
      </c>
      <c r="J177" s="44" t="s">
        <v>129</v>
      </c>
      <c r="K177" s="44" t="s">
        <v>108</v>
      </c>
      <c r="L177" s="50" t="s">
        <v>77</v>
      </c>
      <c r="M177" s="50"/>
      <c r="N177" s="50"/>
      <c r="O177" s="49"/>
      <c r="P177" s="50" t="str">
        <f t="shared" si="8"/>
        <v>ONAY</v>
      </c>
      <c r="R177" s="51" t="str">
        <f t="shared" si="9"/>
        <v/>
      </c>
      <c r="T177" s="41"/>
      <c r="U177" s="29">
        <f>IF($C177&lt;&gt;"",COUNTIF($C$2:C177,C177),"")</f>
        <v>1</v>
      </c>
      <c r="V177" s="29" t="str">
        <f t="shared" si="10"/>
        <v>Prof. Dr. Serdar TEKGÜL§1</v>
      </c>
      <c r="W177" s="29">
        <f>IF(U177=1,COUNTIF($U$2:U177,1),"")</f>
        <v>125</v>
      </c>
      <c r="X177" s="29">
        <f t="shared" si="11"/>
        <v>317</v>
      </c>
      <c r="Y177" s="29">
        <f>IF(AND(LEFT($B177,7)="SBA 26/",$D177&lt;&gt;"",$F177&lt;&gt;""),COUNTIFS($D$2:$D177,$D177,$B$2:$B177,"SBA 26/*",$F$2:$F177,"&lt;&gt;"),"")</f>
        <v>2</v>
      </c>
      <c r="Z177" s="29" t="str">
        <f>IF(Y177=1,COUNTIF($Y$2:Y177,1),"")</f>
        <v/>
      </c>
      <c r="AA177" s="29">
        <f>IF(AND(LEFT($B177,7)="SBA 26/",$C177&lt;&gt;"",$F177&lt;&gt;""),COUNTIFS($C$2:$C177,$C177,$B$2:$B177,"SBA 26/*",$F$2:$F177,"&lt;&gt;"),"")</f>
        <v>1</v>
      </c>
      <c r="AB177" s="29">
        <f>IF(AA177=1,COUNTIF($AA$2:AA177,1),"")</f>
        <v>125</v>
      </c>
    </row>
    <row r="178" spans="1:28" ht="63" customHeight="1" x14ac:dyDescent="0.2">
      <c r="A178" s="43" t="s">
        <v>955</v>
      </c>
      <c r="B178" s="43" t="s">
        <v>956</v>
      </c>
      <c r="C178" s="44" t="s">
        <v>957</v>
      </c>
      <c r="D178" s="44" t="s">
        <v>404</v>
      </c>
      <c r="E178" s="45" t="s">
        <v>958</v>
      </c>
      <c r="F178" s="45" t="s">
        <v>959</v>
      </c>
      <c r="G178" s="46" t="s">
        <v>38</v>
      </c>
      <c r="H178" s="48">
        <v>46062</v>
      </c>
      <c r="I178" s="48">
        <v>46070</v>
      </c>
      <c r="J178" s="44" t="s">
        <v>76</v>
      </c>
      <c r="K178" s="44" t="s">
        <v>100</v>
      </c>
      <c r="L178" s="50" t="s">
        <v>77</v>
      </c>
      <c r="M178" s="50"/>
      <c r="N178" s="50"/>
      <c r="O178" s="49"/>
      <c r="P178" s="50" t="str">
        <f t="shared" si="8"/>
        <v>ONAY</v>
      </c>
      <c r="R178" s="51" t="str">
        <f t="shared" si="9"/>
        <v/>
      </c>
      <c r="T178" s="41"/>
      <c r="U178" s="29">
        <f>IF($C178&lt;&gt;"",COUNTIF($C$2:C178,C178),"")</f>
        <v>1</v>
      </c>
      <c r="V178" s="29" t="str">
        <f t="shared" si="10"/>
        <v>Doç. Dr. Mesut ALTAN§1</v>
      </c>
      <c r="W178" s="29">
        <f>IF(U178=1,COUNTIF($U$2:U178,1),"")</f>
        <v>126</v>
      </c>
      <c r="X178" s="29">
        <f t="shared" si="11"/>
        <v>83</v>
      </c>
      <c r="Y178" s="29">
        <f>IF(AND(LEFT($B178,7)="SBA 26/",$D178&lt;&gt;"",$F178&lt;&gt;""),COUNTIFS($D$2:$D178,$D178,$B$2:$B178,"SBA 26/*",$F$2:$F178,"&lt;&gt;"),"")</f>
        <v>3</v>
      </c>
      <c r="Z178" s="29" t="str">
        <f>IF(Y178=1,COUNTIF($Y$2:Y178,1),"")</f>
        <v/>
      </c>
      <c r="AA178" s="29">
        <f>IF(AND(LEFT($B178,7)="SBA 26/",$C178&lt;&gt;"",$F178&lt;&gt;""),COUNTIFS($C$2:$C178,$C178,$B$2:$B178,"SBA 26/*",$F$2:$F178,"&lt;&gt;"),"")</f>
        <v>1</v>
      </c>
      <c r="AB178" s="29">
        <f>IF(AA178=1,COUNTIF($AA$2:AA178,1),"")</f>
        <v>126</v>
      </c>
    </row>
    <row r="179" spans="1:28" ht="63" customHeight="1" x14ac:dyDescent="0.2">
      <c r="A179" s="43" t="s">
        <v>960</v>
      </c>
      <c r="B179" s="43" t="s">
        <v>961</v>
      </c>
      <c r="C179" s="44" t="s">
        <v>957</v>
      </c>
      <c r="D179" s="44" t="s">
        <v>404</v>
      </c>
      <c r="E179" s="45" t="s">
        <v>958</v>
      </c>
      <c r="F179" s="45" t="s">
        <v>962</v>
      </c>
      <c r="G179" s="46" t="s">
        <v>38</v>
      </c>
      <c r="H179" s="48">
        <v>46062</v>
      </c>
      <c r="I179" s="48">
        <v>46070</v>
      </c>
      <c r="J179" s="44" t="s">
        <v>76</v>
      </c>
      <c r="K179" s="44" t="s">
        <v>100</v>
      </c>
      <c r="L179" s="50" t="s">
        <v>77</v>
      </c>
      <c r="M179" s="50"/>
      <c r="N179" s="50"/>
      <c r="O179" s="49"/>
      <c r="P179" s="50" t="str">
        <f t="shared" si="8"/>
        <v>ONAY</v>
      </c>
      <c r="R179" s="51" t="str">
        <f t="shared" si="9"/>
        <v/>
      </c>
      <c r="T179" s="41"/>
      <c r="U179" s="29">
        <f>IF($C179&lt;&gt;"",COUNTIF($C$2:C179,C179),"")</f>
        <v>2</v>
      </c>
      <c r="V179" s="29" t="str">
        <f t="shared" si="10"/>
        <v>Doç. Dr. Mesut ALTAN§2</v>
      </c>
      <c r="W179" s="29" t="str">
        <f>IF(U179=1,COUNTIF($U$2:U179,1),"")</f>
        <v/>
      </c>
      <c r="X179" s="29" t="str">
        <f t="shared" si="11"/>
        <v/>
      </c>
      <c r="Y179" s="29">
        <f>IF(AND(LEFT($B179,7)="SBA 26/",$D179&lt;&gt;"",$F179&lt;&gt;""),COUNTIFS($D$2:$D179,$D179,$B$2:$B179,"SBA 26/*",$F$2:$F179,"&lt;&gt;"),"")</f>
        <v>4</v>
      </c>
      <c r="Z179" s="29" t="str">
        <f>IF(Y179=1,COUNTIF($Y$2:Y179,1),"")</f>
        <v/>
      </c>
      <c r="AA179" s="29">
        <f>IF(AND(LEFT($B179,7)="SBA 26/",$C179&lt;&gt;"",$F179&lt;&gt;""),COUNTIFS($C$2:$C179,$C179,$B$2:$B179,"SBA 26/*",$F$2:$F179,"&lt;&gt;"),"")</f>
        <v>2</v>
      </c>
      <c r="AB179" s="29" t="str">
        <f>IF(AA179=1,COUNTIF($AA$2:AA179,1),"")</f>
        <v/>
      </c>
    </row>
    <row r="180" spans="1:28" ht="63" customHeight="1" x14ac:dyDescent="0.2">
      <c r="A180" s="43" t="s">
        <v>963</v>
      </c>
      <c r="B180" s="43" t="s">
        <v>964</v>
      </c>
      <c r="C180" s="44" t="s">
        <v>965</v>
      </c>
      <c r="D180" s="44" t="s">
        <v>966</v>
      </c>
      <c r="E180" s="45" t="s">
        <v>967</v>
      </c>
      <c r="F180" s="45" t="s">
        <v>968</v>
      </c>
      <c r="G180" s="46" t="s">
        <v>38</v>
      </c>
      <c r="H180" s="48">
        <v>46062</v>
      </c>
      <c r="I180" s="48">
        <v>46070</v>
      </c>
      <c r="J180" s="44" t="s">
        <v>99</v>
      </c>
      <c r="K180" s="44" t="s">
        <v>116</v>
      </c>
      <c r="L180" s="50" t="s">
        <v>101</v>
      </c>
      <c r="M180" s="50" t="s">
        <v>77</v>
      </c>
      <c r="N180" s="50"/>
      <c r="O180" s="49"/>
      <c r="P180" s="50" t="str">
        <f t="shared" si="8"/>
        <v>ONAY</v>
      </c>
      <c r="Q180" s="28" t="s">
        <v>99</v>
      </c>
      <c r="R180" s="51" t="str">
        <f t="shared" si="9"/>
        <v/>
      </c>
      <c r="T180" s="41"/>
      <c r="U180" s="29">
        <f>IF($C180&lt;&gt;"",COUNTIF($C$2:C180,C180),"")</f>
        <v>1</v>
      </c>
      <c r="V180" s="29" t="str">
        <f t="shared" si="10"/>
        <v>Doç. Dr. İzzet FİDANCI§1</v>
      </c>
      <c r="W180" s="29">
        <f>IF(U180=1,COUNTIF($U$2:U180,1),"")</f>
        <v>127</v>
      </c>
      <c r="X180" s="29">
        <f t="shared" si="11"/>
        <v>74</v>
      </c>
      <c r="Y180" s="29">
        <f>IF(AND(LEFT($B180,7)="SBA 26/",$D180&lt;&gt;"",$F180&lt;&gt;""),COUNTIFS($D$2:$D180,$D180,$B$2:$B180,"SBA 26/*",$F$2:$F180,"&lt;&gt;"),"")</f>
        <v>1</v>
      </c>
      <c r="Z180" s="29">
        <f>IF(Y180=1,COUNTIF($Y$2:Y180,1),"")</f>
        <v>50</v>
      </c>
      <c r="AA180" s="29">
        <f>IF(AND(LEFT($B180,7)="SBA 26/",$C180&lt;&gt;"",$F180&lt;&gt;""),COUNTIFS($C$2:$C180,$C180,$B$2:$B180,"SBA 26/*",$F$2:$F180,"&lt;&gt;"),"")</f>
        <v>1</v>
      </c>
      <c r="AB180" s="29">
        <f>IF(AA180=1,COUNTIF($AA$2:AA180,1),"")</f>
        <v>127</v>
      </c>
    </row>
    <row r="181" spans="1:28" ht="63" customHeight="1" x14ac:dyDescent="0.2">
      <c r="A181" s="43" t="s">
        <v>969</v>
      </c>
      <c r="B181" s="43" t="s">
        <v>970</v>
      </c>
      <c r="C181" s="44" t="s">
        <v>243</v>
      </c>
      <c r="D181" s="44" t="s">
        <v>113</v>
      </c>
      <c r="E181" s="45" t="s">
        <v>971</v>
      </c>
      <c r="F181" s="45" t="s">
        <v>972</v>
      </c>
      <c r="G181" s="46" t="s">
        <v>39</v>
      </c>
      <c r="H181" s="48">
        <v>46062</v>
      </c>
      <c r="I181" s="48">
        <v>46070</v>
      </c>
      <c r="J181" s="44" t="s">
        <v>75</v>
      </c>
      <c r="K181" s="44" t="s">
        <v>123</v>
      </c>
      <c r="L181" s="50" t="s">
        <v>101</v>
      </c>
      <c r="M181" s="50" t="s">
        <v>77</v>
      </c>
      <c r="N181" s="50"/>
      <c r="O181" s="49"/>
      <c r="P181" s="50" t="str">
        <f t="shared" si="8"/>
        <v>ONAY</v>
      </c>
      <c r="Q181" s="28" t="s">
        <v>75</v>
      </c>
      <c r="R181" s="51" t="str">
        <f t="shared" si="9"/>
        <v/>
      </c>
      <c r="T181" s="41"/>
      <c r="U181" s="29">
        <f>IF($C181&lt;&gt;"",COUNTIF($C$2:C181,C181),"")</f>
        <v>2</v>
      </c>
      <c r="V181" s="29" t="str">
        <f t="shared" si="10"/>
        <v>Doç. Dr. Levent KILIÇ§2</v>
      </c>
      <c r="W181" s="29" t="str">
        <f>IF(U181=1,COUNTIF($U$2:U181,1),"")</f>
        <v/>
      </c>
      <c r="X181" s="29" t="str">
        <f t="shared" si="11"/>
        <v/>
      </c>
      <c r="Y181" s="29">
        <f>IF(AND(LEFT($B181,7)="SBA 26/",$D181&lt;&gt;"",$F181&lt;&gt;""),COUNTIFS($D$2:$D181,$D181,$B$2:$B181,"SBA 26/*",$F$2:$F181,"&lt;&gt;"),"")</f>
        <v>27</v>
      </c>
      <c r="Z181" s="29" t="str">
        <f>IF(Y181=1,COUNTIF($Y$2:Y181,1),"")</f>
        <v/>
      </c>
      <c r="AA181" s="29">
        <f>IF(AND(LEFT($B181,7)="SBA 26/",$C181&lt;&gt;"",$F181&lt;&gt;""),COUNTIFS($C$2:$C181,$C181,$B$2:$B181,"SBA 26/*",$F$2:$F181,"&lt;&gt;"),"")</f>
        <v>2</v>
      </c>
      <c r="AB181" s="29" t="str">
        <f>IF(AA181=1,COUNTIF($AA$2:AA181,1),"")</f>
        <v/>
      </c>
    </row>
    <row r="182" spans="1:28" ht="94.5" customHeight="1" x14ac:dyDescent="0.2">
      <c r="A182" s="43" t="s">
        <v>973</v>
      </c>
      <c r="B182" s="43" t="s">
        <v>974</v>
      </c>
      <c r="C182" s="44" t="s">
        <v>975</v>
      </c>
      <c r="D182" s="44" t="s">
        <v>698</v>
      </c>
      <c r="E182" s="45" t="s">
        <v>976</v>
      </c>
      <c r="F182" s="45" t="s">
        <v>977</v>
      </c>
      <c r="G182" s="46" t="s">
        <v>40</v>
      </c>
      <c r="H182" s="48">
        <v>46063</v>
      </c>
      <c r="I182" s="48">
        <v>46070</v>
      </c>
      <c r="J182" s="44" t="s">
        <v>75</v>
      </c>
      <c r="K182" s="44" t="s">
        <v>99</v>
      </c>
      <c r="L182" s="50" t="s">
        <v>101</v>
      </c>
      <c r="M182" s="50" t="s">
        <v>77</v>
      </c>
      <c r="N182" s="50"/>
      <c r="O182" s="49"/>
      <c r="P182" s="50" t="str">
        <f t="shared" si="8"/>
        <v>ONAY</v>
      </c>
      <c r="Q182" s="28" t="s">
        <v>75</v>
      </c>
      <c r="R182" s="51" t="str">
        <f t="shared" si="9"/>
        <v/>
      </c>
      <c r="T182" s="41"/>
      <c r="U182" s="29">
        <f>IF($C182&lt;&gt;"",COUNTIF($C$2:C182,C182),"")</f>
        <v>1</v>
      </c>
      <c r="V182" s="29" t="str">
        <f t="shared" si="10"/>
        <v>Doç. Dr. Basri GÜLBAKAN§1</v>
      </c>
      <c r="W182" s="29">
        <f>IF(U182=1,COUNTIF($U$2:U182,1),"")</f>
        <v>128</v>
      </c>
      <c r="X182" s="29">
        <f t="shared" si="11"/>
        <v>24</v>
      </c>
      <c r="Y182" s="29">
        <f>IF(AND(LEFT($B182,7)="SBA 26/",$D182&lt;&gt;"",$F182&lt;&gt;""),COUNTIFS($D$2:$D182,$D182,$B$2:$B182,"SBA 26/*",$F$2:$F182,"&lt;&gt;"),"")</f>
        <v>2</v>
      </c>
      <c r="Z182" s="29" t="str">
        <f>IF(Y182=1,COUNTIF($Y$2:Y182,1),"")</f>
        <v/>
      </c>
      <c r="AA182" s="29">
        <f>IF(AND(LEFT($B182,7)="SBA 26/",$C182&lt;&gt;"",$F182&lt;&gt;""),COUNTIFS($C$2:$C182,$C182,$B$2:$B182,"SBA 26/*",$F$2:$F182,"&lt;&gt;"),"")</f>
        <v>1</v>
      </c>
      <c r="AB182" s="29">
        <f>IF(AA182=1,COUNTIF($AA$2:AA182,1),"")</f>
        <v>128</v>
      </c>
    </row>
    <row r="183" spans="1:28" ht="63" customHeight="1" x14ac:dyDescent="0.2">
      <c r="A183" s="43" t="s">
        <v>978</v>
      </c>
      <c r="B183" s="43" t="s">
        <v>979</v>
      </c>
      <c r="C183" s="44" t="s">
        <v>980</v>
      </c>
      <c r="D183" s="44" t="s">
        <v>539</v>
      </c>
      <c r="E183" s="45" t="s">
        <v>981</v>
      </c>
      <c r="F183" s="45" t="s">
        <v>982</v>
      </c>
      <c r="G183" s="46" t="s">
        <v>38</v>
      </c>
      <c r="H183" s="48">
        <v>46063</v>
      </c>
      <c r="I183" s="48">
        <v>46070</v>
      </c>
      <c r="J183" s="44" t="s">
        <v>91</v>
      </c>
      <c r="K183" s="44" t="s">
        <v>123</v>
      </c>
      <c r="L183" s="50" t="s">
        <v>77</v>
      </c>
      <c r="M183" s="50"/>
      <c r="N183" s="50"/>
      <c r="O183" s="49"/>
      <c r="P183" s="50" t="str">
        <f t="shared" si="8"/>
        <v>ONAY</v>
      </c>
      <c r="R183" s="51" t="str">
        <f t="shared" si="9"/>
        <v/>
      </c>
      <c r="T183" s="41"/>
      <c r="U183" s="29">
        <f>IF($C183&lt;&gt;"",COUNTIF($C$2:C183,C183),"")</f>
        <v>1</v>
      </c>
      <c r="V183" s="29" t="str">
        <f t="shared" si="10"/>
        <v>Dr. Öğr. Üyesi Merva PARLAK§1</v>
      </c>
      <c r="W183" s="29">
        <f>IF(U183=1,COUNTIF($U$2:U183,1),"")</f>
        <v>129</v>
      </c>
      <c r="X183" s="29">
        <f t="shared" si="11"/>
        <v>151</v>
      </c>
      <c r="Y183" s="29">
        <f>IF(AND(LEFT($B183,7)="SBA 26/",$D183&lt;&gt;"",$F183&lt;&gt;""),COUNTIFS($D$2:$D183,$D183,$B$2:$B183,"SBA 26/*",$F$2:$F183,"&lt;&gt;"),"")</f>
        <v>3</v>
      </c>
      <c r="Z183" s="29" t="str">
        <f>IF(Y183=1,COUNTIF($Y$2:Y183,1),"")</f>
        <v/>
      </c>
      <c r="AA183" s="29">
        <f>IF(AND(LEFT($B183,7)="SBA 26/",$C183&lt;&gt;"",$F183&lt;&gt;""),COUNTIFS($C$2:$C183,$C183,$B$2:$B183,"SBA 26/*",$F$2:$F183,"&lt;&gt;"),"")</f>
        <v>1</v>
      </c>
      <c r="AB183" s="29">
        <f>IF(AA183=1,COUNTIF($AA$2:AA183,1),"")</f>
        <v>129</v>
      </c>
    </row>
    <row r="184" spans="1:28" ht="63" customHeight="1" x14ac:dyDescent="0.2">
      <c r="A184" s="43" t="s">
        <v>983</v>
      </c>
      <c r="B184" s="43" t="s">
        <v>984</v>
      </c>
      <c r="C184" s="44" t="s">
        <v>985</v>
      </c>
      <c r="D184" s="44" t="s">
        <v>414</v>
      </c>
      <c r="E184" s="45" t="s">
        <v>986</v>
      </c>
      <c r="F184" s="45" t="s">
        <v>987</v>
      </c>
      <c r="G184" s="46" t="s">
        <v>39</v>
      </c>
      <c r="H184" s="48">
        <v>46063</v>
      </c>
      <c r="I184" s="48">
        <v>46070</v>
      </c>
      <c r="J184" s="44" t="s">
        <v>123</v>
      </c>
      <c r="K184" s="44" t="s">
        <v>84</v>
      </c>
      <c r="L184" s="50" t="s">
        <v>206</v>
      </c>
      <c r="M184" s="50" t="s">
        <v>101</v>
      </c>
      <c r="N184" s="50" t="s">
        <v>77</v>
      </c>
      <c r="O184" s="49"/>
      <c r="P184" s="50" t="str">
        <f t="shared" si="8"/>
        <v>ONAY</v>
      </c>
      <c r="Q184" s="28" t="s">
        <v>91</v>
      </c>
      <c r="R184" s="51" t="str">
        <f t="shared" si="9"/>
        <v/>
      </c>
      <c r="T184" s="41"/>
      <c r="U184" s="29">
        <f>IF($C184&lt;&gt;"",COUNTIF($C$2:C184,C184),"")</f>
        <v>1</v>
      </c>
      <c r="V184" s="29" t="str">
        <f t="shared" si="10"/>
        <v>Prof. Dr. Mustafa Barış GÜNCÜ§1</v>
      </c>
      <c r="W184" s="29">
        <f>IF(U184=1,COUNTIF($U$2:U184,1),"")</f>
        <v>130</v>
      </c>
      <c r="X184" s="29">
        <f t="shared" si="11"/>
        <v>276</v>
      </c>
      <c r="Y184" s="29">
        <f>IF(AND(LEFT($B184,7)="SBA 26/",$D184&lt;&gt;"",$F184&lt;&gt;""),COUNTIFS($D$2:$D184,$D184,$B$2:$B184,"SBA 26/*",$F$2:$F184,"&lt;&gt;"),"")</f>
        <v>2</v>
      </c>
      <c r="Z184" s="29" t="str">
        <f>IF(Y184=1,COUNTIF($Y$2:Y184,1),"")</f>
        <v/>
      </c>
      <c r="AA184" s="29">
        <f>IF(AND(LEFT($B184,7)="SBA 26/",$C184&lt;&gt;"",$F184&lt;&gt;""),COUNTIFS($C$2:$C184,$C184,$B$2:$B184,"SBA 26/*",$F$2:$F184,"&lt;&gt;"),"")</f>
        <v>1</v>
      </c>
      <c r="AB184" s="29">
        <f>IF(AA184=1,COUNTIF($AA$2:AA184,1),"")</f>
        <v>130</v>
      </c>
    </row>
    <row r="185" spans="1:28" ht="78.75" customHeight="1" x14ac:dyDescent="0.2">
      <c r="A185" s="43" t="s">
        <v>988</v>
      </c>
      <c r="B185" s="43" t="s">
        <v>989</v>
      </c>
      <c r="C185" s="44" t="s">
        <v>990</v>
      </c>
      <c r="D185" s="44" t="s">
        <v>991</v>
      </c>
      <c r="E185" s="45" t="s">
        <v>992</v>
      </c>
      <c r="F185" s="45" t="s">
        <v>993</v>
      </c>
      <c r="G185" s="46" t="s">
        <v>38</v>
      </c>
      <c r="H185" s="48">
        <v>46064</v>
      </c>
      <c r="I185" s="48">
        <v>46070</v>
      </c>
      <c r="J185" s="44" t="s">
        <v>123</v>
      </c>
      <c r="K185" s="44" t="s">
        <v>116</v>
      </c>
      <c r="L185" s="50" t="s">
        <v>77</v>
      </c>
      <c r="M185" s="50"/>
      <c r="N185" s="50"/>
      <c r="O185" s="49"/>
      <c r="P185" s="50" t="str">
        <f t="shared" si="8"/>
        <v>ONAY</v>
      </c>
      <c r="R185" s="51" t="str">
        <f t="shared" si="9"/>
        <v/>
      </c>
      <c r="T185" s="41"/>
      <c r="U185" s="29">
        <f>IF($C185&lt;&gt;"",COUNTIF($C$2:C185,C185),"")</f>
        <v>1</v>
      </c>
      <c r="V185" s="29" t="str">
        <f t="shared" si="10"/>
        <v>Dr. Öğr. Üyesi Aybüke USLU TEKCE§1</v>
      </c>
      <c r="W185" s="29">
        <f>IF(U185=1,COUNTIF($U$2:U185,1),"")</f>
        <v>131</v>
      </c>
      <c r="X185" s="29">
        <f t="shared" si="11"/>
        <v>118</v>
      </c>
      <c r="Y185" s="29">
        <f>IF(AND(LEFT($B185,7)="SBA 26/",$D185&lt;&gt;"",$F185&lt;&gt;""),COUNTIFS($D$2:$D185,$D185,$B$2:$B185,"SBA 26/*",$F$2:$F185,"&lt;&gt;"),"")</f>
        <v>1</v>
      </c>
      <c r="Z185" s="29">
        <f>IF(Y185=1,COUNTIF($Y$2:Y185,1),"")</f>
        <v>51</v>
      </c>
      <c r="AA185" s="29">
        <f>IF(AND(LEFT($B185,7)="SBA 26/",$C185&lt;&gt;"",$F185&lt;&gt;""),COUNTIFS($C$2:$C185,$C185,$B$2:$B185,"SBA 26/*",$F$2:$F185,"&lt;&gt;"),"")</f>
        <v>1</v>
      </c>
      <c r="AB185" s="29">
        <f>IF(AA185=1,COUNTIF($AA$2:AA185,1),"")</f>
        <v>131</v>
      </c>
    </row>
    <row r="186" spans="1:28" ht="78.75" customHeight="1" x14ac:dyDescent="0.2">
      <c r="A186" s="43" t="s">
        <v>994</v>
      </c>
      <c r="B186" s="43" t="s">
        <v>995</v>
      </c>
      <c r="C186" s="44" t="s">
        <v>87</v>
      </c>
      <c r="D186" s="44" t="s">
        <v>88</v>
      </c>
      <c r="E186" s="45" t="s">
        <v>996</v>
      </c>
      <c r="F186" s="45" t="s">
        <v>997</v>
      </c>
      <c r="G186" s="46" t="s">
        <v>39</v>
      </c>
      <c r="H186" s="48">
        <v>46064</v>
      </c>
      <c r="I186" s="48">
        <v>46070</v>
      </c>
      <c r="J186" s="44" t="s">
        <v>129</v>
      </c>
      <c r="K186" s="44" t="s">
        <v>92</v>
      </c>
      <c r="L186" s="50" t="s">
        <v>77</v>
      </c>
      <c r="M186" s="50"/>
      <c r="N186" s="50"/>
      <c r="O186" s="49"/>
      <c r="P186" s="50" t="str">
        <f t="shared" si="8"/>
        <v>ONAY</v>
      </c>
      <c r="R186" s="51" t="str">
        <f t="shared" si="9"/>
        <v/>
      </c>
      <c r="T186" s="41"/>
      <c r="U186" s="29">
        <f>IF($C186&lt;&gt;"",COUNTIF($C$2:C186,C186),"")</f>
        <v>3</v>
      </c>
      <c r="V186" s="29" t="str">
        <f t="shared" si="10"/>
        <v>Doç. Dr. Gamze DURHAN§3</v>
      </c>
      <c r="W186" s="29" t="str">
        <f>IF(U186=1,COUNTIF($U$2:U186,1),"")</f>
        <v/>
      </c>
      <c r="X186" s="29" t="str">
        <f t="shared" si="11"/>
        <v/>
      </c>
      <c r="Y186" s="29">
        <f>IF(AND(LEFT($B186,7)="SBA 26/",$D186&lt;&gt;"",$F186&lt;&gt;""),COUNTIFS($D$2:$D186,$D186,$B$2:$B186,"SBA 26/*",$F$2:$F186,"&lt;&gt;"),"")</f>
        <v>5</v>
      </c>
      <c r="Z186" s="29" t="str">
        <f>IF(Y186=1,COUNTIF($Y$2:Y186,1),"")</f>
        <v/>
      </c>
      <c r="AA186" s="29">
        <f>IF(AND(LEFT($B186,7)="SBA 26/",$C186&lt;&gt;"",$F186&lt;&gt;""),COUNTIFS($C$2:$C186,$C186,$B$2:$B186,"SBA 26/*",$F$2:$F186,"&lt;&gt;"),"")</f>
        <v>3</v>
      </c>
      <c r="AB186" s="29" t="str">
        <f>IF(AA186=1,COUNTIF($AA$2:AA186,1),"")</f>
        <v/>
      </c>
    </row>
    <row r="187" spans="1:28" ht="96" customHeight="1" x14ac:dyDescent="0.2">
      <c r="A187" s="43" t="s">
        <v>998</v>
      </c>
      <c r="B187" s="43" t="s">
        <v>999</v>
      </c>
      <c r="C187" s="44" t="s">
        <v>227</v>
      </c>
      <c r="D187" s="44" t="s">
        <v>228</v>
      </c>
      <c r="E187" s="45" t="s">
        <v>1000</v>
      </c>
      <c r="F187" s="45" t="s">
        <v>1001</v>
      </c>
      <c r="G187" s="46" t="s">
        <v>38</v>
      </c>
      <c r="H187" s="48">
        <v>46064</v>
      </c>
      <c r="I187" s="48">
        <v>46070</v>
      </c>
      <c r="J187" s="44" t="s">
        <v>99</v>
      </c>
      <c r="K187" s="44" t="s">
        <v>129</v>
      </c>
      <c r="L187" s="50" t="s">
        <v>172</v>
      </c>
      <c r="M187" s="50"/>
      <c r="N187" s="50"/>
      <c r="O187" s="49"/>
      <c r="P187" s="50" t="str">
        <f t="shared" si="8"/>
        <v>RET</v>
      </c>
      <c r="R187" s="51" t="str">
        <f t="shared" si="9"/>
        <v/>
      </c>
      <c r="T187" s="41"/>
      <c r="U187" s="29">
        <f>IF($C187&lt;&gt;"",COUNTIF($C$2:C187,C187),"")</f>
        <v>4</v>
      </c>
      <c r="V187" s="29" t="str">
        <f t="shared" si="10"/>
        <v>Dr. Öğr. Üyesi Gonca ÖZTEN DERE§4</v>
      </c>
      <c r="W187" s="29" t="str">
        <f>IF(U187=1,COUNTIF($U$2:U187,1),"")</f>
        <v/>
      </c>
      <c r="X187" s="29" t="str">
        <f t="shared" si="11"/>
        <v/>
      </c>
      <c r="Y187" s="29">
        <f>IF(AND(LEFT($B187,7)="SBA 26/",$D187&lt;&gt;"",$F187&lt;&gt;""),COUNTIFS($D$2:$D187,$D187,$B$2:$B187,"SBA 26/*",$F$2:$F187,"&lt;&gt;"),"")</f>
        <v>9</v>
      </c>
      <c r="Z187" s="29" t="str">
        <f>IF(Y187=1,COUNTIF($Y$2:Y187,1),"")</f>
        <v/>
      </c>
      <c r="AA187" s="29">
        <f>IF(AND(LEFT($B187,7)="SBA 26/",$C187&lt;&gt;"",$F187&lt;&gt;""),COUNTIFS($C$2:$C187,$C187,$B$2:$B187,"SBA 26/*",$F$2:$F187,"&lt;&gt;"),"")</f>
        <v>4</v>
      </c>
      <c r="AB187" s="29" t="str">
        <f>IF(AA187=1,COUNTIF($AA$2:AA187,1),"")</f>
        <v/>
      </c>
    </row>
    <row r="188" spans="1:28" ht="63" customHeight="1" x14ac:dyDescent="0.2">
      <c r="A188" s="43" t="s">
        <v>1002</v>
      </c>
      <c r="B188" s="43" t="s">
        <v>1003</v>
      </c>
      <c r="C188" s="44" t="s">
        <v>1004</v>
      </c>
      <c r="D188" s="44" t="s">
        <v>291</v>
      </c>
      <c r="E188" s="45" t="s">
        <v>1005</v>
      </c>
      <c r="F188" s="45" t="s">
        <v>1006</v>
      </c>
      <c r="G188" s="46" t="s">
        <v>38</v>
      </c>
      <c r="H188" s="48">
        <v>46064</v>
      </c>
      <c r="I188" s="48">
        <v>46070</v>
      </c>
      <c r="J188" s="44" t="s">
        <v>91</v>
      </c>
      <c r="K188" s="44" t="s">
        <v>84</v>
      </c>
      <c r="L188" s="50" t="s">
        <v>172</v>
      </c>
      <c r="M188" s="50"/>
      <c r="N188" s="50"/>
      <c r="O188" s="49"/>
      <c r="P188" s="50" t="str">
        <f t="shared" si="8"/>
        <v>RET</v>
      </c>
      <c r="R188" s="51" t="str">
        <f t="shared" si="9"/>
        <v/>
      </c>
      <c r="T188" s="41"/>
      <c r="U188" s="29">
        <f>IF($C188&lt;&gt;"",COUNTIF($C$2:C188,C188),"")</f>
        <v>1</v>
      </c>
      <c r="V188" s="29" t="str">
        <f t="shared" si="10"/>
        <v>Dr. Öğr. Üyesi Muhammed Çağrı KÜLEKCİ§1</v>
      </c>
      <c r="W188" s="29">
        <f>IF(U188=1,COUNTIF($U$2:U188,1),"")</f>
        <v>132</v>
      </c>
      <c r="X188" s="29">
        <f t="shared" si="11"/>
        <v>152</v>
      </c>
      <c r="Y188" s="29">
        <f>IF(AND(LEFT($B188,7)="SBA 26/",$D188&lt;&gt;"",$F188&lt;&gt;""),COUNTIFS($D$2:$D188,$D188,$B$2:$B188,"SBA 26/*",$F$2:$F188,"&lt;&gt;"),"")</f>
        <v>6</v>
      </c>
      <c r="Z188" s="29" t="str">
        <f>IF(Y188=1,COUNTIF($Y$2:Y188,1),"")</f>
        <v/>
      </c>
      <c r="AA188" s="29">
        <f>IF(AND(LEFT($B188,7)="SBA 26/",$C188&lt;&gt;"",$F188&lt;&gt;""),COUNTIFS($C$2:$C188,$C188,$B$2:$B188,"SBA 26/*",$F$2:$F188,"&lt;&gt;"),"")</f>
        <v>1</v>
      </c>
      <c r="AB188" s="29">
        <f>IF(AA188=1,COUNTIF($AA$2:AA188,1),"")</f>
        <v>132</v>
      </c>
    </row>
    <row r="189" spans="1:28" ht="110.25" customHeight="1" x14ac:dyDescent="0.2">
      <c r="A189" s="43" t="s">
        <v>1007</v>
      </c>
      <c r="B189" s="43" t="s">
        <v>1008</v>
      </c>
      <c r="C189" s="44" t="s">
        <v>1009</v>
      </c>
      <c r="D189" s="44" t="s">
        <v>222</v>
      </c>
      <c r="E189" s="45" t="s">
        <v>1010</v>
      </c>
      <c r="F189" s="45" t="s">
        <v>1011</v>
      </c>
      <c r="G189" s="46" t="s">
        <v>39</v>
      </c>
      <c r="H189" s="48">
        <v>46064</v>
      </c>
      <c r="I189" s="48">
        <v>46070</v>
      </c>
      <c r="J189" s="44" t="s">
        <v>108</v>
      </c>
      <c r="K189" s="44" t="s">
        <v>116</v>
      </c>
      <c r="L189" s="50" t="s">
        <v>101</v>
      </c>
      <c r="M189" s="50" t="s">
        <v>77</v>
      </c>
      <c r="N189" s="50"/>
      <c r="O189" s="49"/>
      <c r="P189" s="50" t="str">
        <f t="shared" si="8"/>
        <v>ONAY</v>
      </c>
      <c r="Q189" s="28" t="s">
        <v>108</v>
      </c>
      <c r="R189" s="51" t="str">
        <f t="shared" si="9"/>
        <v/>
      </c>
      <c r="T189" s="41"/>
      <c r="U189" s="29">
        <f>IF($C189&lt;&gt;"",COUNTIF($C$2:C189,C189),"")</f>
        <v>1</v>
      </c>
      <c r="V189" s="29" t="str">
        <f t="shared" si="10"/>
        <v>Doç. Dr. Tekin AKSU§1</v>
      </c>
      <c r="W189" s="29">
        <f>IF(U189=1,COUNTIF($U$2:U189,1),"")</f>
        <v>133</v>
      </c>
      <c r="X189" s="29">
        <f t="shared" si="11"/>
        <v>104</v>
      </c>
      <c r="Y189" s="29">
        <f>IF(AND(LEFT($B189,7)="SBA 26/",$D189&lt;&gt;"",$F189&lt;&gt;""),COUNTIFS($D$2:$D189,$D189,$B$2:$B189,"SBA 26/*",$F$2:$F189,"&lt;&gt;"),"")</f>
        <v>23</v>
      </c>
      <c r="Z189" s="29" t="str">
        <f>IF(Y189=1,COUNTIF($Y$2:Y189,1),"")</f>
        <v/>
      </c>
      <c r="AA189" s="29">
        <f>IF(AND(LEFT($B189,7)="SBA 26/",$C189&lt;&gt;"",$F189&lt;&gt;""),COUNTIFS($C$2:$C189,$C189,$B$2:$B189,"SBA 26/*",$F$2:$F189,"&lt;&gt;"),"")</f>
        <v>1</v>
      </c>
      <c r="AB189" s="29">
        <f>IF(AA189=1,COUNTIF($AA$2:AA189,1),"")</f>
        <v>133</v>
      </c>
    </row>
    <row r="190" spans="1:28" ht="94.5" customHeight="1" x14ac:dyDescent="0.2">
      <c r="A190" s="43" t="s">
        <v>1012</v>
      </c>
      <c r="B190" s="43" t="s">
        <v>1013</v>
      </c>
      <c r="C190" s="44" t="s">
        <v>1014</v>
      </c>
      <c r="D190" s="44" t="s">
        <v>270</v>
      </c>
      <c r="E190" s="45" t="s">
        <v>1015</v>
      </c>
      <c r="F190" s="45" t="s">
        <v>1016</v>
      </c>
      <c r="G190" s="46" t="s">
        <v>38</v>
      </c>
      <c r="H190" s="48">
        <v>46064</v>
      </c>
      <c r="I190" s="48">
        <v>46070</v>
      </c>
      <c r="J190" s="44" t="s">
        <v>92</v>
      </c>
      <c r="K190" s="44" t="s">
        <v>76</v>
      </c>
      <c r="L190" s="50" t="s">
        <v>77</v>
      </c>
      <c r="M190" s="50"/>
      <c r="N190" s="50"/>
      <c r="O190" s="49"/>
      <c r="P190" s="50" t="str">
        <f t="shared" si="8"/>
        <v>ONAY</v>
      </c>
      <c r="R190" s="51" t="str">
        <f t="shared" si="9"/>
        <v/>
      </c>
      <c r="T190" s="41"/>
      <c r="U190" s="29">
        <f>IF($C190&lt;&gt;"",COUNTIF($C$2:C190,C190),"")</f>
        <v>1</v>
      </c>
      <c r="V190" s="29" t="str">
        <f t="shared" si="10"/>
        <v>Öğr. Gör. Dr. Helin YÜCEDAĞ GÜNDOĞDU§1</v>
      </c>
      <c r="W190" s="29">
        <f>IF(U190=1,COUNTIF($U$2:U190,1),"")</f>
        <v>134</v>
      </c>
      <c r="X190" s="29">
        <f t="shared" si="11"/>
        <v>181</v>
      </c>
      <c r="Y190" s="29">
        <f>IF(AND(LEFT($B190,7)="SBA 26/",$D190&lt;&gt;"",$F190&lt;&gt;""),COUNTIFS($D$2:$D190,$D190,$B$2:$B190,"SBA 26/*",$F$2:$F190,"&lt;&gt;"),"")</f>
        <v>5</v>
      </c>
      <c r="Z190" s="29" t="str">
        <f>IF(Y190=1,COUNTIF($Y$2:Y190,1),"")</f>
        <v/>
      </c>
      <c r="AA190" s="29">
        <f>IF(AND(LEFT($B190,7)="SBA 26/",$C190&lt;&gt;"",$F190&lt;&gt;""),COUNTIFS($C$2:$C190,$C190,$B$2:$B190,"SBA 26/*",$F$2:$F190,"&lt;&gt;"),"")</f>
        <v>1</v>
      </c>
      <c r="AB190" s="29">
        <f>IF(AA190=1,COUNTIF($AA$2:AA190,1),"")</f>
        <v>134</v>
      </c>
    </row>
    <row r="191" spans="1:28" ht="63" customHeight="1" x14ac:dyDescent="0.2">
      <c r="A191" s="43" t="s">
        <v>1017</v>
      </c>
      <c r="B191" s="43" t="s">
        <v>1018</v>
      </c>
      <c r="C191" s="44" t="s">
        <v>1019</v>
      </c>
      <c r="D191" s="44" t="s">
        <v>325</v>
      </c>
      <c r="E191" s="45" t="s">
        <v>1020</v>
      </c>
      <c r="F191" s="45" t="s">
        <v>1021</v>
      </c>
      <c r="G191" s="46" t="s">
        <v>38</v>
      </c>
      <c r="H191" s="48">
        <v>46064</v>
      </c>
      <c r="I191" s="48">
        <v>46070</v>
      </c>
      <c r="J191" s="44" t="s">
        <v>100</v>
      </c>
      <c r="K191" s="44" t="s">
        <v>75</v>
      </c>
      <c r="L191" s="50" t="s">
        <v>77</v>
      </c>
      <c r="M191" s="50"/>
      <c r="N191" s="50"/>
      <c r="O191" s="49"/>
      <c r="P191" s="50" t="str">
        <f t="shared" si="8"/>
        <v>ONAY</v>
      </c>
      <c r="R191" s="51" t="str">
        <f t="shared" si="9"/>
        <v/>
      </c>
      <c r="T191" s="41"/>
      <c r="U191" s="29">
        <f>IF($C191&lt;&gt;"",COUNTIF($C$2:C191,C191),"")</f>
        <v>1</v>
      </c>
      <c r="V191" s="29" t="str">
        <f t="shared" si="10"/>
        <v>Dr. Öğr. Üyesi Özge YAVUZ SARI§1</v>
      </c>
      <c r="W191" s="29">
        <f>IF(U191=1,COUNTIF($U$2:U191,1),"")</f>
        <v>135</v>
      </c>
      <c r="X191" s="29">
        <f t="shared" si="11"/>
        <v>159</v>
      </c>
      <c r="Y191" s="29">
        <f>IF(AND(LEFT($B191,7)="SBA 26/",$D191&lt;&gt;"",$F191&lt;&gt;""),COUNTIFS($D$2:$D191,$D191,$B$2:$B191,"SBA 26/*",$F$2:$F191,"&lt;&gt;"),"")</f>
        <v>2</v>
      </c>
      <c r="Z191" s="29" t="str">
        <f>IF(Y191=1,COUNTIF($Y$2:Y191,1),"")</f>
        <v/>
      </c>
      <c r="AA191" s="29">
        <f>IF(AND(LEFT($B191,7)="SBA 26/",$C191&lt;&gt;"",$F191&lt;&gt;""),COUNTIFS($C$2:$C191,$C191,$B$2:$B191,"SBA 26/*",$F$2:$F191,"&lt;&gt;"),"")</f>
        <v>1</v>
      </c>
      <c r="AB191" s="29">
        <f>IF(AA191=1,COUNTIF($AA$2:AA191,1),"")</f>
        <v>135</v>
      </c>
    </row>
    <row r="192" spans="1:28" ht="78.75" customHeight="1" x14ac:dyDescent="0.2">
      <c r="A192" s="43" t="s">
        <v>1022</v>
      </c>
      <c r="B192" s="43" t="s">
        <v>1023</v>
      </c>
      <c r="C192" s="44" t="s">
        <v>76</v>
      </c>
      <c r="D192" s="44" t="s">
        <v>222</v>
      </c>
      <c r="E192" s="45" t="s">
        <v>1024</v>
      </c>
      <c r="F192" s="45" t="s">
        <v>1025</v>
      </c>
      <c r="G192" s="46" t="s">
        <v>38</v>
      </c>
      <c r="H192" s="48">
        <v>46071</v>
      </c>
      <c r="I192" s="48">
        <v>46084</v>
      </c>
      <c r="J192" s="44" t="s">
        <v>109</v>
      </c>
      <c r="K192" s="44" t="s">
        <v>116</v>
      </c>
      <c r="L192" s="50" t="s">
        <v>101</v>
      </c>
      <c r="M192" s="50" t="s">
        <v>77</v>
      </c>
      <c r="N192" s="50"/>
      <c r="O192" s="49"/>
      <c r="P192" s="50" t="str">
        <f t="shared" si="8"/>
        <v>ONAY</v>
      </c>
      <c r="Q192" s="28" t="s">
        <v>116</v>
      </c>
      <c r="R192" s="51" t="str">
        <f t="shared" si="9"/>
        <v/>
      </c>
      <c r="T192" s="41"/>
      <c r="U192" s="29">
        <f>IF($C192&lt;&gt;"",COUNTIF($C$2:C192,C192),"")</f>
        <v>2</v>
      </c>
      <c r="V192" s="29" t="str">
        <f t="shared" si="10"/>
        <v>Doç. Dr. Kübra AYKAÇ§2</v>
      </c>
      <c r="W192" s="29" t="str">
        <f>IF(U192=1,COUNTIF($U$2:U192,1),"")</f>
        <v/>
      </c>
      <c r="X192" s="29" t="str">
        <f t="shared" si="11"/>
        <v/>
      </c>
      <c r="Y192" s="29">
        <f>IF(AND(LEFT($B192,7)="SBA 26/",$D192&lt;&gt;"",$F192&lt;&gt;""),COUNTIFS($D$2:$D192,$D192,$B$2:$B192,"SBA 26/*",$F$2:$F192,"&lt;&gt;"),"")</f>
        <v>24</v>
      </c>
      <c r="Z192" s="29" t="str">
        <f>IF(Y192=1,COUNTIF($Y$2:Y192,1),"")</f>
        <v/>
      </c>
      <c r="AA192" s="29">
        <f>IF(AND(LEFT($B192,7)="SBA 26/",$C192&lt;&gt;"",$F192&lt;&gt;""),COUNTIFS($C$2:$C192,$C192,$B$2:$B192,"SBA 26/*",$F$2:$F192,"&lt;&gt;"),"")</f>
        <v>2</v>
      </c>
      <c r="AB192" s="29" t="str">
        <f>IF(AA192=1,COUNTIF($AA$2:AA192,1),"")</f>
        <v/>
      </c>
    </row>
    <row r="193" spans="1:28" ht="113.25" customHeight="1" x14ac:dyDescent="0.2">
      <c r="A193" s="43" t="s">
        <v>1026</v>
      </c>
      <c r="B193" s="43" t="s">
        <v>1027</v>
      </c>
      <c r="C193" s="44" t="s">
        <v>1028</v>
      </c>
      <c r="D193" s="44" t="s">
        <v>222</v>
      </c>
      <c r="E193" s="45" t="s">
        <v>1029</v>
      </c>
      <c r="F193" s="45" t="s">
        <v>1030</v>
      </c>
      <c r="G193" s="46" t="s">
        <v>38</v>
      </c>
      <c r="H193" s="48">
        <v>46071</v>
      </c>
      <c r="I193" s="48">
        <v>46084</v>
      </c>
      <c r="J193" s="44" t="s">
        <v>84</v>
      </c>
      <c r="K193" s="44" t="s">
        <v>99</v>
      </c>
      <c r="L193" s="50" t="s">
        <v>77</v>
      </c>
      <c r="M193" s="50"/>
      <c r="N193" s="50"/>
      <c r="O193" s="49"/>
      <c r="P193" s="50" t="str">
        <f t="shared" si="8"/>
        <v>ONAY</v>
      </c>
      <c r="R193" s="51" t="str">
        <f t="shared" si="9"/>
        <v/>
      </c>
      <c r="T193" s="41"/>
      <c r="U193" s="29">
        <f>IF($C193&lt;&gt;"",COUNTIF($C$2:C193,C193),"")</f>
        <v>1</v>
      </c>
      <c r="V193" s="29" t="str">
        <f t="shared" si="10"/>
        <v>Arş. Gör. Dr. Şükran BAYRAK§1</v>
      </c>
      <c r="W193" s="29">
        <f>IF(U193=1,COUNTIF($U$2:U193,1),"")</f>
        <v>136</v>
      </c>
      <c r="X193" s="29">
        <f t="shared" si="11"/>
        <v>12</v>
      </c>
      <c r="Y193" s="29">
        <f>IF(AND(LEFT($B193,7)="SBA 26/",$D193&lt;&gt;"",$F193&lt;&gt;""),COUNTIFS($D$2:$D193,$D193,$B$2:$B193,"SBA 26/*",$F$2:$F193,"&lt;&gt;"),"")</f>
        <v>25</v>
      </c>
      <c r="Z193" s="29" t="str">
        <f>IF(Y193=1,COUNTIF($Y$2:Y193,1),"")</f>
        <v/>
      </c>
      <c r="AA193" s="29">
        <f>IF(AND(LEFT($B193,7)="SBA 26/",$C193&lt;&gt;"",$F193&lt;&gt;""),COUNTIFS($C$2:$C193,$C193,$B$2:$B193,"SBA 26/*",$F$2:$F193,"&lt;&gt;"),"")</f>
        <v>1</v>
      </c>
      <c r="AB193" s="29">
        <f>IF(AA193=1,COUNTIF($AA$2:AA193,1),"")</f>
        <v>136</v>
      </c>
    </row>
    <row r="194" spans="1:28" ht="63" customHeight="1" x14ac:dyDescent="0.2">
      <c r="A194" s="43" t="s">
        <v>1031</v>
      </c>
      <c r="B194" s="43" t="s">
        <v>1032</v>
      </c>
      <c r="C194" s="44" t="s">
        <v>519</v>
      </c>
      <c r="D194" s="44" t="s">
        <v>364</v>
      </c>
      <c r="E194" s="45" t="s">
        <v>1033</v>
      </c>
      <c r="F194" s="45" t="s">
        <v>1034</v>
      </c>
      <c r="G194" s="46" t="s">
        <v>38</v>
      </c>
      <c r="H194" s="48">
        <v>46071</v>
      </c>
      <c r="I194" s="48">
        <v>46084</v>
      </c>
      <c r="J194" s="44" t="s">
        <v>75</v>
      </c>
      <c r="K194" s="44" t="s">
        <v>108</v>
      </c>
      <c r="L194" s="50" t="s">
        <v>77</v>
      </c>
      <c r="M194" s="50"/>
      <c r="N194" s="50"/>
      <c r="O194" s="49"/>
      <c r="P194" s="50" t="str">
        <f t="shared" ref="P194:P257" si="12">IF(O194&lt;&gt;"",O194, IF(N194&lt;&gt;"",N194, IF(M194&lt;&gt;"",M194, L194)))</f>
        <v>ONAY</v>
      </c>
      <c r="R194" s="51" t="str">
        <f t="shared" ref="R194:R257" si="13">IF(AND($I194&lt;&gt;"",$I194&gt;=DATE(2026,6,23),COUNTIFS($C:$C,$C194,$I:$I,$I194)&gt;2),"⚠ "&amp;COUNTIFS($C:$C,$C194,$I:$I,$I194)&amp;" BAŞVURU!","")</f>
        <v/>
      </c>
      <c r="T194" s="41"/>
      <c r="U194" s="29">
        <f>IF($C194&lt;&gt;"",COUNTIF($C$2:C194,C194),"")</f>
        <v>2</v>
      </c>
      <c r="V194" s="29" t="str">
        <f t="shared" ref="V194:V257" si="14">IF($C194&lt;&gt;"",C194&amp;"§"&amp;U194,"")</f>
        <v>Prof. Dr. Neşe DERİCİOĞLU§2</v>
      </c>
      <c r="W194" s="29" t="str">
        <f>IF(U194=1,COUNTIF($U$2:U194,1),"")</f>
        <v/>
      </c>
      <c r="X194" s="29" t="str">
        <f t="shared" ref="X194:X257" si="15">IF(U194=1,SUMPRODUCT(($U$2:$U$1833=1)*($C$2:$C$1833&lt;C194))+1,"")</f>
        <v/>
      </c>
      <c r="Y194" s="29">
        <f>IF(AND(LEFT($B194,7)="SBA 26/",$D194&lt;&gt;"",$F194&lt;&gt;""),COUNTIFS($D$2:$D194,$D194,$B$2:$B194,"SBA 26/*",$F$2:$F194,"&lt;&gt;"),"")</f>
        <v>6</v>
      </c>
      <c r="Z194" s="29" t="str">
        <f>IF(Y194=1,COUNTIF($Y$2:Y194,1),"")</f>
        <v/>
      </c>
      <c r="AA194" s="29">
        <f>IF(AND(LEFT($B194,7)="SBA 26/",$C194&lt;&gt;"",$F194&lt;&gt;""),COUNTIFS($C$2:$C194,$C194,$B$2:$B194,"SBA 26/*",$F$2:$F194,"&lt;&gt;"),"")</f>
        <v>2</v>
      </c>
      <c r="AB194" s="29" t="str">
        <f>IF(AA194=1,COUNTIF($AA$2:AA194,1),"")</f>
        <v/>
      </c>
    </row>
    <row r="195" spans="1:28" ht="63" customHeight="1" x14ac:dyDescent="0.2">
      <c r="A195" s="43" t="s">
        <v>1035</v>
      </c>
      <c r="B195" s="43" t="s">
        <v>1036</v>
      </c>
      <c r="C195" s="44" t="s">
        <v>1037</v>
      </c>
      <c r="D195" s="44" t="s">
        <v>1038</v>
      </c>
      <c r="E195" s="45" t="s">
        <v>1039</v>
      </c>
      <c r="F195" s="45" t="s">
        <v>1040</v>
      </c>
      <c r="G195" s="46" t="s">
        <v>38</v>
      </c>
      <c r="H195" s="48">
        <v>46071</v>
      </c>
      <c r="I195" s="48">
        <v>46084</v>
      </c>
      <c r="J195" s="44" t="s">
        <v>84</v>
      </c>
      <c r="K195" s="44" t="s">
        <v>109</v>
      </c>
      <c r="L195" s="50" t="s">
        <v>206</v>
      </c>
      <c r="M195" s="50" t="s">
        <v>77</v>
      </c>
      <c r="N195" s="50"/>
      <c r="O195" s="49"/>
      <c r="P195" s="50" t="str">
        <f t="shared" si="12"/>
        <v>ONAY</v>
      </c>
      <c r="R195" s="51" t="str">
        <f t="shared" si="13"/>
        <v/>
      </c>
      <c r="T195" s="41"/>
      <c r="U195" s="29">
        <f>IF($C195&lt;&gt;"",COUNTIF($C$2:C195,C195),"")</f>
        <v>1</v>
      </c>
      <c r="V195" s="29" t="str">
        <f t="shared" si="14"/>
        <v>Prof. Dr. Jale KARAKAYA§1</v>
      </c>
      <c r="W195" s="29">
        <f>IF(U195=1,COUNTIF($U$2:U195,1),"")</f>
        <v>137</v>
      </c>
      <c r="X195" s="29">
        <f t="shared" si="15"/>
        <v>256</v>
      </c>
      <c r="Y195" s="29">
        <f>IF(AND(LEFT($B195,7)="SBA 26/",$D195&lt;&gt;"",$F195&lt;&gt;""),COUNTIFS($D$2:$D195,$D195,$B$2:$B195,"SBA 26/*",$F$2:$F195,"&lt;&gt;"),"")</f>
        <v>1</v>
      </c>
      <c r="Z195" s="29">
        <f>IF(Y195=1,COUNTIF($Y$2:Y195,1),"")</f>
        <v>52</v>
      </c>
      <c r="AA195" s="29">
        <f>IF(AND(LEFT($B195,7)="SBA 26/",$C195&lt;&gt;"",$F195&lt;&gt;""),COUNTIFS($C$2:$C195,$C195,$B$2:$B195,"SBA 26/*",$F$2:$F195,"&lt;&gt;"),"")</f>
        <v>1</v>
      </c>
      <c r="AB195" s="29">
        <f>IF(AA195=1,COUNTIF($AA$2:AA195,1),"")</f>
        <v>137</v>
      </c>
    </row>
    <row r="196" spans="1:28" ht="63" customHeight="1" x14ac:dyDescent="0.2">
      <c r="A196" s="43" t="s">
        <v>1041</v>
      </c>
      <c r="B196" s="43" t="s">
        <v>1042</v>
      </c>
      <c r="C196" s="44" t="s">
        <v>1043</v>
      </c>
      <c r="D196" s="44" t="s">
        <v>88</v>
      </c>
      <c r="E196" s="45" t="s">
        <v>1044</v>
      </c>
      <c r="F196" s="45" t="s">
        <v>1045</v>
      </c>
      <c r="G196" s="46" t="s">
        <v>38</v>
      </c>
      <c r="H196" s="48">
        <v>46071</v>
      </c>
      <c r="I196" s="48">
        <v>46084</v>
      </c>
      <c r="J196" s="44" t="s">
        <v>92</v>
      </c>
      <c r="K196" s="44" t="s">
        <v>100</v>
      </c>
      <c r="L196" s="50" t="s">
        <v>77</v>
      </c>
      <c r="M196" s="50"/>
      <c r="N196" s="50"/>
      <c r="O196" s="49"/>
      <c r="P196" s="50" t="str">
        <f t="shared" si="12"/>
        <v>ONAY</v>
      </c>
      <c r="R196" s="51" t="str">
        <f t="shared" si="13"/>
        <v/>
      </c>
      <c r="T196" s="41"/>
      <c r="U196" s="29">
        <f>IF($C196&lt;&gt;"",COUNTIF($C$2:C196,C196),"")</f>
        <v>1</v>
      </c>
      <c r="V196" s="29" t="str">
        <f t="shared" si="14"/>
        <v>Dr. Öğr. Üyesi Aycan UYSAL§1</v>
      </c>
      <c r="W196" s="29">
        <f>IF(U196=1,COUNTIF($U$2:U196,1),"")</f>
        <v>138</v>
      </c>
      <c r="X196" s="29">
        <f t="shared" si="15"/>
        <v>119</v>
      </c>
      <c r="Y196" s="29">
        <f>IF(AND(LEFT($B196,7)="SBA 26/",$D196&lt;&gt;"",$F196&lt;&gt;""),COUNTIFS($D$2:$D196,$D196,$B$2:$B196,"SBA 26/*",$F$2:$F196,"&lt;&gt;"),"")</f>
        <v>6</v>
      </c>
      <c r="Z196" s="29" t="str">
        <f>IF(Y196=1,COUNTIF($Y$2:Y196,1),"")</f>
        <v/>
      </c>
      <c r="AA196" s="29">
        <f>IF(AND(LEFT($B196,7)="SBA 26/",$C196&lt;&gt;"",$F196&lt;&gt;""),COUNTIFS($C$2:$C196,$C196,$B$2:$B196,"SBA 26/*",$F$2:$F196,"&lt;&gt;"),"")</f>
        <v>1</v>
      </c>
      <c r="AB196" s="29">
        <f>IF(AA196=1,COUNTIF($AA$2:AA196,1),"")</f>
        <v>138</v>
      </c>
    </row>
    <row r="197" spans="1:28" ht="63" customHeight="1" x14ac:dyDescent="0.2">
      <c r="A197" s="43" t="s">
        <v>1046</v>
      </c>
      <c r="B197" s="43" t="s">
        <v>1047</v>
      </c>
      <c r="C197" s="44" t="s">
        <v>676</v>
      </c>
      <c r="D197" s="44" t="s">
        <v>270</v>
      </c>
      <c r="E197" s="45" t="s">
        <v>1048</v>
      </c>
      <c r="F197" s="45" t="s">
        <v>1049</v>
      </c>
      <c r="G197" s="46" t="s">
        <v>40</v>
      </c>
      <c r="H197" s="48">
        <v>46071</v>
      </c>
      <c r="I197" s="48">
        <v>46084</v>
      </c>
      <c r="J197" s="44" t="s">
        <v>76</v>
      </c>
      <c r="K197" s="44" t="s">
        <v>116</v>
      </c>
      <c r="L197" s="50" t="s">
        <v>77</v>
      </c>
      <c r="M197" s="50"/>
      <c r="N197" s="50"/>
      <c r="O197" s="49"/>
      <c r="P197" s="50" t="str">
        <f t="shared" si="12"/>
        <v>ONAY</v>
      </c>
      <c r="R197" s="51" t="str">
        <f t="shared" si="13"/>
        <v/>
      </c>
      <c r="T197" s="41"/>
      <c r="U197" s="29">
        <f>IF($C197&lt;&gt;"",COUNTIF($C$2:C197,C197),"")</f>
        <v>2</v>
      </c>
      <c r="V197" s="29" t="str">
        <f t="shared" si="14"/>
        <v>Doç. Dr. Ceren GÜNENÇ BEŞER§2</v>
      </c>
      <c r="W197" s="29" t="str">
        <f>IF(U197=1,COUNTIF($U$2:U197,1),"")</f>
        <v/>
      </c>
      <c r="X197" s="29" t="str">
        <f t="shared" si="15"/>
        <v/>
      </c>
      <c r="Y197" s="29">
        <f>IF(AND(LEFT($B197,7)="SBA 26/",$D197&lt;&gt;"",$F197&lt;&gt;""),COUNTIFS($D$2:$D197,$D197,$B$2:$B197,"SBA 26/*",$F$2:$F197,"&lt;&gt;"),"")</f>
        <v>6</v>
      </c>
      <c r="Z197" s="29" t="str">
        <f>IF(Y197=1,COUNTIF($Y$2:Y197,1),"")</f>
        <v/>
      </c>
      <c r="AA197" s="29">
        <f>IF(AND(LEFT($B197,7)="SBA 26/",$C197&lt;&gt;"",$F197&lt;&gt;""),COUNTIFS($C$2:$C197,$C197,$B$2:$B197,"SBA 26/*",$F$2:$F197,"&lt;&gt;"),"")</f>
        <v>2</v>
      </c>
      <c r="AB197" s="29" t="str">
        <f>IF(AA197=1,COUNTIF($AA$2:AA197,1),"")</f>
        <v/>
      </c>
    </row>
    <row r="198" spans="1:28" ht="63" customHeight="1" x14ac:dyDescent="0.2">
      <c r="A198" s="43" t="s">
        <v>1050</v>
      </c>
      <c r="B198" s="43" t="s">
        <v>1051</v>
      </c>
      <c r="C198" s="44" t="s">
        <v>1052</v>
      </c>
      <c r="D198" s="44" t="s">
        <v>113</v>
      </c>
      <c r="E198" s="45" t="s">
        <v>1053</v>
      </c>
      <c r="F198" s="45" t="s">
        <v>1054</v>
      </c>
      <c r="G198" s="46" t="s">
        <v>38</v>
      </c>
      <c r="H198" s="48">
        <v>46071</v>
      </c>
      <c r="I198" s="48">
        <v>46084</v>
      </c>
      <c r="J198" s="44" t="s">
        <v>91</v>
      </c>
      <c r="K198" s="44" t="s">
        <v>108</v>
      </c>
      <c r="L198" s="50" t="s">
        <v>153</v>
      </c>
      <c r="M198" s="50"/>
      <c r="N198" s="50"/>
      <c r="O198" s="49"/>
      <c r="P198" s="50" t="str">
        <f t="shared" si="12"/>
        <v>KAPSAM DIŞI</v>
      </c>
      <c r="R198" s="51" t="str">
        <f t="shared" si="13"/>
        <v/>
      </c>
      <c r="T198" s="41"/>
      <c r="U198" s="29">
        <f>IF($C198&lt;&gt;"",COUNTIF($C$2:C198,C198),"")</f>
        <v>1</v>
      </c>
      <c r="V198" s="29" t="str">
        <f t="shared" si="14"/>
        <v>Prof. Dr. Mustafa CANKURTARAN§1</v>
      </c>
      <c r="W198" s="29">
        <f>IF(U198=1,COUNTIF($U$2:U198,1),"")</f>
        <v>139</v>
      </c>
      <c r="X198" s="29">
        <f t="shared" si="15"/>
        <v>278</v>
      </c>
      <c r="Y198" s="29">
        <f>IF(AND(LEFT($B198,7)="SBA 26/",$D198&lt;&gt;"",$F198&lt;&gt;""),COUNTIFS($D$2:$D198,$D198,$B$2:$B198,"SBA 26/*",$F$2:$F198,"&lt;&gt;"),"")</f>
        <v>28</v>
      </c>
      <c r="Z198" s="29" t="str">
        <f>IF(Y198=1,COUNTIF($Y$2:Y198,1),"")</f>
        <v/>
      </c>
      <c r="AA198" s="29">
        <f>IF(AND(LEFT($B198,7)="SBA 26/",$C198&lt;&gt;"",$F198&lt;&gt;""),COUNTIFS($C$2:$C198,$C198,$B$2:$B198,"SBA 26/*",$F$2:$F198,"&lt;&gt;"),"")</f>
        <v>1</v>
      </c>
      <c r="AB198" s="29">
        <f>IF(AA198=1,COUNTIF($AA$2:AA198,1),"")</f>
        <v>139</v>
      </c>
    </row>
    <row r="199" spans="1:28" ht="63" customHeight="1" x14ac:dyDescent="0.2">
      <c r="A199" s="43" t="s">
        <v>1055</v>
      </c>
      <c r="B199" s="43" t="s">
        <v>1056</v>
      </c>
      <c r="C199" s="44" t="s">
        <v>1052</v>
      </c>
      <c r="D199" s="44" t="s">
        <v>113</v>
      </c>
      <c r="E199" s="45" t="s">
        <v>1053</v>
      </c>
      <c r="F199" s="45" t="s">
        <v>1057</v>
      </c>
      <c r="G199" s="46" t="s">
        <v>38</v>
      </c>
      <c r="H199" s="48">
        <v>46071</v>
      </c>
      <c r="I199" s="48">
        <v>46084</v>
      </c>
      <c r="J199" s="44" t="s">
        <v>91</v>
      </c>
      <c r="K199" s="44" t="s">
        <v>108</v>
      </c>
      <c r="L199" s="50" t="s">
        <v>153</v>
      </c>
      <c r="M199" s="50"/>
      <c r="N199" s="50"/>
      <c r="O199" s="49"/>
      <c r="P199" s="50" t="str">
        <f t="shared" si="12"/>
        <v>KAPSAM DIŞI</v>
      </c>
      <c r="R199" s="51" t="str">
        <f t="shared" si="13"/>
        <v/>
      </c>
      <c r="T199" s="41"/>
      <c r="U199" s="29">
        <f>IF($C199&lt;&gt;"",COUNTIF($C$2:C199,C199),"")</f>
        <v>2</v>
      </c>
      <c r="V199" s="29" t="str">
        <f t="shared" si="14"/>
        <v>Prof. Dr. Mustafa CANKURTARAN§2</v>
      </c>
      <c r="W199" s="29" t="str">
        <f>IF(U199=1,COUNTIF($U$2:U199,1),"")</f>
        <v/>
      </c>
      <c r="X199" s="29" t="str">
        <f t="shared" si="15"/>
        <v/>
      </c>
      <c r="Y199" s="29">
        <f>IF(AND(LEFT($B199,7)="SBA 26/",$D199&lt;&gt;"",$F199&lt;&gt;""),COUNTIFS($D$2:$D199,$D199,$B$2:$B199,"SBA 26/*",$F$2:$F199,"&lt;&gt;"),"")</f>
        <v>29</v>
      </c>
      <c r="Z199" s="29" t="str">
        <f>IF(Y199=1,COUNTIF($Y$2:Y199,1),"")</f>
        <v/>
      </c>
      <c r="AA199" s="29">
        <f>IF(AND(LEFT($B199,7)="SBA 26/",$C199&lt;&gt;"",$F199&lt;&gt;""),COUNTIFS($C$2:$C199,$C199,$B$2:$B199,"SBA 26/*",$F$2:$F199,"&lt;&gt;"),"")</f>
        <v>2</v>
      </c>
      <c r="AB199" s="29" t="str">
        <f>IF(AA199=1,COUNTIF($AA$2:AA199,1),"")</f>
        <v/>
      </c>
    </row>
    <row r="200" spans="1:28" ht="63" customHeight="1" x14ac:dyDescent="0.2">
      <c r="A200" s="43" t="s">
        <v>1058</v>
      </c>
      <c r="B200" s="43" t="s">
        <v>1059</v>
      </c>
      <c r="C200" s="44" t="s">
        <v>1052</v>
      </c>
      <c r="D200" s="44" t="s">
        <v>113</v>
      </c>
      <c r="E200" s="45" t="s">
        <v>1053</v>
      </c>
      <c r="F200" s="45" t="s">
        <v>1060</v>
      </c>
      <c r="G200" s="46" t="s">
        <v>38</v>
      </c>
      <c r="H200" s="48">
        <v>46071</v>
      </c>
      <c r="I200" s="48">
        <v>46084</v>
      </c>
      <c r="J200" s="44" t="s">
        <v>91</v>
      </c>
      <c r="K200" s="44" t="s">
        <v>108</v>
      </c>
      <c r="L200" s="50" t="s">
        <v>153</v>
      </c>
      <c r="M200" s="50"/>
      <c r="N200" s="50"/>
      <c r="O200" s="49"/>
      <c r="P200" s="50" t="str">
        <f t="shared" si="12"/>
        <v>KAPSAM DIŞI</v>
      </c>
      <c r="R200" s="51" t="str">
        <f t="shared" si="13"/>
        <v/>
      </c>
      <c r="T200" s="41"/>
      <c r="U200" s="29">
        <f>IF($C200&lt;&gt;"",COUNTIF($C$2:C200,C200),"")</f>
        <v>3</v>
      </c>
      <c r="V200" s="29" t="str">
        <f t="shared" si="14"/>
        <v>Prof. Dr. Mustafa CANKURTARAN§3</v>
      </c>
      <c r="W200" s="29" t="str">
        <f>IF(U200=1,COUNTIF($U$2:U200,1),"")</f>
        <v/>
      </c>
      <c r="X200" s="29" t="str">
        <f t="shared" si="15"/>
        <v/>
      </c>
      <c r="Y200" s="29">
        <f>IF(AND(LEFT($B200,7)="SBA 26/",$D200&lt;&gt;"",$F200&lt;&gt;""),COUNTIFS($D$2:$D200,$D200,$B$2:$B200,"SBA 26/*",$F$2:$F200,"&lt;&gt;"),"")</f>
        <v>30</v>
      </c>
      <c r="Z200" s="29" t="str">
        <f>IF(Y200=1,COUNTIF($Y$2:Y200,1),"")</f>
        <v/>
      </c>
      <c r="AA200" s="29">
        <f>IF(AND(LEFT($B200,7)="SBA 26/",$C200&lt;&gt;"",$F200&lt;&gt;""),COUNTIFS($C$2:$C200,$C200,$B$2:$B200,"SBA 26/*",$F$2:$F200,"&lt;&gt;"),"")</f>
        <v>3</v>
      </c>
      <c r="AB200" s="29" t="str">
        <f>IF(AA200=1,COUNTIF($AA$2:AA200,1),"")</f>
        <v/>
      </c>
    </row>
    <row r="201" spans="1:28" ht="63" customHeight="1" x14ac:dyDescent="0.2">
      <c r="A201" s="43" t="s">
        <v>1061</v>
      </c>
      <c r="B201" s="43" t="s">
        <v>1062</v>
      </c>
      <c r="C201" s="44" t="s">
        <v>1063</v>
      </c>
      <c r="D201" s="44" t="s">
        <v>484</v>
      </c>
      <c r="E201" s="45" t="s">
        <v>1064</v>
      </c>
      <c r="F201" s="45" t="s">
        <v>1065</v>
      </c>
      <c r="G201" s="46" t="s">
        <v>38</v>
      </c>
      <c r="H201" s="48">
        <v>46071</v>
      </c>
      <c r="I201" s="48">
        <v>46084</v>
      </c>
      <c r="J201" s="44" t="s">
        <v>123</v>
      </c>
      <c r="K201" s="44" t="s">
        <v>92</v>
      </c>
      <c r="L201" s="50" t="s">
        <v>77</v>
      </c>
      <c r="M201" s="50"/>
      <c r="N201" s="50"/>
      <c r="O201" s="49"/>
      <c r="P201" s="50" t="str">
        <f t="shared" si="12"/>
        <v>ONAY</v>
      </c>
      <c r="R201" s="51" t="str">
        <f t="shared" si="13"/>
        <v/>
      </c>
      <c r="T201" s="41"/>
      <c r="U201" s="29">
        <f>IF($C201&lt;&gt;"",COUNTIF($C$2:C201,C201),"")</f>
        <v>1</v>
      </c>
      <c r="V201" s="29" t="str">
        <f t="shared" si="14"/>
        <v>Dr. Öğr. Üyesi Hatice BOYACIOĞLU ERDEN§1</v>
      </c>
      <c r="W201" s="29">
        <f>IF(U201=1,COUNTIF($U$2:U201,1),"")</f>
        <v>140</v>
      </c>
      <c r="X201" s="29">
        <f t="shared" si="15"/>
        <v>146</v>
      </c>
      <c r="Y201" s="29">
        <f>IF(AND(LEFT($B201,7)="SBA 26/",$D201&lt;&gt;"",$F201&lt;&gt;""),COUNTIFS($D$2:$D201,$D201,$B$2:$B201,"SBA 26/*",$F$2:$F201,"&lt;&gt;"),"")</f>
        <v>3</v>
      </c>
      <c r="Z201" s="29" t="str">
        <f>IF(Y201=1,COUNTIF($Y$2:Y201,1),"")</f>
        <v/>
      </c>
      <c r="AA201" s="29">
        <f>IF(AND(LEFT($B201,7)="SBA 26/",$C201&lt;&gt;"",$F201&lt;&gt;""),COUNTIFS($C$2:$C201,$C201,$B$2:$B201,"SBA 26/*",$F$2:$F201,"&lt;&gt;"),"")</f>
        <v>1</v>
      </c>
      <c r="AB201" s="29">
        <f>IF(AA201=1,COUNTIF($AA$2:AA201,1),"")</f>
        <v>140</v>
      </c>
    </row>
    <row r="202" spans="1:28" ht="63" customHeight="1" x14ac:dyDescent="0.2">
      <c r="A202" s="43" t="s">
        <v>1066</v>
      </c>
      <c r="B202" s="43" t="s">
        <v>1067</v>
      </c>
      <c r="C202" s="44" t="s">
        <v>112</v>
      </c>
      <c r="D202" s="44" t="s">
        <v>113</v>
      </c>
      <c r="E202" s="45" t="s">
        <v>1068</v>
      </c>
      <c r="F202" s="45" t="s">
        <v>1069</v>
      </c>
      <c r="G202" s="46" t="s">
        <v>38</v>
      </c>
      <c r="H202" s="48">
        <v>46071</v>
      </c>
      <c r="I202" s="48">
        <v>46084</v>
      </c>
      <c r="J202" s="44" t="s">
        <v>76</v>
      </c>
      <c r="K202" s="44" t="s">
        <v>84</v>
      </c>
      <c r="L202" s="50" t="s">
        <v>206</v>
      </c>
      <c r="M202" s="50" t="s">
        <v>101</v>
      </c>
      <c r="N202" s="50"/>
      <c r="O202" s="49"/>
      <c r="P202" s="50" t="str">
        <f t="shared" si="12"/>
        <v>DÜZELTME</v>
      </c>
      <c r="R202" s="51" t="str">
        <f t="shared" si="13"/>
        <v/>
      </c>
      <c r="T202" s="41"/>
      <c r="U202" s="29">
        <f>IF($C202&lt;&gt;"",COUNTIF($C$2:C202,C202),"")</f>
        <v>7</v>
      </c>
      <c r="V202" s="29" t="str">
        <f t="shared" si="14"/>
        <v>Prof. Dr. Meltem Gülhan HALİL§7</v>
      </c>
      <c r="W202" s="29" t="str">
        <f>IF(U202=1,COUNTIF($U$2:U202,1),"")</f>
        <v/>
      </c>
      <c r="X202" s="29" t="str">
        <f t="shared" si="15"/>
        <v/>
      </c>
      <c r="Y202" s="29">
        <f>IF(AND(LEFT($B202,7)="SBA 26/",$D202&lt;&gt;"",$F202&lt;&gt;""),COUNTIFS($D$2:$D202,$D202,$B$2:$B202,"SBA 26/*",$F$2:$F202,"&lt;&gt;"),"")</f>
        <v>31</v>
      </c>
      <c r="Z202" s="29" t="str">
        <f>IF(Y202=1,COUNTIF($Y$2:Y202,1),"")</f>
        <v/>
      </c>
      <c r="AA202" s="29">
        <f>IF(AND(LEFT($B202,7)="SBA 26/",$C202&lt;&gt;"",$F202&lt;&gt;""),COUNTIFS($C$2:$C202,$C202,$B$2:$B202,"SBA 26/*",$F$2:$F202,"&lt;&gt;"),"")</f>
        <v>7</v>
      </c>
      <c r="AB202" s="29" t="str">
        <f>IF(AA202=1,COUNTIF($AA$2:AA202,1),"")</f>
        <v/>
      </c>
    </row>
    <row r="203" spans="1:28" ht="63" customHeight="1" x14ac:dyDescent="0.2">
      <c r="A203" s="43" t="s">
        <v>1070</v>
      </c>
      <c r="B203" s="43" t="s">
        <v>1071</v>
      </c>
      <c r="C203" s="44" t="s">
        <v>1072</v>
      </c>
      <c r="D203" s="44" t="s">
        <v>1073</v>
      </c>
      <c r="E203" s="45" t="s">
        <v>1074</v>
      </c>
      <c r="F203" s="45" t="s">
        <v>1075</v>
      </c>
      <c r="G203" s="46" t="s">
        <v>38</v>
      </c>
      <c r="H203" s="48">
        <v>46072</v>
      </c>
      <c r="I203" s="48">
        <v>46084</v>
      </c>
      <c r="J203" s="44" t="s">
        <v>75</v>
      </c>
      <c r="K203" s="44" t="s">
        <v>99</v>
      </c>
      <c r="L203" s="50" t="s">
        <v>77</v>
      </c>
      <c r="M203" s="50"/>
      <c r="N203" s="50"/>
      <c r="O203" s="49"/>
      <c r="P203" s="50" t="str">
        <f t="shared" si="12"/>
        <v>ONAY</v>
      </c>
      <c r="R203" s="51" t="str">
        <f t="shared" si="13"/>
        <v/>
      </c>
      <c r="T203" s="41"/>
      <c r="U203" s="29">
        <f>IF($C203&lt;&gt;"",COUNTIF($C$2:C203,C203),"")</f>
        <v>1</v>
      </c>
      <c r="V203" s="29" t="str">
        <f t="shared" si="14"/>
        <v>Dr. Öğr. Üyesi Ezgi DOĞAN CÖMERT§1</v>
      </c>
      <c r="W203" s="29">
        <f>IF(U203=1,COUNTIF($U$2:U203,1),"")</f>
        <v>141</v>
      </c>
      <c r="X203" s="29">
        <f t="shared" si="15"/>
        <v>136</v>
      </c>
      <c r="Y203" s="29">
        <f>IF(AND(LEFT($B203,7)="SBA 26/",$D203&lt;&gt;"",$F203&lt;&gt;""),COUNTIFS($D$2:$D203,$D203,$B$2:$B203,"SBA 26/*",$F$2:$F203,"&lt;&gt;"),"")</f>
        <v>1</v>
      </c>
      <c r="Z203" s="29">
        <f>IF(Y203=1,COUNTIF($Y$2:Y203,1),"")</f>
        <v>53</v>
      </c>
      <c r="AA203" s="29">
        <f>IF(AND(LEFT($B203,7)="SBA 26/",$C203&lt;&gt;"",$F203&lt;&gt;""),COUNTIFS($C$2:$C203,$C203,$B$2:$B203,"SBA 26/*",$F$2:$F203,"&lt;&gt;"),"")</f>
        <v>1</v>
      </c>
      <c r="AB203" s="29">
        <f>IF(AA203=1,COUNTIF($AA$2:AA203,1),"")</f>
        <v>141</v>
      </c>
    </row>
    <row r="204" spans="1:28" ht="79.5" customHeight="1" x14ac:dyDescent="0.2">
      <c r="A204" s="43" t="s">
        <v>1076</v>
      </c>
      <c r="B204" s="43" t="s">
        <v>1077</v>
      </c>
      <c r="C204" s="44" t="s">
        <v>1078</v>
      </c>
      <c r="D204" s="44" t="s">
        <v>215</v>
      </c>
      <c r="E204" s="45" t="s">
        <v>1079</v>
      </c>
      <c r="F204" s="45" t="s">
        <v>1080</v>
      </c>
      <c r="G204" s="46" t="s">
        <v>38</v>
      </c>
      <c r="H204" s="48">
        <v>46072</v>
      </c>
      <c r="I204" s="48">
        <v>46084</v>
      </c>
      <c r="J204" s="44" t="s">
        <v>123</v>
      </c>
      <c r="K204" s="44" t="s">
        <v>100</v>
      </c>
      <c r="L204" s="50" t="s">
        <v>77</v>
      </c>
      <c r="M204" s="50"/>
      <c r="N204" s="50"/>
      <c r="O204" s="49"/>
      <c r="P204" s="50" t="str">
        <f t="shared" si="12"/>
        <v>ONAY</v>
      </c>
      <c r="R204" s="51" t="str">
        <f t="shared" si="13"/>
        <v/>
      </c>
      <c r="T204" s="41"/>
      <c r="U204" s="29">
        <f>IF($C204&lt;&gt;"",COUNTIF($C$2:C204,C204),"")</f>
        <v>1</v>
      </c>
      <c r="V204" s="29" t="str">
        <f t="shared" si="14"/>
        <v>Dr. Öğr. Üyesi Salih Eren MERAL§1</v>
      </c>
      <c r="W204" s="29">
        <f>IF(U204=1,COUNTIF($U$2:U204,1),"")</f>
        <v>142</v>
      </c>
      <c r="X204" s="29">
        <f t="shared" si="15"/>
        <v>160</v>
      </c>
      <c r="Y204" s="29">
        <f>IF(AND(LEFT($B204,7)="SBA 26/",$D204&lt;&gt;"",$F204&lt;&gt;""),COUNTIFS($D$2:$D204,$D204,$B$2:$B204,"SBA 26/*",$F$2:$F204,"&lt;&gt;"),"")</f>
        <v>3</v>
      </c>
      <c r="Z204" s="29" t="str">
        <f>IF(Y204=1,COUNTIF($Y$2:Y204,1),"")</f>
        <v/>
      </c>
      <c r="AA204" s="29">
        <f>IF(AND(LEFT($B204,7)="SBA 26/",$C204&lt;&gt;"",$F204&lt;&gt;""),COUNTIFS($C$2:$C204,$C204,$B$2:$B204,"SBA 26/*",$F$2:$F204,"&lt;&gt;"),"")</f>
        <v>1</v>
      </c>
      <c r="AB204" s="29">
        <f>IF(AA204=1,COUNTIF($AA$2:AA204,1),"")</f>
        <v>142</v>
      </c>
    </row>
    <row r="205" spans="1:28" ht="63" customHeight="1" x14ac:dyDescent="0.2">
      <c r="A205" s="43" t="s">
        <v>1081</v>
      </c>
      <c r="B205" s="43" t="s">
        <v>1082</v>
      </c>
      <c r="C205" s="44" t="s">
        <v>937</v>
      </c>
      <c r="D205" s="44" t="s">
        <v>341</v>
      </c>
      <c r="E205" s="56" t="s">
        <v>1083</v>
      </c>
      <c r="F205" s="45" t="s">
        <v>1084</v>
      </c>
      <c r="G205" s="46" t="s">
        <v>38</v>
      </c>
      <c r="H205" s="48">
        <v>46072</v>
      </c>
      <c r="I205" s="48">
        <v>46084</v>
      </c>
      <c r="J205" s="44" t="s">
        <v>116</v>
      </c>
      <c r="K205" s="44" t="s">
        <v>109</v>
      </c>
      <c r="L205" s="50" t="s">
        <v>77</v>
      </c>
      <c r="M205" s="50"/>
      <c r="N205" s="50"/>
      <c r="O205" s="49"/>
      <c r="P205" s="50" t="str">
        <f t="shared" si="12"/>
        <v>ONAY</v>
      </c>
      <c r="R205" s="51" t="str">
        <f t="shared" si="13"/>
        <v/>
      </c>
      <c r="T205" s="41"/>
      <c r="U205" s="29">
        <f>IF($C205&lt;&gt;"",COUNTIF($C$2:C205,C205),"")</f>
        <v>2</v>
      </c>
      <c r="V205" s="29" t="str">
        <f t="shared" si="14"/>
        <v>Doç. Dr. Duygu GÜLSEREN§2</v>
      </c>
      <c r="W205" s="29" t="str">
        <f>IF(U205=1,COUNTIF($U$2:U205,1),"")</f>
        <v/>
      </c>
      <c r="X205" s="29" t="str">
        <f t="shared" si="15"/>
        <v/>
      </c>
      <c r="Y205" s="29">
        <f>IF(AND(LEFT($B205,7)="SBA 26/",$D205&lt;&gt;"",$F205&lt;&gt;""),COUNTIFS($D$2:$D205,$D205,$B$2:$B205,"SBA 26/*",$F$2:$F205,"&lt;&gt;"),"")</f>
        <v>5</v>
      </c>
      <c r="Z205" s="29" t="str">
        <f>IF(Y205=1,COUNTIF($Y$2:Y205,1),"")</f>
        <v/>
      </c>
      <c r="AA205" s="29">
        <f>IF(AND(LEFT($B205,7)="SBA 26/",$C205&lt;&gt;"",$F205&lt;&gt;""),COUNTIFS($C$2:$C205,$C205,$B$2:$B205,"SBA 26/*",$F$2:$F205,"&lt;&gt;"),"")</f>
        <v>2</v>
      </c>
      <c r="AB205" s="29" t="str">
        <f>IF(AA205=1,COUNTIF($AA$2:AA205,1),"")</f>
        <v/>
      </c>
    </row>
    <row r="206" spans="1:28" ht="63" customHeight="1" x14ac:dyDescent="0.2">
      <c r="A206" s="43" t="s">
        <v>1085</v>
      </c>
      <c r="B206" s="43" t="s">
        <v>1086</v>
      </c>
      <c r="C206" s="44" t="s">
        <v>1087</v>
      </c>
      <c r="D206" s="44" t="s">
        <v>280</v>
      </c>
      <c r="E206" s="45" t="s">
        <v>1088</v>
      </c>
      <c r="F206" s="45" t="s">
        <v>1089</v>
      </c>
      <c r="G206" s="46" t="s">
        <v>38</v>
      </c>
      <c r="H206" s="48">
        <v>46072</v>
      </c>
      <c r="I206" s="48">
        <v>46084</v>
      </c>
      <c r="J206" s="44" t="s">
        <v>91</v>
      </c>
      <c r="K206" s="44" t="s">
        <v>75</v>
      </c>
      <c r="L206" s="50" t="s">
        <v>77</v>
      </c>
      <c r="M206" s="50"/>
      <c r="N206" s="50"/>
      <c r="O206" s="49"/>
      <c r="P206" s="50" t="str">
        <f t="shared" si="12"/>
        <v>ONAY</v>
      </c>
      <c r="R206" s="51" t="str">
        <f t="shared" si="13"/>
        <v/>
      </c>
      <c r="T206" s="41"/>
      <c r="U206" s="29">
        <f>IF($C206&lt;&gt;"",COUNTIF($C$2:C206,C206),"")</f>
        <v>1</v>
      </c>
      <c r="V206" s="29" t="str">
        <f t="shared" si="14"/>
        <v>Prof. Dr. Murat TUNCEL§1</v>
      </c>
      <c r="W206" s="29">
        <f>IF(U206=1,COUNTIF($U$2:U206,1),"")</f>
        <v>143</v>
      </c>
      <c r="X206" s="29">
        <f t="shared" si="15"/>
        <v>275</v>
      </c>
      <c r="Y206" s="29">
        <f>IF(AND(LEFT($B206,7)="SBA 26/",$D206&lt;&gt;"",$F206&lt;&gt;""),COUNTIFS($D$2:$D206,$D206,$B$2:$B206,"SBA 26/*",$F$2:$F206,"&lt;&gt;"),"")</f>
        <v>3</v>
      </c>
      <c r="Z206" s="29" t="str">
        <f>IF(Y206=1,COUNTIF($Y$2:Y206,1),"")</f>
        <v/>
      </c>
      <c r="AA206" s="29">
        <f>IF(AND(LEFT($B206,7)="SBA 26/",$C206&lt;&gt;"",$F206&lt;&gt;""),COUNTIFS($C$2:$C206,$C206,$B$2:$B206,"SBA 26/*",$F$2:$F206,"&lt;&gt;"),"")</f>
        <v>1</v>
      </c>
      <c r="AB206" s="29">
        <f>IF(AA206=1,COUNTIF($AA$2:AA206,1),"")</f>
        <v>143</v>
      </c>
    </row>
    <row r="207" spans="1:28" ht="97.5" customHeight="1" x14ac:dyDescent="0.2">
      <c r="A207" s="43" t="s">
        <v>1090</v>
      </c>
      <c r="B207" s="43" t="s">
        <v>1091</v>
      </c>
      <c r="C207" s="44" t="s">
        <v>1092</v>
      </c>
      <c r="D207" s="44" t="s">
        <v>203</v>
      </c>
      <c r="E207" s="45" t="s">
        <v>1093</v>
      </c>
      <c r="F207" s="45" t="s">
        <v>1094</v>
      </c>
      <c r="G207" s="46" t="s">
        <v>41</v>
      </c>
      <c r="H207" s="48">
        <v>46072</v>
      </c>
      <c r="I207" s="48">
        <v>46084</v>
      </c>
      <c r="J207" s="44" t="s">
        <v>92</v>
      </c>
      <c r="K207" s="44" t="s">
        <v>99</v>
      </c>
      <c r="L207" s="50" t="s">
        <v>206</v>
      </c>
      <c r="M207" s="50" t="s">
        <v>77</v>
      </c>
      <c r="N207" s="50"/>
      <c r="O207" s="49"/>
      <c r="P207" s="50" t="str">
        <f t="shared" si="12"/>
        <v>ONAY</v>
      </c>
      <c r="R207" s="51" t="str">
        <f t="shared" si="13"/>
        <v/>
      </c>
      <c r="T207" s="41"/>
      <c r="U207" s="29">
        <f>IF($C207&lt;&gt;"",COUNTIF($C$2:C207,C207),"")</f>
        <v>1</v>
      </c>
      <c r="V207" s="29" t="str">
        <f t="shared" si="14"/>
        <v>Prof. Dr. Özgür UĞURLUOĞLU§1</v>
      </c>
      <c r="W207" s="29">
        <f>IF(U207=1,COUNTIF($U$2:U207,1),"")</f>
        <v>144</v>
      </c>
      <c r="X207" s="29">
        <f t="shared" si="15"/>
        <v>299</v>
      </c>
      <c r="Y207" s="29">
        <f>IF(AND(LEFT($B207,7)="SBA 26/",$D207&lt;&gt;"",$F207&lt;&gt;""),COUNTIFS($D$2:$D207,$D207,$B$2:$B207,"SBA 26/*",$F$2:$F207,"&lt;&gt;"),"")</f>
        <v>3</v>
      </c>
      <c r="Z207" s="29" t="str">
        <f>IF(Y207=1,COUNTIF($Y$2:Y207,1),"")</f>
        <v/>
      </c>
      <c r="AA207" s="29">
        <f>IF(AND(LEFT($B207,7)="SBA 26/",$C207&lt;&gt;"",$F207&lt;&gt;""),COUNTIFS($C$2:$C207,$C207,$B$2:$B207,"SBA 26/*",$F$2:$F207,"&lt;&gt;"),"")</f>
        <v>1</v>
      </c>
      <c r="AB207" s="29">
        <f>IF(AA207=1,COUNTIF($AA$2:AA207,1),"")</f>
        <v>144</v>
      </c>
    </row>
    <row r="208" spans="1:28" ht="63" customHeight="1" x14ac:dyDescent="0.2">
      <c r="A208" s="43" t="s">
        <v>1095</v>
      </c>
      <c r="B208" s="43" t="s">
        <v>1096</v>
      </c>
      <c r="C208" s="44" t="s">
        <v>1097</v>
      </c>
      <c r="D208" s="44" t="s">
        <v>88</v>
      </c>
      <c r="E208" s="45" t="s">
        <v>1098</v>
      </c>
      <c r="F208" s="45" t="s">
        <v>1099</v>
      </c>
      <c r="G208" s="46" t="s">
        <v>38</v>
      </c>
      <c r="H208" s="48">
        <v>46076</v>
      </c>
      <c r="I208" s="48">
        <v>46084</v>
      </c>
      <c r="J208" s="44" t="s">
        <v>75</v>
      </c>
      <c r="K208" s="44" t="s">
        <v>92</v>
      </c>
      <c r="L208" s="50" t="s">
        <v>101</v>
      </c>
      <c r="M208" s="50" t="s">
        <v>101</v>
      </c>
      <c r="N208" s="50" t="s">
        <v>77</v>
      </c>
      <c r="O208" s="49"/>
      <c r="P208" s="50" t="str">
        <f t="shared" si="12"/>
        <v>ONAY</v>
      </c>
      <c r="R208" s="51" t="str">
        <f t="shared" si="13"/>
        <v/>
      </c>
      <c r="T208" s="41"/>
      <c r="U208" s="29">
        <f>IF($C208&lt;&gt;"",COUNTIF($C$2:C208,C208),"")</f>
        <v>1</v>
      </c>
      <c r="V208" s="29" t="str">
        <f t="shared" si="14"/>
        <v>Doç. Dr. Adalet Elçin YILDIZ§1</v>
      </c>
      <c r="W208" s="29">
        <f>IF(U208=1,COUNTIF($U$2:U208,1),"")</f>
        <v>145</v>
      </c>
      <c r="X208" s="29">
        <f t="shared" si="15"/>
        <v>15</v>
      </c>
      <c r="Y208" s="29">
        <f>IF(AND(LEFT($B208,7)="SBA 26/",$D208&lt;&gt;"",$F208&lt;&gt;""),COUNTIFS($D$2:$D208,$D208,$B$2:$B208,"SBA 26/*",$F$2:$F208,"&lt;&gt;"),"")</f>
        <v>7</v>
      </c>
      <c r="Z208" s="29" t="str">
        <f>IF(Y208=1,COUNTIF($Y$2:Y208,1),"")</f>
        <v/>
      </c>
      <c r="AA208" s="29">
        <f>IF(AND(LEFT($B208,7)="SBA 26/",$C208&lt;&gt;"",$F208&lt;&gt;""),COUNTIFS($C$2:$C208,$C208,$B$2:$B208,"SBA 26/*",$F$2:$F208,"&lt;&gt;"),"")</f>
        <v>1</v>
      </c>
      <c r="AB208" s="29">
        <f>IF(AA208=1,COUNTIF($AA$2:AA208,1),"")</f>
        <v>145</v>
      </c>
    </row>
    <row r="209" spans="1:28" ht="63" customHeight="1" x14ac:dyDescent="0.2">
      <c r="A209" s="43" t="s">
        <v>1100</v>
      </c>
      <c r="B209" s="43" t="s">
        <v>1101</v>
      </c>
      <c r="C209" s="44" t="s">
        <v>628</v>
      </c>
      <c r="D209" s="44" t="s">
        <v>228</v>
      </c>
      <c r="E209" s="45" t="s">
        <v>1102</v>
      </c>
      <c r="F209" s="45" t="s">
        <v>1103</v>
      </c>
      <c r="G209" s="46" t="s">
        <v>39</v>
      </c>
      <c r="H209" s="48">
        <v>46076</v>
      </c>
      <c r="I209" s="48">
        <v>46084</v>
      </c>
      <c r="J209" s="44" t="s">
        <v>100</v>
      </c>
      <c r="K209" s="44" t="s">
        <v>76</v>
      </c>
      <c r="L209" s="50" t="s">
        <v>101</v>
      </c>
      <c r="M209" s="50" t="s">
        <v>77</v>
      </c>
      <c r="N209" s="50"/>
      <c r="O209" s="49"/>
      <c r="P209" s="50" t="str">
        <f t="shared" si="12"/>
        <v>ONAY</v>
      </c>
      <c r="Q209" s="28" t="s">
        <v>100</v>
      </c>
      <c r="R209" s="51" t="str">
        <f t="shared" si="13"/>
        <v/>
      </c>
      <c r="T209" s="41"/>
      <c r="U209" s="29">
        <f>IF($C209&lt;&gt;"",COUNTIF($C$2:C209,C209),"")</f>
        <v>2</v>
      </c>
      <c r="V209" s="29" t="str">
        <f t="shared" si="14"/>
        <v>Dr. Öğr. Üyesi Murat ÇAĞAN§2</v>
      </c>
      <c r="W209" s="29" t="str">
        <f>IF(U209=1,COUNTIF($U$2:U209,1),"")</f>
        <v/>
      </c>
      <c r="X209" s="29" t="str">
        <f t="shared" si="15"/>
        <v/>
      </c>
      <c r="Y209" s="29">
        <f>IF(AND(LEFT($B209,7)="SBA 26/",$D209&lt;&gt;"",$F209&lt;&gt;""),COUNTIFS($D$2:$D209,$D209,$B$2:$B209,"SBA 26/*",$F$2:$F209,"&lt;&gt;"),"")</f>
        <v>10</v>
      </c>
      <c r="Z209" s="29" t="str">
        <f>IF(Y209=1,COUNTIF($Y$2:Y209,1),"")</f>
        <v/>
      </c>
      <c r="AA209" s="29">
        <f>IF(AND(LEFT($B209,7)="SBA 26/",$C209&lt;&gt;"",$F209&lt;&gt;""),COUNTIFS($C$2:$C209,$C209,$B$2:$B209,"SBA 26/*",$F$2:$F209,"&lt;&gt;"),"")</f>
        <v>2</v>
      </c>
      <c r="AB209" s="29" t="str">
        <f>IF(AA209=1,COUNTIF($AA$2:AA209,1),"")</f>
        <v/>
      </c>
    </row>
    <row r="210" spans="1:28" ht="94.5" customHeight="1" x14ac:dyDescent="0.2">
      <c r="A210" s="43" t="s">
        <v>1104</v>
      </c>
      <c r="B210" s="43" t="s">
        <v>1105</v>
      </c>
      <c r="C210" s="44" t="s">
        <v>1106</v>
      </c>
      <c r="D210" s="44" t="s">
        <v>966</v>
      </c>
      <c r="E210" s="45" t="s">
        <v>1107</v>
      </c>
      <c r="F210" s="45" t="s">
        <v>1108</v>
      </c>
      <c r="G210" s="46" t="s">
        <v>38</v>
      </c>
      <c r="H210" s="48">
        <v>46076</v>
      </c>
      <c r="I210" s="48">
        <v>46084</v>
      </c>
      <c r="J210" s="44" t="s">
        <v>84</v>
      </c>
      <c r="K210" s="44" t="s">
        <v>123</v>
      </c>
      <c r="L210" s="50" t="s">
        <v>77</v>
      </c>
      <c r="M210" s="50"/>
      <c r="N210" s="50"/>
      <c r="O210" s="49"/>
      <c r="P210" s="50" t="str">
        <f t="shared" si="12"/>
        <v>ONAY</v>
      </c>
      <c r="R210" s="51" t="str">
        <f t="shared" si="13"/>
        <v/>
      </c>
      <c r="T210" s="41"/>
      <c r="U210" s="29">
        <f>IF($C210&lt;&gt;"",COUNTIF($C$2:C210,C210),"")</f>
        <v>1</v>
      </c>
      <c r="V210" s="29" t="str">
        <f t="shared" si="14"/>
        <v>Doç. Dr. Duygu AYHAN BAŞER§1</v>
      </c>
      <c r="W210" s="29">
        <f>IF(U210=1,COUNTIF($U$2:U210,1),"")</f>
        <v>146</v>
      </c>
      <c r="X210" s="29">
        <f t="shared" si="15"/>
        <v>41</v>
      </c>
      <c r="Y210" s="29">
        <f>IF(AND(LEFT($B210,7)="SBA 26/",$D210&lt;&gt;"",$F210&lt;&gt;""),COUNTIFS($D$2:$D210,$D210,$B$2:$B210,"SBA 26/*",$F$2:$F210,"&lt;&gt;"),"")</f>
        <v>2</v>
      </c>
      <c r="Z210" s="29" t="str">
        <f>IF(Y210=1,COUNTIF($Y$2:Y210,1),"")</f>
        <v/>
      </c>
      <c r="AA210" s="29">
        <f>IF(AND(LEFT($B210,7)="SBA 26/",$C210&lt;&gt;"",$F210&lt;&gt;""),COUNTIFS($C$2:$C210,$C210,$B$2:$B210,"SBA 26/*",$F$2:$F210,"&lt;&gt;"),"")</f>
        <v>1</v>
      </c>
      <c r="AB210" s="29">
        <f>IF(AA210=1,COUNTIF($AA$2:AA210,1),"")</f>
        <v>146</v>
      </c>
    </row>
    <row r="211" spans="1:28" ht="94.5" customHeight="1" x14ac:dyDescent="0.2">
      <c r="A211" s="43" t="s">
        <v>1109</v>
      </c>
      <c r="B211" s="43" t="s">
        <v>1110</v>
      </c>
      <c r="C211" s="44" t="s">
        <v>1087</v>
      </c>
      <c r="D211" s="44" t="s">
        <v>280</v>
      </c>
      <c r="E211" s="45" t="s">
        <v>1111</v>
      </c>
      <c r="F211" s="45" t="s">
        <v>1112</v>
      </c>
      <c r="G211" s="46" t="s">
        <v>39</v>
      </c>
      <c r="H211" s="48">
        <v>46076</v>
      </c>
      <c r="I211" s="48">
        <v>46084</v>
      </c>
      <c r="J211" s="44" t="s">
        <v>91</v>
      </c>
      <c r="K211" s="44" t="s">
        <v>75</v>
      </c>
      <c r="L211" s="50" t="s">
        <v>172</v>
      </c>
      <c r="M211" s="50" t="s">
        <v>77</v>
      </c>
      <c r="N211" s="50"/>
      <c r="O211" s="49"/>
      <c r="P211" s="50" t="str">
        <f t="shared" si="12"/>
        <v>ONAY</v>
      </c>
      <c r="R211" s="51" t="str">
        <f t="shared" si="13"/>
        <v/>
      </c>
      <c r="T211" s="41"/>
      <c r="U211" s="29">
        <f>IF($C211&lt;&gt;"",COUNTIF($C$2:C211,C211),"")</f>
        <v>2</v>
      </c>
      <c r="V211" s="29" t="str">
        <f t="shared" si="14"/>
        <v>Prof. Dr. Murat TUNCEL§2</v>
      </c>
      <c r="W211" s="29" t="str">
        <f>IF(U211=1,COUNTIF($U$2:U211,1),"")</f>
        <v/>
      </c>
      <c r="X211" s="29" t="str">
        <f t="shared" si="15"/>
        <v/>
      </c>
      <c r="Y211" s="29">
        <f>IF(AND(LEFT($B211,7)="SBA 26/",$D211&lt;&gt;"",$F211&lt;&gt;""),COUNTIFS($D$2:$D211,$D211,$B$2:$B211,"SBA 26/*",$F$2:$F211,"&lt;&gt;"),"")</f>
        <v>4</v>
      </c>
      <c r="Z211" s="29" t="str">
        <f>IF(Y211=1,COUNTIF($Y$2:Y211,1),"")</f>
        <v/>
      </c>
      <c r="AA211" s="29">
        <f>IF(AND(LEFT($B211,7)="SBA 26/",$C211&lt;&gt;"",$F211&lt;&gt;""),COUNTIFS($C$2:$C211,$C211,$B$2:$B211,"SBA 26/*",$F$2:$F211,"&lt;&gt;"),"")</f>
        <v>2</v>
      </c>
      <c r="AB211" s="29" t="str">
        <f>IF(AA211=1,COUNTIF($AA$2:AA211,1),"")</f>
        <v/>
      </c>
    </row>
    <row r="212" spans="1:28" ht="63" customHeight="1" x14ac:dyDescent="0.2">
      <c r="A212" s="43" t="s">
        <v>1113</v>
      </c>
      <c r="B212" s="43" t="s">
        <v>1114</v>
      </c>
      <c r="C212" s="44" t="s">
        <v>1115</v>
      </c>
      <c r="D212" s="44" t="s">
        <v>385</v>
      </c>
      <c r="E212" s="45" t="s">
        <v>1116</v>
      </c>
      <c r="F212" s="45" t="s">
        <v>1117</v>
      </c>
      <c r="G212" s="46" t="s">
        <v>38</v>
      </c>
      <c r="H212" s="48">
        <v>46076</v>
      </c>
      <c r="I212" s="48">
        <v>46084</v>
      </c>
      <c r="J212" s="44" t="s">
        <v>76</v>
      </c>
      <c r="K212" s="44" t="s">
        <v>108</v>
      </c>
      <c r="L212" s="50" t="s">
        <v>77</v>
      </c>
      <c r="M212" s="50"/>
      <c r="N212" s="50"/>
      <c r="O212" s="49"/>
      <c r="P212" s="50" t="str">
        <f t="shared" si="12"/>
        <v>ONAY</v>
      </c>
      <c r="R212" s="51" t="str">
        <f t="shared" si="13"/>
        <v/>
      </c>
      <c r="T212" s="41"/>
      <c r="U212" s="29">
        <f>IF($C212&lt;&gt;"",COUNTIF($C$2:C212,C212),"")</f>
        <v>1</v>
      </c>
      <c r="V212" s="29" t="str">
        <f t="shared" si="14"/>
        <v>Doç. Dr. İdil Rana USER KILIÇ§1</v>
      </c>
      <c r="W212" s="29">
        <f>IF(U212=1,COUNTIF($U$2:U212,1),"")</f>
        <v>147</v>
      </c>
      <c r="X212" s="29">
        <f t="shared" si="15"/>
        <v>70</v>
      </c>
      <c r="Y212" s="29">
        <f>IF(AND(LEFT($B212,7)="SBA 26/",$D212&lt;&gt;"",$F212&lt;&gt;""),COUNTIFS($D$2:$D212,$D212,$B$2:$B212,"SBA 26/*",$F$2:$F212,"&lt;&gt;"),"")</f>
        <v>4</v>
      </c>
      <c r="Z212" s="29" t="str">
        <f>IF(Y212=1,COUNTIF($Y$2:Y212,1),"")</f>
        <v/>
      </c>
      <c r="AA212" s="29">
        <f>IF(AND(LEFT($B212,7)="SBA 26/",$C212&lt;&gt;"",$F212&lt;&gt;""),COUNTIFS($C$2:$C212,$C212,$B$2:$B212,"SBA 26/*",$F$2:$F212,"&lt;&gt;"),"")</f>
        <v>1</v>
      </c>
      <c r="AB212" s="29">
        <f>IF(AA212=1,COUNTIF($AA$2:AA212,1),"")</f>
        <v>147</v>
      </c>
    </row>
    <row r="213" spans="1:28" ht="78.75" customHeight="1" x14ac:dyDescent="0.2">
      <c r="A213" s="43" t="s">
        <v>1118</v>
      </c>
      <c r="B213" s="43" t="s">
        <v>1119</v>
      </c>
      <c r="C213" s="44" t="s">
        <v>1115</v>
      </c>
      <c r="D213" s="44" t="s">
        <v>385</v>
      </c>
      <c r="E213" s="45" t="s">
        <v>1120</v>
      </c>
      <c r="F213" s="45" t="s">
        <v>1121</v>
      </c>
      <c r="G213" s="46" t="s">
        <v>38</v>
      </c>
      <c r="H213" s="48">
        <v>46076</v>
      </c>
      <c r="I213" s="48">
        <v>46084</v>
      </c>
      <c r="J213" s="44" t="s">
        <v>76</v>
      </c>
      <c r="K213" s="44" t="s">
        <v>108</v>
      </c>
      <c r="L213" s="50" t="s">
        <v>77</v>
      </c>
      <c r="M213" s="50"/>
      <c r="N213" s="50"/>
      <c r="O213" s="49"/>
      <c r="P213" s="50" t="str">
        <f t="shared" si="12"/>
        <v>ONAY</v>
      </c>
      <c r="R213" s="51" t="str">
        <f t="shared" si="13"/>
        <v/>
      </c>
      <c r="T213" s="41"/>
      <c r="U213" s="29">
        <f>IF($C213&lt;&gt;"",COUNTIF($C$2:C213,C213),"")</f>
        <v>2</v>
      </c>
      <c r="V213" s="29" t="str">
        <f t="shared" si="14"/>
        <v>Doç. Dr. İdil Rana USER KILIÇ§2</v>
      </c>
      <c r="W213" s="29" t="str">
        <f>IF(U213=1,COUNTIF($U$2:U213,1),"")</f>
        <v/>
      </c>
      <c r="X213" s="29" t="str">
        <f t="shared" si="15"/>
        <v/>
      </c>
      <c r="Y213" s="29">
        <f>IF(AND(LEFT($B213,7)="SBA 26/",$D213&lt;&gt;"",$F213&lt;&gt;""),COUNTIFS($D$2:$D213,$D213,$B$2:$B213,"SBA 26/*",$F$2:$F213,"&lt;&gt;"),"")</f>
        <v>5</v>
      </c>
      <c r="Z213" s="29" t="str">
        <f>IF(Y213=1,COUNTIF($Y$2:Y213,1),"")</f>
        <v/>
      </c>
      <c r="AA213" s="29">
        <f>IF(AND(LEFT($B213,7)="SBA 26/",$C213&lt;&gt;"",$F213&lt;&gt;""),COUNTIFS($C$2:$C213,$C213,$B$2:$B213,"SBA 26/*",$F$2:$F213,"&lt;&gt;"),"")</f>
        <v>2</v>
      </c>
      <c r="AB213" s="29" t="str">
        <f>IF(AA213=1,COUNTIF($AA$2:AA213,1),"")</f>
        <v/>
      </c>
    </row>
    <row r="214" spans="1:28" ht="78.75" customHeight="1" x14ac:dyDescent="0.2">
      <c r="A214" s="43" t="s">
        <v>1122</v>
      </c>
      <c r="B214" s="43" t="s">
        <v>1123</v>
      </c>
      <c r="C214" s="44" t="s">
        <v>1124</v>
      </c>
      <c r="D214" s="44" t="s">
        <v>297</v>
      </c>
      <c r="E214" s="45" t="s">
        <v>1125</v>
      </c>
      <c r="F214" s="45" t="s">
        <v>1126</v>
      </c>
      <c r="G214" s="46" t="s">
        <v>38</v>
      </c>
      <c r="H214" s="48">
        <v>46076</v>
      </c>
      <c r="I214" s="48">
        <v>46084</v>
      </c>
      <c r="J214" s="44" t="s">
        <v>123</v>
      </c>
      <c r="K214" s="44" t="s">
        <v>84</v>
      </c>
      <c r="L214" s="50" t="s">
        <v>101</v>
      </c>
      <c r="M214" s="50"/>
      <c r="N214" s="50"/>
      <c r="O214" s="49"/>
      <c r="P214" s="50" t="str">
        <f t="shared" si="12"/>
        <v>DÜZELTME</v>
      </c>
      <c r="R214" s="51" t="str">
        <f t="shared" si="13"/>
        <v/>
      </c>
      <c r="T214" s="41"/>
      <c r="U214" s="29">
        <f>IF($C214&lt;&gt;"",COUNTIF($C$2:C214,C214),"")</f>
        <v>1</v>
      </c>
      <c r="V214" s="29" t="str">
        <f t="shared" si="14"/>
        <v>Doç. Dr. Bengisu AKARSU GÜVEN§1</v>
      </c>
      <c r="W214" s="29">
        <f>IF(U214=1,COUNTIF($U$2:U214,1),"")</f>
        <v>148</v>
      </c>
      <c r="X214" s="29">
        <f t="shared" si="15"/>
        <v>27</v>
      </c>
      <c r="Y214" s="29">
        <f>IF(AND(LEFT($B214,7)="SBA 26/",$D214&lt;&gt;"",$F214&lt;&gt;""),COUNTIFS($D$2:$D214,$D214,$B$2:$B214,"SBA 26/*",$F$2:$F214,"&lt;&gt;"),"")</f>
        <v>5</v>
      </c>
      <c r="Z214" s="29" t="str">
        <f>IF(Y214=1,COUNTIF($Y$2:Y214,1),"")</f>
        <v/>
      </c>
      <c r="AA214" s="29">
        <f>IF(AND(LEFT($B214,7)="SBA 26/",$C214&lt;&gt;"",$F214&lt;&gt;""),COUNTIFS($C$2:$C214,$C214,$B$2:$B214,"SBA 26/*",$F$2:$F214,"&lt;&gt;"),"")</f>
        <v>1</v>
      </c>
      <c r="AB214" s="29">
        <f>IF(AA214=1,COUNTIF($AA$2:AA214,1),"")</f>
        <v>148</v>
      </c>
    </row>
    <row r="215" spans="1:28" ht="96.75" customHeight="1" x14ac:dyDescent="0.2">
      <c r="A215" s="43" t="s">
        <v>1127</v>
      </c>
      <c r="B215" s="43" t="s">
        <v>1128</v>
      </c>
      <c r="C215" s="44" t="s">
        <v>1129</v>
      </c>
      <c r="D215" s="44" t="s">
        <v>222</v>
      </c>
      <c r="E215" s="45" t="s">
        <v>1130</v>
      </c>
      <c r="F215" s="45" t="s">
        <v>1131</v>
      </c>
      <c r="G215" s="46" t="s">
        <v>38</v>
      </c>
      <c r="H215" s="48">
        <v>46076</v>
      </c>
      <c r="I215" s="48">
        <v>46084</v>
      </c>
      <c r="J215" s="44" t="s">
        <v>123</v>
      </c>
      <c r="K215" s="44" t="s">
        <v>109</v>
      </c>
      <c r="L215" s="50" t="s">
        <v>101</v>
      </c>
      <c r="M215" s="50" t="s">
        <v>77</v>
      </c>
      <c r="N215" s="50"/>
      <c r="O215" s="49"/>
      <c r="P215" s="50" t="str">
        <f t="shared" si="12"/>
        <v>ONAY</v>
      </c>
      <c r="Q215" s="28" t="s">
        <v>123</v>
      </c>
      <c r="R215" s="51" t="str">
        <f t="shared" si="13"/>
        <v/>
      </c>
      <c r="T215" s="41"/>
      <c r="U215" s="29">
        <f>IF($C215&lt;&gt;"",COUNTIF($C$2:C215,C215),"")</f>
        <v>1</v>
      </c>
      <c r="V215" s="29" t="str">
        <f t="shared" si="14"/>
        <v>Prof. Dr. Ali DURSUN§1</v>
      </c>
      <c r="W215" s="29">
        <f>IF(U215=1,COUNTIF($U$2:U215,1),"")</f>
        <v>149</v>
      </c>
      <c r="X215" s="29">
        <f t="shared" si="15"/>
        <v>189</v>
      </c>
      <c r="Y215" s="29">
        <f>IF(AND(LEFT($B215,7)="SBA 26/",$D215&lt;&gt;"",$F215&lt;&gt;""),COUNTIFS($D$2:$D215,$D215,$B$2:$B215,"SBA 26/*",$F$2:$F215,"&lt;&gt;"),"")</f>
        <v>26</v>
      </c>
      <c r="Z215" s="29" t="str">
        <f>IF(Y215=1,COUNTIF($Y$2:Y215,1),"")</f>
        <v/>
      </c>
      <c r="AA215" s="29">
        <f>IF(AND(LEFT($B215,7)="SBA 26/",$C215&lt;&gt;"",$F215&lt;&gt;""),COUNTIFS($C$2:$C215,$C215,$B$2:$B215,"SBA 26/*",$F$2:$F215,"&lt;&gt;"),"")</f>
        <v>1</v>
      </c>
      <c r="AB215" s="29">
        <f>IF(AA215=1,COUNTIF($AA$2:AA215,1),"")</f>
        <v>149</v>
      </c>
    </row>
    <row r="216" spans="1:28" ht="63" customHeight="1" x14ac:dyDescent="0.2">
      <c r="A216" s="43" t="s">
        <v>1132</v>
      </c>
      <c r="B216" s="43" t="s">
        <v>1133</v>
      </c>
      <c r="C216" s="44" t="s">
        <v>384</v>
      </c>
      <c r="D216" s="44" t="s">
        <v>385</v>
      </c>
      <c r="E216" s="45" t="s">
        <v>1134</v>
      </c>
      <c r="F216" s="45" t="s">
        <v>1135</v>
      </c>
      <c r="G216" s="46" t="s">
        <v>38</v>
      </c>
      <c r="H216" s="48">
        <v>46077</v>
      </c>
      <c r="I216" s="48">
        <v>46084</v>
      </c>
      <c r="J216" s="44" t="s">
        <v>99</v>
      </c>
      <c r="K216" s="44" t="s">
        <v>109</v>
      </c>
      <c r="L216" s="50" t="s">
        <v>77</v>
      </c>
      <c r="M216" s="50"/>
      <c r="N216" s="50"/>
      <c r="O216" s="49"/>
      <c r="P216" s="50" t="str">
        <f t="shared" si="12"/>
        <v>ONAY</v>
      </c>
      <c r="R216" s="51" t="str">
        <f t="shared" si="13"/>
        <v/>
      </c>
      <c r="T216" s="41"/>
      <c r="U216" s="29">
        <f>IF($C216&lt;&gt;"",COUNTIF($C$2:C216,C216),"")</f>
        <v>3</v>
      </c>
      <c r="V216" s="29" t="str">
        <f t="shared" si="14"/>
        <v>Prof. Dr. Tutku SOYER§3</v>
      </c>
      <c r="W216" s="29" t="str">
        <f>IF(U216=1,COUNTIF($U$2:U216,1),"")</f>
        <v/>
      </c>
      <c r="X216" s="29" t="str">
        <f t="shared" si="15"/>
        <v/>
      </c>
      <c r="Y216" s="29">
        <f>IF(AND(LEFT($B216,7)="SBA 26/",$D216&lt;&gt;"",$F216&lt;&gt;""),COUNTIFS($D$2:$D216,$D216,$B$2:$B216,"SBA 26/*",$F$2:$F216,"&lt;&gt;"),"")</f>
        <v>6</v>
      </c>
      <c r="Z216" s="29" t="str">
        <f>IF(Y216=1,COUNTIF($Y$2:Y216,1),"")</f>
        <v/>
      </c>
      <c r="AA216" s="29">
        <f>IF(AND(LEFT($B216,7)="SBA 26/",$C216&lt;&gt;"",$F216&lt;&gt;""),COUNTIFS($C$2:$C216,$C216,$B$2:$B216,"SBA 26/*",$F$2:$F216,"&lt;&gt;"),"")</f>
        <v>3</v>
      </c>
      <c r="AB216" s="29" t="str">
        <f>IF(AA216=1,COUNTIF($AA$2:AA216,1),"")</f>
        <v/>
      </c>
    </row>
    <row r="217" spans="1:28" ht="63" customHeight="1" x14ac:dyDescent="0.2">
      <c r="A217" s="43" t="s">
        <v>1136</v>
      </c>
      <c r="B217" s="43" t="s">
        <v>1137</v>
      </c>
      <c r="C217" s="44" t="s">
        <v>369</v>
      </c>
      <c r="D217" s="44" t="s">
        <v>341</v>
      </c>
      <c r="E217" s="45" t="s">
        <v>1138</v>
      </c>
      <c r="F217" s="45" t="s">
        <v>1139</v>
      </c>
      <c r="G217" s="46" t="s">
        <v>38</v>
      </c>
      <c r="H217" s="48">
        <v>46077</v>
      </c>
      <c r="I217" s="48">
        <v>46084</v>
      </c>
      <c r="J217" s="44" t="s">
        <v>91</v>
      </c>
      <c r="K217" s="44" t="s">
        <v>100</v>
      </c>
      <c r="L217" s="50" t="s">
        <v>77</v>
      </c>
      <c r="M217" s="50"/>
      <c r="N217" s="50"/>
      <c r="O217" s="49"/>
      <c r="P217" s="50" t="str">
        <f t="shared" si="12"/>
        <v>ONAY</v>
      </c>
      <c r="R217" s="51" t="str">
        <f t="shared" si="13"/>
        <v/>
      </c>
      <c r="T217" s="41"/>
      <c r="U217" s="29">
        <f>IF($C217&lt;&gt;"",COUNTIF($C$2:C217,C217),"")</f>
        <v>2</v>
      </c>
      <c r="V217" s="29" t="str">
        <f t="shared" si="14"/>
        <v>Doç. Dr. Başak YALICI ARMAĞAN§2</v>
      </c>
      <c r="W217" s="29" t="str">
        <f>IF(U217=1,COUNTIF($U$2:U217,1),"")</f>
        <v/>
      </c>
      <c r="X217" s="29" t="str">
        <f t="shared" si="15"/>
        <v/>
      </c>
      <c r="Y217" s="29">
        <f>IF(AND(LEFT($B217,7)="SBA 26/",$D217&lt;&gt;"",$F217&lt;&gt;""),COUNTIFS($D$2:$D217,$D217,$B$2:$B217,"SBA 26/*",$F$2:$F217,"&lt;&gt;"),"")</f>
        <v>6</v>
      </c>
      <c r="Z217" s="29" t="str">
        <f>IF(Y217=1,COUNTIF($Y$2:Y217,1),"")</f>
        <v/>
      </c>
      <c r="AA217" s="29">
        <f>IF(AND(LEFT($B217,7)="SBA 26/",$C217&lt;&gt;"",$F217&lt;&gt;""),COUNTIFS($C$2:$C217,$C217,$B$2:$B217,"SBA 26/*",$F$2:$F217,"&lt;&gt;"),"")</f>
        <v>2</v>
      </c>
      <c r="AB217" s="29" t="str">
        <f>IF(AA217=1,COUNTIF($AA$2:AA217,1),"")</f>
        <v/>
      </c>
    </row>
    <row r="218" spans="1:28" ht="141.75" customHeight="1" x14ac:dyDescent="0.2">
      <c r="A218" s="43" t="s">
        <v>1140</v>
      </c>
      <c r="B218" s="43" t="s">
        <v>1141</v>
      </c>
      <c r="C218" s="44" t="s">
        <v>1142</v>
      </c>
      <c r="D218" s="44" t="s">
        <v>1143</v>
      </c>
      <c r="E218" s="45" t="s">
        <v>1144</v>
      </c>
      <c r="F218" s="45" t="s">
        <v>1145</v>
      </c>
      <c r="G218" s="46" t="s">
        <v>39</v>
      </c>
      <c r="H218" s="48">
        <v>46077</v>
      </c>
      <c r="I218" s="48">
        <v>46084</v>
      </c>
      <c r="J218" s="44" t="s">
        <v>116</v>
      </c>
      <c r="K218" s="44" t="s">
        <v>92</v>
      </c>
      <c r="L218" s="50" t="s">
        <v>77</v>
      </c>
      <c r="M218" s="50"/>
      <c r="N218" s="50"/>
      <c r="O218" s="49"/>
      <c r="P218" s="50" t="str">
        <f t="shared" si="12"/>
        <v>ONAY</v>
      </c>
      <c r="R218" s="51" t="str">
        <f t="shared" si="13"/>
        <v/>
      </c>
      <c r="T218" s="41"/>
      <c r="U218" s="29">
        <f>IF($C218&lt;&gt;"",COUNTIF($C$2:C218,C218),"")</f>
        <v>1</v>
      </c>
      <c r="V218" s="29" t="str">
        <f t="shared" si="14"/>
        <v>Prof. Dr. Mert ÇALIŞ§1</v>
      </c>
      <c r="W218" s="29">
        <f>IF(U218=1,COUNTIF($U$2:U218,1),"")</f>
        <v>150</v>
      </c>
      <c r="X218" s="29">
        <f t="shared" si="15"/>
        <v>271</v>
      </c>
      <c r="Y218" s="29">
        <f>IF(AND(LEFT($B218,7)="SBA 26/",$D218&lt;&gt;"",$F218&lt;&gt;""),COUNTIFS($D$2:$D218,$D218,$B$2:$B218,"SBA 26/*",$F$2:$F218,"&lt;&gt;"),"")</f>
        <v>1</v>
      </c>
      <c r="Z218" s="29">
        <f>IF(Y218=1,COUNTIF($Y$2:Y218,1),"")</f>
        <v>54</v>
      </c>
      <c r="AA218" s="29">
        <f>IF(AND(LEFT($B218,7)="SBA 26/",$C218&lt;&gt;"",$F218&lt;&gt;""),COUNTIFS($C$2:$C218,$C218,$B$2:$B218,"SBA 26/*",$F$2:$F218,"&lt;&gt;"),"")</f>
        <v>1</v>
      </c>
      <c r="AB218" s="29">
        <f>IF(AA218=1,COUNTIF($AA$2:AA218,1),"")</f>
        <v>150</v>
      </c>
    </row>
    <row r="219" spans="1:28" ht="94.5" customHeight="1" x14ac:dyDescent="0.2">
      <c r="A219" s="43" t="s">
        <v>1146</v>
      </c>
      <c r="B219" s="43" t="s">
        <v>1147</v>
      </c>
      <c r="C219" s="44" t="s">
        <v>643</v>
      </c>
      <c r="D219" s="44" t="s">
        <v>222</v>
      </c>
      <c r="E219" s="45" t="s">
        <v>1148</v>
      </c>
      <c r="F219" s="45" t="s">
        <v>1149</v>
      </c>
      <c r="G219" s="46" t="s">
        <v>38</v>
      </c>
      <c r="H219" s="48">
        <v>46077</v>
      </c>
      <c r="I219" s="48">
        <v>46084</v>
      </c>
      <c r="J219" s="44" t="s">
        <v>109</v>
      </c>
      <c r="K219" s="44" t="s">
        <v>116</v>
      </c>
      <c r="L219" s="50" t="s">
        <v>101</v>
      </c>
      <c r="M219" s="50" t="s">
        <v>77</v>
      </c>
      <c r="N219" s="50"/>
      <c r="O219" s="49"/>
      <c r="P219" s="50" t="str">
        <f t="shared" si="12"/>
        <v>ONAY</v>
      </c>
      <c r="Q219" s="28" t="s">
        <v>109</v>
      </c>
      <c r="R219" s="51" t="str">
        <f t="shared" si="13"/>
        <v/>
      </c>
      <c r="T219" s="41"/>
      <c r="U219" s="29">
        <f>IF($C219&lt;&gt;"",COUNTIF($C$2:C219,C219),"")</f>
        <v>2</v>
      </c>
      <c r="V219" s="29" t="str">
        <f t="shared" si="14"/>
        <v>Arş. Gör. Dr. Sebiha Şükran GÜNDEŞLİ§2</v>
      </c>
      <c r="W219" s="29" t="str">
        <f>IF(U219=1,COUNTIF($U$2:U219,1),"")</f>
        <v/>
      </c>
      <c r="X219" s="29" t="str">
        <f t="shared" si="15"/>
        <v/>
      </c>
      <c r="Y219" s="29">
        <f>IF(AND(LEFT($B219,7)="SBA 26/",$D219&lt;&gt;"",$F219&lt;&gt;""),COUNTIFS($D$2:$D219,$D219,$B$2:$B219,"SBA 26/*",$F$2:$F219,"&lt;&gt;"),"")</f>
        <v>27</v>
      </c>
      <c r="Z219" s="29" t="str">
        <f>IF(Y219=1,COUNTIF($Y$2:Y219,1),"")</f>
        <v/>
      </c>
      <c r="AA219" s="29">
        <f>IF(AND(LEFT($B219,7)="SBA 26/",$C219&lt;&gt;"",$F219&lt;&gt;""),COUNTIFS($C$2:$C219,$C219,$B$2:$B219,"SBA 26/*",$F$2:$F219,"&lt;&gt;"),"")</f>
        <v>2</v>
      </c>
      <c r="AB219" s="29" t="str">
        <f>IF(AA219=1,COUNTIF($AA$2:AA219,1),"")</f>
        <v/>
      </c>
    </row>
    <row r="220" spans="1:28" ht="80.25" customHeight="1" x14ac:dyDescent="0.2">
      <c r="A220" s="43" t="s">
        <v>1150</v>
      </c>
      <c r="B220" s="43" t="s">
        <v>1151</v>
      </c>
      <c r="C220" s="44" t="s">
        <v>1043</v>
      </c>
      <c r="D220" s="44" t="s">
        <v>88</v>
      </c>
      <c r="E220" s="45" t="s">
        <v>1152</v>
      </c>
      <c r="F220" s="45" t="s">
        <v>1153</v>
      </c>
      <c r="G220" s="46" t="s">
        <v>38</v>
      </c>
      <c r="H220" s="48">
        <v>46077</v>
      </c>
      <c r="I220" s="48">
        <v>46084</v>
      </c>
      <c r="J220" s="44" t="s">
        <v>92</v>
      </c>
      <c r="K220" s="44" t="s">
        <v>99</v>
      </c>
      <c r="L220" s="50" t="s">
        <v>77</v>
      </c>
      <c r="M220" s="50"/>
      <c r="N220" s="50"/>
      <c r="O220" s="49"/>
      <c r="P220" s="50" t="str">
        <f t="shared" si="12"/>
        <v>ONAY</v>
      </c>
      <c r="R220" s="51" t="str">
        <f t="shared" si="13"/>
        <v/>
      </c>
      <c r="T220" s="41"/>
      <c r="U220" s="29">
        <f>IF($C220&lt;&gt;"",COUNTIF($C$2:C220,C220),"")</f>
        <v>2</v>
      </c>
      <c r="V220" s="29" t="str">
        <f t="shared" si="14"/>
        <v>Dr. Öğr. Üyesi Aycan UYSAL§2</v>
      </c>
      <c r="W220" s="29" t="str">
        <f>IF(U220=1,COUNTIF($U$2:U220,1),"")</f>
        <v/>
      </c>
      <c r="X220" s="29" t="str">
        <f t="shared" si="15"/>
        <v/>
      </c>
      <c r="Y220" s="29">
        <f>IF(AND(LEFT($B220,7)="SBA 26/",$D220&lt;&gt;"",$F220&lt;&gt;""),COUNTIFS($D$2:$D220,$D220,$B$2:$B220,"SBA 26/*",$F$2:$F220,"&lt;&gt;"),"")</f>
        <v>8</v>
      </c>
      <c r="Z220" s="29" t="str">
        <f>IF(Y220=1,COUNTIF($Y$2:Y220,1),"")</f>
        <v/>
      </c>
      <c r="AA220" s="29">
        <f>IF(AND(LEFT($B220,7)="SBA 26/",$C220&lt;&gt;"",$F220&lt;&gt;""),COUNTIFS($C$2:$C220,$C220,$B$2:$B220,"SBA 26/*",$F$2:$F220,"&lt;&gt;"),"")</f>
        <v>2</v>
      </c>
      <c r="AB220" s="29" t="str">
        <f>IF(AA220=1,COUNTIF($AA$2:AA220,1),"")</f>
        <v/>
      </c>
    </row>
    <row r="221" spans="1:28" ht="63" customHeight="1" x14ac:dyDescent="0.2">
      <c r="A221" s="43" t="s">
        <v>1154</v>
      </c>
      <c r="B221" s="43" t="s">
        <v>1155</v>
      </c>
      <c r="C221" s="44" t="s">
        <v>1156</v>
      </c>
      <c r="D221" s="44" t="s">
        <v>88</v>
      </c>
      <c r="E221" s="45" t="s">
        <v>1157</v>
      </c>
      <c r="F221" s="45" t="s">
        <v>1158</v>
      </c>
      <c r="G221" s="46" t="s">
        <v>38</v>
      </c>
      <c r="H221" s="48">
        <v>46077</v>
      </c>
      <c r="I221" s="48">
        <v>46084</v>
      </c>
      <c r="J221" s="44" t="s">
        <v>100</v>
      </c>
      <c r="K221" s="44" t="s">
        <v>99</v>
      </c>
      <c r="L221" s="50" t="s">
        <v>77</v>
      </c>
      <c r="M221" s="50"/>
      <c r="N221" s="50"/>
      <c r="O221" s="49"/>
      <c r="P221" s="50" t="str">
        <f t="shared" si="12"/>
        <v>ONAY</v>
      </c>
      <c r="R221" s="51" t="str">
        <f t="shared" si="13"/>
        <v/>
      </c>
      <c r="T221" s="41"/>
      <c r="U221" s="29">
        <f>IF($C221&lt;&gt;"",COUNTIF($C$2:C221,C221),"")</f>
        <v>1</v>
      </c>
      <c r="V221" s="29" t="str">
        <f t="shared" si="14"/>
        <v>Dr. Öğr. Üyesi Gözde ÖZER§1</v>
      </c>
      <c r="W221" s="29">
        <f>IF(U221=1,COUNTIF($U$2:U221,1),"")</f>
        <v>151</v>
      </c>
      <c r="X221" s="29">
        <f t="shared" si="15"/>
        <v>142</v>
      </c>
      <c r="Y221" s="29">
        <f>IF(AND(LEFT($B221,7)="SBA 26/",$D221&lt;&gt;"",$F221&lt;&gt;""),COUNTIFS($D$2:$D221,$D221,$B$2:$B221,"SBA 26/*",$F$2:$F221,"&lt;&gt;"),"")</f>
        <v>9</v>
      </c>
      <c r="Z221" s="29" t="str">
        <f>IF(Y221=1,COUNTIF($Y$2:Y221,1),"")</f>
        <v/>
      </c>
      <c r="AA221" s="29">
        <f>IF(AND(LEFT($B221,7)="SBA 26/",$C221&lt;&gt;"",$F221&lt;&gt;""),COUNTIFS($C$2:$C221,$C221,$B$2:$B221,"SBA 26/*",$F$2:$F221,"&lt;&gt;"),"")</f>
        <v>1</v>
      </c>
      <c r="AB221" s="29">
        <f>IF(AA221=1,COUNTIF($AA$2:AA221,1),"")</f>
        <v>151</v>
      </c>
    </row>
    <row r="222" spans="1:28" ht="94.5" customHeight="1" x14ac:dyDescent="0.2">
      <c r="A222" s="43" t="s">
        <v>1159</v>
      </c>
      <c r="B222" s="43" t="s">
        <v>1160</v>
      </c>
      <c r="C222" s="44" t="s">
        <v>1161</v>
      </c>
      <c r="D222" s="44" t="s">
        <v>1162</v>
      </c>
      <c r="E222" s="45" t="s">
        <v>1163</v>
      </c>
      <c r="F222" s="45" t="s">
        <v>1164</v>
      </c>
      <c r="G222" s="46" t="s">
        <v>38</v>
      </c>
      <c r="H222" s="48">
        <v>46077</v>
      </c>
      <c r="I222" s="48">
        <v>46084</v>
      </c>
      <c r="J222" s="44" t="s">
        <v>75</v>
      </c>
      <c r="K222" s="44" t="s">
        <v>123</v>
      </c>
      <c r="L222" s="50" t="s">
        <v>77</v>
      </c>
      <c r="M222" s="50"/>
      <c r="N222" s="50"/>
      <c r="O222" s="49"/>
      <c r="P222" s="50" t="str">
        <f t="shared" si="12"/>
        <v>ONAY</v>
      </c>
      <c r="R222" s="51" t="str">
        <f t="shared" si="13"/>
        <v/>
      </c>
      <c r="T222" s="41"/>
      <c r="U222" s="29">
        <f>IF($C222&lt;&gt;"",COUNTIF($C$2:C222,C222),"")</f>
        <v>1</v>
      </c>
      <c r="V222" s="29" t="str">
        <f t="shared" si="14"/>
        <v>Prof. Dr. Betül ÇELEBİ SALTIK§1</v>
      </c>
      <c r="W222" s="29">
        <f>IF(U222=1,COUNTIF($U$2:U222,1),"")</f>
        <v>152</v>
      </c>
      <c r="X222" s="29">
        <f t="shared" si="15"/>
        <v>205</v>
      </c>
      <c r="Y222" s="29">
        <f>IF(AND(LEFT($B222,7)="SBA 26/",$D222&lt;&gt;"",$F222&lt;&gt;""),COUNTIFS($D$2:$D222,$D222,$B$2:$B222,"SBA 26/*",$F$2:$F222,"&lt;&gt;"),"")</f>
        <v>1</v>
      </c>
      <c r="Z222" s="29">
        <f>IF(Y222=1,COUNTIF($Y$2:Y222,1),"")</f>
        <v>55</v>
      </c>
      <c r="AA222" s="29">
        <f>IF(AND(LEFT($B222,7)="SBA 26/",$C222&lt;&gt;"",$F222&lt;&gt;""),COUNTIFS($C$2:$C222,$C222,$B$2:$B222,"SBA 26/*",$F$2:$F222,"&lt;&gt;"),"")</f>
        <v>1</v>
      </c>
      <c r="AB222" s="29">
        <f>IF(AA222=1,COUNTIF($AA$2:AA222,1),"")</f>
        <v>152</v>
      </c>
    </row>
    <row r="223" spans="1:28" ht="94.5" customHeight="1" x14ac:dyDescent="0.2">
      <c r="A223" s="43" t="s">
        <v>1165</v>
      </c>
      <c r="B223" s="43" t="s">
        <v>1166</v>
      </c>
      <c r="C223" s="44" t="s">
        <v>1167</v>
      </c>
      <c r="D223" s="44" t="s">
        <v>1168</v>
      </c>
      <c r="E223" s="45" t="s">
        <v>1169</v>
      </c>
      <c r="F223" s="45" t="s">
        <v>1170</v>
      </c>
      <c r="G223" s="46" t="s">
        <v>39</v>
      </c>
      <c r="H223" s="48">
        <v>46077</v>
      </c>
      <c r="I223" s="48">
        <v>46084</v>
      </c>
      <c r="J223" s="44" t="s">
        <v>76</v>
      </c>
      <c r="K223" s="44" t="s">
        <v>84</v>
      </c>
      <c r="L223" s="50" t="s">
        <v>77</v>
      </c>
      <c r="M223" s="50"/>
      <c r="N223" s="50"/>
      <c r="O223" s="49"/>
      <c r="P223" s="50" t="str">
        <f t="shared" si="12"/>
        <v>ONAY</v>
      </c>
      <c r="R223" s="51" t="str">
        <f t="shared" si="13"/>
        <v/>
      </c>
      <c r="T223" s="41"/>
      <c r="U223" s="29">
        <f>IF($C223&lt;&gt;"",COUNTIF($C$2:C223,C223),"")</f>
        <v>1</v>
      </c>
      <c r="V223" s="29" t="str">
        <f t="shared" si="14"/>
        <v>Prof. Dr. Şehnaz ALP§1</v>
      </c>
      <c r="W223" s="29">
        <f>IF(U223=1,COUNTIF($U$2:U223,1),"")</f>
        <v>153</v>
      </c>
      <c r="X223" s="29">
        <f t="shared" si="15"/>
        <v>324</v>
      </c>
      <c r="Y223" s="29">
        <f>IF(AND(LEFT($B223,7)="SBA 26/",$D223&lt;&gt;"",$F223&lt;&gt;""),COUNTIFS($D$2:$D223,$D223,$B$2:$B223,"SBA 26/*",$F$2:$F223,"&lt;&gt;"),"")</f>
        <v>1</v>
      </c>
      <c r="Z223" s="29">
        <f>IF(Y223=1,COUNTIF($Y$2:Y223,1),"")</f>
        <v>56</v>
      </c>
      <c r="AA223" s="29">
        <f>IF(AND(LEFT($B223,7)="SBA 26/",$C223&lt;&gt;"",$F223&lt;&gt;""),COUNTIFS($C$2:$C223,$C223,$B$2:$B223,"SBA 26/*",$F$2:$F223,"&lt;&gt;"),"")</f>
        <v>1</v>
      </c>
      <c r="AB223" s="29">
        <f>IF(AA223=1,COUNTIF($AA$2:AA223,1),"")</f>
        <v>153</v>
      </c>
    </row>
    <row r="224" spans="1:28" ht="94.5" customHeight="1" x14ac:dyDescent="0.2">
      <c r="A224" s="43" t="s">
        <v>1171</v>
      </c>
      <c r="B224" s="43" t="s">
        <v>1172</v>
      </c>
      <c r="C224" s="44" t="s">
        <v>1028</v>
      </c>
      <c r="D224" s="44" t="s">
        <v>222</v>
      </c>
      <c r="E224" s="45" t="s">
        <v>1173</v>
      </c>
      <c r="F224" s="45" t="s">
        <v>1174</v>
      </c>
      <c r="G224" s="46" t="s">
        <v>38</v>
      </c>
      <c r="H224" s="48">
        <v>46078</v>
      </c>
      <c r="I224" s="48">
        <v>46084</v>
      </c>
      <c r="J224" s="44" t="s">
        <v>76</v>
      </c>
      <c r="K224" s="44" t="s">
        <v>116</v>
      </c>
      <c r="L224" s="50" t="s">
        <v>101</v>
      </c>
      <c r="M224" s="50" t="s">
        <v>77</v>
      </c>
      <c r="N224" s="50"/>
      <c r="O224" s="49"/>
      <c r="P224" s="50" t="str">
        <f t="shared" si="12"/>
        <v>ONAY</v>
      </c>
      <c r="Q224" s="28" t="s">
        <v>116</v>
      </c>
      <c r="R224" s="51" t="str">
        <f t="shared" si="13"/>
        <v/>
      </c>
      <c r="T224" s="41"/>
      <c r="U224" s="29">
        <f>IF($C224&lt;&gt;"",COUNTIF($C$2:C224,C224),"")</f>
        <v>2</v>
      </c>
      <c r="V224" s="29" t="str">
        <f t="shared" si="14"/>
        <v>Arş. Gör. Dr. Şükran BAYRAK§2</v>
      </c>
      <c r="W224" s="29" t="str">
        <f>IF(U224=1,COUNTIF($U$2:U224,1),"")</f>
        <v/>
      </c>
      <c r="X224" s="29" t="str">
        <f t="shared" si="15"/>
        <v/>
      </c>
      <c r="Y224" s="29">
        <f>IF(AND(LEFT($B224,7)="SBA 26/",$D224&lt;&gt;"",$F224&lt;&gt;""),COUNTIFS($D$2:$D224,$D224,$B$2:$B224,"SBA 26/*",$F$2:$F224,"&lt;&gt;"),"")</f>
        <v>28</v>
      </c>
      <c r="Z224" s="29" t="str">
        <f>IF(Y224=1,COUNTIF($Y$2:Y224,1),"")</f>
        <v/>
      </c>
      <c r="AA224" s="29">
        <f>IF(AND(LEFT($B224,7)="SBA 26/",$C224&lt;&gt;"",$F224&lt;&gt;""),COUNTIFS($C$2:$C224,$C224,$B$2:$B224,"SBA 26/*",$F$2:$F224,"&lt;&gt;"),"")</f>
        <v>2</v>
      </c>
      <c r="AB224" s="29" t="str">
        <f>IF(AA224=1,COUNTIF($AA$2:AA224,1),"")</f>
        <v/>
      </c>
    </row>
    <row r="225" spans="1:28" ht="78.75" customHeight="1" x14ac:dyDescent="0.2">
      <c r="A225" s="43" t="s">
        <v>1175</v>
      </c>
      <c r="B225" s="43" t="s">
        <v>1176</v>
      </c>
      <c r="C225" s="44" t="s">
        <v>1177</v>
      </c>
      <c r="D225" s="44" t="s">
        <v>222</v>
      </c>
      <c r="E225" s="45" t="s">
        <v>1178</v>
      </c>
      <c r="F225" s="45" t="s">
        <v>1179</v>
      </c>
      <c r="G225" s="46" t="s">
        <v>39</v>
      </c>
      <c r="H225" s="48">
        <v>46079</v>
      </c>
      <c r="I225" s="48">
        <v>46084</v>
      </c>
      <c r="J225" s="44" t="s">
        <v>75</v>
      </c>
      <c r="K225" s="44" t="s">
        <v>84</v>
      </c>
      <c r="L225" s="50" t="s">
        <v>77</v>
      </c>
      <c r="M225" s="50"/>
      <c r="N225" s="50"/>
      <c r="O225" s="49"/>
      <c r="P225" s="50" t="str">
        <f t="shared" si="12"/>
        <v>ONAY</v>
      </c>
      <c r="R225" s="51" t="str">
        <f t="shared" si="13"/>
        <v/>
      </c>
      <c r="T225" s="41"/>
      <c r="U225" s="29">
        <f>IF($C225&lt;&gt;"",COUNTIF($C$2:C225,C225),"")</f>
        <v>1</v>
      </c>
      <c r="V225" s="29" t="str">
        <f t="shared" si="14"/>
        <v>Prof. Dr. Bora GÜLHAN§1</v>
      </c>
      <c r="W225" s="29">
        <f>IF(U225=1,COUNTIF($U$2:U225,1),"")</f>
        <v>154</v>
      </c>
      <c r="X225" s="29">
        <f t="shared" si="15"/>
        <v>207</v>
      </c>
      <c r="Y225" s="29">
        <f>IF(AND(LEFT($B225,7)="SBA 26/",$D225&lt;&gt;"",$F225&lt;&gt;""),COUNTIFS($D$2:$D225,$D225,$B$2:$B225,"SBA 26/*",$F$2:$F225,"&lt;&gt;"),"")</f>
        <v>29</v>
      </c>
      <c r="Z225" s="29" t="str">
        <f>IF(Y225=1,COUNTIF($Y$2:Y225,1),"")</f>
        <v/>
      </c>
      <c r="AA225" s="29">
        <f>IF(AND(LEFT($B225,7)="SBA 26/",$C225&lt;&gt;"",$F225&lt;&gt;""),COUNTIFS($C$2:$C225,$C225,$B$2:$B225,"SBA 26/*",$F$2:$F225,"&lt;&gt;"),"")</f>
        <v>1</v>
      </c>
      <c r="AB225" s="29">
        <f>IF(AA225=1,COUNTIF($AA$2:AA225,1),"")</f>
        <v>154</v>
      </c>
    </row>
    <row r="226" spans="1:28" ht="63" customHeight="1" x14ac:dyDescent="0.2">
      <c r="A226" s="43" t="s">
        <v>1180</v>
      </c>
      <c r="B226" s="43" t="s">
        <v>1181</v>
      </c>
      <c r="C226" s="44" t="s">
        <v>112</v>
      </c>
      <c r="D226" s="44" t="s">
        <v>113</v>
      </c>
      <c r="E226" s="45" t="s">
        <v>1182</v>
      </c>
      <c r="F226" s="45" t="s">
        <v>1183</v>
      </c>
      <c r="G226" s="46" t="s">
        <v>38</v>
      </c>
      <c r="H226" s="48">
        <v>46079</v>
      </c>
      <c r="I226" s="48">
        <v>46084</v>
      </c>
      <c r="J226" s="44" t="s">
        <v>108</v>
      </c>
      <c r="K226" s="44" t="s">
        <v>99</v>
      </c>
      <c r="L226" s="50" t="s">
        <v>206</v>
      </c>
      <c r="M226" s="50" t="s">
        <v>101</v>
      </c>
      <c r="N226" s="50"/>
      <c r="O226" s="49"/>
      <c r="P226" s="50" t="str">
        <f t="shared" si="12"/>
        <v>DÜZELTME</v>
      </c>
      <c r="R226" s="51" t="str">
        <f t="shared" si="13"/>
        <v/>
      </c>
      <c r="T226" s="41"/>
      <c r="U226" s="29">
        <f>IF($C226&lt;&gt;"",COUNTIF($C$2:C226,C226),"")</f>
        <v>8</v>
      </c>
      <c r="V226" s="29" t="str">
        <f t="shared" si="14"/>
        <v>Prof. Dr. Meltem Gülhan HALİL§8</v>
      </c>
      <c r="W226" s="29" t="str">
        <f>IF(U226=1,COUNTIF($U$2:U226,1),"")</f>
        <v/>
      </c>
      <c r="X226" s="29" t="str">
        <f t="shared" si="15"/>
        <v/>
      </c>
      <c r="Y226" s="29">
        <f>IF(AND(LEFT($B226,7)="SBA 26/",$D226&lt;&gt;"",$F226&lt;&gt;""),COUNTIFS($D$2:$D226,$D226,$B$2:$B226,"SBA 26/*",$F$2:$F226,"&lt;&gt;"),"")</f>
        <v>32</v>
      </c>
      <c r="Z226" s="29" t="str">
        <f>IF(Y226=1,COUNTIF($Y$2:Y226,1),"")</f>
        <v/>
      </c>
      <c r="AA226" s="29">
        <f>IF(AND(LEFT($B226,7)="SBA 26/",$C226&lt;&gt;"",$F226&lt;&gt;""),COUNTIFS($C$2:$C226,$C226,$B$2:$B226,"SBA 26/*",$F$2:$F226,"&lt;&gt;"),"")</f>
        <v>8</v>
      </c>
      <c r="AB226" s="29" t="str">
        <f>IF(AA226=1,COUNTIF($AA$2:AA226,1),"")</f>
        <v/>
      </c>
    </row>
    <row r="227" spans="1:28" ht="94.5" customHeight="1" x14ac:dyDescent="0.2">
      <c r="A227" s="43" t="s">
        <v>1184</v>
      </c>
      <c r="B227" s="43" t="s">
        <v>1185</v>
      </c>
      <c r="C227" s="44" t="s">
        <v>1186</v>
      </c>
      <c r="D227" s="44" t="s">
        <v>88</v>
      </c>
      <c r="E227" s="45" t="s">
        <v>1187</v>
      </c>
      <c r="F227" s="45" t="s">
        <v>1188</v>
      </c>
      <c r="G227" s="46" t="s">
        <v>39</v>
      </c>
      <c r="H227" s="48">
        <v>46087</v>
      </c>
      <c r="I227" s="48">
        <v>46098</v>
      </c>
      <c r="J227" s="44" t="s">
        <v>92</v>
      </c>
      <c r="K227" s="44" t="s">
        <v>99</v>
      </c>
      <c r="L227" s="50" t="s">
        <v>77</v>
      </c>
      <c r="M227" s="50"/>
      <c r="N227" s="50"/>
      <c r="O227" s="49"/>
      <c r="P227" s="50" t="str">
        <f t="shared" si="12"/>
        <v>ONAY</v>
      </c>
      <c r="R227" s="51" t="str">
        <f t="shared" si="13"/>
        <v/>
      </c>
      <c r="T227" s="41"/>
      <c r="U227" s="29">
        <f>IF($C227&lt;&gt;"",COUNTIF($C$2:C227,C227),"")</f>
        <v>1</v>
      </c>
      <c r="V227" s="29" t="str">
        <f t="shared" si="14"/>
        <v>Doç. Dr. Sevtap ARSLAN SARIKAYA§1</v>
      </c>
      <c r="W227" s="29">
        <f>IF(U227=1,COUNTIF($U$2:U227,1),"")</f>
        <v>155</v>
      </c>
      <c r="X227" s="29">
        <f t="shared" si="15"/>
        <v>99</v>
      </c>
      <c r="Y227" s="29">
        <f>IF(AND(LEFT($B227,7)="SBA 26/",$D227&lt;&gt;"",$F227&lt;&gt;""),COUNTIFS($D$2:$D227,$D227,$B$2:$B227,"SBA 26/*",$F$2:$F227,"&lt;&gt;"),"")</f>
        <v>10</v>
      </c>
      <c r="Z227" s="29" t="str">
        <f>IF(Y227=1,COUNTIF($Y$2:Y227,1),"")</f>
        <v/>
      </c>
      <c r="AA227" s="29">
        <f>IF(AND(LEFT($B227,7)="SBA 26/",$C227&lt;&gt;"",$F227&lt;&gt;""),COUNTIFS($C$2:$C227,$C227,$B$2:$B227,"SBA 26/*",$F$2:$F227,"&lt;&gt;"),"")</f>
        <v>1</v>
      </c>
      <c r="AB227" s="29">
        <f>IF(AA227=1,COUNTIF($AA$2:AA227,1),"")</f>
        <v>155</v>
      </c>
    </row>
    <row r="228" spans="1:28" ht="110.25" customHeight="1" x14ac:dyDescent="0.2">
      <c r="A228" s="43" t="s">
        <v>1189</v>
      </c>
      <c r="B228" s="43" t="s">
        <v>1190</v>
      </c>
      <c r="C228" s="44" t="s">
        <v>1191</v>
      </c>
      <c r="D228" s="44" t="s">
        <v>1192</v>
      </c>
      <c r="E228" s="45" t="s">
        <v>1193</v>
      </c>
      <c r="F228" s="45" t="s">
        <v>1194</v>
      </c>
      <c r="G228" s="46" t="s">
        <v>38</v>
      </c>
      <c r="H228" s="48">
        <v>46087</v>
      </c>
      <c r="I228" s="48">
        <v>46098</v>
      </c>
      <c r="J228" s="44" t="s">
        <v>108</v>
      </c>
      <c r="K228" s="44" t="s">
        <v>76</v>
      </c>
      <c r="L228" s="50" t="s">
        <v>101</v>
      </c>
      <c r="M228" s="50"/>
      <c r="N228" s="50"/>
      <c r="O228" s="49"/>
      <c r="P228" s="50" t="str">
        <f t="shared" si="12"/>
        <v>DÜZELTME</v>
      </c>
      <c r="R228" s="51" t="str">
        <f t="shared" si="13"/>
        <v/>
      </c>
      <c r="T228" s="41"/>
      <c r="U228" s="29">
        <f>IF($C228&lt;&gt;"",COUNTIF($C$2:C228,C228),"")</f>
        <v>1</v>
      </c>
      <c r="V228" s="29" t="str">
        <f t="shared" si="14"/>
        <v>Doç. Dr. Zeynep TÜZÜN GÜN§1</v>
      </c>
      <c r="W228" s="29">
        <f>IF(U228=1,COUNTIF($U$2:U228,1),"")</f>
        <v>156</v>
      </c>
      <c r="X228" s="29">
        <f t="shared" si="15"/>
        <v>109</v>
      </c>
      <c r="Y228" s="29">
        <f>IF(AND(LEFT($B228,7)="SBA 26/",$D228&lt;&gt;"",$F228&lt;&gt;""),COUNTIFS($D$2:$D228,$D228,$B$2:$B228,"SBA 26/*",$F$2:$F228,"&lt;&gt;"),"")</f>
        <v>1</v>
      </c>
      <c r="Z228" s="29">
        <f>IF(Y228=1,COUNTIF($Y$2:Y228,1),"")</f>
        <v>57</v>
      </c>
      <c r="AA228" s="29">
        <f>IF(AND(LEFT($B228,7)="SBA 26/",$C228&lt;&gt;"",$F228&lt;&gt;""),COUNTIFS($C$2:$C228,$C228,$B$2:$B228,"SBA 26/*",$F$2:$F228,"&lt;&gt;"),"")</f>
        <v>1</v>
      </c>
      <c r="AB228" s="29">
        <f>IF(AA228=1,COUNTIF($AA$2:AA228,1),"")</f>
        <v>156</v>
      </c>
    </row>
    <row r="229" spans="1:28" ht="78.75" customHeight="1" x14ac:dyDescent="0.2">
      <c r="A229" s="43" t="s">
        <v>1195</v>
      </c>
      <c r="B229" s="43" t="s">
        <v>1196</v>
      </c>
      <c r="C229" s="44" t="s">
        <v>1197</v>
      </c>
      <c r="D229" s="44" t="s">
        <v>364</v>
      </c>
      <c r="E229" s="45" t="s">
        <v>1198</v>
      </c>
      <c r="F229" s="45" t="s">
        <v>1199</v>
      </c>
      <c r="G229" s="46" t="s">
        <v>39</v>
      </c>
      <c r="H229" s="48">
        <v>46087</v>
      </c>
      <c r="I229" s="48">
        <v>46098</v>
      </c>
      <c r="J229" s="44" t="s">
        <v>100</v>
      </c>
      <c r="K229" s="44" t="s">
        <v>84</v>
      </c>
      <c r="L229" s="50" t="s">
        <v>77</v>
      </c>
      <c r="M229" s="50"/>
      <c r="N229" s="50"/>
      <c r="O229" s="49"/>
      <c r="P229" s="50" t="str">
        <f t="shared" si="12"/>
        <v>ONAY</v>
      </c>
      <c r="R229" s="51" t="str">
        <f t="shared" si="13"/>
        <v/>
      </c>
      <c r="T229" s="41"/>
      <c r="U229" s="29">
        <f>IF($C229&lt;&gt;"",COUNTIF($C$2:C229,C229),"")</f>
        <v>1</v>
      </c>
      <c r="V229" s="29" t="str">
        <f t="shared" si="14"/>
        <v>Prof. Dr. Fadime İrsel TEZER FİLİK§1</v>
      </c>
      <c r="W229" s="29">
        <f>IF(U229=1,COUNTIF($U$2:U229,1),"")</f>
        <v>157</v>
      </c>
      <c r="X229" s="29">
        <f t="shared" si="15"/>
        <v>229</v>
      </c>
      <c r="Y229" s="29">
        <f>IF(AND(LEFT($B229,7)="SBA 26/",$D229&lt;&gt;"",$F229&lt;&gt;""),COUNTIFS($D$2:$D229,$D229,$B$2:$B229,"SBA 26/*",$F$2:$F229,"&lt;&gt;"),"")</f>
        <v>7</v>
      </c>
      <c r="Z229" s="29" t="str">
        <f>IF(Y229=1,COUNTIF($Y$2:Y229,1),"")</f>
        <v/>
      </c>
      <c r="AA229" s="29">
        <f>IF(AND(LEFT($B229,7)="SBA 26/",$C229&lt;&gt;"",$F229&lt;&gt;""),COUNTIFS($C$2:$C229,$C229,$B$2:$B229,"SBA 26/*",$F$2:$F229,"&lt;&gt;"),"")</f>
        <v>1</v>
      </c>
      <c r="AB229" s="29">
        <f>IF(AA229=1,COUNTIF($AA$2:AA229,1),"")</f>
        <v>157</v>
      </c>
    </row>
    <row r="230" spans="1:28" ht="78.75" customHeight="1" x14ac:dyDescent="0.2">
      <c r="A230" s="43" t="s">
        <v>1200</v>
      </c>
      <c r="B230" s="43" t="s">
        <v>1201</v>
      </c>
      <c r="C230" s="44" t="s">
        <v>1202</v>
      </c>
      <c r="D230" s="44" t="s">
        <v>133</v>
      </c>
      <c r="E230" s="45" t="s">
        <v>1203</v>
      </c>
      <c r="F230" s="45" t="s">
        <v>1204</v>
      </c>
      <c r="G230" s="46" t="s">
        <v>38</v>
      </c>
      <c r="H230" s="48">
        <v>46087</v>
      </c>
      <c r="I230" s="48">
        <v>46098</v>
      </c>
      <c r="J230" s="44" t="s">
        <v>100</v>
      </c>
      <c r="K230" s="44" t="s">
        <v>91</v>
      </c>
      <c r="L230" s="50" t="s">
        <v>101</v>
      </c>
      <c r="M230" s="50" t="s">
        <v>77</v>
      </c>
      <c r="N230" s="50"/>
      <c r="O230" s="49"/>
      <c r="P230" s="50" t="str">
        <f t="shared" si="12"/>
        <v>ONAY</v>
      </c>
      <c r="Q230" s="28" t="s">
        <v>91</v>
      </c>
      <c r="R230" s="51" t="str">
        <f t="shared" si="13"/>
        <v/>
      </c>
      <c r="T230" s="41"/>
      <c r="U230" s="29">
        <f>IF($C230&lt;&gt;"",COUNTIF($C$2:C230,C230),"")</f>
        <v>1</v>
      </c>
      <c r="V230" s="29" t="str">
        <f t="shared" si="14"/>
        <v>Doç. Dr. Kevser NALBANT§1</v>
      </c>
      <c r="W230" s="29">
        <f>IF(U230=1,COUNTIF($U$2:U230,1),"")</f>
        <v>158</v>
      </c>
      <c r="X230" s="29">
        <f t="shared" si="15"/>
        <v>75</v>
      </c>
      <c r="Y230" s="29">
        <f>IF(AND(LEFT($B230,7)="SBA 26/",$D230&lt;&gt;"",$F230&lt;&gt;""),COUNTIFS($D$2:$D230,$D230,$B$2:$B230,"SBA 26/*",$F$2:$F230,"&lt;&gt;"),"")</f>
        <v>5</v>
      </c>
      <c r="Z230" s="29" t="str">
        <f>IF(Y230=1,COUNTIF($Y$2:Y230,1),"")</f>
        <v/>
      </c>
      <c r="AA230" s="29">
        <f>IF(AND(LEFT($B230,7)="SBA 26/",$C230&lt;&gt;"",$F230&lt;&gt;""),COUNTIFS($C$2:$C230,$C230,$B$2:$B230,"SBA 26/*",$F$2:$F230,"&lt;&gt;"),"")</f>
        <v>1</v>
      </c>
      <c r="AB230" s="29">
        <f>IF(AA230=1,COUNTIF($AA$2:AA230,1),"")</f>
        <v>158</v>
      </c>
    </row>
    <row r="231" spans="1:28" ht="63" customHeight="1" x14ac:dyDescent="0.2">
      <c r="A231" s="43" t="s">
        <v>1205</v>
      </c>
      <c r="B231" s="43" t="s">
        <v>1206</v>
      </c>
      <c r="C231" s="44" t="s">
        <v>1207</v>
      </c>
      <c r="D231" s="44" t="s">
        <v>222</v>
      </c>
      <c r="E231" s="45" t="s">
        <v>1208</v>
      </c>
      <c r="F231" s="45" t="s">
        <v>1209</v>
      </c>
      <c r="G231" s="46" t="s">
        <v>38</v>
      </c>
      <c r="H231" s="48">
        <v>46087</v>
      </c>
      <c r="I231" s="48">
        <v>46098</v>
      </c>
      <c r="J231" s="44" t="s">
        <v>129</v>
      </c>
      <c r="K231" s="44" t="s">
        <v>76</v>
      </c>
      <c r="L231" s="50" t="s">
        <v>101</v>
      </c>
      <c r="M231" s="50" t="s">
        <v>77</v>
      </c>
      <c r="N231" s="50"/>
      <c r="O231" s="49"/>
      <c r="P231" s="50" t="str">
        <f t="shared" si="12"/>
        <v>ONAY</v>
      </c>
      <c r="Q231" s="28" t="s">
        <v>76</v>
      </c>
      <c r="R231" s="51" t="str">
        <f t="shared" si="13"/>
        <v/>
      </c>
      <c r="T231" s="41"/>
      <c r="U231" s="29">
        <f>IF($C231&lt;&gt;"",COUNTIF($C$2:C231,C231),"")</f>
        <v>1</v>
      </c>
      <c r="V231" s="29" t="str">
        <f t="shared" si="14"/>
        <v>Prof. Dr. Özlem TEKŞAM§1</v>
      </c>
      <c r="W231" s="29">
        <f>IF(U231=1,COUNTIF($U$2:U231,1),"")</f>
        <v>159</v>
      </c>
      <c r="X231" s="29">
        <f t="shared" si="15"/>
        <v>301</v>
      </c>
      <c r="Y231" s="29">
        <f>IF(AND(LEFT($B231,7)="SBA 26/",$D231&lt;&gt;"",$F231&lt;&gt;""),COUNTIFS($D$2:$D231,$D231,$B$2:$B231,"SBA 26/*",$F$2:$F231,"&lt;&gt;"),"")</f>
        <v>30</v>
      </c>
      <c r="Z231" s="29" t="str">
        <f>IF(Y231=1,COUNTIF($Y$2:Y231,1),"")</f>
        <v/>
      </c>
      <c r="AA231" s="29">
        <f>IF(AND(LEFT($B231,7)="SBA 26/",$C231&lt;&gt;"",$F231&lt;&gt;""),COUNTIFS($C$2:$C231,$C231,$B$2:$B231,"SBA 26/*",$F$2:$F231,"&lt;&gt;"),"")</f>
        <v>1</v>
      </c>
      <c r="AB231" s="29">
        <f>IF(AA231=1,COUNTIF($AA$2:AA231,1),"")</f>
        <v>159</v>
      </c>
    </row>
    <row r="232" spans="1:28" ht="78.75" customHeight="1" x14ac:dyDescent="0.2">
      <c r="A232" s="43" t="s">
        <v>1210</v>
      </c>
      <c r="B232" s="43" t="s">
        <v>1211</v>
      </c>
      <c r="C232" s="44" t="s">
        <v>1097</v>
      </c>
      <c r="D232" s="44" t="s">
        <v>88</v>
      </c>
      <c r="E232" s="45" t="s">
        <v>1212</v>
      </c>
      <c r="F232" s="45" t="s">
        <v>1213</v>
      </c>
      <c r="G232" s="46" t="s">
        <v>39</v>
      </c>
      <c r="H232" s="48">
        <v>46087</v>
      </c>
      <c r="I232" s="48">
        <v>46098</v>
      </c>
      <c r="J232" s="44" t="s">
        <v>92</v>
      </c>
      <c r="K232" s="44" t="s">
        <v>116</v>
      </c>
      <c r="L232" s="50" t="s">
        <v>101</v>
      </c>
      <c r="M232" s="50" t="s">
        <v>77</v>
      </c>
      <c r="N232" s="50"/>
      <c r="O232" s="49"/>
      <c r="P232" s="50" t="str">
        <f t="shared" si="12"/>
        <v>ONAY</v>
      </c>
      <c r="Q232" s="28" t="s">
        <v>92</v>
      </c>
      <c r="R232" s="51" t="str">
        <f t="shared" si="13"/>
        <v/>
      </c>
      <c r="T232" s="41"/>
      <c r="U232" s="29">
        <f>IF($C232&lt;&gt;"",COUNTIF($C$2:C232,C232),"")</f>
        <v>2</v>
      </c>
      <c r="V232" s="29" t="str">
        <f t="shared" si="14"/>
        <v>Doç. Dr. Adalet Elçin YILDIZ§2</v>
      </c>
      <c r="W232" s="29" t="str">
        <f>IF(U232=1,COUNTIF($U$2:U232,1),"")</f>
        <v/>
      </c>
      <c r="X232" s="29" t="str">
        <f t="shared" si="15"/>
        <v/>
      </c>
      <c r="Y232" s="29">
        <f>IF(AND(LEFT($B232,7)="SBA 26/",$D232&lt;&gt;"",$F232&lt;&gt;""),COUNTIFS($D$2:$D232,$D232,$B$2:$B232,"SBA 26/*",$F$2:$F232,"&lt;&gt;"),"")</f>
        <v>11</v>
      </c>
      <c r="Z232" s="29" t="str">
        <f>IF(Y232=1,COUNTIF($Y$2:Y232,1),"")</f>
        <v/>
      </c>
      <c r="AA232" s="29">
        <f>IF(AND(LEFT($B232,7)="SBA 26/",$C232&lt;&gt;"",$F232&lt;&gt;""),COUNTIFS($C$2:$C232,$C232,$B$2:$B232,"SBA 26/*",$F$2:$F232,"&lt;&gt;"),"")</f>
        <v>2</v>
      </c>
      <c r="AB232" s="29" t="str">
        <f>IF(AA232=1,COUNTIF($AA$2:AA232,1),"")</f>
        <v/>
      </c>
    </row>
    <row r="233" spans="1:28" ht="63" customHeight="1" x14ac:dyDescent="0.2">
      <c r="A233" s="43" t="s">
        <v>1214</v>
      </c>
      <c r="B233" s="43" t="s">
        <v>1215</v>
      </c>
      <c r="C233" s="44" t="s">
        <v>390</v>
      </c>
      <c r="D233" s="44" t="s">
        <v>391</v>
      </c>
      <c r="E233" s="45" t="s">
        <v>392</v>
      </c>
      <c r="F233" s="45" t="s">
        <v>1216</v>
      </c>
      <c r="G233" s="46" t="s">
        <v>38</v>
      </c>
      <c r="H233" s="48">
        <v>46087</v>
      </c>
      <c r="I233" s="48">
        <v>46098</v>
      </c>
      <c r="J233" s="44" t="s">
        <v>84</v>
      </c>
      <c r="K233" s="44" t="s">
        <v>129</v>
      </c>
      <c r="L233" s="50" t="s">
        <v>77</v>
      </c>
      <c r="M233" s="50"/>
      <c r="N233" s="50"/>
      <c r="O233" s="49"/>
      <c r="P233" s="50" t="str">
        <f t="shared" si="12"/>
        <v>ONAY</v>
      </c>
      <c r="R233" s="51" t="str">
        <f t="shared" si="13"/>
        <v/>
      </c>
      <c r="T233" s="41"/>
      <c r="U233" s="29">
        <f>IF($C233&lt;&gt;"",COUNTIF($C$2:C233,C233),"")</f>
        <v>4</v>
      </c>
      <c r="V233" s="29" t="str">
        <f t="shared" si="14"/>
        <v>Prof. Dr. Mehmet AYVAZ§4</v>
      </c>
      <c r="W233" s="29" t="str">
        <f>IF(U233=1,COUNTIF($U$2:U233,1),"")</f>
        <v/>
      </c>
      <c r="X233" s="29" t="str">
        <f t="shared" si="15"/>
        <v/>
      </c>
      <c r="Y233" s="29">
        <f>IF(AND(LEFT($B233,7)="SBA 26/",$D233&lt;&gt;"",$F233&lt;&gt;""),COUNTIFS($D$2:$D233,$D233,$B$2:$B233,"SBA 26/*",$F$2:$F233,"&lt;&gt;"),"")</f>
        <v>6</v>
      </c>
      <c r="Z233" s="29" t="str">
        <f>IF(Y233=1,COUNTIF($Y$2:Y233,1),"")</f>
        <v/>
      </c>
      <c r="AA233" s="29">
        <f>IF(AND(LEFT($B233,7)="SBA 26/",$C233&lt;&gt;"",$F233&lt;&gt;""),COUNTIFS($C$2:$C233,$C233,$B$2:$B233,"SBA 26/*",$F$2:$F233,"&lt;&gt;"),"")</f>
        <v>4</v>
      </c>
      <c r="AB233" s="29" t="str">
        <f>IF(AA233=1,COUNTIF($AA$2:AA233,1),"")</f>
        <v/>
      </c>
    </row>
    <row r="234" spans="1:28" ht="63" customHeight="1" x14ac:dyDescent="0.2">
      <c r="A234" s="43" t="s">
        <v>1217</v>
      </c>
      <c r="B234" s="43" t="s">
        <v>1218</v>
      </c>
      <c r="C234" s="44" t="s">
        <v>390</v>
      </c>
      <c r="D234" s="44" t="s">
        <v>391</v>
      </c>
      <c r="E234" s="45" t="s">
        <v>909</v>
      </c>
      <c r="F234" s="45" t="s">
        <v>1219</v>
      </c>
      <c r="G234" s="46" t="s">
        <v>38</v>
      </c>
      <c r="H234" s="48">
        <v>46087</v>
      </c>
      <c r="I234" s="48">
        <v>46098</v>
      </c>
      <c r="J234" s="44" t="s">
        <v>129</v>
      </c>
      <c r="K234" s="44" t="s">
        <v>84</v>
      </c>
      <c r="L234" s="50" t="s">
        <v>77</v>
      </c>
      <c r="M234" s="50"/>
      <c r="N234" s="50"/>
      <c r="O234" s="49"/>
      <c r="P234" s="50" t="str">
        <f t="shared" si="12"/>
        <v>ONAY</v>
      </c>
      <c r="R234" s="51" t="str">
        <f t="shared" si="13"/>
        <v/>
      </c>
      <c r="T234" s="41"/>
      <c r="U234" s="29">
        <f>IF($C234&lt;&gt;"",COUNTIF($C$2:C234,C234),"")</f>
        <v>5</v>
      </c>
      <c r="V234" s="29" t="str">
        <f t="shared" si="14"/>
        <v>Prof. Dr. Mehmet AYVAZ§5</v>
      </c>
      <c r="W234" s="29" t="str">
        <f>IF(U234=1,COUNTIF($U$2:U234,1),"")</f>
        <v/>
      </c>
      <c r="X234" s="29" t="str">
        <f t="shared" si="15"/>
        <v/>
      </c>
      <c r="Y234" s="29">
        <f>IF(AND(LEFT($B234,7)="SBA 26/",$D234&lt;&gt;"",$F234&lt;&gt;""),COUNTIFS($D$2:$D234,$D234,$B$2:$B234,"SBA 26/*",$F$2:$F234,"&lt;&gt;"),"")</f>
        <v>7</v>
      </c>
      <c r="Z234" s="29" t="str">
        <f>IF(Y234=1,COUNTIF($Y$2:Y234,1),"")</f>
        <v/>
      </c>
      <c r="AA234" s="29">
        <f>IF(AND(LEFT($B234,7)="SBA 26/",$C234&lt;&gt;"",$F234&lt;&gt;""),COUNTIFS($C$2:$C234,$C234,$B$2:$B234,"SBA 26/*",$F$2:$F234,"&lt;&gt;"),"")</f>
        <v>5</v>
      </c>
      <c r="AB234" s="29" t="str">
        <f>IF(AA234=1,COUNTIF($AA$2:AA234,1),"")</f>
        <v/>
      </c>
    </row>
    <row r="235" spans="1:28" ht="63" customHeight="1" x14ac:dyDescent="0.2">
      <c r="A235" s="43" t="s">
        <v>1220</v>
      </c>
      <c r="B235" s="43" t="s">
        <v>1221</v>
      </c>
      <c r="C235" s="44" t="s">
        <v>390</v>
      </c>
      <c r="D235" s="44" t="s">
        <v>391</v>
      </c>
      <c r="E235" s="45" t="s">
        <v>909</v>
      </c>
      <c r="F235" s="45" t="s">
        <v>1222</v>
      </c>
      <c r="G235" s="46" t="s">
        <v>38</v>
      </c>
      <c r="H235" s="48">
        <v>46087</v>
      </c>
      <c r="I235" s="48">
        <v>46098</v>
      </c>
      <c r="J235" s="44" t="s">
        <v>129</v>
      </c>
      <c r="K235" s="44" t="s">
        <v>84</v>
      </c>
      <c r="L235" s="50" t="s">
        <v>77</v>
      </c>
      <c r="M235" s="50"/>
      <c r="N235" s="50"/>
      <c r="O235" s="49"/>
      <c r="P235" s="50" t="str">
        <f t="shared" si="12"/>
        <v>ONAY</v>
      </c>
      <c r="R235" s="51" t="str">
        <f t="shared" si="13"/>
        <v/>
      </c>
      <c r="T235" s="41"/>
      <c r="U235" s="29">
        <f>IF($C235&lt;&gt;"",COUNTIF($C$2:C235,C235),"")</f>
        <v>6</v>
      </c>
      <c r="V235" s="29" t="str">
        <f t="shared" si="14"/>
        <v>Prof. Dr. Mehmet AYVAZ§6</v>
      </c>
      <c r="W235" s="29" t="str">
        <f>IF(U235=1,COUNTIF($U$2:U235,1),"")</f>
        <v/>
      </c>
      <c r="X235" s="29" t="str">
        <f t="shared" si="15"/>
        <v/>
      </c>
      <c r="Y235" s="29">
        <f>IF(AND(LEFT($B235,7)="SBA 26/",$D235&lt;&gt;"",$F235&lt;&gt;""),COUNTIFS($D$2:$D235,$D235,$B$2:$B235,"SBA 26/*",$F$2:$F235,"&lt;&gt;"),"")</f>
        <v>8</v>
      </c>
      <c r="Z235" s="29" t="str">
        <f>IF(Y235=1,COUNTIF($Y$2:Y235,1),"")</f>
        <v/>
      </c>
      <c r="AA235" s="29">
        <f>IF(AND(LEFT($B235,7)="SBA 26/",$C235&lt;&gt;"",$F235&lt;&gt;""),COUNTIFS($C$2:$C235,$C235,$B$2:$B235,"SBA 26/*",$F$2:$F235,"&lt;&gt;"),"")</f>
        <v>6</v>
      </c>
      <c r="AB235" s="29" t="str">
        <f>IF(AA235=1,COUNTIF($AA$2:AA235,1),"")</f>
        <v/>
      </c>
    </row>
    <row r="236" spans="1:28" ht="63" customHeight="1" x14ac:dyDescent="0.2">
      <c r="A236" s="43" t="s">
        <v>1223</v>
      </c>
      <c r="B236" s="43" t="s">
        <v>1224</v>
      </c>
      <c r="C236" s="44" t="s">
        <v>390</v>
      </c>
      <c r="D236" s="44" t="s">
        <v>391</v>
      </c>
      <c r="E236" s="45" t="s">
        <v>909</v>
      </c>
      <c r="F236" s="45" t="s">
        <v>1225</v>
      </c>
      <c r="G236" s="46" t="s">
        <v>38</v>
      </c>
      <c r="H236" s="48">
        <v>46087</v>
      </c>
      <c r="I236" s="48">
        <v>46098</v>
      </c>
      <c r="J236" s="44" t="s">
        <v>129</v>
      </c>
      <c r="K236" s="44" t="s">
        <v>84</v>
      </c>
      <c r="L236" s="50" t="s">
        <v>153</v>
      </c>
      <c r="M236" s="50"/>
      <c r="N236" s="50"/>
      <c r="O236" s="49"/>
      <c r="P236" s="50" t="str">
        <f t="shared" si="12"/>
        <v>KAPSAM DIŞI</v>
      </c>
      <c r="R236" s="51" t="str">
        <f t="shared" si="13"/>
        <v/>
      </c>
      <c r="T236" s="41"/>
      <c r="U236" s="29">
        <f>IF($C236&lt;&gt;"",COUNTIF($C$2:C236,C236),"")</f>
        <v>7</v>
      </c>
      <c r="V236" s="29" t="str">
        <f t="shared" si="14"/>
        <v>Prof. Dr. Mehmet AYVAZ§7</v>
      </c>
      <c r="W236" s="29" t="str">
        <f>IF(U236=1,COUNTIF($U$2:U236,1),"")</f>
        <v/>
      </c>
      <c r="X236" s="29" t="str">
        <f t="shared" si="15"/>
        <v/>
      </c>
      <c r="Y236" s="29">
        <f>IF(AND(LEFT($B236,7)="SBA 26/",$D236&lt;&gt;"",$F236&lt;&gt;""),COUNTIFS($D$2:$D236,$D236,$B$2:$B236,"SBA 26/*",$F$2:$F236,"&lt;&gt;"),"")</f>
        <v>9</v>
      </c>
      <c r="Z236" s="29" t="str">
        <f>IF(Y236=1,COUNTIF($Y$2:Y236,1),"")</f>
        <v/>
      </c>
      <c r="AA236" s="29">
        <f>IF(AND(LEFT($B236,7)="SBA 26/",$C236&lt;&gt;"",$F236&lt;&gt;""),COUNTIFS($C$2:$C236,$C236,$B$2:$B236,"SBA 26/*",$F$2:$F236,"&lt;&gt;"),"")</f>
        <v>7</v>
      </c>
      <c r="AB236" s="29" t="str">
        <f>IF(AA236=1,COUNTIF($AA$2:AA236,1),"")</f>
        <v/>
      </c>
    </row>
    <row r="237" spans="1:28" ht="78.75" customHeight="1" x14ac:dyDescent="0.2">
      <c r="A237" s="43" t="s">
        <v>1226</v>
      </c>
      <c r="B237" s="43" t="s">
        <v>1227</v>
      </c>
      <c r="C237" s="44" t="s">
        <v>1228</v>
      </c>
      <c r="D237" s="44" t="s">
        <v>391</v>
      </c>
      <c r="E237" s="45" t="s">
        <v>1229</v>
      </c>
      <c r="F237" s="45" t="s">
        <v>1230</v>
      </c>
      <c r="G237" s="46" t="s">
        <v>38</v>
      </c>
      <c r="H237" s="48">
        <v>46087</v>
      </c>
      <c r="I237" s="48">
        <v>46098</v>
      </c>
      <c r="J237" s="44" t="s">
        <v>91</v>
      </c>
      <c r="K237" s="44" t="s">
        <v>116</v>
      </c>
      <c r="L237" s="50" t="s">
        <v>218</v>
      </c>
      <c r="M237" s="50"/>
      <c r="N237" s="50"/>
      <c r="O237" s="49"/>
      <c r="P237" s="50" t="str">
        <f t="shared" si="12"/>
        <v>KAEK</v>
      </c>
      <c r="R237" s="51" t="str">
        <f t="shared" si="13"/>
        <v/>
      </c>
      <c r="T237" s="41"/>
      <c r="U237" s="29">
        <f>IF($C237&lt;&gt;"",COUNTIF($C$2:C237,C237),"")</f>
        <v>1</v>
      </c>
      <c r="V237" s="29" t="str">
        <f t="shared" si="14"/>
        <v>Dr. Öğr. Üyesi Gökhan AYIK§1</v>
      </c>
      <c r="W237" s="29">
        <f>IF(U237=1,COUNTIF($U$2:U237,1),"")</f>
        <v>160</v>
      </c>
      <c r="X237" s="29">
        <f t="shared" si="15"/>
        <v>141</v>
      </c>
      <c r="Y237" s="29">
        <f>IF(AND(LEFT($B237,7)="SBA 26/",$D237&lt;&gt;"",$F237&lt;&gt;""),COUNTIFS($D$2:$D237,$D237,$B$2:$B237,"SBA 26/*",$F$2:$F237,"&lt;&gt;"),"")</f>
        <v>10</v>
      </c>
      <c r="Z237" s="29" t="str">
        <f>IF(Y237=1,COUNTIF($Y$2:Y237,1),"")</f>
        <v/>
      </c>
      <c r="AA237" s="29">
        <f>IF(AND(LEFT($B237,7)="SBA 26/",$C237&lt;&gt;"",$F237&lt;&gt;""),COUNTIFS($C$2:$C237,$C237,$B$2:$B237,"SBA 26/*",$F$2:$F237,"&lt;&gt;"),"")</f>
        <v>1</v>
      </c>
      <c r="AB237" s="29">
        <f>IF(AA237=1,COUNTIF($AA$2:AA237,1),"")</f>
        <v>160</v>
      </c>
    </row>
    <row r="238" spans="1:28" ht="94.5" customHeight="1" x14ac:dyDescent="0.2">
      <c r="A238" s="43" t="s">
        <v>1231</v>
      </c>
      <c r="B238" s="43" t="s">
        <v>1232</v>
      </c>
      <c r="C238" s="44" t="s">
        <v>1233</v>
      </c>
      <c r="D238" s="44" t="s">
        <v>222</v>
      </c>
      <c r="E238" s="45" t="s">
        <v>1234</v>
      </c>
      <c r="F238" s="45" t="s">
        <v>1235</v>
      </c>
      <c r="G238" s="46" t="s">
        <v>38</v>
      </c>
      <c r="H238" s="48">
        <v>46087</v>
      </c>
      <c r="I238" s="48">
        <v>46098</v>
      </c>
      <c r="J238" s="44" t="s">
        <v>99</v>
      </c>
      <c r="K238" s="44" t="s">
        <v>75</v>
      </c>
      <c r="L238" s="50" t="s">
        <v>101</v>
      </c>
      <c r="M238" s="50"/>
      <c r="N238" s="50"/>
      <c r="O238" s="49"/>
      <c r="P238" s="50" t="str">
        <f t="shared" si="12"/>
        <v>DÜZELTME</v>
      </c>
      <c r="R238" s="51" t="str">
        <f t="shared" si="13"/>
        <v/>
      </c>
      <c r="T238" s="41"/>
      <c r="U238" s="29">
        <f>IF($C238&lt;&gt;"",COUNTIF($C$2:C238,C238),"")</f>
        <v>1</v>
      </c>
      <c r="V238" s="29" t="str">
        <f t="shared" si="14"/>
        <v>Öğr. Gör. Dr. Esin ALPDÜNDAR BULUT§1</v>
      </c>
      <c r="W238" s="29">
        <f>IF(U238=1,COUNTIF($U$2:U238,1),"")</f>
        <v>161</v>
      </c>
      <c r="X238" s="29">
        <f t="shared" si="15"/>
        <v>180</v>
      </c>
      <c r="Y238" s="29">
        <f>IF(AND(LEFT($B238,7)="SBA 26/",$D238&lt;&gt;"",$F238&lt;&gt;""),COUNTIFS($D$2:$D238,$D238,$B$2:$B238,"SBA 26/*",$F$2:$F238,"&lt;&gt;"),"")</f>
        <v>31</v>
      </c>
      <c r="Z238" s="29" t="str">
        <f>IF(Y238=1,COUNTIF($Y$2:Y238,1),"")</f>
        <v/>
      </c>
      <c r="AA238" s="29">
        <f>IF(AND(LEFT($B238,7)="SBA 26/",$C238&lt;&gt;"",$F238&lt;&gt;""),COUNTIFS($C$2:$C238,$C238,$B$2:$B238,"SBA 26/*",$F$2:$F238,"&lt;&gt;"),"")</f>
        <v>1</v>
      </c>
      <c r="AB238" s="29">
        <f>IF(AA238=1,COUNTIF($AA$2:AA238,1),"")</f>
        <v>161</v>
      </c>
    </row>
    <row r="239" spans="1:28" ht="63" customHeight="1" x14ac:dyDescent="0.2">
      <c r="A239" s="43" t="s">
        <v>1236</v>
      </c>
      <c r="B239" s="43" t="s">
        <v>1237</v>
      </c>
      <c r="C239" s="44" t="s">
        <v>1238</v>
      </c>
      <c r="D239" s="44" t="s">
        <v>414</v>
      </c>
      <c r="E239" s="45" t="s">
        <v>1239</v>
      </c>
      <c r="F239" s="45" t="s">
        <v>1240</v>
      </c>
      <c r="G239" s="46" t="s">
        <v>39</v>
      </c>
      <c r="H239" s="48">
        <v>46087</v>
      </c>
      <c r="I239" s="48">
        <v>46098</v>
      </c>
      <c r="J239" s="44" t="s">
        <v>123</v>
      </c>
      <c r="K239" s="44" t="s">
        <v>99</v>
      </c>
      <c r="L239" s="50" t="s">
        <v>77</v>
      </c>
      <c r="M239" s="50"/>
      <c r="N239" s="50"/>
      <c r="O239" s="49"/>
      <c r="P239" s="50" t="str">
        <f t="shared" si="12"/>
        <v>ONAY</v>
      </c>
      <c r="R239" s="51" t="str">
        <f t="shared" si="13"/>
        <v/>
      </c>
      <c r="T239" s="41"/>
      <c r="U239" s="29">
        <f>IF($C239&lt;&gt;"",COUNTIF($C$2:C239,C239),"")</f>
        <v>1</v>
      </c>
      <c r="V239" s="29" t="str">
        <f t="shared" si="14"/>
        <v>Prof. Dr. Güliz AKTAŞ§1</v>
      </c>
      <c r="W239" s="29">
        <f>IF(U239=1,COUNTIF($U$2:U239,1),"")</f>
        <v>162</v>
      </c>
      <c r="X239" s="29">
        <f t="shared" si="15"/>
        <v>240</v>
      </c>
      <c r="Y239" s="29">
        <f>IF(AND(LEFT($B239,7)="SBA 26/",$D239&lt;&gt;"",$F239&lt;&gt;""),COUNTIFS($D$2:$D239,$D239,$B$2:$B239,"SBA 26/*",$F$2:$F239,"&lt;&gt;"),"")</f>
        <v>3</v>
      </c>
      <c r="Z239" s="29" t="str">
        <f>IF(Y239=1,COUNTIF($Y$2:Y239,1),"")</f>
        <v/>
      </c>
      <c r="AA239" s="29">
        <f>IF(AND(LEFT($B239,7)="SBA 26/",$C239&lt;&gt;"",$F239&lt;&gt;""),COUNTIFS($C$2:$C239,$C239,$B$2:$B239,"SBA 26/*",$F$2:$F239,"&lt;&gt;"),"")</f>
        <v>1</v>
      </c>
      <c r="AB239" s="29">
        <f>IF(AA239=1,COUNTIF($AA$2:AA239,1),"")</f>
        <v>162</v>
      </c>
    </row>
    <row r="240" spans="1:28" ht="94.5" customHeight="1" x14ac:dyDescent="0.2">
      <c r="A240" s="43" t="s">
        <v>1241</v>
      </c>
      <c r="B240" s="43" t="s">
        <v>1242</v>
      </c>
      <c r="C240" s="44" t="s">
        <v>1004</v>
      </c>
      <c r="D240" s="44" t="s">
        <v>291</v>
      </c>
      <c r="E240" s="45" t="s">
        <v>1243</v>
      </c>
      <c r="F240" s="45" t="s">
        <v>1244</v>
      </c>
      <c r="G240" s="46" t="s">
        <v>38</v>
      </c>
      <c r="H240" s="48">
        <v>46087</v>
      </c>
      <c r="I240" s="48">
        <v>46098</v>
      </c>
      <c r="J240" s="44" t="s">
        <v>92</v>
      </c>
      <c r="K240" s="44" t="s">
        <v>100</v>
      </c>
      <c r="L240" s="50" t="s">
        <v>101</v>
      </c>
      <c r="M240" s="50" t="s">
        <v>101</v>
      </c>
      <c r="N240" s="50" t="s">
        <v>77</v>
      </c>
      <c r="O240" s="49"/>
      <c r="P240" s="50" t="str">
        <f t="shared" si="12"/>
        <v>ONAY</v>
      </c>
      <c r="Q240" s="28" t="s">
        <v>92</v>
      </c>
      <c r="R240" s="51" t="str">
        <f t="shared" si="13"/>
        <v/>
      </c>
      <c r="T240" s="41"/>
      <c r="U240" s="29">
        <f>IF($C240&lt;&gt;"",COUNTIF($C$2:C240,C240),"")</f>
        <v>2</v>
      </c>
      <c r="V240" s="29" t="str">
        <f t="shared" si="14"/>
        <v>Dr. Öğr. Üyesi Muhammed Çağrı KÜLEKCİ§2</v>
      </c>
      <c r="W240" s="29" t="str">
        <f>IF(U240=1,COUNTIF($U$2:U240,1),"")</f>
        <v/>
      </c>
      <c r="X240" s="29" t="str">
        <f t="shared" si="15"/>
        <v/>
      </c>
      <c r="Y240" s="29">
        <f>IF(AND(LEFT($B240,7)="SBA 26/",$D240&lt;&gt;"",$F240&lt;&gt;""),COUNTIFS($D$2:$D240,$D240,$B$2:$B240,"SBA 26/*",$F$2:$F240,"&lt;&gt;"),"")</f>
        <v>7</v>
      </c>
      <c r="Z240" s="29" t="str">
        <f>IF(Y240=1,COUNTIF($Y$2:Y240,1),"")</f>
        <v/>
      </c>
      <c r="AA240" s="29">
        <f>IF(AND(LEFT($B240,7)="SBA 26/",$C240&lt;&gt;"",$F240&lt;&gt;""),COUNTIFS($C$2:$C240,$C240,$B$2:$B240,"SBA 26/*",$F$2:$F240,"&lt;&gt;"),"")</f>
        <v>2</v>
      </c>
      <c r="AB240" s="29" t="str">
        <f>IF(AA240=1,COUNTIF($AA$2:AA240,1),"")</f>
        <v/>
      </c>
    </row>
    <row r="241" spans="1:28" ht="81" customHeight="1" x14ac:dyDescent="0.2">
      <c r="A241" s="43" t="s">
        <v>1245</v>
      </c>
      <c r="B241" s="43" t="s">
        <v>1246</v>
      </c>
      <c r="C241" s="44" t="s">
        <v>1247</v>
      </c>
      <c r="D241" s="44" t="s">
        <v>222</v>
      </c>
      <c r="E241" s="45" t="s">
        <v>1248</v>
      </c>
      <c r="F241" s="45" t="s">
        <v>1249</v>
      </c>
      <c r="G241" s="46" t="s">
        <v>39</v>
      </c>
      <c r="H241" s="48">
        <v>46090</v>
      </c>
      <c r="I241" s="48">
        <v>46098</v>
      </c>
      <c r="J241" s="44" t="s">
        <v>91</v>
      </c>
      <c r="K241" s="44" t="s">
        <v>76</v>
      </c>
      <c r="L241" s="50" t="s">
        <v>218</v>
      </c>
      <c r="M241" s="50"/>
      <c r="N241" s="50"/>
      <c r="O241" s="49"/>
      <c r="P241" s="50" t="str">
        <f t="shared" si="12"/>
        <v>KAEK</v>
      </c>
      <c r="R241" s="51" t="str">
        <f t="shared" si="13"/>
        <v/>
      </c>
      <c r="T241" s="41"/>
      <c r="U241" s="29">
        <f>IF($C241&lt;&gt;"",COUNTIF($C$2:C241,C241),"")</f>
        <v>1</v>
      </c>
      <c r="V241" s="29" t="str">
        <f t="shared" si="14"/>
        <v>Prof. Dr. Şule ÜNAL CANGÜL§1</v>
      </c>
      <c r="W241" s="29">
        <f>IF(U241=1,COUNTIF($U$2:U241,1),"")</f>
        <v>163</v>
      </c>
      <c r="X241" s="29">
        <f t="shared" si="15"/>
        <v>327</v>
      </c>
      <c r="Y241" s="29">
        <f>IF(AND(LEFT($B241,7)="SBA 26/",$D241&lt;&gt;"",$F241&lt;&gt;""),COUNTIFS($D$2:$D241,$D241,$B$2:$B241,"SBA 26/*",$F$2:$F241,"&lt;&gt;"),"")</f>
        <v>32</v>
      </c>
      <c r="Z241" s="29" t="str">
        <f>IF(Y241=1,COUNTIF($Y$2:Y241,1),"")</f>
        <v/>
      </c>
      <c r="AA241" s="29">
        <f>IF(AND(LEFT($B241,7)="SBA 26/",$C241&lt;&gt;"",$F241&lt;&gt;""),COUNTIFS($C$2:$C241,$C241,$B$2:$B241,"SBA 26/*",$F$2:$F241,"&lt;&gt;"),"")</f>
        <v>1</v>
      </c>
      <c r="AB241" s="29">
        <f>IF(AA241=1,COUNTIF($AA$2:AA241,1),"")</f>
        <v>163</v>
      </c>
    </row>
    <row r="242" spans="1:28" ht="78.75" customHeight="1" x14ac:dyDescent="0.2">
      <c r="A242" s="43" t="s">
        <v>1250</v>
      </c>
      <c r="B242" s="43" t="s">
        <v>1251</v>
      </c>
      <c r="C242" s="44" t="s">
        <v>628</v>
      </c>
      <c r="D242" s="44" t="s">
        <v>228</v>
      </c>
      <c r="E242" s="45" t="s">
        <v>1252</v>
      </c>
      <c r="F242" s="45" t="s">
        <v>1253</v>
      </c>
      <c r="G242" s="46" t="s">
        <v>39</v>
      </c>
      <c r="H242" s="48">
        <v>46090</v>
      </c>
      <c r="I242" s="48">
        <v>46098</v>
      </c>
      <c r="J242" s="44" t="s">
        <v>75</v>
      </c>
      <c r="K242" s="44" t="s">
        <v>99</v>
      </c>
      <c r="L242" s="50" t="s">
        <v>77</v>
      </c>
      <c r="M242" s="50"/>
      <c r="N242" s="50"/>
      <c r="O242" s="49"/>
      <c r="P242" s="50" t="str">
        <f t="shared" si="12"/>
        <v>ONAY</v>
      </c>
      <c r="R242" s="51" t="str">
        <f t="shared" si="13"/>
        <v/>
      </c>
      <c r="T242" s="41"/>
      <c r="U242" s="29">
        <f>IF($C242&lt;&gt;"",COUNTIF($C$2:C242,C242),"")</f>
        <v>3</v>
      </c>
      <c r="V242" s="29" t="str">
        <f t="shared" si="14"/>
        <v>Dr. Öğr. Üyesi Murat ÇAĞAN§3</v>
      </c>
      <c r="W242" s="29" t="str">
        <f>IF(U242=1,COUNTIF($U$2:U242,1),"")</f>
        <v/>
      </c>
      <c r="X242" s="29" t="str">
        <f t="shared" si="15"/>
        <v/>
      </c>
      <c r="Y242" s="29">
        <f>IF(AND(LEFT($B242,7)="SBA 26/",$D242&lt;&gt;"",$F242&lt;&gt;""),COUNTIFS($D$2:$D242,$D242,$B$2:$B242,"SBA 26/*",$F$2:$F242,"&lt;&gt;"),"")</f>
        <v>11</v>
      </c>
      <c r="Z242" s="29" t="str">
        <f>IF(Y242=1,COUNTIF($Y$2:Y242,1),"")</f>
        <v/>
      </c>
      <c r="AA242" s="29">
        <f>IF(AND(LEFT($B242,7)="SBA 26/",$C242&lt;&gt;"",$F242&lt;&gt;""),COUNTIFS($C$2:$C242,$C242,$B$2:$B242,"SBA 26/*",$F$2:$F242,"&lt;&gt;"),"")</f>
        <v>3</v>
      </c>
      <c r="AB242" s="29" t="str">
        <f>IF(AA242=1,COUNTIF($AA$2:AA242,1),"")</f>
        <v/>
      </c>
    </row>
    <row r="243" spans="1:28" ht="78.75" customHeight="1" x14ac:dyDescent="0.2">
      <c r="A243" s="43" t="s">
        <v>1254</v>
      </c>
      <c r="B243" s="43" t="s">
        <v>1255</v>
      </c>
      <c r="C243" s="44" t="s">
        <v>227</v>
      </c>
      <c r="D243" s="44" t="s">
        <v>228</v>
      </c>
      <c r="E243" s="45" t="s">
        <v>1256</v>
      </c>
      <c r="F243" s="45" t="s">
        <v>1257</v>
      </c>
      <c r="G243" s="46" t="s">
        <v>38</v>
      </c>
      <c r="H243" s="48">
        <v>46090</v>
      </c>
      <c r="I243" s="48">
        <v>46098</v>
      </c>
      <c r="J243" s="44" t="s">
        <v>91</v>
      </c>
      <c r="K243" s="44" t="s">
        <v>75</v>
      </c>
      <c r="L243" s="50" t="s">
        <v>77</v>
      </c>
      <c r="M243" s="50"/>
      <c r="N243" s="50"/>
      <c r="O243" s="49"/>
      <c r="P243" s="50" t="str">
        <f t="shared" si="12"/>
        <v>ONAY</v>
      </c>
      <c r="R243" s="51" t="str">
        <f t="shared" si="13"/>
        <v/>
      </c>
      <c r="T243" s="41"/>
      <c r="U243" s="29">
        <f>IF($C243&lt;&gt;"",COUNTIF($C$2:C243,C243),"")</f>
        <v>5</v>
      </c>
      <c r="V243" s="29" t="str">
        <f t="shared" si="14"/>
        <v>Dr. Öğr. Üyesi Gonca ÖZTEN DERE§5</v>
      </c>
      <c r="W243" s="29" t="str">
        <f>IF(U243=1,COUNTIF($U$2:U243,1),"")</f>
        <v/>
      </c>
      <c r="X243" s="29" t="str">
        <f t="shared" si="15"/>
        <v/>
      </c>
      <c r="Y243" s="29">
        <f>IF(AND(LEFT($B243,7)="SBA 26/",$D243&lt;&gt;"",$F243&lt;&gt;""),COUNTIFS($D$2:$D243,$D243,$B$2:$B243,"SBA 26/*",$F$2:$F243,"&lt;&gt;"),"")</f>
        <v>12</v>
      </c>
      <c r="Z243" s="29" t="str">
        <f>IF(Y243=1,COUNTIF($Y$2:Y243,1),"")</f>
        <v/>
      </c>
      <c r="AA243" s="29">
        <f>IF(AND(LEFT($B243,7)="SBA 26/",$C243&lt;&gt;"",$F243&lt;&gt;""),COUNTIFS($C$2:$C243,$C243,$B$2:$B243,"SBA 26/*",$F$2:$F243,"&lt;&gt;"),"")</f>
        <v>5</v>
      </c>
      <c r="AB243" s="29" t="str">
        <f>IF(AA243=1,COUNTIF($AA$2:AA243,1),"")</f>
        <v/>
      </c>
    </row>
    <row r="244" spans="1:28" ht="126" customHeight="1" x14ac:dyDescent="0.2">
      <c r="A244" s="43" t="s">
        <v>1258</v>
      </c>
      <c r="B244" s="43" t="s">
        <v>1259</v>
      </c>
      <c r="C244" s="44" t="s">
        <v>1260</v>
      </c>
      <c r="D244" s="44" t="s">
        <v>181</v>
      </c>
      <c r="E244" s="45" t="s">
        <v>1261</v>
      </c>
      <c r="F244" s="45" t="s">
        <v>1262</v>
      </c>
      <c r="G244" s="46" t="s">
        <v>38</v>
      </c>
      <c r="H244" s="48">
        <v>46090</v>
      </c>
      <c r="I244" s="48">
        <v>46098</v>
      </c>
      <c r="J244" s="44" t="s">
        <v>91</v>
      </c>
      <c r="K244" s="44" t="s">
        <v>108</v>
      </c>
      <c r="L244" s="50" t="s">
        <v>77</v>
      </c>
      <c r="M244" s="50"/>
      <c r="N244" s="50"/>
      <c r="O244" s="49"/>
      <c r="P244" s="50" t="str">
        <f t="shared" si="12"/>
        <v>ONAY</v>
      </c>
      <c r="R244" s="51" t="str">
        <f t="shared" si="13"/>
        <v/>
      </c>
      <c r="T244" s="41"/>
      <c r="U244" s="29">
        <f>IF($C244&lt;&gt;"",COUNTIF($C$2:C244,C244),"")</f>
        <v>1</v>
      </c>
      <c r="V244" s="29" t="str">
        <f t="shared" si="14"/>
        <v>Prof. Dr. Seda Banu AKINCI§1</v>
      </c>
      <c r="W244" s="29">
        <f>IF(U244=1,COUNTIF($U$2:U244,1),"")</f>
        <v>164</v>
      </c>
      <c r="X244" s="29">
        <f t="shared" si="15"/>
        <v>311</v>
      </c>
      <c r="Y244" s="29">
        <f>IF(AND(LEFT($B244,7)="SBA 26/",$D244&lt;&gt;"",$F244&lt;&gt;""),COUNTIFS($D$2:$D244,$D244,$B$2:$B244,"SBA 26/*",$F$2:$F244,"&lt;&gt;"),"")</f>
        <v>4</v>
      </c>
      <c r="Z244" s="29" t="str">
        <f>IF(Y244=1,COUNTIF($Y$2:Y244,1),"")</f>
        <v/>
      </c>
      <c r="AA244" s="29">
        <f>IF(AND(LEFT($B244,7)="SBA 26/",$C244&lt;&gt;"",$F244&lt;&gt;""),COUNTIFS($C$2:$C244,$C244,$B$2:$B244,"SBA 26/*",$F$2:$F244,"&lt;&gt;"),"")</f>
        <v>1</v>
      </c>
      <c r="AB244" s="29">
        <f>IF(AA244=1,COUNTIF($AA$2:AA244,1),"")</f>
        <v>164</v>
      </c>
    </row>
    <row r="245" spans="1:28" ht="63" customHeight="1" x14ac:dyDescent="0.2">
      <c r="A245" s="43" t="s">
        <v>1263</v>
      </c>
      <c r="B245" s="43" t="s">
        <v>1264</v>
      </c>
      <c r="C245" s="44" t="s">
        <v>1197</v>
      </c>
      <c r="D245" s="44" t="s">
        <v>364</v>
      </c>
      <c r="E245" s="45" t="s">
        <v>1265</v>
      </c>
      <c r="F245" s="45" t="s">
        <v>1266</v>
      </c>
      <c r="G245" s="46" t="s">
        <v>38</v>
      </c>
      <c r="H245" s="48">
        <v>46090</v>
      </c>
      <c r="I245" s="48">
        <v>46098</v>
      </c>
      <c r="J245" s="44" t="s">
        <v>92</v>
      </c>
      <c r="K245" s="44" t="s">
        <v>108</v>
      </c>
      <c r="L245" s="50" t="s">
        <v>77</v>
      </c>
      <c r="M245" s="50"/>
      <c r="N245" s="50"/>
      <c r="O245" s="49"/>
      <c r="P245" s="50" t="str">
        <f t="shared" si="12"/>
        <v>ONAY</v>
      </c>
      <c r="R245" s="51" t="str">
        <f t="shared" si="13"/>
        <v/>
      </c>
      <c r="T245" s="41"/>
      <c r="U245" s="29">
        <f>IF($C245&lt;&gt;"",COUNTIF($C$2:C245,C245),"")</f>
        <v>2</v>
      </c>
      <c r="V245" s="29" t="str">
        <f t="shared" si="14"/>
        <v>Prof. Dr. Fadime İrsel TEZER FİLİK§2</v>
      </c>
      <c r="W245" s="29" t="str">
        <f>IF(U245=1,COUNTIF($U$2:U245,1),"")</f>
        <v/>
      </c>
      <c r="X245" s="29" t="str">
        <f t="shared" si="15"/>
        <v/>
      </c>
      <c r="Y245" s="29">
        <f>IF(AND(LEFT($B245,7)="SBA 26/",$D245&lt;&gt;"",$F245&lt;&gt;""),COUNTIFS($D$2:$D245,$D245,$B$2:$B245,"SBA 26/*",$F$2:$F245,"&lt;&gt;"),"")</f>
        <v>8</v>
      </c>
      <c r="Z245" s="29" t="str">
        <f>IF(Y245=1,COUNTIF($Y$2:Y245,1),"")</f>
        <v/>
      </c>
      <c r="AA245" s="29">
        <f>IF(AND(LEFT($B245,7)="SBA 26/",$C245&lt;&gt;"",$F245&lt;&gt;""),COUNTIFS($C$2:$C245,$C245,$B$2:$B245,"SBA 26/*",$F$2:$F245,"&lt;&gt;"),"")</f>
        <v>2</v>
      </c>
      <c r="AB245" s="29" t="str">
        <f>IF(AA245=1,COUNTIF($AA$2:AA245,1),"")</f>
        <v/>
      </c>
    </row>
    <row r="246" spans="1:28" ht="78.75" customHeight="1" x14ac:dyDescent="0.2">
      <c r="A246" s="43" t="s">
        <v>1267</v>
      </c>
      <c r="B246" s="43" t="s">
        <v>1268</v>
      </c>
      <c r="C246" s="44" t="s">
        <v>112</v>
      </c>
      <c r="D246" s="44" t="s">
        <v>113</v>
      </c>
      <c r="E246" s="45" t="s">
        <v>1269</v>
      </c>
      <c r="F246" s="45" t="s">
        <v>1270</v>
      </c>
      <c r="G246" s="46" t="s">
        <v>38</v>
      </c>
      <c r="H246" s="48">
        <v>46090</v>
      </c>
      <c r="I246" s="48">
        <v>46098</v>
      </c>
      <c r="J246" s="44" t="s">
        <v>116</v>
      </c>
      <c r="K246" s="44" t="s">
        <v>108</v>
      </c>
      <c r="L246" s="50" t="s">
        <v>101</v>
      </c>
      <c r="M246" s="50" t="s">
        <v>77</v>
      </c>
      <c r="N246" s="50"/>
      <c r="O246" s="49"/>
      <c r="P246" s="50" t="str">
        <f t="shared" si="12"/>
        <v>ONAY</v>
      </c>
      <c r="Q246" s="28" t="s">
        <v>116</v>
      </c>
      <c r="R246" s="51" t="str">
        <f t="shared" si="13"/>
        <v/>
      </c>
      <c r="T246" s="41"/>
      <c r="U246" s="29">
        <f>IF($C246&lt;&gt;"",COUNTIF($C$2:C246,C246),"")</f>
        <v>9</v>
      </c>
      <c r="V246" s="29" t="str">
        <f t="shared" si="14"/>
        <v>Prof. Dr. Meltem Gülhan HALİL§9</v>
      </c>
      <c r="W246" s="29" t="str">
        <f>IF(U246=1,COUNTIF($U$2:U246,1),"")</f>
        <v/>
      </c>
      <c r="X246" s="29" t="str">
        <f t="shared" si="15"/>
        <v/>
      </c>
      <c r="Y246" s="29">
        <f>IF(AND(LEFT($B246,7)="SBA 26/",$D246&lt;&gt;"",$F246&lt;&gt;""),COUNTIFS($D$2:$D246,$D246,$B$2:$B246,"SBA 26/*",$F$2:$F246,"&lt;&gt;"),"")</f>
        <v>33</v>
      </c>
      <c r="Z246" s="29" t="str">
        <f>IF(Y246=1,COUNTIF($Y$2:Y246,1),"")</f>
        <v/>
      </c>
      <c r="AA246" s="29">
        <f>IF(AND(LEFT($B246,7)="SBA 26/",$C246&lt;&gt;"",$F246&lt;&gt;""),COUNTIFS($C$2:$C246,$C246,$B$2:$B246,"SBA 26/*",$F$2:$F246,"&lt;&gt;"),"")</f>
        <v>9</v>
      </c>
      <c r="AB246" s="29" t="str">
        <f>IF(AA246=1,COUNTIF($AA$2:AA246,1),"")</f>
        <v/>
      </c>
    </row>
    <row r="247" spans="1:28" ht="94.5" customHeight="1" x14ac:dyDescent="0.2">
      <c r="A247" s="43" t="s">
        <v>1271</v>
      </c>
      <c r="B247" s="43" t="s">
        <v>1272</v>
      </c>
      <c r="C247" s="44" t="s">
        <v>1273</v>
      </c>
      <c r="D247" s="44" t="s">
        <v>181</v>
      </c>
      <c r="E247" s="45" t="s">
        <v>1274</v>
      </c>
      <c r="F247" s="45" t="s">
        <v>1275</v>
      </c>
      <c r="G247" s="46" t="s">
        <v>39</v>
      </c>
      <c r="H247" s="48">
        <v>46090</v>
      </c>
      <c r="I247" s="48">
        <v>46098</v>
      </c>
      <c r="J247" s="44" t="s">
        <v>108</v>
      </c>
      <c r="K247" s="44" t="s">
        <v>100</v>
      </c>
      <c r="L247" s="50" t="s">
        <v>206</v>
      </c>
      <c r="M247" s="50" t="s">
        <v>153</v>
      </c>
      <c r="N247" s="50"/>
      <c r="O247" s="49"/>
      <c r="P247" s="50" t="str">
        <f t="shared" si="12"/>
        <v>KAPSAM DIŞI</v>
      </c>
      <c r="R247" s="51" t="str">
        <f t="shared" si="13"/>
        <v/>
      </c>
      <c r="T247" s="41"/>
      <c r="U247" s="29">
        <f>IF($C247&lt;&gt;"",COUNTIF($C$2:C247,C247),"")</f>
        <v>1</v>
      </c>
      <c r="V247" s="29" t="str">
        <f t="shared" si="14"/>
        <v>Doç. Dr. Başak AKÇA§1</v>
      </c>
      <c r="W247" s="29">
        <f>IF(U247=1,COUNTIF($U$2:U247,1),"")</f>
        <v>165</v>
      </c>
      <c r="X247" s="29">
        <f t="shared" si="15"/>
        <v>25</v>
      </c>
      <c r="Y247" s="29">
        <f>IF(AND(LEFT($B247,7)="SBA 26/",$D247&lt;&gt;"",$F247&lt;&gt;""),COUNTIFS($D$2:$D247,$D247,$B$2:$B247,"SBA 26/*",$F$2:$F247,"&lt;&gt;"),"")</f>
        <v>5</v>
      </c>
      <c r="Z247" s="29" t="str">
        <f>IF(Y247=1,COUNTIF($Y$2:Y247,1),"")</f>
        <v/>
      </c>
      <c r="AA247" s="29">
        <f>IF(AND(LEFT($B247,7)="SBA 26/",$C247&lt;&gt;"",$F247&lt;&gt;""),COUNTIFS($C$2:$C247,$C247,$B$2:$B247,"SBA 26/*",$F$2:$F247,"&lt;&gt;"),"")</f>
        <v>1</v>
      </c>
      <c r="AB247" s="29">
        <f>IF(AA247=1,COUNTIF($AA$2:AA247,1),"")</f>
        <v>165</v>
      </c>
    </row>
    <row r="248" spans="1:28" ht="94.5" customHeight="1" x14ac:dyDescent="0.2">
      <c r="A248" s="43" t="s">
        <v>1276</v>
      </c>
      <c r="B248" s="43" t="s">
        <v>1277</v>
      </c>
      <c r="C248" s="44" t="s">
        <v>1278</v>
      </c>
      <c r="D248" s="44" t="s">
        <v>391</v>
      </c>
      <c r="E248" s="45" t="s">
        <v>1279</v>
      </c>
      <c r="F248" s="45" t="s">
        <v>1280</v>
      </c>
      <c r="G248" s="46" t="s">
        <v>38</v>
      </c>
      <c r="H248" s="48">
        <v>46090</v>
      </c>
      <c r="I248" s="48">
        <v>46098</v>
      </c>
      <c r="J248" s="44" t="s">
        <v>99</v>
      </c>
      <c r="K248" s="44" t="s">
        <v>123</v>
      </c>
      <c r="L248" s="50" t="s">
        <v>101</v>
      </c>
      <c r="M248" s="50" t="s">
        <v>77</v>
      </c>
      <c r="N248" s="50"/>
      <c r="O248" s="49"/>
      <c r="P248" s="50" t="str">
        <f t="shared" si="12"/>
        <v>ONAY</v>
      </c>
      <c r="Q248" s="28" t="s">
        <v>1281</v>
      </c>
      <c r="R248" s="51" t="str">
        <f t="shared" si="13"/>
        <v/>
      </c>
      <c r="T248" s="41"/>
      <c r="U248" s="29">
        <f>IF($C248&lt;&gt;"",COUNTIF($C$2:C248,C248),"")</f>
        <v>1</v>
      </c>
      <c r="V248" s="29" t="str">
        <f t="shared" si="14"/>
        <v>Prof. Dr. Mehmet Cemalettin AKSOY§1</v>
      </c>
      <c r="W248" s="29">
        <f>IF(U248=1,COUNTIF($U$2:U248,1),"")</f>
        <v>166</v>
      </c>
      <c r="X248" s="29">
        <f t="shared" si="15"/>
        <v>267</v>
      </c>
      <c r="Y248" s="29">
        <f>IF(AND(LEFT($B248,7)="SBA 26/",$D248&lt;&gt;"",$F248&lt;&gt;""),COUNTIFS($D$2:$D248,$D248,$B$2:$B248,"SBA 26/*",$F$2:$F248,"&lt;&gt;"),"")</f>
        <v>11</v>
      </c>
      <c r="Z248" s="29" t="str">
        <f>IF(Y248=1,COUNTIF($Y$2:Y248,1),"")</f>
        <v/>
      </c>
      <c r="AA248" s="29">
        <f>IF(AND(LEFT($B248,7)="SBA 26/",$C248&lt;&gt;"",$F248&lt;&gt;""),COUNTIFS($C$2:$C248,$C248,$B$2:$B248,"SBA 26/*",$F$2:$F248,"&lt;&gt;"),"")</f>
        <v>1</v>
      </c>
      <c r="AB248" s="29">
        <f>IF(AA248=1,COUNTIF($AA$2:AA248,1),"")</f>
        <v>166</v>
      </c>
    </row>
    <row r="249" spans="1:28" ht="141.75" customHeight="1" x14ac:dyDescent="0.2">
      <c r="A249" s="43" t="s">
        <v>1282</v>
      </c>
      <c r="B249" s="43" t="s">
        <v>1283</v>
      </c>
      <c r="C249" s="44" t="s">
        <v>369</v>
      </c>
      <c r="D249" s="44" t="s">
        <v>341</v>
      </c>
      <c r="E249" s="45" t="s">
        <v>1284</v>
      </c>
      <c r="F249" s="45" t="s">
        <v>1285</v>
      </c>
      <c r="G249" s="46" t="s">
        <v>39</v>
      </c>
      <c r="H249" s="48">
        <v>46090</v>
      </c>
      <c r="I249" s="48">
        <v>46098</v>
      </c>
      <c r="J249" s="44" t="s">
        <v>129</v>
      </c>
      <c r="K249" s="44" t="s">
        <v>116</v>
      </c>
      <c r="L249" s="50" t="s">
        <v>101</v>
      </c>
      <c r="M249" s="50" t="s">
        <v>77</v>
      </c>
      <c r="N249" s="50"/>
      <c r="O249" s="49"/>
      <c r="P249" s="50" t="str">
        <f t="shared" si="12"/>
        <v>ONAY</v>
      </c>
      <c r="Q249" s="28" t="s">
        <v>116</v>
      </c>
      <c r="R249" s="51" t="str">
        <f t="shared" si="13"/>
        <v/>
      </c>
      <c r="T249" s="41"/>
      <c r="U249" s="29">
        <f>IF($C249&lt;&gt;"",COUNTIF($C$2:C249,C249),"")</f>
        <v>3</v>
      </c>
      <c r="V249" s="29" t="str">
        <f t="shared" si="14"/>
        <v>Doç. Dr. Başak YALICI ARMAĞAN§3</v>
      </c>
      <c r="W249" s="29" t="str">
        <f>IF(U249=1,COUNTIF($U$2:U249,1),"")</f>
        <v/>
      </c>
      <c r="X249" s="29" t="str">
        <f t="shared" si="15"/>
        <v/>
      </c>
      <c r="Y249" s="29">
        <f>IF(AND(LEFT($B249,7)="SBA 26/",$D249&lt;&gt;"",$F249&lt;&gt;""),COUNTIFS($D$2:$D249,$D249,$B$2:$B249,"SBA 26/*",$F$2:$F249,"&lt;&gt;"),"")</f>
        <v>7</v>
      </c>
      <c r="Z249" s="29" t="str">
        <f>IF(Y249=1,COUNTIF($Y$2:Y249,1),"")</f>
        <v/>
      </c>
      <c r="AA249" s="29">
        <f>IF(AND(LEFT($B249,7)="SBA 26/",$C249&lt;&gt;"",$F249&lt;&gt;""),COUNTIFS($C$2:$C249,$C249,$B$2:$B249,"SBA 26/*",$F$2:$F249,"&lt;&gt;"),"")</f>
        <v>3</v>
      </c>
      <c r="AB249" s="29" t="str">
        <f>IF(AA249=1,COUNTIF($AA$2:AA249,1),"")</f>
        <v/>
      </c>
    </row>
    <row r="250" spans="1:28" ht="111" customHeight="1" x14ac:dyDescent="0.2">
      <c r="A250" s="43" t="s">
        <v>1286</v>
      </c>
      <c r="B250" s="43" t="s">
        <v>1287</v>
      </c>
      <c r="C250" s="44" t="s">
        <v>227</v>
      </c>
      <c r="D250" s="44" t="s">
        <v>228</v>
      </c>
      <c r="E250" s="45" t="s">
        <v>1288</v>
      </c>
      <c r="F250" s="45" t="s">
        <v>1289</v>
      </c>
      <c r="G250" s="46" t="s">
        <v>38</v>
      </c>
      <c r="H250" s="48">
        <v>46090</v>
      </c>
      <c r="I250" s="48">
        <v>46098</v>
      </c>
      <c r="J250" s="44" t="s">
        <v>91</v>
      </c>
      <c r="K250" s="44" t="s">
        <v>123</v>
      </c>
      <c r="L250" s="50" t="s">
        <v>77</v>
      </c>
      <c r="M250" s="50"/>
      <c r="N250" s="50"/>
      <c r="O250" s="49"/>
      <c r="P250" s="50" t="str">
        <f t="shared" si="12"/>
        <v>ONAY</v>
      </c>
      <c r="R250" s="51" t="str">
        <f t="shared" si="13"/>
        <v/>
      </c>
      <c r="T250" s="41"/>
      <c r="U250" s="29">
        <f>IF($C250&lt;&gt;"",COUNTIF($C$2:C250,C250),"")</f>
        <v>6</v>
      </c>
      <c r="V250" s="29" t="str">
        <f t="shared" si="14"/>
        <v>Dr. Öğr. Üyesi Gonca ÖZTEN DERE§6</v>
      </c>
      <c r="W250" s="29" t="str">
        <f>IF(U250=1,COUNTIF($U$2:U250,1),"")</f>
        <v/>
      </c>
      <c r="X250" s="29" t="str">
        <f t="shared" si="15"/>
        <v/>
      </c>
      <c r="Y250" s="29">
        <f>IF(AND(LEFT($B250,7)="SBA 26/",$D250&lt;&gt;"",$F250&lt;&gt;""),COUNTIFS($D$2:$D250,$D250,$B$2:$B250,"SBA 26/*",$F$2:$F250,"&lt;&gt;"),"")</f>
        <v>13</v>
      </c>
      <c r="Z250" s="29" t="str">
        <f>IF(Y250=1,COUNTIF($Y$2:Y250,1),"")</f>
        <v/>
      </c>
      <c r="AA250" s="29">
        <f>IF(AND(LEFT($B250,7)="SBA 26/",$C250&lt;&gt;"",$F250&lt;&gt;""),COUNTIFS($C$2:$C250,$C250,$B$2:$B250,"SBA 26/*",$F$2:$F250,"&lt;&gt;"),"")</f>
        <v>6</v>
      </c>
      <c r="AB250" s="29" t="str">
        <f>IF(AA250=1,COUNTIF($AA$2:AA250,1),"")</f>
        <v/>
      </c>
    </row>
    <row r="251" spans="1:28" ht="63" customHeight="1" x14ac:dyDescent="0.2">
      <c r="A251" s="43" t="s">
        <v>1290</v>
      </c>
      <c r="B251" s="43" t="s">
        <v>1291</v>
      </c>
      <c r="C251" s="44" t="s">
        <v>623</v>
      </c>
      <c r="D251" s="44" t="s">
        <v>169</v>
      </c>
      <c r="E251" s="45" t="s">
        <v>1292</v>
      </c>
      <c r="F251" s="45" t="s">
        <v>1293</v>
      </c>
      <c r="G251" s="46" t="s">
        <v>38</v>
      </c>
      <c r="H251" s="48">
        <v>46090</v>
      </c>
      <c r="I251" s="48">
        <v>46098</v>
      </c>
      <c r="J251" s="44" t="s">
        <v>75</v>
      </c>
      <c r="K251" s="44" t="s">
        <v>76</v>
      </c>
      <c r="L251" s="50" t="s">
        <v>101</v>
      </c>
      <c r="M251" s="50" t="s">
        <v>77</v>
      </c>
      <c r="N251" s="50"/>
      <c r="O251" s="49"/>
      <c r="P251" s="50" t="str">
        <f t="shared" si="12"/>
        <v>ONAY</v>
      </c>
      <c r="Q251" s="28" t="s">
        <v>75</v>
      </c>
      <c r="R251" s="51" t="str">
        <f t="shared" si="13"/>
        <v/>
      </c>
      <c r="T251" s="41"/>
      <c r="U251" s="29">
        <f>IF($C251&lt;&gt;"",COUNTIF($C$2:C251,C251),"")</f>
        <v>2</v>
      </c>
      <c r="V251" s="29" t="str">
        <f t="shared" si="14"/>
        <v>Öğr. Gör. Dr. Aytekin İDİKUT§2</v>
      </c>
      <c r="W251" s="29" t="str">
        <f>IF(U251=1,COUNTIF($U$2:U251,1),"")</f>
        <v/>
      </c>
      <c r="X251" s="29" t="str">
        <f t="shared" si="15"/>
        <v/>
      </c>
      <c r="Y251" s="29">
        <f>IF(AND(LEFT($B251,7)="SBA 26/",$D251&lt;&gt;"",$F251&lt;&gt;""),COUNTIFS($D$2:$D251,$D251,$B$2:$B251,"SBA 26/*",$F$2:$F251,"&lt;&gt;"),"")</f>
        <v>10</v>
      </c>
      <c r="Z251" s="29" t="str">
        <f>IF(Y251=1,COUNTIF($Y$2:Y251,1),"")</f>
        <v/>
      </c>
      <c r="AA251" s="29">
        <f>IF(AND(LEFT($B251,7)="SBA 26/",$C251&lt;&gt;"",$F251&lt;&gt;""),COUNTIFS($C$2:$C251,$C251,$B$2:$B251,"SBA 26/*",$F$2:$F251,"&lt;&gt;"),"")</f>
        <v>2</v>
      </c>
      <c r="AB251" s="29" t="str">
        <f>IF(AA251=1,COUNTIF($AA$2:AA251,1),"")</f>
        <v/>
      </c>
    </row>
    <row r="252" spans="1:28" ht="63" customHeight="1" x14ac:dyDescent="0.2">
      <c r="A252" s="43" t="s">
        <v>1294</v>
      </c>
      <c r="B252" s="43" t="s">
        <v>1295</v>
      </c>
      <c r="C252" s="44" t="s">
        <v>848</v>
      </c>
      <c r="D252" s="44" t="s">
        <v>391</v>
      </c>
      <c r="E252" s="45" t="s">
        <v>1296</v>
      </c>
      <c r="F252" s="45" t="s">
        <v>1297</v>
      </c>
      <c r="G252" s="46" t="s">
        <v>38</v>
      </c>
      <c r="H252" s="48">
        <v>46090</v>
      </c>
      <c r="I252" s="48">
        <v>46098</v>
      </c>
      <c r="J252" s="44" t="s">
        <v>92</v>
      </c>
      <c r="K252" s="44" t="s">
        <v>100</v>
      </c>
      <c r="L252" s="50" t="s">
        <v>77</v>
      </c>
      <c r="M252" s="50"/>
      <c r="N252" s="50"/>
      <c r="O252" s="49"/>
      <c r="P252" s="50" t="str">
        <f t="shared" si="12"/>
        <v>ONAY</v>
      </c>
      <c r="R252" s="51" t="str">
        <f t="shared" si="13"/>
        <v/>
      </c>
      <c r="T252" s="41"/>
      <c r="U252" s="29">
        <f>IF($C252&lt;&gt;"",COUNTIF($C$2:C252,C252),"")</f>
        <v>2</v>
      </c>
      <c r="V252" s="29" t="str">
        <f t="shared" si="14"/>
        <v>Dr. Öğr. Üyesi Barış KAFA§2</v>
      </c>
      <c r="W252" s="29" t="str">
        <f>IF(U252=1,COUNTIF($U$2:U252,1),"")</f>
        <v/>
      </c>
      <c r="X252" s="29" t="str">
        <f t="shared" si="15"/>
        <v/>
      </c>
      <c r="Y252" s="29">
        <f>IF(AND(LEFT($B252,7)="SBA 26/",$D252&lt;&gt;"",$F252&lt;&gt;""),COUNTIFS($D$2:$D252,$D252,$B$2:$B252,"SBA 26/*",$F$2:$F252,"&lt;&gt;"),"")</f>
        <v>12</v>
      </c>
      <c r="Z252" s="29" t="str">
        <f>IF(Y252=1,COUNTIF($Y$2:Y252,1),"")</f>
        <v/>
      </c>
      <c r="AA252" s="29">
        <f>IF(AND(LEFT($B252,7)="SBA 26/",$C252&lt;&gt;"",$F252&lt;&gt;""),COUNTIFS($C$2:$C252,$C252,$B$2:$B252,"SBA 26/*",$F$2:$F252,"&lt;&gt;"),"")</f>
        <v>2</v>
      </c>
      <c r="AB252" s="29" t="str">
        <f>IF(AA252=1,COUNTIF($AA$2:AA252,1),"")</f>
        <v/>
      </c>
    </row>
    <row r="253" spans="1:28" ht="63" customHeight="1" x14ac:dyDescent="0.2">
      <c r="A253" s="43" t="s">
        <v>1298</v>
      </c>
      <c r="B253" s="43" t="s">
        <v>1299</v>
      </c>
      <c r="C253" s="44" t="s">
        <v>1300</v>
      </c>
      <c r="D253" s="44" t="s">
        <v>228</v>
      </c>
      <c r="E253" s="45" t="s">
        <v>1301</v>
      </c>
      <c r="F253" s="45" t="s">
        <v>1302</v>
      </c>
      <c r="G253" s="46" t="s">
        <v>38</v>
      </c>
      <c r="H253" s="48">
        <v>46090</v>
      </c>
      <c r="I253" s="48">
        <v>46098</v>
      </c>
      <c r="J253" s="44" t="s">
        <v>91</v>
      </c>
      <c r="K253" s="44" t="s">
        <v>99</v>
      </c>
      <c r="L253" s="50" t="s">
        <v>172</v>
      </c>
      <c r="M253" s="50"/>
      <c r="N253" s="50"/>
      <c r="O253" s="49"/>
      <c r="P253" s="50" t="str">
        <f t="shared" si="12"/>
        <v>RET</v>
      </c>
      <c r="R253" s="51" t="str">
        <f t="shared" si="13"/>
        <v/>
      </c>
      <c r="T253" s="41"/>
      <c r="U253" s="29">
        <f>IF($C253&lt;&gt;"",COUNTIF($C$2:C253,C253),"")</f>
        <v>1</v>
      </c>
      <c r="V253" s="29" t="str">
        <f t="shared" si="14"/>
        <v>Prof. Dr. Murat GÜLTEKİN§1</v>
      </c>
      <c r="W253" s="29">
        <f>IF(U253=1,COUNTIF($U$2:U253,1),"")</f>
        <v>167</v>
      </c>
      <c r="X253" s="29">
        <f t="shared" si="15"/>
        <v>274</v>
      </c>
      <c r="Y253" s="29">
        <f>IF(AND(LEFT($B253,7)="SBA 26/",$D253&lt;&gt;"",$F253&lt;&gt;""),COUNTIFS($D$2:$D253,$D253,$B$2:$B253,"SBA 26/*",$F$2:$F253,"&lt;&gt;"),"")</f>
        <v>14</v>
      </c>
      <c r="Z253" s="29" t="str">
        <f>IF(Y253=1,COUNTIF($Y$2:Y253,1),"")</f>
        <v/>
      </c>
      <c r="AA253" s="29">
        <f>IF(AND(LEFT($B253,7)="SBA 26/",$C253&lt;&gt;"",$F253&lt;&gt;""),COUNTIFS($C$2:$C253,$C253,$B$2:$B253,"SBA 26/*",$F$2:$F253,"&lt;&gt;"),"")</f>
        <v>1</v>
      </c>
      <c r="AB253" s="29">
        <f>IF(AA253=1,COUNTIF($AA$2:AA253,1),"")</f>
        <v>167</v>
      </c>
    </row>
    <row r="254" spans="1:28" ht="78.75" customHeight="1" x14ac:dyDescent="0.2">
      <c r="A254" s="43" t="s">
        <v>1303</v>
      </c>
      <c r="B254" s="43" t="s">
        <v>1304</v>
      </c>
      <c r="C254" s="44" t="s">
        <v>424</v>
      </c>
      <c r="D254" s="44" t="s">
        <v>364</v>
      </c>
      <c r="E254" s="45" t="s">
        <v>1305</v>
      </c>
      <c r="F254" s="45" t="s">
        <v>1306</v>
      </c>
      <c r="G254" s="46" t="s">
        <v>38</v>
      </c>
      <c r="H254" s="48">
        <v>46090</v>
      </c>
      <c r="I254" s="48">
        <v>46098</v>
      </c>
      <c r="J254" s="44" t="s">
        <v>116</v>
      </c>
      <c r="K254" s="44" t="s">
        <v>92</v>
      </c>
      <c r="L254" s="50" t="s">
        <v>77</v>
      </c>
      <c r="M254" s="50"/>
      <c r="N254" s="50"/>
      <c r="O254" s="49"/>
      <c r="P254" s="50" t="str">
        <f t="shared" si="12"/>
        <v>ONAY</v>
      </c>
      <c r="R254" s="51" t="str">
        <f t="shared" si="13"/>
        <v/>
      </c>
      <c r="T254" s="41"/>
      <c r="U254" s="29">
        <f>IF($C254&lt;&gt;"",COUNTIF($C$2:C254,C254),"")</f>
        <v>2</v>
      </c>
      <c r="V254" s="29" t="str">
        <f t="shared" si="14"/>
        <v>Prof. Dr. Fatma Gökçem YILDIZ SARIKAYA§2</v>
      </c>
      <c r="W254" s="29" t="str">
        <f>IF(U254=1,COUNTIF($U$2:U254,1),"")</f>
        <v/>
      </c>
      <c r="X254" s="29" t="str">
        <f t="shared" si="15"/>
        <v/>
      </c>
      <c r="Y254" s="29">
        <f>IF(AND(LEFT($B254,7)="SBA 26/",$D254&lt;&gt;"",$F254&lt;&gt;""),COUNTIFS($D$2:$D254,$D254,$B$2:$B254,"SBA 26/*",$F$2:$F254,"&lt;&gt;"),"")</f>
        <v>9</v>
      </c>
      <c r="Z254" s="29" t="str">
        <f>IF(Y254=1,COUNTIF($Y$2:Y254,1),"")</f>
        <v/>
      </c>
      <c r="AA254" s="29">
        <f>IF(AND(LEFT($B254,7)="SBA 26/",$C254&lt;&gt;"",$F254&lt;&gt;""),COUNTIFS($C$2:$C254,$C254,$B$2:$B254,"SBA 26/*",$F$2:$F254,"&lt;&gt;"),"")</f>
        <v>2</v>
      </c>
      <c r="AB254" s="29" t="str">
        <f>IF(AA254=1,COUNTIF($AA$2:AA254,1),"")</f>
        <v/>
      </c>
    </row>
    <row r="255" spans="1:28" ht="78.75" customHeight="1" x14ac:dyDescent="0.2">
      <c r="A255" s="43" t="s">
        <v>1307</v>
      </c>
      <c r="B255" s="43" t="s">
        <v>1308</v>
      </c>
      <c r="C255" s="44" t="s">
        <v>652</v>
      </c>
      <c r="D255" s="44" t="s">
        <v>364</v>
      </c>
      <c r="E255" s="45" t="s">
        <v>1309</v>
      </c>
      <c r="F255" s="45" t="s">
        <v>1310</v>
      </c>
      <c r="G255" s="46" t="s">
        <v>38</v>
      </c>
      <c r="H255" s="48">
        <v>46090</v>
      </c>
      <c r="I255" s="48">
        <v>46098</v>
      </c>
      <c r="J255" s="44" t="s">
        <v>108</v>
      </c>
      <c r="K255" s="44" t="s">
        <v>116</v>
      </c>
      <c r="L255" s="50" t="s">
        <v>77</v>
      </c>
      <c r="M255" s="50"/>
      <c r="N255" s="50"/>
      <c r="O255" s="49"/>
      <c r="P255" s="50" t="str">
        <f t="shared" si="12"/>
        <v>ONAY</v>
      </c>
      <c r="R255" s="51" t="str">
        <f t="shared" si="13"/>
        <v/>
      </c>
      <c r="T255" s="41"/>
      <c r="U255" s="29">
        <f>IF($C255&lt;&gt;"",COUNTIF($C$2:C255,C255),"")</f>
        <v>3</v>
      </c>
      <c r="V255" s="29" t="str">
        <f t="shared" si="14"/>
        <v>Prof. Dr. Çağrı Mesut TEMUÇİN§3</v>
      </c>
      <c r="W255" s="29" t="str">
        <f>IF(U255=1,COUNTIF($U$2:U255,1),"")</f>
        <v/>
      </c>
      <c r="X255" s="29" t="str">
        <f t="shared" si="15"/>
        <v/>
      </c>
      <c r="Y255" s="29">
        <f>IF(AND(LEFT($B255,7)="SBA 26/",$D255&lt;&gt;"",$F255&lt;&gt;""),COUNTIFS($D$2:$D255,$D255,$B$2:$B255,"SBA 26/*",$F$2:$F255,"&lt;&gt;"),"")</f>
        <v>10</v>
      </c>
      <c r="Z255" s="29" t="str">
        <f>IF(Y255=1,COUNTIF($Y$2:Y255,1),"")</f>
        <v/>
      </c>
      <c r="AA255" s="29">
        <f>IF(AND(LEFT($B255,7)="SBA 26/",$C255&lt;&gt;"",$F255&lt;&gt;""),COUNTIFS($C$2:$C255,$C255,$B$2:$B255,"SBA 26/*",$F$2:$F255,"&lt;&gt;"),"")</f>
        <v>3</v>
      </c>
      <c r="AB255" s="29" t="str">
        <f>IF(AA255=1,COUNTIF($AA$2:AA255,1),"")</f>
        <v/>
      </c>
    </row>
    <row r="256" spans="1:28" ht="78.75" customHeight="1" x14ac:dyDescent="0.2">
      <c r="A256" s="43" t="s">
        <v>1311</v>
      </c>
      <c r="B256" s="43" t="s">
        <v>1312</v>
      </c>
      <c r="C256" s="44" t="s">
        <v>633</v>
      </c>
      <c r="D256" s="44" t="s">
        <v>228</v>
      </c>
      <c r="E256" s="45" t="s">
        <v>1313</v>
      </c>
      <c r="F256" s="45" t="s">
        <v>1314</v>
      </c>
      <c r="G256" s="46" t="s">
        <v>38</v>
      </c>
      <c r="H256" s="48">
        <v>46090</v>
      </c>
      <c r="I256" s="48">
        <v>46098</v>
      </c>
      <c r="J256" s="44" t="s">
        <v>129</v>
      </c>
      <c r="K256" s="44" t="s">
        <v>84</v>
      </c>
      <c r="L256" s="50" t="s">
        <v>77</v>
      </c>
      <c r="M256" s="50"/>
      <c r="N256" s="50"/>
      <c r="O256" s="49"/>
      <c r="P256" s="50" t="str">
        <f t="shared" si="12"/>
        <v>ONAY</v>
      </c>
      <c r="R256" s="51" t="str">
        <f t="shared" si="13"/>
        <v/>
      </c>
      <c r="T256" s="41"/>
      <c r="U256" s="29">
        <f>IF($C256&lt;&gt;"",COUNTIF($C$2:C256,C256),"")</f>
        <v>3</v>
      </c>
      <c r="V256" s="29" t="str">
        <f t="shared" si="14"/>
        <v>Doç. Dr. Utku AKGÖR§3</v>
      </c>
      <c r="W256" s="29" t="str">
        <f>IF(U256=1,COUNTIF($U$2:U256,1),"")</f>
        <v/>
      </c>
      <c r="X256" s="29" t="str">
        <f t="shared" si="15"/>
        <v/>
      </c>
      <c r="Y256" s="29">
        <f>IF(AND(LEFT($B256,7)="SBA 26/",$D256&lt;&gt;"",$F256&lt;&gt;""),COUNTIFS($D$2:$D256,$D256,$B$2:$B256,"SBA 26/*",$F$2:$F256,"&lt;&gt;"),"")</f>
        <v>15</v>
      </c>
      <c r="Z256" s="29" t="str">
        <f>IF(Y256=1,COUNTIF($Y$2:Y256,1),"")</f>
        <v/>
      </c>
      <c r="AA256" s="29">
        <f>IF(AND(LEFT($B256,7)="SBA 26/",$C256&lt;&gt;"",$F256&lt;&gt;""),COUNTIFS($C$2:$C256,$C256,$B$2:$B256,"SBA 26/*",$F$2:$F256,"&lt;&gt;"),"")</f>
        <v>3</v>
      </c>
      <c r="AB256" s="29" t="str">
        <f>IF(AA256=1,COUNTIF($AA$2:AA256,1),"")</f>
        <v/>
      </c>
    </row>
    <row r="257" spans="1:28" ht="78.75" customHeight="1" x14ac:dyDescent="0.2">
      <c r="A257" s="43" t="s">
        <v>1315</v>
      </c>
      <c r="B257" s="43" t="s">
        <v>1316</v>
      </c>
      <c r="C257" s="44" t="s">
        <v>396</v>
      </c>
      <c r="D257" s="44" t="s">
        <v>397</v>
      </c>
      <c r="E257" s="45" t="s">
        <v>1317</v>
      </c>
      <c r="F257" s="45" t="s">
        <v>1318</v>
      </c>
      <c r="G257" s="46" t="s">
        <v>41</v>
      </c>
      <c r="H257" s="48">
        <v>46090</v>
      </c>
      <c r="I257" s="48">
        <v>46098</v>
      </c>
      <c r="J257" s="44" t="s">
        <v>75</v>
      </c>
      <c r="K257" s="44" t="s">
        <v>84</v>
      </c>
      <c r="L257" s="50" t="s">
        <v>101</v>
      </c>
      <c r="M257" s="50" t="s">
        <v>77</v>
      </c>
      <c r="N257" s="50"/>
      <c r="O257" s="49"/>
      <c r="P257" s="50" t="str">
        <f t="shared" si="12"/>
        <v>ONAY</v>
      </c>
      <c r="Q257" s="28" t="s">
        <v>75</v>
      </c>
      <c r="R257" s="51" t="str">
        <f t="shared" si="13"/>
        <v/>
      </c>
      <c r="T257" s="41"/>
      <c r="U257" s="29">
        <f>IF($C257&lt;&gt;"",COUNTIF($C$2:C257,C257),"")</f>
        <v>4</v>
      </c>
      <c r="V257" s="29" t="str">
        <f t="shared" si="14"/>
        <v>Prof. Dr. Salih Kutay DEMİRKAN§4</v>
      </c>
      <c r="W257" s="29" t="str">
        <f>IF(U257=1,COUNTIF($U$2:U257,1),"")</f>
        <v/>
      </c>
      <c r="X257" s="29" t="str">
        <f t="shared" si="15"/>
        <v/>
      </c>
      <c r="Y257" s="29">
        <f>IF(AND(LEFT($B257,7)="SBA 26/",$D257&lt;&gt;"",$F257&lt;&gt;""),COUNTIFS($D$2:$D257,$D257,$B$2:$B257,"SBA 26/*",$F$2:$F257,"&lt;&gt;"),"")</f>
        <v>10</v>
      </c>
      <c r="Z257" s="29" t="str">
        <f>IF(Y257=1,COUNTIF($Y$2:Y257,1),"")</f>
        <v/>
      </c>
      <c r="AA257" s="29">
        <f>IF(AND(LEFT($B257,7)="SBA 26/",$C257&lt;&gt;"",$F257&lt;&gt;""),COUNTIFS($C$2:$C257,$C257,$B$2:$B257,"SBA 26/*",$F$2:$F257,"&lt;&gt;"),"")</f>
        <v>4</v>
      </c>
      <c r="AB257" s="29" t="str">
        <f>IF(AA257=1,COUNTIF($AA$2:AA257,1),"")</f>
        <v/>
      </c>
    </row>
    <row r="258" spans="1:28" ht="63" customHeight="1" x14ac:dyDescent="0.2">
      <c r="A258" s="43" t="s">
        <v>1319</v>
      </c>
      <c r="B258" s="43" t="s">
        <v>1320</v>
      </c>
      <c r="C258" s="44" t="s">
        <v>1321</v>
      </c>
      <c r="D258" s="44" t="s">
        <v>215</v>
      </c>
      <c r="E258" s="45" t="s">
        <v>1322</v>
      </c>
      <c r="F258" s="45" t="s">
        <v>1323</v>
      </c>
      <c r="G258" s="46" t="s">
        <v>38</v>
      </c>
      <c r="H258" s="48">
        <v>46090</v>
      </c>
      <c r="I258" s="48">
        <v>46098</v>
      </c>
      <c r="J258" s="44" t="s">
        <v>123</v>
      </c>
      <c r="K258" s="44" t="s">
        <v>76</v>
      </c>
      <c r="L258" s="50" t="s">
        <v>101</v>
      </c>
      <c r="M258" s="50" t="s">
        <v>400</v>
      </c>
      <c r="N258" s="50"/>
      <c r="O258" s="49"/>
      <c r="P258" s="50" t="str">
        <f t="shared" ref="P258:P321" si="16">IF(O258&lt;&gt;"",O258, IF(N258&lt;&gt;"",N258, IF(M258&lt;&gt;"",M258, L258)))</f>
        <v>GERİ ÇEKİLDİ</v>
      </c>
      <c r="R258" s="51" t="str">
        <f t="shared" ref="R258:R321" si="17">IF(AND($I258&lt;&gt;"",$I258&gt;=DATE(2026,6,23),COUNTIFS($C:$C,$C258,$I:$I,$I258)&gt;2),"⚠ "&amp;COUNTIFS($C:$C,$C258,$I:$I,$I258)&amp;" BAŞVURU!","")</f>
        <v/>
      </c>
      <c r="T258" s="41"/>
      <c r="U258" s="29">
        <f>IF($C258&lt;&gt;"",COUNTIF($C$2:C258,C258),"")</f>
        <v>1</v>
      </c>
      <c r="V258" s="29" t="str">
        <f t="shared" ref="V258:V321" si="18">IF($C258&lt;&gt;"",C258&amp;"§"&amp;U258,"")</f>
        <v>Dr. Öğr. Üyesi Selen ADİLOĞLU§1</v>
      </c>
      <c r="W258" s="29">
        <f>IF(U258=1,COUNTIF($U$2:U258,1),"")</f>
        <v>168</v>
      </c>
      <c r="X258" s="29">
        <f t="shared" ref="X258:X321" si="19">IF(U258=1,SUMPRODUCT(($U$2:$U$1833=1)*($C$2:$C$1833&lt;C258))+1,"")</f>
        <v>163</v>
      </c>
      <c r="Y258" s="29">
        <f>IF(AND(LEFT($B258,7)="SBA 26/",$D258&lt;&gt;"",$F258&lt;&gt;""),COUNTIFS($D$2:$D258,$D258,$B$2:$B258,"SBA 26/*",$F$2:$F258,"&lt;&gt;"),"")</f>
        <v>4</v>
      </c>
      <c r="Z258" s="29" t="str">
        <f>IF(Y258=1,COUNTIF($Y$2:Y258,1),"")</f>
        <v/>
      </c>
      <c r="AA258" s="29">
        <f>IF(AND(LEFT($B258,7)="SBA 26/",$C258&lt;&gt;"",$F258&lt;&gt;""),COUNTIFS($C$2:$C258,$C258,$B$2:$B258,"SBA 26/*",$F$2:$F258,"&lt;&gt;"),"")</f>
        <v>1</v>
      </c>
      <c r="AB258" s="29">
        <f>IF(AA258=1,COUNTIF($AA$2:AA258,1),"")</f>
        <v>168</v>
      </c>
    </row>
    <row r="259" spans="1:28" ht="80.25" customHeight="1" x14ac:dyDescent="0.2">
      <c r="A259" s="43" t="s">
        <v>1324</v>
      </c>
      <c r="B259" s="43" t="s">
        <v>1325</v>
      </c>
      <c r="C259" s="44" t="s">
        <v>1321</v>
      </c>
      <c r="D259" s="44" t="s">
        <v>215</v>
      </c>
      <c r="E259" s="45" t="s">
        <v>1322</v>
      </c>
      <c r="F259" s="45" t="s">
        <v>1326</v>
      </c>
      <c r="G259" s="46" t="s">
        <v>38</v>
      </c>
      <c r="H259" s="48">
        <v>46090</v>
      </c>
      <c r="I259" s="48">
        <v>46098</v>
      </c>
      <c r="J259" s="44" t="s">
        <v>123</v>
      </c>
      <c r="K259" s="44" t="s">
        <v>99</v>
      </c>
      <c r="L259" s="50" t="s">
        <v>101</v>
      </c>
      <c r="M259" s="50" t="s">
        <v>77</v>
      </c>
      <c r="N259" s="50"/>
      <c r="O259" s="49"/>
      <c r="P259" s="50" t="str">
        <f t="shared" si="16"/>
        <v>ONAY</v>
      </c>
      <c r="Q259" s="28" t="s">
        <v>123</v>
      </c>
      <c r="R259" s="51" t="str">
        <f t="shared" si="17"/>
        <v/>
      </c>
      <c r="T259" s="41"/>
      <c r="U259" s="29">
        <f>IF($C259&lt;&gt;"",COUNTIF($C$2:C259,C259),"")</f>
        <v>2</v>
      </c>
      <c r="V259" s="29" t="str">
        <f t="shared" si="18"/>
        <v>Dr. Öğr. Üyesi Selen ADİLOĞLU§2</v>
      </c>
      <c r="W259" s="29" t="str">
        <f>IF(U259=1,COUNTIF($U$2:U259,1),"")</f>
        <v/>
      </c>
      <c r="X259" s="29" t="str">
        <f t="shared" si="19"/>
        <v/>
      </c>
      <c r="Y259" s="29">
        <f>IF(AND(LEFT($B259,7)="SBA 26/",$D259&lt;&gt;"",$F259&lt;&gt;""),COUNTIFS($D$2:$D259,$D259,$B$2:$B259,"SBA 26/*",$F$2:$F259,"&lt;&gt;"),"")</f>
        <v>5</v>
      </c>
      <c r="Z259" s="29" t="str">
        <f>IF(Y259=1,COUNTIF($Y$2:Y259,1),"")</f>
        <v/>
      </c>
      <c r="AA259" s="29">
        <f>IF(AND(LEFT($B259,7)="SBA 26/",$C259&lt;&gt;"",$F259&lt;&gt;""),COUNTIFS($C$2:$C259,$C259,$B$2:$B259,"SBA 26/*",$F$2:$F259,"&lt;&gt;"),"")</f>
        <v>2</v>
      </c>
      <c r="AB259" s="29" t="str">
        <f>IF(AA259=1,COUNTIF($AA$2:AA259,1),"")</f>
        <v/>
      </c>
    </row>
    <row r="260" spans="1:28" ht="78.75" customHeight="1" x14ac:dyDescent="0.2">
      <c r="A260" s="43" t="s">
        <v>1327</v>
      </c>
      <c r="B260" s="43" t="s">
        <v>1328</v>
      </c>
      <c r="C260" s="44" t="s">
        <v>1329</v>
      </c>
      <c r="D260" s="44" t="s">
        <v>222</v>
      </c>
      <c r="E260" s="45" t="s">
        <v>1330</v>
      </c>
      <c r="F260" s="45" t="s">
        <v>1331</v>
      </c>
      <c r="G260" s="46" t="s">
        <v>38</v>
      </c>
      <c r="H260" s="48">
        <v>46090</v>
      </c>
      <c r="I260" s="48">
        <v>46098</v>
      </c>
      <c r="J260" s="44" t="s">
        <v>76</v>
      </c>
      <c r="K260" s="44" t="s">
        <v>100</v>
      </c>
      <c r="L260" s="50" t="s">
        <v>77</v>
      </c>
      <c r="M260" s="50"/>
      <c r="N260" s="50"/>
      <c r="O260" s="49"/>
      <c r="P260" s="50" t="str">
        <f t="shared" si="16"/>
        <v>ONAY</v>
      </c>
      <c r="R260" s="51" t="str">
        <f t="shared" si="17"/>
        <v/>
      </c>
      <c r="T260" s="41"/>
      <c r="U260" s="29">
        <f>IF($C260&lt;&gt;"",COUNTIF($C$2:C260,C260),"")</f>
        <v>1</v>
      </c>
      <c r="V260" s="29" t="str">
        <f t="shared" si="18"/>
        <v>Prof. Dr. Bülent Enis ŞEKEREL§1</v>
      </c>
      <c r="W260" s="29">
        <f>IF(U260=1,COUNTIF($U$2:U260,1),"")</f>
        <v>169</v>
      </c>
      <c r="X260" s="29">
        <f t="shared" si="19"/>
        <v>211</v>
      </c>
      <c r="Y260" s="29">
        <f>IF(AND(LEFT($B260,7)="SBA 26/",$D260&lt;&gt;"",$F260&lt;&gt;""),COUNTIFS($D$2:$D260,$D260,$B$2:$B260,"SBA 26/*",$F$2:$F260,"&lt;&gt;"),"")</f>
        <v>33</v>
      </c>
      <c r="Z260" s="29" t="str">
        <f>IF(Y260=1,COUNTIF($Y$2:Y260,1),"")</f>
        <v/>
      </c>
      <c r="AA260" s="29">
        <f>IF(AND(LEFT($B260,7)="SBA 26/",$C260&lt;&gt;"",$F260&lt;&gt;""),COUNTIFS($C$2:$C260,$C260,$B$2:$B260,"SBA 26/*",$F$2:$F260,"&lt;&gt;"),"")</f>
        <v>1</v>
      </c>
      <c r="AB260" s="29">
        <f>IF(AA260=1,COUNTIF($AA$2:AA260,1),"")</f>
        <v>169</v>
      </c>
    </row>
    <row r="261" spans="1:28" ht="94.5" customHeight="1" x14ac:dyDescent="0.2">
      <c r="A261" s="43" t="s">
        <v>1332</v>
      </c>
      <c r="B261" s="43" t="s">
        <v>1333</v>
      </c>
      <c r="C261" s="44" t="s">
        <v>221</v>
      </c>
      <c r="D261" s="44" t="s">
        <v>222</v>
      </c>
      <c r="E261" s="45" t="s">
        <v>1334</v>
      </c>
      <c r="F261" s="45" t="s">
        <v>1335</v>
      </c>
      <c r="G261" s="46" t="s">
        <v>38</v>
      </c>
      <c r="H261" s="48">
        <v>46090</v>
      </c>
      <c r="I261" s="48">
        <v>46098</v>
      </c>
      <c r="J261" s="44" t="s">
        <v>75</v>
      </c>
      <c r="K261" s="44" t="s">
        <v>91</v>
      </c>
      <c r="L261" s="50" t="s">
        <v>101</v>
      </c>
      <c r="M261" s="50" t="s">
        <v>101</v>
      </c>
      <c r="N261" s="50" t="s">
        <v>77</v>
      </c>
      <c r="O261" s="49"/>
      <c r="P261" s="50" t="str">
        <f t="shared" si="16"/>
        <v>ONAY</v>
      </c>
      <c r="Q261" s="28" t="s">
        <v>75</v>
      </c>
      <c r="R261" s="51" t="str">
        <f t="shared" si="17"/>
        <v/>
      </c>
      <c r="T261" s="41"/>
      <c r="U261" s="29">
        <f>IF($C261&lt;&gt;"",COUNTIF($C$2:C261,C261),"")</f>
        <v>2</v>
      </c>
      <c r="V261" s="29" t="str">
        <f t="shared" si="18"/>
        <v>Prof. Dr. Seza ÖZEN§2</v>
      </c>
      <c r="W261" s="29" t="str">
        <f>IF(U261=1,COUNTIF($U$2:U261,1),"")</f>
        <v/>
      </c>
      <c r="X261" s="29" t="str">
        <f t="shared" si="19"/>
        <v/>
      </c>
      <c r="Y261" s="29">
        <f>IF(AND(LEFT($B261,7)="SBA 26/",$D261&lt;&gt;"",$F261&lt;&gt;""),COUNTIFS($D$2:$D261,$D261,$B$2:$B261,"SBA 26/*",$F$2:$F261,"&lt;&gt;"),"")</f>
        <v>34</v>
      </c>
      <c r="Z261" s="29" t="str">
        <f>IF(Y261=1,COUNTIF($Y$2:Y261,1),"")</f>
        <v/>
      </c>
      <c r="AA261" s="29">
        <f>IF(AND(LEFT($B261,7)="SBA 26/",$C261&lt;&gt;"",$F261&lt;&gt;""),COUNTIFS($C$2:$C261,$C261,$B$2:$B261,"SBA 26/*",$F$2:$F261,"&lt;&gt;"),"")</f>
        <v>2</v>
      </c>
      <c r="AB261" s="29" t="str">
        <f>IF(AA261=1,COUNTIF($AA$2:AA261,1),"")</f>
        <v/>
      </c>
    </row>
    <row r="262" spans="1:28" ht="96" customHeight="1" x14ac:dyDescent="0.2">
      <c r="A262" s="43" t="s">
        <v>1336</v>
      </c>
      <c r="B262" s="43" t="s">
        <v>1337</v>
      </c>
      <c r="C262" s="44" t="s">
        <v>1338</v>
      </c>
      <c r="D262" s="44" t="s">
        <v>222</v>
      </c>
      <c r="E262" s="45" t="s">
        <v>1339</v>
      </c>
      <c r="F262" s="45" t="s">
        <v>1340</v>
      </c>
      <c r="G262" s="46" t="s">
        <v>38</v>
      </c>
      <c r="H262" s="48">
        <v>46090</v>
      </c>
      <c r="I262" s="48">
        <v>46098</v>
      </c>
      <c r="J262" s="44" t="s">
        <v>100</v>
      </c>
      <c r="K262" s="44" t="s">
        <v>116</v>
      </c>
      <c r="L262" s="50" t="s">
        <v>77</v>
      </c>
      <c r="M262" s="50"/>
      <c r="N262" s="50"/>
      <c r="O262" s="49"/>
      <c r="P262" s="50" t="str">
        <f t="shared" si="16"/>
        <v>ONAY</v>
      </c>
      <c r="R262" s="51" t="str">
        <f t="shared" si="17"/>
        <v/>
      </c>
      <c r="T262" s="41"/>
      <c r="U262" s="29">
        <f>IF($C262&lt;&gt;"",COUNTIF($C$2:C262,C262),"")</f>
        <v>1</v>
      </c>
      <c r="V262" s="29" t="str">
        <f t="shared" si="18"/>
        <v>Doç. Dr. Leman AKCAN YILDIZ§1</v>
      </c>
      <c r="W262" s="29">
        <f>IF(U262=1,COUNTIF($U$2:U262,1),"")</f>
        <v>170</v>
      </c>
      <c r="X262" s="29">
        <f t="shared" si="19"/>
        <v>78</v>
      </c>
      <c r="Y262" s="29">
        <f>IF(AND(LEFT($B262,7)="SBA 26/",$D262&lt;&gt;"",$F262&lt;&gt;""),COUNTIFS($D$2:$D262,$D262,$B$2:$B262,"SBA 26/*",$F$2:$F262,"&lt;&gt;"),"")</f>
        <v>35</v>
      </c>
      <c r="Z262" s="29" t="str">
        <f>IF(Y262=1,COUNTIF($Y$2:Y262,1),"")</f>
        <v/>
      </c>
      <c r="AA262" s="29">
        <f>IF(AND(LEFT($B262,7)="SBA 26/",$C262&lt;&gt;"",$F262&lt;&gt;""),COUNTIFS($C$2:$C262,$C262,$B$2:$B262,"SBA 26/*",$F$2:$F262,"&lt;&gt;"),"")</f>
        <v>1</v>
      </c>
      <c r="AB262" s="29">
        <f>IF(AA262=1,COUNTIF($AA$2:AA262,1),"")</f>
        <v>170</v>
      </c>
    </row>
    <row r="263" spans="1:28" ht="95.25" customHeight="1" x14ac:dyDescent="0.2">
      <c r="A263" s="43" t="s">
        <v>1341</v>
      </c>
      <c r="B263" s="43" t="s">
        <v>1342</v>
      </c>
      <c r="C263" s="44" t="s">
        <v>1343</v>
      </c>
      <c r="D263" s="44" t="s">
        <v>1344</v>
      </c>
      <c r="E263" s="45" t="s">
        <v>1345</v>
      </c>
      <c r="F263" s="45" t="s">
        <v>1346</v>
      </c>
      <c r="G263" s="46" t="s">
        <v>39</v>
      </c>
      <c r="H263" s="48">
        <v>46090</v>
      </c>
      <c r="I263" s="48">
        <v>46098</v>
      </c>
      <c r="J263" s="44" t="s">
        <v>108</v>
      </c>
      <c r="K263" s="44" t="s">
        <v>129</v>
      </c>
      <c r="L263" s="50" t="s">
        <v>77</v>
      </c>
      <c r="M263" s="50"/>
      <c r="N263" s="50"/>
      <c r="O263" s="49"/>
      <c r="P263" s="50" t="str">
        <f t="shared" si="16"/>
        <v>ONAY</v>
      </c>
      <c r="R263" s="51" t="str">
        <f t="shared" si="17"/>
        <v/>
      </c>
      <c r="T263" s="41"/>
      <c r="U263" s="29">
        <f>IF($C263&lt;&gt;"",COUNTIF($C$2:C263,C263),"")</f>
        <v>1</v>
      </c>
      <c r="V263" s="29" t="str">
        <f t="shared" si="18"/>
        <v>Prof. Dr. Ali Rıza TÜMER§1</v>
      </c>
      <c r="W263" s="29">
        <f>IF(U263=1,COUNTIF($U$2:U263,1),"")</f>
        <v>171</v>
      </c>
      <c r="X263" s="29">
        <f t="shared" si="19"/>
        <v>192</v>
      </c>
      <c r="Y263" s="29">
        <f>IF(AND(LEFT($B263,7)="SBA 26/",$D263&lt;&gt;"",$F263&lt;&gt;""),COUNTIFS($D$2:$D263,$D263,$B$2:$B263,"SBA 26/*",$F$2:$F263,"&lt;&gt;"),"")</f>
        <v>1</v>
      </c>
      <c r="Z263" s="29">
        <f>IF(Y263=1,COUNTIF($Y$2:Y263,1),"")</f>
        <v>58</v>
      </c>
      <c r="AA263" s="29">
        <f>IF(AND(LEFT($B263,7)="SBA 26/",$C263&lt;&gt;"",$F263&lt;&gt;""),COUNTIFS($C$2:$C263,$C263,$B$2:$B263,"SBA 26/*",$F$2:$F263,"&lt;&gt;"),"")</f>
        <v>1</v>
      </c>
      <c r="AB263" s="29">
        <f>IF(AA263=1,COUNTIF($AA$2:AA263,1),"")</f>
        <v>171</v>
      </c>
    </row>
    <row r="264" spans="1:28" ht="238.5" customHeight="1" x14ac:dyDescent="0.2">
      <c r="A264" s="43" t="s">
        <v>1347</v>
      </c>
      <c r="B264" s="43" t="s">
        <v>1348</v>
      </c>
      <c r="C264" s="44" t="s">
        <v>209</v>
      </c>
      <c r="D264" s="44" t="s">
        <v>133</v>
      </c>
      <c r="E264" s="45" t="s">
        <v>1349</v>
      </c>
      <c r="F264" s="45" t="s">
        <v>1350</v>
      </c>
      <c r="G264" s="46" t="s">
        <v>38</v>
      </c>
      <c r="H264" s="48">
        <v>46090</v>
      </c>
      <c r="I264" s="48">
        <v>46098</v>
      </c>
      <c r="J264" s="44" t="s">
        <v>99</v>
      </c>
      <c r="K264" s="44" t="s">
        <v>92</v>
      </c>
      <c r="L264" s="50" t="s">
        <v>77</v>
      </c>
      <c r="M264" s="50"/>
      <c r="N264" s="50"/>
      <c r="O264" s="49"/>
      <c r="P264" s="50" t="str">
        <f t="shared" si="16"/>
        <v>ONAY</v>
      </c>
      <c r="R264" s="51" t="str">
        <f t="shared" si="17"/>
        <v/>
      </c>
      <c r="T264" s="41"/>
      <c r="U264" s="29">
        <f>IF($C264&lt;&gt;"",COUNTIF($C$2:C264,C264),"")</f>
        <v>2</v>
      </c>
      <c r="V264" s="29" t="str">
        <f t="shared" si="18"/>
        <v>Doç. Dr. Dilek ÜNAL§2</v>
      </c>
      <c r="W264" s="29" t="str">
        <f>IF(U264=1,COUNTIF($U$2:U264,1),"")</f>
        <v/>
      </c>
      <c r="X264" s="29" t="str">
        <f t="shared" si="19"/>
        <v/>
      </c>
      <c r="Y264" s="29">
        <f>IF(AND(LEFT($B264,7)="SBA 26/",$D264&lt;&gt;"",$F264&lt;&gt;""),COUNTIFS($D$2:$D264,$D264,$B$2:$B264,"SBA 26/*",$F$2:$F264,"&lt;&gt;"),"")</f>
        <v>6</v>
      </c>
      <c r="Z264" s="29" t="str">
        <f>IF(Y264=1,COUNTIF($Y$2:Y264,1),"")</f>
        <v/>
      </c>
      <c r="AA264" s="29">
        <f>IF(AND(LEFT($B264,7)="SBA 26/",$C264&lt;&gt;"",$F264&lt;&gt;""),COUNTIFS($C$2:$C264,$C264,$B$2:$B264,"SBA 26/*",$F$2:$F264,"&lt;&gt;"),"")</f>
        <v>2</v>
      </c>
      <c r="AB264" s="29" t="str">
        <f>IF(AA264=1,COUNTIF($AA$2:AA264,1),"")</f>
        <v/>
      </c>
    </row>
    <row r="265" spans="1:28" ht="63" customHeight="1" x14ac:dyDescent="0.2">
      <c r="A265" s="43" t="s">
        <v>1351</v>
      </c>
      <c r="B265" s="43" t="s">
        <v>1352</v>
      </c>
      <c r="C265" s="44" t="s">
        <v>1353</v>
      </c>
      <c r="D265" s="44" t="s">
        <v>113</v>
      </c>
      <c r="E265" s="45" t="s">
        <v>1354</v>
      </c>
      <c r="F265" s="45" t="s">
        <v>1355</v>
      </c>
      <c r="G265" s="46" t="s">
        <v>38</v>
      </c>
      <c r="H265" s="48">
        <v>46090</v>
      </c>
      <c r="I265" s="48">
        <v>46098</v>
      </c>
      <c r="J265" s="44" t="s">
        <v>123</v>
      </c>
      <c r="K265" s="44" t="s">
        <v>84</v>
      </c>
      <c r="L265" s="50" t="s">
        <v>101</v>
      </c>
      <c r="M265" s="50" t="s">
        <v>77</v>
      </c>
      <c r="N265" s="50"/>
      <c r="O265" s="49"/>
      <c r="P265" s="50" t="str">
        <f t="shared" si="16"/>
        <v>ONAY</v>
      </c>
      <c r="Q265" s="28" t="s">
        <v>84</v>
      </c>
      <c r="R265" s="51" t="str">
        <f t="shared" si="17"/>
        <v/>
      </c>
      <c r="T265" s="41"/>
      <c r="U265" s="29">
        <f>IF($C265&lt;&gt;"",COUNTIF($C$2:C265,C265),"")</f>
        <v>1</v>
      </c>
      <c r="V265" s="29" t="str">
        <f t="shared" si="18"/>
        <v>Prof. Dr. Burcu Balam DOĞU§1</v>
      </c>
      <c r="W265" s="29">
        <f>IF(U265=1,COUNTIF($U$2:U265,1),"")</f>
        <v>172</v>
      </c>
      <c r="X265" s="29">
        <f t="shared" si="19"/>
        <v>208</v>
      </c>
      <c r="Y265" s="29">
        <f>IF(AND(LEFT($B265,7)="SBA 26/",$D265&lt;&gt;"",$F265&lt;&gt;""),COUNTIFS($D$2:$D265,$D265,$B$2:$B265,"SBA 26/*",$F$2:$F265,"&lt;&gt;"),"")</f>
        <v>34</v>
      </c>
      <c r="Z265" s="29" t="str">
        <f>IF(Y265=1,COUNTIF($Y$2:Y265,1),"")</f>
        <v/>
      </c>
      <c r="AA265" s="29">
        <f>IF(AND(LEFT($B265,7)="SBA 26/",$C265&lt;&gt;"",$F265&lt;&gt;""),COUNTIFS($C$2:$C265,$C265,$B$2:$B265,"SBA 26/*",$F$2:$F265,"&lt;&gt;"),"")</f>
        <v>1</v>
      </c>
      <c r="AB265" s="29">
        <f>IF(AA265=1,COUNTIF($AA$2:AA265,1),"")</f>
        <v>172</v>
      </c>
    </row>
    <row r="266" spans="1:28" ht="63" customHeight="1" x14ac:dyDescent="0.2">
      <c r="A266" s="43" t="s">
        <v>1356</v>
      </c>
      <c r="B266" s="43" t="s">
        <v>1357</v>
      </c>
      <c r="C266" s="44" t="s">
        <v>1353</v>
      </c>
      <c r="D266" s="44" t="s">
        <v>113</v>
      </c>
      <c r="E266" s="45" t="s">
        <v>1354</v>
      </c>
      <c r="F266" s="45" t="s">
        <v>1358</v>
      </c>
      <c r="G266" s="46" t="s">
        <v>38</v>
      </c>
      <c r="H266" s="48">
        <v>46090</v>
      </c>
      <c r="I266" s="48">
        <v>46098</v>
      </c>
      <c r="J266" s="44" t="s">
        <v>123</v>
      </c>
      <c r="K266" s="44" t="s">
        <v>84</v>
      </c>
      <c r="L266" s="50" t="s">
        <v>101</v>
      </c>
      <c r="M266" s="50" t="s">
        <v>77</v>
      </c>
      <c r="N266" s="50"/>
      <c r="O266" s="49"/>
      <c r="P266" s="50" t="str">
        <f t="shared" si="16"/>
        <v>ONAY</v>
      </c>
      <c r="Q266" s="28" t="s">
        <v>84</v>
      </c>
      <c r="R266" s="51" t="str">
        <f t="shared" si="17"/>
        <v/>
      </c>
      <c r="T266" s="41"/>
      <c r="U266" s="29">
        <f>IF($C266&lt;&gt;"",COUNTIF($C$2:C266,C266),"")</f>
        <v>2</v>
      </c>
      <c r="V266" s="29" t="str">
        <f t="shared" si="18"/>
        <v>Prof. Dr. Burcu Balam DOĞU§2</v>
      </c>
      <c r="W266" s="29" t="str">
        <f>IF(U266=1,COUNTIF($U$2:U266,1),"")</f>
        <v/>
      </c>
      <c r="X266" s="29" t="str">
        <f t="shared" si="19"/>
        <v/>
      </c>
      <c r="Y266" s="29">
        <f>IF(AND(LEFT($B266,7)="SBA 26/",$D266&lt;&gt;"",$F266&lt;&gt;""),COUNTIFS($D$2:$D266,$D266,$B$2:$B266,"SBA 26/*",$F$2:$F266,"&lt;&gt;"),"")</f>
        <v>35</v>
      </c>
      <c r="Z266" s="29" t="str">
        <f>IF(Y266=1,COUNTIF($Y$2:Y266,1),"")</f>
        <v/>
      </c>
      <c r="AA266" s="29">
        <f>IF(AND(LEFT($B266,7)="SBA 26/",$C266&lt;&gt;"",$F266&lt;&gt;""),COUNTIFS($C$2:$C266,$C266,$B$2:$B266,"SBA 26/*",$F$2:$F266,"&lt;&gt;"),"")</f>
        <v>2</v>
      </c>
      <c r="AB266" s="29" t="str">
        <f>IF(AA266=1,COUNTIF($AA$2:AA266,1),"")</f>
        <v/>
      </c>
    </row>
    <row r="267" spans="1:28" ht="63" customHeight="1" x14ac:dyDescent="0.2">
      <c r="A267" s="43" t="s">
        <v>1359</v>
      </c>
      <c r="B267" s="43" t="s">
        <v>1360</v>
      </c>
      <c r="C267" s="44" t="s">
        <v>202</v>
      </c>
      <c r="D267" s="44" t="s">
        <v>203</v>
      </c>
      <c r="E267" s="45" t="s">
        <v>1361</v>
      </c>
      <c r="F267" s="45" t="s">
        <v>1362</v>
      </c>
      <c r="G267" s="46" t="s">
        <v>41</v>
      </c>
      <c r="H267" s="48">
        <v>46090</v>
      </c>
      <c r="I267" s="48">
        <v>46098</v>
      </c>
      <c r="J267" s="44" t="s">
        <v>99</v>
      </c>
      <c r="K267" s="44" t="s">
        <v>100</v>
      </c>
      <c r="L267" s="50" t="s">
        <v>101</v>
      </c>
      <c r="M267" s="50" t="s">
        <v>77</v>
      </c>
      <c r="N267" s="50"/>
      <c r="O267" s="49"/>
      <c r="P267" s="50" t="str">
        <f t="shared" si="16"/>
        <v>ONAY</v>
      </c>
      <c r="Q267" s="28" t="s">
        <v>100</v>
      </c>
      <c r="R267" s="51" t="str">
        <f t="shared" si="17"/>
        <v/>
      </c>
      <c r="T267" s="41"/>
      <c r="U267" s="29">
        <f>IF($C267&lt;&gt;"",COUNTIF($C$2:C267,C267),"")</f>
        <v>3</v>
      </c>
      <c r="V267" s="29" t="str">
        <f t="shared" si="18"/>
        <v>Prof. Dr. Oğuz IŞIK§3</v>
      </c>
      <c r="W267" s="29" t="str">
        <f>IF(U267=1,COUNTIF($U$2:U267,1),"")</f>
        <v/>
      </c>
      <c r="X267" s="29" t="str">
        <f t="shared" si="19"/>
        <v/>
      </c>
      <c r="Y267" s="29">
        <f>IF(AND(LEFT($B267,7)="SBA 26/",$D267&lt;&gt;"",$F267&lt;&gt;""),COUNTIFS($D$2:$D267,$D267,$B$2:$B267,"SBA 26/*",$F$2:$F267,"&lt;&gt;"),"")</f>
        <v>4</v>
      </c>
      <c r="Z267" s="29" t="str">
        <f>IF(Y267=1,COUNTIF($Y$2:Y267,1),"")</f>
        <v/>
      </c>
      <c r="AA267" s="29">
        <f>IF(AND(LEFT($B267,7)="SBA 26/",$C267&lt;&gt;"",$F267&lt;&gt;""),COUNTIFS($C$2:$C267,$C267,$B$2:$B267,"SBA 26/*",$F$2:$F267,"&lt;&gt;"),"")</f>
        <v>3</v>
      </c>
      <c r="AB267" s="29" t="str">
        <f>IF(AA267=1,COUNTIF($AA$2:AA267,1),"")</f>
        <v/>
      </c>
    </row>
    <row r="268" spans="1:28" ht="78.75" customHeight="1" x14ac:dyDescent="0.2">
      <c r="A268" s="43" t="s">
        <v>1363</v>
      </c>
      <c r="B268" s="43" t="s">
        <v>1364</v>
      </c>
      <c r="C268" s="44" t="s">
        <v>1365</v>
      </c>
      <c r="D268" s="44" t="s">
        <v>539</v>
      </c>
      <c r="E268" s="45" t="s">
        <v>1366</v>
      </c>
      <c r="F268" s="45" t="s">
        <v>1367</v>
      </c>
      <c r="G268" s="46" t="s">
        <v>39</v>
      </c>
      <c r="H268" s="48">
        <v>46090</v>
      </c>
      <c r="I268" s="48">
        <v>46098</v>
      </c>
      <c r="J268" s="44" t="s">
        <v>123</v>
      </c>
      <c r="K268" s="44" t="s">
        <v>116</v>
      </c>
      <c r="L268" s="50" t="s">
        <v>101</v>
      </c>
      <c r="M268" s="50" t="s">
        <v>77</v>
      </c>
      <c r="N268" s="50"/>
      <c r="O268" s="49"/>
      <c r="P268" s="50" t="str">
        <f t="shared" si="16"/>
        <v>ONAY</v>
      </c>
      <c r="Q268" s="28" t="s">
        <v>123</v>
      </c>
      <c r="R268" s="51" t="str">
        <f t="shared" si="17"/>
        <v/>
      </c>
      <c r="T268" s="41"/>
      <c r="U268" s="29">
        <f>IF($C268&lt;&gt;"",COUNTIF($C$2:C268,C268),"")</f>
        <v>1</v>
      </c>
      <c r="V268" s="29" t="str">
        <f t="shared" si="18"/>
        <v>Doç. Dr. Emel Tuğba ATAMAN DURUEL§1</v>
      </c>
      <c r="W268" s="29">
        <f>IF(U268=1,COUNTIF($U$2:U268,1),"")</f>
        <v>173</v>
      </c>
      <c r="X268" s="29">
        <f t="shared" si="19"/>
        <v>49</v>
      </c>
      <c r="Y268" s="29">
        <f>IF(AND(LEFT($B268,7)="SBA 26/",$D268&lt;&gt;"",$F268&lt;&gt;""),COUNTIFS($D$2:$D268,$D268,$B$2:$B268,"SBA 26/*",$F$2:$F268,"&lt;&gt;"),"")</f>
        <v>4</v>
      </c>
      <c r="Z268" s="29" t="str">
        <f>IF(Y268=1,COUNTIF($Y$2:Y268,1),"")</f>
        <v/>
      </c>
      <c r="AA268" s="29">
        <f>IF(AND(LEFT($B268,7)="SBA 26/",$C268&lt;&gt;"",$F268&lt;&gt;""),COUNTIFS($C$2:$C268,$C268,$B$2:$B268,"SBA 26/*",$F$2:$F268,"&lt;&gt;"),"")</f>
        <v>1</v>
      </c>
      <c r="AB268" s="29">
        <f>IF(AA268=1,COUNTIF($AA$2:AA268,1),"")</f>
        <v>173</v>
      </c>
    </row>
    <row r="269" spans="1:28" ht="63" customHeight="1" x14ac:dyDescent="0.2">
      <c r="A269" s="43" t="s">
        <v>1368</v>
      </c>
      <c r="B269" s="43" t="s">
        <v>1369</v>
      </c>
      <c r="C269" s="44" t="s">
        <v>1238</v>
      </c>
      <c r="D269" s="44" t="s">
        <v>414</v>
      </c>
      <c r="E269" s="45" t="s">
        <v>1370</v>
      </c>
      <c r="F269" s="45" t="s">
        <v>1371</v>
      </c>
      <c r="G269" s="46" t="s">
        <v>39</v>
      </c>
      <c r="H269" s="48">
        <v>46090</v>
      </c>
      <c r="I269" s="48">
        <v>46098</v>
      </c>
      <c r="J269" s="44" t="s">
        <v>123</v>
      </c>
      <c r="K269" s="44" t="s">
        <v>116</v>
      </c>
      <c r="L269" s="50" t="s">
        <v>77</v>
      </c>
      <c r="M269" s="50"/>
      <c r="N269" s="50"/>
      <c r="O269" s="49"/>
      <c r="P269" s="50" t="str">
        <f t="shared" si="16"/>
        <v>ONAY</v>
      </c>
      <c r="R269" s="51" t="str">
        <f t="shared" si="17"/>
        <v/>
      </c>
      <c r="T269" s="41"/>
      <c r="U269" s="29">
        <f>IF($C269&lt;&gt;"",COUNTIF($C$2:C269,C269),"")</f>
        <v>2</v>
      </c>
      <c r="V269" s="29" t="str">
        <f t="shared" si="18"/>
        <v>Prof. Dr. Güliz AKTAŞ§2</v>
      </c>
      <c r="W269" s="29" t="str">
        <f>IF(U269=1,COUNTIF($U$2:U269,1),"")</f>
        <v/>
      </c>
      <c r="X269" s="29" t="str">
        <f t="shared" si="19"/>
        <v/>
      </c>
      <c r="Y269" s="29">
        <f>IF(AND(LEFT($B269,7)="SBA 26/",$D269&lt;&gt;"",$F269&lt;&gt;""),COUNTIFS($D$2:$D269,$D269,$B$2:$B269,"SBA 26/*",$F$2:$F269,"&lt;&gt;"),"")</f>
        <v>4</v>
      </c>
      <c r="Z269" s="29" t="str">
        <f>IF(Y269=1,COUNTIF($Y$2:Y269,1),"")</f>
        <v/>
      </c>
      <c r="AA269" s="29">
        <f>IF(AND(LEFT($B269,7)="SBA 26/",$C269&lt;&gt;"",$F269&lt;&gt;""),COUNTIFS($C$2:$C269,$C269,$B$2:$B269,"SBA 26/*",$F$2:$F269,"&lt;&gt;"),"")</f>
        <v>2</v>
      </c>
      <c r="AB269" s="29" t="str">
        <f>IF(AA269=1,COUNTIF($AA$2:AA269,1),"")</f>
        <v/>
      </c>
    </row>
    <row r="270" spans="1:28" ht="78.75" customHeight="1" x14ac:dyDescent="0.2">
      <c r="A270" s="43" t="s">
        <v>1372</v>
      </c>
      <c r="B270" s="43" t="s">
        <v>1373</v>
      </c>
      <c r="C270" s="44" t="s">
        <v>1374</v>
      </c>
      <c r="D270" s="44" t="s">
        <v>222</v>
      </c>
      <c r="E270" s="45" t="s">
        <v>1375</v>
      </c>
      <c r="F270" s="45" t="s">
        <v>1376</v>
      </c>
      <c r="G270" s="46" t="s">
        <v>38</v>
      </c>
      <c r="H270" s="48">
        <v>46090</v>
      </c>
      <c r="I270" s="48">
        <v>46098</v>
      </c>
      <c r="J270" s="44" t="s">
        <v>108</v>
      </c>
      <c r="K270" s="44" t="s">
        <v>76</v>
      </c>
      <c r="L270" s="50" t="s">
        <v>77</v>
      </c>
      <c r="M270" s="50"/>
      <c r="N270" s="50"/>
      <c r="O270" s="49"/>
      <c r="P270" s="50" t="str">
        <f t="shared" si="16"/>
        <v>ONAY</v>
      </c>
      <c r="R270" s="51" t="str">
        <f t="shared" si="17"/>
        <v/>
      </c>
      <c r="T270" s="41"/>
      <c r="U270" s="29">
        <f>IF($C270&lt;&gt;"",COUNTIF($C$2:C270,C270),"")</f>
        <v>1</v>
      </c>
      <c r="V270" s="29" t="str">
        <f t="shared" si="18"/>
        <v>Doç. Dr. Hayriye HIZARCIOĞLU GÜLŞEN§1</v>
      </c>
      <c r="W270" s="29">
        <f>IF(U270=1,COUNTIF($U$2:U270,1),"")</f>
        <v>174</v>
      </c>
      <c r="X270" s="29">
        <f t="shared" si="19"/>
        <v>67</v>
      </c>
      <c r="Y270" s="29">
        <f>IF(AND(LEFT($B270,7)="SBA 26/",$D270&lt;&gt;"",$F270&lt;&gt;""),COUNTIFS($D$2:$D270,$D270,$B$2:$B270,"SBA 26/*",$F$2:$F270,"&lt;&gt;"),"")</f>
        <v>36</v>
      </c>
      <c r="Z270" s="29" t="str">
        <f>IF(Y270=1,COUNTIF($Y$2:Y270,1),"")</f>
        <v/>
      </c>
      <c r="AA270" s="29">
        <f>IF(AND(LEFT($B270,7)="SBA 26/",$C270&lt;&gt;"",$F270&lt;&gt;""),COUNTIFS($C$2:$C270,$C270,$B$2:$B270,"SBA 26/*",$F$2:$F270,"&lt;&gt;"),"")</f>
        <v>1</v>
      </c>
      <c r="AB270" s="29">
        <f>IF(AA270=1,COUNTIF($AA$2:AA270,1),"")</f>
        <v>174</v>
      </c>
    </row>
    <row r="271" spans="1:28" ht="78.75" customHeight="1" x14ac:dyDescent="0.2">
      <c r="A271" s="43" t="s">
        <v>1377</v>
      </c>
      <c r="B271" s="43" t="s">
        <v>1378</v>
      </c>
      <c r="C271" s="44" t="s">
        <v>1379</v>
      </c>
      <c r="D271" s="44" t="s">
        <v>222</v>
      </c>
      <c r="E271" s="45" t="s">
        <v>1380</v>
      </c>
      <c r="F271" s="45" t="s">
        <v>1381</v>
      </c>
      <c r="G271" s="46" t="s">
        <v>38</v>
      </c>
      <c r="H271" s="48">
        <v>46090</v>
      </c>
      <c r="I271" s="48">
        <v>46098</v>
      </c>
      <c r="J271" s="44" t="s">
        <v>75</v>
      </c>
      <c r="K271" s="44" t="s">
        <v>129</v>
      </c>
      <c r="L271" s="50" t="s">
        <v>77</v>
      </c>
      <c r="M271" s="50"/>
      <c r="N271" s="50"/>
      <c r="O271" s="49"/>
      <c r="P271" s="50" t="str">
        <f t="shared" si="16"/>
        <v>ONAY</v>
      </c>
      <c r="R271" s="51" t="str">
        <f t="shared" si="17"/>
        <v/>
      </c>
      <c r="T271" s="41"/>
      <c r="U271" s="29">
        <f>IF($C271&lt;&gt;"",COUNTIF($C$2:C271,C271),"")</f>
        <v>1</v>
      </c>
      <c r="V271" s="29" t="str">
        <f t="shared" si="18"/>
        <v>Dr. Öğr. Üyesi Gizem ÜREL DEMİR§1</v>
      </c>
      <c r="W271" s="29">
        <f>IF(U271=1,COUNTIF($U$2:U271,1),"")</f>
        <v>175</v>
      </c>
      <c r="X271" s="29">
        <f t="shared" si="19"/>
        <v>138</v>
      </c>
      <c r="Y271" s="29">
        <f>IF(AND(LEFT($B271,7)="SBA 26/",$D271&lt;&gt;"",$F271&lt;&gt;""),COUNTIFS($D$2:$D271,$D271,$B$2:$B271,"SBA 26/*",$F$2:$F271,"&lt;&gt;"),"")</f>
        <v>37</v>
      </c>
      <c r="Z271" s="29" t="str">
        <f>IF(Y271=1,COUNTIF($Y$2:Y271,1),"")</f>
        <v/>
      </c>
      <c r="AA271" s="29">
        <f>IF(AND(LEFT($B271,7)="SBA 26/",$C271&lt;&gt;"",$F271&lt;&gt;""),COUNTIFS($C$2:$C271,$C271,$B$2:$B271,"SBA 26/*",$F$2:$F271,"&lt;&gt;"),"")</f>
        <v>1</v>
      </c>
      <c r="AB271" s="29">
        <f>IF(AA271=1,COUNTIF($AA$2:AA271,1),"")</f>
        <v>175</v>
      </c>
    </row>
    <row r="272" spans="1:28" ht="110.25" customHeight="1" x14ac:dyDescent="0.2">
      <c r="A272" s="43" t="s">
        <v>1382</v>
      </c>
      <c r="B272" s="43" t="s">
        <v>1383</v>
      </c>
      <c r="C272" s="44" t="s">
        <v>1379</v>
      </c>
      <c r="D272" s="44" t="s">
        <v>222</v>
      </c>
      <c r="E272" s="45" t="s">
        <v>1384</v>
      </c>
      <c r="F272" s="45" t="s">
        <v>1385</v>
      </c>
      <c r="G272" s="46" t="s">
        <v>38</v>
      </c>
      <c r="H272" s="48">
        <v>46090</v>
      </c>
      <c r="I272" s="48">
        <v>46098</v>
      </c>
      <c r="J272" s="44" t="s">
        <v>75</v>
      </c>
      <c r="K272" s="44" t="s">
        <v>108</v>
      </c>
      <c r="L272" s="50" t="s">
        <v>77</v>
      </c>
      <c r="M272" s="50"/>
      <c r="N272" s="50"/>
      <c r="O272" s="49"/>
      <c r="P272" s="50" t="str">
        <f t="shared" si="16"/>
        <v>ONAY</v>
      </c>
      <c r="R272" s="51" t="str">
        <f t="shared" si="17"/>
        <v/>
      </c>
      <c r="T272" s="41"/>
      <c r="U272" s="29">
        <f>IF($C272&lt;&gt;"",COUNTIF($C$2:C272,C272),"")</f>
        <v>2</v>
      </c>
      <c r="V272" s="29" t="str">
        <f t="shared" si="18"/>
        <v>Dr. Öğr. Üyesi Gizem ÜREL DEMİR§2</v>
      </c>
      <c r="W272" s="29" t="str">
        <f>IF(U272=1,COUNTIF($U$2:U272,1),"")</f>
        <v/>
      </c>
      <c r="X272" s="29" t="str">
        <f t="shared" si="19"/>
        <v/>
      </c>
      <c r="Y272" s="29">
        <f>IF(AND(LEFT($B272,7)="SBA 26/",$D272&lt;&gt;"",$F272&lt;&gt;""),COUNTIFS($D$2:$D272,$D272,$B$2:$B272,"SBA 26/*",$F$2:$F272,"&lt;&gt;"),"")</f>
        <v>38</v>
      </c>
      <c r="Z272" s="29" t="str">
        <f>IF(Y272=1,COUNTIF($Y$2:Y272,1),"")</f>
        <v/>
      </c>
      <c r="AA272" s="29">
        <f>IF(AND(LEFT($B272,7)="SBA 26/",$C272&lt;&gt;"",$F272&lt;&gt;""),COUNTIFS($C$2:$C272,$C272,$B$2:$B272,"SBA 26/*",$F$2:$F272,"&lt;&gt;"),"")</f>
        <v>2</v>
      </c>
      <c r="AB272" s="29" t="str">
        <f>IF(AA272=1,COUNTIF($AA$2:AA272,1),"")</f>
        <v/>
      </c>
    </row>
    <row r="273" spans="1:28" ht="82.5" customHeight="1" x14ac:dyDescent="0.2">
      <c r="A273" s="43" t="s">
        <v>1386</v>
      </c>
      <c r="B273" s="43" t="s">
        <v>1387</v>
      </c>
      <c r="C273" s="44" t="s">
        <v>285</v>
      </c>
      <c r="D273" s="44" t="s">
        <v>222</v>
      </c>
      <c r="E273" s="45" t="s">
        <v>1388</v>
      </c>
      <c r="F273" s="45" t="s">
        <v>1389</v>
      </c>
      <c r="G273" s="46" t="s">
        <v>38</v>
      </c>
      <c r="H273" s="48">
        <v>46090</v>
      </c>
      <c r="I273" s="48">
        <v>46098</v>
      </c>
      <c r="J273" s="44" t="s">
        <v>76</v>
      </c>
      <c r="K273" s="44" t="s">
        <v>92</v>
      </c>
      <c r="L273" s="50" t="s">
        <v>77</v>
      </c>
      <c r="M273" s="50"/>
      <c r="N273" s="50"/>
      <c r="O273" s="49"/>
      <c r="P273" s="50" t="str">
        <f t="shared" si="16"/>
        <v>ONAY</v>
      </c>
      <c r="R273" s="51" t="str">
        <f t="shared" si="17"/>
        <v/>
      </c>
      <c r="T273" s="41"/>
      <c r="U273" s="29">
        <f>IF($C273&lt;&gt;"",COUNTIF($C$2:C273,C273),"")</f>
        <v>6</v>
      </c>
      <c r="V273" s="29" t="str">
        <f t="shared" si="18"/>
        <v>Prof. Dr. Yasemin ÖZSÜREKCİ§6</v>
      </c>
      <c r="W273" s="29" t="str">
        <f>IF(U273=1,COUNTIF($U$2:U273,1),"")</f>
        <v/>
      </c>
      <c r="X273" s="29" t="str">
        <f t="shared" si="19"/>
        <v/>
      </c>
      <c r="Y273" s="29">
        <f>IF(AND(LEFT($B273,7)="SBA 26/",$D273&lt;&gt;"",$F273&lt;&gt;""),COUNTIFS($D$2:$D273,$D273,$B$2:$B273,"SBA 26/*",$F$2:$F273,"&lt;&gt;"),"")</f>
        <v>39</v>
      </c>
      <c r="Z273" s="29" t="str">
        <f>IF(Y273=1,COUNTIF($Y$2:Y273,1),"")</f>
        <v/>
      </c>
      <c r="AA273" s="29">
        <f>IF(AND(LEFT($B273,7)="SBA 26/",$C273&lt;&gt;"",$F273&lt;&gt;""),COUNTIFS($C$2:$C273,$C273,$B$2:$B273,"SBA 26/*",$F$2:$F273,"&lt;&gt;"),"")</f>
        <v>6</v>
      </c>
      <c r="AB273" s="29" t="str">
        <f>IF(AA273=1,COUNTIF($AA$2:AA273,1),"")</f>
        <v/>
      </c>
    </row>
    <row r="274" spans="1:28" ht="63" customHeight="1" x14ac:dyDescent="0.2">
      <c r="A274" s="43" t="s">
        <v>1390</v>
      </c>
      <c r="B274" s="43" t="s">
        <v>1391</v>
      </c>
      <c r="C274" s="44" t="s">
        <v>1353</v>
      </c>
      <c r="D274" s="44" t="s">
        <v>113</v>
      </c>
      <c r="E274" s="45" t="s">
        <v>1392</v>
      </c>
      <c r="F274" s="45" t="s">
        <v>1393</v>
      </c>
      <c r="G274" s="46" t="s">
        <v>38</v>
      </c>
      <c r="H274" s="48">
        <v>46094</v>
      </c>
      <c r="I274" s="48">
        <v>46112</v>
      </c>
      <c r="J274" s="44" t="s">
        <v>116</v>
      </c>
      <c r="K274" s="44" t="s">
        <v>84</v>
      </c>
      <c r="L274" s="50" t="s">
        <v>101</v>
      </c>
      <c r="M274" s="50" t="s">
        <v>77</v>
      </c>
      <c r="N274" s="50"/>
      <c r="O274" s="49"/>
      <c r="P274" s="50" t="str">
        <f t="shared" si="16"/>
        <v>ONAY</v>
      </c>
      <c r="Q274" s="28" t="s">
        <v>84</v>
      </c>
      <c r="R274" s="51" t="str">
        <f t="shared" si="17"/>
        <v/>
      </c>
      <c r="T274" s="41"/>
      <c r="U274" s="29">
        <f>IF($C274&lt;&gt;"",COUNTIF($C$2:C274,C274),"")</f>
        <v>3</v>
      </c>
      <c r="V274" s="29" t="str">
        <f t="shared" si="18"/>
        <v>Prof. Dr. Burcu Balam DOĞU§3</v>
      </c>
      <c r="W274" s="29" t="str">
        <f>IF(U274=1,COUNTIF($U$2:U274,1),"")</f>
        <v/>
      </c>
      <c r="X274" s="29" t="str">
        <f t="shared" si="19"/>
        <v/>
      </c>
      <c r="Y274" s="29">
        <f>IF(AND(LEFT($B274,7)="SBA 26/",$D274&lt;&gt;"",$F274&lt;&gt;""),COUNTIFS($D$2:$D274,$D274,$B$2:$B274,"SBA 26/*",$F$2:$F274,"&lt;&gt;"),"")</f>
        <v>36</v>
      </c>
      <c r="Z274" s="29" t="str">
        <f>IF(Y274=1,COUNTIF($Y$2:Y274,1),"")</f>
        <v/>
      </c>
      <c r="AA274" s="29">
        <f>IF(AND(LEFT($B274,7)="SBA 26/",$C274&lt;&gt;"",$F274&lt;&gt;""),COUNTIFS($C$2:$C274,$C274,$B$2:$B274,"SBA 26/*",$F$2:$F274,"&lt;&gt;"),"")</f>
        <v>3</v>
      </c>
      <c r="AB274" s="29" t="str">
        <f>IF(AA274=1,COUNTIF($AA$2:AA274,1),"")</f>
        <v/>
      </c>
    </row>
    <row r="275" spans="1:28" ht="78.75" customHeight="1" x14ac:dyDescent="0.2">
      <c r="A275" s="43" t="s">
        <v>1394</v>
      </c>
      <c r="B275" s="43" t="s">
        <v>1395</v>
      </c>
      <c r="C275" s="44" t="s">
        <v>76</v>
      </c>
      <c r="D275" s="44" t="s">
        <v>222</v>
      </c>
      <c r="E275" s="45" t="s">
        <v>1396</v>
      </c>
      <c r="F275" s="45" t="s">
        <v>1397</v>
      </c>
      <c r="G275" s="46" t="s">
        <v>38</v>
      </c>
      <c r="H275" s="48">
        <v>46094</v>
      </c>
      <c r="I275" s="48">
        <v>46112</v>
      </c>
      <c r="J275" s="44" t="s">
        <v>91</v>
      </c>
      <c r="K275" s="44" t="s">
        <v>99</v>
      </c>
      <c r="L275" s="50" t="s">
        <v>101</v>
      </c>
      <c r="M275" s="50" t="s">
        <v>101</v>
      </c>
      <c r="N275" s="50" t="s">
        <v>77</v>
      </c>
      <c r="O275" s="49"/>
      <c r="P275" s="50" t="str">
        <f t="shared" si="16"/>
        <v>ONAY</v>
      </c>
      <c r="Q275" s="28" t="s">
        <v>91</v>
      </c>
      <c r="R275" s="51" t="str">
        <f t="shared" si="17"/>
        <v/>
      </c>
      <c r="T275" s="41"/>
      <c r="U275" s="29">
        <f>IF($C275&lt;&gt;"",COUNTIF($C$2:C275,C275),"")</f>
        <v>3</v>
      </c>
      <c r="V275" s="29" t="str">
        <f t="shared" si="18"/>
        <v>Doç. Dr. Kübra AYKAÇ§3</v>
      </c>
      <c r="W275" s="29" t="str">
        <f>IF(U275=1,COUNTIF($U$2:U275,1),"")</f>
        <v/>
      </c>
      <c r="X275" s="29" t="str">
        <f t="shared" si="19"/>
        <v/>
      </c>
      <c r="Y275" s="29">
        <f>IF(AND(LEFT($B275,7)="SBA 26/",$D275&lt;&gt;"",$F275&lt;&gt;""),COUNTIFS($D$2:$D275,$D275,$B$2:$B275,"SBA 26/*",$F$2:$F275,"&lt;&gt;"),"")</f>
        <v>40</v>
      </c>
      <c r="Z275" s="29" t="str">
        <f>IF(Y275=1,COUNTIF($Y$2:Y275,1),"")</f>
        <v/>
      </c>
      <c r="AA275" s="29">
        <f>IF(AND(LEFT($B275,7)="SBA 26/",$C275&lt;&gt;"",$F275&lt;&gt;""),COUNTIFS($C$2:$C275,$C275,$B$2:$B275,"SBA 26/*",$F$2:$F275,"&lt;&gt;"),"")</f>
        <v>3</v>
      </c>
      <c r="AB275" s="29" t="str">
        <f>IF(AA275=1,COUNTIF($AA$2:AA275,1),"")</f>
        <v/>
      </c>
    </row>
    <row r="276" spans="1:28" ht="96" customHeight="1" x14ac:dyDescent="0.2">
      <c r="A276" s="43" t="s">
        <v>1398</v>
      </c>
      <c r="B276" s="43" t="s">
        <v>1399</v>
      </c>
      <c r="C276" s="44" t="s">
        <v>358</v>
      </c>
      <c r="D276" s="44" t="s">
        <v>228</v>
      </c>
      <c r="E276" s="45" t="s">
        <v>1400</v>
      </c>
      <c r="F276" s="45" t="s">
        <v>1401</v>
      </c>
      <c r="G276" s="46" t="s">
        <v>38</v>
      </c>
      <c r="H276" s="48">
        <v>46094</v>
      </c>
      <c r="I276" s="48">
        <v>46112</v>
      </c>
      <c r="J276" s="44" t="s">
        <v>91</v>
      </c>
      <c r="K276" s="44" t="s">
        <v>84</v>
      </c>
      <c r="L276" s="50" t="s">
        <v>101</v>
      </c>
      <c r="M276" s="50" t="s">
        <v>77</v>
      </c>
      <c r="N276" s="50"/>
      <c r="O276" s="49"/>
      <c r="P276" s="50" t="str">
        <f t="shared" si="16"/>
        <v>ONAY</v>
      </c>
      <c r="Q276" s="28" t="s">
        <v>91</v>
      </c>
      <c r="R276" s="51" t="str">
        <f t="shared" si="17"/>
        <v/>
      </c>
      <c r="T276" s="41"/>
      <c r="U276" s="29">
        <f>IF($C276&lt;&gt;"",COUNTIF($C$2:C276,C276),"")</f>
        <v>2</v>
      </c>
      <c r="V276" s="29" t="str">
        <f t="shared" si="18"/>
        <v>Doç. Dr. Erdem FADILOĞLU§2</v>
      </c>
      <c r="W276" s="29" t="str">
        <f>IF(U276=1,COUNTIF($U$2:U276,1),"")</f>
        <v/>
      </c>
      <c r="X276" s="29" t="str">
        <f t="shared" si="19"/>
        <v/>
      </c>
      <c r="Y276" s="29">
        <f>IF(AND(LEFT($B276,7)="SBA 26/",$D276&lt;&gt;"",$F276&lt;&gt;""),COUNTIFS($D$2:$D276,$D276,$B$2:$B276,"SBA 26/*",$F$2:$F276,"&lt;&gt;"),"")</f>
        <v>16</v>
      </c>
      <c r="Z276" s="29" t="str">
        <f>IF(Y276=1,COUNTIF($Y$2:Y276,1),"")</f>
        <v/>
      </c>
      <c r="AA276" s="29">
        <f>IF(AND(LEFT($B276,7)="SBA 26/",$C276&lt;&gt;"",$F276&lt;&gt;""),COUNTIFS($C$2:$C276,$C276,$B$2:$B276,"SBA 26/*",$F$2:$F276,"&lt;&gt;"),"")</f>
        <v>2</v>
      </c>
      <c r="AB276" s="29" t="str">
        <f>IF(AA276=1,COUNTIF($AA$2:AA276,1),"")</f>
        <v/>
      </c>
    </row>
    <row r="277" spans="1:28" ht="63" customHeight="1" x14ac:dyDescent="0.2">
      <c r="A277" s="43" t="s">
        <v>1402</v>
      </c>
      <c r="B277" s="43" t="s">
        <v>1403</v>
      </c>
      <c r="C277" s="44" t="s">
        <v>1404</v>
      </c>
      <c r="D277" s="44" t="s">
        <v>150</v>
      </c>
      <c r="E277" s="45" t="s">
        <v>1405</v>
      </c>
      <c r="F277" s="45" t="s">
        <v>1406</v>
      </c>
      <c r="G277" s="46" t="s">
        <v>39</v>
      </c>
      <c r="H277" s="48">
        <v>46094</v>
      </c>
      <c r="I277" s="48">
        <v>46112</v>
      </c>
      <c r="J277" s="44" t="s">
        <v>76</v>
      </c>
      <c r="K277" s="44" t="s">
        <v>92</v>
      </c>
      <c r="L277" s="50" t="s">
        <v>153</v>
      </c>
      <c r="M277" s="50"/>
      <c r="N277" s="50"/>
      <c r="O277" s="49"/>
      <c r="P277" s="50" t="str">
        <f t="shared" si="16"/>
        <v>KAPSAM DIŞI</v>
      </c>
      <c r="R277" s="51" t="str">
        <f t="shared" si="17"/>
        <v/>
      </c>
      <c r="T277" s="41"/>
      <c r="U277" s="29">
        <f>IF($C277&lt;&gt;"",COUNTIF($C$2:C277,C277),"")</f>
        <v>1</v>
      </c>
      <c r="V277" s="29" t="str">
        <f t="shared" si="18"/>
        <v>Dr. Öğr. Üyesi Sefa Burak ÇAM§1</v>
      </c>
      <c r="W277" s="29">
        <f>IF(U277=1,COUNTIF($U$2:U277,1),"")</f>
        <v>176</v>
      </c>
      <c r="X277" s="29">
        <f t="shared" si="19"/>
        <v>161</v>
      </c>
      <c r="Y277" s="29">
        <f>IF(AND(LEFT($B277,7)="SBA 26/",$D277&lt;&gt;"",$F277&lt;&gt;""),COUNTIFS($D$2:$D277,$D277,$B$2:$B277,"SBA 26/*",$F$2:$F277,"&lt;&gt;"),"")</f>
        <v>3</v>
      </c>
      <c r="Z277" s="29" t="str">
        <f>IF(Y277=1,COUNTIF($Y$2:Y277,1),"")</f>
        <v/>
      </c>
      <c r="AA277" s="29">
        <f>IF(AND(LEFT($B277,7)="SBA 26/",$C277&lt;&gt;"",$F277&lt;&gt;""),COUNTIFS($C$2:$C277,$C277,$B$2:$B277,"SBA 26/*",$F$2:$F277,"&lt;&gt;"),"")</f>
        <v>1</v>
      </c>
      <c r="AB277" s="29">
        <f>IF(AA277=1,COUNTIF($AA$2:AA277,1),"")</f>
        <v>176</v>
      </c>
    </row>
    <row r="278" spans="1:28" ht="78.75" customHeight="1" x14ac:dyDescent="0.2">
      <c r="A278" s="43" t="s">
        <v>1407</v>
      </c>
      <c r="B278" s="43" t="s">
        <v>1408</v>
      </c>
      <c r="C278" s="44" t="s">
        <v>1409</v>
      </c>
      <c r="D278" s="44" t="s">
        <v>88</v>
      </c>
      <c r="E278" s="45" t="s">
        <v>1410</v>
      </c>
      <c r="F278" s="45" t="s">
        <v>1411</v>
      </c>
      <c r="G278" s="46" t="s">
        <v>38</v>
      </c>
      <c r="H278" s="48">
        <v>46094</v>
      </c>
      <c r="I278" s="48">
        <v>46112</v>
      </c>
      <c r="J278" s="44" t="s">
        <v>92</v>
      </c>
      <c r="K278" s="44" t="s">
        <v>109</v>
      </c>
      <c r="L278" s="50" t="s">
        <v>101</v>
      </c>
      <c r="M278" s="50" t="s">
        <v>77</v>
      </c>
      <c r="N278" s="50"/>
      <c r="O278" s="49"/>
      <c r="P278" s="50" t="str">
        <f t="shared" si="16"/>
        <v>ONAY</v>
      </c>
      <c r="Q278" s="28" t="s">
        <v>109</v>
      </c>
      <c r="R278" s="51" t="str">
        <f t="shared" si="17"/>
        <v/>
      </c>
      <c r="T278" s="41"/>
      <c r="U278" s="29">
        <f>IF($C278&lt;&gt;"",COUNTIF($C$2:C278,C278),"")</f>
        <v>1</v>
      </c>
      <c r="V278" s="29" t="str">
        <f t="shared" si="18"/>
        <v>Doç. Dr. Fatma Gonca ELDEM§1</v>
      </c>
      <c r="W278" s="29">
        <f>IF(U278=1,COUNTIF($U$2:U278,1),"")</f>
        <v>177</v>
      </c>
      <c r="X278" s="29">
        <f t="shared" si="19"/>
        <v>56</v>
      </c>
      <c r="Y278" s="29">
        <f>IF(AND(LEFT($B278,7)="SBA 26/",$D278&lt;&gt;"",$F278&lt;&gt;""),COUNTIFS($D$2:$D278,$D278,$B$2:$B278,"SBA 26/*",$F$2:$F278,"&lt;&gt;"),"")</f>
        <v>12</v>
      </c>
      <c r="Z278" s="29" t="str">
        <f>IF(Y278=1,COUNTIF($Y$2:Y278,1),"")</f>
        <v/>
      </c>
      <c r="AA278" s="29">
        <f>IF(AND(LEFT($B278,7)="SBA 26/",$C278&lt;&gt;"",$F278&lt;&gt;""),COUNTIFS($C$2:$C278,$C278,$B$2:$B278,"SBA 26/*",$F$2:$F278,"&lt;&gt;"),"")</f>
        <v>1</v>
      </c>
      <c r="AB278" s="29">
        <f>IF(AA278=1,COUNTIF($AA$2:AA278,1),"")</f>
        <v>177</v>
      </c>
    </row>
    <row r="279" spans="1:28" ht="78.75" customHeight="1" x14ac:dyDescent="0.2">
      <c r="A279" s="43" t="s">
        <v>1412</v>
      </c>
      <c r="B279" s="43" t="s">
        <v>1413</v>
      </c>
      <c r="C279" s="44" t="s">
        <v>1414</v>
      </c>
      <c r="D279" s="44" t="s">
        <v>222</v>
      </c>
      <c r="E279" s="45" t="s">
        <v>1415</v>
      </c>
      <c r="F279" s="45" t="s">
        <v>1416</v>
      </c>
      <c r="G279" s="46" t="s">
        <v>38</v>
      </c>
      <c r="H279" s="48">
        <v>46094</v>
      </c>
      <c r="I279" s="48">
        <v>46112</v>
      </c>
      <c r="J279" s="44" t="s">
        <v>76</v>
      </c>
      <c r="K279" s="44" t="s">
        <v>84</v>
      </c>
      <c r="L279" s="50" t="s">
        <v>77</v>
      </c>
      <c r="M279" s="50"/>
      <c r="N279" s="50"/>
      <c r="O279" s="49"/>
      <c r="P279" s="50" t="str">
        <f t="shared" si="16"/>
        <v>ONAY</v>
      </c>
      <c r="R279" s="51" t="str">
        <f t="shared" si="17"/>
        <v/>
      </c>
      <c r="T279" s="41"/>
      <c r="U279" s="29">
        <f>IF($C279&lt;&gt;"",COUNTIF($C$2:C279,C279),"")</f>
        <v>1</v>
      </c>
      <c r="V279" s="29" t="str">
        <f t="shared" si="18"/>
        <v>Prof. Dr. İnci Nur SALTIK§1</v>
      </c>
      <c r="W279" s="29">
        <f>IF(U279=1,COUNTIF($U$2:U279,1),"")</f>
        <v>178</v>
      </c>
      <c r="X279" s="29">
        <f t="shared" si="19"/>
        <v>254</v>
      </c>
      <c r="Y279" s="29">
        <f>IF(AND(LEFT($B279,7)="SBA 26/",$D279&lt;&gt;"",$F279&lt;&gt;""),COUNTIFS($D$2:$D279,$D279,$B$2:$B279,"SBA 26/*",$F$2:$F279,"&lt;&gt;"),"")</f>
        <v>41</v>
      </c>
      <c r="Z279" s="29" t="str">
        <f>IF(Y279=1,COUNTIF($Y$2:Y279,1),"")</f>
        <v/>
      </c>
      <c r="AA279" s="29">
        <f>IF(AND(LEFT($B279,7)="SBA 26/",$C279&lt;&gt;"",$F279&lt;&gt;""),COUNTIFS($C$2:$C279,$C279,$B$2:$B279,"SBA 26/*",$F$2:$F279,"&lt;&gt;"),"")</f>
        <v>1</v>
      </c>
      <c r="AB279" s="29">
        <f>IF(AA279=1,COUNTIF($AA$2:AA279,1),"")</f>
        <v>178</v>
      </c>
    </row>
    <row r="280" spans="1:28" ht="94.5" customHeight="1" x14ac:dyDescent="0.2">
      <c r="A280" s="43" t="s">
        <v>1417</v>
      </c>
      <c r="B280" s="43" t="s">
        <v>1418</v>
      </c>
      <c r="C280" s="44" t="s">
        <v>296</v>
      </c>
      <c r="D280" s="44" t="s">
        <v>297</v>
      </c>
      <c r="E280" s="45" t="s">
        <v>1419</v>
      </c>
      <c r="F280" s="45" t="s">
        <v>1420</v>
      </c>
      <c r="G280" s="46" t="s">
        <v>38</v>
      </c>
      <c r="H280" s="48">
        <v>46094</v>
      </c>
      <c r="I280" s="48">
        <v>46112</v>
      </c>
      <c r="J280" s="44" t="s">
        <v>123</v>
      </c>
      <c r="K280" s="44" t="s">
        <v>99</v>
      </c>
      <c r="L280" s="50" t="s">
        <v>218</v>
      </c>
      <c r="M280" s="50"/>
      <c r="N280" s="50"/>
      <c r="O280" s="49"/>
      <c r="P280" s="50" t="str">
        <f t="shared" si="16"/>
        <v>KAEK</v>
      </c>
      <c r="R280" s="51" t="str">
        <f t="shared" si="17"/>
        <v/>
      </c>
      <c r="T280" s="41"/>
      <c r="U280" s="29">
        <f>IF($C280&lt;&gt;"",COUNTIF($C$2:C280,C280),"")</f>
        <v>2</v>
      </c>
      <c r="V280" s="29" t="str">
        <f t="shared" si="18"/>
        <v>Doç. Dr. Hande GÖRÜCÜ COŞKUNER§2</v>
      </c>
      <c r="W280" s="29" t="str">
        <f>IF(U280=1,COUNTIF($U$2:U280,1),"")</f>
        <v/>
      </c>
      <c r="X280" s="29" t="str">
        <f t="shared" si="19"/>
        <v/>
      </c>
      <c r="Y280" s="29">
        <f>IF(AND(LEFT($B280,7)="SBA 26/",$D280&lt;&gt;"",$F280&lt;&gt;""),COUNTIFS($D$2:$D280,$D280,$B$2:$B280,"SBA 26/*",$F$2:$F280,"&lt;&gt;"),"")</f>
        <v>6</v>
      </c>
      <c r="Z280" s="29" t="str">
        <f>IF(Y280=1,COUNTIF($Y$2:Y280,1),"")</f>
        <v/>
      </c>
      <c r="AA280" s="29">
        <f>IF(AND(LEFT($B280,7)="SBA 26/",$C280&lt;&gt;"",$F280&lt;&gt;""),COUNTIFS($C$2:$C280,$C280,$B$2:$B280,"SBA 26/*",$F$2:$F280,"&lt;&gt;"),"")</f>
        <v>2</v>
      </c>
      <c r="AB280" s="29" t="str">
        <f>IF(AA280=1,COUNTIF($AA$2:AA280,1),"")</f>
        <v/>
      </c>
    </row>
    <row r="281" spans="1:28" ht="78.75" customHeight="1" x14ac:dyDescent="0.2">
      <c r="A281" s="43" t="s">
        <v>1421</v>
      </c>
      <c r="B281" s="43" t="s">
        <v>1422</v>
      </c>
      <c r="C281" s="44" t="s">
        <v>1092</v>
      </c>
      <c r="D281" s="44" t="s">
        <v>203</v>
      </c>
      <c r="E281" s="45" t="s">
        <v>1423</v>
      </c>
      <c r="F281" s="45" t="s">
        <v>1424</v>
      </c>
      <c r="G281" s="46" t="s">
        <v>41</v>
      </c>
      <c r="H281" s="48">
        <v>46094</v>
      </c>
      <c r="I281" s="48">
        <v>46112</v>
      </c>
      <c r="J281" s="44" t="s">
        <v>99</v>
      </c>
      <c r="K281" s="44" t="s">
        <v>100</v>
      </c>
      <c r="L281" s="50" t="s">
        <v>101</v>
      </c>
      <c r="M281" s="50" t="s">
        <v>77</v>
      </c>
      <c r="N281" s="50"/>
      <c r="O281" s="49"/>
      <c r="P281" s="50" t="str">
        <f t="shared" si="16"/>
        <v>ONAY</v>
      </c>
      <c r="Q281" s="28" t="s">
        <v>99</v>
      </c>
      <c r="R281" s="51" t="str">
        <f t="shared" si="17"/>
        <v/>
      </c>
      <c r="T281" s="41"/>
      <c r="U281" s="29">
        <f>IF($C281&lt;&gt;"",COUNTIF($C$2:C281,C281),"")</f>
        <v>2</v>
      </c>
      <c r="V281" s="29" t="str">
        <f t="shared" si="18"/>
        <v>Prof. Dr. Özgür UĞURLUOĞLU§2</v>
      </c>
      <c r="W281" s="29" t="str">
        <f>IF(U281=1,COUNTIF($U$2:U281,1),"")</f>
        <v/>
      </c>
      <c r="X281" s="29" t="str">
        <f t="shared" si="19"/>
        <v/>
      </c>
      <c r="Y281" s="29">
        <f>IF(AND(LEFT($B281,7)="SBA 26/",$D281&lt;&gt;"",$F281&lt;&gt;""),COUNTIFS($D$2:$D281,$D281,$B$2:$B281,"SBA 26/*",$F$2:$F281,"&lt;&gt;"),"")</f>
        <v>5</v>
      </c>
      <c r="Z281" s="29" t="str">
        <f>IF(Y281=1,COUNTIF($Y$2:Y281,1),"")</f>
        <v/>
      </c>
      <c r="AA281" s="29">
        <f>IF(AND(LEFT($B281,7)="SBA 26/",$C281&lt;&gt;"",$F281&lt;&gt;""),COUNTIFS($C$2:$C281,$C281,$B$2:$B281,"SBA 26/*",$F$2:$F281,"&lt;&gt;"),"")</f>
        <v>2</v>
      </c>
      <c r="AB281" s="29" t="str">
        <f>IF(AA281=1,COUNTIF($AA$2:AA281,1),"")</f>
        <v/>
      </c>
    </row>
    <row r="282" spans="1:28" ht="47.25" customHeight="1" x14ac:dyDescent="0.2">
      <c r="A282" s="43" t="s">
        <v>1425</v>
      </c>
      <c r="B282" s="43" t="s">
        <v>1426</v>
      </c>
      <c r="C282" s="44" t="s">
        <v>1427</v>
      </c>
      <c r="D282" s="44" t="s">
        <v>966</v>
      </c>
      <c r="E282" s="45" t="s">
        <v>1428</v>
      </c>
      <c r="F282" s="45" t="s">
        <v>1429</v>
      </c>
      <c r="G282" s="46" t="s">
        <v>39</v>
      </c>
      <c r="H282" s="48">
        <v>46094</v>
      </c>
      <c r="I282" s="48">
        <v>46112</v>
      </c>
      <c r="J282" s="44" t="s">
        <v>123</v>
      </c>
      <c r="K282" s="44" t="s">
        <v>84</v>
      </c>
      <c r="L282" s="50" t="s">
        <v>101</v>
      </c>
      <c r="M282" s="50" t="s">
        <v>77</v>
      </c>
      <c r="N282" s="50"/>
      <c r="O282" s="49"/>
      <c r="P282" s="50" t="str">
        <f t="shared" si="16"/>
        <v>ONAY</v>
      </c>
      <c r="Q282" s="28" t="s">
        <v>84</v>
      </c>
      <c r="R282" s="51" t="str">
        <f t="shared" si="17"/>
        <v/>
      </c>
      <c r="T282" s="41"/>
      <c r="U282" s="29">
        <f>IF($C282&lt;&gt;"",COUNTIF($C$2:C282,C282),"")</f>
        <v>1</v>
      </c>
      <c r="V282" s="29" t="str">
        <f t="shared" si="18"/>
        <v>Doç. Dr. Hilal AKSOY§1</v>
      </c>
      <c r="W282" s="29">
        <f>IF(U282=1,COUNTIF($U$2:U282,1),"")</f>
        <v>179</v>
      </c>
      <c r="X282" s="29">
        <f t="shared" si="19"/>
        <v>68</v>
      </c>
      <c r="Y282" s="29">
        <f>IF(AND(LEFT($B282,7)="SBA 26/",$D282&lt;&gt;"",$F282&lt;&gt;""),COUNTIFS($D$2:$D282,$D282,$B$2:$B282,"SBA 26/*",$F$2:$F282,"&lt;&gt;"),"")</f>
        <v>3</v>
      </c>
      <c r="Z282" s="29" t="str">
        <f>IF(Y282=1,COUNTIF($Y$2:Y282,1),"")</f>
        <v/>
      </c>
      <c r="AA282" s="29">
        <f>IF(AND(LEFT($B282,7)="SBA 26/",$C282&lt;&gt;"",$F282&lt;&gt;""),COUNTIFS($C$2:$C282,$C282,$B$2:$B282,"SBA 26/*",$F$2:$F282,"&lt;&gt;"),"")</f>
        <v>1</v>
      </c>
      <c r="AB282" s="29">
        <f>IF(AA282=1,COUNTIF($AA$2:AA282,1),"")</f>
        <v>179</v>
      </c>
    </row>
    <row r="283" spans="1:28" ht="47.25" customHeight="1" x14ac:dyDescent="0.2">
      <c r="A283" s="43" t="s">
        <v>1430</v>
      </c>
      <c r="B283" s="43" t="s">
        <v>1431</v>
      </c>
      <c r="C283" s="44" t="s">
        <v>1432</v>
      </c>
      <c r="D283" s="44" t="s">
        <v>113</v>
      </c>
      <c r="E283" s="45" t="s">
        <v>1433</v>
      </c>
      <c r="F283" s="45" t="s">
        <v>1434</v>
      </c>
      <c r="G283" s="46" t="s">
        <v>39</v>
      </c>
      <c r="H283" s="48">
        <v>46097</v>
      </c>
      <c r="I283" s="48">
        <v>46112</v>
      </c>
      <c r="J283" s="44" t="s">
        <v>100</v>
      </c>
      <c r="K283" s="44" t="s">
        <v>109</v>
      </c>
      <c r="L283" s="50" t="s">
        <v>101</v>
      </c>
      <c r="M283" s="50" t="s">
        <v>77</v>
      </c>
      <c r="N283" s="50"/>
      <c r="O283" s="49"/>
      <c r="P283" s="50" t="str">
        <f t="shared" si="16"/>
        <v>ONAY</v>
      </c>
      <c r="Q283" s="28" t="s">
        <v>109</v>
      </c>
      <c r="R283" s="51" t="str">
        <f t="shared" si="17"/>
        <v/>
      </c>
      <c r="T283" s="41"/>
      <c r="U283" s="29">
        <f>IF($C283&lt;&gt;"",COUNTIF($C$2:C283,C283),"")</f>
        <v>1</v>
      </c>
      <c r="V283" s="29" t="str">
        <f t="shared" si="18"/>
        <v>Prof. Dr. Taylan KAV§1</v>
      </c>
      <c r="W283" s="29">
        <f>IF(U283=1,COUNTIF($U$2:U283,1),"")</f>
        <v>180</v>
      </c>
      <c r="X283" s="29">
        <f t="shared" si="19"/>
        <v>331</v>
      </c>
      <c r="Y283" s="29">
        <f>IF(AND(LEFT($B283,7)="SBA 26/",$D283&lt;&gt;"",$F283&lt;&gt;""),COUNTIFS($D$2:$D283,$D283,$B$2:$B283,"SBA 26/*",$F$2:$F283,"&lt;&gt;"),"")</f>
        <v>37</v>
      </c>
      <c r="Z283" s="29" t="str">
        <f>IF(Y283=1,COUNTIF($Y$2:Y283,1),"")</f>
        <v/>
      </c>
      <c r="AA283" s="29">
        <f>IF(AND(LEFT($B283,7)="SBA 26/",$C283&lt;&gt;"",$F283&lt;&gt;""),COUNTIFS($C$2:$C283,$C283,$B$2:$B283,"SBA 26/*",$F$2:$F283,"&lt;&gt;"),"")</f>
        <v>1</v>
      </c>
      <c r="AB283" s="29">
        <f>IF(AA283=1,COUNTIF($AA$2:AA283,1),"")</f>
        <v>180</v>
      </c>
    </row>
    <row r="284" spans="1:28" ht="78.75" customHeight="1" x14ac:dyDescent="0.2">
      <c r="A284" s="43" t="s">
        <v>1435</v>
      </c>
      <c r="B284" s="43" t="s">
        <v>1436</v>
      </c>
      <c r="C284" s="44" t="s">
        <v>175</v>
      </c>
      <c r="D284" s="44" t="s">
        <v>169</v>
      </c>
      <c r="E284" s="45" t="s">
        <v>1437</v>
      </c>
      <c r="F284" s="45" t="s">
        <v>1438</v>
      </c>
      <c r="G284" s="46" t="s">
        <v>38</v>
      </c>
      <c r="H284" s="48">
        <v>46097</v>
      </c>
      <c r="I284" s="48">
        <v>46112</v>
      </c>
      <c r="J284" s="44" t="s">
        <v>75</v>
      </c>
      <c r="K284" s="44" t="s">
        <v>76</v>
      </c>
      <c r="L284" s="50" t="s">
        <v>77</v>
      </c>
      <c r="M284" s="50"/>
      <c r="N284" s="50"/>
      <c r="O284" s="49"/>
      <c r="P284" s="50" t="str">
        <f t="shared" si="16"/>
        <v>ONAY</v>
      </c>
      <c r="R284" s="51" t="str">
        <f t="shared" si="17"/>
        <v/>
      </c>
      <c r="T284" s="41"/>
      <c r="U284" s="29">
        <f>IF($C284&lt;&gt;"",COUNTIF($C$2:C284,C284),"")</f>
        <v>2</v>
      </c>
      <c r="V284" s="29" t="str">
        <f t="shared" si="18"/>
        <v>Prof. Dr. Gül KARAKAYA§2</v>
      </c>
      <c r="W284" s="29" t="str">
        <f>IF(U284=1,COUNTIF($U$2:U284,1),"")</f>
        <v/>
      </c>
      <c r="X284" s="29" t="str">
        <f t="shared" si="19"/>
        <v/>
      </c>
      <c r="Y284" s="29">
        <f>IF(AND(LEFT($B284,7)="SBA 26/",$D284&lt;&gt;"",$F284&lt;&gt;""),COUNTIFS($D$2:$D284,$D284,$B$2:$B284,"SBA 26/*",$F$2:$F284,"&lt;&gt;"),"")</f>
        <v>11</v>
      </c>
      <c r="Z284" s="29" t="str">
        <f>IF(Y284=1,COUNTIF($Y$2:Y284,1),"")</f>
        <v/>
      </c>
      <c r="AA284" s="29">
        <f>IF(AND(LEFT($B284,7)="SBA 26/",$C284&lt;&gt;"",$F284&lt;&gt;""),COUNTIFS($C$2:$C284,$C284,$B$2:$B284,"SBA 26/*",$F$2:$F284,"&lt;&gt;"),"")</f>
        <v>2</v>
      </c>
      <c r="AB284" s="29" t="str">
        <f>IF(AA284=1,COUNTIF($AA$2:AA284,1),"")</f>
        <v/>
      </c>
    </row>
    <row r="285" spans="1:28" ht="63" customHeight="1" x14ac:dyDescent="0.2">
      <c r="A285" s="43" t="s">
        <v>1439</v>
      </c>
      <c r="B285" s="43" t="s">
        <v>1440</v>
      </c>
      <c r="C285" s="44" t="s">
        <v>1441</v>
      </c>
      <c r="D285" s="44" t="s">
        <v>228</v>
      </c>
      <c r="E285" s="45" t="s">
        <v>1442</v>
      </c>
      <c r="F285" s="45" t="s">
        <v>1443</v>
      </c>
      <c r="G285" s="46" t="s">
        <v>38</v>
      </c>
      <c r="H285" s="48">
        <v>46097</v>
      </c>
      <c r="I285" s="48">
        <v>46112</v>
      </c>
      <c r="J285" s="44" t="s">
        <v>75</v>
      </c>
      <c r="K285" s="44" t="s">
        <v>123</v>
      </c>
      <c r="L285" s="50" t="s">
        <v>172</v>
      </c>
      <c r="M285" s="50" t="s">
        <v>77</v>
      </c>
      <c r="N285" s="50"/>
      <c r="O285" s="49"/>
      <c r="P285" s="50" t="str">
        <f t="shared" si="16"/>
        <v>ONAY</v>
      </c>
      <c r="R285" s="51" t="str">
        <f t="shared" si="17"/>
        <v/>
      </c>
      <c r="T285" s="41"/>
      <c r="U285" s="29">
        <f>IF($C285&lt;&gt;"",COUNTIF($C$2:C285,C285),"")</f>
        <v>1</v>
      </c>
      <c r="V285" s="29" t="str">
        <f t="shared" si="18"/>
        <v>Prof. Dr. Zafer Selçuk TUNCER§1</v>
      </c>
      <c r="W285" s="29">
        <f>IF(U285=1,COUNTIF($U$2:U285,1),"")</f>
        <v>181</v>
      </c>
      <c r="X285" s="29">
        <f t="shared" si="19"/>
        <v>347</v>
      </c>
      <c r="Y285" s="29">
        <f>IF(AND(LEFT($B285,7)="SBA 26/",$D285&lt;&gt;"",$F285&lt;&gt;""),COUNTIFS($D$2:$D285,$D285,$B$2:$B285,"SBA 26/*",$F$2:$F285,"&lt;&gt;"),"")</f>
        <v>17</v>
      </c>
      <c r="Z285" s="29" t="str">
        <f>IF(Y285=1,COUNTIF($Y$2:Y285,1),"")</f>
        <v/>
      </c>
      <c r="AA285" s="29">
        <f>IF(AND(LEFT($B285,7)="SBA 26/",$C285&lt;&gt;"",$F285&lt;&gt;""),COUNTIFS($C$2:$C285,$C285,$B$2:$B285,"SBA 26/*",$F$2:$F285,"&lt;&gt;"),"")</f>
        <v>1</v>
      </c>
      <c r="AB285" s="29">
        <f>IF(AA285=1,COUNTIF($AA$2:AA285,1),"")</f>
        <v>181</v>
      </c>
    </row>
    <row r="286" spans="1:28" ht="47.25" customHeight="1" x14ac:dyDescent="0.2">
      <c r="A286" s="43" t="s">
        <v>1444</v>
      </c>
      <c r="B286" s="43" t="s">
        <v>1445</v>
      </c>
      <c r="C286" s="44" t="s">
        <v>489</v>
      </c>
      <c r="D286" s="44" t="s">
        <v>297</v>
      </c>
      <c r="E286" s="45" t="s">
        <v>1446</v>
      </c>
      <c r="F286" s="45" t="s">
        <v>1447</v>
      </c>
      <c r="G286" s="46" t="s">
        <v>38</v>
      </c>
      <c r="H286" s="48">
        <v>46097</v>
      </c>
      <c r="I286" s="48">
        <v>46112</v>
      </c>
      <c r="J286" s="44" t="s">
        <v>123</v>
      </c>
      <c r="K286" s="44" t="s">
        <v>99</v>
      </c>
      <c r="L286" s="50" t="s">
        <v>77</v>
      </c>
      <c r="M286" s="50"/>
      <c r="N286" s="50"/>
      <c r="O286" s="49"/>
      <c r="P286" s="50" t="str">
        <f t="shared" si="16"/>
        <v>ONAY</v>
      </c>
      <c r="R286" s="51" t="str">
        <f t="shared" si="17"/>
        <v/>
      </c>
      <c r="T286" s="41"/>
      <c r="U286" s="29">
        <f>IF($C286&lt;&gt;"",COUNTIF($C$2:C286,C286),"")</f>
        <v>3</v>
      </c>
      <c r="V286" s="29" t="str">
        <f t="shared" si="18"/>
        <v>Doç. Dr. Ezgi ATİK§3</v>
      </c>
      <c r="W286" s="29" t="str">
        <f>IF(U286=1,COUNTIF($U$2:U286,1),"")</f>
        <v/>
      </c>
      <c r="X286" s="29" t="str">
        <f t="shared" si="19"/>
        <v/>
      </c>
      <c r="Y286" s="29">
        <f>IF(AND(LEFT($B286,7)="SBA 26/",$D286&lt;&gt;"",$F286&lt;&gt;""),COUNTIFS($D$2:$D286,$D286,$B$2:$B286,"SBA 26/*",$F$2:$F286,"&lt;&gt;"),"")</f>
        <v>7</v>
      </c>
      <c r="Z286" s="29" t="str">
        <f>IF(Y286=1,COUNTIF($Y$2:Y286,1),"")</f>
        <v/>
      </c>
      <c r="AA286" s="29">
        <f>IF(AND(LEFT($B286,7)="SBA 26/",$C286&lt;&gt;"",$F286&lt;&gt;""),COUNTIFS($C$2:$C286,$C286,$B$2:$B286,"SBA 26/*",$F$2:$F286,"&lt;&gt;"),"")</f>
        <v>3</v>
      </c>
      <c r="AB286" s="29" t="str">
        <f>IF(AA286=1,COUNTIF($AA$2:AA286,1),"")</f>
        <v/>
      </c>
    </row>
    <row r="287" spans="1:28" ht="78.75" customHeight="1" x14ac:dyDescent="0.2">
      <c r="A287" s="43" t="s">
        <v>1448</v>
      </c>
      <c r="B287" s="43" t="s">
        <v>1449</v>
      </c>
      <c r="C287" s="44" t="s">
        <v>175</v>
      </c>
      <c r="D287" s="44" t="s">
        <v>169</v>
      </c>
      <c r="E287" s="45" t="s">
        <v>1450</v>
      </c>
      <c r="F287" s="45" t="s">
        <v>1451</v>
      </c>
      <c r="G287" s="46" t="s">
        <v>38</v>
      </c>
      <c r="H287" s="48">
        <v>46097</v>
      </c>
      <c r="I287" s="48">
        <v>46112</v>
      </c>
      <c r="J287" s="44" t="s">
        <v>75</v>
      </c>
      <c r="K287" s="44" t="s">
        <v>76</v>
      </c>
      <c r="L287" s="50" t="s">
        <v>77</v>
      </c>
      <c r="M287" s="50"/>
      <c r="N287" s="50"/>
      <c r="O287" s="49"/>
      <c r="P287" s="50" t="str">
        <f t="shared" si="16"/>
        <v>ONAY</v>
      </c>
      <c r="R287" s="51" t="str">
        <f t="shared" si="17"/>
        <v/>
      </c>
      <c r="T287" s="41"/>
      <c r="U287" s="29">
        <f>IF($C287&lt;&gt;"",COUNTIF($C$2:C287,C287),"")</f>
        <v>3</v>
      </c>
      <c r="V287" s="29" t="str">
        <f t="shared" si="18"/>
        <v>Prof. Dr. Gül KARAKAYA§3</v>
      </c>
      <c r="W287" s="29" t="str">
        <f>IF(U287=1,COUNTIF($U$2:U287,1),"")</f>
        <v/>
      </c>
      <c r="X287" s="29" t="str">
        <f t="shared" si="19"/>
        <v/>
      </c>
      <c r="Y287" s="29">
        <f>IF(AND(LEFT($B287,7)="SBA 26/",$D287&lt;&gt;"",$F287&lt;&gt;""),COUNTIFS($D$2:$D287,$D287,$B$2:$B287,"SBA 26/*",$F$2:$F287,"&lt;&gt;"),"")</f>
        <v>12</v>
      </c>
      <c r="Z287" s="29" t="str">
        <f>IF(Y287=1,COUNTIF($Y$2:Y287,1),"")</f>
        <v/>
      </c>
      <c r="AA287" s="29">
        <f>IF(AND(LEFT($B287,7)="SBA 26/",$C287&lt;&gt;"",$F287&lt;&gt;""),COUNTIFS($C$2:$C287,$C287,$B$2:$B287,"SBA 26/*",$F$2:$F287,"&lt;&gt;"),"")</f>
        <v>3</v>
      </c>
      <c r="AB287" s="29" t="str">
        <f>IF(AA287=1,COUNTIF($AA$2:AA287,1),"")</f>
        <v/>
      </c>
    </row>
    <row r="288" spans="1:28" ht="129.75" customHeight="1" x14ac:dyDescent="0.2">
      <c r="A288" s="43" t="s">
        <v>1452</v>
      </c>
      <c r="B288" s="43" t="s">
        <v>1453</v>
      </c>
      <c r="C288" s="44" t="s">
        <v>1454</v>
      </c>
      <c r="D288" s="44" t="s">
        <v>222</v>
      </c>
      <c r="E288" s="45" t="s">
        <v>1455</v>
      </c>
      <c r="F288" s="45" t="s">
        <v>1456</v>
      </c>
      <c r="G288" s="46" t="s">
        <v>38</v>
      </c>
      <c r="H288" s="48">
        <v>46097</v>
      </c>
      <c r="I288" s="48">
        <v>46112</v>
      </c>
      <c r="J288" s="44" t="s">
        <v>109</v>
      </c>
      <c r="K288" s="44" t="s">
        <v>100</v>
      </c>
      <c r="L288" s="50" t="s">
        <v>101</v>
      </c>
      <c r="M288" s="50" t="s">
        <v>77</v>
      </c>
      <c r="N288" s="50"/>
      <c r="O288" s="49"/>
      <c r="P288" s="50" t="str">
        <f t="shared" si="16"/>
        <v>ONAY</v>
      </c>
      <c r="Q288" s="28" t="s">
        <v>109</v>
      </c>
      <c r="R288" s="51" t="str">
        <f t="shared" si="17"/>
        <v/>
      </c>
      <c r="T288" s="41"/>
      <c r="U288" s="29">
        <f>IF($C288&lt;&gt;"",COUNTIF($C$2:C288,C288),"")</f>
        <v>1</v>
      </c>
      <c r="V288" s="29" t="str">
        <f t="shared" si="18"/>
        <v>Prof. Dr. Fatma Visal OKUR§1</v>
      </c>
      <c r="W288" s="29">
        <f>IF(U288=1,COUNTIF($U$2:U288,1),"")</f>
        <v>182</v>
      </c>
      <c r="X288" s="29">
        <f t="shared" si="19"/>
        <v>232</v>
      </c>
      <c r="Y288" s="29">
        <f>IF(AND(LEFT($B288,7)="SBA 26/",$D288&lt;&gt;"",$F288&lt;&gt;""),COUNTIFS($D$2:$D288,$D288,$B$2:$B288,"SBA 26/*",$F$2:$F288,"&lt;&gt;"),"")</f>
        <v>42</v>
      </c>
      <c r="Z288" s="29" t="str">
        <f>IF(Y288=1,COUNTIF($Y$2:Y288,1),"")</f>
        <v/>
      </c>
      <c r="AA288" s="29">
        <f>IF(AND(LEFT($B288,7)="SBA 26/",$C288&lt;&gt;"",$F288&lt;&gt;""),COUNTIFS($C$2:$C288,$C288,$B$2:$B288,"SBA 26/*",$F$2:$F288,"&lt;&gt;"),"")</f>
        <v>1</v>
      </c>
      <c r="AB288" s="29">
        <f>IF(AA288=1,COUNTIF($AA$2:AA288,1),"")</f>
        <v>182</v>
      </c>
    </row>
    <row r="289" spans="1:28" ht="63" customHeight="1" x14ac:dyDescent="0.2">
      <c r="A289" s="43" t="s">
        <v>1457</v>
      </c>
      <c r="B289" s="43" t="s">
        <v>1458</v>
      </c>
      <c r="C289" s="44" t="s">
        <v>1207</v>
      </c>
      <c r="D289" s="44" t="s">
        <v>222</v>
      </c>
      <c r="E289" s="45" t="s">
        <v>1459</v>
      </c>
      <c r="F289" s="45" t="s">
        <v>1460</v>
      </c>
      <c r="G289" s="46" t="s">
        <v>38</v>
      </c>
      <c r="H289" s="48">
        <v>46097</v>
      </c>
      <c r="I289" s="48">
        <v>46112</v>
      </c>
      <c r="J289" s="44" t="s">
        <v>92</v>
      </c>
      <c r="K289" s="44" t="s">
        <v>84</v>
      </c>
      <c r="L289" s="50" t="s">
        <v>77</v>
      </c>
      <c r="M289" s="50"/>
      <c r="N289" s="50"/>
      <c r="O289" s="49"/>
      <c r="P289" s="50" t="str">
        <f t="shared" si="16"/>
        <v>ONAY</v>
      </c>
      <c r="R289" s="51" t="str">
        <f t="shared" si="17"/>
        <v/>
      </c>
      <c r="T289" s="41"/>
      <c r="U289" s="29">
        <f>IF($C289&lt;&gt;"",COUNTIF($C$2:C289,C289),"")</f>
        <v>2</v>
      </c>
      <c r="V289" s="29" t="str">
        <f t="shared" si="18"/>
        <v>Prof. Dr. Özlem TEKŞAM§2</v>
      </c>
      <c r="W289" s="29" t="str">
        <f>IF(U289=1,COUNTIF($U$2:U289,1),"")</f>
        <v/>
      </c>
      <c r="X289" s="29" t="str">
        <f t="shared" si="19"/>
        <v/>
      </c>
      <c r="Y289" s="29">
        <f>IF(AND(LEFT($B289,7)="SBA 26/",$D289&lt;&gt;"",$F289&lt;&gt;""),COUNTIFS($D$2:$D289,$D289,$B$2:$B289,"SBA 26/*",$F$2:$F289,"&lt;&gt;"),"")</f>
        <v>43</v>
      </c>
      <c r="Z289" s="29" t="str">
        <f>IF(Y289=1,COUNTIF($Y$2:Y289,1),"")</f>
        <v/>
      </c>
      <c r="AA289" s="29">
        <f>IF(AND(LEFT($B289,7)="SBA 26/",$C289&lt;&gt;"",$F289&lt;&gt;""),COUNTIFS($C$2:$C289,$C289,$B$2:$B289,"SBA 26/*",$F$2:$F289,"&lt;&gt;"),"")</f>
        <v>2</v>
      </c>
      <c r="AB289" s="29" t="str">
        <f>IF(AA289=1,COUNTIF($AA$2:AA289,1),"")</f>
        <v/>
      </c>
    </row>
    <row r="290" spans="1:28" ht="63" customHeight="1" x14ac:dyDescent="0.2">
      <c r="A290" s="43" t="s">
        <v>1461</v>
      </c>
      <c r="B290" s="43" t="s">
        <v>1462</v>
      </c>
      <c r="C290" s="44" t="s">
        <v>548</v>
      </c>
      <c r="D290" s="44" t="s">
        <v>193</v>
      </c>
      <c r="E290" s="45" t="s">
        <v>1463</v>
      </c>
      <c r="F290" s="45" t="s">
        <v>1464</v>
      </c>
      <c r="G290" s="46" t="s">
        <v>38</v>
      </c>
      <c r="H290" s="48">
        <v>46097</v>
      </c>
      <c r="I290" s="48">
        <v>46112</v>
      </c>
      <c r="J290" s="44" t="s">
        <v>91</v>
      </c>
      <c r="K290" s="44" t="s">
        <v>116</v>
      </c>
      <c r="L290" s="50" t="s">
        <v>77</v>
      </c>
      <c r="M290" s="50"/>
      <c r="N290" s="50"/>
      <c r="O290" s="49"/>
      <c r="P290" s="50" t="str">
        <f t="shared" si="16"/>
        <v>ONAY</v>
      </c>
      <c r="R290" s="51" t="str">
        <f t="shared" si="17"/>
        <v/>
      </c>
      <c r="T290" s="41"/>
      <c r="U290" s="29">
        <f>IF($C290&lt;&gt;"",COUNTIF($C$2:C290,C290),"")</f>
        <v>3</v>
      </c>
      <c r="V290" s="29" t="str">
        <f t="shared" si="18"/>
        <v>Doç. Dr. İrem KOÇ§3</v>
      </c>
      <c r="W290" s="29" t="str">
        <f>IF(U290=1,COUNTIF($U$2:U290,1),"")</f>
        <v/>
      </c>
      <c r="X290" s="29" t="str">
        <f t="shared" si="19"/>
        <v/>
      </c>
      <c r="Y290" s="29">
        <f>IF(AND(LEFT($B290,7)="SBA 26/",$D290&lt;&gt;"",$F290&lt;&gt;""),COUNTIFS($D$2:$D290,$D290,$B$2:$B290,"SBA 26/*",$F$2:$F290,"&lt;&gt;"),"")</f>
        <v>7</v>
      </c>
      <c r="Z290" s="29" t="str">
        <f>IF(Y290=1,COUNTIF($Y$2:Y290,1),"")</f>
        <v/>
      </c>
      <c r="AA290" s="29">
        <f>IF(AND(LEFT($B290,7)="SBA 26/",$C290&lt;&gt;"",$F290&lt;&gt;""),COUNTIFS($C$2:$C290,$C290,$B$2:$B290,"SBA 26/*",$F$2:$F290,"&lt;&gt;"),"")</f>
        <v>3</v>
      </c>
      <c r="AB290" s="29" t="str">
        <f>IF(AA290=1,COUNTIF($AA$2:AA290,1),"")</f>
        <v/>
      </c>
    </row>
    <row r="291" spans="1:28" ht="78.75" customHeight="1" x14ac:dyDescent="0.2">
      <c r="A291" s="43" t="s">
        <v>1465</v>
      </c>
      <c r="B291" s="43" t="s">
        <v>1466</v>
      </c>
      <c r="C291" s="44" t="s">
        <v>770</v>
      </c>
      <c r="D291" s="44" t="s">
        <v>1467</v>
      </c>
      <c r="E291" s="45" t="s">
        <v>1468</v>
      </c>
      <c r="F291" s="45" t="s">
        <v>1469</v>
      </c>
      <c r="G291" s="46" t="s">
        <v>39</v>
      </c>
      <c r="H291" s="48">
        <v>46097</v>
      </c>
      <c r="I291" s="48">
        <v>46112</v>
      </c>
      <c r="J291" s="44" t="s">
        <v>75</v>
      </c>
      <c r="K291" s="44" t="s">
        <v>91</v>
      </c>
      <c r="L291" s="50" t="s">
        <v>77</v>
      </c>
      <c r="M291" s="50"/>
      <c r="N291" s="50"/>
      <c r="O291" s="49"/>
      <c r="P291" s="50" t="str">
        <f t="shared" si="16"/>
        <v>ONAY</v>
      </c>
      <c r="R291" s="51" t="str">
        <f t="shared" si="17"/>
        <v/>
      </c>
      <c r="T291" s="41"/>
      <c r="U291" s="29">
        <f>IF($C291&lt;&gt;"",COUNTIF($C$2:C291,C291),"")</f>
        <v>2</v>
      </c>
      <c r="V291" s="29" t="str">
        <f t="shared" si="18"/>
        <v>Dr. Öğr. Üyesi Arda ÇETİNKAYA§2</v>
      </c>
      <c r="W291" s="29" t="str">
        <f>IF(U291=1,COUNTIF($U$2:U291,1),"")</f>
        <v/>
      </c>
      <c r="X291" s="29" t="str">
        <f t="shared" si="19"/>
        <v/>
      </c>
      <c r="Y291" s="29">
        <f>IF(AND(LEFT($B291,7)="SBA 26/",$D291&lt;&gt;"",$F291&lt;&gt;""),COUNTIFS($D$2:$D291,$D291,$B$2:$B291,"SBA 26/*",$F$2:$F291,"&lt;&gt;"),"")</f>
        <v>1</v>
      </c>
      <c r="Z291" s="29">
        <f>IF(Y291=1,COUNTIF($Y$2:Y291,1),"")</f>
        <v>59</v>
      </c>
      <c r="AA291" s="29">
        <f>IF(AND(LEFT($B291,7)="SBA 26/",$C291&lt;&gt;"",$F291&lt;&gt;""),COUNTIFS($C$2:$C291,$C291,$B$2:$B291,"SBA 26/*",$F$2:$F291,"&lt;&gt;"),"")</f>
        <v>2</v>
      </c>
      <c r="AB291" s="29" t="str">
        <f>IF(AA291=1,COUNTIF($AA$2:AA291,1),"")</f>
        <v/>
      </c>
    </row>
    <row r="292" spans="1:28" ht="63" customHeight="1" x14ac:dyDescent="0.2">
      <c r="A292" s="43" t="s">
        <v>1470</v>
      </c>
      <c r="B292" s="43" t="s">
        <v>1471</v>
      </c>
      <c r="C292" s="44" t="s">
        <v>1472</v>
      </c>
      <c r="D292" s="44" t="s">
        <v>270</v>
      </c>
      <c r="E292" s="45" t="s">
        <v>1473</v>
      </c>
      <c r="F292" s="45" t="s">
        <v>1474</v>
      </c>
      <c r="G292" s="46" t="s">
        <v>38</v>
      </c>
      <c r="H292" s="48">
        <v>46097</v>
      </c>
      <c r="I292" s="48">
        <v>46112</v>
      </c>
      <c r="J292" s="44" t="s">
        <v>92</v>
      </c>
      <c r="K292" s="44" t="s">
        <v>116</v>
      </c>
      <c r="L292" s="50" t="s">
        <v>101</v>
      </c>
      <c r="M292" s="50" t="s">
        <v>77</v>
      </c>
      <c r="N292" s="50"/>
      <c r="O292" s="49"/>
      <c r="P292" s="50" t="str">
        <f t="shared" si="16"/>
        <v>ONAY</v>
      </c>
      <c r="Q292" s="28" t="s">
        <v>116</v>
      </c>
      <c r="R292" s="51" t="str">
        <f t="shared" si="17"/>
        <v/>
      </c>
      <c r="T292" s="41"/>
      <c r="U292" s="29">
        <f>IF($C292&lt;&gt;"",COUNTIF($C$2:C292,C292),"")</f>
        <v>1</v>
      </c>
      <c r="V292" s="29" t="str">
        <f t="shared" si="18"/>
        <v>Arş. Gör. Dr. Tuğçe TAŞKINDERE ABBASOĞLU§1</v>
      </c>
      <c r="W292" s="29">
        <f>IF(U292=1,COUNTIF($U$2:U292,1),"")</f>
        <v>183</v>
      </c>
      <c r="X292" s="29">
        <f t="shared" si="19"/>
        <v>13</v>
      </c>
      <c r="Y292" s="29">
        <f>IF(AND(LEFT($B292,7)="SBA 26/",$D292&lt;&gt;"",$F292&lt;&gt;""),COUNTIFS($D$2:$D292,$D292,$B$2:$B292,"SBA 26/*",$F$2:$F292,"&lt;&gt;"),"")</f>
        <v>7</v>
      </c>
      <c r="Z292" s="29" t="str">
        <f>IF(Y292=1,COUNTIF($Y$2:Y292,1),"")</f>
        <v/>
      </c>
      <c r="AA292" s="29">
        <f>IF(AND(LEFT($B292,7)="SBA 26/",$C292&lt;&gt;"",$F292&lt;&gt;""),COUNTIFS($C$2:$C292,$C292,$B$2:$B292,"SBA 26/*",$F$2:$F292,"&lt;&gt;"),"")</f>
        <v>1</v>
      </c>
      <c r="AB292" s="29">
        <f>IF(AA292=1,COUNTIF($AA$2:AA292,1),"")</f>
        <v>183</v>
      </c>
    </row>
    <row r="293" spans="1:28" ht="78.75" customHeight="1" x14ac:dyDescent="0.2">
      <c r="A293" s="43" t="s">
        <v>1475</v>
      </c>
      <c r="B293" s="43" t="s">
        <v>1476</v>
      </c>
      <c r="C293" s="44" t="s">
        <v>1477</v>
      </c>
      <c r="D293" s="44" t="s">
        <v>120</v>
      </c>
      <c r="E293" s="45" t="s">
        <v>1478</v>
      </c>
      <c r="F293" s="45" t="s">
        <v>1479</v>
      </c>
      <c r="G293" s="46" t="s">
        <v>38</v>
      </c>
      <c r="H293" s="48">
        <v>46097</v>
      </c>
      <c r="I293" s="48">
        <v>46112</v>
      </c>
      <c r="J293" s="44" t="s">
        <v>123</v>
      </c>
      <c r="K293" s="44" t="s">
        <v>116</v>
      </c>
      <c r="L293" s="50" t="s">
        <v>77</v>
      </c>
      <c r="M293" s="50"/>
      <c r="N293" s="50"/>
      <c r="O293" s="49"/>
      <c r="P293" s="50" t="str">
        <f t="shared" si="16"/>
        <v>ONAY</v>
      </c>
      <c r="R293" s="51" t="str">
        <f t="shared" si="17"/>
        <v/>
      </c>
      <c r="T293" s="41"/>
      <c r="U293" s="29">
        <f>IF($C293&lt;&gt;"",COUNTIF($C$2:C293,C293),"")</f>
        <v>1</v>
      </c>
      <c r="V293" s="29" t="str">
        <f t="shared" si="18"/>
        <v>Prof. Dr. Emel UZUNOĞLU ÖZYÜREK§1</v>
      </c>
      <c r="W293" s="29">
        <f>IF(U293=1,COUNTIF($U$2:U293,1),"")</f>
        <v>184</v>
      </c>
      <c r="X293" s="29">
        <f t="shared" si="19"/>
        <v>224</v>
      </c>
      <c r="Y293" s="29">
        <f>IF(AND(LEFT($B293,7)="SBA 26/",$D293&lt;&gt;"",$F293&lt;&gt;""),COUNTIFS($D$2:$D293,$D293,$B$2:$B293,"SBA 26/*",$F$2:$F293,"&lt;&gt;"),"")</f>
        <v>3</v>
      </c>
      <c r="Z293" s="29" t="str">
        <f>IF(Y293=1,COUNTIF($Y$2:Y293,1),"")</f>
        <v/>
      </c>
      <c r="AA293" s="29">
        <f>IF(AND(LEFT($B293,7)="SBA 26/",$C293&lt;&gt;"",$F293&lt;&gt;""),COUNTIFS($C$2:$C293,$C293,$B$2:$B293,"SBA 26/*",$F$2:$F293,"&lt;&gt;"),"")</f>
        <v>1</v>
      </c>
      <c r="AB293" s="29">
        <f>IF(AA293=1,COUNTIF($AA$2:AA293,1),"")</f>
        <v>184</v>
      </c>
    </row>
    <row r="294" spans="1:28" ht="63" customHeight="1" x14ac:dyDescent="0.2">
      <c r="A294" s="43" t="s">
        <v>1480</v>
      </c>
      <c r="B294" s="43" t="s">
        <v>1481</v>
      </c>
      <c r="C294" s="44" t="s">
        <v>1482</v>
      </c>
      <c r="D294" s="44" t="s">
        <v>133</v>
      </c>
      <c r="E294" s="45" t="s">
        <v>1483</v>
      </c>
      <c r="F294" s="45" t="s">
        <v>1484</v>
      </c>
      <c r="G294" s="46" t="s">
        <v>39</v>
      </c>
      <c r="H294" s="48">
        <v>46097</v>
      </c>
      <c r="I294" s="48">
        <v>46112</v>
      </c>
      <c r="J294" s="44" t="s">
        <v>100</v>
      </c>
      <c r="K294" s="44" t="s">
        <v>116</v>
      </c>
      <c r="L294" s="50" t="s">
        <v>101</v>
      </c>
      <c r="M294" s="50" t="s">
        <v>77</v>
      </c>
      <c r="N294" s="50"/>
      <c r="O294" s="49"/>
      <c r="P294" s="50" t="str">
        <f t="shared" si="16"/>
        <v>ONAY</v>
      </c>
      <c r="Q294" s="28" t="s">
        <v>100</v>
      </c>
      <c r="R294" s="51" t="str">
        <f t="shared" si="17"/>
        <v/>
      </c>
      <c r="T294" s="41"/>
      <c r="U294" s="29">
        <f>IF($C294&lt;&gt;"",COUNTIF($C$2:C294,C294),"")</f>
        <v>1</v>
      </c>
      <c r="V294" s="29" t="str">
        <f t="shared" si="18"/>
        <v>Prof. Dr. Devrim AKDEMİR§1</v>
      </c>
      <c r="W294" s="29">
        <f>IF(U294=1,COUNTIF($U$2:U294,1),"")</f>
        <v>185</v>
      </c>
      <c r="X294" s="29">
        <f t="shared" si="19"/>
        <v>217</v>
      </c>
      <c r="Y294" s="29">
        <f>IF(AND(LEFT($B294,7)="SBA 26/",$D294&lt;&gt;"",$F294&lt;&gt;""),COUNTIFS($D$2:$D294,$D294,$B$2:$B294,"SBA 26/*",$F$2:$F294,"&lt;&gt;"),"")</f>
        <v>7</v>
      </c>
      <c r="Z294" s="29" t="str">
        <f>IF(Y294=1,COUNTIF($Y$2:Y294,1),"")</f>
        <v/>
      </c>
      <c r="AA294" s="29">
        <f>IF(AND(LEFT($B294,7)="SBA 26/",$C294&lt;&gt;"",$F294&lt;&gt;""),COUNTIFS($C$2:$C294,$C294,$B$2:$B294,"SBA 26/*",$F$2:$F294,"&lt;&gt;"),"")</f>
        <v>1</v>
      </c>
      <c r="AB294" s="29">
        <f>IF(AA294=1,COUNTIF($AA$2:AA294,1),"")</f>
        <v>185</v>
      </c>
    </row>
    <row r="295" spans="1:28" ht="63" customHeight="1" x14ac:dyDescent="0.2">
      <c r="A295" s="43" t="s">
        <v>1485</v>
      </c>
      <c r="B295" s="43" t="s">
        <v>1486</v>
      </c>
      <c r="C295" s="44" t="s">
        <v>1487</v>
      </c>
      <c r="D295" s="44" t="s">
        <v>228</v>
      </c>
      <c r="E295" s="45" t="s">
        <v>1488</v>
      </c>
      <c r="F295" s="45" t="s">
        <v>1489</v>
      </c>
      <c r="G295" s="46" t="s">
        <v>39</v>
      </c>
      <c r="H295" s="48">
        <v>46097</v>
      </c>
      <c r="I295" s="48">
        <v>46112</v>
      </c>
      <c r="J295" s="44" t="s">
        <v>109</v>
      </c>
      <c r="K295" s="44" t="s">
        <v>91</v>
      </c>
      <c r="L295" s="50" t="s">
        <v>77</v>
      </c>
      <c r="M295" s="50"/>
      <c r="N295" s="50"/>
      <c r="O295" s="49"/>
      <c r="P295" s="50" t="str">
        <f t="shared" si="16"/>
        <v>ONAY</v>
      </c>
      <c r="R295" s="51" t="str">
        <f t="shared" si="17"/>
        <v/>
      </c>
      <c r="T295" s="41"/>
      <c r="U295" s="29">
        <f>IF($C295&lt;&gt;"",COUNTIF($C$2:C295,C295),"")</f>
        <v>1</v>
      </c>
      <c r="V295" s="29" t="str">
        <f t="shared" si="18"/>
        <v>Dr. Öğr. Üyesi Onur İNCE§1</v>
      </c>
      <c r="W295" s="29">
        <f>IF(U295=1,COUNTIF($U$2:U295,1),"")</f>
        <v>186</v>
      </c>
      <c r="X295" s="29">
        <f t="shared" si="19"/>
        <v>158</v>
      </c>
      <c r="Y295" s="29">
        <f>IF(AND(LEFT($B295,7)="SBA 26/",$D295&lt;&gt;"",$F295&lt;&gt;""),COUNTIFS($D$2:$D295,$D295,$B$2:$B295,"SBA 26/*",$F$2:$F295,"&lt;&gt;"),"")</f>
        <v>18</v>
      </c>
      <c r="Z295" s="29" t="str">
        <f>IF(Y295=1,COUNTIF($Y$2:Y295,1),"")</f>
        <v/>
      </c>
      <c r="AA295" s="29">
        <f>IF(AND(LEFT($B295,7)="SBA 26/",$C295&lt;&gt;"",$F295&lt;&gt;""),COUNTIFS($C$2:$C295,$C295,$B$2:$B295,"SBA 26/*",$F$2:$F295,"&lt;&gt;"),"")</f>
        <v>1</v>
      </c>
      <c r="AB295" s="29">
        <f>IF(AA295=1,COUNTIF($AA$2:AA295,1),"")</f>
        <v>186</v>
      </c>
    </row>
    <row r="296" spans="1:28" ht="94.5" customHeight="1" x14ac:dyDescent="0.2">
      <c r="A296" s="43" t="s">
        <v>1490</v>
      </c>
      <c r="B296" s="43" t="s">
        <v>1491</v>
      </c>
      <c r="C296" s="44" t="s">
        <v>1492</v>
      </c>
      <c r="D296" s="44" t="s">
        <v>1493</v>
      </c>
      <c r="E296" s="45" t="s">
        <v>1494</v>
      </c>
      <c r="F296" s="45" t="s">
        <v>1495</v>
      </c>
      <c r="G296" s="46" t="s">
        <v>39</v>
      </c>
      <c r="H296" s="48">
        <v>46097</v>
      </c>
      <c r="I296" s="48">
        <v>46112</v>
      </c>
      <c r="J296" s="44" t="s">
        <v>116</v>
      </c>
      <c r="K296" s="44" t="s">
        <v>84</v>
      </c>
      <c r="L296" s="50" t="s">
        <v>101</v>
      </c>
      <c r="M296" s="50" t="s">
        <v>77</v>
      </c>
      <c r="N296" s="50"/>
      <c r="O296" s="49"/>
      <c r="P296" s="50" t="str">
        <f t="shared" si="16"/>
        <v>ONAY</v>
      </c>
      <c r="Q296" s="28" t="s">
        <v>116</v>
      </c>
      <c r="R296" s="51" t="str">
        <f t="shared" si="17"/>
        <v/>
      </c>
      <c r="T296" s="41"/>
      <c r="U296" s="29">
        <f>IF($C296&lt;&gt;"",COUNTIF($C$2:C296,C296),"")</f>
        <v>1</v>
      </c>
      <c r="V296" s="29" t="str">
        <f t="shared" si="18"/>
        <v>Öğr. Gör. Dr. Berrin BABAOĞLU§1</v>
      </c>
      <c r="W296" s="29">
        <f>IF(U296=1,COUNTIF($U$2:U296,1),"")</f>
        <v>187</v>
      </c>
      <c r="X296" s="29">
        <f t="shared" si="19"/>
        <v>177</v>
      </c>
      <c r="Y296" s="29">
        <f>IF(AND(LEFT($B296,7)="SBA 26/",$D296&lt;&gt;"",$F296&lt;&gt;""),COUNTIFS($D$2:$D296,$D296,$B$2:$B296,"SBA 26/*",$F$2:$F296,"&lt;&gt;"),"")</f>
        <v>1</v>
      </c>
      <c r="Z296" s="29">
        <f>IF(Y296=1,COUNTIF($Y$2:Y296,1),"")</f>
        <v>60</v>
      </c>
      <c r="AA296" s="29">
        <f>IF(AND(LEFT($B296,7)="SBA 26/",$C296&lt;&gt;"",$F296&lt;&gt;""),COUNTIFS($C$2:$C296,$C296,$B$2:$B296,"SBA 26/*",$F$2:$F296,"&lt;&gt;"),"")</f>
        <v>1</v>
      </c>
      <c r="AB296" s="29">
        <f>IF(AA296=1,COUNTIF($AA$2:AA296,1),"")</f>
        <v>187</v>
      </c>
    </row>
    <row r="297" spans="1:28" ht="63" customHeight="1" x14ac:dyDescent="0.2">
      <c r="A297" s="43" t="s">
        <v>1496</v>
      </c>
      <c r="B297" s="43" t="s">
        <v>1497</v>
      </c>
      <c r="C297" s="44" t="s">
        <v>1498</v>
      </c>
      <c r="D297" s="44" t="s">
        <v>113</v>
      </c>
      <c r="E297" s="45" t="s">
        <v>1499</v>
      </c>
      <c r="F297" s="45" t="s">
        <v>1500</v>
      </c>
      <c r="G297" s="46" t="s">
        <v>38</v>
      </c>
      <c r="H297" s="48">
        <v>46097</v>
      </c>
      <c r="I297" s="48">
        <v>46112</v>
      </c>
      <c r="J297" s="44" t="s">
        <v>75</v>
      </c>
      <c r="K297" s="44" t="s">
        <v>109</v>
      </c>
      <c r="L297" s="50" t="s">
        <v>101</v>
      </c>
      <c r="M297" s="50" t="s">
        <v>77</v>
      </c>
      <c r="N297" s="50"/>
      <c r="O297" s="49"/>
      <c r="P297" s="50" t="str">
        <f t="shared" si="16"/>
        <v>ONAY</v>
      </c>
      <c r="Q297" s="28" t="s">
        <v>109</v>
      </c>
      <c r="R297" s="51" t="str">
        <f t="shared" si="17"/>
        <v/>
      </c>
      <c r="T297" s="41"/>
      <c r="U297" s="29">
        <f>IF($C297&lt;&gt;"",COUNTIF($C$2:C297,C297),"")</f>
        <v>1</v>
      </c>
      <c r="V297" s="29" t="str">
        <f t="shared" si="18"/>
        <v>Prof. Dr. Hakan GÖKER§1</v>
      </c>
      <c r="W297" s="29">
        <f>IF(U297=1,COUNTIF($U$2:U297,1),"")</f>
        <v>188</v>
      </c>
      <c r="X297" s="29">
        <f t="shared" si="19"/>
        <v>243</v>
      </c>
      <c r="Y297" s="29">
        <f>IF(AND(LEFT($B297,7)="SBA 26/",$D297&lt;&gt;"",$F297&lt;&gt;""),COUNTIFS($D$2:$D297,$D297,$B$2:$B297,"SBA 26/*",$F$2:$F297,"&lt;&gt;"),"")</f>
        <v>38</v>
      </c>
      <c r="Z297" s="29" t="str">
        <f>IF(Y297=1,COUNTIF($Y$2:Y297,1),"")</f>
        <v/>
      </c>
      <c r="AA297" s="29">
        <f>IF(AND(LEFT($B297,7)="SBA 26/",$C297&lt;&gt;"",$F297&lt;&gt;""),COUNTIFS($C$2:$C297,$C297,$B$2:$B297,"SBA 26/*",$F$2:$F297,"&lt;&gt;"),"")</f>
        <v>1</v>
      </c>
      <c r="AB297" s="29">
        <f>IF(AA297=1,COUNTIF($AA$2:AA297,1),"")</f>
        <v>188</v>
      </c>
    </row>
    <row r="298" spans="1:28" ht="110.25" customHeight="1" x14ac:dyDescent="0.2">
      <c r="A298" s="43" t="s">
        <v>1501</v>
      </c>
      <c r="B298" s="43" t="s">
        <v>1502</v>
      </c>
      <c r="C298" s="44" t="s">
        <v>1503</v>
      </c>
      <c r="D298" s="44" t="s">
        <v>222</v>
      </c>
      <c r="E298" s="45" t="s">
        <v>1504</v>
      </c>
      <c r="F298" s="45" t="s">
        <v>1505</v>
      </c>
      <c r="G298" s="46" t="s">
        <v>39</v>
      </c>
      <c r="H298" s="48">
        <v>46097</v>
      </c>
      <c r="I298" s="48">
        <v>46112</v>
      </c>
      <c r="J298" s="44" t="s">
        <v>123</v>
      </c>
      <c r="K298" s="44" t="s">
        <v>76</v>
      </c>
      <c r="L298" s="50" t="s">
        <v>77</v>
      </c>
      <c r="M298" s="50"/>
      <c r="N298" s="50"/>
      <c r="O298" s="49"/>
      <c r="P298" s="50" t="str">
        <f t="shared" si="16"/>
        <v>ONAY</v>
      </c>
      <c r="R298" s="51" t="str">
        <f t="shared" si="17"/>
        <v/>
      </c>
      <c r="T298" s="41"/>
      <c r="U298" s="29">
        <f>IF($C298&lt;&gt;"",COUNTIF($C$2:C298,C298),"")</f>
        <v>1</v>
      </c>
      <c r="V298" s="29" t="str">
        <f t="shared" si="18"/>
        <v>Prof. Dr. Sinem AKGÜL§1</v>
      </c>
      <c r="W298" s="29">
        <f>IF(U298=1,COUNTIF($U$2:U298,1),"")</f>
        <v>189</v>
      </c>
      <c r="X298" s="29">
        <f t="shared" si="19"/>
        <v>323</v>
      </c>
      <c r="Y298" s="29">
        <f>IF(AND(LEFT($B298,7)="SBA 26/",$D298&lt;&gt;"",$F298&lt;&gt;""),COUNTIFS($D$2:$D298,$D298,$B$2:$B298,"SBA 26/*",$F$2:$F298,"&lt;&gt;"),"")</f>
        <v>44</v>
      </c>
      <c r="Z298" s="29" t="str">
        <f>IF(Y298=1,COUNTIF($Y$2:Y298,1),"")</f>
        <v/>
      </c>
      <c r="AA298" s="29">
        <f>IF(AND(LEFT($B298,7)="SBA 26/",$C298&lt;&gt;"",$F298&lt;&gt;""),COUNTIFS($C$2:$C298,$C298,$B$2:$B298,"SBA 26/*",$F$2:$F298,"&lt;&gt;"),"")</f>
        <v>1</v>
      </c>
      <c r="AB298" s="29">
        <f>IF(AA298=1,COUNTIF($AA$2:AA298,1),"")</f>
        <v>189</v>
      </c>
    </row>
    <row r="299" spans="1:28" ht="94.5" customHeight="1" x14ac:dyDescent="0.2">
      <c r="A299" s="43" t="s">
        <v>1506</v>
      </c>
      <c r="B299" s="43" t="s">
        <v>1507</v>
      </c>
      <c r="C299" s="44" t="s">
        <v>1329</v>
      </c>
      <c r="D299" s="44" t="s">
        <v>222</v>
      </c>
      <c r="E299" s="45" t="s">
        <v>1508</v>
      </c>
      <c r="F299" s="45" t="s">
        <v>1509</v>
      </c>
      <c r="G299" s="46" t="s">
        <v>38</v>
      </c>
      <c r="H299" s="48">
        <v>46097</v>
      </c>
      <c r="I299" s="48">
        <v>46112</v>
      </c>
      <c r="J299" s="44" t="s">
        <v>76</v>
      </c>
      <c r="K299" s="44" t="s">
        <v>99</v>
      </c>
      <c r="L299" s="50" t="s">
        <v>77</v>
      </c>
      <c r="M299" s="50"/>
      <c r="N299" s="50"/>
      <c r="O299" s="49"/>
      <c r="P299" s="50" t="str">
        <f t="shared" si="16"/>
        <v>ONAY</v>
      </c>
      <c r="R299" s="51" t="str">
        <f t="shared" si="17"/>
        <v/>
      </c>
      <c r="T299" s="41"/>
      <c r="U299" s="29">
        <f>IF($C299&lt;&gt;"",COUNTIF($C$2:C299,C299),"")</f>
        <v>2</v>
      </c>
      <c r="V299" s="29" t="str">
        <f t="shared" si="18"/>
        <v>Prof. Dr. Bülent Enis ŞEKEREL§2</v>
      </c>
      <c r="W299" s="29" t="str">
        <f>IF(U299=1,COUNTIF($U$2:U299,1),"")</f>
        <v/>
      </c>
      <c r="X299" s="29" t="str">
        <f t="shared" si="19"/>
        <v/>
      </c>
      <c r="Y299" s="29">
        <f>IF(AND(LEFT($B299,7)="SBA 26/",$D299&lt;&gt;"",$F299&lt;&gt;""),COUNTIFS($D$2:$D299,$D299,$B$2:$B299,"SBA 26/*",$F$2:$F299,"&lt;&gt;"),"")</f>
        <v>45</v>
      </c>
      <c r="Z299" s="29" t="str">
        <f>IF(Y299=1,COUNTIF($Y$2:Y299,1),"")</f>
        <v/>
      </c>
      <c r="AA299" s="29">
        <f>IF(AND(LEFT($B299,7)="SBA 26/",$C299&lt;&gt;"",$F299&lt;&gt;""),COUNTIFS($C$2:$C299,$C299,$B$2:$B299,"SBA 26/*",$F$2:$F299,"&lt;&gt;"),"")</f>
        <v>2</v>
      </c>
      <c r="AB299" s="29" t="str">
        <f>IF(AA299=1,COUNTIF($AA$2:AA299,1),"")</f>
        <v/>
      </c>
    </row>
    <row r="300" spans="1:28" ht="63" customHeight="1" x14ac:dyDescent="0.2">
      <c r="A300" s="43" t="s">
        <v>1510</v>
      </c>
      <c r="B300" s="43" t="s">
        <v>1511</v>
      </c>
      <c r="C300" s="44" t="s">
        <v>1106</v>
      </c>
      <c r="D300" s="44" t="s">
        <v>966</v>
      </c>
      <c r="E300" s="45" t="s">
        <v>1512</v>
      </c>
      <c r="F300" s="45" t="s">
        <v>1513</v>
      </c>
      <c r="G300" s="46" t="s">
        <v>39</v>
      </c>
      <c r="H300" s="48">
        <v>46097</v>
      </c>
      <c r="I300" s="48">
        <v>46112</v>
      </c>
      <c r="J300" s="44" t="s">
        <v>116</v>
      </c>
      <c r="K300" s="44" t="s">
        <v>84</v>
      </c>
      <c r="L300" s="50" t="s">
        <v>77</v>
      </c>
      <c r="M300" s="50"/>
      <c r="N300" s="50"/>
      <c r="O300" s="49"/>
      <c r="P300" s="50" t="str">
        <f t="shared" si="16"/>
        <v>ONAY</v>
      </c>
      <c r="R300" s="51" t="str">
        <f t="shared" si="17"/>
        <v/>
      </c>
      <c r="T300" s="41"/>
      <c r="U300" s="29">
        <f>IF($C300&lt;&gt;"",COUNTIF($C$2:C300,C300),"")</f>
        <v>2</v>
      </c>
      <c r="V300" s="29" t="str">
        <f t="shared" si="18"/>
        <v>Doç. Dr. Duygu AYHAN BAŞER§2</v>
      </c>
      <c r="W300" s="29" t="str">
        <f>IF(U300=1,COUNTIF($U$2:U300,1),"")</f>
        <v/>
      </c>
      <c r="X300" s="29" t="str">
        <f t="shared" si="19"/>
        <v/>
      </c>
      <c r="Y300" s="29">
        <f>IF(AND(LEFT($B300,7)="SBA 26/",$D300&lt;&gt;"",$F300&lt;&gt;""),COUNTIFS($D$2:$D300,$D300,$B$2:$B300,"SBA 26/*",$F$2:$F300,"&lt;&gt;"),"")</f>
        <v>4</v>
      </c>
      <c r="Z300" s="29" t="str">
        <f>IF(Y300=1,COUNTIF($Y$2:Y300,1),"")</f>
        <v/>
      </c>
      <c r="AA300" s="29">
        <f>IF(AND(LEFT($B300,7)="SBA 26/",$C300&lt;&gt;"",$F300&lt;&gt;""),COUNTIFS($C$2:$C300,$C300,$B$2:$B300,"SBA 26/*",$F$2:$F300,"&lt;&gt;"),"")</f>
        <v>2</v>
      </c>
      <c r="AB300" s="29" t="str">
        <f>IF(AA300=1,COUNTIF($AA$2:AA300,1),"")</f>
        <v/>
      </c>
    </row>
    <row r="301" spans="1:28" ht="63" customHeight="1" x14ac:dyDescent="0.2">
      <c r="A301" s="43" t="s">
        <v>1514</v>
      </c>
      <c r="B301" s="43" t="s">
        <v>1515</v>
      </c>
      <c r="C301" s="44" t="s">
        <v>112</v>
      </c>
      <c r="D301" s="44" t="s">
        <v>113</v>
      </c>
      <c r="E301" s="45" t="s">
        <v>1516</v>
      </c>
      <c r="F301" s="45" t="s">
        <v>1517</v>
      </c>
      <c r="G301" s="46" t="s">
        <v>38</v>
      </c>
      <c r="H301" s="48">
        <v>46097</v>
      </c>
      <c r="I301" s="48">
        <v>46112</v>
      </c>
      <c r="J301" s="44" t="s">
        <v>109</v>
      </c>
      <c r="K301" s="44" t="s">
        <v>92</v>
      </c>
      <c r="L301" s="50" t="s">
        <v>101</v>
      </c>
      <c r="M301" s="50" t="s">
        <v>77</v>
      </c>
      <c r="N301" s="50"/>
      <c r="O301" s="49"/>
      <c r="P301" s="50" t="str">
        <f t="shared" si="16"/>
        <v>ONAY</v>
      </c>
      <c r="Q301" s="28" t="s">
        <v>109</v>
      </c>
      <c r="R301" s="51" t="str">
        <f t="shared" si="17"/>
        <v/>
      </c>
      <c r="T301" s="41"/>
      <c r="U301" s="29">
        <f>IF($C301&lt;&gt;"",COUNTIF($C$2:C301,C301),"")</f>
        <v>10</v>
      </c>
      <c r="V301" s="29" t="str">
        <f t="shared" si="18"/>
        <v>Prof. Dr. Meltem Gülhan HALİL§10</v>
      </c>
      <c r="W301" s="29" t="str">
        <f>IF(U301=1,COUNTIF($U$2:U301,1),"")</f>
        <v/>
      </c>
      <c r="X301" s="29" t="str">
        <f t="shared" si="19"/>
        <v/>
      </c>
      <c r="Y301" s="29">
        <f>IF(AND(LEFT($B301,7)="SBA 26/",$D301&lt;&gt;"",$F301&lt;&gt;""),COUNTIFS($D$2:$D301,$D301,$B$2:$B301,"SBA 26/*",$F$2:$F301,"&lt;&gt;"),"")</f>
        <v>39</v>
      </c>
      <c r="Z301" s="29" t="str">
        <f>IF(Y301=1,COUNTIF($Y$2:Y301,1),"")</f>
        <v/>
      </c>
      <c r="AA301" s="29">
        <f>IF(AND(LEFT($B301,7)="SBA 26/",$C301&lt;&gt;"",$F301&lt;&gt;""),COUNTIFS($C$2:$C301,$C301,$B$2:$B301,"SBA 26/*",$F$2:$F301,"&lt;&gt;"),"")</f>
        <v>10</v>
      </c>
      <c r="AB301" s="29" t="str">
        <f>IF(AA301=1,COUNTIF($AA$2:AA301,1),"")</f>
        <v/>
      </c>
    </row>
    <row r="302" spans="1:28" ht="78.75" customHeight="1" x14ac:dyDescent="0.2">
      <c r="A302" s="43" t="s">
        <v>1518</v>
      </c>
      <c r="B302" s="43" t="s">
        <v>1519</v>
      </c>
      <c r="C302" s="44" t="s">
        <v>1414</v>
      </c>
      <c r="D302" s="44" t="s">
        <v>222</v>
      </c>
      <c r="E302" s="45" t="s">
        <v>1520</v>
      </c>
      <c r="F302" s="45" t="s">
        <v>1521</v>
      </c>
      <c r="G302" s="46" t="s">
        <v>38</v>
      </c>
      <c r="H302" s="48">
        <v>46098</v>
      </c>
      <c r="I302" s="48">
        <v>46112</v>
      </c>
      <c r="J302" s="44" t="s">
        <v>99</v>
      </c>
      <c r="K302" s="44" t="s">
        <v>75</v>
      </c>
      <c r="L302" s="50" t="s">
        <v>101</v>
      </c>
      <c r="M302" s="50" t="s">
        <v>77</v>
      </c>
      <c r="N302" s="50"/>
      <c r="O302" s="49"/>
      <c r="P302" s="50" t="str">
        <f t="shared" si="16"/>
        <v>ONAY</v>
      </c>
      <c r="Q302" s="28" t="s">
        <v>75</v>
      </c>
      <c r="R302" s="51" t="str">
        <f t="shared" si="17"/>
        <v/>
      </c>
      <c r="T302" s="41"/>
      <c r="U302" s="29">
        <f>IF($C302&lt;&gt;"",COUNTIF($C$2:C302,C302),"")</f>
        <v>2</v>
      </c>
      <c r="V302" s="29" t="str">
        <f t="shared" si="18"/>
        <v>Prof. Dr. İnci Nur SALTIK§2</v>
      </c>
      <c r="W302" s="29" t="str">
        <f>IF(U302=1,COUNTIF($U$2:U302,1),"")</f>
        <v/>
      </c>
      <c r="X302" s="29" t="str">
        <f t="shared" si="19"/>
        <v/>
      </c>
      <c r="Y302" s="29">
        <f>IF(AND(LEFT($B302,7)="SBA 26/",$D302&lt;&gt;"",$F302&lt;&gt;""),COUNTIFS($D$2:$D302,$D302,$B$2:$B302,"SBA 26/*",$F$2:$F302,"&lt;&gt;"),"")</f>
        <v>46</v>
      </c>
      <c r="Z302" s="29" t="str">
        <f>IF(Y302=1,COUNTIF($Y$2:Y302,1),"")</f>
        <v/>
      </c>
      <c r="AA302" s="29">
        <f>IF(AND(LEFT($B302,7)="SBA 26/",$C302&lt;&gt;"",$F302&lt;&gt;""),COUNTIFS($C$2:$C302,$C302,$B$2:$B302,"SBA 26/*",$F$2:$F302,"&lt;&gt;"),"")</f>
        <v>2</v>
      </c>
      <c r="AB302" s="29" t="str">
        <f>IF(AA302=1,COUNTIF($AA$2:AA302,1),"")</f>
        <v/>
      </c>
    </row>
    <row r="303" spans="1:28" ht="78.75" customHeight="1" x14ac:dyDescent="0.2">
      <c r="A303" s="43" t="s">
        <v>1522</v>
      </c>
      <c r="B303" s="43" t="s">
        <v>1523</v>
      </c>
      <c r="C303" s="44" t="s">
        <v>1300</v>
      </c>
      <c r="D303" s="44" t="s">
        <v>228</v>
      </c>
      <c r="E303" s="45" t="s">
        <v>1524</v>
      </c>
      <c r="F303" s="45" t="s">
        <v>1525</v>
      </c>
      <c r="G303" s="46" t="s">
        <v>38</v>
      </c>
      <c r="H303" s="48">
        <v>46098</v>
      </c>
      <c r="I303" s="48">
        <v>46112</v>
      </c>
      <c r="J303" s="44" t="s">
        <v>75</v>
      </c>
      <c r="K303" s="44" t="s">
        <v>100</v>
      </c>
      <c r="L303" s="50" t="s">
        <v>77</v>
      </c>
      <c r="M303" s="50"/>
      <c r="N303" s="50"/>
      <c r="O303" s="49"/>
      <c r="P303" s="50" t="str">
        <f t="shared" si="16"/>
        <v>ONAY</v>
      </c>
      <c r="R303" s="51" t="str">
        <f t="shared" si="17"/>
        <v/>
      </c>
      <c r="T303" s="41"/>
      <c r="U303" s="29">
        <f>IF($C303&lt;&gt;"",COUNTIF($C$2:C303,C303),"")</f>
        <v>2</v>
      </c>
      <c r="V303" s="29" t="str">
        <f t="shared" si="18"/>
        <v>Prof. Dr. Murat GÜLTEKİN§2</v>
      </c>
      <c r="W303" s="29" t="str">
        <f>IF(U303=1,COUNTIF($U$2:U303,1),"")</f>
        <v/>
      </c>
      <c r="X303" s="29" t="str">
        <f t="shared" si="19"/>
        <v/>
      </c>
      <c r="Y303" s="29">
        <f>IF(AND(LEFT($B303,7)="SBA 26/",$D303&lt;&gt;"",$F303&lt;&gt;""),COUNTIFS($D$2:$D303,$D303,$B$2:$B303,"SBA 26/*",$F$2:$F303,"&lt;&gt;"),"")</f>
        <v>19</v>
      </c>
      <c r="Z303" s="29" t="str">
        <f>IF(Y303=1,COUNTIF($Y$2:Y303,1),"")</f>
        <v/>
      </c>
      <c r="AA303" s="29">
        <f>IF(AND(LEFT($B303,7)="SBA 26/",$C303&lt;&gt;"",$F303&lt;&gt;""),COUNTIFS($C$2:$C303,$C303,$B$2:$B303,"SBA 26/*",$F$2:$F303,"&lt;&gt;"),"")</f>
        <v>2</v>
      </c>
      <c r="AB303" s="29" t="str">
        <f>IF(AA303=1,COUNTIF($AA$2:AA303,1),"")</f>
        <v/>
      </c>
    </row>
    <row r="304" spans="1:28" ht="63" customHeight="1" x14ac:dyDescent="0.2">
      <c r="A304" s="43" t="s">
        <v>1526</v>
      </c>
      <c r="B304" s="43" t="s">
        <v>1527</v>
      </c>
      <c r="C304" s="44" t="s">
        <v>1528</v>
      </c>
      <c r="D304" s="44" t="s">
        <v>234</v>
      </c>
      <c r="E304" s="45" t="s">
        <v>1529</v>
      </c>
      <c r="F304" s="45" t="s">
        <v>1530</v>
      </c>
      <c r="G304" s="46" t="s">
        <v>38</v>
      </c>
      <c r="H304" s="48">
        <v>46098</v>
      </c>
      <c r="I304" s="48">
        <v>46112</v>
      </c>
      <c r="J304" s="44" t="s">
        <v>92</v>
      </c>
      <c r="K304" s="44" t="s">
        <v>123</v>
      </c>
      <c r="L304" s="50" t="s">
        <v>77</v>
      </c>
      <c r="M304" s="50"/>
      <c r="N304" s="50"/>
      <c r="O304" s="49"/>
      <c r="P304" s="50" t="str">
        <f t="shared" si="16"/>
        <v>ONAY</v>
      </c>
      <c r="R304" s="51" t="str">
        <f t="shared" si="17"/>
        <v/>
      </c>
      <c r="T304" s="41"/>
      <c r="U304" s="29">
        <f>IF($C304&lt;&gt;"",COUNTIF($C$2:C304,C304),"")</f>
        <v>1</v>
      </c>
      <c r="V304" s="29" t="str">
        <f t="shared" si="18"/>
        <v>Doç. Dr. Cem ÇÖTELİ§1</v>
      </c>
      <c r="W304" s="29">
        <f>IF(U304=1,COUNTIF($U$2:U304,1),"")</f>
        <v>190</v>
      </c>
      <c r="X304" s="29">
        <f t="shared" si="19"/>
        <v>33</v>
      </c>
      <c r="Y304" s="29">
        <f>IF(AND(LEFT($B304,7)="SBA 26/",$D304&lt;&gt;"",$F304&lt;&gt;""),COUNTIFS($D$2:$D304,$D304,$B$2:$B304,"SBA 26/*",$F$2:$F304,"&lt;&gt;"),"")</f>
        <v>6</v>
      </c>
      <c r="Z304" s="29" t="str">
        <f>IF(Y304=1,COUNTIF($Y$2:Y304,1),"")</f>
        <v/>
      </c>
      <c r="AA304" s="29">
        <f>IF(AND(LEFT($B304,7)="SBA 26/",$C304&lt;&gt;"",$F304&lt;&gt;""),COUNTIFS($C$2:$C304,$C304,$B$2:$B304,"SBA 26/*",$F$2:$F304,"&lt;&gt;"),"")</f>
        <v>1</v>
      </c>
      <c r="AB304" s="29">
        <f>IF(AA304=1,COUNTIF($AA$2:AA304,1),"")</f>
        <v>190</v>
      </c>
    </row>
    <row r="305" spans="1:28" ht="78.75" customHeight="1" x14ac:dyDescent="0.2">
      <c r="A305" s="43" t="s">
        <v>1531</v>
      </c>
      <c r="B305" s="43" t="s">
        <v>1532</v>
      </c>
      <c r="C305" s="44" t="s">
        <v>1533</v>
      </c>
      <c r="D305" s="44" t="s">
        <v>113</v>
      </c>
      <c r="E305" s="45" t="s">
        <v>1534</v>
      </c>
      <c r="F305" s="45" t="s">
        <v>1535</v>
      </c>
      <c r="G305" s="46" t="s">
        <v>38</v>
      </c>
      <c r="H305" s="48">
        <v>46098</v>
      </c>
      <c r="I305" s="48">
        <v>46112</v>
      </c>
      <c r="J305" s="44" t="s">
        <v>91</v>
      </c>
      <c r="K305" s="44" t="s">
        <v>116</v>
      </c>
      <c r="L305" s="50" t="s">
        <v>101</v>
      </c>
      <c r="M305" s="50" t="s">
        <v>77</v>
      </c>
      <c r="N305" s="50"/>
      <c r="O305" s="49"/>
      <c r="P305" s="50" t="str">
        <f t="shared" si="16"/>
        <v>ONAY</v>
      </c>
      <c r="Q305" s="28" t="s">
        <v>91</v>
      </c>
      <c r="R305" s="51" t="str">
        <f t="shared" si="17"/>
        <v/>
      </c>
      <c r="T305" s="41"/>
      <c r="U305" s="29">
        <f>IF($C305&lt;&gt;"",COUNTIF($C$2:C305,C305),"")</f>
        <v>1</v>
      </c>
      <c r="V305" s="29" t="str">
        <f t="shared" si="18"/>
        <v>Doç. Dr. Oğuz Abdullah UYAROĞLU§1</v>
      </c>
      <c r="W305" s="29">
        <f>IF(U305=1,COUNTIF($U$2:U305,1),"")</f>
        <v>191</v>
      </c>
      <c r="X305" s="29">
        <f t="shared" si="19"/>
        <v>92</v>
      </c>
      <c r="Y305" s="29">
        <f>IF(AND(LEFT($B305,7)="SBA 26/",$D305&lt;&gt;"",$F305&lt;&gt;""),COUNTIFS($D$2:$D305,$D305,$B$2:$B305,"SBA 26/*",$F$2:$F305,"&lt;&gt;"),"")</f>
        <v>40</v>
      </c>
      <c r="Z305" s="29" t="str">
        <f>IF(Y305=1,COUNTIF($Y$2:Y305,1),"")</f>
        <v/>
      </c>
      <c r="AA305" s="29">
        <f>IF(AND(LEFT($B305,7)="SBA 26/",$C305&lt;&gt;"",$F305&lt;&gt;""),COUNTIFS($C$2:$C305,$C305,$B$2:$B305,"SBA 26/*",$F$2:$F305,"&lt;&gt;"),"")</f>
        <v>1</v>
      </c>
      <c r="AB305" s="29">
        <f>IF(AA305=1,COUNTIF($AA$2:AA305,1),"")</f>
        <v>191</v>
      </c>
    </row>
    <row r="306" spans="1:28" ht="78.75" customHeight="1" x14ac:dyDescent="0.2">
      <c r="A306" s="43" t="s">
        <v>1536</v>
      </c>
      <c r="B306" s="43" t="s">
        <v>1537</v>
      </c>
      <c r="C306" s="44" t="s">
        <v>1538</v>
      </c>
      <c r="D306" s="44" t="s">
        <v>280</v>
      </c>
      <c r="E306" s="45" t="s">
        <v>1539</v>
      </c>
      <c r="F306" s="45" t="s">
        <v>1540</v>
      </c>
      <c r="G306" s="46" t="s">
        <v>39</v>
      </c>
      <c r="H306" s="48">
        <v>46098</v>
      </c>
      <c r="I306" s="48">
        <v>46112</v>
      </c>
      <c r="J306" s="44" t="s">
        <v>92</v>
      </c>
      <c r="K306" s="44" t="s">
        <v>76</v>
      </c>
      <c r="L306" s="50" t="s">
        <v>77</v>
      </c>
      <c r="M306" s="50"/>
      <c r="N306" s="50"/>
      <c r="O306" s="49"/>
      <c r="P306" s="50" t="str">
        <f t="shared" si="16"/>
        <v>ONAY</v>
      </c>
      <c r="R306" s="51" t="str">
        <f t="shared" si="17"/>
        <v/>
      </c>
      <c r="T306" s="41"/>
      <c r="U306" s="29">
        <f>IF($C306&lt;&gt;"",COUNTIF($C$2:C306,C306),"")</f>
        <v>1</v>
      </c>
      <c r="V306" s="29" t="str">
        <f t="shared" si="18"/>
        <v>Prof. Dr. Bilge VOLKAN SALANCI§1</v>
      </c>
      <c r="W306" s="29">
        <f>IF(U306=1,COUNTIF($U$2:U306,1),"")</f>
        <v>192</v>
      </c>
      <c r="X306" s="29">
        <f t="shared" si="19"/>
        <v>206</v>
      </c>
      <c r="Y306" s="29">
        <f>IF(AND(LEFT($B306,7)="SBA 26/",$D306&lt;&gt;"",$F306&lt;&gt;""),COUNTIFS($D$2:$D306,$D306,$B$2:$B306,"SBA 26/*",$F$2:$F306,"&lt;&gt;"),"")</f>
        <v>5</v>
      </c>
      <c r="Z306" s="29" t="str">
        <f>IF(Y306=1,COUNTIF($Y$2:Y306,1),"")</f>
        <v/>
      </c>
      <c r="AA306" s="29">
        <f>IF(AND(LEFT($B306,7)="SBA 26/",$C306&lt;&gt;"",$F306&lt;&gt;""),COUNTIFS($C$2:$C306,$C306,$B$2:$B306,"SBA 26/*",$F$2:$F306,"&lt;&gt;"),"")</f>
        <v>1</v>
      </c>
      <c r="AB306" s="29">
        <f>IF(AA306=1,COUNTIF($AA$2:AA306,1),"")</f>
        <v>192</v>
      </c>
    </row>
    <row r="307" spans="1:28" ht="81" customHeight="1" x14ac:dyDescent="0.2">
      <c r="A307" s="43" t="s">
        <v>1541</v>
      </c>
      <c r="B307" s="43" t="s">
        <v>1542</v>
      </c>
      <c r="C307" s="44" t="s">
        <v>671</v>
      </c>
      <c r="D307" s="44" t="s">
        <v>347</v>
      </c>
      <c r="E307" s="45" t="s">
        <v>1543</v>
      </c>
      <c r="F307" s="45" t="s">
        <v>1544</v>
      </c>
      <c r="G307" s="46" t="s">
        <v>38</v>
      </c>
      <c r="H307" s="48">
        <v>46098</v>
      </c>
      <c r="I307" s="48">
        <v>46112</v>
      </c>
      <c r="J307" s="44" t="s">
        <v>91</v>
      </c>
      <c r="K307" s="44" t="s">
        <v>109</v>
      </c>
      <c r="L307" s="50" t="s">
        <v>172</v>
      </c>
      <c r="M307" s="50"/>
      <c r="N307" s="50"/>
      <c r="O307" s="49"/>
      <c r="P307" s="50" t="str">
        <f t="shared" si="16"/>
        <v>RET</v>
      </c>
      <c r="R307" s="51" t="str">
        <f t="shared" si="17"/>
        <v/>
      </c>
      <c r="T307" s="41"/>
      <c r="U307" s="29">
        <f>IF($C307&lt;&gt;"",COUNTIF($C$2:C307,C307),"")</f>
        <v>2</v>
      </c>
      <c r="V307" s="29" t="str">
        <f t="shared" si="18"/>
        <v>Prof. Dr. Alp ÇETİN§2</v>
      </c>
      <c r="W307" s="29" t="str">
        <f>IF(U307=1,COUNTIF($U$2:U307,1),"")</f>
        <v/>
      </c>
      <c r="X307" s="29" t="str">
        <f t="shared" si="19"/>
        <v/>
      </c>
      <c r="Y307" s="29">
        <f>IF(AND(LEFT($B307,7)="SBA 26/",$D307&lt;&gt;"",$F307&lt;&gt;""),COUNTIFS($D$2:$D307,$D307,$B$2:$B307,"SBA 26/*",$F$2:$F307,"&lt;&gt;"),"")</f>
        <v>3</v>
      </c>
      <c r="Z307" s="29" t="str">
        <f>IF(Y307=1,COUNTIF($Y$2:Y307,1),"")</f>
        <v/>
      </c>
      <c r="AA307" s="29">
        <f>IF(AND(LEFT($B307,7)="SBA 26/",$C307&lt;&gt;"",$F307&lt;&gt;""),COUNTIFS($C$2:$C307,$C307,$B$2:$B307,"SBA 26/*",$F$2:$F307,"&lt;&gt;"),"")</f>
        <v>2</v>
      </c>
      <c r="AB307" s="29" t="str">
        <f>IF(AA307=1,COUNTIF($AA$2:AA307,1),"")</f>
        <v/>
      </c>
    </row>
    <row r="308" spans="1:28" ht="81" customHeight="1" x14ac:dyDescent="0.2">
      <c r="A308" s="43" t="s">
        <v>1545</v>
      </c>
      <c r="B308" s="43" t="s">
        <v>1546</v>
      </c>
      <c r="C308" s="44" t="s">
        <v>671</v>
      </c>
      <c r="D308" s="44" t="s">
        <v>347</v>
      </c>
      <c r="E308" s="45" t="s">
        <v>1543</v>
      </c>
      <c r="F308" s="45" t="s">
        <v>1547</v>
      </c>
      <c r="G308" s="46" t="s">
        <v>38</v>
      </c>
      <c r="H308" s="48">
        <v>46098</v>
      </c>
      <c r="I308" s="48">
        <v>46112</v>
      </c>
      <c r="J308" s="44" t="s">
        <v>91</v>
      </c>
      <c r="K308" s="44" t="s">
        <v>109</v>
      </c>
      <c r="L308" s="50" t="s">
        <v>172</v>
      </c>
      <c r="M308" s="50"/>
      <c r="N308" s="50"/>
      <c r="O308" s="49"/>
      <c r="P308" s="50" t="str">
        <f t="shared" si="16"/>
        <v>RET</v>
      </c>
      <c r="R308" s="51" t="str">
        <f t="shared" si="17"/>
        <v/>
      </c>
      <c r="T308" s="41"/>
      <c r="U308" s="29">
        <f>IF($C308&lt;&gt;"",COUNTIF($C$2:C308,C308),"")</f>
        <v>3</v>
      </c>
      <c r="V308" s="29" t="str">
        <f t="shared" si="18"/>
        <v>Prof. Dr. Alp ÇETİN§3</v>
      </c>
      <c r="W308" s="29" t="str">
        <f>IF(U308=1,COUNTIF($U$2:U308,1),"")</f>
        <v/>
      </c>
      <c r="X308" s="29" t="str">
        <f t="shared" si="19"/>
        <v/>
      </c>
      <c r="Y308" s="29">
        <f>IF(AND(LEFT($B308,7)="SBA 26/",$D308&lt;&gt;"",$F308&lt;&gt;""),COUNTIFS($D$2:$D308,$D308,$B$2:$B308,"SBA 26/*",$F$2:$F308,"&lt;&gt;"),"")</f>
        <v>4</v>
      </c>
      <c r="Z308" s="29" t="str">
        <f>IF(Y308=1,COUNTIF($Y$2:Y308,1),"")</f>
        <v/>
      </c>
      <c r="AA308" s="29">
        <f>IF(AND(LEFT($B308,7)="SBA 26/",$C308&lt;&gt;"",$F308&lt;&gt;""),COUNTIFS($C$2:$C308,$C308,$B$2:$B308,"SBA 26/*",$F$2:$F308,"&lt;&gt;"),"")</f>
        <v>3</v>
      </c>
      <c r="AB308" s="29" t="str">
        <f>IF(AA308=1,COUNTIF($AA$2:AA308,1),"")</f>
        <v/>
      </c>
    </row>
    <row r="309" spans="1:28" ht="63" customHeight="1" x14ac:dyDescent="0.2">
      <c r="A309" s="43" t="s">
        <v>1548</v>
      </c>
      <c r="B309" s="43" t="s">
        <v>1549</v>
      </c>
      <c r="C309" s="44" t="s">
        <v>3381</v>
      </c>
      <c r="D309" s="44" t="s">
        <v>991</v>
      </c>
      <c r="E309" s="45" t="s">
        <v>1550</v>
      </c>
      <c r="F309" s="45" t="s">
        <v>1551</v>
      </c>
      <c r="G309" s="46" t="s">
        <v>38</v>
      </c>
      <c r="H309" s="48">
        <v>46099</v>
      </c>
      <c r="I309" s="48">
        <v>46112</v>
      </c>
      <c r="J309" s="44" t="s">
        <v>123</v>
      </c>
      <c r="K309" s="44" t="s">
        <v>92</v>
      </c>
      <c r="L309" s="50" t="s">
        <v>101</v>
      </c>
      <c r="M309" s="50" t="s">
        <v>206</v>
      </c>
      <c r="N309" s="50"/>
      <c r="O309" s="49"/>
      <c r="P309" s="50" t="str">
        <f t="shared" si="16"/>
        <v>GÖRÜŞ</v>
      </c>
      <c r="R309" s="51" t="str">
        <f t="shared" si="17"/>
        <v/>
      </c>
      <c r="T309" s="41"/>
      <c r="U309" s="29">
        <f>IF($C309&lt;&gt;"",COUNTIF($C$2:C309,C309),"")</f>
        <v>1</v>
      </c>
      <c r="V309" s="29" t="str">
        <f t="shared" si="18"/>
        <v>Prof. Dr. Filiz YALÇIN ÇAKIR§1</v>
      </c>
      <c r="W309" s="29">
        <f>IF(U309=1,COUNTIF($U$2:U309,1),"")</f>
        <v>193</v>
      </c>
      <c r="X309" s="29">
        <f t="shared" si="19"/>
        <v>234</v>
      </c>
      <c r="Y309" s="29">
        <f>IF(AND(LEFT($B309,7)="SBA 26/",$D309&lt;&gt;"",$F309&lt;&gt;""),COUNTIFS($D$2:$D309,$D309,$B$2:$B309,"SBA 26/*",$F$2:$F309,"&lt;&gt;"),"")</f>
        <v>2</v>
      </c>
      <c r="Z309" s="29" t="str">
        <f>IF(Y309=1,COUNTIF($Y$2:Y309,1),"")</f>
        <v/>
      </c>
      <c r="AA309" s="29">
        <f>IF(AND(LEFT($B309,7)="SBA 26/",$C309&lt;&gt;"",$F309&lt;&gt;""),COUNTIFS($C$2:$C309,$C309,$B$2:$B309,"SBA 26/*",$F$2:$F309,"&lt;&gt;"),"")</f>
        <v>1</v>
      </c>
      <c r="AB309" s="29">
        <f>IF(AA309=1,COUNTIF($AA$2:AA309,1),"")</f>
        <v>193</v>
      </c>
    </row>
    <row r="310" spans="1:28" ht="63" customHeight="1" x14ac:dyDescent="0.2">
      <c r="A310" s="43" t="s">
        <v>1552</v>
      </c>
      <c r="B310" s="43" t="s">
        <v>1553</v>
      </c>
      <c r="C310" s="44" t="s">
        <v>1432</v>
      </c>
      <c r="D310" s="44" t="s">
        <v>113</v>
      </c>
      <c r="E310" s="45" t="s">
        <v>1554</v>
      </c>
      <c r="F310" s="45" t="s">
        <v>1555</v>
      </c>
      <c r="G310" s="46" t="s">
        <v>38</v>
      </c>
      <c r="H310" s="48">
        <v>46099</v>
      </c>
      <c r="I310" s="48">
        <v>46112</v>
      </c>
      <c r="J310" s="44" t="s">
        <v>99</v>
      </c>
      <c r="K310" s="44" t="s">
        <v>100</v>
      </c>
      <c r="L310" s="50" t="s">
        <v>77</v>
      </c>
      <c r="M310" s="50"/>
      <c r="N310" s="50"/>
      <c r="O310" s="49"/>
      <c r="P310" s="50" t="str">
        <f t="shared" si="16"/>
        <v>ONAY</v>
      </c>
      <c r="R310" s="51" t="str">
        <f t="shared" si="17"/>
        <v/>
      </c>
      <c r="T310" s="41"/>
      <c r="U310" s="29">
        <f>IF($C310&lt;&gt;"",COUNTIF($C$2:C310,C310),"")</f>
        <v>2</v>
      </c>
      <c r="V310" s="29" t="str">
        <f t="shared" si="18"/>
        <v>Prof. Dr. Taylan KAV§2</v>
      </c>
      <c r="W310" s="29" t="str">
        <f>IF(U310=1,COUNTIF($U$2:U310,1),"")</f>
        <v/>
      </c>
      <c r="X310" s="29" t="str">
        <f t="shared" si="19"/>
        <v/>
      </c>
      <c r="Y310" s="29">
        <f>IF(AND(LEFT($B310,7)="SBA 26/",$D310&lt;&gt;"",$F310&lt;&gt;""),COUNTIFS($D$2:$D310,$D310,$B$2:$B310,"SBA 26/*",$F$2:$F310,"&lt;&gt;"),"")</f>
        <v>41</v>
      </c>
      <c r="Z310" s="29" t="str">
        <f>IF(Y310=1,COUNTIF($Y$2:Y310,1),"")</f>
        <v/>
      </c>
      <c r="AA310" s="29">
        <f>IF(AND(LEFT($B310,7)="SBA 26/",$C310&lt;&gt;"",$F310&lt;&gt;""),COUNTIFS($C$2:$C310,$C310,$B$2:$B310,"SBA 26/*",$F$2:$F310,"&lt;&gt;"),"")</f>
        <v>2</v>
      </c>
      <c r="AB310" s="29" t="str">
        <f>IF(AA310=1,COUNTIF($AA$2:AA310,1),"")</f>
        <v/>
      </c>
    </row>
    <row r="311" spans="1:28" ht="78.75" customHeight="1" x14ac:dyDescent="0.2">
      <c r="A311" s="43" t="s">
        <v>1556</v>
      </c>
      <c r="B311" s="43" t="s">
        <v>1557</v>
      </c>
      <c r="C311" s="44" t="s">
        <v>1432</v>
      </c>
      <c r="D311" s="44" t="s">
        <v>113</v>
      </c>
      <c r="E311" s="45" t="s">
        <v>1558</v>
      </c>
      <c r="F311" s="45" t="s">
        <v>1559</v>
      </c>
      <c r="G311" s="46" t="s">
        <v>38</v>
      </c>
      <c r="H311" s="48">
        <v>46099</v>
      </c>
      <c r="I311" s="48">
        <v>46112</v>
      </c>
      <c r="J311" s="44" t="s">
        <v>99</v>
      </c>
      <c r="K311" s="44" t="s">
        <v>100</v>
      </c>
      <c r="L311" s="50" t="s">
        <v>77</v>
      </c>
      <c r="M311" s="50"/>
      <c r="N311" s="50"/>
      <c r="O311" s="49"/>
      <c r="P311" s="50" t="str">
        <f t="shared" si="16"/>
        <v>ONAY</v>
      </c>
      <c r="R311" s="51" t="str">
        <f t="shared" si="17"/>
        <v/>
      </c>
      <c r="T311" s="41"/>
      <c r="U311" s="29">
        <f>IF($C311&lt;&gt;"",COUNTIF($C$2:C311,C311),"")</f>
        <v>3</v>
      </c>
      <c r="V311" s="29" t="str">
        <f t="shared" si="18"/>
        <v>Prof. Dr. Taylan KAV§3</v>
      </c>
      <c r="W311" s="29" t="str">
        <f>IF(U311=1,COUNTIF($U$2:U311,1),"")</f>
        <v/>
      </c>
      <c r="X311" s="29" t="str">
        <f t="shared" si="19"/>
        <v/>
      </c>
      <c r="Y311" s="29">
        <f>IF(AND(LEFT($B311,7)="SBA 26/",$D311&lt;&gt;"",$F311&lt;&gt;""),COUNTIFS($D$2:$D311,$D311,$B$2:$B311,"SBA 26/*",$F$2:$F311,"&lt;&gt;"),"")</f>
        <v>42</v>
      </c>
      <c r="Z311" s="29" t="str">
        <f>IF(Y311=1,COUNTIF($Y$2:Y311,1),"")</f>
        <v/>
      </c>
      <c r="AA311" s="29">
        <f>IF(AND(LEFT($B311,7)="SBA 26/",$C311&lt;&gt;"",$F311&lt;&gt;""),COUNTIFS($C$2:$C311,$C311,$B$2:$B311,"SBA 26/*",$F$2:$F311,"&lt;&gt;"),"")</f>
        <v>3</v>
      </c>
      <c r="AB311" s="29" t="str">
        <f>IF(AA311=1,COUNTIF($AA$2:AA311,1),"")</f>
        <v/>
      </c>
    </row>
    <row r="312" spans="1:28" ht="66" customHeight="1" x14ac:dyDescent="0.2">
      <c r="A312" s="43" t="s">
        <v>1560</v>
      </c>
      <c r="B312" s="43" t="s">
        <v>1561</v>
      </c>
      <c r="C312" s="44" t="s">
        <v>1562</v>
      </c>
      <c r="D312" s="44" t="s">
        <v>325</v>
      </c>
      <c r="E312" s="45" t="s">
        <v>1563</v>
      </c>
      <c r="F312" s="45" t="s">
        <v>1564</v>
      </c>
      <c r="G312" s="46" t="s">
        <v>38</v>
      </c>
      <c r="H312" s="48">
        <v>46099</v>
      </c>
      <c r="I312" s="48">
        <v>46112</v>
      </c>
      <c r="J312" s="44" t="s">
        <v>100</v>
      </c>
      <c r="K312" s="44" t="s">
        <v>84</v>
      </c>
      <c r="L312" s="50" t="s">
        <v>77</v>
      </c>
      <c r="M312" s="50"/>
      <c r="N312" s="50"/>
      <c r="O312" s="49"/>
      <c r="P312" s="50" t="str">
        <f t="shared" si="16"/>
        <v>ONAY</v>
      </c>
      <c r="R312" s="51" t="str">
        <f t="shared" si="17"/>
        <v/>
      </c>
      <c r="T312" s="41"/>
      <c r="U312" s="29">
        <f>IF($C312&lt;&gt;"",COUNTIF($C$2:C312,C312),"")</f>
        <v>1</v>
      </c>
      <c r="V312" s="29" t="str">
        <f t="shared" si="18"/>
        <v>Prof. Dr. Cavit Işık YAVUZ§1</v>
      </c>
      <c r="W312" s="29">
        <f>IF(U312=1,COUNTIF($U$2:U312,1),"")</f>
        <v>194</v>
      </c>
      <c r="X312" s="29">
        <f t="shared" si="19"/>
        <v>212</v>
      </c>
      <c r="Y312" s="29">
        <f>IF(AND(LEFT($B312,7)="SBA 26/",$D312&lt;&gt;"",$F312&lt;&gt;""),COUNTIFS($D$2:$D312,$D312,$B$2:$B312,"SBA 26/*",$F$2:$F312,"&lt;&gt;"),"")</f>
        <v>3</v>
      </c>
      <c r="Z312" s="29" t="str">
        <f>IF(Y312=1,COUNTIF($Y$2:Y312,1),"")</f>
        <v/>
      </c>
      <c r="AA312" s="29">
        <f>IF(AND(LEFT($B312,7)="SBA 26/",$C312&lt;&gt;"",$F312&lt;&gt;""),COUNTIFS($C$2:$C312,$C312,$B$2:$B312,"SBA 26/*",$F$2:$F312,"&lt;&gt;"),"")</f>
        <v>1</v>
      </c>
      <c r="AB312" s="29">
        <f>IF(AA312=1,COUNTIF($AA$2:AA312,1),"")</f>
        <v>194</v>
      </c>
    </row>
    <row r="313" spans="1:28" ht="63" customHeight="1" x14ac:dyDescent="0.2">
      <c r="A313" s="43" t="s">
        <v>1565</v>
      </c>
      <c r="B313" s="43" t="s">
        <v>1566</v>
      </c>
      <c r="C313" s="44" t="s">
        <v>1567</v>
      </c>
      <c r="D313" s="44" t="s">
        <v>1073</v>
      </c>
      <c r="E313" s="45" t="s">
        <v>1568</v>
      </c>
      <c r="F313" s="57" t="s">
        <v>1569</v>
      </c>
      <c r="G313" s="46" t="s">
        <v>40</v>
      </c>
      <c r="H313" s="48">
        <v>46099</v>
      </c>
      <c r="I313" s="48">
        <v>46112</v>
      </c>
      <c r="J313" s="44" t="s">
        <v>75</v>
      </c>
      <c r="K313" s="44" t="s">
        <v>76</v>
      </c>
      <c r="L313" s="50" t="s">
        <v>101</v>
      </c>
      <c r="M313" s="50" t="s">
        <v>206</v>
      </c>
      <c r="N313" s="50" t="s">
        <v>101</v>
      </c>
      <c r="O313" s="49" t="s">
        <v>77</v>
      </c>
      <c r="P313" s="50" t="str">
        <f t="shared" si="16"/>
        <v>ONAY</v>
      </c>
      <c r="Q313" s="28" t="s">
        <v>109</v>
      </c>
      <c r="R313" s="51" t="str">
        <f t="shared" si="17"/>
        <v/>
      </c>
      <c r="T313" s="41"/>
      <c r="U313" s="29">
        <f>IF($C313&lt;&gt;"",COUNTIF($C$2:C313,C313),"")</f>
        <v>1</v>
      </c>
      <c r="V313" s="29" t="str">
        <f t="shared" si="18"/>
        <v>Dr. Öğr. Üyesi Burçe ATAÇ MOGOL§1</v>
      </c>
      <c r="W313" s="29">
        <f>IF(U313=1,COUNTIF($U$2:U313,1),"")</f>
        <v>195</v>
      </c>
      <c r="X313" s="29">
        <f t="shared" si="19"/>
        <v>126</v>
      </c>
      <c r="Y313" s="29">
        <f>IF(AND(LEFT($B313,7)="SBA 26/",$D313&lt;&gt;"",$F313&lt;&gt;""),COUNTIFS($D$2:$D313,$D313,$B$2:$B313,"SBA 26/*",$F$2:$F313,"&lt;&gt;"),"")</f>
        <v>2</v>
      </c>
      <c r="Z313" s="29" t="str">
        <f>IF(Y313=1,COUNTIF($Y$2:Y313,1),"")</f>
        <v/>
      </c>
      <c r="AA313" s="29">
        <f>IF(AND(LEFT($B313,7)="SBA 26/",$C313&lt;&gt;"",$F313&lt;&gt;""),COUNTIFS($C$2:$C313,$C313,$B$2:$B313,"SBA 26/*",$F$2:$F313,"&lt;&gt;"),"")</f>
        <v>1</v>
      </c>
      <c r="AB313" s="29">
        <f>IF(AA313=1,COUNTIF($AA$2:AA313,1),"")</f>
        <v>195</v>
      </c>
    </row>
    <row r="314" spans="1:28" ht="94.5" customHeight="1" x14ac:dyDescent="0.2">
      <c r="A314" s="43" t="s">
        <v>1570</v>
      </c>
      <c r="B314" s="43" t="s">
        <v>1571</v>
      </c>
      <c r="C314" s="44" t="s">
        <v>1432</v>
      </c>
      <c r="D314" s="44" t="s">
        <v>113</v>
      </c>
      <c r="E314" s="45" t="s">
        <v>1572</v>
      </c>
      <c r="F314" s="45" t="s">
        <v>1573</v>
      </c>
      <c r="G314" s="46" t="s">
        <v>38</v>
      </c>
      <c r="H314" s="48">
        <v>46107</v>
      </c>
      <c r="I314" s="48">
        <v>46126</v>
      </c>
      <c r="J314" s="44" t="s">
        <v>116</v>
      </c>
      <c r="K314" s="44" t="s">
        <v>84</v>
      </c>
      <c r="L314" s="50" t="s">
        <v>101</v>
      </c>
      <c r="M314" s="50" t="s">
        <v>77</v>
      </c>
      <c r="N314" s="50"/>
      <c r="O314" s="49"/>
      <c r="P314" s="50" t="str">
        <f t="shared" si="16"/>
        <v>ONAY</v>
      </c>
      <c r="Q314" s="28" t="s">
        <v>84</v>
      </c>
      <c r="R314" s="51" t="str">
        <f t="shared" si="17"/>
        <v/>
      </c>
      <c r="T314" s="41"/>
      <c r="U314" s="29">
        <f>IF($C314&lt;&gt;"",COUNTIF($C$2:C314,C314),"")</f>
        <v>4</v>
      </c>
      <c r="V314" s="29" t="str">
        <f t="shared" si="18"/>
        <v>Prof. Dr. Taylan KAV§4</v>
      </c>
      <c r="W314" s="29" t="str">
        <f>IF(U314=1,COUNTIF($U$2:U314,1),"")</f>
        <v/>
      </c>
      <c r="X314" s="29" t="str">
        <f t="shared" si="19"/>
        <v/>
      </c>
      <c r="Y314" s="29">
        <f>IF(AND(LEFT($B314,7)="SBA 26/",$D314&lt;&gt;"",$F314&lt;&gt;""),COUNTIFS($D$2:$D314,$D314,$B$2:$B314,"SBA 26/*",$F$2:$F314,"&lt;&gt;"),"")</f>
        <v>43</v>
      </c>
      <c r="Z314" s="29" t="str">
        <f>IF(Y314=1,COUNTIF($Y$2:Y314,1),"")</f>
        <v/>
      </c>
      <c r="AA314" s="29">
        <f>IF(AND(LEFT($B314,7)="SBA 26/",$C314&lt;&gt;"",$F314&lt;&gt;""),COUNTIFS($C$2:$C314,$C314,$B$2:$B314,"SBA 26/*",$F$2:$F314,"&lt;&gt;"),"")</f>
        <v>4</v>
      </c>
      <c r="AB314" s="29" t="str">
        <f>IF(AA314=1,COUNTIF($AA$2:AA314,1),"")</f>
        <v/>
      </c>
    </row>
    <row r="315" spans="1:28" ht="78.75" customHeight="1" x14ac:dyDescent="0.2">
      <c r="A315" s="43" t="s">
        <v>1574</v>
      </c>
      <c r="B315" s="43" t="s">
        <v>1575</v>
      </c>
      <c r="C315" s="44" t="s">
        <v>1432</v>
      </c>
      <c r="D315" s="44" t="s">
        <v>113</v>
      </c>
      <c r="E315" s="45" t="s">
        <v>1576</v>
      </c>
      <c r="F315" s="45" t="s">
        <v>1577</v>
      </c>
      <c r="G315" s="46" t="s">
        <v>38</v>
      </c>
      <c r="H315" s="48">
        <v>46107</v>
      </c>
      <c r="I315" s="48">
        <v>46126</v>
      </c>
      <c r="J315" s="44" t="s">
        <v>116</v>
      </c>
      <c r="K315" s="44" t="s">
        <v>84</v>
      </c>
      <c r="L315" s="50" t="s">
        <v>101</v>
      </c>
      <c r="M315" s="50" t="s">
        <v>77</v>
      </c>
      <c r="N315" s="50"/>
      <c r="O315" s="49"/>
      <c r="P315" s="50" t="str">
        <f t="shared" si="16"/>
        <v>ONAY</v>
      </c>
      <c r="Q315" s="28" t="s">
        <v>116</v>
      </c>
      <c r="R315" s="51" t="str">
        <f t="shared" si="17"/>
        <v/>
      </c>
      <c r="T315" s="41"/>
      <c r="U315" s="29">
        <f>IF($C315&lt;&gt;"",COUNTIF($C$2:C315,C315),"")</f>
        <v>5</v>
      </c>
      <c r="V315" s="29" t="str">
        <f t="shared" si="18"/>
        <v>Prof. Dr. Taylan KAV§5</v>
      </c>
      <c r="W315" s="29" t="str">
        <f>IF(U315=1,COUNTIF($U$2:U315,1),"")</f>
        <v/>
      </c>
      <c r="X315" s="29" t="str">
        <f t="shared" si="19"/>
        <v/>
      </c>
      <c r="Y315" s="29">
        <f>IF(AND(LEFT($B315,7)="SBA 26/",$D315&lt;&gt;"",$F315&lt;&gt;""),COUNTIFS($D$2:$D315,$D315,$B$2:$B315,"SBA 26/*",$F$2:$F315,"&lt;&gt;"),"")</f>
        <v>44</v>
      </c>
      <c r="Z315" s="29" t="str">
        <f>IF(Y315=1,COUNTIF($Y$2:Y315,1),"")</f>
        <v/>
      </c>
      <c r="AA315" s="29">
        <f>IF(AND(LEFT($B315,7)="SBA 26/",$C315&lt;&gt;"",$F315&lt;&gt;""),COUNTIFS($C$2:$C315,$C315,$B$2:$B315,"SBA 26/*",$F$2:$F315,"&lt;&gt;"),"")</f>
        <v>5</v>
      </c>
      <c r="AB315" s="29" t="str">
        <f>IF(AA315=1,COUNTIF($AA$2:AA315,1),"")</f>
        <v/>
      </c>
    </row>
    <row r="316" spans="1:28" ht="78.75" customHeight="1" x14ac:dyDescent="0.2">
      <c r="A316" s="43" t="s">
        <v>1578</v>
      </c>
      <c r="B316" s="43" t="s">
        <v>1579</v>
      </c>
      <c r="C316" s="44" t="s">
        <v>1197</v>
      </c>
      <c r="D316" s="44" t="s">
        <v>364</v>
      </c>
      <c r="E316" s="45" t="s">
        <v>1580</v>
      </c>
      <c r="F316" s="45" t="s">
        <v>1581</v>
      </c>
      <c r="G316" s="46" t="s">
        <v>39</v>
      </c>
      <c r="H316" s="48">
        <v>46107</v>
      </c>
      <c r="I316" s="48">
        <v>46126</v>
      </c>
      <c r="J316" s="44" t="s">
        <v>108</v>
      </c>
      <c r="K316" s="44" t="s">
        <v>129</v>
      </c>
      <c r="L316" s="50" t="s">
        <v>77</v>
      </c>
      <c r="M316" s="50"/>
      <c r="N316" s="50"/>
      <c r="O316" s="49"/>
      <c r="P316" s="50" t="str">
        <f t="shared" si="16"/>
        <v>ONAY</v>
      </c>
      <c r="R316" s="51" t="str">
        <f t="shared" si="17"/>
        <v/>
      </c>
      <c r="T316" s="41"/>
      <c r="U316" s="29">
        <f>IF($C316&lt;&gt;"",COUNTIF($C$2:C316,C316),"")</f>
        <v>3</v>
      </c>
      <c r="V316" s="29" t="str">
        <f t="shared" si="18"/>
        <v>Prof. Dr. Fadime İrsel TEZER FİLİK§3</v>
      </c>
      <c r="W316" s="29" t="str">
        <f>IF(U316=1,COUNTIF($U$2:U316,1),"")</f>
        <v/>
      </c>
      <c r="X316" s="29" t="str">
        <f t="shared" si="19"/>
        <v/>
      </c>
      <c r="Y316" s="29">
        <f>IF(AND(LEFT($B316,7)="SBA 26/",$D316&lt;&gt;"",$F316&lt;&gt;""),COUNTIFS($D$2:$D316,$D316,$B$2:$B316,"SBA 26/*",$F$2:$F316,"&lt;&gt;"),"")</f>
        <v>11</v>
      </c>
      <c r="Z316" s="29" t="str">
        <f>IF(Y316=1,COUNTIF($Y$2:Y316,1),"")</f>
        <v/>
      </c>
      <c r="AA316" s="29">
        <f>IF(AND(LEFT($B316,7)="SBA 26/",$C316&lt;&gt;"",$F316&lt;&gt;""),COUNTIFS($C$2:$C316,$C316,$B$2:$B316,"SBA 26/*",$F$2:$F316,"&lt;&gt;"),"")</f>
        <v>3</v>
      </c>
      <c r="AB316" s="29" t="str">
        <f>IF(AA316=1,COUNTIF($AA$2:AA316,1),"")</f>
        <v/>
      </c>
    </row>
    <row r="317" spans="1:28" ht="63" customHeight="1" x14ac:dyDescent="0.2">
      <c r="A317" s="43" t="s">
        <v>1582</v>
      </c>
      <c r="B317" s="43" t="s">
        <v>1583</v>
      </c>
      <c r="C317" s="44" t="s">
        <v>1584</v>
      </c>
      <c r="D317" s="44" t="s">
        <v>113</v>
      </c>
      <c r="E317" s="45" t="s">
        <v>1585</v>
      </c>
      <c r="F317" s="45" t="s">
        <v>1586</v>
      </c>
      <c r="G317" s="46" t="s">
        <v>38</v>
      </c>
      <c r="H317" s="48">
        <v>46107</v>
      </c>
      <c r="I317" s="48">
        <v>46126</v>
      </c>
      <c r="J317" s="44" t="s">
        <v>75</v>
      </c>
      <c r="K317" s="44" t="s">
        <v>129</v>
      </c>
      <c r="L317" s="50" t="s">
        <v>206</v>
      </c>
      <c r="M317" s="50" t="s">
        <v>101</v>
      </c>
      <c r="N317" s="50" t="s">
        <v>77</v>
      </c>
      <c r="O317" s="49"/>
      <c r="P317" s="50" t="str">
        <f t="shared" si="16"/>
        <v>ONAY</v>
      </c>
      <c r="Q317" s="28" t="s">
        <v>91</v>
      </c>
      <c r="R317" s="51" t="str">
        <f t="shared" si="17"/>
        <v/>
      </c>
      <c r="T317" s="41"/>
      <c r="U317" s="29">
        <f>IF($C317&lt;&gt;"",COUNTIF($C$2:C317,C317),"")</f>
        <v>1</v>
      </c>
      <c r="V317" s="29" t="str">
        <f t="shared" si="18"/>
        <v>Doç. Dr. Cafer BALCI§1</v>
      </c>
      <c r="W317" s="29">
        <f>IF(U317=1,COUNTIF($U$2:U317,1),"")</f>
        <v>196</v>
      </c>
      <c r="X317" s="29">
        <f t="shared" si="19"/>
        <v>31</v>
      </c>
      <c r="Y317" s="29">
        <f>IF(AND(LEFT($B317,7)="SBA 26/",$D317&lt;&gt;"",$F317&lt;&gt;""),COUNTIFS($D$2:$D317,$D317,$B$2:$B317,"SBA 26/*",$F$2:$F317,"&lt;&gt;"),"")</f>
        <v>45</v>
      </c>
      <c r="Z317" s="29" t="str">
        <f>IF(Y317=1,COUNTIF($Y$2:Y317,1),"")</f>
        <v/>
      </c>
      <c r="AA317" s="29">
        <f>IF(AND(LEFT($B317,7)="SBA 26/",$C317&lt;&gt;"",$F317&lt;&gt;""),COUNTIFS($C$2:$C317,$C317,$B$2:$B317,"SBA 26/*",$F$2:$F317,"&lt;&gt;"),"")</f>
        <v>1</v>
      </c>
      <c r="AB317" s="29">
        <f>IF(AA317=1,COUNTIF($AA$2:AA317,1),"")</f>
        <v>196</v>
      </c>
    </row>
    <row r="318" spans="1:28" ht="78.75" customHeight="1" x14ac:dyDescent="0.2">
      <c r="A318" s="43" t="s">
        <v>1587</v>
      </c>
      <c r="B318" s="43" t="s">
        <v>1588</v>
      </c>
      <c r="C318" s="44" t="s">
        <v>1589</v>
      </c>
      <c r="D318" s="44" t="s">
        <v>341</v>
      </c>
      <c r="E318" s="45" t="s">
        <v>1590</v>
      </c>
      <c r="F318" s="45" t="s">
        <v>1591</v>
      </c>
      <c r="G318" s="46" t="s">
        <v>38</v>
      </c>
      <c r="H318" s="48">
        <v>46107</v>
      </c>
      <c r="I318" s="48">
        <v>46126</v>
      </c>
      <c r="J318" s="44" t="s">
        <v>109</v>
      </c>
      <c r="K318" s="44" t="s">
        <v>123</v>
      </c>
      <c r="L318" s="50" t="s">
        <v>77</v>
      </c>
      <c r="M318" s="50"/>
      <c r="N318" s="50"/>
      <c r="O318" s="49"/>
      <c r="P318" s="50" t="str">
        <f t="shared" si="16"/>
        <v>ONAY</v>
      </c>
      <c r="R318" s="51" t="str">
        <f t="shared" si="17"/>
        <v/>
      </c>
      <c r="T318" s="41"/>
      <c r="U318" s="29">
        <f>IF($C318&lt;&gt;"",COUNTIF($C$2:C318,C318),"")</f>
        <v>1</v>
      </c>
      <c r="V318" s="29" t="str">
        <f t="shared" si="18"/>
        <v>Prof. Dr. Sibel DOĞAN GÜNAYDIN§1</v>
      </c>
      <c r="W318" s="29">
        <f>IF(U318=1,COUNTIF($U$2:U318,1),"")</f>
        <v>197</v>
      </c>
      <c r="X318" s="29">
        <f t="shared" si="19"/>
        <v>321</v>
      </c>
      <c r="Y318" s="29">
        <f>IF(AND(LEFT($B318,7)="SBA 26/",$D318&lt;&gt;"",$F318&lt;&gt;""),COUNTIFS($D$2:$D318,$D318,$B$2:$B318,"SBA 26/*",$F$2:$F318,"&lt;&gt;"),"")</f>
        <v>8</v>
      </c>
      <c r="Z318" s="29" t="str">
        <f>IF(Y318=1,COUNTIF($Y$2:Y318,1),"")</f>
        <v/>
      </c>
      <c r="AA318" s="29">
        <f>IF(AND(LEFT($B318,7)="SBA 26/",$C318&lt;&gt;"",$F318&lt;&gt;""),COUNTIFS($C$2:$C318,$C318,$B$2:$B318,"SBA 26/*",$F$2:$F318,"&lt;&gt;"),"")</f>
        <v>1</v>
      </c>
      <c r="AB318" s="29">
        <f>IF(AA318=1,COUNTIF($AA$2:AA318,1),"")</f>
        <v>197</v>
      </c>
    </row>
    <row r="319" spans="1:28" ht="78.75" customHeight="1" x14ac:dyDescent="0.2">
      <c r="A319" s="43" t="s">
        <v>1592</v>
      </c>
      <c r="B319" s="43" t="s">
        <v>1593</v>
      </c>
      <c r="C319" s="44" t="s">
        <v>1594</v>
      </c>
      <c r="D319" s="44" t="s">
        <v>1595</v>
      </c>
      <c r="E319" s="45" t="s">
        <v>1596</v>
      </c>
      <c r="F319" s="45" t="s">
        <v>1597</v>
      </c>
      <c r="G319" s="46" t="s">
        <v>39</v>
      </c>
      <c r="H319" s="48">
        <v>46107</v>
      </c>
      <c r="I319" s="48">
        <v>46126</v>
      </c>
      <c r="J319" s="44" t="s">
        <v>123</v>
      </c>
      <c r="K319" s="44" t="s">
        <v>76</v>
      </c>
      <c r="L319" s="50" t="s">
        <v>77</v>
      </c>
      <c r="M319" s="50"/>
      <c r="N319" s="50"/>
      <c r="O319" s="49"/>
      <c r="P319" s="50" t="str">
        <f t="shared" si="16"/>
        <v>ONAY</v>
      </c>
      <c r="R319" s="51" t="str">
        <f t="shared" si="17"/>
        <v/>
      </c>
      <c r="T319" s="41"/>
      <c r="U319" s="29">
        <f>IF($C319&lt;&gt;"",COUNTIF($C$2:C319,C319),"")</f>
        <v>1</v>
      </c>
      <c r="V319" s="29" t="str">
        <f t="shared" si="18"/>
        <v>Doç. Dr. Cansu ÖZŞİN ÖZLER§1</v>
      </c>
      <c r="W319" s="29">
        <f>IF(U319=1,COUNTIF($U$2:U319,1),"")</f>
        <v>198</v>
      </c>
      <c r="X319" s="29">
        <f t="shared" si="19"/>
        <v>32</v>
      </c>
      <c r="Y319" s="29">
        <f>IF(AND(LEFT($B319,7)="SBA 26/",$D319&lt;&gt;"",$F319&lt;&gt;""),COUNTIFS($D$2:$D319,$D319,$B$2:$B319,"SBA 26/*",$F$2:$F319,"&lt;&gt;"),"")</f>
        <v>1</v>
      </c>
      <c r="Z319" s="29">
        <f>IF(Y319=1,COUNTIF($Y$2:Y319,1),"")</f>
        <v>61</v>
      </c>
      <c r="AA319" s="29">
        <f>IF(AND(LEFT($B319,7)="SBA 26/",$C319&lt;&gt;"",$F319&lt;&gt;""),COUNTIFS($C$2:$C319,$C319,$B$2:$B319,"SBA 26/*",$F$2:$F319,"&lt;&gt;"),"")</f>
        <v>1</v>
      </c>
      <c r="AB319" s="29">
        <f>IF(AA319=1,COUNTIF($AA$2:AA319,1),"")</f>
        <v>198</v>
      </c>
    </row>
    <row r="320" spans="1:28" ht="78.75" customHeight="1" x14ac:dyDescent="0.2">
      <c r="A320" s="43" t="s">
        <v>1598</v>
      </c>
      <c r="B320" s="43" t="s">
        <v>1599</v>
      </c>
      <c r="C320" s="44" t="s">
        <v>633</v>
      </c>
      <c r="D320" s="44" t="s">
        <v>228</v>
      </c>
      <c r="E320" s="45" t="s">
        <v>1600</v>
      </c>
      <c r="F320" s="45" t="s">
        <v>1601</v>
      </c>
      <c r="G320" s="46" t="s">
        <v>38</v>
      </c>
      <c r="H320" s="48">
        <v>46107</v>
      </c>
      <c r="I320" s="48">
        <v>46126</v>
      </c>
      <c r="J320" s="44" t="s">
        <v>99</v>
      </c>
      <c r="K320" s="44" t="s">
        <v>100</v>
      </c>
      <c r="L320" s="50" t="s">
        <v>172</v>
      </c>
      <c r="M320" s="50"/>
      <c r="N320" s="50"/>
      <c r="O320" s="49"/>
      <c r="P320" s="50" t="str">
        <f t="shared" si="16"/>
        <v>RET</v>
      </c>
      <c r="R320" s="51" t="str">
        <f t="shared" si="17"/>
        <v/>
      </c>
      <c r="T320" s="41"/>
      <c r="U320" s="29">
        <f>IF($C320&lt;&gt;"",COUNTIF($C$2:C320,C320),"")</f>
        <v>4</v>
      </c>
      <c r="V320" s="29" t="str">
        <f t="shared" si="18"/>
        <v>Doç. Dr. Utku AKGÖR§4</v>
      </c>
      <c r="W320" s="29" t="str">
        <f>IF(U320=1,COUNTIF($U$2:U320,1),"")</f>
        <v/>
      </c>
      <c r="X320" s="29" t="str">
        <f t="shared" si="19"/>
        <v/>
      </c>
      <c r="Y320" s="29">
        <f>IF(AND(LEFT($B320,7)="SBA 26/",$D320&lt;&gt;"",$F320&lt;&gt;""),COUNTIFS($D$2:$D320,$D320,$B$2:$B320,"SBA 26/*",$F$2:$F320,"&lt;&gt;"),"")</f>
        <v>20</v>
      </c>
      <c r="Z320" s="29" t="str">
        <f>IF(Y320=1,COUNTIF($Y$2:Y320,1),"")</f>
        <v/>
      </c>
      <c r="AA320" s="29">
        <f>IF(AND(LEFT($B320,7)="SBA 26/",$C320&lt;&gt;"",$F320&lt;&gt;""),COUNTIFS($C$2:$C320,$C320,$B$2:$B320,"SBA 26/*",$F$2:$F320,"&lt;&gt;"),"")</f>
        <v>4</v>
      </c>
      <c r="AB320" s="29" t="str">
        <f>IF(AA320=1,COUNTIF($AA$2:AA320,1),"")</f>
        <v/>
      </c>
    </row>
    <row r="321" spans="1:28" ht="110.25" customHeight="1" x14ac:dyDescent="0.2">
      <c r="A321" s="43" t="s">
        <v>1602</v>
      </c>
      <c r="B321" s="43" t="s">
        <v>1603</v>
      </c>
      <c r="C321" s="44" t="s">
        <v>424</v>
      </c>
      <c r="D321" s="44" t="s">
        <v>364</v>
      </c>
      <c r="E321" s="45" t="s">
        <v>1604</v>
      </c>
      <c r="F321" s="45" t="s">
        <v>1605</v>
      </c>
      <c r="G321" s="46" t="s">
        <v>38</v>
      </c>
      <c r="H321" s="48">
        <v>46107</v>
      </c>
      <c r="I321" s="48">
        <v>46126</v>
      </c>
      <c r="J321" s="44" t="s">
        <v>108</v>
      </c>
      <c r="K321" s="44" t="s">
        <v>92</v>
      </c>
      <c r="L321" s="50" t="s">
        <v>77</v>
      </c>
      <c r="M321" s="50"/>
      <c r="N321" s="50"/>
      <c r="O321" s="49"/>
      <c r="P321" s="50" t="str">
        <f t="shared" si="16"/>
        <v>ONAY</v>
      </c>
      <c r="R321" s="51" t="str">
        <f t="shared" si="17"/>
        <v/>
      </c>
      <c r="T321" s="41"/>
      <c r="U321" s="29">
        <f>IF($C321&lt;&gt;"",COUNTIF($C$2:C321,C321),"")</f>
        <v>3</v>
      </c>
      <c r="V321" s="29" t="str">
        <f t="shared" si="18"/>
        <v>Prof. Dr. Fatma Gökçem YILDIZ SARIKAYA§3</v>
      </c>
      <c r="W321" s="29" t="str">
        <f>IF(U321=1,COUNTIF($U$2:U321,1),"")</f>
        <v/>
      </c>
      <c r="X321" s="29" t="str">
        <f t="shared" si="19"/>
        <v/>
      </c>
      <c r="Y321" s="29">
        <f>IF(AND(LEFT($B321,7)="SBA 26/",$D321&lt;&gt;"",$F321&lt;&gt;""),COUNTIFS($D$2:$D321,$D321,$B$2:$B321,"SBA 26/*",$F$2:$F321,"&lt;&gt;"),"")</f>
        <v>12</v>
      </c>
      <c r="Z321" s="29" t="str">
        <f>IF(Y321=1,COUNTIF($Y$2:Y321,1),"")</f>
        <v/>
      </c>
      <c r="AA321" s="29">
        <f>IF(AND(LEFT($B321,7)="SBA 26/",$C321&lt;&gt;"",$F321&lt;&gt;""),COUNTIFS($C$2:$C321,$C321,$B$2:$B321,"SBA 26/*",$F$2:$F321,"&lt;&gt;"),"")</f>
        <v>3</v>
      </c>
      <c r="AB321" s="29" t="str">
        <f>IF(AA321=1,COUNTIF($AA$2:AA321,1),"")</f>
        <v/>
      </c>
    </row>
    <row r="322" spans="1:28" ht="110.25" customHeight="1" x14ac:dyDescent="0.2">
      <c r="A322" s="43" t="s">
        <v>1606</v>
      </c>
      <c r="B322" s="43" t="s">
        <v>1607</v>
      </c>
      <c r="C322" s="44" t="s">
        <v>227</v>
      </c>
      <c r="D322" s="44" t="s">
        <v>228</v>
      </c>
      <c r="E322" s="45" t="s">
        <v>1608</v>
      </c>
      <c r="F322" s="45" t="s">
        <v>1609</v>
      </c>
      <c r="G322" s="46" t="s">
        <v>38</v>
      </c>
      <c r="H322" s="48">
        <v>46107</v>
      </c>
      <c r="I322" s="48">
        <v>46126</v>
      </c>
      <c r="J322" s="44" t="s">
        <v>91</v>
      </c>
      <c r="K322" s="44" t="s">
        <v>92</v>
      </c>
      <c r="L322" s="50" t="s">
        <v>77</v>
      </c>
      <c r="M322" s="50"/>
      <c r="N322" s="50"/>
      <c r="O322" s="49"/>
      <c r="P322" s="50" t="str">
        <f t="shared" ref="P322:P385" si="20">IF(O322&lt;&gt;"",O322, IF(N322&lt;&gt;"",N322, IF(M322&lt;&gt;"",M322, L322)))</f>
        <v>ONAY</v>
      </c>
      <c r="R322" s="51" t="str">
        <f t="shared" ref="R322:R385" si="21">IF(AND($I322&lt;&gt;"",$I322&gt;=DATE(2026,6,23),COUNTIFS($C:$C,$C322,$I:$I,$I322)&gt;2),"⚠ "&amp;COUNTIFS($C:$C,$C322,$I:$I,$I322)&amp;" BAŞVURU!","")</f>
        <v/>
      </c>
      <c r="T322" s="41"/>
      <c r="U322" s="29">
        <f>IF($C322&lt;&gt;"",COUNTIF($C$2:C322,C322),"")</f>
        <v>7</v>
      </c>
      <c r="V322" s="29" t="str">
        <f t="shared" ref="V322:V385" si="22">IF($C322&lt;&gt;"",C322&amp;"§"&amp;U322,"")</f>
        <v>Dr. Öğr. Üyesi Gonca ÖZTEN DERE§7</v>
      </c>
      <c r="W322" s="29" t="str">
        <f>IF(U322=1,COUNTIF($U$2:U322,1),"")</f>
        <v/>
      </c>
      <c r="X322" s="29" t="str">
        <f t="shared" ref="X322:X385" si="23">IF(U322=1,SUMPRODUCT(($U$2:$U$1833=1)*($C$2:$C$1833&lt;C322))+1,"")</f>
        <v/>
      </c>
      <c r="Y322" s="29">
        <f>IF(AND(LEFT($B322,7)="SBA 26/",$D322&lt;&gt;"",$F322&lt;&gt;""),COUNTIFS($D$2:$D322,$D322,$B$2:$B322,"SBA 26/*",$F$2:$F322,"&lt;&gt;"),"")</f>
        <v>21</v>
      </c>
      <c r="Z322" s="29" t="str">
        <f>IF(Y322=1,COUNTIF($Y$2:Y322,1),"")</f>
        <v/>
      </c>
      <c r="AA322" s="29">
        <f>IF(AND(LEFT($B322,7)="SBA 26/",$C322&lt;&gt;"",$F322&lt;&gt;""),COUNTIFS($C$2:$C322,$C322,$B$2:$B322,"SBA 26/*",$F$2:$F322,"&lt;&gt;"),"")</f>
        <v>7</v>
      </c>
      <c r="AB322" s="29" t="str">
        <f>IF(AA322=1,COUNTIF($AA$2:AA322,1),"")</f>
        <v/>
      </c>
    </row>
    <row r="323" spans="1:28" ht="78.75" customHeight="1" x14ac:dyDescent="0.2">
      <c r="A323" s="43" t="s">
        <v>1610</v>
      </c>
      <c r="B323" s="43" t="s">
        <v>1611</v>
      </c>
      <c r="C323" s="44" t="s">
        <v>752</v>
      </c>
      <c r="D323" s="44" t="s">
        <v>113</v>
      </c>
      <c r="E323" s="45" t="s">
        <v>1612</v>
      </c>
      <c r="F323" s="45" t="s">
        <v>1613</v>
      </c>
      <c r="G323" s="46" t="s">
        <v>38</v>
      </c>
      <c r="H323" s="48">
        <v>46107</v>
      </c>
      <c r="I323" s="48">
        <v>46126</v>
      </c>
      <c r="J323" s="44" t="s">
        <v>99</v>
      </c>
      <c r="K323" s="44" t="s">
        <v>109</v>
      </c>
      <c r="L323" s="50" t="s">
        <v>77</v>
      </c>
      <c r="M323" s="50"/>
      <c r="N323" s="50"/>
      <c r="O323" s="49"/>
      <c r="P323" s="50" t="str">
        <f t="shared" si="20"/>
        <v>ONAY</v>
      </c>
      <c r="R323" s="51" t="str">
        <f t="shared" si="21"/>
        <v/>
      </c>
      <c r="T323" s="41"/>
      <c r="U323" s="29">
        <f>IF($C323&lt;&gt;"",COUNTIF($C$2:C323,C323),"")</f>
        <v>2</v>
      </c>
      <c r="V323" s="29" t="str">
        <f t="shared" si="22"/>
        <v>Prof. Dr. Yahya BÜYÜKAŞIK§2</v>
      </c>
      <c r="W323" s="29" t="str">
        <f>IF(U323=1,COUNTIF($U$2:U323,1),"")</f>
        <v/>
      </c>
      <c r="X323" s="29" t="str">
        <f t="shared" si="23"/>
        <v/>
      </c>
      <c r="Y323" s="29">
        <f>IF(AND(LEFT($B323,7)="SBA 26/",$D323&lt;&gt;"",$F323&lt;&gt;""),COUNTIFS($D$2:$D323,$D323,$B$2:$B323,"SBA 26/*",$F$2:$F323,"&lt;&gt;"),"")</f>
        <v>46</v>
      </c>
      <c r="Z323" s="29" t="str">
        <f>IF(Y323=1,COUNTIF($Y$2:Y323,1),"")</f>
        <v/>
      </c>
      <c r="AA323" s="29">
        <f>IF(AND(LEFT($B323,7)="SBA 26/",$C323&lt;&gt;"",$F323&lt;&gt;""),COUNTIFS($C$2:$C323,$C323,$B$2:$B323,"SBA 26/*",$F$2:$F323,"&lt;&gt;"),"")</f>
        <v>2</v>
      </c>
      <c r="AB323" s="29" t="str">
        <f>IF(AA323=1,COUNTIF($AA$2:AA323,1),"")</f>
        <v/>
      </c>
    </row>
    <row r="324" spans="1:28" ht="63" customHeight="1" x14ac:dyDescent="0.2">
      <c r="A324" s="43" t="s">
        <v>1614</v>
      </c>
      <c r="B324" s="43" t="s">
        <v>1615</v>
      </c>
      <c r="C324" s="44" t="s">
        <v>1106</v>
      </c>
      <c r="D324" s="44" t="s">
        <v>966</v>
      </c>
      <c r="E324" s="45" t="s">
        <v>1616</v>
      </c>
      <c r="F324" s="45" t="s">
        <v>1617</v>
      </c>
      <c r="G324" s="46" t="s">
        <v>38</v>
      </c>
      <c r="H324" s="48">
        <v>46107</v>
      </c>
      <c r="I324" s="48">
        <v>46126</v>
      </c>
      <c r="J324" s="44" t="s">
        <v>109</v>
      </c>
      <c r="K324" s="44" t="s">
        <v>76</v>
      </c>
      <c r="L324" s="50" t="s">
        <v>101</v>
      </c>
      <c r="M324" s="50"/>
      <c r="N324" s="50"/>
      <c r="O324" s="49"/>
      <c r="P324" s="50" t="str">
        <f t="shared" si="20"/>
        <v>DÜZELTME</v>
      </c>
      <c r="R324" s="51" t="str">
        <f t="shared" si="21"/>
        <v/>
      </c>
      <c r="T324" s="41"/>
      <c r="U324" s="29">
        <f>IF($C324&lt;&gt;"",COUNTIF($C$2:C324,C324),"")</f>
        <v>3</v>
      </c>
      <c r="V324" s="29" t="str">
        <f t="shared" si="22"/>
        <v>Doç. Dr. Duygu AYHAN BAŞER§3</v>
      </c>
      <c r="W324" s="29" t="str">
        <f>IF(U324=1,COUNTIF($U$2:U324,1),"")</f>
        <v/>
      </c>
      <c r="X324" s="29" t="str">
        <f t="shared" si="23"/>
        <v/>
      </c>
      <c r="Y324" s="29">
        <f>IF(AND(LEFT($B324,7)="SBA 26/",$D324&lt;&gt;"",$F324&lt;&gt;""),COUNTIFS($D$2:$D324,$D324,$B$2:$B324,"SBA 26/*",$F$2:$F324,"&lt;&gt;"),"")</f>
        <v>5</v>
      </c>
      <c r="Z324" s="29" t="str">
        <f>IF(Y324=1,COUNTIF($Y$2:Y324,1),"")</f>
        <v/>
      </c>
      <c r="AA324" s="29">
        <f>IF(AND(LEFT($B324,7)="SBA 26/",$C324&lt;&gt;"",$F324&lt;&gt;""),COUNTIFS($C$2:$C324,$C324,$B$2:$B324,"SBA 26/*",$F$2:$F324,"&lt;&gt;"),"")</f>
        <v>3</v>
      </c>
      <c r="AB324" s="29" t="str">
        <f>IF(AA324=1,COUNTIF($AA$2:AA324,1),"")</f>
        <v/>
      </c>
    </row>
    <row r="325" spans="1:28" ht="47.25" customHeight="1" x14ac:dyDescent="0.2">
      <c r="A325" s="43" t="s">
        <v>1618</v>
      </c>
      <c r="B325" s="43" t="s">
        <v>1619</v>
      </c>
      <c r="C325" s="44" t="s">
        <v>1584</v>
      </c>
      <c r="D325" s="44" t="s">
        <v>113</v>
      </c>
      <c r="E325" s="45" t="s">
        <v>1620</v>
      </c>
      <c r="F325" s="45" t="s">
        <v>1621</v>
      </c>
      <c r="G325" s="46" t="s">
        <v>38</v>
      </c>
      <c r="H325" s="48">
        <v>46107</v>
      </c>
      <c r="I325" s="48">
        <v>46126</v>
      </c>
      <c r="J325" s="44" t="s">
        <v>100</v>
      </c>
      <c r="K325" s="44" t="s">
        <v>91</v>
      </c>
      <c r="L325" s="50" t="s">
        <v>77</v>
      </c>
      <c r="M325" s="50"/>
      <c r="N325" s="50"/>
      <c r="O325" s="49"/>
      <c r="P325" s="50" t="str">
        <f t="shared" si="20"/>
        <v>ONAY</v>
      </c>
      <c r="R325" s="51" t="str">
        <f t="shared" si="21"/>
        <v/>
      </c>
      <c r="T325" s="41"/>
      <c r="U325" s="29">
        <f>IF($C325&lt;&gt;"",COUNTIF($C$2:C325,C325),"")</f>
        <v>2</v>
      </c>
      <c r="V325" s="29" t="str">
        <f t="shared" si="22"/>
        <v>Doç. Dr. Cafer BALCI§2</v>
      </c>
      <c r="W325" s="29" t="str">
        <f>IF(U325=1,COUNTIF($U$2:U325,1),"")</f>
        <v/>
      </c>
      <c r="X325" s="29" t="str">
        <f t="shared" si="23"/>
        <v/>
      </c>
      <c r="Y325" s="29">
        <f>IF(AND(LEFT($B325,7)="SBA 26/",$D325&lt;&gt;"",$F325&lt;&gt;""),COUNTIFS($D$2:$D325,$D325,$B$2:$B325,"SBA 26/*",$F$2:$F325,"&lt;&gt;"),"")</f>
        <v>47</v>
      </c>
      <c r="Z325" s="29" t="str">
        <f>IF(Y325=1,COUNTIF($Y$2:Y325,1),"")</f>
        <v/>
      </c>
      <c r="AA325" s="29">
        <f>IF(AND(LEFT($B325,7)="SBA 26/",$C325&lt;&gt;"",$F325&lt;&gt;""),COUNTIFS($C$2:$C325,$C325,$B$2:$B325,"SBA 26/*",$F$2:$F325,"&lt;&gt;"),"")</f>
        <v>2</v>
      </c>
      <c r="AB325" s="29" t="str">
        <f>IF(AA325=1,COUNTIF($AA$2:AA325,1),"")</f>
        <v/>
      </c>
    </row>
    <row r="326" spans="1:28" ht="47.25" customHeight="1" x14ac:dyDescent="0.2">
      <c r="A326" s="43" t="s">
        <v>1622</v>
      </c>
      <c r="B326" s="43" t="s">
        <v>1623</v>
      </c>
      <c r="C326" s="44" t="s">
        <v>1624</v>
      </c>
      <c r="D326" s="44" t="s">
        <v>270</v>
      </c>
      <c r="E326" s="45" t="s">
        <v>1625</v>
      </c>
      <c r="F326" s="45" t="s">
        <v>1626</v>
      </c>
      <c r="G326" s="46" t="s">
        <v>38</v>
      </c>
      <c r="H326" s="48">
        <v>46107</v>
      </c>
      <c r="I326" s="48">
        <v>46126</v>
      </c>
      <c r="J326" s="44" t="s">
        <v>99</v>
      </c>
      <c r="K326" s="44" t="s">
        <v>84</v>
      </c>
      <c r="L326" s="50" t="s">
        <v>77</v>
      </c>
      <c r="M326" s="50"/>
      <c r="N326" s="50"/>
      <c r="O326" s="49"/>
      <c r="P326" s="50" t="str">
        <f t="shared" si="20"/>
        <v>ONAY</v>
      </c>
      <c r="R326" s="51" t="str">
        <f t="shared" si="21"/>
        <v/>
      </c>
      <c r="T326" s="41"/>
      <c r="U326" s="29">
        <f>IF($C326&lt;&gt;"",COUNTIF($C$2:C326,C326),"")</f>
        <v>1</v>
      </c>
      <c r="V326" s="29" t="str">
        <f t="shared" si="22"/>
        <v>Öğr. Gör. Dr. Tuğçe TAŞKINDERE ABBASOĞLU§1</v>
      </c>
      <c r="W326" s="29">
        <f>IF(U326=1,COUNTIF($U$2:U326,1),"")</f>
        <v>199</v>
      </c>
      <c r="X326" s="29">
        <f t="shared" si="23"/>
        <v>184</v>
      </c>
      <c r="Y326" s="29">
        <f>IF(AND(LEFT($B326,7)="SBA 26/",$D326&lt;&gt;"",$F326&lt;&gt;""),COUNTIFS($D$2:$D326,$D326,$B$2:$B326,"SBA 26/*",$F$2:$F326,"&lt;&gt;"),"")</f>
        <v>8</v>
      </c>
      <c r="Z326" s="29" t="str">
        <f>IF(Y326=1,COUNTIF($Y$2:Y326,1),"")</f>
        <v/>
      </c>
      <c r="AA326" s="29">
        <f>IF(AND(LEFT($B326,7)="SBA 26/",$C326&lt;&gt;"",$F326&lt;&gt;""),COUNTIFS($C$2:$C326,$C326,$B$2:$B326,"SBA 26/*",$F$2:$F326,"&lt;&gt;"),"")</f>
        <v>1</v>
      </c>
      <c r="AB326" s="29">
        <f>IF(AA326=1,COUNTIF($AA$2:AA326,1),"")</f>
        <v>199</v>
      </c>
    </row>
    <row r="327" spans="1:28" ht="63" customHeight="1" x14ac:dyDescent="0.2">
      <c r="A327" s="43" t="s">
        <v>1627</v>
      </c>
      <c r="B327" s="43" t="s">
        <v>1628</v>
      </c>
      <c r="C327" s="44" t="s">
        <v>390</v>
      </c>
      <c r="D327" s="44" t="s">
        <v>391</v>
      </c>
      <c r="E327" s="45" t="s">
        <v>1629</v>
      </c>
      <c r="F327" s="45" t="s">
        <v>1630</v>
      </c>
      <c r="G327" s="46" t="s">
        <v>38</v>
      </c>
      <c r="H327" s="48">
        <v>46107</v>
      </c>
      <c r="I327" s="48">
        <v>46126</v>
      </c>
      <c r="J327" s="44" t="s">
        <v>91</v>
      </c>
      <c r="K327" s="44" t="s">
        <v>99</v>
      </c>
      <c r="L327" s="50" t="s">
        <v>101</v>
      </c>
      <c r="M327" s="50"/>
      <c r="N327" s="50"/>
      <c r="O327" s="49"/>
      <c r="P327" s="50" t="str">
        <f t="shared" si="20"/>
        <v>DÜZELTME</v>
      </c>
      <c r="R327" s="51" t="str">
        <f t="shared" si="21"/>
        <v/>
      </c>
      <c r="T327" s="41"/>
      <c r="U327" s="29">
        <f>IF($C327&lt;&gt;"",COUNTIF($C$2:C327,C327),"")</f>
        <v>8</v>
      </c>
      <c r="V327" s="29" t="str">
        <f t="shared" si="22"/>
        <v>Prof. Dr. Mehmet AYVAZ§8</v>
      </c>
      <c r="W327" s="29" t="str">
        <f>IF(U327=1,COUNTIF($U$2:U327,1),"")</f>
        <v/>
      </c>
      <c r="X327" s="29" t="str">
        <f t="shared" si="23"/>
        <v/>
      </c>
      <c r="Y327" s="29">
        <f>IF(AND(LEFT($B327,7)="SBA 26/",$D327&lt;&gt;"",$F327&lt;&gt;""),COUNTIFS($D$2:$D327,$D327,$B$2:$B327,"SBA 26/*",$F$2:$F327,"&lt;&gt;"),"")</f>
        <v>13</v>
      </c>
      <c r="Z327" s="29" t="str">
        <f>IF(Y327=1,COUNTIF($Y$2:Y327,1),"")</f>
        <v/>
      </c>
      <c r="AA327" s="29">
        <f>IF(AND(LEFT($B327,7)="SBA 26/",$C327&lt;&gt;"",$F327&lt;&gt;""),COUNTIFS($C$2:$C327,$C327,$B$2:$B327,"SBA 26/*",$F$2:$F327,"&lt;&gt;"),"")</f>
        <v>8</v>
      </c>
      <c r="AB327" s="29" t="str">
        <f>IF(AA327=1,COUNTIF($AA$2:AA327,1),"")</f>
        <v/>
      </c>
    </row>
    <row r="328" spans="1:28" ht="80.25" customHeight="1" x14ac:dyDescent="0.2">
      <c r="A328" s="43" t="s">
        <v>1631</v>
      </c>
      <c r="B328" s="43" t="s">
        <v>1632</v>
      </c>
      <c r="C328" s="44" t="s">
        <v>285</v>
      </c>
      <c r="D328" s="44" t="s">
        <v>222</v>
      </c>
      <c r="E328" s="45" t="s">
        <v>1633</v>
      </c>
      <c r="F328" s="45" t="s">
        <v>1634</v>
      </c>
      <c r="G328" s="46" t="s">
        <v>38</v>
      </c>
      <c r="H328" s="48">
        <v>46107</v>
      </c>
      <c r="I328" s="48">
        <v>46126</v>
      </c>
      <c r="J328" s="44" t="s">
        <v>76</v>
      </c>
      <c r="K328" s="44" t="s">
        <v>100</v>
      </c>
      <c r="L328" s="50" t="s">
        <v>77</v>
      </c>
      <c r="M328" s="50"/>
      <c r="N328" s="50"/>
      <c r="O328" s="49"/>
      <c r="P328" s="50" t="str">
        <f t="shared" si="20"/>
        <v>ONAY</v>
      </c>
      <c r="R328" s="51" t="str">
        <f t="shared" si="21"/>
        <v/>
      </c>
      <c r="T328" s="41"/>
      <c r="U328" s="29">
        <f>IF($C328&lt;&gt;"",COUNTIF($C$2:C328,C328),"")</f>
        <v>7</v>
      </c>
      <c r="V328" s="29" t="str">
        <f t="shared" si="22"/>
        <v>Prof. Dr. Yasemin ÖZSÜREKCİ§7</v>
      </c>
      <c r="W328" s="29" t="str">
        <f>IF(U328=1,COUNTIF($U$2:U328,1),"")</f>
        <v/>
      </c>
      <c r="X328" s="29" t="str">
        <f t="shared" si="23"/>
        <v/>
      </c>
      <c r="Y328" s="29">
        <f>IF(AND(LEFT($B328,7)="SBA 26/",$D328&lt;&gt;"",$F328&lt;&gt;""),COUNTIFS($D$2:$D328,$D328,$B$2:$B328,"SBA 26/*",$F$2:$F328,"&lt;&gt;"),"")</f>
        <v>47</v>
      </c>
      <c r="Z328" s="29" t="str">
        <f>IF(Y328=1,COUNTIF($Y$2:Y328,1),"")</f>
        <v/>
      </c>
      <c r="AA328" s="29">
        <f>IF(AND(LEFT($B328,7)="SBA 26/",$C328&lt;&gt;"",$F328&lt;&gt;""),COUNTIFS($C$2:$C328,$C328,$B$2:$B328,"SBA 26/*",$F$2:$F328,"&lt;&gt;"),"")</f>
        <v>7</v>
      </c>
      <c r="AB328" s="29" t="str">
        <f>IF(AA328=1,COUNTIF($AA$2:AA328,1),"")</f>
        <v/>
      </c>
    </row>
    <row r="329" spans="1:28" ht="63" customHeight="1" x14ac:dyDescent="0.2">
      <c r="A329" s="43" t="s">
        <v>1635</v>
      </c>
      <c r="B329" s="43" t="s">
        <v>1636</v>
      </c>
      <c r="C329" s="44" t="s">
        <v>1637</v>
      </c>
      <c r="D329" s="44" t="s">
        <v>88</v>
      </c>
      <c r="E329" s="45" t="s">
        <v>1638</v>
      </c>
      <c r="F329" s="45" t="s">
        <v>1639</v>
      </c>
      <c r="G329" s="46" t="s">
        <v>38</v>
      </c>
      <c r="H329" s="48">
        <v>46108</v>
      </c>
      <c r="I329" s="48">
        <v>46126</v>
      </c>
      <c r="J329" s="44" t="s">
        <v>92</v>
      </c>
      <c r="K329" s="44" t="s">
        <v>75</v>
      </c>
      <c r="L329" s="50" t="s">
        <v>77</v>
      </c>
      <c r="M329" s="50"/>
      <c r="N329" s="50"/>
      <c r="O329" s="49"/>
      <c r="P329" s="50" t="str">
        <f t="shared" si="20"/>
        <v>ONAY</v>
      </c>
      <c r="R329" s="51" t="str">
        <f t="shared" si="21"/>
        <v/>
      </c>
      <c r="T329" s="41"/>
      <c r="U329" s="29">
        <f>IF($C329&lt;&gt;"",COUNTIF($C$2:C329,C329),"")</f>
        <v>1</v>
      </c>
      <c r="V329" s="29" t="str">
        <f t="shared" si="22"/>
        <v>Dr. Öğr. Üyesi Selin ARDALI DÜZGÜN§1</v>
      </c>
      <c r="W329" s="29">
        <f>IF(U329=1,COUNTIF($U$2:U329,1),"")</f>
        <v>200</v>
      </c>
      <c r="X329" s="29">
        <f t="shared" si="23"/>
        <v>164</v>
      </c>
      <c r="Y329" s="29">
        <f>IF(AND(LEFT($B329,7)="SBA 26/",$D329&lt;&gt;"",$F329&lt;&gt;""),COUNTIFS($D$2:$D329,$D329,$B$2:$B329,"SBA 26/*",$F$2:$F329,"&lt;&gt;"),"")</f>
        <v>13</v>
      </c>
      <c r="Z329" s="29" t="str">
        <f>IF(Y329=1,COUNTIF($Y$2:Y329,1),"")</f>
        <v/>
      </c>
      <c r="AA329" s="29">
        <f>IF(AND(LEFT($B329,7)="SBA 26/",$C329&lt;&gt;"",$F329&lt;&gt;""),COUNTIFS($C$2:$C329,$C329,$B$2:$B329,"SBA 26/*",$F$2:$F329,"&lt;&gt;"),"")</f>
        <v>1</v>
      </c>
      <c r="AB329" s="29">
        <f>IF(AA329=1,COUNTIF($AA$2:AA329,1),"")</f>
        <v>200</v>
      </c>
    </row>
    <row r="330" spans="1:28" ht="63" customHeight="1" x14ac:dyDescent="0.2">
      <c r="A330" s="43" t="s">
        <v>1640</v>
      </c>
      <c r="B330" s="43" t="s">
        <v>1641</v>
      </c>
      <c r="C330" s="44" t="s">
        <v>1052</v>
      </c>
      <c r="D330" s="44" t="s">
        <v>113</v>
      </c>
      <c r="E330" s="45" t="s">
        <v>1642</v>
      </c>
      <c r="F330" s="45" t="s">
        <v>1643</v>
      </c>
      <c r="G330" s="46" t="s">
        <v>38</v>
      </c>
      <c r="H330" s="48">
        <v>46108</v>
      </c>
      <c r="I330" s="48">
        <v>46126</v>
      </c>
      <c r="J330" s="44" t="s">
        <v>116</v>
      </c>
      <c r="K330" s="44" t="s">
        <v>129</v>
      </c>
      <c r="L330" s="50" t="s">
        <v>77</v>
      </c>
      <c r="M330" s="50"/>
      <c r="N330" s="50"/>
      <c r="O330" s="49"/>
      <c r="P330" s="50" t="str">
        <f t="shared" si="20"/>
        <v>ONAY</v>
      </c>
      <c r="R330" s="51" t="str">
        <f t="shared" si="21"/>
        <v/>
      </c>
      <c r="T330" s="41"/>
      <c r="U330" s="29">
        <f>IF($C330&lt;&gt;"",COUNTIF($C$2:C330,C330),"")</f>
        <v>4</v>
      </c>
      <c r="V330" s="29" t="str">
        <f t="shared" si="22"/>
        <v>Prof. Dr. Mustafa CANKURTARAN§4</v>
      </c>
      <c r="W330" s="29" t="str">
        <f>IF(U330=1,COUNTIF($U$2:U330,1),"")</f>
        <v/>
      </c>
      <c r="X330" s="29" t="str">
        <f t="shared" si="23"/>
        <v/>
      </c>
      <c r="Y330" s="29">
        <f>IF(AND(LEFT($B330,7)="SBA 26/",$D330&lt;&gt;"",$F330&lt;&gt;""),COUNTIFS($D$2:$D330,$D330,$B$2:$B330,"SBA 26/*",$F$2:$F330,"&lt;&gt;"),"")</f>
        <v>48</v>
      </c>
      <c r="Z330" s="29" t="str">
        <f>IF(Y330=1,COUNTIF($Y$2:Y330,1),"")</f>
        <v/>
      </c>
      <c r="AA330" s="29">
        <f>IF(AND(LEFT($B330,7)="SBA 26/",$C330&lt;&gt;"",$F330&lt;&gt;""),COUNTIFS($C$2:$C330,$C330,$B$2:$B330,"SBA 26/*",$F$2:$F330,"&lt;&gt;"),"")</f>
        <v>4</v>
      </c>
      <c r="AB330" s="29" t="str">
        <f>IF(AA330=1,COUNTIF($AA$2:AA330,1),"")</f>
        <v/>
      </c>
    </row>
    <row r="331" spans="1:28" ht="111" customHeight="1" x14ac:dyDescent="0.2">
      <c r="A331" s="43" t="s">
        <v>1644</v>
      </c>
      <c r="B331" s="43" t="s">
        <v>1645</v>
      </c>
      <c r="C331" s="44" t="s">
        <v>1300</v>
      </c>
      <c r="D331" s="44" t="s">
        <v>228</v>
      </c>
      <c r="E331" s="45" t="s">
        <v>1646</v>
      </c>
      <c r="F331" s="45" t="s">
        <v>1647</v>
      </c>
      <c r="G331" s="46" t="s">
        <v>38</v>
      </c>
      <c r="H331" s="48">
        <v>46108</v>
      </c>
      <c r="I331" s="48">
        <v>46126</v>
      </c>
      <c r="J331" s="44" t="s">
        <v>123</v>
      </c>
      <c r="K331" s="44" t="s">
        <v>84</v>
      </c>
      <c r="L331" s="50" t="s">
        <v>206</v>
      </c>
      <c r="M331" s="50" t="s">
        <v>101</v>
      </c>
      <c r="N331" s="50" t="s">
        <v>101</v>
      </c>
      <c r="O331" s="49" t="s">
        <v>77</v>
      </c>
      <c r="P331" s="50" t="str">
        <f t="shared" si="20"/>
        <v>ONAY</v>
      </c>
      <c r="Q331" s="28" t="s">
        <v>75</v>
      </c>
      <c r="R331" s="51" t="str">
        <f t="shared" si="21"/>
        <v/>
      </c>
      <c r="T331" s="41"/>
      <c r="U331" s="29">
        <f>IF($C331&lt;&gt;"",COUNTIF($C$2:C331,C331),"")</f>
        <v>3</v>
      </c>
      <c r="V331" s="29" t="str">
        <f t="shared" si="22"/>
        <v>Prof. Dr. Murat GÜLTEKİN§3</v>
      </c>
      <c r="W331" s="29" t="str">
        <f>IF(U331=1,COUNTIF($U$2:U331,1),"")</f>
        <v/>
      </c>
      <c r="X331" s="29" t="str">
        <f t="shared" si="23"/>
        <v/>
      </c>
      <c r="Y331" s="29">
        <f>IF(AND(LEFT($B331,7)="SBA 26/",$D331&lt;&gt;"",$F331&lt;&gt;""),COUNTIFS($D$2:$D331,$D331,$B$2:$B331,"SBA 26/*",$F$2:$F331,"&lt;&gt;"),"")</f>
        <v>22</v>
      </c>
      <c r="Z331" s="29" t="str">
        <f>IF(Y331=1,COUNTIF($Y$2:Y331,1),"")</f>
        <v/>
      </c>
      <c r="AA331" s="29">
        <f>IF(AND(LEFT($B331,7)="SBA 26/",$C331&lt;&gt;"",$F331&lt;&gt;""),COUNTIFS($C$2:$C331,$C331,$B$2:$B331,"SBA 26/*",$F$2:$F331,"&lt;&gt;"),"")</f>
        <v>3</v>
      </c>
      <c r="AB331" s="29" t="str">
        <f>IF(AA331=1,COUNTIF($AA$2:AA331,1),"")</f>
        <v/>
      </c>
    </row>
    <row r="332" spans="1:28" ht="78.75" customHeight="1" x14ac:dyDescent="0.2">
      <c r="A332" s="43" t="s">
        <v>1648</v>
      </c>
      <c r="B332" s="43" t="s">
        <v>1649</v>
      </c>
      <c r="C332" s="44" t="s">
        <v>132</v>
      </c>
      <c r="D332" s="44" t="s">
        <v>133</v>
      </c>
      <c r="E332" s="45" t="s">
        <v>1650</v>
      </c>
      <c r="F332" s="45" t="s">
        <v>1651</v>
      </c>
      <c r="G332" s="46" t="s">
        <v>38</v>
      </c>
      <c r="H332" s="48">
        <v>46108</v>
      </c>
      <c r="I332" s="48">
        <v>46126</v>
      </c>
      <c r="J332" s="44" t="s">
        <v>75</v>
      </c>
      <c r="K332" s="44" t="s">
        <v>100</v>
      </c>
      <c r="L332" s="50" t="s">
        <v>77</v>
      </c>
      <c r="M332" s="50"/>
      <c r="N332" s="50"/>
      <c r="O332" s="49"/>
      <c r="P332" s="50" t="str">
        <f t="shared" si="20"/>
        <v>ONAY</v>
      </c>
      <c r="R332" s="51" t="str">
        <f t="shared" si="21"/>
        <v/>
      </c>
      <c r="T332" s="41"/>
      <c r="U332" s="29">
        <f>IF($C332&lt;&gt;"",COUNTIF($C$2:C332,C332),"")</f>
        <v>2</v>
      </c>
      <c r="V332" s="29" t="str">
        <f t="shared" si="22"/>
        <v>Öğr. Gör. Dr. Buket KILIÇ§2</v>
      </c>
      <c r="W332" s="29" t="str">
        <f>IF(U332=1,COUNTIF($U$2:U332,1),"")</f>
        <v/>
      </c>
      <c r="X332" s="29" t="str">
        <f t="shared" si="23"/>
        <v/>
      </c>
      <c r="Y332" s="29">
        <f>IF(AND(LEFT($B332,7)="SBA 26/",$D332&lt;&gt;"",$F332&lt;&gt;""),COUNTIFS($D$2:$D332,$D332,$B$2:$B332,"SBA 26/*",$F$2:$F332,"&lt;&gt;"),"")</f>
        <v>8</v>
      </c>
      <c r="Z332" s="29" t="str">
        <f>IF(Y332=1,COUNTIF($Y$2:Y332,1),"")</f>
        <v/>
      </c>
      <c r="AA332" s="29">
        <f>IF(AND(LEFT($B332,7)="SBA 26/",$C332&lt;&gt;"",$F332&lt;&gt;""),COUNTIFS($C$2:$C332,$C332,$B$2:$B332,"SBA 26/*",$F$2:$F332,"&lt;&gt;"),"")</f>
        <v>2</v>
      </c>
      <c r="AB332" s="29" t="str">
        <f>IF(AA332=1,COUNTIF($AA$2:AA332,1),"")</f>
        <v/>
      </c>
    </row>
    <row r="333" spans="1:28" ht="63" customHeight="1" x14ac:dyDescent="0.2">
      <c r="A333" s="43" t="s">
        <v>1652</v>
      </c>
      <c r="B333" s="43" t="s">
        <v>1653</v>
      </c>
      <c r="C333" s="44" t="s">
        <v>95</v>
      </c>
      <c r="D333" s="54" t="s">
        <v>96</v>
      </c>
      <c r="E333" s="45" t="s">
        <v>1654</v>
      </c>
      <c r="F333" s="45" t="s">
        <v>1655</v>
      </c>
      <c r="G333" s="46" t="s">
        <v>40</v>
      </c>
      <c r="H333" s="48">
        <v>46108</v>
      </c>
      <c r="I333" s="48">
        <v>46126</v>
      </c>
      <c r="J333" s="44" t="s">
        <v>99</v>
      </c>
      <c r="K333" s="44" t="s">
        <v>76</v>
      </c>
      <c r="L333" s="50" t="s">
        <v>172</v>
      </c>
      <c r="M333" s="50"/>
      <c r="N333" s="50"/>
      <c r="O333" s="49"/>
      <c r="P333" s="50" t="str">
        <f t="shared" si="20"/>
        <v>RET</v>
      </c>
      <c r="R333" s="51" t="str">
        <f t="shared" si="21"/>
        <v/>
      </c>
      <c r="T333" s="41"/>
      <c r="U333" s="29">
        <f>IF($C333&lt;&gt;"",COUNTIF($C$2:C333,C333),"")</f>
        <v>2</v>
      </c>
      <c r="V333" s="29" t="str">
        <f t="shared" si="22"/>
        <v>Prof. Dr. Bayram ŞAHİN§2</v>
      </c>
      <c r="W333" s="29" t="str">
        <f>IF(U333=1,COUNTIF($U$2:U333,1),"")</f>
        <v/>
      </c>
      <c r="X333" s="29" t="str">
        <f t="shared" si="23"/>
        <v/>
      </c>
      <c r="Y333" s="29">
        <f>IF(AND(LEFT($B333,7)="SBA 26/",$D333&lt;&gt;"",$F333&lt;&gt;""),COUNTIFS($D$2:$D333,$D333,$B$2:$B333,"SBA 26/*",$F$2:$F333,"&lt;&gt;"),"")</f>
        <v>2</v>
      </c>
      <c r="Z333" s="29" t="str">
        <f>IF(Y333=1,COUNTIF($Y$2:Y333,1),"")</f>
        <v/>
      </c>
      <c r="AA333" s="29">
        <f>IF(AND(LEFT($B333,7)="SBA 26/",$C333&lt;&gt;"",$F333&lt;&gt;""),COUNTIFS($C$2:$C333,$C333,$B$2:$B333,"SBA 26/*",$F$2:$F333,"&lt;&gt;"),"")</f>
        <v>2</v>
      </c>
      <c r="AB333" s="29" t="str">
        <f>IF(AA333=1,COUNTIF($AA$2:AA333,1),"")</f>
        <v/>
      </c>
    </row>
    <row r="334" spans="1:28" ht="141.75" customHeight="1" x14ac:dyDescent="0.2">
      <c r="A334" s="43" t="s">
        <v>1656</v>
      </c>
      <c r="B334" s="43" t="s">
        <v>1657</v>
      </c>
      <c r="C334" s="44" t="s">
        <v>1658</v>
      </c>
      <c r="D334" s="44" t="s">
        <v>364</v>
      </c>
      <c r="E334" s="45" t="s">
        <v>1659</v>
      </c>
      <c r="F334" s="45" t="s">
        <v>1660</v>
      </c>
      <c r="G334" s="46" t="s">
        <v>39</v>
      </c>
      <c r="H334" s="48">
        <v>46108</v>
      </c>
      <c r="I334" s="48">
        <v>46126</v>
      </c>
      <c r="J334" s="44" t="s">
        <v>129</v>
      </c>
      <c r="K334" s="44" t="s">
        <v>108</v>
      </c>
      <c r="L334" s="50" t="s">
        <v>101</v>
      </c>
      <c r="M334" s="50" t="s">
        <v>77</v>
      </c>
      <c r="N334" s="50"/>
      <c r="O334" s="49"/>
      <c r="P334" s="50" t="str">
        <f t="shared" si="20"/>
        <v>ONAY</v>
      </c>
      <c r="Q334" s="28" t="s">
        <v>129</v>
      </c>
      <c r="R334" s="51" t="str">
        <f t="shared" si="21"/>
        <v/>
      </c>
      <c r="T334" s="41"/>
      <c r="U334" s="29">
        <f>IF($C334&lt;&gt;"",COUNTIF($C$2:C334,C334),"")</f>
        <v>1</v>
      </c>
      <c r="V334" s="29" t="str">
        <f t="shared" si="22"/>
        <v>Prof. Dr. Meryem Aslı TUNCER§1</v>
      </c>
      <c r="W334" s="29">
        <f>IF(U334=1,COUNTIF($U$2:U334,1),"")</f>
        <v>201</v>
      </c>
      <c r="X334" s="29">
        <f t="shared" si="23"/>
        <v>272</v>
      </c>
      <c r="Y334" s="29">
        <f>IF(AND(LEFT($B334,7)="SBA 26/",$D334&lt;&gt;"",$F334&lt;&gt;""),COUNTIFS($D$2:$D334,$D334,$B$2:$B334,"SBA 26/*",$F$2:$F334,"&lt;&gt;"),"")</f>
        <v>13</v>
      </c>
      <c r="Z334" s="29" t="str">
        <f>IF(Y334=1,COUNTIF($Y$2:Y334,1),"")</f>
        <v/>
      </c>
      <c r="AA334" s="29">
        <f>IF(AND(LEFT($B334,7)="SBA 26/",$C334&lt;&gt;"",$F334&lt;&gt;""),COUNTIFS($C$2:$C334,$C334,$B$2:$B334,"SBA 26/*",$F$2:$F334,"&lt;&gt;"),"")</f>
        <v>1</v>
      </c>
      <c r="AB334" s="29">
        <f>IF(AA334=1,COUNTIF($AA$2:AA334,1),"")</f>
        <v>201</v>
      </c>
    </row>
    <row r="335" spans="1:28" ht="94.5" customHeight="1" x14ac:dyDescent="0.2">
      <c r="A335" s="43" t="s">
        <v>1661</v>
      </c>
      <c r="B335" s="43" t="s">
        <v>1662</v>
      </c>
      <c r="C335" s="44" t="s">
        <v>1663</v>
      </c>
      <c r="D335" s="44" t="s">
        <v>1664</v>
      </c>
      <c r="E335" s="45" t="s">
        <v>1665</v>
      </c>
      <c r="F335" s="45" t="s">
        <v>1666</v>
      </c>
      <c r="G335" s="46" t="s">
        <v>39</v>
      </c>
      <c r="H335" s="48">
        <v>46108</v>
      </c>
      <c r="I335" s="48">
        <v>46126</v>
      </c>
      <c r="J335" s="44" t="s">
        <v>109</v>
      </c>
      <c r="K335" s="44" t="s">
        <v>91</v>
      </c>
      <c r="L335" s="50" t="s">
        <v>172</v>
      </c>
      <c r="M335" s="50"/>
      <c r="N335" s="50"/>
      <c r="O335" s="49"/>
      <c r="P335" s="50" t="str">
        <f t="shared" si="20"/>
        <v>RET</v>
      </c>
      <c r="R335" s="51" t="str">
        <f t="shared" si="21"/>
        <v/>
      </c>
      <c r="T335" s="41"/>
      <c r="U335" s="29">
        <f>IF($C335&lt;&gt;"",COUNTIF($C$2:C335,C335),"")</f>
        <v>1</v>
      </c>
      <c r="V335" s="29" t="str">
        <f t="shared" si="22"/>
        <v>Doç. Dr. Oytun PORTAKAL AKÇİN§1</v>
      </c>
      <c r="W335" s="29">
        <f>IF(U335=1,COUNTIF($U$2:U335,1),"")</f>
        <v>202</v>
      </c>
      <c r="X335" s="29">
        <f t="shared" si="23"/>
        <v>93</v>
      </c>
      <c r="Y335" s="29">
        <f>IF(AND(LEFT($B335,7)="SBA 26/",$D335&lt;&gt;"",$F335&lt;&gt;""),COUNTIFS($D$2:$D335,$D335,$B$2:$B335,"SBA 26/*",$F$2:$F335,"&lt;&gt;"),"")</f>
        <v>1</v>
      </c>
      <c r="Z335" s="29">
        <f>IF(Y335=1,COUNTIF($Y$2:Y335,1),"")</f>
        <v>62</v>
      </c>
      <c r="AA335" s="29">
        <f>IF(AND(LEFT($B335,7)="SBA 26/",$C335&lt;&gt;"",$F335&lt;&gt;""),COUNTIFS($C$2:$C335,$C335,$B$2:$B335,"SBA 26/*",$F$2:$F335,"&lt;&gt;"),"")</f>
        <v>1</v>
      </c>
      <c r="AB335" s="29">
        <f>IF(AA335=1,COUNTIF($AA$2:AA335,1),"")</f>
        <v>202</v>
      </c>
    </row>
    <row r="336" spans="1:28" ht="94.5" customHeight="1" x14ac:dyDescent="0.2">
      <c r="A336" s="43" t="s">
        <v>1667</v>
      </c>
      <c r="B336" s="43" t="s">
        <v>1668</v>
      </c>
      <c r="C336" s="44" t="s">
        <v>248</v>
      </c>
      <c r="D336" s="44" t="s">
        <v>234</v>
      </c>
      <c r="E336" s="45" t="s">
        <v>1669</v>
      </c>
      <c r="F336" s="45" t="s">
        <v>1670</v>
      </c>
      <c r="G336" s="46" t="s">
        <v>39</v>
      </c>
      <c r="H336" s="48">
        <v>46108</v>
      </c>
      <c r="I336" s="48">
        <v>46126</v>
      </c>
      <c r="J336" s="44" t="s">
        <v>92</v>
      </c>
      <c r="K336" s="44" t="s">
        <v>129</v>
      </c>
      <c r="L336" s="50" t="s">
        <v>77</v>
      </c>
      <c r="M336" s="50"/>
      <c r="N336" s="50"/>
      <c r="O336" s="49"/>
      <c r="P336" s="50" t="str">
        <f t="shared" si="20"/>
        <v>ONAY</v>
      </c>
      <c r="R336" s="51" t="str">
        <f t="shared" si="21"/>
        <v/>
      </c>
      <c r="T336" s="41"/>
      <c r="U336" s="29">
        <f>IF($C336&lt;&gt;"",COUNTIF($C$2:C336,C336),"")</f>
        <v>2</v>
      </c>
      <c r="V336" s="29" t="str">
        <f t="shared" si="22"/>
        <v>Prof. Dr. Kudret AYTEMİR§2</v>
      </c>
      <c r="W336" s="29" t="str">
        <f>IF(U336=1,COUNTIF($U$2:U336,1),"")</f>
        <v/>
      </c>
      <c r="X336" s="29" t="str">
        <f t="shared" si="23"/>
        <v/>
      </c>
      <c r="Y336" s="29">
        <f>IF(AND(LEFT($B336,7)="SBA 26/",$D336&lt;&gt;"",$F336&lt;&gt;""),COUNTIFS($D$2:$D336,$D336,$B$2:$B336,"SBA 26/*",$F$2:$F336,"&lt;&gt;"),"")</f>
        <v>7</v>
      </c>
      <c r="Z336" s="29" t="str">
        <f>IF(Y336=1,COUNTIF($Y$2:Y336,1),"")</f>
        <v/>
      </c>
      <c r="AA336" s="29">
        <f>IF(AND(LEFT($B336,7)="SBA 26/",$C336&lt;&gt;"",$F336&lt;&gt;""),COUNTIFS($C$2:$C336,$C336,$B$2:$B336,"SBA 26/*",$F$2:$F336,"&lt;&gt;"),"")</f>
        <v>2</v>
      </c>
      <c r="AB336" s="29" t="str">
        <f>IF(AA336=1,COUNTIF($AA$2:AA336,1),"")</f>
        <v/>
      </c>
    </row>
    <row r="337" spans="1:28" ht="63" customHeight="1" x14ac:dyDescent="0.2">
      <c r="A337" s="43" t="s">
        <v>1671</v>
      </c>
      <c r="B337" s="43" t="s">
        <v>1672</v>
      </c>
      <c r="C337" s="44" t="s">
        <v>1673</v>
      </c>
      <c r="D337" s="44" t="s">
        <v>539</v>
      </c>
      <c r="E337" s="45" t="s">
        <v>1674</v>
      </c>
      <c r="F337" s="45" t="s">
        <v>1675</v>
      </c>
      <c r="G337" s="46" t="s">
        <v>38</v>
      </c>
      <c r="H337" s="48">
        <v>46108</v>
      </c>
      <c r="I337" s="48">
        <v>46126</v>
      </c>
      <c r="J337" s="44" t="s">
        <v>123</v>
      </c>
      <c r="K337" s="44" t="s">
        <v>100</v>
      </c>
      <c r="L337" s="50" t="s">
        <v>77</v>
      </c>
      <c r="M337" s="50"/>
      <c r="N337" s="50"/>
      <c r="O337" s="49"/>
      <c r="P337" s="50" t="str">
        <f t="shared" si="20"/>
        <v>ONAY</v>
      </c>
      <c r="R337" s="51" t="str">
        <f t="shared" si="21"/>
        <v/>
      </c>
      <c r="T337" s="41"/>
      <c r="U337" s="29">
        <f>IF($C337&lt;&gt;"",COUNTIF($C$2:C337,C337),"")</f>
        <v>1</v>
      </c>
      <c r="V337" s="29" t="str">
        <f t="shared" si="22"/>
        <v>Prof. Dr. Hüseyin Gencay KEÇELİ§1</v>
      </c>
      <c r="W337" s="29">
        <f>IF(U337=1,COUNTIF($U$2:U337,1),"")</f>
        <v>203</v>
      </c>
      <c r="X337" s="29">
        <f t="shared" si="23"/>
        <v>252</v>
      </c>
      <c r="Y337" s="29">
        <f>IF(AND(LEFT($B337,7)="SBA 26/",$D337&lt;&gt;"",$F337&lt;&gt;""),COUNTIFS($D$2:$D337,$D337,$B$2:$B337,"SBA 26/*",$F$2:$F337,"&lt;&gt;"),"")</f>
        <v>5</v>
      </c>
      <c r="Z337" s="29" t="str">
        <f>IF(Y337=1,COUNTIF($Y$2:Y337,1),"")</f>
        <v/>
      </c>
      <c r="AA337" s="29">
        <f>IF(AND(LEFT($B337,7)="SBA 26/",$C337&lt;&gt;"",$F337&lt;&gt;""),COUNTIFS($C$2:$C337,$C337,$B$2:$B337,"SBA 26/*",$F$2:$F337,"&lt;&gt;"),"")</f>
        <v>1</v>
      </c>
      <c r="AB337" s="29">
        <f>IF(AA337=1,COUNTIF($AA$2:AA337,1),"")</f>
        <v>203</v>
      </c>
    </row>
    <row r="338" spans="1:28" ht="63" customHeight="1" x14ac:dyDescent="0.2">
      <c r="A338" s="43" t="s">
        <v>1676</v>
      </c>
      <c r="B338" s="43" t="s">
        <v>1677</v>
      </c>
      <c r="C338" s="44" t="s">
        <v>1678</v>
      </c>
      <c r="D338" s="44" t="s">
        <v>584</v>
      </c>
      <c r="E338" s="45" t="s">
        <v>1679</v>
      </c>
      <c r="F338" s="45" t="s">
        <v>1680</v>
      </c>
      <c r="G338" s="46" t="s">
        <v>38</v>
      </c>
      <c r="H338" s="48">
        <v>46108</v>
      </c>
      <c r="I338" s="48">
        <v>46126</v>
      </c>
      <c r="J338" s="44" t="s">
        <v>100</v>
      </c>
      <c r="K338" s="44" t="s">
        <v>99</v>
      </c>
      <c r="L338" s="50" t="s">
        <v>101</v>
      </c>
      <c r="M338" s="50" t="s">
        <v>77</v>
      </c>
      <c r="N338" s="50"/>
      <c r="O338" s="49"/>
      <c r="P338" s="50" t="str">
        <f t="shared" si="20"/>
        <v>ONAY</v>
      </c>
      <c r="Q338" s="28" t="s">
        <v>100</v>
      </c>
      <c r="R338" s="51" t="str">
        <f t="shared" si="21"/>
        <v/>
      </c>
      <c r="T338" s="41"/>
      <c r="U338" s="29">
        <f>IF($C338&lt;&gt;"",COUNTIF($C$2:C338,C338),"")</f>
        <v>1</v>
      </c>
      <c r="V338" s="29" t="str">
        <f t="shared" si="22"/>
        <v>Prof. Dr. Kasım KARATAŞ§1</v>
      </c>
      <c r="W338" s="29">
        <f>IF(U338=1,COUNTIF($U$2:U338,1),"")</f>
        <v>204</v>
      </c>
      <c r="X338" s="29">
        <f t="shared" si="23"/>
        <v>257</v>
      </c>
      <c r="Y338" s="29">
        <f>IF(AND(LEFT($B338,7)="SBA 26/",$D338&lt;&gt;"",$F338&lt;&gt;""),COUNTIFS($D$2:$D338,$D338,$B$2:$B338,"SBA 26/*",$F$2:$F338,"&lt;&gt;"),"")</f>
        <v>4</v>
      </c>
      <c r="Z338" s="29" t="str">
        <f>IF(Y338=1,COUNTIF($Y$2:Y338,1),"")</f>
        <v/>
      </c>
      <c r="AA338" s="29">
        <f>IF(AND(LEFT($B338,7)="SBA 26/",$C338&lt;&gt;"",$F338&lt;&gt;""),COUNTIFS($C$2:$C338,$C338,$B$2:$B338,"SBA 26/*",$F$2:$F338,"&lt;&gt;"),"")</f>
        <v>1</v>
      </c>
      <c r="AB338" s="29">
        <f>IF(AA338=1,COUNTIF($AA$2:AA338,1),"")</f>
        <v>204</v>
      </c>
    </row>
    <row r="339" spans="1:28" ht="63" customHeight="1" x14ac:dyDescent="0.2">
      <c r="A339" s="43" t="s">
        <v>1681</v>
      </c>
      <c r="B339" s="43" t="s">
        <v>1682</v>
      </c>
      <c r="C339" s="44" t="s">
        <v>1683</v>
      </c>
      <c r="D339" s="44" t="s">
        <v>430</v>
      </c>
      <c r="E339" s="45" t="s">
        <v>1684</v>
      </c>
      <c r="F339" s="45" t="s">
        <v>1685</v>
      </c>
      <c r="G339" s="46" t="s">
        <v>38</v>
      </c>
      <c r="H339" s="48">
        <v>46108</v>
      </c>
      <c r="I339" s="48">
        <v>46126</v>
      </c>
      <c r="J339" s="44" t="s">
        <v>108</v>
      </c>
      <c r="K339" s="44" t="s">
        <v>84</v>
      </c>
      <c r="L339" s="50" t="s">
        <v>101</v>
      </c>
      <c r="M339" s="50" t="s">
        <v>101</v>
      </c>
      <c r="N339" s="50" t="s">
        <v>77</v>
      </c>
      <c r="O339" s="49"/>
      <c r="P339" s="50" t="str">
        <f t="shared" si="20"/>
        <v>ONAY</v>
      </c>
      <c r="Q339" s="28" t="s">
        <v>108</v>
      </c>
      <c r="R339" s="51" t="str">
        <f t="shared" si="21"/>
        <v/>
      </c>
      <c r="T339" s="41"/>
      <c r="U339" s="29">
        <f>IF($C339&lt;&gt;"",COUNTIF($C$2:C339,C339),"")</f>
        <v>1</v>
      </c>
      <c r="V339" s="29" t="str">
        <f t="shared" si="22"/>
        <v>Dr. Öğr. Üyesi Hayri Can ÖZDEN§1</v>
      </c>
      <c r="W339" s="29">
        <f>IF(U339=1,COUNTIF($U$2:U339,1),"")</f>
        <v>205</v>
      </c>
      <c r="X339" s="29">
        <f t="shared" si="23"/>
        <v>147</v>
      </c>
      <c r="Y339" s="29">
        <f>IF(AND(LEFT($B339,7)="SBA 26/",$D339&lt;&gt;"",$F339&lt;&gt;""),COUNTIFS($D$2:$D339,$D339,$B$2:$B339,"SBA 26/*",$F$2:$F339,"&lt;&gt;"),"")</f>
        <v>4</v>
      </c>
      <c r="Z339" s="29" t="str">
        <f>IF(Y339=1,COUNTIF($Y$2:Y339,1),"")</f>
        <v/>
      </c>
      <c r="AA339" s="29">
        <f>IF(AND(LEFT($B339,7)="SBA 26/",$C339&lt;&gt;"",$F339&lt;&gt;""),COUNTIFS($C$2:$C339,$C339,$B$2:$B339,"SBA 26/*",$F$2:$F339,"&lt;&gt;"),"")</f>
        <v>1</v>
      </c>
      <c r="AB339" s="29">
        <f>IF(AA339=1,COUNTIF($AA$2:AA339,1),"")</f>
        <v>205</v>
      </c>
    </row>
    <row r="340" spans="1:28" ht="78.75" customHeight="1" x14ac:dyDescent="0.2">
      <c r="A340" s="43" t="s">
        <v>1686</v>
      </c>
      <c r="B340" s="43" t="s">
        <v>1687</v>
      </c>
      <c r="C340" s="44" t="s">
        <v>1683</v>
      </c>
      <c r="D340" s="44" t="s">
        <v>430</v>
      </c>
      <c r="E340" s="45" t="s">
        <v>1688</v>
      </c>
      <c r="F340" s="45" t="s">
        <v>1689</v>
      </c>
      <c r="G340" s="46" t="s">
        <v>38</v>
      </c>
      <c r="H340" s="48">
        <v>46108</v>
      </c>
      <c r="I340" s="48">
        <v>46126</v>
      </c>
      <c r="J340" s="44" t="s">
        <v>109</v>
      </c>
      <c r="K340" s="44" t="s">
        <v>108</v>
      </c>
      <c r="L340" s="50" t="s">
        <v>101</v>
      </c>
      <c r="M340" s="50" t="s">
        <v>77</v>
      </c>
      <c r="N340" s="50"/>
      <c r="O340" s="49"/>
      <c r="P340" s="50" t="str">
        <f t="shared" si="20"/>
        <v>ONAY</v>
      </c>
      <c r="Q340" s="28" t="s">
        <v>109</v>
      </c>
      <c r="R340" s="51" t="str">
        <f t="shared" si="21"/>
        <v/>
      </c>
      <c r="T340" s="41"/>
      <c r="U340" s="29">
        <f>IF($C340&lt;&gt;"",COUNTIF($C$2:C340,C340),"")</f>
        <v>2</v>
      </c>
      <c r="V340" s="29" t="str">
        <f t="shared" si="22"/>
        <v>Dr. Öğr. Üyesi Hayri Can ÖZDEN§2</v>
      </c>
      <c r="W340" s="29" t="str">
        <f>IF(U340=1,COUNTIF($U$2:U340,1),"")</f>
        <v/>
      </c>
      <c r="X340" s="29" t="str">
        <f t="shared" si="23"/>
        <v/>
      </c>
      <c r="Y340" s="29">
        <f>IF(AND(LEFT($B340,7)="SBA 26/",$D340&lt;&gt;"",$F340&lt;&gt;""),COUNTIFS($D$2:$D340,$D340,$B$2:$B340,"SBA 26/*",$F$2:$F340,"&lt;&gt;"),"")</f>
        <v>5</v>
      </c>
      <c r="Z340" s="29" t="str">
        <f>IF(Y340=1,COUNTIF($Y$2:Y340,1),"")</f>
        <v/>
      </c>
      <c r="AA340" s="29">
        <f>IF(AND(LEFT($B340,7)="SBA 26/",$C340&lt;&gt;"",$F340&lt;&gt;""),COUNTIFS($C$2:$C340,$C340,$B$2:$B340,"SBA 26/*",$F$2:$F340,"&lt;&gt;"),"")</f>
        <v>2</v>
      </c>
      <c r="AB340" s="29" t="str">
        <f>IF(AA340=1,COUNTIF($AA$2:AA340,1),"")</f>
        <v/>
      </c>
    </row>
    <row r="341" spans="1:28" ht="63" customHeight="1" x14ac:dyDescent="0.2">
      <c r="A341" s="43" t="s">
        <v>1690</v>
      </c>
      <c r="B341" s="43" t="s">
        <v>1691</v>
      </c>
      <c r="C341" s="44" t="s">
        <v>1692</v>
      </c>
      <c r="D341" s="44" t="s">
        <v>1493</v>
      </c>
      <c r="E341" s="45" t="s">
        <v>1693</v>
      </c>
      <c r="F341" s="45" t="s">
        <v>1694</v>
      </c>
      <c r="G341" s="46" t="s">
        <v>38</v>
      </c>
      <c r="H341" s="48">
        <v>46108</v>
      </c>
      <c r="I341" s="48">
        <v>46126</v>
      </c>
      <c r="J341" s="44" t="s">
        <v>129</v>
      </c>
      <c r="K341" s="44" t="s">
        <v>76</v>
      </c>
      <c r="L341" s="50" t="s">
        <v>77</v>
      </c>
      <c r="M341" s="50"/>
      <c r="N341" s="50"/>
      <c r="O341" s="49"/>
      <c r="P341" s="50" t="str">
        <f t="shared" si="20"/>
        <v>ONAY</v>
      </c>
      <c r="R341" s="51" t="str">
        <f t="shared" si="21"/>
        <v/>
      </c>
      <c r="T341" s="41"/>
      <c r="U341" s="29">
        <f>IF($C341&lt;&gt;"",COUNTIF($C$2:C341,C341),"")</f>
        <v>1</v>
      </c>
      <c r="V341" s="29" t="str">
        <f t="shared" si="22"/>
        <v>Dr. Öğr. Üyesi Ece ÖZOĞUL§1</v>
      </c>
      <c r="W341" s="29">
        <f>IF(U341=1,COUNTIF($U$2:U341,1),"")</f>
        <v>206</v>
      </c>
      <c r="X341" s="29">
        <f t="shared" si="23"/>
        <v>129</v>
      </c>
      <c r="Y341" s="29">
        <f>IF(AND(LEFT($B341,7)="SBA 26/",$D341&lt;&gt;"",$F341&lt;&gt;""),COUNTIFS($D$2:$D341,$D341,$B$2:$B341,"SBA 26/*",$F$2:$F341,"&lt;&gt;"),"")</f>
        <v>2</v>
      </c>
      <c r="Z341" s="29" t="str">
        <f>IF(Y341=1,COUNTIF($Y$2:Y341,1),"")</f>
        <v/>
      </c>
      <c r="AA341" s="29">
        <f>IF(AND(LEFT($B341,7)="SBA 26/",$C341&lt;&gt;"",$F341&lt;&gt;""),COUNTIFS($C$2:$C341,$C341,$B$2:$B341,"SBA 26/*",$F$2:$F341,"&lt;&gt;"),"")</f>
        <v>1</v>
      </c>
      <c r="AB341" s="29">
        <f>IF(AA341=1,COUNTIF($AA$2:AA341,1),"")</f>
        <v>206</v>
      </c>
    </row>
    <row r="342" spans="1:28" ht="94.5" customHeight="1" x14ac:dyDescent="0.2">
      <c r="A342" s="43" t="s">
        <v>1695</v>
      </c>
      <c r="B342" s="43" t="s">
        <v>1696</v>
      </c>
      <c r="C342" s="44" t="s">
        <v>1697</v>
      </c>
      <c r="D342" s="44" t="s">
        <v>1143</v>
      </c>
      <c r="E342" s="45" t="s">
        <v>1698</v>
      </c>
      <c r="F342" s="45" t="s">
        <v>1699</v>
      </c>
      <c r="G342" s="46" t="s">
        <v>38</v>
      </c>
      <c r="H342" s="48">
        <v>46108</v>
      </c>
      <c r="I342" s="48">
        <v>46126</v>
      </c>
      <c r="J342" s="44" t="s">
        <v>91</v>
      </c>
      <c r="K342" s="44" t="s">
        <v>116</v>
      </c>
      <c r="L342" s="50" t="s">
        <v>218</v>
      </c>
      <c r="M342" s="50"/>
      <c r="N342" s="50"/>
      <c r="O342" s="49"/>
      <c r="P342" s="50" t="str">
        <f t="shared" si="20"/>
        <v>KAEK</v>
      </c>
      <c r="R342" s="51" t="str">
        <f t="shared" si="21"/>
        <v/>
      </c>
      <c r="T342" s="41"/>
      <c r="U342" s="29">
        <f>IF($C342&lt;&gt;"",COUNTIF($C$2:C342,C342),"")</f>
        <v>1</v>
      </c>
      <c r="V342" s="29" t="str">
        <f t="shared" si="22"/>
        <v>Doç. Dr. Galip Gencay ÜSTÜN§1</v>
      </c>
      <c r="W342" s="29">
        <f>IF(U342=1,COUNTIF($U$2:U342,1),"")</f>
        <v>207</v>
      </c>
      <c r="X342" s="29">
        <f t="shared" si="23"/>
        <v>58</v>
      </c>
      <c r="Y342" s="29">
        <f>IF(AND(LEFT($B342,7)="SBA 26/",$D342&lt;&gt;"",$F342&lt;&gt;""),COUNTIFS($D$2:$D342,$D342,$B$2:$B342,"SBA 26/*",$F$2:$F342,"&lt;&gt;"),"")</f>
        <v>2</v>
      </c>
      <c r="Z342" s="29" t="str">
        <f>IF(Y342=1,COUNTIF($Y$2:Y342,1),"")</f>
        <v/>
      </c>
      <c r="AA342" s="29">
        <f>IF(AND(LEFT($B342,7)="SBA 26/",$C342&lt;&gt;"",$F342&lt;&gt;""),COUNTIFS($C$2:$C342,$C342,$B$2:$B342,"SBA 26/*",$F$2:$F342,"&lt;&gt;"),"")</f>
        <v>1</v>
      </c>
      <c r="AB342" s="29">
        <f>IF(AA342=1,COUNTIF($AA$2:AA342,1),"")</f>
        <v>207</v>
      </c>
    </row>
    <row r="343" spans="1:28" ht="63" customHeight="1" x14ac:dyDescent="0.2">
      <c r="A343" s="43" t="s">
        <v>1700</v>
      </c>
      <c r="B343" s="43" t="s">
        <v>1701</v>
      </c>
      <c r="C343" s="44" t="s">
        <v>1702</v>
      </c>
      <c r="D343" s="44" t="s">
        <v>662</v>
      </c>
      <c r="E343" s="45" t="s">
        <v>1703</v>
      </c>
      <c r="F343" s="45" t="s">
        <v>1704</v>
      </c>
      <c r="G343" s="46" t="s">
        <v>38</v>
      </c>
      <c r="H343" s="48">
        <v>46108</v>
      </c>
      <c r="I343" s="48">
        <v>46126</v>
      </c>
      <c r="J343" s="44" t="s">
        <v>116</v>
      </c>
      <c r="K343" s="44" t="s">
        <v>92</v>
      </c>
      <c r="L343" s="50" t="s">
        <v>77</v>
      </c>
      <c r="M343" s="50"/>
      <c r="N343" s="50"/>
      <c r="O343" s="49"/>
      <c r="P343" s="50" t="str">
        <f t="shared" si="20"/>
        <v>ONAY</v>
      </c>
      <c r="R343" s="51" t="str">
        <f t="shared" si="21"/>
        <v/>
      </c>
      <c r="T343" s="41"/>
      <c r="U343" s="29">
        <f>IF($C343&lt;&gt;"",COUNTIF($C$2:C343,C343),"")</f>
        <v>1</v>
      </c>
      <c r="V343" s="29" t="str">
        <f t="shared" si="22"/>
        <v>Dr. Öğr. Üyesi Evrim ÜNVER§1</v>
      </c>
      <c r="W343" s="29">
        <f>IF(U343=1,COUNTIF($U$2:U343,1),"")</f>
        <v>208</v>
      </c>
      <c r="X343" s="29">
        <f t="shared" si="23"/>
        <v>134</v>
      </c>
      <c r="Y343" s="29">
        <f>IF(AND(LEFT($B343,7)="SBA 26/",$D343&lt;&gt;"",$F343&lt;&gt;""),COUNTIFS($D$2:$D343,$D343,$B$2:$B343,"SBA 26/*",$F$2:$F343,"&lt;&gt;"),"")</f>
        <v>3</v>
      </c>
      <c r="Z343" s="29" t="str">
        <f>IF(Y343=1,COUNTIF($Y$2:Y343,1),"")</f>
        <v/>
      </c>
      <c r="AA343" s="29">
        <f>IF(AND(LEFT($B343,7)="SBA 26/",$C343&lt;&gt;"",$F343&lt;&gt;""),COUNTIFS($C$2:$C343,$C343,$B$2:$B343,"SBA 26/*",$F$2:$F343,"&lt;&gt;"),"")</f>
        <v>1</v>
      </c>
      <c r="AB343" s="29">
        <f>IF(AA343=1,COUNTIF($AA$2:AA343,1),"")</f>
        <v>208</v>
      </c>
    </row>
    <row r="344" spans="1:28" ht="96" customHeight="1" x14ac:dyDescent="0.2">
      <c r="A344" s="43" t="s">
        <v>1705</v>
      </c>
      <c r="B344" s="43" t="s">
        <v>1706</v>
      </c>
      <c r="C344" s="44" t="s">
        <v>1707</v>
      </c>
      <c r="D344" s="44" t="s">
        <v>113</v>
      </c>
      <c r="E344" s="45" t="s">
        <v>1708</v>
      </c>
      <c r="F344" s="45" t="s">
        <v>1709</v>
      </c>
      <c r="G344" s="46" t="s">
        <v>38</v>
      </c>
      <c r="H344" s="48">
        <v>46108</v>
      </c>
      <c r="I344" s="48">
        <v>46126</v>
      </c>
      <c r="J344" s="44" t="s">
        <v>91</v>
      </c>
      <c r="K344" s="44" t="s">
        <v>92</v>
      </c>
      <c r="L344" s="50" t="s">
        <v>101</v>
      </c>
      <c r="M344" s="50" t="s">
        <v>77</v>
      </c>
      <c r="N344" s="50"/>
      <c r="O344" s="49"/>
      <c r="P344" s="50" t="str">
        <f t="shared" si="20"/>
        <v>ONAY</v>
      </c>
      <c r="Q344" s="28" t="s">
        <v>92</v>
      </c>
      <c r="R344" s="51" t="str">
        <f t="shared" si="21"/>
        <v/>
      </c>
      <c r="T344" s="41"/>
      <c r="U344" s="29">
        <f>IF($C344&lt;&gt;"",COUNTIF($C$2:C344,C344),"")</f>
        <v>1</v>
      </c>
      <c r="V344" s="29" t="str">
        <f t="shared" si="22"/>
        <v>Doç. Dr. Cem ŞİMŞEK§1</v>
      </c>
      <c r="W344" s="29">
        <f>IF(U344=1,COUNTIF($U$2:U344,1),"")</f>
        <v>209</v>
      </c>
      <c r="X344" s="29">
        <f t="shared" si="23"/>
        <v>34</v>
      </c>
      <c r="Y344" s="29">
        <f>IF(AND(LEFT($B344,7)="SBA 26/",$D344&lt;&gt;"",$F344&lt;&gt;""),COUNTIFS($D$2:$D344,$D344,$B$2:$B344,"SBA 26/*",$F$2:$F344,"&lt;&gt;"),"")</f>
        <v>49</v>
      </c>
      <c r="Z344" s="29" t="str">
        <f>IF(Y344=1,COUNTIF($Y$2:Y344,1),"")</f>
        <v/>
      </c>
      <c r="AA344" s="29">
        <f>IF(AND(LEFT($B344,7)="SBA 26/",$C344&lt;&gt;"",$F344&lt;&gt;""),COUNTIFS($C$2:$C344,$C344,$B$2:$B344,"SBA 26/*",$F$2:$F344,"&lt;&gt;"),"")</f>
        <v>1</v>
      </c>
      <c r="AB344" s="29">
        <f>IF(AA344=1,COUNTIF($AA$2:AA344,1),"")</f>
        <v>209</v>
      </c>
    </row>
    <row r="345" spans="1:28" ht="63" customHeight="1" x14ac:dyDescent="0.2">
      <c r="A345" s="43" t="s">
        <v>1710</v>
      </c>
      <c r="B345" s="43" t="s">
        <v>1711</v>
      </c>
      <c r="C345" s="44" t="s">
        <v>1353</v>
      </c>
      <c r="D345" s="44" t="s">
        <v>113</v>
      </c>
      <c r="E345" s="45" t="s">
        <v>1712</v>
      </c>
      <c r="F345" s="45" t="s">
        <v>1713</v>
      </c>
      <c r="G345" s="46" t="s">
        <v>38</v>
      </c>
      <c r="H345" s="48">
        <v>46108</v>
      </c>
      <c r="I345" s="48">
        <v>46126</v>
      </c>
      <c r="J345" s="44" t="s">
        <v>84</v>
      </c>
      <c r="K345" s="44" t="s">
        <v>76</v>
      </c>
      <c r="L345" s="50" t="s">
        <v>77</v>
      </c>
      <c r="M345" s="50"/>
      <c r="N345" s="50"/>
      <c r="O345" s="49"/>
      <c r="P345" s="50" t="str">
        <f t="shared" si="20"/>
        <v>ONAY</v>
      </c>
      <c r="R345" s="51" t="str">
        <f t="shared" si="21"/>
        <v/>
      </c>
      <c r="T345" s="41"/>
      <c r="U345" s="29">
        <f>IF($C345&lt;&gt;"",COUNTIF($C$2:C345,C345),"")</f>
        <v>4</v>
      </c>
      <c r="V345" s="29" t="str">
        <f t="shared" si="22"/>
        <v>Prof. Dr. Burcu Balam DOĞU§4</v>
      </c>
      <c r="W345" s="29" t="str">
        <f>IF(U345=1,COUNTIF($U$2:U345,1),"")</f>
        <v/>
      </c>
      <c r="X345" s="29" t="str">
        <f t="shared" si="23"/>
        <v/>
      </c>
      <c r="Y345" s="29">
        <f>IF(AND(LEFT($B345,7)="SBA 26/",$D345&lt;&gt;"",$F345&lt;&gt;""),COUNTIFS($D$2:$D345,$D345,$B$2:$B345,"SBA 26/*",$F$2:$F345,"&lt;&gt;"),"")</f>
        <v>50</v>
      </c>
      <c r="Z345" s="29" t="str">
        <f>IF(Y345=1,COUNTIF($Y$2:Y345,1),"")</f>
        <v/>
      </c>
      <c r="AA345" s="29">
        <f>IF(AND(LEFT($B345,7)="SBA 26/",$C345&lt;&gt;"",$F345&lt;&gt;""),COUNTIFS($C$2:$C345,$C345,$B$2:$B345,"SBA 26/*",$F$2:$F345,"&lt;&gt;"),"")</f>
        <v>4</v>
      </c>
      <c r="AB345" s="29" t="str">
        <f>IF(AA345=1,COUNTIF($AA$2:AA345,1),"")</f>
        <v/>
      </c>
    </row>
    <row r="346" spans="1:28" ht="79.5" customHeight="1" x14ac:dyDescent="0.2">
      <c r="A346" s="43" t="s">
        <v>1714</v>
      </c>
      <c r="B346" s="43" t="s">
        <v>1715</v>
      </c>
      <c r="C346" s="44" t="s">
        <v>1692</v>
      </c>
      <c r="D346" s="44" t="s">
        <v>1493</v>
      </c>
      <c r="E346" s="45" t="s">
        <v>1716</v>
      </c>
      <c r="F346" s="45" t="s">
        <v>1717</v>
      </c>
      <c r="G346" s="46" t="s">
        <v>38</v>
      </c>
      <c r="H346" s="48">
        <v>46108</v>
      </c>
      <c r="I346" s="48">
        <v>46126</v>
      </c>
      <c r="J346" s="44" t="s">
        <v>116</v>
      </c>
      <c r="K346" s="44" t="s">
        <v>129</v>
      </c>
      <c r="L346" s="50" t="s">
        <v>77</v>
      </c>
      <c r="M346" s="50"/>
      <c r="N346" s="50"/>
      <c r="O346" s="49"/>
      <c r="P346" s="50" t="str">
        <f t="shared" si="20"/>
        <v>ONAY</v>
      </c>
      <c r="R346" s="51" t="str">
        <f t="shared" si="21"/>
        <v/>
      </c>
      <c r="T346" s="41"/>
      <c r="U346" s="29">
        <f>IF($C346&lt;&gt;"",COUNTIF($C$2:C346,C346),"")</f>
        <v>2</v>
      </c>
      <c r="V346" s="29" t="str">
        <f t="shared" si="22"/>
        <v>Dr. Öğr. Üyesi Ece ÖZOĞUL§2</v>
      </c>
      <c r="W346" s="29" t="str">
        <f>IF(U346=1,COUNTIF($U$2:U346,1),"")</f>
        <v/>
      </c>
      <c r="X346" s="29" t="str">
        <f t="shared" si="23"/>
        <v/>
      </c>
      <c r="Y346" s="29">
        <f>IF(AND(LEFT($B346,7)="SBA 26/",$D346&lt;&gt;"",$F346&lt;&gt;""),COUNTIFS($D$2:$D346,$D346,$B$2:$B346,"SBA 26/*",$F$2:$F346,"&lt;&gt;"),"")</f>
        <v>3</v>
      </c>
      <c r="Z346" s="29" t="str">
        <f>IF(Y346=1,COUNTIF($Y$2:Y346,1),"")</f>
        <v/>
      </c>
      <c r="AA346" s="29">
        <f>IF(AND(LEFT($B346,7)="SBA 26/",$C346&lt;&gt;"",$F346&lt;&gt;""),COUNTIFS($C$2:$C346,$C346,$B$2:$B346,"SBA 26/*",$F$2:$F346,"&lt;&gt;"),"")</f>
        <v>2</v>
      </c>
      <c r="AB346" s="29" t="str">
        <f>IF(AA346=1,COUNTIF($AA$2:AA346,1),"")</f>
        <v/>
      </c>
    </row>
    <row r="347" spans="1:28" ht="110.25" customHeight="1" x14ac:dyDescent="0.2">
      <c r="A347" s="43" t="s">
        <v>1718</v>
      </c>
      <c r="B347" s="43" t="s">
        <v>1719</v>
      </c>
      <c r="C347" s="44" t="s">
        <v>175</v>
      </c>
      <c r="D347" s="44" t="s">
        <v>169</v>
      </c>
      <c r="E347" s="45" t="s">
        <v>1720</v>
      </c>
      <c r="F347" s="45" t="s">
        <v>1721</v>
      </c>
      <c r="G347" s="46" t="s">
        <v>38</v>
      </c>
      <c r="H347" s="48">
        <v>46112</v>
      </c>
      <c r="I347" s="48">
        <v>46126</v>
      </c>
      <c r="J347" s="44" t="s">
        <v>91</v>
      </c>
      <c r="K347" s="44" t="s">
        <v>99</v>
      </c>
      <c r="L347" s="50" t="s">
        <v>101</v>
      </c>
      <c r="M347" s="50"/>
      <c r="N347" s="50"/>
      <c r="O347" s="49"/>
      <c r="P347" s="50" t="str">
        <f t="shared" si="20"/>
        <v>DÜZELTME</v>
      </c>
      <c r="R347" s="51" t="str">
        <f t="shared" si="21"/>
        <v/>
      </c>
      <c r="T347" s="41"/>
      <c r="U347" s="29">
        <f>IF($C347&lt;&gt;"",COUNTIF($C$2:C347,C347),"")</f>
        <v>4</v>
      </c>
      <c r="V347" s="29" t="str">
        <f t="shared" si="22"/>
        <v>Prof. Dr. Gül KARAKAYA§4</v>
      </c>
      <c r="W347" s="29" t="str">
        <f>IF(U347=1,COUNTIF($U$2:U347,1),"")</f>
        <v/>
      </c>
      <c r="X347" s="29" t="str">
        <f t="shared" si="23"/>
        <v/>
      </c>
      <c r="Y347" s="29">
        <f>IF(AND(LEFT($B347,7)="SBA 26/",$D347&lt;&gt;"",$F347&lt;&gt;""),COUNTIFS($D$2:$D347,$D347,$B$2:$B347,"SBA 26/*",$F$2:$F347,"&lt;&gt;"),"")</f>
        <v>13</v>
      </c>
      <c r="Z347" s="29" t="str">
        <f>IF(Y347=1,COUNTIF($Y$2:Y347,1),"")</f>
        <v/>
      </c>
      <c r="AA347" s="29">
        <f>IF(AND(LEFT($B347,7)="SBA 26/",$C347&lt;&gt;"",$F347&lt;&gt;""),COUNTIFS($C$2:$C347,$C347,$B$2:$B347,"SBA 26/*",$F$2:$F347,"&lt;&gt;"),"")</f>
        <v>4</v>
      </c>
      <c r="AB347" s="29" t="str">
        <f>IF(AA347=1,COUNTIF($AA$2:AA347,1),"")</f>
        <v/>
      </c>
    </row>
    <row r="348" spans="1:28" ht="111.75" customHeight="1" x14ac:dyDescent="0.2">
      <c r="A348" s="43" t="s">
        <v>1722</v>
      </c>
      <c r="B348" s="43" t="s">
        <v>1723</v>
      </c>
      <c r="C348" s="44" t="s">
        <v>1106</v>
      </c>
      <c r="D348" s="44" t="s">
        <v>966</v>
      </c>
      <c r="E348" s="45" t="s">
        <v>1724</v>
      </c>
      <c r="F348" s="45" t="s">
        <v>1725</v>
      </c>
      <c r="G348" s="46" t="s">
        <v>38</v>
      </c>
      <c r="H348" s="48">
        <v>46112</v>
      </c>
      <c r="I348" s="48">
        <v>46126</v>
      </c>
      <c r="J348" s="44" t="s">
        <v>109</v>
      </c>
      <c r="K348" s="44" t="s">
        <v>84</v>
      </c>
      <c r="L348" s="50" t="s">
        <v>172</v>
      </c>
      <c r="M348" s="50"/>
      <c r="N348" s="50"/>
      <c r="O348" s="49"/>
      <c r="P348" s="50" t="str">
        <f t="shared" si="20"/>
        <v>RET</v>
      </c>
      <c r="R348" s="51" t="str">
        <f t="shared" si="21"/>
        <v/>
      </c>
      <c r="T348" s="41"/>
      <c r="U348" s="29">
        <f>IF($C348&lt;&gt;"",COUNTIF($C$2:C348,C348),"")</f>
        <v>4</v>
      </c>
      <c r="V348" s="29" t="str">
        <f t="shared" si="22"/>
        <v>Doç. Dr. Duygu AYHAN BAŞER§4</v>
      </c>
      <c r="W348" s="29" t="str">
        <f>IF(U348=1,COUNTIF($U$2:U348,1),"")</f>
        <v/>
      </c>
      <c r="X348" s="29" t="str">
        <f t="shared" si="23"/>
        <v/>
      </c>
      <c r="Y348" s="29">
        <f>IF(AND(LEFT($B348,7)="SBA 26/",$D348&lt;&gt;"",$F348&lt;&gt;""),COUNTIFS($D$2:$D348,$D348,$B$2:$B348,"SBA 26/*",$F$2:$F348,"&lt;&gt;"),"")</f>
        <v>6</v>
      </c>
      <c r="Z348" s="29" t="str">
        <f>IF(Y348=1,COUNTIF($Y$2:Y348,1),"")</f>
        <v/>
      </c>
      <c r="AA348" s="29">
        <f>IF(AND(LEFT($B348,7)="SBA 26/",$C348&lt;&gt;"",$F348&lt;&gt;""),COUNTIFS($C$2:$C348,$C348,$B$2:$B348,"SBA 26/*",$F$2:$F348,"&lt;&gt;"),"")</f>
        <v>4</v>
      </c>
      <c r="AB348" s="29" t="str">
        <f>IF(AA348=1,COUNTIF($AA$2:AA348,1),"")</f>
        <v/>
      </c>
    </row>
    <row r="349" spans="1:28" ht="63" customHeight="1" x14ac:dyDescent="0.2">
      <c r="A349" s="43" t="s">
        <v>1726</v>
      </c>
      <c r="B349" s="43" t="s">
        <v>1727</v>
      </c>
      <c r="C349" s="44" t="s">
        <v>112</v>
      </c>
      <c r="D349" s="44" t="s">
        <v>113</v>
      </c>
      <c r="E349" s="45" t="s">
        <v>1728</v>
      </c>
      <c r="F349" s="45" t="s">
        <v>1729</v>
      </c>
      <c r="G349" s="46" t="s">
        <v>38</v>
      </c>
      <c r="H349" s="48">
        <v>46112</v>
      </c>
      <c r="I349" s="48">
        <v>46126</v>
      </c>
      <c r="J349" s="44" t="s">
        <v>75</v>
      </c>
      <c r="K349" s="44" t="s">
        <v>116</v>
      </c>
      <c r="L349" s="50" t="s">
        <v>101</v>
      </c>
      <c r="M349" s="50" t="s">
        <v>77</v>
      </c>
      <c r="N349" s="50"/>
      <c r="O349" s="49"/>
      <c r="P349" s="50" t="str">
        <f t="shared" si="20"/>
        <v>ONAY</v>
      </c>
      <c r="Q349" s="28" t="s">
        <v>75</v>
      </c>
      <c r="R349" s="51" t="str">
        <f t="shared" si="21"/>
        <v/>
      </c>
      <c r="T349" s="41"/>
      <c r="U349" s="29">
        <f>IF($C349&lt;&gt;"",COUNTIF($C$2:C349,C349),"")</f>
        <v>11</v>
      </c>
      <c r="V349" s="29" t="str">
        <f t="shared" si="22"/>
        <v>Prof. Dr. Meltem Gülhan HALİL§11</v>
      </c>
      <c r="W349" s="29" t="str">
        <f>IF(U349=1,COUNTIF($U$2:U349,1),"")</f>
        <v/>
      </c>
      <c r="X349" s="29" t="str">
        <f t="shared" si="23"/>
        <v/>
      </c>
      <c r="Y349" s="29">
        <f>IF(AND(LEFT($B349,7)="SBA 26/",$D349&lt;&gt;"",$F349&lt;&gt;""),COUNTIFS($D$2:$D349,$D349,$B$2:$B349,"SBA 26/*",$F$2:$F349,"&lt;&gt;"),"")</f>
        <v>51</v>
      </c>
      <c r="Z349" s="29" t="str">
        <f>IF(Y349=1,COUNTIF($Y$2:Y349,1),"")</f>
        <v/>
      </c>
      <c r="AA349" s="29">
        <f>IF(AND(LEFT($B349,7)="SBA 26/",$C349&lt;&gt;"",$F349&lt;&gt;""),COUNTIFS($C$2:$C349,$C349,$B$2:$B349,"SBA 26/*",$F$2:$F349,"&lt;&gt;"),"")</f>
        <v>11</v>
      </c>
      <c r="AB349" s="29" t="str">
        <f>IF(AA349=1,COUNTIF($AA$2:AA349,1),"")</f>
        <v/>
      </c>
    </row>
    <row r="350" spans="1:28" ht="79.5" customHeight="1" x14ac:dyDescent="0.2">
      <c r="A350" s="43" t="s">
        <v>1730</v>
      </c>
      <c r="B350" s="43" t="s">
        <v>1731</v>
      </c>
      <c r="C350" s="44" t="s">
        <v>1732</v>
      </c>
      <c r="D350" s="44" t="s">
        <v>193</v>
      </c>
      <c r="E350" s="45" t="s">
        <v>1733</v>
      </c>
      <c r="F350" s="45" t="s">
        <v>1734</v>
      </c>
      <c r="G350" s="46" t="s">
        <v>38</v>
      </c>
      <c r="H350" s="48">
        <v>46112</v>
      </c>
      <c r="I350" s="48">
        <v>46126</v>
      </c>
      <c r="J350" s="44" t="s">
        <v>123</v>
      </c>
      <c r="K350" s="44" t="s">
        <v>92</v>
      </c>
      <c r="L350" s="50" t="s">
        <v>77</v>
      </c>
      <c r="M350" s="50"/>
      <c r="N350" s="50"/>
      <c r="O350" s="49"/>
      <c r="P350" s="50" t="str">
        <f t="shared" si="20"/>
        <v>ONAY</v>
      </c>
      <c r="R350" s="51" t="str">
        <f t="shared" si="21"/>
        <v/>
      </c>
      <c r="T350" s="41"/>
      <c r="U350" s="29">
        <f>IF($C350&lt;&gt;"",COUNTIF($C$2:C350,C350),"")</f>
        <v>1</v>
      </c>
      <c r="V350" s="29" t="str">
        <f t="shared" si="22"/>
        <v>Doç. Dr. Özlem DİKMETAŞ SANDIKÇI§1</v>
      </c>
      <c r="W350" s="29">
        <f>IF(U350=1,COUNTIF($U$2:U350,1),"")</f>
        <v>210</v>
      </c>
      <c r="X350" s="29">
        <f t="shared" si="23"/>
        <v>94</v>
      </c>
      <c r="Y350" s="29">
        <f>IF(AND(LEFT($B350,7)="SBA 26/",$D350&lt;&gt;"",$F350&lt;&gt;""),COUNTIFS($D$2:$D350,$D350,$B$2:$B350,"SBA 26/*",$F$2:$F350,"&lt;&gt;"),"")</f>
        <v>8</v>
      </c>
      <c r="Z350" s="29" t="str">
        <f>IF(Y350=1,COUNTIF($Y$2:Y350,1),"")</f>
        <v/>
      </c>
      <c r="AA350" s="29">
        <f>IF(AND(LEFT($B350,7)="SBA 26/",$C350&lt;&gt;"",$F350&lt;&gt;""),COUNTIFS($C$2:$C350,$C350,$B$2:$B350,"SBA 26/*",$F$2:$F350,"&lt;&gt;"),"")</f>
        <v>1</v>
      </c>
      <c r="AB350" s="29">
        <f>IF(AA350=1,COUNTIF($AA$2:AA350,1),"")</f>
        <v>210</v>
      </c>
    </row>
    <row r="351" spans="1:28" ht="63" customHeight="1" x14ac:dyDescent="0.2">
      <c r="A351" s="43" t="s">
        <v>1735</v>
      </c>
      <c r="B351" s="43" t="s">
        <v>1736</v>
      </c>
      <c r="C351" s="44" t="s">
        <v>533</v>
      </c>
      <c r="D351" s="44" t="s">
        <v>113</v>
      </c>
      <c r="E351" s="45" t="s">
        <v>1737</v>
      </c>
      <c r="F351" s="45" t="s">
        <v>1738</v>
      </c>
      <c r="G351" s="46" t="s">
        <v>38</v>
      </c>
      <c r="H351" s="48">
        <v>46112</v>
      </c>
      <c r="I351" s="48">
        <v>46126</v>
      </c>
      <c r="J351" s="44" t="s">
        <v>76</v>
      </c>
      <c r="K351" s="44" t="s">
        <v>109</v>
      </c>
      <c r="L351" s="50" t="s">
        <v>77</v>
      </c>
      <c r="M351" s="50"/>
      <c r="N351" s="50"/>
      <c r="O351" s="49"/>
      <c r="P351" s="50" t="str">
        <f t="shared" si="20"/>
        <v>ONAY</v>
      </c>
      <c r="R351" s="51" t="str">
        <f t="shared" si="21"/>
        <v/>
      </c>
      <c r="T351" s="41"/>
      <c r="U351" s="29">
        <f>IF($C351&lt;&gt;"",COUNTIF($C$2:C351,C351),"")</f>
        <v>2</v>
      </c>
      <c r="V351" s="29" t="str">
        <f t="shared" si="22"/>
        <v>Prof. Dr. Salih AKSU§2</v>
      </c>
      <c r="W351" s="29" t="str">
        <f>IF(U351=1,COUNTIF($U$2:U351,1),"")</f>
        <v/>
      </c>
      <c r="X351" s="29" t="str">
        <f t="shared" si="23"/>
        <v/>
      </c>
      <c r="Y351" s="29">
        <f>IF(AND(LEFT($B351,7)="SBA 26/",$D351&lt;&gt;"",$F351&lt;&gt;""),COUNTIFS($D$2:$D351,$D351,$B$2:$B351,"SBA 26/*",$F$2:$F351,"&lt;&gt;"),"")</f>
        <v>52</v>
      </c>
      <c r="Z351" s="29" t="str">
        <f>IF(Y351=1,COUNTIF($Y$2:Y351,1),"")</f>
        <v/>
      </c>
      <c r="AA351" s="29">
        <f>IF(AND(LEFT($B351,7)="SBA 26/",$C351&lt;&gt;"",$F351&lt;&gt;""),COUNTIFS($C$2:$C351,$C351,$B$2:$B351,"SBA 26/*",$F$2:$F351,"&lt;&gt;"),"")</f>
        <v>2</v>
      </c>
      <c r="AB351" s="29" t="str">
        <f>IF(AA351=1,COUNTIF($AA$2:AA351,1),"")</f>
        <v/>
      </c>
    </row>
    <row r="352" spans="1:28" ht="63" customHeight="1" x14ac:dyDescent="0.2">
      <c r="A352" s="43" t="s">
        <v>1739</v>
      </c>
      <c r="B352" s="43" t="s">
        <v>1740</v>
      </c>
      <c r="C352" s="44" t="s">
        <v>734</v>
      </c>
      <c r="D352" s="44" t="s">
        <v>222</v>
      </c>
      <c r="E352" s="45" t="s">
        <v>1741</v>
      </c>
      <c r="F352" s="45" t="s">
        <v>1742</v>
      </c>
      <c r="G352" s="46" t="s">
        <v>38</v>
      </c>
      <c r="H352" s="48">
        <v>46112</v>
      </c>
      <c r="I352" s="48">
        <v>46126</v>
      </c>
      <c r="J352" s="44" t="s">
        <v>100</v>
      </c>
      <c r="K352" s="44" t="s">
        <v>123</v>
      </c>
      <c r="L352" s="50" t="s">
        <v>101</v>
      </c>
      <c r="M352" s="50" t="s">
        <v>77</v>
      </c>
      <c r="N352" s="50"/>
      <c r="O352" s="49"/>
      <c r="P352" s="50" t="str">
        <f t="shared" si="20"/>
        <v>ONAY</v>
      </c>
      <c r="Q352" s="28" t="s">
        <v>100</v>
      </c>
      <c r="R352" s="51" t="str">
        <f t="shared" si="21"/>
        <v/>
      </c>
      <c r="T352" s="41"/>
      <c r="U352" s="29">
        <f>IF($C352&lt;&gt;"",COUNTIF($C$2:C352,C352),"")</f>
        <v>2</v>
      </c>
      <c r="V352" s="29" t="str">
        <f t="shared" si="22"/>
        <v>Dr. Öğr. Üyesi Ayşe METE YEŞİL§2</v>
      </c>
      <c r="W352" s="29" t="str">
        <f>IF(U352=1,COUNTIF($U$2:U352,1),"")</f>
        <v/>
      </c>
      <c r="X352" s="29" t="str">
        <f t="shared" si="23"/>
        <v/>
      </c>
      <c r="Y352" s="29">
        <f>IF(AND(LEFT($B352,7)="SBA 26/",$D352&lt;&gt;"",$F352&lt;&gt;""),COUNTIFS($D$2:$D352,$D352,$B$2:$B352,"SBA 26/*",$F$2:$F352,"&lt;&gt;"),"")</f>
        <v>48</v>
      </c>
      <c r="Z352" s="29" t="str">
        <f>IF(Y352=1,COUNTIF($Y$2:Y352,1),"")</f>
        <v/>
      </c>
      <c r="AA352" s="29">
        <f>IF(AND(LEFT($B352,7)="SBA 26/",$C352&lt;&gt;"",$F352&lt;&gt;""),COUNTIFS($C$2:$C352,$C352,$B$2:$B352,"SBA 26/*",$F$2:$F352,"&lt;&gt;"),"")</f>
        <v>2</v>
      </c>
      <c r="AB352" s="29" t="str">
        <f>IF(AA352=1,COUNTIF($AA$2:AA352,1),"")</f>
        <v/>
      </c>
    </row>
    <row r="353" spans="1:28" ht="141.75" customHeight="1" x14ac:dyDescent="0.2">
      <c r="A353" s="43" t="s">
        <v>1743</v>
      </c>
      <c r="B353" s="43" t="s">
        <v>1744</v>
      </c>
      <c r="C353" s="44" t="s">
        <v>379</v>
      </c>
      <c r="D353" s="44" t="s">
        <v>222</v>
      </c>
      <c r="E353" s="45" t="s">
        <v>1745</v>
      </c>
      <c r="F353" s="45" t="s">
        <v>1746</v>
      </c>
      <c r="G353" s="46" t="s">
        <v>38</v>
      </c>
      <c r="H353" s="48">
        <v>46112</v>
      </c>
      <c r="I353" s="48">
        <v>46126</v>
      </c>
      <c r="J353" s="44" t="s">
        <v>75</v>
      </c>
      <c r="K353" s="44" t="s">
        <v>123</v>
      </c>
      <c r="L353" s="50" t="s">
        <v>101</v>
      </c>
      <c r="M353" s="50" t="s">
        <v>77</v>
      </c>
      <c r="N353" s="50"/>
      <c r="O353" s="49"/>
      <c r="P353" s="50" t="str">
        <f t="shared" si="20"/>
        <v>ONAY</v>
      </c>
      <c r="Q353" s="28" t="s">
        <v>75</v>
      </c>
      <c r="R353" s="51" t="str">
        <f t="shared" si="21"/>
        <v/>
      </c>
      <c r="T353" s="41"/>
      <c r="U353" s="29">
        <f>IF($C353&lt;&gt;"",COUNTIF($C$2:C353,C353),"")</f>
        <v>4</v>
      </c>
      <c r="V353" s="29" t="str">
        <f t="shared" si="22"/>
        <v>Prof. Dr. Deniz ÇAĞDAŞ AYVAZ§4</v>
      </c>
      <c r="W353" s="29" t="str">
        <f>IF(U353=1,COUNTIF($U$2:U353,1),"")</f>
        <v/>
      </c>
      <c r="X353" s="29" t="str">
        <f t="shared" si="23"/>
        <v/>
      </c>
      <c r="Y353" s="29">
        <f>IF(AND(LEFT($B353,7)="SBA 26/",$D353&lt;&gt;"",$F353&lt;&gt;""),COUNTIFS($D$2:$D353,$D353,$B$2:$B353,"SBA 26/*",$F$2:$F353,"&lt;&gt;"),"")</f>
        <v>49</v>
      </c>
      <c r="Z353" s="29" t="str">
        <f>IF(Y353=1,COUNTIF($Y$2:Y353,1),"")</f>
        <v/>
      </c>
      <c r="AA353" s="29">
        <f>IF(AND(LEFT($B353,7)="SBA 26/",$C353&lt;&gt;"",$F353&lt;&gt;""),COUNTIFS($C$2:$C353,$C353,$B$2:$B353,"SBA 26/*",$F$2:$F353,"&lt;&gt;"),"")</f>
        <v>4</v>
      </c>
      <c r="AB353" s="29" t="str">
        <f>IF(AA353=1,COUNTIF($AA$2:AA353,1),"")</f>
        <v/>
      </c>
    </row>
    <row r="354" spans="1:28" ht="63" customHeight="1" x14ac:dyDescent="0.2">
      <c r="A354" s="43" t="s">
        <v>1747</v>
      </c>
      <c r="B354" s="43" t="s">
        <v>1748</v>
      </c>
      <c r="C354" s="44" t="s">
        <v>1584</v>
      </c>
      <c r="D354" s="44" t="s">
        <v>113</v>
      </c>
      <c r="E354" s="45" t="s">
        <v>1620</v>
      </c>
      <c r="F354" s="45" t="s">
        <v>1749</v>
      </c>
      <c r="G354" s="46" t="s">
        <v>38</v>
      </c>
      <c r="H354" s="48">
        <v>46118</v>
      </c>
      <c r="I354" s="48">
        <v>46140</v>
      </c>
      <c r="J354" s="44" t="s">
        <v>116</v>
      </c>
      <c r="K354" s="44" t="s">
        <v>84</v>
      </c>
      <c r="L354" s="50" t="s">
        <v>77</v>
      </c>
      <c r="M354" s="50"/>
      <c r="N354" s="50"/>
      <c r="O354" s="49"/>
      <c r="P354" s="50" t="str">
        <f t="shared" si="20"/>
        <v>ONAY</v>
      </c>
      <c r="R354" s="51" t="str">
        <f t="shared" si="21"/>
        <v/>
      </c>
      <c r="T354" s="41"/>
      <c r="U354" s="29">
        <f>IF($C354&lt;&gt;"",COUNTIF($C$2:C354,C354),"")</f>
        <v>3</v>
      </c>
      <c r="V354" s="29" t="str">
        <f t="shared" si="22"/>
        <v>Doç. Dr. Cafer BALCI§3</v>
      </c>
      <c r="W354" s="29" t="str">
        <f>IF(U354=1,COUNTIF($U$2:U354,1),"")</f>
        <v/>
      </c>
      <c r="X354" s="29" t="str">
        <f t="shared" si="23"/>
        <v/>
      </c>
      <c r="Y354" s="29">
        <f>IF(AND(LEFT($B354,7)="SBA 26/",$D354&lt;&gt;"",$F354&lt;&gt;""),COUNTIFS($D$2:$D354,$D354,$B$2:$B354,"SBA 26/*",$F$2:$F354,"&lt;&gt;"),"")</f>
        <v>53</v>
      </c>
      <c r="Z354" s="29" t="str">
        <f>IF(Y354=1,COUNTIF($Y$2:Y354,1),"")</f>
        <v/>
      </c>
      <c r="AA354" s="29">
        <f>IF(AND(LEFT($B354,7)="SBA 26/",$C354&lt;&gt;"",$F354&lt;&gt;""),COUNTIFS($C$2:$C354,$C354,$B$2:$B354,"SBA 26/*",$F$2:$F354,"&lt;&gt;"),"")</f>
        <v>3</v>
      </c>
      <c r="AB354" s="29" t="str">
        <f>IF(AA354=1,COUNTIF($AA$2:AA354,1),"")</f>
        <v/>
      </c>
    </row>
    <row r="355" spans="1:28" ht="94.5" customHeight="1" x14ac:dyDescent="0.2">
      <c r="A355" s="43" t="s">
        <v>1750</v>
      </c>
      <c r="B355" s="43" t="s">
        <v>1751</v>
      </c>
      <c r="C355" s="44" t="s">
        <v>1106</v>
      </c>
      <c r="D355" s="44" t="s">
        <v>966</v>
      </c>
      <c r="E355" s="45" t="s">
        <v>1752</v>
      </c>
      <c r="F355" s="45" t="s">
        <v>1753</v>
      </c>
      <c r="G355" s="46" t="s">
        <v>38</v>
      </c>
      <c r="H355" s="48">
        <v>46118</v>
      </c>
      <c r="I355" s="48">
        <v>46140</v>
      </c>
      <c r="J355" s="44" t="s">
        <v>109</v>
      </c>
      <c r="K355" s="44" t="s">
        <v>123</v>
      </c>
      <c r="L355" s="50" t="s">
        <v>172</v>
      </c>
      <c r="M355" s="50"/>
      <c r="N355" s="50"/>
      <c r="O355" s="49"/>
      <c r="P355" s="50" t="str">
        <f t="shared" si="20"/>
        <v>RET</v>
      </c>
      <c r="R355" s="51" t="str">
        <f t="shared" si="21"/>
        <v/>
      </c>
      <c r="T355" s="41"/>
      <c r="U355" s="29">
        <f>IF($C355&lt;&gt;"",COUNTIF($C$2:C355,C355),"")</f>
        <v>5</v>
      </c>
      <c r="V355" s="29" t="str">
        <f t="shared" si="22"/>
        <v>Doç. Dr. Duygu AYHAN BAŞER§5</v>
      </c>
      <c r="W355" s="29" t="str">
        <f>IF(U355=1,COUNTIF($U$2:U355,1),"")</f>
        <v/>
      </c>
      <c r="X355" s="29" t="str">
        <f t="shared" si="23"/>
        <v/>
      </c>
      <c r="Y355" s="29">
        <f>IF(AND(LEFT($B355,7)="SBA 26/",$D355&lt;&gt;"",$F355&lt;&gt;""),COUNTIFS($D$2:$D355,$D355,$B$2:$B355,"SBA 26/*",$F$2:$F355,"&lt;&gt;"),"")</f>
        <v>7</v>
      </c>
      <c r="Z355" s="29" t="str">
        <f>IF(Y355=1,COUNTIF($Y$2:Y355,1),"")</f>
        <v/>
      </c>
      <c r="AA355" s="29">
        <f>IF(AND(LEFT($B355,7)="SBA 26/",$C355&lt;&gt;"",$F355&lt;&gt;""),COUNTIFS($C$2:$C355,$C355,$B$2:$B355,"SBA 26/*",$F$2:$F355,"&lt;&gt;"),"")</f>
        <v>5</v>
      </c>
      <c r="AB355" s="29" t="str">
        <f>IF(AA355=1,COUNTIF($AA$2:AA355,1),"")</f>
        <v/>
      </c>
    </row>
    <row r="356" spans="1:28" ht="98.25" customHeight="1" x14ac:dyDescent="0.2">
      <c r="A356" s="43" t="s">
        <v>1754</v>
      </c>
      <c r="B356" s="43" t="s">
        <v>1755</v>
      </c>
      <c r="C356" s="44" t="s">
        <v>1756</v>
      </c>
      <c r="D356" s="44" t="s">
        <v>1143</v>
      </c>
      <c r="E356" s="45" t="s">
        <v>1757</v>
      </c>
      <c r="F356" s="45" t="s">
        <v>1758</v>
      </c>
      <c r="G356" s="46" t="s">
        <v>38</v>
      </c>
      <c r="H356" s="48">
        <v>46118</v>
      </c>
      <c r="I356" s="48">
        <v>46140</v>
      </c>
      <c r="J356" s="44" t="s">
        <v>91</v>
      </c>
      <c r="K356" s="44" t="s">
        <v>100</v>
      </c>
      <c r="L356" s="50" t="s">
        <v>77</v>
      </c>
      <c r="M356" s="50"/>
      <c r="N356" s="50"/>
      <c r="O356" s="49"/>
      <c r="P356" s="50" t="str">
        <f t="shared" si="20"/>
        <v>ONAY</v>
      </c>
      <c r="R356" s="51" t="str">
        <f t="shared" si="21"/>
        <v/>
      </c>
      <c r="T356" s="41"/>
      <c r="U356" s="29">
        <f>IF($C356&lt;&gt;"",COUNTIF($C$2:C356,C356),"")</f>
        <v>1</v>
      </c>
      <c r="V356" s="29" t="str">
        <f t="shared" si="22"/>
        <v>Prof. Dr. Hakan UZUN§1</v>
      </c>
      <c r="W356" s="29">
        <f>IF(U356=1,COUNTIF($U$2:U356,1),"")</f>
        <v>211</v>
      </c>
      <c r="X356" s="29">
        <f t="shared" si="23"/>
        <v>245</v>
      </c>
      <c r="Y356" s="29">
        <f>IF(AND(LEFT($B356,7)="SBA 26/",$D356&lt;&gt;"",$F356&lt;&gt;""),COUNTIFS($D$2:$D356,$D356,$B$2:$B356,"SBA 26/*",$F$2:$F356,"&lt;&gt;"),"")</f>
        <v>3</v>
      </c>
      <c r="Z356" s="29" t="str">
        <f>IF(Y356=1,COUNTIF($Y$2:Y356,1),"")</f>
        <v/>
      </c>
      <c r="AA356" s="29">
        <f>IF(AND(LEFT($B356,7)="SBA 26/",$C356&lt;&gt;"",$F356&lt;&gt;""),COUNTIFS($C$2:$C356,$C356,$B$2:$B356,"SBA 26/*",$F$2:$F356,"&lt;&gt;"),"")</f>
        <v>1</v>
      </c>
      <c r="AB356" s="29">
        <f>IF(AA356=1,COUNTIF($AA$2:AA356,1),"")</f>
        <v>211</v>
      </c>
    </row>
    <row r="357" spans="1:28" ht="78.75" customHeight="1" x14ac:dyDescent="0.2">
      <c r="A357" s="43" t="s">
        <v>1759</v>
      </c>
      <c r="B357" s="43" t="s">
        <v>1760</v>
      </c>
      <c r="C357" s="54" t="s">
        <v>1761</v>
      </c>
      <c r="D357" s="54" t="s">
        <v>819</v>
      </c>
      <c r="E357" s="45" t="s">
        <v>1762</v>
      </c>
      <c r="F357" s="45" t="s">
        <v>1763</v>
      </c>
      <c r="G357" s="46" t="s">
        <v>38</v>
      </c>
      <c r="H357" s="48">
        <v>46118</v>
      </c>
      <c r="I357" s="48">
        <v>46140</v>
      </c>
      <c r="J357" s="44" t="s">
        <v>100</v>
      </c>
      <c r="K357" s="44" t="s">
        <v>99</v>
      </c>
      <c r="L357" s="50" t="s">
        <v>101</v>
      </c>
      <c r="M357" s="50" t="s">
        <v>77</v>
      </c>
      <c r="N357" s="50"/>
      <c r="O357" s="49"/>
      <c r="P357" s="50" t="str">
        <f t="shared" si="20"/>
        <v>ONAY</v>
      </c>
      <c r="Q357" s="28" t="s">
        <v>100</v>
      </c>
      <c r="R357" s="51" t="str">
        <f t="shared" si="21"/>
        <v/>
      </c>
      <c r="T357" s="41"/>
      <c r="U357" s="29">
        <f>IF($C357&lt;&gt;"",COUNTIF($C$2:C357,C357),"")</f>
        <v>1</v>
      </c>
      <c r="V357" s="58" t="str">
        <f t="shared" si="22"/>
        <v>Prof. Dr. Gülten GÜVENÇ
Doç. Dr. Gölşah KÖK§1</v>
      </c>
      <c r="W357" s="29">
        <f>IF(U357=1,COUNTIF($U$2:U357,1),"")</f>
        <v>212</v>
      </c>
      <c r="X357" s="29">
        <f t="shared" si="23"/>
        <v>242</v>
      </c>
      <c r="Y357" s="29">
        <f>IF(AND(LEFT($B357,7)="SBA 26/",$D357&lt;&gt;"",$F357&lt;&gt;""),COUNTIFS($D$2:$D357,$D357,$B$2:$B357,"SBA 26/*",$F$2:$F357,"&lt;&gt;"),"")</f>
        <v>2</v>
      </c>
      <c r="Z357" s="29" t="str">
        <f>IF(Y357=1,COUNTIF($Y$2:Y357,1),"")</f>
        <v/>
      </c>
      <c r="AA357" s="29">
        <f>IF(AND(LEFT($B357,7)="SBA 26/",$C357&lt;&gt;"",$F357&lt;&gt;""),COUNTIFS($C$2:$C357,$C357,$B$2:$B357,"SBA 26/*",$F$2:$F357,"&lt;&gt;"),"")</f>
        <v>1</v>
      </c>
      <c r="AB357" s="29">
        <f>IF(AA357=1,COUNTIF($AA$2:AA357,1),"")</f>
        <v>212</v>
      </c>
    </row>
    <row r="358" spans="1:28" ht="78.75" customHeight="1" x14ac:dyDescent="0.2">
      <c r="A358" s="43" t="s">
        <v>1764</v>
      </c>
      <c r="B358" s="43" t="s">
        <v>1765</v>
      </c>
      <c r="C358" s="44" t="s">
        <v>1207</v>
      </c>
      <c r="D358" s="44" t="s">
        <v>222</v>
      </c>
      <c r="E358" s="45" t="s">
        <v>1766</v>
      </c>
      <c r="F358" s="45" t="s">
        <v>1767</v>
      </c>
      <c r="G358" s="46" t="s">
        <v>38</v>
      </c>
      <c r="H358" s="48">
        <v>46118</v>
      </c>
      <c r="I358" s="48">
        <v>46140</v>
      </c>
      <c r="J358" s="44" t="s">
        <v>116</v>
      </c>
      <c r="K358" s="44" t="s">
        <v>129</v>
      </c>
      <c r="L358" s="50" t="s">
        <v>77</v>
      </c>
      <c r="M358" s="50"/>
      <c r="N358" s="50"/>
      <c r="O358" s="49"/>
      <c r="P358" s="50" t="str">
        <f t="shared" si="20"/>
        <v>ONAY</v>
      </c>
      <c r="R358" s="51" t="str">
        <f t="shared" si="21"/>
        <v/>
      </c>
      <c r="T358" s="41"/>
      <c r="U358" s="29">
        <f>IF($C358&lt;&gt;"",COUNTIF($C$2:C358,C358),"")</f>
        <v>3</v>
      </c>
      <c r="V358" s="29" t="str">
        <f t="shared" si="22"/>
        <v>Prof. Dr. Özlem TEKŞAM§3</v>
      </c>
      <c r="W358" s="29" t="str">
        <f>IF(U358=1,COUNTIF($U$2:U358,1),"")</f>
        <v/>
      </c>
      <c r="X358" s="29" t="str">
        <f t="shared" si="23"/>
        <v/>
      </c>
      <c r="Y358" s="29">
        <f>IF(AND(LEFT($B358,7)="SBA 26/",$D358&lt;&gt;"",$F358&lt;&gt;""),COUNTIFS($D$2:$D358,$D358,$B$2:$B358,"SBA 26/*",$F$2:$F358,"&lt;&gt;"),"")</f>
        <v>50</v>
      </c>
      <c r="Z358" s="29" t="str">
        <f>IF(Y358=1,COUNTIF($Y$2:Y358,1),"")</f>
        <v/>
      </c>
      <c r="AA358" s="29">
        <f>IF(AND(LEFT($B358,7)="SBA 26/",$C358&lt;&gt;"",$F358&lt;&gt;""),COUNTIFS($C$2:$C358,$C358,$B$2:$B358,"SBA 26/*",$F$2:$F358,"&lt;&gt;"),"")</f>
        <v>3</v>
      </c>
      <c r="AB358" s="29" t="str">
        <f>IF(AA358=1,COUNTIF($AA$2:AA358,1),"")</f>
        <v/>
      </c>
    </row>
    <row r="359" spans="1:28" ht="63" customHeight="1" x14ac:dyDescent="0.2">
      <c r="A359" s="43" t="s">
        <v>1768</v>
      </c>
      <c r="B359" s="43" t="s">
        <v>1769</v>
      </c>
      <c r="C359" s="44" t="s">
        <v>384</v>
      </c>
      <c r="D359" s="44" t="s">
        <v>385</v>
      </c>
      <c r="E359" s="45" t="s">
        <v>1770</v>
      </c>
      <c r="F359" s="45" t="s">
        <v>1771</v>
      </c>
      <c r="G359" s="46" t="s">
        <v>38</v>
      </c>
      <c r="H359" s="48">
        <v>46118</v>
      </c>
      <c r="I359" s="48">
        <v>46140</v>
      </c>
      <c r="J359" s="44" t="s">
        <v>75</v>
      </c>
      <c r="K359" s="44" t="s">
        <v>123</v>
      </c>
      <c r="L359" s="50" t="s">
        <v>101</v>
      </c>
      <c r="M359" s="50" t="s">
        <v>77</v>
      </c>
      <c r="N359" s="50"/>
      <c r="O359" s="49"/>
      <c r="P359" s="50" t="str">
        <f t="shared" si="20"/>
        <v>ONAY</v>
      </c>
      <c r="R359" s="51" t="str">
        <f t="shared" si="21"/>
        <v/>
      </c>
      <c r="T359" s="41"/>
      <c r="U359" s="29">
        <f>IF($C359&lt;&gt;"",COUNTIF($C$2:C359,C359),"")</f>
        <v>4</v>
      </c>
      <c r="V359" s="29" t="str">
        <f t="shared" si="22"/>
        <v>Prof. Dr. Tutku SOYER§4</v>
      </c>
      <c r="W359" s="29" t="str">
        <f>IF(U359=1,COUNTIF($U$2:U359,1),"")</f>
        <v/>
      </c>
      <c r="X359" s="29" t="str">
        <f t="shared" si="23"/>
        <v/>
      </c>
      <c r="Y359" s="29">
        <f>IF(AND(LEFT($B359,7)="SBA 26/",$D359&lt;&gt;"",$F359&lt;&gt;""),COUNTIFS($D$2:$D359,$D359,$B$2:$B359,"SBA 26/*",$F$2:$F359,"&lt;&gt;"),"")</f>
        <v>7</v>
      </c>
      <c r="Z359" s="29" t="str">
        <f>IF(Y359=1,COUNTIF($Y$2:Y359,1),"")</f>
        <v/>
      </c>
      <c r="AA359" s="29">
        <f>IF(AND(LEFT($B359,7)="SBA 26/",$C359&lt;&gt;"",$F359&lt;&gt;""),COUNTIFS($C$2:$C359,$C359,$B$2:$B359,"SBA 26/*",$F$2:$F359,"&lt;&gt;"),"")</f>
        <v>4</v>
      </c>
      <c r="AB359" s="29" t="str">
        <f>IF(AA359=1,COUNTIF($AA$2:AA359,1),"")</f>
        <v/>
      </c>
    </row>
    <row r="360" spans="1:28" ht="63" customHeight="1" x14ac:dyDescent="0.2">
      <c r="A360" s="43" t="s">
        <v>1772</v>
      </c>
      <c r="B360" s="43" t="s">
        <v>1773</v>
      </c>
      <c r="C360" s="44" t="s">
        <v>209</v>
      </c>
      <c r="D360" s="44" t="s">
        <v>133</v>
      </c>
      <c r="E360" s="45" t="s">
        <v>1774</v>
      </c>
      <c r="F360" s="45" t="s">
        <v>1775</v>
      </c>
      <c r="G360" s="46" t="s">
        <v>39</v>
      </c>
      <c r="H360" s="48">
        <v>46118</v>
      </c>
      <c r="I360" s="48">
        <v>46140</v>
      </c>
      <c r="J360" s="44" t="s">
        <v>108</v>
      </c>
      <c r="K360" s="44" t="s">
        <v>92</v>
      </c>
      <c r="L360" s="50" t="s">
        <v>101</v>
      </c>
      <c r="M360" s="50" t="s">
        <v>77</v>
      </c>
      <c r="N360" s="50"/>
      <c r="O360" s="49"/>
      <c r="P360" s="50" t="str">
        <f t="shared" si="20"/>
        <v>ONAY</v>
      </c>
      <c r="Q360" s="28" t="s">
        <v>108</v>
      </c>
      <c r="R360" s="51" t="str">
        <f t="shared" si="21"/>
        <v/>
      </c>
      <c r="T360" s="41"/>
      <c r="U360" s="29">
        <f>IF($C360&lt;&gt;"",COUNTIF($C$2:C360,C360),"")</f>
        <v>3</v>
      </c>
      <c r="V360" s="29" t="str">
        <f t="shared" si="22"/>
        <v>Doç. Dr. Dilek ÜNAL§3</v>
      </c>
      <c r="W360" s="29" t="str">
        <f>IF(U360=1,COUNTIF($U$2:U360,1),"")</f>
        <v/>
      </c>
      <c r="X360" s="29" t="str">
        <f t="shared" si="23"/>
        <v/>
      </c>
      <c r="Y360" s="29">
        <f>IF(AND(LEFT($B360,7)="SBA 26/",$D360&lt;&gt;"",$F360&lt;&gt;""),COUNTIFS($D$2:$D360,$D360,$B$2:$B360,"SBA 26/*",$F$2:$F360,"&lt;&gt;"),"")</f>
        <v>9</v>
      </c>
      <c r="Z360" s="29" t="str">
        <f>IF(Y360=1,COUNTIF($Y$2:Y360,1),"")</f>
        <v/>
      </c>
      <c r="AA360" s="29">
        <f>IF(AND(LEFT($B360,7)="SBA 26/",$C360&lt;&gt;"",$F360&lt;&gt;""),COUNTIFS($C$2:$C360,$C360,$B$2:$B360,"SBA 26/*",$F$2:$F360,"&lt;&gt;"),"")</f>
        <v>3</v>
      </c>
      <c r="AB360" s="29" t="str">
        <f>IF(AA360=1,COUNTIF($AA$2:AA360,1),"")</f>
        <v/>
      </c>
    </row>
    <row r="361" spans="1:28" ht="78.75" customHeight="1" x14ac:dyDescent="0.2">
      <c r="A361" s="43" t="s">
        <v>1776</v>
      </c>
      <c r="B361" s="43" t="s">
        <v>1777</v>
      </c>
      <c r="C361" s="44" t="s">
        <v>548</v>
      </c>
      <c r="D361" s="44" t="s">
        <v>193</v>
      </c>
      <c r="E361" s="45" t="s">
        <v>1778</v>
      </c>
      <c r="F361" s="45" t="s">
        <v>1779</v>
      </c>
      <c r="G361" s="46" t="s">
        <v>38</v>
      </c>
      <c r="H361" s="48">
        <v>46118</v>
      </c>
      <c r="I361" s="48">
        <v>46140</v>
      </c>
      <c r="J361" s="44" t="s">
        <v>91</v>
      </c>
      <c r="K361" s="44" t="s">
        <v>99</v>
      </c>
      <c r="L361" s="50" t="s">
        <v>101</v>
      </c>
      <c r="M361" s="50" t="s">
        <v>77</v>
      </c>
      <c r="N361" s="50"/>
      <c r="O361" s="49"/>
      <c r="P361" s="50" t="str">
        <f t="shared" si="20"/>
        <v>ONAY</v>
      </c>
      <c r="Q361" s="28" t="s">
        <v>91</v>
      </c>
      <c r="R361" s="51" t="str">
        <f t="shared" si="21"/>
        <v/>
      </c>
      <c r="T361" s="41"/>
      <c r="U361" s="29">
        <f>IF($C361&lt;&gt;"",COUNTIF($C$2:C361,C361),"")</f>
        <v>4</v>
      </c>
      <c r="V361" s="29" t="str">
        <f t="shared" si="22"/>
        <v>Doç. Dr. İrem KOÇ§4</v>
      </c>
      <c r="W361" s="29" t="str">
        <f>IF(U361=1,COUNTIF($U$2:U361,1),"")</f>
        <v/>
      </c>
      <c r="X361" s="29" t="str">
        <f t="shared" si="23"/>
        <v/>
      </c>
      <c r="Y361" s="29">
        <f>IF(AND(LEFT($B361,7)="SBA 26/",$D361&lt;&gt;"",$F361&lt;&gt;""),COUNTIFS($D$2:$D361,$D361,$B$2:$B361,"SBA 26/*",$F$2:$F361,"&lt;&gt;"),"")</f>
        <v>9</v>
      </c>
      <c r="Z361" s="29" t="str">
        <f>IF(Y361=1,COUNTIF($Y$2:Y361,1),"")</f>
        <v/>
      </c>
      <c r="AA361" s="29">
        <f>IF(AND(LEFT($B361,7)="SBA 26/",$C361&lt;&gt;"",$F361&lt;&gt;""),COUNTIFS($C$2:$C361,$C361,$B$2:$B361,"SBA 26/*",$F$2:$F361,"&lt;&gt;"),"")</f>
        <v>4</v>
      </c>
      <c r="AB361" s="29" t="str">
        <f>IF(AA361=1,COUNTIF($AA$2:AA361,1),"")</f>
        <v/>
      </c>
    </row>
    <row r="362" spans="1:28" ht="47.25" customHeight="1" x14ac:dyDescent="0.2">
      <c r="A362" s="43" t="s">
        <v>1780</v>
      </c>
      <c r="B362" s="43" t="s">
        <v>1781</v>
      </c>
      <c r="C362" s="44" t="s">
        <v>1353</v>
      </c>
      <c r="D362" s="44" t="s">
        <v>113</v>
      </c>
      <c r="E362" s="45" t="s">
        <v>1782</v>
      </c>
      <c r="F362" s="45" t="s">
        <v>1783</v>
      </c>
      <c r="G362" s="46" t="s">
        <v>38</v>
      </c>
      <c r="H362" s="48">
        <v>46119</v>
      </c>
      <c r="I362" s="48">
        <v>46140</v>
      </c>
      <c r="J362" s="44" t="s">
        <v>99</v>
      </c>
      <c r="K362" s="44" t="s">
        <v>84</v>
      </c>
      <c r="L362" s="50" t="s">
        <v>77</v>
      </c>
      <c r="M362" s="50"/>
      <c r="N362" s="50"/>
      <c r="O362" s="49"/>
      <c r="P362" s="50" t="str">
        <f t="shared" si="20"/>
        <v>ONAY</v>
      </c>
      <c r="R362" s="51" t="str">
        <f t="shared" si="21"/>
        <v/>
      </c>
      <c r="T362" s="41"/>
      <c r="U362" s="29">
        <f>IF($C362&lt;&gt;"",COUNTIF($C$2:C362,C362),"")</f>
        <v>5</v>
      </c>
      <c r="V362" s="29" t="str">
        <f t="shared" si="22"/>
        <v>Prof. Dr. Burcu Balam DOĞU§5</v>
      </c>
      <c r="W362" s="29" t="str">
        <f>IF(U362=1,COUNTIF($U$2:U362,1),"")</f>
        <v/>
      </c>
      <c r="X362" s="29" t="str">
        <f t="shared" si="23"/>
        <v/>
      </c>
      <c r="Y362" s="29">
        <f>IF(AND(LEFT($B362,7)="SBA 26/",$D362&lt;&gt;"",$F362&lt;&gt;""),COUNTIFS($D$2:$D362,$D362,$B$2:$B362,"SBA 26/*",$F$2:$F362,"&lt;&gt;"),"")</f>
        <v>54</v>
      </c>
      <c r="Z362" s="29" t="str">
        <f>IF(Y362=1,COUNTIF($Y$2:Y362,1),"")</f>
        <v/>
      </c>
      <c r="AA362" s="29">
        <f>IF(AND(LEFT($B362,7)="SBA 26/",$C362&lt;&gt;"",$F362&lt;&gt;""),COUNTIFS($C$2:$C362,$C362,$B$2:$B362,"SBA 26/*",$F$2:$F362,"&lt;&gt;"),"")</f>
        <v>5</v>
      </c>
      <c r="AB362" s="29" t="str">
        <f>IF(AA362=1,COUNTIF($AA$2:AA362,1),"")</f>
        <v/>
      </c>
    </row>
    <row r="363" spans="1:28" ht="81" customHeight="1" x14ac:dyDescent="0.2">
      <c r="A363" s="43" t="s">
        <v>1784</v>
      </c>
      <c r="B363" s="43" t="s">
        <v>1785</v>
      </c>
      <c r="C363" s="44" t="s">
        <v>285</v>
      </c>
      <c r="D363" s="44" t="s">
        <v>222</v>
      </c>
      <c r="E363" s="45" t="s">
        <v>1786</v>
      </c>
      <c r="F363" s="45" t="s">
        <v>1787</v>
      </c>
      <c r="G363" s="46" t="s">
        <v>38</v>
      </c>
      <c r="H363" s="48">
        <v>46119</v>
      </c>
      <c r="I363" s="48">
        <v>46140</v>
      </c>
      <c r="J363" s="44" t="s">
        <v>109</v>
      </c>
      <c r="K363" s="44" t="s">
        <v>116</v>
      </c>
      <c r="L363" s="50" t="s">
        <v>206</v>
      </c>
      <c r="M363" s="50" t="s">
        <v>172</v>
      </c>
      <c r="N363" s="50"/>
      <c r="O363" s="49"/>
      <c r="P363" s="50" t="str">
        <f t="shared" si="20"/>
        <v>RET</v>
      </c>
      <c r="R363" s="51" t="str">
        <f t="shared" si="21"/>
        <v/>
      </c>
      <c r="T363" s="41"/>
      <c r="U363" s="29">
        <f>IF($C363&lt;&gt;"",COUNTIF($C$2:C363,C363),"")</f>
        <v>8</v>
      </c>
      <c r="V363" s="29" t="str">
        <f t="shared" si="22"/>
        <v>Prof. Dr. Yasemin ÖZSÜREKCİ§8</v>
      </c>
      <c r="W363" s="29" t="str">
        <f>IF(U363=1,COUNTIF($U$2:U363,1),"")</f>
        <v/>
      </c>
      <c r="X363" s="29" t="str">
        <f t="shared" si="23"/>
        <v/>
      </c>
      <c r="Y363" s="29">
        <f>IF(AND(LEFT($B363,7)="SBA 26/",$D363&lt;&gt;"",$F363&lt;&gt;""),COUNTIFS($D$2:$D363,$D363,$B$2:$B363,"SBA 26/*",$F$2:$F363,"&lt;&gt;"),"")</f>
        <v>51</v>
      </c>
      <c r="Z363" s="29" t="str">
        <f>IF(Y363=1,COUNTIF($Y$2:Y363,1),"")</f>
        <v/>
      </c>
      <c r="AA363" s="29">
        <f>IF(AND(LEFT($B363,7)="SBA 26/",$C363&lt;&gt;"",$F363&lt;&gt;""),COUNTIFS($C$2:$C363,$C363,$B$2:$B363,"SBA 26/*",$F$2:$F363,"&lt;&gt;"),"")</f>
        <v>8</v>
      </c>
      <c r="AB363" s="29" t="str">
        <f>IF(AA363=1,COUNTIF($AA$2:AA363,1),"")</f>
        <v/>
      </c>
    </row>
    <row r="364" spans="1:28" ht="78.75" customHeight="1" x14ac:dyDescent="0.2">
      <c r="A364" s="43" t="s">
        <v>1788</v>
      </c>
      <c r="B364" s="43" t="s">
        <v>1789</v>
      </c>
      <c r="C364" s="44" t="s">
        <v>1790</v>
      </c>
      <c r="D364" s="44" t="s">
        <v>222</v>
      </c>
      <c r="E364" s="45" t="s">
        <v>1791</v>
      </c>
      <c r="F364" s="45" t="s">
        <v>1792</v>
      </c>
      <c r="G364" s="46" t="s">
        <v>39</v>
      </c>
      <c r="H364" s="48">
        <v>46119</v>
      </c>
      <c r="I364" s="48">
        <v>46140</v>
      </c>
      <c r="J364" s="44" t="s">
        <v>129</v>
      </c>
      <c r="K364" s="44" t="s">
        <v>75</v>
      </c>
      <c r="L364" s="50" t="s">
        <v>77</v>
      </c>
      <c r="M364" s="50"/>
      <c r="N364" s="50"/>
      <c r="O364" s="49"/>
      <c r="P364" s="50" t="str">
        <f t="shared" si="20"/>
        <v>ONAY</v>
      </c>
      <c r="R364" s="51" t="str">
        <f t="shared" si="21"/>
        <v/>
      </c>
      <c r="T364" s="41"/>
      <c r="U364" s="29">
        <f>IF($C364&lt;&gt;"",COUNTIF($C$2:C364,C364),"")</f>
        <v>1</v>
      </c>
      <c r="V364" s="29" t="str">
        <f t="shared" si="22"/>
        <v>Prof. Dr. Ebru AYPAR§1</v>
      </c>
      <c r="W364" s="29">
        <f>IF(U364=1,COUNTIF($U$2:U364,1),"")</f>
        <v>213</v>
      </c>
      <c r="X364" s="29">
        <f t="shared" si="23"/>
        <v>220</v>
      </c>
      <c r="Y364" s="29">
        <f>IF(AND(LEFT($B364,7)="SBA 26/",$D364&lt;&gt;"",$F364&lt;&gt;""),COUNTIFS($D$2:$D364,$D364,$B$2:$B364,"SBA 26/*",$F$2:$F364,"&lt;&gt;"),"")</f>
        <v>52</v>
      </c>
      <c r="Z364" s="29" t="str">
        <f>IF(Y364=1,COUNTIF($Y$2:Y364,1),"")</f>
        <v/>
      </c>
      <c r="AA364" s="29">
        <f>IF(AND(LEFT($B364,7)="SBA 26/",$C364&lt;&gt;"",$F364&lt;&gt;""),COUNTIFS($C$2:$C364,$C364,$B$2:$B364,"SBA 26/*",$F$2:$F364,"&lt;&gt;"),"")</f>
        <v>1</v>
      </c>
      <c r="AB364" s="29">
        <f>IF(AA364=1,COUNTIF($AA$2:AA364,1),"")</f>
        <v>213</v>
      </c>
    </row>
    <row r="365" spans="1:28" ht="47.25" customHeight="1" x14ac:dyDescent="0.2">
      <c r="A365" s="43" t="s">
        <v>1793</v>
      </c>
      <c r="B365" s="43" t="s">
        <v>1794</v>
      </c>
      <c r="C365" s="44" t="s">
        <v>1795</v>
      </c>
      <c r="D365" s="44" t="s">
        <v>113</v>
      </c>
      <c r="E365" s="45" t="s">
        <v>1796</v>
      </c>
      <c r="F365" s="45" t="s">
        <v>1797</v>
      </c>
      <c r="G365" s="46" t="s">
        <v>38</v>
      </c>
      <c r="H365" s="48">
        <v>46119</v>
      </c>
      <c r="I365" s="48">
        <v>46140</v>
      </c>
      <c r="J365" s="44" t="s">
        <v>100</v>
      </c>
      <c r="K365" s="44" t="s">
        <v>84</v>
      </c>
      <c r="L365" s="50" t="s">
        <v>77</v>
      </c>
      <c r="M365" s="50"/>
      <c r="N365" s="50"/>
      <c r="O365" s="49"/>
      <c r="P365" s="50" t="str">
        <f t="shared" si="20"/>
        <v>ONAY</v>
      </c>
      <c r="R365" s="51" t="str">
        <f t="shared" si="21"/>
        <v/>
      </c>
      <c r="T365" s="41"/>
      <c r="U365" s="29">
        <f>IF($C365&lt;&gt;"",COUNTIF($C$2:C365,C365),"")</f>
        <v>1</v>
      </c>
      <c r="V365" s="29" t="str">
        <f t="shared" si="22"/>
        <v>Prof. Dr. Umut KALYONCU§1</v>
      </c>
      <c r="W365" s="29">
        <f>IF(U365=1,COUNTIF($U$2:U365,1),"")</f>
        <v>214</v>
      </c>
      <c r="X365" s="29">
        <f t="shared" si="23"/>
        <v>336</v>
      </c>
      <c r="Y365" s="29">
        <f>IF(AND(LEFT($B365,7)="SBA 26/",$D365&lt;&gt;"",$F365&lt;&gt;""),COUNTIFS($D$2:$D365,$D365,$B$2:$B365,"SBA 26/*",$F$2:$F365,"&lt;&gt;"),"")</f>
        <v>55</v>
      </c>
      <c r="Z365" s="29" t="str">
        <f>IF(Y365=1,COUNTIF($Y$2:Y365,1),"")</f>
        <v/>
      </c>
      <c r="AA365" s="29">
        <f>IF(AND(LEFT($B365,7)="SBA 26/",$C365&lt;&gt;"",$F365&lt;&gt;""),COUNTIFS($C$2:$C365,$C365,$B$2:$B365,"SBA 26/*",$F$2:$F365,"&lt;&gt;"),"")</f>
        <v>1</v>
      </c>
      <c r="AB365" s="29">
        <f>IF(AA365=1,COUNTIF($AA$2:AA365,1),"")</f>
        <v>214</v>
      </c>
    </row>
    <row r="366" spans="1:28" ht="47.25" customHeight="1" x14ac:dyDescent="0.2">
      <c r="A366" s="43" t="s">
        <v>1798</v>
      </c>
      <c r="B366" s="43" t="s">
        <v>1799</v>
      </c>
      <c r="C366" s="44" t="s">
        <v>1795</v>
      </c>
      <c r="D366" s="44" t="s">
        <v>113</v>
      </c>
      <c r="E366" s="45" t="s">
        <v>1796</v>
      </c>
      <c r="F366" s="45" t="s">
        <v>1800</v>
      </c>
      <c r="G366" s="46" t="s">
        <v>38</v>
      </c>
      <c r="H366" s="48">
        <v>46119</v>
      </c>
      <c r="I366" s="48">
        <v>46140</v>
      </c>
      <c r="J366" s="44" t="s">
        <v>99</v>
      </c>
      <c r="K366" s="44" t="s">
        <v>129</v>
      </c>
      <c r="L366" s="50" t="s">
        <v>172</v>
      </c>
      <c r="M366" s="50"/>
      <c r="N366" s="50"/>
      <c r="O366" s="49"/>
      <c r="P366" s="50" t="str">
        <f t="shared" si="20"/>
        <v>RET</v>
      </c>
      <c r="R366" s="51" t="str">
        <f t="shared" si="21"/>
        <v/>
      </c>
      <c r="T366" s="41"/>
      <c r="U366" s="29">
        <f>IF($C366&lt;&gt;"",COUNTIF($C$2:C366,C366),"")</f>
        <v>2</v>
      </c>
      <c r="V366" s="29" t="str">
        <f t="shared" si="22"/>
        <v>Prof. Dr. Umut KALYONCU§2</v>
      </c>
      <c r="W366" s="29" t="str">
        <f>IF(U366=1,COUNTIF($U$2:U366,1),"")</f>
        <v/>
      </c>
      <c r="X366" s="29" t="str">
        <f t="shared" si="23"/>
        <v/>
      </c>
      <c r="Y366" s="29">
        <f>IF(AND(LEFT($B366,7)="SBA 26/",$D366&lt;&gt;"",$F366&lt;&gt;""),COUNTIFS($D$2:$D366,$D366,$B$2:$B366,"SBA 26/*",$F$2:$F366,"&lt;&gt;"),"")</f>
        <v>56</v>
      </c>
      <c r="Z366" s="29" t="str">
        <f>IF(Y366=1,COUNTIF($Y$2:Y366,1),"")</f>
        <v/>
      </c>
      <c r="AA366" s="29">
        <f>IF(AND(LEFT($B366,7)="SBA 26/",$C366&lt;&gt;"",$F366&lt;&gt;""),COUNTIFS($C$2:$C366,$C366,$B$2:$B366,"SBA 26/*",$F$2:$F366,"&lt;&gt;"),"")</f>
        <v>2</v>
      </c>
      <c r="AB366" s="29" t="str">
        <f>IF(AA366=1,COUNTIF($AA$2:AA366,1),"")</f>
        <v/>
      </c>
    </row>
    <row r="367" spans="1:28" ht="63" customHeight="1" x14ac:dyDescent="0.2">
      <c r="A367" s="43" t="s">
        <v>1801</v>
      </c>
      <c r="B367" s="43" t="s">
        <v>1802</v>
      </c>
      <c r="C367" s="44" t="s">
        <v>957</v>
      </c>
      <c r="D367" s="44" t="s">
        <v>404</v>
      </c>
      <c r="E367" s="45" t="s">
        <v>1803</v>
      </c>
      <c r="F367" s="45" t="s">
        <v>1804</v>
      </c>
      <c r="G367" s="46" t="s">
        <v>38</v>
      </c>
      <c r="H367" s="48">
        <v>46119</v>
      </c>
      <c r="I367" s="48">
        <v>46140</v>
      </c>
      <c r="J367" s="44" t="s">
        <v>91</v>
      </c>
      <c r="K367" s="44" t="s">
        <v>123</v>
      </c>
      <c r="L367" s="50" t="s">
        <v>77</v>
      </c>
      <c r="M367" s="50"/>
      <c r="N367" s="50"/>
      <c r="O367" s="49"/>
      <c r="P367" s="50" t="str">
        <f t="shared" si="20"/>
        <v>ONAY</v>
      </c>
      <c r="R367" s="51" t="str">
        <f t="shared" si="21"/>
        <v/>
      </c>
      <c r="T367" s="41"/>
      <c r="U367" s="29">
        <f>IF($C367&lt;&gt;"",COUNTIF($C$2:C367,C367),"")</f>
        <v>3</v>
      </c>
      <c r="V367" s="29" t="str">
        <f t="shared" si="22"/>
        <v>Doç. Dr. Mesut ALTAN§3</v>
      </c>
      <c r="W367" s="29" t="str">
        <f>IF(U367=1,COUNTIF($U$2:U367,1),"")</f>
        <v/>
      </c>
      <c r="X367" s="29" t="str">
        <f t="shared" si="23"/>
        <v/>
      </c>
      <c r="Y367" s="29">
        <f>IF(AND(LEFT($B367,7)="SBA 26/",$D367&lt;&gt;"",$F367&lt;&gt;""),COUNTIFS($D$2:$D367,$D367,$B$2:$B367,"SBA 26/*",$F$2:$F367,"&lt;&gt;"),"")</f>
        <v>5</v>
      </c>
      <c r="Z367" s="29" t="str">
        <f>IF(Y367=1,COUNTIF($Y$2:Y367,1),"")</f>
        <v/>
      </c>
      <c r="AA367" s="29">
        <f>IF(AND(LEFT($B367,7)="SBA 26/",$C367&lt;&gt;"",$F367&lt;&gt;""),COUNTIFS($C$2:$C367,$C367,$B$2:$B367,"SBA 26/*",$F$2:$F367,"&lt;&gt;"),"")</f>
        <v>3</v>
      </c>
      <c r="AB367" s="29" t="str">
        <f>IF(AA367=1,COUNTIF($AA$2:AA367,1),"")</f>
        <v/>
      </c>
    </row>
    <row r="368" spans="1:28" ht="66" customHeight="1" x14ac:dyDescent="0.2">
      <c r="A368" s="43" t="s">
        <v>1805</v>
      </c>
      <c r="B368" s="43" t="s">
        <v>1806</v>
      </c>
      <c r="C368" s="44" t="s">
        <v>1807</v>
      </c>
      <c r="D368" s="44" t="s">
        <v>1038</v>
      </c>
      <c r="E368" s="45" t="s">
        <v>1808</v>
      </c>
      <c r="F368" s="45" t="s">
        <v>1809</v>
      </c>
      <c r="G368" s="46" t="s">
        <v>41</v>
      </c>
      <c r="H368" s="48">
        <v>46119</v>
      </c>
      <c r="I368" s="48">
        <v>46140</v>
      </c>
      <c r="J368" s="44" t="s">
        <v>75</v>
      </c>
      <c r="K368" s="44" t="s">
        <v>92</v>
      </c>
      <c r="L368" s="50" t="s">
        <v>77</v>
      </c>
      <c r="M368" s="50"/>
      <c r="N368" s="50"/>
      <c r="O368" s="49"/>
      <c r="P368" s="50" t="str">
        <f t="shared" si="20"/>
        <v>ONAY</v>
      </c>
      <c r="R368" s="51" t="str">
        <f t="shared" si="21"/>
        <v/>
      </c>
      <c r="T368" s="41"/>
      <c r="U368" s="29">
        <f>IF($C368&lt;&gt;"",COUNTIF($C$2:C368,C368),"")</f>
        <v>1</v>
      </c>
      <c r="V368" s="29" t="str">
        <f t="shared" si="22"/>
        <v>Prof. Dr. Erdem KARABULUT§1</v>
      </c>
      <c r="W368" s="29">
        <f>IF(U368=1,COUNTIF($U$2:U368,1),"")</f>
        <v>215</v>
      </c>
      <c r="X368" s="29">
        <f t="shared" si="23"/>
        <v>226</v>
      </c>
      <c r="Y368" s="29">
        <f>IF(AND(LEFT($B368,7)="SBA 26/",$D368&lt;&gt;"",$F368&lt;&gt;""),COUNTIFS($D$2:$D368,$D368,$B$2:$B368,"SBA 26/*",$F$2:$F368,"&lt;&gt;"),"")</f>
        <v>2</v>
      </c>
      <c r="Z368" s="29" t="str">
        <f>IF(Y368=1,COUNTIF($Y$2:Y368,1),"")</f>
        <v/>
      </c>
      <c r="AA368" s="29">
        <f>IF(AND(LEFT($B368,7)="SBA 26/",$C368&lt;&gt;"",$F368&lt;&gt;""),COUNTIFS($C$2:$C368,$C368,$B$2:$B368,"SBA 26/*",$F$2:$F368,"&lt;&gt;"),"")</f>
        <v>1</v>
      </c>
      <c r="AB368" s="29">
        <f>IF(AA368=1,COUNTIF($AA$2:AA368,1),"")</f>
        <v>215</v>
      </c>
    </row>
    <row r="369" spans="1:28" ht="63" customHeight="1" x14ac:dyDescent="0.2">
      <c r="A369" s="43" t="s">
        <v>1810</v>
      </c>
      <c r="B369" s="43" t="s">
        <v>1811</v>
      </c>
      <c r="C369" s="44" t="s">
        <v>379</v>
      </c>
      <c r="D369" s="44" t="s">
        <v>222</v>
      </c>
      <c r="E369" s="45" t="s">
        <v>1812</v>
      </c>
      <c r="F369" s="45" t="s">
        <v>1813</v>
      </c>
      <c r="G369" s="46" t="s">
        <v>38</v>
      </c>
      <c r="H369" s="48">
        <v>46119</v>
      </c>
      <c r="I369" s="48">
        <v>46140</v>
      </c>
      <c r="J369" s="44" t="s">
        <v>109</v>
      </c>
      <c r="K369" s="44" t="s">
        <v>84</v>
      </c>
      <c r="L369" s="50" t="s">
        <v>101</v>
      </c>
      <c r="M369" s="50" t="s">
        <v>77</v>
      </c>
      <c r="N369" s="50"/>
      <c r="O369" s="49"/>
      <c r="P369" s="50" t="str">
        <f t="shared" si="20"/>
        <v>ONAY</v>
      </c>
      <c r="Q369" s="28" t="s">
        <v>109</v>
      </c>
      <c r="R369" s="51" t="str">
        <f t="shared" si="21"/>
        <v/>
      </c>
      <c r="T369" s="41"/>
      <c r="U369" s="29">
        <f>IF($C369&lt;&gt;"",COUNTIF($C$2:C369,C369),"")</f>
        <v>5</v>
      </c>
      <c r="V369" s="29" t="str">
        <f t="shared" si="22"/>
        <v>Prof. Dr. Deniz ÇAĞDAŞ AYVAZ§5</v>
      </c>
      <c r="W369" s="29" t="str">
        <f>IF(U369=1,COUNTIF($U$2:U369,1),"")</f>
        <v/>
      </c>
      <c r="X369" s="29" t="str">
        <f t="shared" si="23"/>
        <v/>
      </c>
      <c r="Y369" s="29">
        <f>IF(AND(LEFT($B369,7)="SBA 26/",$D369&lt;&gt;"",$F369&lt;&gt;""),COUNTIFS($D$2:$D369,$D369,$B$2:$B369,"SBA 26/*",$F$2:$F369,"&lt;&gt;"),"")</f>
        <v>53</v>
      </c>
      <c r="Z369" s="29" t="str">
        <f>IF(Y369=1,COUNTIF($Y$2:Y369,1),"")</f>
        <v/>
      </c>
      <c r="AA369" s="29">
        <f>IF(AND(LEFT($B369,7)="SBA 26/",$C369&lt;&gt;"",$F369&lt;&gt;""),COUNTIFS($C$2:$C369,$C369,$B$2:$B369,"SBA 26/*",$F$2:$F369,"&lt;&gt;"),"")</f>
        <v>5</v>
      </c>
      <c r="AB369" s="29" t="str">
        <f>IF(AA369=1,COUNTIF($AA$2:AA369,1),"")</f>
        <v/>
      </c>
    </row>
    <row r="370" spans="1:28" ht="78.75" customHeight="1" x14ac:dyDescent="0.2">
      <c r="A370" s="43" t="s">
        <v>1814</v>
      </c>
      <c r="B370" s="43" t="s">
        <v>1815</v>
      </c>
      <c r="C370" s="44" t="s">
        <v>578</v>
      </c>
      <c r="D370" s="44" t="s">
        <v>113</v>
      </c>
      <c r="E370" s="45" t="s">
        <v>1816</v>
      </c>
      <c r="F370" s="45" t="s">
        <v>1817</v>
      </c>
      <c r="G370" s="46" t="s">
        <v>38</v>
      </c>
      <c r="H370" s="48">
        <v>46119</v>
      </c>
      <c r="I370" s="48">
        <v>46140</v>
      </c>
      <c r="J370" s="44" t="s">
        <v>108</v>
      </c>
      <c r="K370" s="44" t="s">
        <v>123</v>
      </c>
      <c r="L370" s="50" t="s">
        <v>77</v>
      </c>
      <c r="M370" s="50"/>
      <c r="N370" s="50"/>
      <c r="O370" s="49"/>
      <c r="P370" s="50" t="str">
        <f t="shared" si="20"/>
        <v>ONAY</v>
      </c>
      <c r="R370" s="51" t="str">
        <f t="shared" si="21"/>
        <v/>
      </c>
      <c r="T370" s="41"/>
      <c r="U370" s="29">
        <f>IF($C370&lt;&gt;"",COUNTIF($C$2:C370,C370),"")</f>
        <v>3</v>
      </c>
      <c r="V370" s="29" t="str">
        <f t="shared" si="22"/>
        <v>Prof. Dr. Ayşe Tomris ERBAŞ§3</v>
      </c>
      <c r="W370" s="29" t="str">
        <f>IF(U370=1,COUNTIF($U$2:U370,1),"")</f>
        <v/>
      </c>
      <c r="X370" s="29" t="str">
        <f t="shared" si="23"/>
        <v/>
      </c>
      <c r="Y370" s="29">
        <f>IF(AND(LEFT($B370,7)="SBA 26/",$D370&lt;&gt;"",$F370&lt;&gt;""),COUNTIFS($D$2:$D370,$D370,$B$2:$B370,"SBA 26/*",$F$2:$F370,"&lt;&gt;"),"")</f>
        <v>57</v>
      </c>
      <c r="Z370" s="29" t="str">
        <f>IF(Y370=1,COUNTIF($Y$2:Y370,1),"")</f>
        <v/>
      </c>
      <c r="AA370" s="29">
        <f>IF(AND(LEFT($B370,7)="SBA 26/",$C370&lt;&gt;"",$F370&lt;&gt;""),COUNTIFS($C$2:$C370,$C370,$B$2:$B370,"SBA 26/*",$F$2:$F370,"&lt;&gt;"),"")</f>
        <v>3</v>
      </c>
      <c r="AB370" s="29" t="str">
        <f>IF(AA370=1,COUNTIF($AA$2:AA370,1),"")</f>
        <v/>
      </c>
    </row>
    <row r="371" spans="1:28" ht="63" customHeight="1" x14ac:dyDescent="0.2">
      <c r="A371" s="43" t="s">
        <v>1818</v>
      </c>
      <c r="B371" s="43" t="s">
        <v>1819</v>
      </c>
      <c r="C371" s="44" t="s">
        <v>1820</v>
      </c>
      <c r="D371" s="44" t="s">
        <v>1821</v>
      </c>
      <c r="E371" s="45" t="s">
        <v>1822</v>
      </c>
      <c r="F371" s="45" t="s">
        <v>1823</v>
      </c>
      <c r="G371" s="46" t="s">
        <v>38</v>
      </c>
      <c r="H371" s="48">
        <v>46119</v>
      </c>
      <c r="I371" s="48">
        <v>46140</v>
      </c>
      <c r="J371" s="44" t="s">
        <v>91</v>
      </c>
      <c r="K371" s="44" t="s">
        <v>92</v>
      </c>
      <c r="L371" s="50" t="s">
        <v>77</v>
      </c>
      <c r="M371" s="50"/>
      <c r="N371" s="50"/>
      <c r="O371" s="49"/>
      <c r="P371" s="50" t="str">
        <f t="shared" si="20"/>
        <v>ONAY</v>
      </c>
      <c r="R371" s="51" t="str">
        <f t="shared" si="21"/>
        <v/>
      </c>
      <c r="T371" s="41"/>
      <c r="U371" s="29">
        <f>IF($C371&lt;&gt;"",COUNTIF($C$2:C371,C371),"")</f>
        <v>1</v>
      </c>
      <c r="V371" s="29" t="str">
        <f t="shared" si="22"/>
        <v>Doç. Dr. Nezih AKKAPULU§1</v>
      </c>
      <c r="W371" s="29">
        <f>IF(U371=1,COUNTIF($U$2:U371,1),"")</f>
        <v>216</v>
      </c>
      <c r="X371" s="29">
        <f t="shared" si="23"/>
        <v>89</v>
      </c>
      <c r="Y371" s="29">
        <f>IF(AND(LEFT($B371,7)="SBA 26/",$D371&lt;&gt;"",$F371&lt;&gt;""),COUNTIFS($D$2:$D371,$D371,$B$2:$B371,"SBA 26/*",$F$2:$F371,"&lt;&gt;"),"")</f>
        <v>1</v>
      </c>
      <c r="Z371" s="29">
        <f>IF(Y371=1,COUNTIF($Y$2:Y371,1),"")</f>
        <v>63</v>
      </c>
      <c r="AA371" s="29">
        <f>IF(AND(LEFT($B371,7)="SBA 26/",$C371&lt;&gt;"",$F371&lt;&gt;""),COUNTIFS($C$2:$C371,$C371,$B$2:$B371,"SBA 26/*",$F$2:$F371,"&lt;&gt;"),"")</f>
        <v>1</v>
      </c>
      <c r="AB371" s="29">
        <f>IF(AA371=1,COUNTIF($AA$2:AA371,1),"")</f>
        <v>216</v>
      </c>
    </row>
    <row r="372" spans="1:28" ht="63" customHeight="1" x14ac:dyDescent="0.2">
      <c r="A372" s="43" t="s">
        <v>1824</v>
      </c>
      <c r="B372" s="43" t="s">
        <v>1825</v>
      </c>
      <c r="C372" s="44" t="s">
        <v>324</v>
      </c>
      <c r="D372" s="44" t="s">
        <v>325</v>
      </c>
      <c r="E372" s="45" t="s">
        <v>1826</v>
      </c>
      <c r="F372" s="45" t="s">
        <v>1827</v>
      </c>
      <c r="G372" s="46" t="s">
        <v>39</v>
      </c>
      <c r="H372" s="48">
        <v>46119</v>
      </c>
      <c r="I372" s="48">
        <v>46140</v>
      </c>
      <c r="J372" s="44" t="s">
        <v>108</v>
      </c>
      <c r="K372" s="44" t="s">
        <v>116</v>
      </c>
      <c r="L372" s="50" t="s">
        <v>77</v>
      </c>
      <c r="M372" s="50"/>
      <c r="N372" s="50"/>
      <c r="O372" s="49"/>
      <c r="P372" s="50" t="str">
        <f t="shared" si="20"/>
        <v>ONAY</v>
      </c>
      <c r="R372" s="51" t="str">
        <f t="shared" si="21"/>
        <v/>
      </c>
      <c r="T372" s="41"/>
      <c r="U372" s="29">
        <f>IF($C372&lt;&gt;"",COUNTIF($C$2:C372,C372),"")</f>
        <v>2</v>
      </c>
      <c r="V372" s="29" t="str">
        <f t="shared" si="22"/>
        <v>Prof. Dr. Dilek ASLAN§2</v>
      </c>
      <c r="W372" s="29" t="str">
        <f>IF(U372=1,COUNTIF($U$2:U372,1),"")</f>
        <v/>
      </c>
      <c r="X372" s="29" t="str">
        <f t="shared" si="23"/>
        <v/>
      </c>
      <c r="Y372" s="29">
        <f>IF(AND(LEFT($B372,7)="SBA 26/",$D372&lt;&gt;"",$F372&lt;&gt;""),COUNTIFS($D$2:$D372,$D372,$B$2:$B372,"SBA 26/*",$F$2:$F372,"&lt;&gt;"),"")</f>
        <v>4</v>
      </c>
      <c r="Z372" s="29" t="str">
        <f>IF(Y372=1,COUNTIF($Y$2:Y372,1),"")</f>
        <v/>
      </c>
      <c r="AA372" s="29">
        <f>IF(AND(LEFT($B372,7)="SBA 26/",$C372&lt;&gt;"",$F372&lt;&gt;""),COUNTIFS($C$2:$C372,$C372,$B$2:$B372,"SBA 26/*",$F$2:$F372,"&lt;&gt;"),"")</f>
        <v>2</v>
      </c>
      <c r="AB372" s="29" t="str">
        <f>IF(AA372=1,COUNTIF($AA$2:AA372,1),"")</f>
        <v/>
      </c>
    </row>
    <row r="373" spans="1:28" ht="78.75" customHeight="1" x14ac:dyDescent="0.2">
      <c r="A373" s="43" t="s">
        <v>1828</v>
      </c>
      <c r="B373" s="43" t="s">
        <v>1829</v>
      </c>
      <c r="C373" s="44" t="s">
        <v>192</v>
      </c>
      <c r="D373" s="44" t="s">
        <v>193</v>
      </c>
      <c r="E373" s="45" t="s">
        <v>1830</v>
      </c>
      <c r="F373" s="45" t="s">
        <v>1831</v>
      </c>
      <c r="G373" s="46" t="s">
        <v>38</v>
      </c>
      <c r="H373" s="48">
        <v>46119</v>
      </c>
      <c r="I373" s="48">
        <v>46140</v>
      </c>
      <c r="J373" s="44" t="s">
        <v>91</v>
      </c>
      <c r="K373" s="44" t="s">
        <v>100</v>
      </c>
      <c r="L373" s="50"/>
      <c r="M373" s="50"/>
      <c r="N373" s="50"/>
      <c r="O373" s="49"/>
      <c r="P373" s="50">
        <f t="shared" si="20"/>
        <v>0</v>
      </c>
      <c r="R373" s="51" t="str">
        <f t="shared" si="21"/>
        <v/>
      </c>
      <c r="T373" s="41"/>
      <c r="U373" s="29">
        <f>IF($C373&lt;&gt;"",COUNTIF($C$2:C373,C373),"")</f>
        <v>5</v>
      </c>
      <c r="V373" s="29" t="str">
        <f t="shared" si="22"/>
        <v>Dr. Öğr. Üyesi Figen BEZCİ AYGÜN§5</v>
      </c>
      <c r="W373" s="29" t="str">
        <f>IF(U373=1,COUNTIF($U$2:U373,1),"")</f>
        <v/>
      </c>
      <c r="X373" s="29" t="str">
        <f t="shared" si="23"/>
        <v/>
      </c>
      <c r="Y373" s="29">
        <f>IF(AND(LEFT($B373,7)="SBA 26/",$D373&lt;&gt;"",$F373&lt;&gt;""),COUNTIFS($D$2:$D373,$D373,$B$2:$B373,"SBA 26/*",$F$2:$F373,"&lt;&gt;"),"")</f>
        <v>10</v>
      </c>
      <c r="Z373" s="29" t="str">
        <f>IF(Y373=1,COUNTIF($Y$2:Y373,1),"")</f>
        <v/>
      </c>
      <c r="AA373" s="29">
        <f>IF(AND(LEFT($B373,7)="SBA 26/",$C373&lt;&gt;"",$F373&lt;&gt;""),COUNTIFS($C$2:$C373,$C373,$B$2:$B373,"SBA 26/*",$F$2:$F373,"&lt;&gt;"),"")</f>
        <v>5</v>
      </c>
      <c r="AB373" s="29" t="str">
        <f>IF(AA373=1,COUNTIF($AA$2:AA373,1),"")</f>
        <v/>
      </c>
    </row>
    <row r="374" spans="1:28" ht="78.75" customHeight="1" x14ac:dyDescent="0.2">
      <c r="A374" s="43" t="s">
        <v>1832</v>
      </c>
      <c r="B374" s="43" t="s">
        <v>1833</v>
      </c>
      <c r="C374" s="44" t="s">
        <v>1834</v>
      </c>
      <c r="D374" s="44" t="s">
        <v>88</v>
      </c>
      <c r="E374" s="45" t="s">
        <v>1835</v>
      </c>
      <c r="F374" s="45" t="s">
        <v>1836</v>
      </c>
      <c r="G374" s="46" t="s">
        <v>39</v>
      </c>
      <c r="H374" s="48">
        <v>46119</v>
      </c>
      <c r="I374" s="48">
        <v>46140</v>
      </c>
      <c r="J374" s="44" t="s">
        <v>92</v>
      </c>
      <c r="K374" s="44" t="s">
        <v>108</v>
      </c>
      <c r="L374" s="50" t="s">
        <v>101</v>
      </c>
      <c r="M374" s="50" t="s">
        <v>77</v>
      </c>
      <c r="N374" s="50"/>
      <c r="O374" s="49"/>
      <c r="P374" s="50" t="str">
        <f t="shared" si="20"/>
        <v>ONAY</v>
      </c>
      <c r="Q374" s="28" t="s">
        <v>108</v>
      </c>
      <c r="R374" s="51" t="str">
        <f t="shared" si="21"/>
        <v/>
      </c>
      <c r="T374" s="41"/>
      <c r="U374" s="29">
        <f>IF($C374&lt;&gt;"",COUNTIF($C$2:C374,C374),"")</f>
        <v>1</v>
      </c>
      <c r="V374" s="29" t="str">
        <f t="shared" si="22"/>
        <v>Prof. Dr. Gökçen ÇOBAN ÇİFÇİ§1</v>
      </c>
      <c r="W374" s="29">
        <f>IF(U374=1,COUNTIF($U$2:U374,1),"")</f>
        <v>217</v>
      </c>
      <c r="X374" s="29">
        <f t="shared" si="23"/>
        <v>235</v>
      </c>
      <c r="Y374" s="29">
        <f>IF(AND(LEFT($B374,7)="SBA 26/",$D374&lt;&gt;"",$F374&lt;&gt;""),COUNTIFS($D$2:$D374,$D374,$B$2:$B374,"SBA 26/*",$F$2:$F374,"&lt;&gt;"),"")</f>
        <v>14</v>
      </c>
      <c r="Z374" s="29" t="str">
        <f>IF(Y374=1,COUNTIF($Y$2:Y374,1),"")</f>
        <v/>
      </c>
      <c r="AA374" s="29">
        <f>IF(AND(LEFT($B374,7)="SBA 26/",$C374&lt;&gt;"",$F374&lt;&gt;""),COUNTIFS($C$2:$C374,$C374,$B$2:$B374,"SBA 26/*",$F$2:$F374,"&lt;&gt;"),"")</f>
        <v>1</v>
      </c>
      <c r="AB374" s="29">
        <f>IF(AA374=1,COUNTIF($AA$2:AA374,1),"")</f>
        <v>217</v>
      </c>
    </row>
    <row r="375" spans="1:28" ht="63" customHeight="1" x14ac:dyDescent="0.2">
      <c r="A375" s="43" t="s">
        <v>1837</v>
      </c>
      <c r="B375" s="43" t="s">
        <v>1838</v>
      </c>
      <c r="C375" s="44" t="s">
        <v>1207</v>
      </c>
      <c r="D375" s="44" t="s">
        <v>222</v>
      </c>
      <c r="E375" s="45" t="s">
        <v>1839</v>
      </c>
      <c r="F375" s="45" t="s">
        <v>1840</v>
      </c>
      <c r="G375" s="46" t="s">
        <v>39</v>
      </c>
      <c r="H375" s="48">
        <v>46119</v>
      </c>
      <c r="I375" s="48">
        <v>46140</v>
      </c>
      <c r="J375" s="44" t="s">
        <v>75</v>
      </c>
      <c r="K375" s="44" t="s">
        <v>99</v>
      </c>
      <c r="L375" s="50" t="s">
        <v>77</v>
      </c>
      <c r="M375" s="50"/>
      <c r="N375" s="50"/>
      <c r="O375" s="49"/>
      <c r="P375" s="50" t="str">
        <f t="shared" si="20"/>
        <v>ONAY</v>
      </c>
      <c r="R375" s="51" t="str">
        <f t="shared" si="21"/>
        <v/>
      </c>
      <c r="T375" s="41"/>
      <c r="U375" s="29">
        <f>IF($C375&lt;&gt;"",COUNTIF($C$2:C375,C375),"")</f>
        <v>4</v>
      </c>
      <c r="V375" s="29" t="str">
        <f t="shared" si="22"/>
        <v>Prof. Dr. Özlem TEKŞAM§4</v>
      </c>
      <c r="W375" s="29" t="str">
        <f>IF(U375=1,COUNTIF($U$2:U375,1),"")</f>
        <v/>
      </c>
      <c r="X375" s="29" t="str">
        <f t="shared" si="23"/>
        <v/>
      </c>
      <c r="Y375" s="29">
        <f>IF(AND(LEFT($B375,7)="SBA 26/",$D375&lt;&gt;"",$F375&lt;&gt;""),COUNTIFS($D$2:$D375,$D375,$B$2:$B375,"SBA 26/*",$F$2:$F375,"&lt;&gt;"),"")</f>
        <v>54</v>
      </c>
      <c r="Z375" s="29" t="str">
        <f>IF(Y375=1,COUNTIF($Y$2:Y375,1),"")</f>
        <v/>
      </c>
      <c r="AA375" s="29">
        <f>IF(AND(LEFT($B375,7)="SBA 26/",$C375&lt;&gt;"",$F375&lt;&gt;""),COUNTIFS($C$2:$C375,$C375,$B$2:$B375,"SBA 26/*",$F$2:$F375,"&lt;&gt;"),"")</f>
        <v>4</v>
      </c>
      <c r="AB375" s="29" t="str">
        <f>IF(AA375=1,COUNTIF($AA$2:AA375,1),"")</f>
        <v/>
      </c>
    </row>
    <row r="376" spans="1:28" ht="78.75" customHeight="1" x14ac:dyDescent="0.2">
      <c r="A376" s="43" t="s">
        <v>1841</v>
      </c>
      <c r="B376" s="43" t="s">
        <v>1842</v>
      </c>
      <c r="C376" s="44" t="s">
        <v>132</v>
      </c>
      <c r="D376" s="44" t="s">
        <v>133</v>
      </c>
      <c r="E376" s="45" t="s">
        <v>6178</v>
      </c>
      <c r="F376" s="45" t="s">
        <v>1844</v>
      </c>
      <c r="G376" s="46" t="s">
        <v>38</v>
      </c>
      <c r="H376" s="48">
        <v>46119</v>
      </c>
      <c r="I376" s="48">
        <v>46140</v>
      </c>
      <c r="J376" s="44" t="s">
        <v>108</v>
      </c>
      <c r="K376" s="44" t="s">
        <v>129</v>
      </c>
      <c r="L376" s="50" t="s">
        <v>77</v>
      </c>
      <c r="M376" s="50"/>
      <c r="N376" s="50"/>
      <c r="O376" s="49"/>
      <c r="P376" s="50" t="str">
        <f t="shared" si="20"/>
        <v>ONAY</v>
      </c>
      <c r="R376" s="51" t="str">
        <f t="shared" si="21"/>
        <v/>
      </c>
      <c r="T376" s="41"/>
      <c r="U376" s="29">
        <f>IF($C376&lt;&gt;"",COUNTIF($C$2:C376,C376),"")</f>
        <v>3</v>
      </c>
      <c r="V376" s="29" t="str">
        <f t="shared" si="22"/>
        <v>Öğr. Gör. Dr. Buket KILIÇ§3</v>
      </c>
      <c r="W376" s="29" t="str">
        <f>IF(U376=1,COUNTIF($U$2:U376,1),"")</f>
        <v/>
      </c>
      <c r="X376" s="29" t="str">
        <f t="shared" si="23"/>
        <v/>
      </c>
      <c r="Y376" s="29">
        <f>IF(AND(LEFT($B376,7)="SBA 26/",$D376&lt;&gt;"",$F376&lt;&gt;""),COUNTIFS($D$2:$D376,$D376,$B$2:$B376,"SBA 26/*",$F$2:$F376,"&lt;&gt;"),"")</f>
        <v>10</v>
      </c>
      <c r="Z376" s="29" t="str">
        <f>IF(Y376=1,COUNTIF($Y$2:Y376,1),"")</f>
        <v/>
      </c>
      <c r="AA376" s="29">
        <f>IF(AND(LEFT($B376,7)="SBA 26/",$C376&lt;&gt;"",$F376&lt;&gt;""),COUNTIFS($C$2:$C376,$C376,$B$2:$B376,"SBA 26/*",$F$2:$F376,"&lt;&gt;"),"")</f>
        <v>3</v>
      </c>
      <c r="AB376" s="29" t="str">
        <f>IF(AA376=1,COUNTIF($AA$2:AA376,1),"")</f>
        <v/>
      </c>
    </row>
    <row r="377" spans="1:28" ht="63" customHeight="1" x14ac:dyDescent="0.2">
      <c r="A377" s="43" t="s">
        <v>1845</v>
      </c>
      <c r="B377" s="43" t="s">
        <v>1846</v>
      </c>
      <c r="C377" s="44" t="s">
        <v>192</v>
      </c>
      <c r="D377" s="44" t="s">
        <v>193</v>
      </c>
      <c r="E377" s="45" t="s">
        <v>1847</v>
      </c>
      <c r="F377" s="45" t="s">
        <v>1848</v>
      </c>
      <c r="G377" s="46" t="s">
        <v>38</v>
      </c>
      <c r="H377" s="48">
        <v>46119</v>
      </c>
      <c r="I377" s="48">
        <v>46140</v>
      </c>
      <c r="J377" s="44" t="s">
        <v>91</v>
      </c>
      <c r="K377" s="44" t="s">
        <v>100</v>
      </c>
      <c r="L377" s="50"/>
      <c r="M377" s="50"/>
      <c r="N377" s="50"/>
      <c r="O377" s="49"/>
      <c r="P377" s="50">
        <f t="shared" si="20"/>
        <v>0</v>
      </c>
      <c r="R377" s="51" t="str">
        <f t="shared" si="21"/>
        <v/>
      </c>
      <c r="T377" s="41"/>
      <c r="U377" s="29">
        <f>IF($C377&lt;&gt;"",COUNTIF($C$2:C377,C377),"")</f>
        <v>6</v>
      </c>
      <c r="V377" s="29" t="str">
        <f t="shared" si="22"/>
        <v>Dr. Öğr. Üyesi Figen BEZCİ AYGÜN§6</v>
      </c>
      <c r="W377" s="29" t="str">
        <f>IF(U377=1,COUNTIF($U$2:U377,1),"")</f>
        <v/>
      </c>
      <c r="X377" s="29" t="str">
        <f t="shared" si="23"/>
        <v/>
      </c>
      <c r="Y377" s="29">
        <f>IF(AND(LEFT($B377,7)="SBA 26/",$D377&lt;&gt;"",$F377&lt;&gt;""),COUNTIFS($D$2:$D377,$D377,$B$2:$B377,"SBA 26/*",$F$2:$F377,"&lt;&gt;"),"")</f>
        <v>11</v>
      </c>
      <c r="Z377" s="29" t="str">
        <f>IF(Y377=1,COUNTIF($Y$2:Y377,1),"")</f>
        <v/>
      </c>
      <c r="AA377" s="29">
        <f>IF(AND(LEFT($B377,7)="SBA 26/",$C377&lt;&gt;"",$F377&lt;&gt;""),COUNTIFS($C$2:$C377,$C377,$B$2:$B377,"SBA 26/*",$F$2:$F377,"&lt;&gt;"),"")</f>
        <v>6</v>
      </c>
      <c r="AB377" s="29" t="str">
        <f>IF(AA377=1,COUNTIF($AA$2:AA377,1),"")</f>
        <v/>
      </c>
    </row>
    <row r="378" spans="1:28" ht="94.5" customHeight="1" x14ac:dyDescent="0.2">
      <c r="A378" s="43" t="s">
        <v>1849</v>
      </c>
      <c r="B378" s="43" t="s">
        <v>1850</v>
      </c>
      <c r="C378" s="44" t="s">
        <v>302</v>
      </c>
      <c r="D378" s="44" t="s">
        <v>222</v>
      </c>
      <c r="E378" s="45" t="s">
        <v>1851</v>
      </c>
      <c r="F378" s="45" t="s">
        <v>1852</v>
      </c>
      <c r="G378" s="46" t="s">
        <v>38</v>
      </c>
      <c r="H378" s="48">
        <v>46119</v>
      </c>
      <c r="I378" s="48">
        <v>46140</v>
      </c>
      <c r="J378" s="44" t="s">
        <v>116</v>
      </c>
      <c r="K378" s="44" t="s">
        <v>109</v>
      </c>
      <c r="L378" s="50" t="s">
        <v>101</v>
      </c>
      <c r="M378" s="50"/>
      <c r="N378" s="50"/>
      <c r="O378" s="49"/>
      <c r="P378" s="50" t="str">
        <f t="shared" si="20"/>
        <v>DÜZELTME</v>
      </c>
      <c r="R378" s="51" t="str">
        <f t="shared" si="21"/>
        <v/>
      </c>
      <c r="T378" s="41"/>
      <c r="U378" s="29">
        <f>IF($C378&lt;&gt;"",COUNTIF($C$2:C378,C378),"")</f>
        <v>2</v>
      </c>
      <c r="V378" s="29" t="str">
        <f t="shared" si="22"/>
        <v>Doç. Dr. Saliha ESENBOĞA§2</v>
      </c>
      <c r="W378" s="29" t="str">
        <f>IF(U378=1,COUNTIF($U$2:U378,1),"")</f>
        <v/>
      </c>
      <c r="X378" s="29" t="str">
        <f t="shared" si="23"/>
        <v/>
      </c>
      <c r="Y378" s="29">
        <f>IF(AND(LEFT($B378,7)="SBA 26/",$D378&lt;&gt;"",$F378&lt;&gt;""),COUNTIFS($D$2:$D378,$D378,$B$2:$B378,"SBA 26/*",$F$2:$F378,"&lt;&gt;"),"")</f>
        <v>55</v>
      </c>
      <c r="Z378" s="29" t="str">
        <f>IF(Y378=1,COUNTIF($Y$2:Y378,1),"")</f>
        <v/>
      </c>
      <c r="AA378" s="29">
        <f>IF(AND(LEFT($B378,7)="SBA 26/",$C378&lt;&gt;"",$F378&lt;&gt;""),COUNTIFS($C$2:$C378,$C378,$B$2:$B378,"SBA 26/*",$F$2:$F378,"&lt;&gt;"),"")</f>
        <v>2</v>
      </c>
      <c r="AB378" s="29" t="str">
        <f>IF(AA378=1,COUNTIF($AA$2:AA378,1),"")</f>
        <v/>
      </c>
    </row>
    <row r="379" spans="1:28" ht="63" customHeight="1" x14ac:dyDescent="0.2">
      <c r="A379" s="43" t="s">
        <v>1853</v>
      </c>
      <c r="B379" s="43" t="s">
        <v>1854</v>
      </c>
      <c r="C379" s="44" t="s">
        <v>633</v>
      </c>
      <c r="D379" s="44" t="s">
        <v>228</v>
      </c>
      <c r="E379" s="45" t="s">
        <v>1855</v>
      </c>
      <c r="F379" s="45" t="s">
        <v>1856</v>
      </c>
      <c r="G379" s="46" t="s">
        <v>38</v>
      </c>
      <c r="H379" s="48">
        <v>46119</v>
      </c>
      <c r="I379" s="48">
        <v>46140</v>
      </c>
      <c r="J379" s="44" t="s">
        <v>84</v>
      </c>
      <c r="K379" s="44" t="s">
        <v>129</v>
      </c>
      <c r="L379" s="50" t="s">
        <v>77</v>
      </c>
      <c r="M379" s="50"/>
      <c r="N379" s="50"/>
      <c r="O379" s="49"/>
      <c r="P379" s="50" t="str">
        <f t="shared" si="20"/>
        <v>ONAY</v>
      </c>
      <c r="R379" s="51" t="str">
        <f t="shared" si="21"/>
        <v/>
      </c>
      <c r="T379" s="41"/>
      <c r="U379" s="29">
        <f>IF($C379&lt;&gt;"",COUNTIF($C$2:C379,C379),"")</f>
        <v>5</v>
      </c>
      <c r="V379" s="29" t="str">
        <f t="shared" si="22"/>
        <v>Doç. Dr. Utku AKGÖR§5</v>
      </c>
      <c r="W379" s="29" t="str">
        <f>IF(U379=1,COUNTIF($U$2:U379,1),"")</f>
        <v/>
      </c>
      <c r="X379" s="29" t="str">
        <f t="shared" si="23"/>
        <v/>
      </c>
      <c r="Y379" s="29">
        <f>IF(AND(LEFT($B379,7)="SBA 26/",$D379&lt;&gt;"",$F379&lt;&gt;""),COUNTIFS($D$2:$D379,$D379,$B$2:$B379,"SBA 26/*",$F$2:$F379,"&lt;&gt;"),"")</f>
        <v>23</v>
      </c>
      <c r="Z379" s="29" t="str">
        <f>IF(Y379=1,COUNTIF($Y$2:Y379,1),"")</f>
        <v/>
      </c>
      <c r="AA379" s="29">
        <f>IF(AND(LEFT($B379,7)="SBA 26/",$C379&lt;&gt;"",$F379&lt;&gt;""),COUNTIFS($C$2:$C379,$C379,$B$2:$B379,"SBA 26/*",$F$2:$F379,"&lt;&gt;"),"")</f>
        <v>5</v>
      </c>
      <c r="AB379" s="29" t="str">
        <f>IF(AA379=1,COUNTIF($AA$2:AA379,1),"")</f>
        <v/>
      </c>
    </row>
    <row r="380" spans="1:28" ht="63" customHeight="1" x14ac:dyDescent="0.2">
      <c r="A380" s="43" t="s">
        <v>1857</v>
      </c>
      <c r="B380" s="43" t="s">
        <v>1858</v>
      </c>
      <c r="C380" s="44" t="s">
        <v>243</v>
      </c>
      <c r="D380" s="44" t="s">
        <v>113</v>
      </c>
      <c r="E380" s="45" t="s">
        <v>1859</v>
      </c>
      <c r="F380" s="45" t="s">
        <v>1860</v>
      </c>
      <c r="G380" s="46" t="s">
        <v>38</v>
      </c>
      <c r="H380" s="48">
        <v>46120</v>
      </c>
      <c r="I380" s="48">
        <v>46140</v>
      </c>
      <c r="J380" s="44" t="s">
        <v>109</v>
      </c>
      <c r="K380" s="44" t="s">
        <v>99</v>
      </c>
      <c r="L380" s="50" t="s">
        <v>206</v>
      </c>
      <c r="M380" s="50" t="s">
        <v>101</v>
      </c>
      <c r="N380" s="50" t="s">
        <v>77</v>
      </c>
      <c r="O380" s="49"/>
      <c r="P380" s="50" t="str">
        <f t="shared" si="20"/>
        <v>ONAY</v>
      </c>
      <c r="Q380" s="28" t="s">
        <v>109</v>
      </c>
      <c r="R380" s="51" t="str">
        <f t="shared" si="21"/>
        <v/>
      </c>
      <c r="T380" s="41"/>
      <c r="U380" s="29">
        <f>IF($C380&lt;&gt;"",COUNTIF($C$2:C380,C380),"")</f>
        <v>3</v>
      </c>
      <c r="V380" s="29" t="str">
        <f t="shared" si="22"/>
        <v>Doç. Dr. Levent KILIÇ§3</v>
      </c>
      <c r="W380" s="29" t="str">
        <f>IF(U380=1,COUNTIF($U$2:U380,1),"")</f>
        <v/>
      </c>
      <c r="X380" s="29" t="str">
        <f t="shared" si="23"/>
        <v/>
      </c>
      <c r="Y380" s="29">
        <f>IF(AND(LEFT($B380,7)="SBA 26/",$D380&lt;&gt;"",$F380&lt;&gt;""),COUNTIFS($D$2:$D380,$D380,$B$2:$B380,"SBA 26/*",$F$2:$F380,"&lt;&gt;"),"")</f>
        <v>58</v>
      </c>
      <c r="Z380" s="29" t="str">
        <f>IF(Y380=1,COUNTIF($Y$2:Y380,1),"")</f>
        <v/>
      </c>
      <c r="AA380" s="29">
        <f>IF(AND(LEFT($B380,7)="SBA 26/",$C380&lt;&gt;"",$F380&lt;&gt;""),COUNTIFS($C$2:$C380,$C380,$B$2:$B380,"SBA 26/*",$F$2:$F380,"&lt;&gt;"),"")</f>
        <v>3</v>
      </c>
      <c r="AB380" s="29" t="str">
        <f>IF(AA380=1,COUNTIF($AA$2:AA380,1),"")</f>
        <v/>
      </c>
    </row>
    <row r="381" spans="1:28" ht="78.75" customHeight="1" x14ac:dyDescent="0.2">
      <c r="A381" s="43" t="s">
        <v>1861</v>
      </c>
      <c r="B381" s="43" t="s">
        <v>1862</v>
      </c>
      <c r="C381" s="44" t="s">
        <v>1863</v>
      </c>
      <c r="D381" s="44" t="s">
        <v>1168</v>
      </c>
      <c r="E381" s="45" t="s">
        <v>1864</v>
      </c>
      <c r="F381" s="45" t="s">
        <v>1865</v>
      </c>
      <c r="G381" s="46" t="s">
        <v>38</v>
      </c>
      <c r="H381" s="48">
        <v>46120</v>
      </c>
      <c r="I381" s="48">
        <v>46140</v>
      </c>
      <c r="J381" s="44" t="s">
        <v>75</v>
      </c>
      <c r="K381" s="44" t="s">
        <v>116</v>
      </c>
      <c r="L381" s="50" t="s">
        <v>77</v>
      </c>
      <c r="M381" s="50"/>
      <c r="N381" s="50"/>
      <c r="O381" s="49"/>
      <c r="P381" s="50" t="str">
        <f t="shared" si="20"/>
        <v>ONAY</v>
      </c>
      <c r="R381" s="51" t="str">
        <f t="shared" si="21"/>
        <v/>
      </c>
      <c r="T381" s="41"/>
      <c r="U381" s="29">
        <f>IF($C381&lt;&gt;"",COUNTIF($C$2:C381,C381),"")</f>
        <v>1</v>
      </c>
      <c r="V381" s="29" t="str">
        <f t="shared" si="22"/>
        <v>Prof. Dr. Ömrüm UZUN§1</v>
      </c>
      <c r="W381" s="29">
        <f>IF(U381=1,COUNTIF($U$2:U381,1),"")</f>
        <v>218</v>
      </c>
      <c r="X381" s="29">
        <f t="shared" si="23"/>
        <v>295</v>
      </c>
      <c r="Y381" s="29">
        <f>IF(AND(LEFT($B381,7)="SBA 26/",$D381&lt;&gt;"",$F381&lt;&gt;""),COUNTIFS($D$2:$D381,$D381,$B$2:$B381,"SBA 26/*",$F$2:$F381,"&lt;&gt;"),"")</f>
        <v>2</v>
      </c>
      <c r="Z381" s="29" t="str">
        <f>IF(Y381=1,COUNTIF($Y$2:Y381,1),"")</f>
        <v/>
      </c>
      <c r="AA381" s="29">
        <f>IF(AND(LEFT($B381,7)="SBA 26/",$C381&lt;&gt;"",$F381&lt;&gt;""),COUNTIFS($C$2:$C381,$C381,$B$2:$B381,"SBA 26/*",$F$2:$F381,"&lt;&gt;"),"")</f>
        <v>1</v>
      </c>
      <c r="AB381" s="29">
        <f>IF(AA381=1,COUNTIF($AA$2:AA381,1),"")</f>
        <v>218</v>
      </c>
    </row>
    <row r="382" spans="1:28" ht="63" customHeight="1" x14ac:dyDescent="0.2">
      <c r="A382" s="43" t="s">
        <v>1866</v>
      </c>
      <c r="B382" s="43" t="s">
        <v>1867</v>
      </c>
      <c r="C382" s="44" t="s">
        <v>1427</v>
      </c>
      <c r="D382" s="44" t="s">
        <v>966</v>
      </c>
      <c r="E382" s="45" t="s">
        <v>1868</v>
      </c>
      <c r="F382" s="45" t="s">
        <v>1869</v>
      </c>
      <c r="G382" s="46" t="s">
        <v>39</v>
      </c>
      <c r="H382" s="48">
        <v>46121</v>
      </c>
      <c r="I382" s="48">
        <v>46140</v>
      </c>
      <c r="J382" s="44" t="s">
        <v>109</v>
      </c>
      <c r="K382" s="44" t="s">
        <v>100</v>
      </c>
      <c r="L382" s="50" t="s">
        <v>206</v>
      </c>
      <c r="M382" s="50" t="s">
        <v>101</v>
      </c>
      <c r="N382" s="50" t="s">
        <v>101</v>
      </c>
      <c r="O382" s="49" t="s">
        <v>77</v>
      </c>
      <c r="P382" s="50" t="str">
        <f t="shared" si="20"/>
        <v>ONAY</v>
      </c>
      <c r="Q382" s="28" t="s">
        <v>109</v>
      </c>
      <c r="R382" s="51" t="str">
        <f t="shared" si="21"/>
        <v/>
      </c>
      <c r="T382" s="41"/>
      <c r="U382" s="29">
        <f>IF($C382&lt;&gt;"",COUNTIF($C$2:C382,C382),"")</f>
        <v>2</v>
      </c>
      <c r="V382" s="29" t="str">
        <f t="shared" si="22"/>
        <v>Doç. Dr. Hilal AKSOY§2</v>
      </c>
      <c r="W382" s="29" t="str">
        <f>IF(U382=1,COUNTIF($U$2:U382,1),"")</f>
        <v/>
      </c>
      <c r="X382" s="29" t="str">
        <f t="shared" si="23"/>
        <v/>
      </c>
      <c r="Y382" s="29">
        <f>IF(AND(LEFT($B382,7)="SBA 26/",$D382&lt;&gt;"",$F382&lt;&gt;""),COUNTIFS($D$2:$D382,$D382,$B$2:$B382,"SBA 26/*",$F$2:$F382,"&lt;&gt;"),"")</f>
        <v>8</v>
      </c>
      <c r="Z382" s="29" t="str">
        <f>IF(Y382=1,COUNTIF($Y$2:Y382,1),"")</f>
        <v/>
      </c>
      <c r="AA382" s="29">
        <f>IF(AND(LEFT($B382,7)="SBA 26/",$C382&lt;&gt;"",$F382&lt;&gt;""),COUNTIFS($C$2:$C382,$C382,$B$2:$B382,"SBA 26/*",$F$2:$F382,"&lt;&gt;"),"")</f>
        <v>2</v>
      </c>
      <c r="AB382" s="29" t="str">
        <f>IF(AA382=1,COUNTIF($AA$2:AA382,1),"")</f>
        <v/>
      </c>
    </row>
    <row r="383" spans="1:28" ht="63" customHeight="1" x14ac:dyDescent="0.2">
      <c r="A383" s="43" t="s">
        <v>1870</v>
      </c>
      <c r="B383" s="43" t="s">
        <v>1871</v>
      </c>
      <c r="C383" s="44" t="s">
        <v>1872</v>
      </c>
      <c r="D383" s="44" t="s">
        <v>484</v>
      </c>
      <c r="E383" s="45" t="s">
        <v>1873</v>
      </c>
      <c r="F383" s="45" t="s">
        <v>1874</v>
      </c>
      <c r="G383" s="46" t="s">
        <v>39</v>
      </c>
      <c r="H383" s="48">
        <v>46121</v>
      </c>
      <c r="I383" s="48">
        <v>46140</v>
      </c>
      <c r="J383" s="44" t="s">
        <v>123</v>
      </c>
      <c r="K383" s="44" t="s">
        <v>84</v>
      </c>
      <c r="L383" s="50" t="s">
        <v>77</v>
      </c>
      <c r="M383" s="50"/>
      <c r="N383" s="50"/>
      <c r="O383" s="49"/>
      <c r="P383" s="50" t="str">
        <f t="shared" si="20"/>
        <v>ONAY</v>
      </c>
      <c r="R383" s="51" t="str">
        <f t="shared" si="21"/>
        <v/>
      </c>
      <c r="T383" s="41"/>
      <c r="U383" s="29">
        <f>IF($C383&lt;&gt;"",COUNTIF($C$2:C383,C383),"")</f>
        <v>1</v>
      </c>
      <c r="V383" s="29" t="str">
        <f t="shared" si="22"/>
        <v>Doç. Dr. Nagihan KOÇ§1</v>
      </c>
      <c r="W383" s="29">
        <f>IF(U383=1,COUNTIF($U$2:U383,1),"")</f>
        <v>219</v>
      </c>
      <c r="X383" s="29">
        <f t="shared" si="23"/>
        <v>87</v>
      </c>
      <c r="Y383" s="29">
        <f>IF(AND(LEFT($B383,7)="SBA 26/",$D383&lt;&gt;"",$F383&lt;&gt;""),COUNTIFS($D$2:$D383,$D383,$B$2:$B383,"SBA 26/*",$F$2:$F383,"&lt;&gt;"),"")</f>
        <v>4</v>
      </c>
      <c r="Z383" s="29" t="str">
        <f>IF(Y383=1,COUNTIF($Y$2:Y383,1),"")</f>
        <v/>
      </c>
      <c r="AA383" s="29">
        <f>IF(AND(LEFT($B383,7)="SBA 26/",$C383&lt;&gt;"",$F383&lt;&gt;""),COUNTIFS($C$2:$C383,$C383,$B$2:$B383,"SBA 26/*",$F$2:$F383,"&lt;&gt;"),"")</f>
        <v>1</v>
      </c>
      <c r="AB383" s="29">
        <f>IF(AA383=1,COUNTIF($AA$2:AA383,1),"")</f>
        <v>219</v>
      </c>
    </row>
    <row r="384" spans="1:28" ht="78.75" customHeight="1" x14ac:dyDescent="0.2">
      <c r="A384" s="43" t="s">
        <v>1875</v>
      </c>
      <c r="B384" s="43" t="s">
        <v>1876</v>
      </c>
      <c r="C384" s="44" t="s">
        <v>1432</v>
      </c>
      <c r="D384" s="44" t="s">
        <v>113</v>
      </c>
      <c r="E384" s="45" t="s">
        <v>1877</v>
      </c>
      <c r="F384" s="45" t="s">
        <v>1878</v>
      </c>
      <c r="G384" s="46" t="s">
        <v>38</v>
      </c>
      <c r="H384" s="48">
        <v>46121</v>
      </c>
      <c r="I384" s="48">
        <v>46140</v>
      </c>
      <c r="J384" s="44" t="s">
        <v>116</v>
      </c>
      <c r="K384" s="44" t="s">
        <v>92</v>
      </c>
      <c r="L384" s="50" t="s">
        <v>77</v>
      </c>
      <c r="M384" s="50"/>
      <c r="N384" s="50"/>
      <c r="O384" s="49"/>
      <c r="P384" s="50" t="str">
        <f t="shared" si="20"/>
        <v>ONAY</v>
      </c>
      <c r="R384" s="51" t="str">
        <f t="shared" si="21"/>
        <v/>
      </c>
      <c r="T384" s="41"/>
      <c r="U384" s="29">
        <f>IF($C384&lt;&gt;"",COUNTIF($C$2:C384,C384),"")</f>
        <v>6</v>
      </c>
      <c r="V384" s="29" t="str">
        <f t="shared" si="22"/>
        <v>Prof. Dr. Taylan KAV§6</v>
      </c>
      <c r="W384" s="29" t="str">
        <f>IF(U384=1,COUNTIF($U$2:U384,1),"")</f>
        <v/>
      </c>
      <c r="X384" s="29" t="str">
        <f t="shared" si="23"/>
        <v/>
      </c>
      <c r="Y384" s="29">
        <f>IF(AND(LEFT($B384,7)="SBA 26/",$D384&lt;&gt;"",$F384&lt;&gt;""),COUNTIFS($D$2:$D384,$D384,$B$2:$B384,"SBA 26/*",$F$2:$F384,"&lt;&gt;"),"")</f>
        <v>59</v>
      </c>
      <c r="Z384" s="29" t="str">
        <f>IF(Y384=1,COUNTIF($Y$2:Y384,1),"")</f>
        <v/>
      </c>
      <c r="AA384" s="29">
        <f>IF(AND(LEFT($B384,7)="SBA 26/",$C384&lt;&gt;"",$F384&lt;&gt;""),COUNTIFS($C$2:$C384,$C384,$B$2:$B384,"SBA 26/*",$F$2:$F384,"&lt;&gt;"),"")</f>
        <v>6</v>
      </c>
      <c r="AB384" s="29" t="str">
        <f>IF(AA384=1,COUNTIF($AA$2:AA384,1),"")</f>
        <v/>
      </c>
    </row>
    <row r="385" spans="1:28" ht="80.25" customHeight="1" x14ac:dyDescent="0.2">
      <c r="A385" s="43" t="s">
        <v>1879</v>
      </c>
      <c r="B385" s="43" t="s">
        <v>1880</v>
      </c>
      <c r="C385" s="44" t="s">
        <v>1707</v>
      </c>
      <c r="D385" s="44" t="s">
        <v>113</v>
      </c>
      <c r="E385" s="45" t="s">
        <v>1881</v>
      </c>
      <c r="F385" s="45" t="s">
        <v>1882</v>
      </c>
      <c r="G385" s="46" t="s">
        <v>38</v>
      </c>
      <c r="H385" s="48">
        <v>46121</v>
      </c>
      <c r="I385" s="48">
        <v>46140</v>
      </c>
      <c r="J385" s="44" t="s">
        <v>129</v>
      </c>
      <c r="K385" s="44" t="s">
        <v>75</v>
      </c>
      <c r="L385" s="50" t="s">
        <v>101</v>
      </c>
      <c r="M385" s="50" t="s">
        <v>101</v>
      </c>
      <c r="N385" s="50"/>
      <c r="O385" s="49"/>
      <c r="P385" s="50" t="str">
        <f t="shared" si="20"/>
        <v>DÜZELTME</v>
      </c>
      <c r="R385" s="51" t="str">
        <f t="shared" si="21"/>
        <v/>
      </c>
      <c r="T385" s="41"/>
      <c r="U385" s="29">
        <f>IF($C385&lt;&gt;"",COUNTIF($C$2:C385,C385),"")</f>
        <v>2</v>
      </c>
      <c r="V385" s="29" t="str">
        <f t="shared" si="22"/>
        <v>Doç. Dr. Cem ŞİMŞEK§2</v>
      </c>
      <c r="W385" s="29" t="str">
        <f>IF(U385=1,COUNTIF($U$2:U385,1),"")</f>
        <v/>
      </c>
      <c r="X385" s="29" t="str">
        <f t="shared" si="23"/>
        <v/>
      </c>
      <c r="Y385" s="29">
        <f>IF(AND(LEFT($B385,7)="SBA 26/",$D385&lt;&gt;"",$F385&lt;&gt;""),COUNTIFS($D$2:$D385,$D385,$B$2:$B385,"SBA 26/*",$F$2:$F385,"&lt;&gt;"),"")</f>
        <v>60</v>
      </c>
      <c r="Z385" s="29" t="str">
        <f>IF(Y385=1,COUNTIF($Y$2:Y385,1),"")</f>
        <v/>
      </c>
      <c r="AA385" s="29">
        <f>IF(AND(LEFT($B385,7)="SBA 26/",$C385&lt;&gt;"",$F385&lt;&gt;""),COUNTIFS($C$2:$C385,$C385,$B$2:$B385,"SBA 26/*",$F$2:$F385,"&lt;&gt;"),"")</f>
        <v>2</v>
      </c>
      <c r="AB385" s="29" t="str">
        <f>IF(AA385=1,COUNTIF($AA$2:AA385,1),"")</f>
        <v/>
      </c>
    </row>
    <row r="386" spans="1:28" ht="63" customHeight="1" x14ac:dyDescent="0.2">
      <c r="A386" s="43" t="s">
        <v>1883</v>
      </c>
      <c r="B386" s="43" t="s">
        <v>1884</v>
      </c>
      <c r="C386" s="44" t="s">
        <v>519</v>
      </c>
      <c r="D386" s="44" t="s">
        <v>364</v>
      </c>
      <c r="E386" s="45" t="s">
        <v>1885</v>
      </c>
      <c r="F386" s="45" t="s">
        <v>1886</v>
      </c>
      <c r="G386" s="46" t="s">
        <v>38</v>
      </c>
      <c r="H386" s="48">
        <v>46121</v>
      </c>
      <c r="I386" s="48">
        <v>46140</v>
      </c>
      <c r="J386" s="44" t="s">
        <v>108</v>
      </c>
      <c r="K386" s="44" t="s">
        <v>129</v>
      </c>
      <c r="L386" s="50" t="s">
        <v>77</v>
      </c>
      <c r="M386" s="50"/>
      <c r="N386" s="50"/>
      <c r="O386" s="49"/>
      <c r="P386" s="50" t="str">
        <f t="shared" ref="P386:P449" si="24">IF(O386&lt;&gt;"",O386, IF(N386&lt;&gt;"",N386, IF(M386&lt;&gt;"",M386, L386)))</f>
        <v>ONAY</v>
      </c>
      <c r="R386" s="51" t="str">
        <f t="shared" ref="R386:R449" si="25">IF(AND($I386&lt;&gt;"",$I386&gt;=DATE(2026,6,23),COUNTIFS($C:$C,$C386,$I:$I,$I386)&gt;2),"⚠ "&amp;COUNTIFS($C:$C,$C386,$I:$I,$I386)&amp;" BAŞVURU!","")</f>
        <v/>
      </c>
      <c r="T386" s="41"/>
      <c r="U386" s="29">
        <f>IF($C386&lt;&gt;"",COUNTIF($C$2:C386,C386),"")</f>
        <v>3</v>
      </c>
      <c r="V386" s="29" t="str">
        <f t="shared" ref="V386:V449" si="26">IF($C386&lt;&gt;"",C386&amp;"§"&amp;U386,"")</f>
        <v>Prof. Dr. Neşe DERİCİOĞLU§3</v>
      </c>
      <c r="W386" s="29" t="str">
        <f>IF(U386=1,COUNTIF($U$2:U386,1),"")</f>
        <v/>
      </c>
      <c r="X386" s="29" t="str">
        <f t="shared" ref="X386:X449" si="27">IF(U386=1,SUMPRODUCT(($U$2:$U$1833=1)*($C$2:$C$1833&lt;C386))+1,"")</f>
        <v/>
      </c>
      <c r="Y386" s="29">
        <f>IF(AND(LEFT($B386,7)="SBA 26/",$D386&lt;&gt;"",$F386&lt;&gt;""),COUNTIFS($D$2:$D386,$D386,$B$2:$B386,"SBA 26/*",$F$2:$F386,"&lt;&gt;"),"")</f>
        <v>14</v>
      </c>
      <c r="Z386" s="29" t="str">
        <f>IF(Y386=1,COUNTIF($Y$2:Y386,1),"")</f>
        <v/>
      </c>
      <c r="AA386" s="29">
        <f>IF(AND(LEFT($B386,7)="SBA 26/",$C386&lt;&gt;"",$F386&lt;&gt;""),COUNTIFS($C$2:$C386,$C386,$B$2:$B386,"SBA 26/*",$F$2:$F386,"&lt;&gt;"),"")</f>
        <v>3</v>
      </c>
      <c r="AB386" s="29" t="str">
        <f>IF(AA386=1,COUNTIF($AA$2:AA386,1),"")</f>
        <v/>
      </c>
    </row>
    <row r="387" spans="1:28" ht="63" customHeight="1" x14ac:dyDescent="0.2">
      <c r="A387" s="43" t="s">
        <v>1887</v>
      </c>
      <c r="B387" s="43" t="s">
        <v>1888</v>
      </c>
      <c r="C387" s="44" t="s">
        <v>324</v>
      </c>
      <c r="D387" s="44" t="s">
        <v>325</v>
      </c>
      <c r="E387" s="45" t="s">
        <v>1889</v>
      </c>
      <c r="F387" s="45" t="s">
        <v>1890</v>
      </c>
      <c r="G387" s="46" t="s">
        <v>39</v>
      </c>
      <c r="H387" s="48">
        <v>46122</v>
      </c>
      <c r="I387" s="48">
        <v>46140</v>
      </c>
      <c r="J387" s="44" t="s">
        <v>99</v>
      </c>
      <c r="K387" s="44" t="s">
        <v>123</v>
      </c>
      <c r="L387" s="50" t="s">
        <v>77</v>
      </c>
      <c r="M387" s="50"/>
      <c r="N387" s="50"/>
      <c r="O387" s="49"/>
      <c r="P387" s="50" t="str">
        <f t="shared" si="24"/>
        <v>ONAY</v>
      </c>
      <c r="R387" s="51" t="str">
        <f t="shared" si="25"/>
        <v/>
      </c>
      <c r="T387" s="41"/>
      <c r="U387" s="29">
        <f>IF($C387&lt;&gt;"",COUNTIF($C$2:C387,C387),"")</f>
        <v>3</v>
      </c>
      <c r="V387" s="29" t="str">
        <f t="shared" si="26"/>
        <v>Prof. Dr. Dilek ASLAN§3</v>
      </c>
      <c r="W387" s="29" t="str">
        <f>IF(U387=1,COUNTIF($U$2:U387,1),"")</f>
        <v/>
      </c>
      <c r="X387" s="29" t="str">
        <f t="shared" si="27"/>
        <v/>
      </c>
      <c r="Y387" s="29">
        <f>IF(AND(LEFT($B387,7)="SBA 26/",$D387&lt;&gt;"",$F387&lt;&gt;""),COUNTIFS($D$2:$D387,$D387,$B$2:$B387,"SBA 26/*",$F$2:$F387,"&lt;&gt;"),"")</f>
        <v>5</v>
      </c>
      <c r="Z387" s="29" t="str">
        <f>IF(Y387=1,COUNTIF($Y$2:Y387,1),"")</f>
        <v/>
      </c>
      <c r="AA387" s="29">
        <f>IF(AND(LEFT($B387,7)="SBA 26/",$C387&lt;&gt;"",$F387&lt;&gt;""),COUNTIFS($C$2:$C387,$C387,$B$2:$B387,"SBA 26/*",$F$2:$F387,"&lt;&gt;"),"")</f>
        <v>3</v>
      </c>
      <c r="AB387" s="29" t="str">
        <f>IF(AA387=1,COUNTIF($AA$2:AA387,1),"")</f>
        <v/>
      </c>
    </row>
    <row r="388" spans="1:28" ht="94.5" customHeight="1" x14ac:dyDescent="0.2">
      <c r="A388" s="43" t="s">
        <v>1891</v>
      </c>
      <c r="B388" s="43" t="s">
        <v>1892</v>
      </c>
      <c r="C388" s="44" t="s">
        <v>1893</v>
      </c>
      <c r="D388" s="44" t="s">
        <v>1894</v>
      </c>
      <c r="E388" s="45" t="s">
        <v>1895</v>
      </c>
      <c r="F388" s="45" t="s">
        <v>1896</v>
      </c>
      <c r="G388" s="46" t="s">
        <v>40</v>
      </c>
      <c r="H388" s="48">
        <v>46125</v>
      </c>
      <c r="I388" s="48">
        <v>46140</v>
      </c>
      <c r="J388" s="44" t="s">
        <v>116</v>
      </c>
      <c r="K388" s="44" t="s">
        <v>84</v>
      </c>
      <c r="L388" s="50" t="s">
        <v>101</v>
      </c>
      <c r="M388" s="50" t="s">
        <v>77</v>
      </c>
      <c r="N388" s="50"/>
      <c r="O388" s="49"/>
      <c r="P388" s="50" t="str">
        <f t="shared" si="24"/>
        <v>ONAY</v>
      </c>
      <c r="Q388" s="28" t="s">
        <v>84</v>
      </c>
      <c r="R388" s="51" t="str">
        <f t="shared" si="25"/>
        <v/>
      </c>
      <c r="T388" s="41"/>
      <c r="U388" s="29">
        <f>IF($C388&lt;&gt;"",COUNTIF($C$2:C388,C388),"")</f>
        <v>1</v>
      </c>
      <c r="V388" s="29" t="str">
        <f t="shared" si="26"/>
        <v>Dr. Öğr. Üyesi Süleyman BULUT§1</v>
      </c>
      <c r="W388" s="29">
        <f>IF(U388=1,COUNTIF($U$2:U388,1),"")</f>
        <v>220</v>
      </c>
      <c r="X388" s="29">
        <f t="shared" si="27"/>
        <v>168</v>
      </c>
      <c r="Y388" s="29">
        <f>IF(AND(LEFT($B388,7)="SBA 26/",$D388&lt;&gt;"",$F388&lt;&gt;""),COUNTIFS($D$2:$D388,$D388,$B$2:$B388,"SBA 26/*",$F$2:$F388,"&lt;&gt;"),"")</f>
        <v>1</v>
      </c>
      <c r="Z388" s="29">
        <f>IF(Y388=1,COUNTIF($Y$2:Y388,1),"")</f>
        <v>64</v>
      </c>
      <c r="AA388" s="29">
        <f>IF(AND(LEFT($B388,7)="SBA 26/",$C388&lt;&gt;"",$F388&lt;&gt;""),COUNTIFS($C$2:$C388,$C388,$B$2:$B388,"SBA 26/*",$F$2:$F388,"&lt;&gt;"),"")</f>
        <v>1</v>
      </c>
      <c r="AB388" s="29">
        <f>IF(AA388=1,COUNTIF($AA$2:AA388,1),"")</f>
        <v>220</v>
      </c>
    </row>
    <row r="389" spans="1:28" ht="78.75" customHeight="1" x14ac:dyDescent="0.2">
      <c r="A389" s="43" t="s">
        <v>1897</v>
      </c>
      <c r="B389" s="43" t="s">
        <v>1898</v>
      </c>
      <c r="C389" s="44" t="s">
        <v>1247</v>
      </c>
      <c r="D389" s="44" t="s">
        <v>222</v>
      </c>
      <c r="E389" s="45" t="s">
        <v>1899</v>
      </c>
      <c r="F389" s="45" t="s">
        <v>1900</v>
      </c>
      <c r="G389" s="46" t="s">
        <v>38</v>
      </c>
      <c r="H389" s="48">
        <v>46125</v>
      </c>
      <c r="I389" s="48">
        <v>46140</v>
      </c>
      <c r="J389" s="44" t="s">
        <v>91</v>
      </c>
      <c r="K389" s="44" t="s">
        <v>123</v>
      </c>
      <c r="L389" s="50" t="s">
        <v>77</v>
      </c>
      <c r="M389" s="50"/>
      <c r="N389" s="50"/>
      <c r="O389" s="49"/>
      <c r="P389" s="50" t="str">
        <f t="shared" si="24"/>
        <v>ONAY</v>
      </c>
      <c r="R389" s="51" t="str">
        <f t="shared" si="25"/>
        <v/>
      </c>
      <c r="T389" s="41"/>
      <c r="U389" s="29">
        <f>IF($C389&lt;&gt;"",COUNTIF($C$2:C389,C389),"")</f>
        <v>2</v>
      </c>
      <c r="V389" s="29" t="str">
        <f t="shared" si="26"/>
        <v>Prof. Dr. Şule ÜNAL CANGÜL§2</v>
      </c>
      <c r="W389" s="29" t="str">
        <f>IF(U389=1,COUNTIF($U$2:U389,1),"")</f>
        <v/>
      </c>
      <c r="X389" s="29" t="str">
        <f t="shared" si="27"/>
        <v/>
      </c>
      <c r="Y389" s="29">
        <f>IF(AND(LEFT($B389,7)="SBA 26/",$D389&lt;&gt;"",$F389&lt;&gt;""),COUNTIFS($D$2:$D389,$D389,$B$2:$B389,"SBA 26/*",$F$2:$F389,"&lt;&gt;"),"")</f>
        <v>56</v>
      </c>
      <c r="Z389" s="29" t="str">
        <f>IF(Y389=1,COUNTIF($Y$2:Y389,1),"")</f>
        <v/>
      </c>
      <c r="AA389" s="29">
        <f>IF(AND(LEFT($B389,7)="SBA 26/",$C389&lt;&gt;"",$F389&lt;&gt;""),COUNTIFS($C$2:$C389,$C389,$B$2:$B389,"SBA 26/*",$F$2:$F389,"&lt;&gt;"),"")</f>
        <v>2</v>
      </c>
      <c r="AB389" s="29" t="str">
        <f>IF(AA389=1,COUNTIF($AA$2:AA389,1),"")</f>
        <v/>
      </c>
    </row>
    <row r="390" spans="1:28" ht="78.75" customHeight="1" x14ac:dyDescent="0.2">
      <c r="A390" s="43" t="s">
        <v>1901</v>
      </c>
      <c r="B390" s="43" t="s">
        <v>1902</v>
      </c>
      <c r="C390" s="44" t="s">
        <v>1247</v>
      </c>
      <c r="D390" s="44" t="s">
        <v>222</v>
      </c>
      <c r="E390" s="45" t="s">
        <v>1903</v>
      </c>
      <c r="F390" s="45" t="s">
        <v>1904</v>
      </c>
      <c r="G390" s="46" t="s">
        <v>38</v>
      </c>
      <c r="H390" s="48">
        <v>46125</v>
      </c>
      <c r="I390" s="48">
        <v>46140</v>
      </c>
      <c r="J390" s="44" t="s">
        <v>91</v>
      </c>
      <c r="K390" s="44" t="s">
        <v>123</v>
      </c>
      <c r="L390" s="50" t="s">
        <v>101</v>
      </c>
      <c r="M390" s="50" t="s">
        <v>77</v>
      </c>
      <c r="N390" s="50"/>
      <c r="O390" s="49"/>
      <c r="P390" s="50" t="str">
        <f t="shared" si="24"/>
        <v>ONAY</v>
      </c>
      <c r="Q390" s="28" t="s">
        <v>123</v>
      </c>
      <c r="R390" s="51" t="str">
        <f t="shared" si="25"/>
        <v/>
      </c>
      <c r="T390" s="41"/>
      <c r="U390" s="29">
        <f>IF($C390&lt;&gt;"",COUNTIF($C$2:C390,C390),"")</f>
        <v>3</v>
      </c>
      <c r="V390" s="29" t="str">
        <f t="shared" si="26"/>
        <v>Prof. Dr. Şule ÜNAL CANGÜL§3</v>
      </c>
      <c r="W390" s="29" t="str">
        <f>IF(U390=1,COUNTIF($U$2:U390,1),"")</f>
        <v/>
      </c>
      <c r="X390" s="29" t="str">
        <f t="shared" si="27"/>
        <v/>
      </c>
      <c r="Y390" s="29">
        <f>IF(AND(LEFT($B390,7)="SBA 26/",$D390&lt;&gt;"",$F390&lt;&gt;""),COUNTIFS($D$2:$D390,$D390,$B$2:$B390,"SBA 26/*",$F$2:$F390,"&lt;&gt;"),"")</f>
        <v>57</v>
      </c>
      <c r="Z390" s="29" t="str">
        <f>IF(Y390=1,COUNTIF($Y$2:Y390,1),"")</f>
        <v/>
      </c>
      <c r="AA390" s="29">
        <f>IF(AND(LEFT($B390,7)="SBA 26/",$C390&lt;&gt;"",$F390&lt;&gt;""),COUNTIFS($C$2:$C390,$C390,$B$2:$B390,"SBA 26/*",$F$2:$F390,"&lt;&gt;"),"")</f>
        <v>3</v>
      </c>
      <c r="AB390" s="29" t="str">
        <f>IF(AA390=1,COUNTIF($AA$2:AA390,1),"")</f>
        <v/>
      </c>
    </row>
    <row r="391" spans="1:28" ht="96" customHeight="1" x14ac:dyDescent="0.2">
      <c r="A391" s="43" t="s">
        <v>1905</v>
      </c>
      <c r="B391" s="43" t="s">
        <v>1906</v>
      </c>
      <c r="C391" s="44" t="s">
        <v>1589</v>
      </c>
      <c r="D391" s="44" t="s">
        <v>341</v>
      </c>
      <c r="E391" s="45" t="s">
        <v>1907</v>
      </c>
      <c r="F391" s="45" t="s">
        <v>1908</v>
      </c>
      <c r="G391" s="46" t="s">
        <v>39</v>
      </c>
      <c r="H391" s="48">
        <v>46125</v>
      </c>
      <c r="I391" s="48">
        <v>46140</v>
      </c>
      <c r="J391" s="44" t="s">
        <v>129</v>
      </c>
      <c r="K391" s="44" t="s">
        <v>84</v>
      </c>
      <c r="L391" s="50" t="s">
        <v>101</v>
      </c>
      <c r="M391" s="50" t="s">
        <v>77</v>
      </c>
      <c r="N391" s="50"/>
      <c r="O391" s="49"/>
      <c r="P391" s="50" t="str">
        <f t="shared" si="24"/>
        <v>ONAY</v>
      </c>
      <c r="Q391" s="28" t="s">
        <v>84</v>
      </c>
      <c r="R391" s="51" t="str">
        <f t="shared" si="25"/>
        <v/>
      </c>
      <c r="T391" s="41"/>
      <c r="U391" s="29">
        <f>IF($C391&lt;&gt;"",COUNTIF($C$2:C391,C391),"")</f>
        <v>2</v>
      </c>
      <c r="V391" s="29" t="str">
        <f t="shared" si="26"/>
        <v>Prof. Dr. Sibel DOĞAN GÜNAYDIN§2</v>
      </c>
      <c r="W391" s="29" t="str">
        <f>IF(U391=1,COUNTIF($U$2:U391,1),"")</f>
        <v/>
      </c>
      <c r="X391" s="29" t="str">
        <f t="shared" si="27"/>
        <v/>
      </c>
      <c r="Y391" s="29">
        <f>IF(AND(LEFT($B391,7)="SBA 26/",$D391&lt;&gt;"",$F391&lt;&gt;""),COUNTIFS($D$2:$D391,$D391,$B$2:$B391,"SBA 26/*",$F$2:$F391,"&lt;&gt;"),"")</f>
        <v>9</v>
      </c>
      <c r="Z391" s="29" t="str">
        <f>IF(Y391=1,COUNTIF($Y$2:Y391,1),"")</f>
        <v/>
      </c>
      <c r="AA391" s="29">
        <f>IF(AND(LEFT($B391,7)="SBA 26/",$C391&lt;&gt;"",$F391&lt;&gt;""),COUNTIFS($C$2:$C391,$C391,$B$2:$B391,"SBA 26/*",$F$2:$F391,"&lt;&gt;"),"")</f>
        <v>2</v>
      </c>
      <c r="AB391" s="29" t="str">
        <f>IF(AA391=1,COUNTIF($AA$2:AA391,1),"")</f>
        <v/>
      </c>
    </row>
    <row r="392" spans="1:28" ht="63" customHeight="1" x14ac:dyDescent="0.2">
      <c r="A392" s="43" t="s">
        <v>1909</v>
      </c>
      <c r="B392" s="43" t="s">
        <v>1910</v>
      </c>
      <c r="C392" s="44" t="s">
        <v>260</v>
      </c>
      <c r="D392" s="44" t="s">
        <v>169</v>
      </c>
      <c r="E392" s="45" t="s">
        <v>1911</v>
      </c>
      <c r="F392" s="45" t="s">
        <v>1912</v>
      </c>
      <c r="G392" s="46" t="s">
        <v>38</v>
      </c>
      <c r="H392" s="48">
        <v>46126</v>
      </c>
      <c r="I392" s="48">
        <v>46140</v>
      </c>
      <c r="J392" s="44" t="s">
        <v>75</v>
      </c>
      <c r="K392" s="44" t="s">
        <v>100</v>
      </c>
      <c r="L392" s="50" t="s">
        <v>77</v>
      </c>
      <c r="M392" s="50"/>
      <c r="N392" s="50"/>
      <c r="O392" s="49"/>
      <c r="P392" s="50" t="str">
        <f t="shared" si="24"/>
        <v>ONAY</v>
      </c>
      <c r="R392" s="51" t="str">
        <f t="shared" si="25"/>
        <v/>
      </c>
      <c r="T392" s="41"/>
      <c r="U392" s="29">
        <f>IF($C392&lt;&gt;"",COUNTIF($C$2:C392,C392),"")</f>
        <v>3</v>
      </c>
      <c r="V392" s="29" t="str">
        <f t="shared" si="26"/>
        <v>Prof. Dr. Ebru DAMADOĞLU§3</v>
      </c>
      <c r="W392" s="29" t="str">
        <f>IF(U392=1,COUNTIF($U$2:U392,1),"")</f>
        <v/>
      </c>
      <c r="X392" s="29" t="str">
        <f t="shared" si="27"/>
        <v/>
      </c>
      <c r="Y392" s="29">
        <f>IF(AND(LEFT($B392,7)="SBA 26/",$D392&lt;&gt;"",$F392&lt;&gt;""),COUNTIFS($D$2:$D392,$D392,$B$2:$B392,"SBA 26/*",$F$2:$F392,"&lt;&gt;"),"")</f>
        <v>14</v>
      </c>
      <c r="Z392" s="29" t="str">
        <f>IF(Y392=1,COUNTIF($Y$2:Y392,1),"")</f>
        <v/>
      </c>
      <c r="AA392" s="29">
        <f>IF(AND(LEFT($B392,7)="SBA 26/",$C392&lt;&gt;"",$F392&lt;&gt;""),COUNTIFS($C$2:$C392,$C392,$B$2:$B392,"SBA 26/*",$F$2:$F392,"&lt;&gt;"),"")</f>
        <v>3</v>
      </c>
      <c r="AB392" s="29" t="str">
        <f>IF(AA392=1,COUNTIF($AA$2:AA392,1),"")</f>
        <v/>
      </c>
    </row>
    <row r="393" spans="1:28" ht="63" customHeight="1" x14ac:dyDescent="0.2">
      <c r="A393" s="43" t="s">
        <v>1913</v>
      </c>
      <c r="B393" s="43" t="s">
        <v>1914</v>
      </c>
      <c r="C393" s="44" t="s">
        <v>800</v>
      </c>
      <c r="D393" s="44" t="s">
        <v>397</v>
      </c>
      <c r="E393" s="45" t="s">
        <v>1915</v>
      </c>
      <c r="F393" s="45" t="s">
        <v>1916</v>
      </c>
      <c r="G393" s="46" t="s">
        <v>38</v>
      </c>
      <c r="H393" s="48">
        <v>46127</v>
      </c>
      <c r="I393" s="48">
        <v>46140</v>
      </c>
      <c r="J393" s="44" t="s">
        <v>109</v>
      </c>
      <c r="K393" s="44" t="s">
        <v>92</v>
      </c>
      <c r="L393" s="50" t="s">
        <v>101</v>
      </c>
      <c r="M393" s="50" t="s">
        <v>77</v>
      </c>
      <c r="N393" s="50"/>
      <c r="O393" s="49"/>
      <c r="P393" s="50" t="str">
        <f t="shared" si="24"/>
        <v>ONAY</v>
      </c>
      <c r="Q393" s="28" t="s">
        <v>109</v>
      </c>
      <c r="R393" s="51" t="str">
        <f t="shared" si="25"/>
        <v/>
      </c>
      <c r="T393" s="41"/>
      <c r="U393" s="29">
        <f>IF($C393&lt;&gt;"",COUNTIF($C$2:C393,C393),"")</f>
        <v>2</v>
      </c>
      <c r="V393" s="29" t="str">
        <f t="shared" si="26"/>
        <v>Dr. Öğr. Üyesi Emre KARA§2</v>
      </c>
      <c r="W393" s="29" t="str">
        <f>IF(U393=1,COUNTIF($U$2:U393,1),"")</f>
        <v/>
      </c>
      <c r="X393" s="29" t="str">
        <f t="shared" si="27"/>
        <v/>
      </c>
      <c r="Y393" s="29">
        <f>IF(AND(LEFT($B393,7)="SBA 26/",$D393&lt;&gt;"",$F393&lt;&gt;""),COUNTIFS($D$2:$D393,$D393,$B$2:$B393,"SBA 26/*",$F$2:$F393,"&lt;&gt;"),"")</f>
        <v>11</v>
      </c>
      <c r="Z393" s="29" t="str">
        <f>IF(Y393=1,COUNTIF($Y$2:Y393,1),"")</f>
        <v/>
      </c>
      <c r="AA393" s="29">
        <f>IF(AND(LEFT($B393,7)="SBA 26/",$C393&lt;&gt;"",$F393&lt;&gt;""),COUNTIFS($C$2:$C393,$C393,$B$2:$B393,"SBA 26/*",$F$2:$F393,"&lt;&gt;"),"")</f>
        <v>2</v>
      </c>
      <c r="AB393" s="29" t="str">
        <f>IF(AA393=1,COUNTIF($AA$2:AA393,1),"")</f>
        <v/>
      </c>
    </row>
    <row r="394" spans="1:28" ht="47.25" customHeight="1" x14ac:dyDescent="0.2">
      <c r="A394" s="43" t="s">
        <v>1917</v>
      </c>
      <c r="B394" s="43" t="s">
        <v>1918</v>
      </c>
      <c r="C394" s="44" t="s">
        <v>1919</v>
      </c>
      <c r="D394" s="44" t="s">
        <v>88</v>
      </c>
      <c r="E394" s="45" t="s">
        <v>1920</v>
      </c>
      <c r="F394" s="45" t="s">
        <v>1921</v>
      </c>
      <c r="G394" s="46" t="s">
        <v>38</v>
      </c>
      <c r="H394" s="48">
        <v>46127</v>
      </c>
      <c r="I394" s="48">
        <v>46140</v>
      </c>
      <c r="J394" s="44" t="s">
        <v>92</v>
      </c>
      <c r="K394" s="44" t="s">
        <v>100</v>
      </c>
      <c r="L394" s="50" t="s">
        <v>77</v>
      </c>
      <c r="M394" s="50"/>
      <c r="N394" s="50"/>
      <c r="O394" s="49"/>
      <c r="P394" s="50" t="str">
        <f t="shared" si="24"/>
        <v>ONAY</v>
      </c>
      <c r="R394" s="51" t="str">
        <f t="shared" si="25"/>
        <v/>
      </c>
      <c r="T394" s="41"/>
      <c r="U394" s="29">
        <f>IF($C394&lt;&gt;"",COUNTIF($C$2:C394,C394),"")</f>
        <v>1</v>
      </c>
      <c r="V394" s="29" t="str">
        <f t="shared" si="26"/>
        <v>Dr. Öğr. Üyesi Ahmet Gürkan ERDEMİR§1</v>
      </c>
      <c r="W394" s="29">
        <f>IF(U394=1,COUNTIF($U$2:U394,1),"")</f>
        <v>221</v>
      </c>
      <c r="X394" s="29">
        <f t="shared" si="27"/>
        <v>113</v>
      </c>
      <c r="Y394" s="29">
        <f>IF(AND(LEFT($B394,7)="SBA 26/",$D394&lt;&gt;"",$F394&lt;&gt;""),COUNTIFS($D$2:$D394,$D394,$B$2:$B394,"SBA 26/*",$F$2:$F394,"&lt;&gt;"),"")</f>
        <v>15</v>
      </c>
      <c r="Z394" s="29" t="str">
        <f>IF(Y394=1,COUNTIF($Y$2:Y394,1),"")</f>
        <v/>
      </c>
      <c r="AA394" s="29">
        <f>IF(AND(LEFT($B394,7)="SBA 26/",$C394&lt;&gt;"",$F394&lt;&gt;""),COUNTIFS($C$2:$C394,$C394,$B$2:$B394,"SBA 26/*",$F$2:$F394,"&lt;&gt;"),"")</f>
        <v>1</v>
      </c>
      <c r="AB394" s="29">
        <f>IF(AA394=1,COUNTIF($AA$2:AA394,1),"")</f>
        <v>221</v>
      </c>
    </row>
    <row r="395" spans="1:28" ht="63" customHeight="1" x14ac:dyDescent="0.2">
      <c r="A395" s="43" t="s">
        <v>1922</v>
      </c>
      <c r="B395" s="43" t="s">
        <v>1923</v>
      </c>
      <c r="C395" s="44" t="s">
        <v>1924</v>
      </c>
      <c r="D395" s="44" t="s">
        <v>88</v>
      </c>
      <c r="E395" s="45" t="s">
        <v>1925</v>
      </c>
      <c r="F395" s="45" t="s">
        <v>1926</v>
      </c>
      <c r="G395" s="46" t="s">
        <v>38</v>
      </c>
      <c r="H395" s="48">
        <v>46127</v>
      </c>
      <c r="I395" s="48">
        <v>46140</v>
      </c>
      <c r="J395" s="44" t="s">
        <v>92</v>
      </c>
      <c r="K395" s="44" t="s">
        <v>129</v>
      </c>
      <c r="L395" s="50" t="s">
        <v>77</v>
      </c>
      <c r="M395" s="50"/>
      <c r="N395" s="50"/>
      <c r="O395" s="49"/>
      <c r="P395" s="50" t="str">
        <f t="shared" si="24"/>
        <v>ONAY</v>
      </c>
      <c r="R395" s="51" t="str">
        <f t="shared" si="25"/>
        <v/>
      </c>
      <c r="T395" s="41"/>
      <c r="U395" s="29">
        <f>IF($C395&lt;&gt;"",COUNTIF($C$2:C395,C395),"")</f>
        <v>1</v>
      </c>
      <c r="V395" s="29" t="str">
        <f t="shared" si="26"/>
        <v>Doç. Dr. Rahşan GÖÇMEN§1</v>
      </c>
      <c r="W395" s="29">
        <f>IF(U395=1,COUNTIF($U$2:U395,1),"")</f>
        <v>222</v>
      </c>
      <c r="X395" s="29">
        <f t="shared" si="27"/>
        <v>95</v>
      </c>
      <c r="Y395" s="29">
        <f>IF(AND(LEFT($B395,7)="SBA 26/",$D395&lt;&gt;"",$F395&lt;&gt;""),COUNTIFS($D$2:$D395,$D395,$B$2:$B395,"SBA 26/*",$F$2:$F395,"&lt;&gt;"),"")</f>
        <v>16</v>
      </c>
      <c r="Z395" s="29" t="str">
        <f>IF(Y395=1,COUNTIF($Y$2:Y395,1),"")</f>
        <v/>
      </c>
      <c r="AA395" s="29">
        <f>IF(AND(LEFT($B395,7)="SBA 26/",$C395&lt;&gt;"",$F395&lt;&gt;""),COUNTIFS($C$2:$C395,$C395,$B$2:$B395,"SBA 26/*",$F$2:$F395,"&lt;&gt;"),"")</f>
        <v>1</v>
      </c>
      <c r="AB395" s="29">
        <f>IF(AA395=1,COUNTIF($AA$2:AA395,1),"")</f>
        <v>222</v>
      </c>
    </row>
    <row r="396" spans="1:28" ht="63" customHeight="1" x14ac:dyDescent="0.2">
      <c r="A396" s="43" t="s">
        <v>1927</v>
      </c>
      <c r="B396" s="43" t="s">
        <v>1928</v>
      </c>
      <c r="C396" s="44" t="s">
        <v>100</v>
      </c>
      <c r="D396" s="44" t="s">
        <v>133</v>
      </c>
      <c r="E396" s="45" t="s">
        <v>1929</v>
      </c>
      <c r="F396" s="45" t="s">
        <v>1930</v>
      </c>
      <c r="G396" s="46" t="s">
        <v>39</v>
      </c>
      <c r="H396" s="48">
        <v>46127</v>
      </c>
      <c r="I396" s="48">
        <v>46140</v>
      </c>
      <c r="J396" s="44" t="s">
        <v>108</v>
      </c>
      <c r="K396" s="44" t="s">
        <v>99</v>
      </c>
      <c r="L396" s="50" t="s">
        <v>77</v>
      </c>
      <c r="M396" s="50"/>
      <c r="N396" s="50"/>
      <c r="O396" s="49"/>
      <c r="P396" s="50" t="str">
        <f t="shared" si="24"/>
        <v>ONAY</v>
      </c>
      <c r="R396" s="51" t="str">
        <f t="shared" si="25"/>
        <v/>
      </c>
      <c r="T396" s="41"/>
      <c r="U396" s="29">
        <f>IF($C396&lt;&gt;"",COUNTIF($C$2:C396,C396),"")</f>
        <v>2</v>
      </c>
      <c r="V396" s="29" t="str">
        <f t="shared" si="26"/>
        <v>Doç. Dr. Burcu ERSÖZ ALAN§2</v>
      </c>
      <c r="W396" s="29" t="str">
        <f>IF(U396=1,COUNTIF($U$2:U396,1),"")</f>
        <v/>
      </c>
      <c r="X396" s="29" t="str">
        <f t="shared" si="27"/>
        <v/>
      </c>
      <c r="Y396" s="29">
        <f>IF(AND(LEFT($B396,7)="SBA 26/",$D396&lt;&gt;"",$F396&lt;&gt;""),COUNTIFS($D$2:$D396,$D396,$B$2:$B396,"SBA 26/*",$F$2:$F396,"&lt;&gt;"),"")</f>
        <v>11</v>
      </c>
      <c r="Z396" s="29" t="str">
        <f>IF(Y396=1,COUNTIF($Y$2:Y396,1),"")</f>
        <v/>
      </c>
      <c r="AA396" s="29">
        <f>IF(AND(LEFT($B396,7)="SBA 26/",$C396&lt;&gt;"",$F396&lt;&gt;""),COUNTIFS($C$2:$C396,$C396,$B$2:$B396,"SBA 26/*",$F$2:$F396,"&lt;&gt;"),"")</f>
        <v>2</v>
      </c>
      <c r="AB396" s="29" t="str">
        <f>IF(AA396=1,COUNTIF($AA$2:AA396,1),"")</f>
        <v/>
      </c>
    </row>
    <row r="397" spans="1:28" ht="79.5" customHeight="1" x14ac:dyDescent="0.2">
      <c r="A397" s="43" t="s">
        <v>1931</v>
      </c>
      <c r="B397" s="43" t="s">
        <v>1932</v>
      </c>
      <c r="C397" s="44" t="s">
        <v>1052</v>
      </c>
      <c r="D397" s="44" t="s">
        <v>113</v>
      </c>
      <c r="E397" s="45" t="s">
        <v>1642</v>
      </c>
      <c r="F397" s="45" t="s">
        <v>1933</v>
      </c>
      <c r="G397" s="46" t="s">
        <v>38</v>
      </c>
      <c r="H397" s="48">
        <v>46127</v>
      </c>
      <c r="I397" s="48">
        <v>46140</v>
      </c>
      <c r="J397" s="44" t="s">
        <v>91</v>
      </c>
      <c r="K397" s="44" t="s">
        <v>116</v>
      </c>
      <c r="L397" s="50" t="s">
        <v>101</v>
      </c>
      <c r="M397" s="50" t="s">
        <v>77</v>
      </c>
      <c r="N397" s="50"/>
      <c r="O397" s="49"/>
      <c r="P397" s="50" t="str">
        <f t="shared" si="24"/>
        <v>ONAY</v>
      </c>
      <c r="Q397" s="28" t="s">
        <v>116</v>
      </c>
      <c r="R397" s="51" t="str">
        <f t="shared" si="25"/>
        <v/>
      </c>
      <c r="T397" s="41"/>
      <c r="U397" s="29">
        <f>IF($C397&lt;&gt;"",COUNTIF($C$2:C397,C397),"")</f>
        <v>5</v>
      </c>
      <c r="V397" s="29" t="str">
        <f t="shared" si="26"/>
        <v>Prof. Dr. Mustafa CANKURTARAN§5</v>
      </c>
      <c r="W397" s="29" t="str">
        <f>IF(U397=1,COUNTIF($U$2:U397,1),"")</f>
        <v/>
      </c>
      <c r="X397" s="29" t="str">
        <f t="shared" si="27"/>
        <v/>
      </c>
      <c r="Y397" s="29">
        <f>IF(AND(LEFT($B397,7)="SBA 26/",$D397&lt;&gt;"",$F397&lt;&gt;""),COUNTIFS($D$2:$D397,$D397,$B$2:$B397,"SBA 26/*",$F$2:$F397,"&lt;&gt;"),"")</f>
        <v>61</v>
      </c>
      <c r="Z397" s="29" t="str">
        <f>IF(Y397=1,COUNTIF($Y$2:Y397,1),"")</f>
        <v/>
      </c>
      <c r="AA397" s="29">
        <f>IF(AND(LEFT($B397,7)="SBA 26/",$C397&lt;&gt;"",$F397&lt;&gt;""),COUNTIFS($C$2:$C397,$C397,$B$2:$B397,"SBA 26/*",$F$2:$F397,"&lt;&gt;"),"")</f>
        <v>5</v>
      </c>
      <c r="AB397" s="29" t="str">
        <f>IF(AA397=1,COUNTIF($AA$2:AA397,1),"")</f>
        <v/>
      </c>
    </row>
    <row r="398" spans="1:28" ht="94.5" customHeight="1" x14ac:dyDescent="0.2">
      <c r="A398" s="43" t="s">
        <v>1934</v>
      </c>
      <c r="B398" s="43" t="s">
        <v>1935</v>
      </c>
      <c r="C398" s="44" t="s">
        <v>1936</v>
      </c>
      <c r="D398" s="44" t="s">
        <v>150</v>
      </c>
      <c r="E398" s="45" t="s">
        <v>1937</v>
      </c>
      <c r="F398" s="45" t="s">
        <v>1938</v>
      </c>
      <c r="G398" s="46" t="s">
        <v>39</v>
      </c>
      <c r="H398" s="48">
        <v>46127</v>
      </c>
      <c r="I398" s="48">
        <v>46140</v>
      </c>
      <c r="J398" s="44" t="s">
        <v>109</v>
      </c>
      <c r="K398" s="44" t="s">
        <v>84</v>
      </c>
      <c r="L398" s="50" t="s">
        <v>101</v>
      </c>
      <c r="M398" s="50" t="s">
        <v>77</v>
      </c>
      <c r="N398" s="50"/>
      <c r="O398" s="49"/>
      <c r="P398" s="50" t="str">
        <f t="shared" si="24"/>
        <v>ONAY</v>
      </c>
      <c r="Q398" s="28" t="s">
        <v>109</v>
      </c>
      <c r="R398" s="51" t="str">
        <f t="shared" si="25"/>
        <v/>
      </c>
      <c r="T398" s="41"/>
      <c r="U398" s="29">
        <f>IF($C398&lt;&gt;"",COUNTIF($C$2:C398,C398),"")</f>
        <v>1</v>
      </c>
      <c r="V398" s="29" t="str">
        <f t="shared" si="26"/>
        <v>Prof. Dr. Pergin ATİLLA§1</v>
      </c>
      <c r="W398" s="29">
        <f>IF(U398=1,COUNTIF($U$2:U398,1),"")</f>
        <v>223</v>
      </c>
      <c r="X398" s="29">
        <f t="shared" si="27"/>
        <v>303</v>
      </c>
      <c r="Y398" s="29">
        <f>IF(AND(LEFT($B398,7)="SBA 26/",$D398&lt;&gt;"",$F398&lt;&gt;""),COUNTIFS($D$2:$D398,$D398,$B$2:$B398,"SBA 26/*",$F$2:$F398,"&lt;&gt;"),"")</f>
        <v>4</v>
      </c>
      <c r="Z398" s="29" t="str">
        <f>IF(Y398=1,COUNTIF($Y$2:Y398,1),"")</f>
        <v/>
      </c>
      <c r="AA398" s="29">
        <f>IF(AND(LEFT($B398,7)="SBA 26/",$C398&lt;&gt;"",$F398&lt;&gt;""),COUNTIFS($C$2:$C398,$C398,$B$2:$B398,"SBA 26/*",$F$2:$F398,"&lt;&gt;"),"")</f>
        <v>1</v>
      </c>
      <c r="AB398" s="29">
        <f>IF(AA398=1,COUNTIF($AA$2:AA398,1),"")</f>
        <v>223</v>
      </c>
    </row>
    <row r="399" spans="1:28" ht="78.75" customHeight="1" x14ac:dyDescent="0.2">
      <c r="A399" s="43" t="s">
        <v>1939</v>
      </c>
      <c r="B399" s="43" t="s">
        <v>1940</v>
      </c>
      <c r="C399" s="44" t="s">
        <v>1941</v>
      </c>
      <c r="D399" s="44" t="s">
        <v>1942</v>
      </c>
      <c r="E399" s="45" t="s">
        <v>1943</v>
      </c>
      <c r="F399" s="45" t="s">
        <v>1944</v>
      </c>
      <c r="G399" s="46" t="s">
        <v>41</v>
      </c>
      <c r="H399" s="48">
        <v>46127</v>
      </c>
      <c r="I399" s="48">
        <v>46140</v>
      </c>
      <c r="J399" s="44" t="s">
        <v>92</v>
      </c>
      <c r="K399" s="44" t="s">
        <v>100</v>
      </c>
      <c r="L399" s="50" t="s">
        <v>77</v>
      </c>
      <c r="M399" s="50"/>
      <c r="N399" s="50"/>
      <c r="O399" s="49"/>
      <c r="P399" s="50" t="str">
        <f t="shared" si="24"/>
        <v>ONAY</v>
      </c>
      <c r="R399" s="51" t="str">
        <f t="shared" si="25"/>
        <v/>
      </c>
      <c r="T399" s="41"/>
      <c r="U399" s="29">
        <f>IF($C399&lt;&gt;"",COUNTIF($C$2:C399,C399),"")</f>
        <v>1</v>
      </c>
      <c r="V399" s="29" t="str">
        <f t="shared" si="26"/>
        <v>Prof. Dr. Abdullah Ruhi SOYLU§1</v>
      </c>
      <c r="W399" s="29">
        <f>IF(U399=1,COUNTIF($U$2:U399,1),"")</f>
        <v>224</v>
      </c>
      <c r="X399" s="29">
        <f t="shared" si="27"/>
        <v>186</v>
      </c>
      <c r="Y399" s="29">
        <f>IF(AND(LEFT($B399,7)="SBA 26/",$D399&lt;&gt;"",$F399&lt;&gt;""),COUNTIFS($D$2:$D399,$D399,$B$2:$B399,"SBA 26/*",$F$2:$F399,"&lt;&gt;"),"")</f>
        <v>1</v>
      </c>
      <c r="Z399" s="29">
        <f>IF(Y399=1,COUNTIF($Y$2:Y399,1),"")</f>
        <v>65</v>
      </c>
      <c r="AA399" s="29">
        <f>IF(AND(LEFT($B399,7)="SBA 26/",$C399&lt;&gt;"",$F399&lt;&gt;""),COUNTIFS($C$2:$C399,$C399,$B$2:$B399,"SBA 26/*",$F$2:$F399,"&lt;&gt;"),"")</f>
        <v>1</v>
      </c>
      <c r="AB399" s="29">
        <f>IF(AA399=1,COUNTIF($AA$2:AA399,1),"")</f>
        <v>224</v>
      </c>
    </row>
    <row r="400" spans="1:28" ht="63" customHeight="1" x14ac:dyDescent="0.2">
      <c r="A400" s="43" t="s">
        <v>1945</v>
      </c>
      <c r="B400" s="43" t="s">
        <v>1946</v>
      </c>
      <c r="C400" s="44" t="s">
        <v>1947</v>
      </c>
      <c r="D400" s="44" t="s">
        <v>120</v>
      </c>
      <c r="E400" s="45" t="s">
        <v>1948</v>
      </c>
      <c r="F400" s="45" t="s">
        <v>1949</v>
      </c>
      <c r="G400" s="46" t="s">
        <v>38</v>
      </c>
      <c r="H400" s="48">
        <v>46127</v>
      </c>
      <c r="I400" s="48">
        <v>46140</v>
      </c>
      <c r="J400" s="44" t="s">
        <v>123</v>
      </c>
      <c r="K400" s="44" t="s">
        <v>99</v>
      </c>
      <c r="L400" s="50" t="s">
        <v>77</v>
      </c>
      <c r="M400" s="50"/>
      <c r="N400" s="50"/>
      <c r="O400" s="49"/>
      <c r="P400" s="50" t="str">
        <f t="shared" si="24"/>
        <v>ONAY</v>
      </c>
      <c r="R400" s="51" t="str">
        <f t="shared" si="25"/>
        <v/>
      </c>
      <c r="T400" s="41"/>
      <c r="U400" s="29">
        <f>IF($C400&lt;&gt;"",COUNTIF($C$2:C400,C400),"")</f>
        <v>1</v>
      </c>
      <c r="V400" s="29" t="str">
        <f t="shared" si="26"/>
        <v>Doç. Dr. Eda Ezgi ASLANTAŞ§1</v>
      </c>
      <c r="W400" s="29">
        <f>IF(U400=1,COUNTIF($U$2:U400,1),"")</f>
        <v>225</v>
      </c>
      <c r="X400" s="29">
        <f t="shared" si="27"/>
        <v>44</v>
      </c>
      <c r="Y400" s="29">
        <f>IF(AND(LEFT($B400,7)="SBA 26/",$D400&lt;&gt;"",$F400&lt;&gt;""),COUNTIFS($D$2:$D400,$D400,$B$2:$B400,"SBA 26/*",$F$2:$F400,"&lt;&gt;"),"")</f>
        <v>4</v>
      </c>
      <c r="Z400" s="29" t="str">
        <f>IF(Y400=1,COUNTIF($Y$2:Y400,1),"")</f>
        <v/>
      </c>
      <c r="AA400" s="29">
        <f>IF(AND(LEFT($B400,7)="SBA 26/",$C400&lt;&gt;"",$F400&lt;&gt;""),COUNTIFS($C$2:$C400,$C400,$B$2:$B400,"SBA 26/*",$F$2:$F400,"&lt;&gt;"),"")</f>
        <v>1</v>
      </c>
      <c r="AB400" s="29">
        <f>IF(AA400=1,COUNTIF($AA$2:AA400,1),"")</f>
        <v>225</v>
      </c>
    </row>
    <row r="401" spans="1:28" ht="126" customHeight="1" x14ac:dyDescent="0.2">
      <c r="A401" s="43" t="s">
        <v>1950</v>
      </c>
      <c r="B401" s="43" t="s">
        <v>1951</v>
      </c>
      <c r="C401" s="44" t="s">
        <v>724</v>
      </c>
      <c r="D401" s="44" t="s">
        <v>725</v>
      </c>
      <c r="E401" s="45" t="s">
        <v>1952</v>
      </c>
      <c r="F401" s="45" t="s">
        <v>1953</v>
      </c>
      <c r="G401" s="46" t="s">
        <v>38</v>
      </c>
      <c r="H401" s="48">
        <v>46128</v>
      </c>
      <c r="I401" s="48">
        <v>46140</v>
      </c>
      <c r="J401" s="44" t="s">
        <v>109</v>
      </c>
      <c r="K401" s="44" t="s">
        <v>75</v>
      </c>
      <c r="L401" s="50" t="s">
        <v>101</v>
      </c>
      <c r="M401" s="50"/>
      <c r="N401" s="50"/>
      <c r="O401" s="49"/>
      <c r="P401" s="50" t="str">
        <f t="shared" si="24"/>
        <v>DÜZELTME</v>
      </c>
      <c r="R401" s="51" t="str">
        <f t="shared" si="25"/>
        <v/>
      </c>
      <c r="T401" s="41"/>
      <c r="U401" s="29">
        <f>IF($C401&lt;&gt;"",COUNTIF($C$2:C401,C401),"")</f>
        <v>2</v>
      </c>
      <c r="V401" s="29" t="str">
        <f t="shared" si="26"/>
        <v>Doç. Dr. Ceren ÖZKUL KOÇAK§2</v>
      </c>
      <c r="W401" s="29" t="str">
        <f>IF(U401=1,COUNTIF($U$2:U401,1),"")</f>
        <v/>
      </c>
      <c r="X401" s="29" t="str">
        <f t="shared" si="27"/>
        <v/>
      </c>
      <c r="Y401" s="29">
        <f>IF(AND(LEFT($B401,7)="SBA 26/",$D401&lt;&gt;"",$F401&lt;&gt;""),COUNTIFS($D$2:$D401,$D401,$B$2:$B401,"SBA 26/*",$F$2:$F401,"&lt;&gt;"),"")</f>
        <v>2</v>
      </c>
      <c r="Z401" s="29" t="str">
        <f>IF(Y401=1,COUNTIF($Y$2:Y401,1),"")</f>
        <v/>
      </c>
      <c r="AA401" s="29">
        <f>IF(AND(LEFT($B401,7)="SBA 26/",$C401&lt;&gt;"",$F401&lt;&gt;""),COUNTIFS($C$2:$C401,$C401,$B$2:$B401,"SBA 26/*",$F$2:$F401,"&lt;&gt;"),"")</f>
        <v>2</v>
      </c>
      <c r="AB401" s="29" t="str">
        <f>IF(AA401=1,COUNTIF($AA$2:AA401,1),"")</f>
        <v/>
      </c>
    </row>
    <row r="402" spans="1:28" ht="78.75" customHeight="1" x14ac:dyDescent="0.2">
      <c r="A402" s="43" t="s">
        <v>1954</v>
      </c>
      <c r="B402" s="43" t="s">
        <v>1955</v>
      </c>
      <c r="C402" s="44" t="s">
        <v>1795</v>
      </c>
      <c r="D402" s="44" t="s">
        <v>113</v>
      </c>
      <c r="E402" s="45" t="s">
        <v>1956</v>
      </c>
      <c r="F402" s="45" t="s">
        <v>1957</v>
      </c>
      <c r="G402" s="46" t="s">
        <v>38</v>
      </c>
      <c r="H402" s="48">
        <v>46134</v>
      </c>
      <c r="I402" s="48">
        <v>46154</v>
      </c>
      <c r="J402" s="44" t="s">
        <v>129</v>
      </c>
      <c r="K402" s="44" t="s">
        <v>109</v>
      </c>
      <c r="L402" s="50" t="s">
        <v>77</v>
      </c>
      <c r="M402" s="50"/>
      <c r="N402" s="50"/>
      <c r="O402" s="49"/>
      <c r="P402" s="50" t="str">
        <f t="shared" si="24"/>
        <v>ONAY</v>
      </c>
      <c r="R402" s="51" t="str">
        <f t="shared" si="25"/>
        <v/>
      </c>
      <c r="T402" s="41"/>
      <c r="U402" s="29">
        <f>IF($C402&lt;&gt;"",COUNTIF($C$2:C402,C402),"")</f>
        <v>3</v>
      </c>
      <c r="V402" s="29" t="str">
        <f t="shared" si="26"/>
        <v>Prof. Dr. Umut KALYONCU§3</v>
      </c>
      <c r="W402" s="29" t="str">
        <f>IF(U402=1,COUNTIF($U$2:U402,1),"")</f>
        <v/>
      </c>
      <c r="X402" s="29" t="str">
        <f t="shared" si="27"/>
        <v/>
      </c>
      <c r="Y402" s="29">
        <f>IF(AND(LEFT($B402,7)="SBA 26/",$D402&lt;&gt;"",$F402&lt;&gt;""),COUNTIFS($D$2:$D402,$D402,$B$2:$B402,"SBA 26/*",$F$2:$F402,"&lt;&gt;"),"")</f>
        <v>62</v>
      </c>
      <c r="Z402" s="29" t="str">
        <f>IF(Y402=1,COUNTIF($Y$2:Y402,1),"")</f>
        <v/>
      </c>
      <c r="AA402" s="29">
        <f>IF(AND(LEFT($B402,7)="SBA 26/",$C402&lt;&gt;"",$F402&lt;&gt;""),COUNTIFS($C$2:$C402,$C402,$B$2:$B402,"SBA 26/*",$F$2:$F402,"&lt;&gt;"),"")</f>
        <v>3</v>
      </c>
      <c r="AB402" s="29" t="str">
        <f>IF(AA402=1,COUNTIF($AA$2:AA402,1),"")</f>
        <v/>
      </c>
    </row>
    <row r="403" spans="1:28" ht="63" customHeight="1" x14ac:dyDescent="0.2">
      <c r="A403" s="43" t="s">
        <v>1958</v>
      </c>
      <c r="B403" s="43" t="s">
        <v>1959</v>
      </c>
      <c r="C403" s="44" t="s">
        <v>192</v>
      </c>
      <c r="D403" s="44" t="s">
        <v>193</v>
      </c>
      <c r="E403" s="45" t="s">
        <v>840</v>
      </c>
      <c r="F403" s="45" t="s">
        <v>1960</v>
      </c>
      <c r="G403" s="46" t="s">
        <v>38</v>
      </c>
      <c r="H403" s="48">
        <v>46134</v>
      </c>
      <c r="I403" s="48">
        <v>46154</v>
      </c>
      <c r="J403" s="44" t="s">
        <v>91</v>
      </c>
      <c r="K403" s="44" t="s">
        <v>84</v>
      </c>
      <c r="L403" s="50"/>
      <c r="M403" s="50"/>
      <c r="N403" s="50"/>
      <c r="O403" s="49"/>
      <c r="P403" s="50">
        <f t="shared" si="24"/>
        <v>0</v>
      </c>
      <c r="R403" s="51" t="str">
        <f t="shared" si="25"/>
        <v/>
      </c>
      <c r="T403" s="41"/>
      <c r="U403" s="29">
        <f>IF($C403&lt;&gt;"",COUNTIF($C$2:C403,C403),"")</f>
        <v>7</v>
      </c>
      <c r="V403" s="29" t="str">
        <f t="shared" si="26"/>
        <v>Dr. Öğr. Üyesi Figen BEZCİ AYGÜN§7</v>
      </c>
      <c r="W403" s="29" t="str">
        <f>IF(U403=1,COUNTIF($U$2:U403,1),"")</f>
        <v/>
      </c>
      <c r="X403" s="29" t="str">
        <f t="shared" si="27"/>
        <v/>
      </c>
      <c r="Y403" s="29">
        <f>IF(AND(LEFT($B403,7)="SBA 26/",$D403&lt;&gt;"",$F403&lt;&gt;""),COUNTIFS($D$2:$D403,$D403,$B$2:$B403,"SBA 26/*",$F$2:$F403,"&lt;&gt;"),"")</f>
        <v>12</v>
      </c>
      <c r="Z403" s="29" t="str">
        <f>IF(Y403=1,COUNTIF($Y$2:Y403,1),"")</f>
        <v/>
      </c>
      <c r="AA403" s="29">
        <f>IF(AND(LEFT($B403,7)="SBA 26/",$C403&lt;&gt;"",$F403&lt;&gt;""),COUNTIFS($C$2:$C403,$C403,$B$2:$B403,"SBA 26/*",$F$2:$F403,"&lt;&gt;"),"")</f>
        <v>7</v>
      </c>
      <c r="AB403" s="29" t="str">
        <f>IF(AA403=1,COUNTIF($AA$2:AA403,1),"")</f>
        <v/>
      </c>
    </row>
    <row r="404" spans="1:28" ht="78.75" customHeight="1" x14ac:dyDescent="0.2">
      <c r="A404" s="43" t="s">
        <v>1961</v>
      </c>
      <c r="B404" s="43" t="s">
        <v>1962</v>
      </c>
      <c r="C404" s="44" t="s">
        <v>1963</v>
      </c>
      <c r="D404" s="44" t="s">
        <v>414</v>
      </c>
      <c r="E404" s="45" t="s">
        <v>1964</v>
      </c>
      <c r="F404" s="45" t="s">
        <v>1965</v>
      </c>
      <c r="G404" s="46" t="s">
        <v>38</v>
      </c>
      <c r="H404" s="48">
        <v>46134</v>
      </c>
      <c r="I404" s="48">
        <v>46154</v>
      </c>
      <c r="J404" s="44" t="s">
        <v>123</v>
      </c>
      <c r="K404" s="44" t="s">
        <v>116</v>
      </c>
      <c r="L404" s="50" t="s">
        <v>77</v>
      </c>
      <c r="M404" s="50"/>
      <c r="N404" s="50"/>
      <c r="O404" s="49"/>
      <c r="P404" s="50" t="str">
        <f t="shared" si="24"/>
        <v>ONAY</v>
      </c>
      <c r="R404" s="51" t="str">
        <f t="shared" si="25"/>
        <v/>
      </c>
      <c r="T404" s="41"/>
      <c r="U404" s="29">
        <f>IF($C404&lt;&gt;"",COUNTIF($C$2:C404,C404),"")</f>
        <v>1</v>
      </c>
      <c r="V404" s="29" t="str">
        <f t="shared" si="26"/>
        <v>Öğr. Gör. Dt. Diler DENİZ§1</v>
      </c>
      <c r="W404" s="29">
        <f>IF(U404=1,COUNTIF($U$2:U404,1),"")</f>
        <v>226</v>
      </c>
      <c r="X404" s="29">
        <f t="shared" si="27"/>
        <v>185</v>
      </c>
      <c r="Y404" s="29">
        <f>IF(AND(LEFT($B404,7)="SBA 26/",$D404&lt;&gt;"",$F404&lt;&gt;""),COUNTIFS($D$2:$D404,$D404,$B$2:$B404,"SBA 26/*",$F$2:$F404,"&lt;&gt;"),"")</f>
        <v>5</v>
      </c>
      <c r="Z404" s="29" t="str">
        <f>IF(Y404=1,COUNTIF($Y$2:Y404,1),"")</f>
        <v/>
      </c>
      <c r="AA404" s="29">
        <f>IF(AND(LEFT($B404,7)="SBA 26/",$C404&lt;&gt;"",$F404&lt;&gt;""),COUNTIFS($C$2:$C404,$C404,$B$2:$B404,"SBA 26/*",$F$2:$F404,"&lt;&gt;"),"")</f>
        <v>1</v>
      </c>
      <c r="AB404" s="29">
        <f>IF(AA404=1,COUNTIF($AA$2:AA404,1),"")</f>
        <v>226</v>
      </c>
    </row>
    <row r="405" spans="1:28" ht="78.75" customHeight="1" x14ac:dyDescent="0.2">
      <c r="A405" s="43" t="s">
        <v>1966</v>
      </c>
      <c r="B405" s="43" t="s">
        <v>1967</v>
      </c>
      <c r="C405" s="44" t="s">
        <v>1968</v>
      </c>
      <c r="D405" s="44" t="s">
        <v>1664</v>
      </c>
      <c r="E405" s="45" t="s">
        <v>1969</v>
      </c>
      <c r="F405" s="45" t="s">
        <v>1970</v>
      </c>
      <c r="G405" s="46" t="s">
        <v>39</v>
      </c>
      <c r="H405" s="48">
        <v>46134</v>
      </c>
      <c r="I405" s="48">
        <v>46154</v>
      </c>
      <c r="J405" s="44" t="s">
        <v>75</v>
      </c>
      <c r="K405" s="44" t="s">
        <v>92</v>
      </c>
      <c r="L405" s="50" t="s">
        <v>101</v>
      </c>
      <c r="M405" s="50" t="s">
        <v>77</v>
      </c>
      <c r="N405" s="50"/>
      <c r="O405" s="49"/>
      <c r="P405" s="50" t="str">
        <f t="shared" si="24"/>
        <v>ONAY</v>
      </c>
      <c r="Q405" s="28" t="s">
        <v>75</v>
      </c>
      <c r="R405" s="51" t="str">
        <f t="shared" si="25"/>
        <v/>
      </c>
      <c r="T405" s="41"/>
      <c r="U405" s="29">
        <f>IF($C405&lt;&gt;"",COUNTIF($C$2:C405,C405),"")</f>
        <v>1</v>
      </c>
      <c r="V405" s="29" t="str">
        <f t="shared" si="26"/>
        <v>Prof. Dr. İncilay LAY§1</v>
      </c>
      <c r="W405" s="29">
        <f>IF(U405=1,COUNTIF($U$2:U405,1),"")</f>
        <v>227</v>
      </c>
      <c r="X405" s="29">
        <f t="shared" si="27"/>
        <v>255</v>
      </c>
      <c r="Y405" s="29">
        <f>IF(AND(LEFT($B405,7)="SBA 26/",$D405&lt;&gt;"",$F405&lt;&gt;""),COUNTIFS($D$2:$D405,$D405,$B$2:$B405,"SBA 26/*",$F$2:$F405,"&lt;&gt;"),"")</f>
        <v>2</v>
      </c>
      <c r="Z405" s="29" t="str">
        <f>IF(Y405=1,COUNTIF($Y$2:Y405,1),"")</f>
        <v/>
      </c>
      <c r="AA405" s="29">
        <f>IF(AND(LEFT($B405,7)="SBA 26/",$C405&lt;&gt;"",$F405&lt;&gt;""),COUNTIFS($C$2:$C405,$C405,$B$2:$B405,"SBA 26/*",$F$2:$F405,"&lt;&gt;"),"")</f>
        <v>1</v>
      </c>
      <c r="AB405" s="29">
        <f>IF(AA405=1,COUNTIF($AA$2:AA405,1),"")</f>
        <v>227</v>
      </c>
    </row>
    <row r="406" spans="1:28" ht="78.75" customHeight="1" x14ac:dyDescent="0.2">
      <c r="A406" s="43" t="s">
        <v>1971</v>
      </c>
      <c r="B406" s="43" t="s">
        <v>1972</v>
      </c>
      <c r="C406" s="44" t="s">
        <v>1973</v>
      </c>
      <c r="D406" s="44" t="s">
        <v>133</v>
      </c>
      <c r="E406" s="45" t="s">
        <v>1974</v>
      </c>
      <c r="F406" s="45" t="s">
        <v>1975</v>
      </c>
      <c r="G406" s="46" t="s">
        <v>38</v>
      </c>
      <c r="H406" s="48">
        <v>46134</v>
      </c>
      <c r="I406" s="48">
        <v>46154</v>
      </c>
      <c r="J406" s="44" t="s">
        <v>100</v>
      </c>
      <c r="K406" s="44" t="s">
        <v>99</v>
      </c>
      <c r="L406" s="50" t="s">
        <v>77</v>
      </c>
      <c r="M406" s="50"/>
      <c r="N406" s="50"/>
      <c r="O406" s="49"/>
      <c r="P406" s="50" t="str">
        <f t="shared" si="24"/>
        <v>ONAY</v>
      </c>
      <c r="R406" s="51" t="str">
        <f t="shared" si="25"/>
        <v/>
      </c>
      <c r="T406" s="41"/>
      <c r="U406" s="29">
        <f>IF($C406&lt;&gt;"",COUNTIF($C$2:C406,C406),"")</f>
        <v>1</v>
      </c>
      <c r="V406" s="29" t="str">
        <f t="shared" si="26"/>
        <v>Doç. Dr. Şükran Gülin EVİNÇ§1</v>
      </c>
      <c r="W406" s="29">
        <f>IF(U406=1,COUNTIF($U$2:U406,1),"")</f>
        <v>228</v>
      </c>
      <c r="X406" s="29">
        <f t="shared" si="27"/>
        <v>103</v>
      </c>
      <c r="Y406" s="29">
        <f>IF(AND(LEFT($B406,7)="SBA 26/",$D406&lt;&gt;"",$F406&lt;&gt;""),COUNTIFS($D$2:$D406,$D406,$B$2:$B406,"SBA 26/*",$F$2:$F406,"&lt;&gt;"),"")</f>
        <v>12</v>
      </c>
      <c r="Z406" s="29" t="str">
        <f>IF(Y406=1,COUNTIF($Y$2:Y406,1),"")</f>
        <v/>
      </c>
      <c r="AA406" s="29">
        <f>IF(AND(LEFT($B406,7)="SBA 26/",$C406&lt;&gt;"",$F406&lt;&gt;""),COUNTIFS($C$2:$C406,$C406,$B$2:$B406,"SBA 26/*",$F$2:$F406,"&lt;&gt;"),"")</f>
        <v>1</v>
      </c>
      <c r="AB406" s="29">
        <f>IF(AA406=1,COUNTIF($AA$2:AA406,1),"")</f>
        <v>228</v>
      </c>
    </row>
    <row r="407" spans="1:28" ht="78.75" customHeight="1" x14ac:dyDescent="0.2">
      <c r="A407" s="43" t="s">
        <v>1976</v>
      </c>
      <c r="B407" s="43" t="s">
        <v>1977</v>
      </c>
      <c r="C407" s="44" t="s">
        <v>144</v>
      </c>
      <c r="D407" s="44" t="s">
        <v>113</v>
      </c>
      <c r="E407" s="45" t="s">
        <v>1978</v>
      </c>
      <c r="F407" s="45" t="s">
        <v>1979</v>
      </c>
      <c r="G407" s="46" t="s">
        <v>38</v>
      </c>
      <c r="H407" s="48">
        <v>46134</v>
      </c>
      <c r="I407" s="48">
        <v>46154</v>
      </c>
      <c r="J407" s="44" t="s">
        <v>76</v>
      </c>
      <c r="K407" s="44" t="s">
        <v>116</v>
      </c>
      <c r="L407" s="50" t="s">
        <v>77</v>
      </c>
      <c r="M407" s="50"/>
      <c r="N407" s="50"/>
      <c r="O407" s="49"/>
      <c r="P407" s="50" t="str">
        <f t="shared" si="24"/>
        <v>ONAY</v>
      </c>
      <c r="R407" s="51" t="str">
        <f t="shared" si="25"/>
        <v/>
      </c>
      <c r="T407" s="41"/>
      <c r="U407" s="29">
        <f>IF($C407&lt;&gt;"",COUNTIF($C$2:C407,C407),"")</f>
        <v>2</v>
      </c>
      <c r="V407" s="29" t="str">
        <f t="shared" si="26"/>
        <v>Prof. Dr. Ömer KARADAĞ§2</v>
      </c>
      <c r="W407" s="29" t="str">
        <f>IF(U407=1,COUNTIF($U$2:U407,1),"")</f>
        <v/>
      </c>
      <c r="X407" s="29" t="str">
        <f t="shared" si="27"/>
        <v/>
      </c>
      <c r="Y407" s="29">
        <f>IF(AND(LEFT($B407,7)="SBA 26/",$D407&lt;&gt;"",$F407&lt;&gt;""),COUNTIFS($D$2:$D407,$D407,$B$2:$B407,"SBA 26/*",$F$2:$F407,"&lt;&gt;"),"")</f>
        <v>63</v>
      </c>
      <c r="Z407" s="29" t="str">
        <f>IF(Y407=1,COUNTIF($Y$2:Y407,1),"")</f>
        <v/>
      </c>
      <c r="AA407" s="29">
        <f>IF(AND(LEFT($B407,7)="SBA 26/",$C407&lt;&gt;"",$F407&lt;&gt;""),COUNTIFS($C$2:$C407,$C407,$B$2:$B407,"SBA 26/*",$F$2:$F407,"&lt;&gt;"),"")</f>
        <v>2</v>
      </c>
      <c r="AB407" s="29" t="str">
        <f>IF(AA407=1,COUNTIF($AA$2:AA407,1),"")</f>
        <v/>
      </c>
    </row>
    <row r="408" spans="1:28" ht="78.75" customHeight="1" x14ac:dyDescent="0.2">
      <c r="A408" s="43" t="s">
        <v>1980</v>
      </c>
      <c r="B408" s="43" t="s">
        <v>1981</v>
      </c>
      <c r="C408" s="44" t="s">
        <v>1092</v>
      </c>
      <c r="D408" s="44" t="s">
        <v>203</v>
      </c>
      <c r="E408" s="45" t="s">
        <v>1982</v>
      </c>
      <c r="F408" s="45" t="s">
        <v>1983</v>
      </c>
      <c r="G408" s="46" t="s">
        <v>41</v>
      </c>
      <c r="H408" s="48">
        <v>46134</v>
      </c>
      <c r="I408" s="48">
        <v>46154</v>
      </c>
      <c r="J408" s="44" t="s">
        <v>76</v>
      </c>
      <c r="K408" s="44" t="s">
        <v>92</v>
      </c>
      <c r="L408" s="50" t="s">
        <v>77</v>
      </c>
      <c r="M408" s="50"/>
      <c r="N408" s="50"/>
      <c r="O408" s="49"/>
      <c r="P408" s="50" t="str">
        <f t="shared" si="24"/>
        <v>ONAY</v>
      </c>
      <c r="R408" s="51" t="str">
        <f t="shared" si="25"/>
        <v/>
      </c>
      <c r="T408" s="41"/>
      <c r="U408" s="29">
        <f>IF($C408&lt;&gt;"",COUNTIF($C$2:C408,C408),"")</f>
        <v>3</v>
      </c>
      <c r="V408" s="29" t="str">
        <f t="shared" si="26"/>
        <v>Prof. Dr. Özgür UĞURLUOĞLU§3</v>
      </c>
      <c r="W408" s="29" t="str">
        <f>IF(U408=1,COUNTIF($U$2:U408,1),"")</f>
        <v/>
      </c>
      <c r="X408" s="29" t="str">
        <f t="shared" si="27"/>
        <v/>
      </c>
      <c r="Y408" s="29">
        <f>IF(AND(LEFT($B408,7)="SBA 26/",$D408&lt;&gt;"",$F408&lt;&gt;""),COUNTIFS($D$2:$D408,$D408,$B$2:$B408,"SBA 26/*",$F$2:$F408,"&lt;&gt;"),"")</f>
        <v>6</v>
      </c>
      <c r="Z408" s="29" t="str">
        <f>IF(Y408=1,COUNTIF($Y$2:Y408,1),"")</f>
        <v/>
      </c>
      <c r="AA408" s="29">
        <f>IF(AND(LEFT($B408,7)="SBA 26/",$C408&lt;&gt;"",$F408&lt;&gt;""),COUNTIFS($C$2:$C408,$C408,$B$2:$B408,"SBA 26/*",$F$2:$F408,"&lt;&gt;"),"")</f>
        <v>3</v>
      </c>
      <c r="AB408" s="29" t="str">
        <f>IF(AA408=1,COUNTIF($AA$2:AA408,1),"")</f>
        <v/>
      </c>
    </row>
    <row r="409" spans="1:28" ht="63.75" customHeight="1" x14ac:dyDescent="0.2">
      <c r="A409" s="43" t="s">
        <v>1984</v>
      </c>
      <c r="B409" s="43" t="s">
        <v>1985</v>
      </c>
      <c r="C409" s="44" t="s">
        <v>1353</v>
      </c>
      <c r="D409" s="44" t="s">
        <v>113</v>
      </c>
      <c r="E409" s="45" t="s">
        <v>1986</v>
      </c>
      <c r="F409" s="45" t="s">
        <v>1987</v>
      </c>
      <c r="G409" s="46" t="s">
        <v>38</v>
      </c>
      <c r="H409" s="48">
        <v>46134</v>
      </c>
      <c r="I409" s="48">
        <v>46154</v>
      </c>
      <c r="J409" s="44" t="s">
        <v>91</v>
      </c>
      <c r="K409" s="44" t="s">
        <v>129</v>
      </c>
      <c r="L409" s="50" t="s">
        <v>101</v>
      </c>
      <c r="M409" s="50"/>
      <c r="N409" s="50"/>
      <c r="O409" s="49"/>
      <c r="P409" s="50" t="str">
        <f t="shared" si="24"/>
        <v>DÜZELTME</v>
      </c>
      <c r="R409" s="51" t="str">
        <f t="shared" si="25"/>
        <v/>
      </c>
      <c r="T409" s="41"/>
      <c r="U409" s="29">
        <f>IF($C409&lt;&gt;"",COUNTIF($C$2:C409,C409),"")</f>
        <v>6</v>
      </c>
      <c r="V409" s="29" t="str">
        <f t="shared" si="26"/>
        <v>Prof. Dr. Burcu Balam DOĞU§6</v>
      </c>
      <c r="W409" s="29" t="str">
        <f>IF(U409=1,COUNTIF($U$2:U409,1),"")</f>
        <v/>
      </c>
      <c r="X409" s="29" t="str">
        <f t="shared" si="27"/>
        <v/>
      </c>
      <c r="Y409" s="29">
        <f>IF(AND(LEFT($B409,7)="SBA 26/",$D409&lt;&gt;"",$F409&lt;&gt;""),COUNTIFS($D$2:$D409,$D409,$B$2:$B409,"SBA 26/*",$F$2:$F409,"&lt;&gt;"),"")</f>
        <v>64</v>
      </c>
      <c r="Z409" s="29" t="str">
        <f>IF(Y409=1,COUNTIF($Y$2:Y409,1),"")</f>
        <v/>
      </c>
      <c r="AA409" s="29">
        <f>IF(AND(LEFT($B409,7)="SBA 26/",$C409&lt;&gt;"",$F409&lt;&gt;""),COUNTIFS($C$2:$C409,$C409,$B$2:$B409,"SBA 26/*",$F$2:$F409,"&lt;&gt;"),"")</f>
        <v>6</v>
      </c>
      <c r="AB409" s="29" t="str">
        <f>IF(AA409=1,COUNTIF($AA$2:AA409,1),"")</f>
        <v/>
      </c>
    </row>
    <row r="410" spans="1:28" ht="78.75" customHeight="1" x14ac:dyDescent="0.2">
      <c r="A410" s="43" t="s">
        <v>1988</v>
      </c>
      <c r="B410" s="43" t="s">
        <v>1989</v>
      </c>
      <c r="C410" s="44" t="s">
        <v>112</v>
      </c>
      <c r="D410" s="44" t="s">
        <v>113</v>
      </c>
      <c r="E410" s="45" t="s">
        <v>1990</v>
      </c>
      <c r="F410" s="45" t="s">
        <v>1991</v>
      </c>
      <c r="G410" s="46" t="s">
        <v>38</v>
      </c>
      <c r="H410" s="48">
        <v>46134</v>
      </c>
      <c r="I410" s="48">
        <v>46154</v>
      </c>
      <c r="J410" s="44" t="s">
        <v>109</v>
      </c>
      <c r="K410" s="44" t="s">
        <v>116</v>
      </c>
      <c r="L410" s="50" t="s">
        <v>77</v>
      </c>
      <c r="M410" s="50"/>
      <c r="N410" s="50"/>
      <c r="O410" s="49"/>
      <c r="P410" s="50" t="str">
        <f t="shared" si="24"/>
        <v>ONAY</v>
      </c>
      <c r="R410" s="51" t="str">
        <f t="shared" si="25"/>
        <v/>
      </c>
      <c r="T410" s="41"/>
      <c r="U410" s="29">
        <f>IF($C410&lt;&gt;"",COUNTIF($C$2:C410,C410),"")</f>
        <v>12</v>
      </c>
      <c r="V410" s="29" t="str">
        <f t="shared" si="26"/>
        <v>Prof. Dr. Meltem Gülhan HALİL§12</v>
      </c>
      <c r="W410" s="29" t="str">
        <f>IF(U410=1,COUNTIF($U$2:U410,1),"")</f>
        <v/>
      </c>
      <c r="X410" s="29" t="str">
        <f t="shared" si="27"/>
        <v/>
      </c>
      <c r="Y410" s="29">
        <f>IF(AND(LEFT($B410,7)="SBA 26/",$D410&lt;&gt;"",$F410&lt;&gt;""),COUNTIFS($D$2:$D410,$D410,$B$2:$B410,"SBA 26/*",$F$2:$F410,"&lt;&gt;"),"")</f>
        <v>65</v>
      </c>
      <c r="Z410" s="29" t="str">
        <f>IF(Y410=1,COUNTIF($Y$2:Y410,1),"")</f>
        <v/>
      </c>
      <c r="AA410" s="29">
        <f>IF(AND(LEFT($B410,7)="SBA 26/",$C410&lt;&gt;"",$F410&lt;&gt;""),COUNTIFS($C$2:$C410,$C410,$B$2:$B410,"SBA 26/*",$F$2:$F410,"&lt;&gt;"),"")</f>
        <v>12</v>
      </c>
      <c r="AB410" s="29" t="str">
        <f>IF(AA410=1,COUNTIF($AA$2:AA410,1),"")</f>
        <v/>
      </c>
    </row>
    <row r="411" spans="1:28" ht="63" customHeight="1" x14ac:dyDescent="0.2">
      <c r="A411" s="43" t="s">
        <v>1992</v>
      </c>
      <c r="B411" s="43" t="s">
        <v>1993</v>
      </c>
      <c r="C411" s="44" t="s">
        <v>524</v>
      </c>
      <c r="D411" s="44" t="s">
        <v>113</v>
      </c>
      <c r="E411" s="45" t="s">
        <v>1994</v>
      </c>
      <c r="F411" s="45" t="s">
        <v>1995</v>
      </c>
      <c r="G411" s="46" t="s">
        <v>38</v>
      </c>
      <c r="H411" s="48">
        <v>46134</v>
      </c>
      <c r="I411" s="48">
        <v>46154</v>
      </c>
      <c r="J411" s="44" t="s">
        <v>84</v>
      </c>
      <c r="K411" s="44" t="s">
        <v>123</v>
      </c>
      <c r="L411" s="50" t="s">
        <v>77</v>
      </c>
      <c r="M411" s="50"/>
      <c r="N411" s="50"/>
      <c r="O411" s="49"/>
      <c r="P411" s="50" t="str">
        <f t="shared" si="24"/>
        <v>ONAY</v>
      </c>
      <c r="R411" s="51" t="str">
        <f t="shared" si="25"/>
        <v/>
      </c>
      <c r="T411" s="41"/>
      <c r="U411" s="29">
        <f>IF($C411&lt;&gt;"",COUNTIF($C$2:C411,C411),"")</f>
        <v>4</v>
      </c>
      <c r="V411" s="29" t="str">
        <f t="shared" si="26"/>
        <v>Doç. Dr. Mert EŞME§4</v>
      </c>
      <c r="W411" s="29" t="str">
        <f>IF(U411=1,COUNTIF($U$2:U411,1),"")</f>
        <v/>
      </c>
      <c r="X411" s="29" t="str">
        <f t="shared" si="27"/>
        <v/>
      </c>
      <c r="Y411" s="29">
        <f>IF(AND(LEFT($B411,7)="SBA 26/",$D411&lt;&gt;"",$F411&lt;&gt;""),COUNTIFS($D$2:$D411,$D411,$B$2:$B411,"SBA 26/*",$F$2:$F411,"&lt;&gt;"),"")</f>
        <v>66</v>
      </c>
      <c r="Z411" s="29" t="str">
        <f>IF(Y411=1,COUNTIF($Y$2:Y411,1),"")</f>
        <v/>
      </c>
      <c r="AA411" s="29">
        <f>IF(AND(LEFT($B411,7)="SBA 26/",$C411&lt;&gt;"",$F411&lt;&gt;""),COUNTIFS($C$2:$C411,$C411,$B$2:$B411,"SBA 26/*",$F$2:$F411,"&lt;&gt;"),"")</f>
        <v>4</v>
      </c>
      <c r="AB411" s="29" t="str">
        <f>IF(AA411=1,COUNTIF($AA$2:AA411,1),"")</f>
        <v/>
      </c>
    </row>
    <row r="412" spans="1:28" ht="78.75" customHeight="1" x14ac:dyDescent="0.2">
      <c r="A412" s="43" t="s">
        <v>1996</v>
      </c>
      <c r="B412" s="43" t="s">
        <v>1997</v>
      </c>
      <c r="C412" s="44" t="s">
        <v>1998</v>
      </c>
      <c r="D412" s="44" t="s">
        <v>1595</v>
      </c>
      <c r="E412" s="45" t="s">
        <v>1999</v>
      </c>
      <c r="F412" s="45" t="s">
        <v>2000</v>
      </c>
      <c r="G412" s="46" t="s">
        <v>38</v>
      </c>
      <c r="H412" s="48">
        <v>46134</v>
      </c>
      <c r="I412" s="48">
        <v>46154</v>
      </c>
      <c r="J412" s="44" t="s">
        <v>123</v>
      </c>
      <c r="K412" s="44" t="s">
        <v>99</v>
      </c>
      <c r="L412" s="50" t="s">
        <v>77</v>
      </c>
      <c r="M412" s="50"/>
      <c r="N412" s="50"/>
      <c r="O412" s="49"/>
      <c r="P412" s="50" t="str">
        <f t="shared" si="24"/>
        <v>ONAY</v>
      </c>
      <c r="R412" s="51" t="str">
        <f t="shared" si="25"/>
        <v/>
      </c>
      <c r="T412" s="41"/>
      <c r="U412" s="29">
        <f>IF($C412&lt;&gt;"",COUNTIF($C$2:C412,C412),"")</f>
        <v>1</v>
      </c>
      <c r="V412" s="29" t="str">
        <f t="shared" si="26"/>
        <v>Prof. Dr. Melek Dilek TURGUT§1</v>
      </c>
      <c r="W412" s="29">
        <f>IF(U412=1,COUNTIF($U$2:U412,1),"")</f>
        <v>229</v>
      </c>
      <c r="X412" s="29">
        <f t="shared" si="27"/>
        <v>268</v>
      </c>
      <c r="Y412" s="29">
        <f>IF(AND(LEFT($B412,7)="SBA 26/",$D412&lt;&gt;"",$F412&lt;&gt;""),COUNTIFS($D$2:$D412,$D412,$B$2:$B412,"SBA 26/*",$F$2:$F412,"&lt;&gt;"),"")</f>
        <v>2</v>
      </c>
      <c r="Z412" s="29" t="str">
        <f>IF(Y412=1,COUNTIF($Y$2:Y412,1),"")</f>
        <v/>
      </c>
      <c r="AA412" s="29">
        <f>IF(AND(LEFT($B412,7)="SBA 26/",$C412&lt;&gt;"",$F412&lt;&gt;""),COUNTIFS($C$2:$C412,$C412,$B$2:$B412,"SBA 26/*",$F$2:$F412,"&lt;&gt;"),"")</f>
        <v>1</v>
      </c>
      <c r="AB412" s="29">
        <f>IF(AA412=1,COUNTIF($AA$2:AA412,1),"")</f>
        <v>229</v>
      </c>
    </row>
    <row r="413" spans="1:28" ht="94.5" customHeight="1" x14ac:dyDescent="0.2">
      <c r="A413" s="43" t="s">
        <v>2001</v>
      </c>
      <c r="B413" s="43" t="s">
        <v>2002</v>
      </c>
      <c r="C413" s="44" t="s">
        <v>1161</v>
      </c>
      <c r="D413" s="44" t="s">
        <v>1162</v>
      </c>
      <c r="E413" s="45" t="s">
        <v>2003</v>
      </c>
      <c r="F413" s="45" t="s">
        <v>2004</v>
      </c>
      <c r="G413" s="46" t="s">
        <v>38</v>
      </c>
      <c r="H413" s="48">
        <v>46134</v>
      </c>
      <c r="I413" s="48">
        <v>46154</v>
      </c>
      <c r="J413" s="44" t="s">
        <v>123</v>
      </c>
      <c r="K413" s="44" t="s">
        <v>76</v>
      </c>
      <c r="L413" s="50" t="s">
        <v>77</v>
      </c>
      <c r="M413" s="50"/>
      <c r="N413" s="50"/>
      <c r="O413" s="49"/>
      <c r="P413" s="50" t="str">
        <f t="shared" si="24"/>
        <v>ONAY</v>
      </c>
      <c r="R413" s="51" t="str">
        <f t="shared" si="25"/>
        <v/>
      </c>
      <c r="T413" s="41"/>
      <c r="U413" s="29">
        <f>IF($C413&lt;&gt;"",COUNTIF($C$2:C413,C413),"")</f>
        <v>2</v>
      </c>
      <c r="V413" s="29" t="str">
        <f t="shared" si="26"/>
        <v>Prof. Dr. Betül ÇELEBİ SALTIK§2</v>
      </c>
      <c r="W413" s="29" t="str">
        <f>IF(U413=1,COUNTIF($U$2:U413,1),"")</f>
        <v/>
      </c>
      <c r="X413" s="29" t="str">
        <f t="shared" si="27"/>
        <v/>
      </c>
      <c r="Y413" s="29">
        <f>IF(AND(LEFT($B413,7)="SBA 26/",$D413&lt;&gt;"",$F413&lt;&gt;""),COUNTIFS($D$2:$D413,$D413,$B$2:$B413,"SBA 26/*",$F$2:$F413,"&lt;&gt;"),"")</f>
        <v>2</v>
      </c>
      <c r="Z413" s="29" t="str">
        <f>IF(Y413=1,COUNTIF($Y$2:Y413,1),"")</f>
        <v/>
      </c>
      <c r="AA413" s="29">
        <f>IF(AND(LEFT($B413,7)="SBA 26/",$C413&lt;&gt;"",$F413&lt;&gt;""),COUNTIFS($C$2:$C413,$C413,$B$2:$B413,"SBA 26/*",$F$2:$F413,"&lt;&gt;"),"")</f>
        <v>2</v>
      </c>
      <c r="AB413" s="29" t="str">
        <f>IF(AA413=1,COUNTIF($AA$2:AA413,1),"")</f>
        <v/>
      </c>
    </row>
    <row r="414" spans="1:28" ht="78.75" customHeight="1" x14ac:dyDescent="0.2">
      <c r="A414" s="43" t="s">
        <v>2005</v>
      </c>
      <c r="B414" s="43" t="s">
        <v>2006</v>
      </c>
      <c r="C414" s="44" t="s">
        <v>144</v>
      </c>
      <c r="D414" s="44" t="s">
        <v>113</v>
      </c>
      <c r="E414" s="45" t="s">
        <v>2007</v>
      </c>
      <c r="F414" s="45" t="s">
        <v>2008</v>
      </c>
      <c r="G414" s="46" t="s">
        <v>38</v>
      </c>
      <c r="H414" s="48">
        <v>46134</v>
      </c>
      <c r="I414" s="48">
        <v>46154</v>
      </c>
      <c r="J414" s="44" t="s">
        <v>99</v>
      </c>
      <c r="K414" s="44" t="s">
        <v>84</v>
      </c>
      <c r="L414" s="50" t="s">
        <v>77</v>
      </c>
      <c r="M414" s="50"/>
      <c r="N414" s="50"/>
      <c r="O414" s="49"/>
      <c r="P414" s="50" t="str">
        <f t="shared" si="24"/>
        <v>ONAY</v>
      </c>
      <c r="R414" s="51" t="str">
        <f t="shared" si="25"/>
        <v/>
      </c>
      <c r="T414" s="41"/>
      <c r="U414" s="29">
        <f>IF($C414&lt;&gt;"",COUNTIF($C$2:C414,C414),"")</f>
        <v>3</v>
      </c>
      <c r="V414" s="29" t="str">
        <f t="shared" si="26"/>
        <v>Prof. Dr. Ömer KARADAĞ§3</v>
      </c>
      <c r="W414" s="29" t="str">
        <f>IF(U414=1,COUNTIF($U$2:U414,1),"")</f>
        <v/>
      </c>
      <c r="X414" s="29" t="str">
        <f t="shared" si="27"/>
        <v/>
      </c>
      <c r="Y414" s="29">
        <f>IF(AND(LEFT($B414,7)="SBA 26/",$D414&lt;&gt;"",$F414&lt;&gt;""),COUNTIFS($D$2:$D414,$D414,$B$2:$B414,"SBA 26/*",$F$2:$F414,"&lt;&gt;"),"")</f>
        <v>67</v>
      </c>
      <c r="Z414" s="29" t="str">
        <f>IF(Y414=1,COUNTIF($Y$2:Y414,1),"")</f>
        <v/>
      </c>
      <c r="AA414" s="29">
        <f>IF(AND(LEFT($B414,7)="SBA 26/",$C414&lt;&gt;"",$F414&lt;&gt;""),COUNTIFS($C$2:$C414,$C414,$B$2:$B414,"SBA 26/*",$F$2:$F414,"&lt;&gt;"),"")</f>
        <v>3</v>
      </c>
      <c r="AB414" s="29" t="str">
        <f>IF(AA414=1,COUNTIF($AA$2:AA414,1),"")</f>
        <v/>
      </c>
    </row>
    <row r="415" spans="1:28" ht="78.75" customHeight="1" x14ac:dyDescent="0.2">
      <c r="A415" s="43" t="s">
        <v>2009</v>
      </c>
      <c r="B415" s="43" t="s">
        <v>2010</v>
      </c>
      <c r="C415" s="44" t="s">
        <v>2011</v>
      </c>
      <c r="D415" s="44" t="s">
        <v>385</v>
      </c>
      <c r="E415" s="45" t="s">
        <v>2012</v>
      </c>
      <c r="F415" s="45" t="s">
        <v>2013</v>
      </c>
      <c r="G415" s="46" t="s">
        <v>38</v>
      </c>
      <c r="H415" s="48">
        <v>46134</v>
      </c>
      <c r="I415" s="48">
        <v>46154</v>
      </c>
      <c r="J415" s="44" t="s">
        <v>109</v>
      </c>
      <c r="K415" s="44" t="s">
        <v>129</v>
      </c>
      <c r="L415" s="50" t="s">
        <v>77</v>
      </c>
      <c r="M415" s="50"/>
      <c r="N415" s="50"/>
      <c r="O415" s="49"/>
      <c r="P415" s="50" t="str">
        <f t="shared" si="24"/>
        <v>ONAY</v>
      </c>
      <c r="R415" s="51" t="str">
        <f t="shared" si="25"/>
        <v/>
      </c>
      <c r="T415" s="41"/>
      <c r="U415" s="29">
        <f>IF($C415&lt;&gt;"",COUNTIF($C$2:C415,C415),"")</f>
        <v>1</v>
      </c>
      <c r="V415" s="29" t="str">
        <f t="shared" si="26"/>
        <v>Doç. Dr. Burak ARDIÇLI§1</v>
      </c>
      <c r="W415" s="29">
        <f>IF(U415=1,COUNTIF($U$2:U415,1),"")</f>
        <v>230</v>
      </c>
      <c r="X415" s="29">
        <f t="shared" si="27"/>
        <v>28</v>
      </c>
      <c r="Y415" s="29">
        <f>IF(AND(LEFT($B415,7)="SBA 26/",$D415&lt;&gt;"",$F415&lt;&gt;""),COUNTIFS($D$2:$D415,$D415,$B$2:$B415,"SBA 26/*",$F$2:$F415,"&lt;&gt;"),"")</f>
        <v>8</v>
      </c>
      <c r="Z415" s="29" t="str">
        <f>IF(Y415=1,COUNTIF($Y$2:Y415,1),"")</f>
        <v/>
      </c>
      <c r="AA415" s="29">
        <f>IF(AND(LEFT($B415,7)="SBA 26/",$C415&lt;&gt;"",$F415&lt;&gt;""),COUNTIFS($C$2:$C415,$C415,$B$2:$B415,"SBA 26/*",$F$2:$F415,"&lt;&gt;"),"")</f>
        <v>1</v>
      </c>
      <c r="AB415" s="29">
        <f>IF(AA415=1,COUNTIF($AA$2:AA415,1),"")</f>
        <v>230</v>
      </c>
    </row>
    <row r="416" spans="1:28" ht="63" customHeight="1" x14ac:dyDescent="0.2">
      <c r="A416" s="43" t="s">
        <v>2014</v>
      </c>
      <c r="B416" s="43" t="s">
        <v>2015</v>
      </c>
      <c r="C416" s="44" t="s">
        <v>2016</v>
      </c>
      <c r="D416" s="44" t="s">
        <v>222</v>
      </c>
      <c r="E416" s="45" t="s">
        <v>2017</v>
      </c>
      <c r="F416" s="45" t="s">
        <v>2018</v>
      </c>
      <c r="G416" s="46" t="s">
        <v>39</v>
      </c>
      <c r="H416" s="48">
        <v>46134</v>
      </c>
      <c r="I416" s="48">
        <v>46154</v>
      </c>
      <c r="J416" s="44" t="s">
        <v>76</v>
      </c>
      <c r="K416" s="44" t="s">
        <v>100</v>
      </c>
      <c r="L416" s="50" t="s">
        <v>77</v>
      </c>
      <c r="M416" s="50"/>
      <c r="N416" s="50"/>
      <c r="O416" s="49"/>
      <c r="P416" s="50" t="str">
        <f t="shared" si="24"/>
        <v>ONAY</v>
      </c>
      <c r="R416" s="51" t="str">
        <f t="shared" si="25"/>
        <v/>
      </c>
      <c r="T416" s="41"/>
      <c r="U416" s="29">
        <f>IF($C416&lt;&gt;"",COUNTIF($C$2:C416,C416),"")</f>
        <v>1</v>
      </c>
      <c r="V416" s="29" t="str">
        <f t="shared" si="26"/>
        <v>Prof. Dr. Şevkiye Selin AYTAÇ EYÜPOĞLU§1</v>
      </c>
      <c r="W416" s="29">
        <f>IF(U416=1,COUNTIF($U$2:U416,1),"")</f>
        <v>231</v>
      </c>
      <c r="X416" s="29">
        <f t="shared" si="27"/>
        <v>326</v>
      </c>
      <c r="Y416" s="29">
        <f>IF(AND(LEFT($B416,7)="SBA 26/",$D416&lt;&gt;"",$F416&lt;&gt;""),COUNTIFS($D$2:$D416,$D416,$B$2:$B416,"SBA 26/*",$F$2:$F416,"&lt;&gt;"),"")</f>
        <v>58</v>
      </c>
      <c r="Z416" s="29" t="str">
        <f>IF(Y416=1,COUNTIF($Y$2:Y416,1),"")</f>
        <v/>
      </c>
      <c r="AA416" s="29">
        <f>IF(AND(LEFT($B416,7)="SBA 26/",$C416&lt;&gt;"",$F416&lt;&gt;""),COUNTIFS($C$2:$C416,$C416,$B$2:$B416,"SBA 26/*",$F$2:$F416,"&lt;&gt;"),"")</f>
        <v>1</v>
      </c>
      <c r="AB416" s="29">
        <f>IF(AA416=1,COUNTIF($AA$2:AA416,1),"")</f>
        <v>231</v>
      </c>
    </row>
    <row r="417" spans="1:28" ht="93" customHeight="1" x14ac:dyDescent="0.2">
      <c r="A417" s="43" t="s">
        <v>2019</v>
      </c>
      <c r="B417" s="43" t="s">
        <v>2020</v>
      </c>
      <c r="C417" s="44" t="s">
        <v>396</v>
      </c>
      <c r="D417" s="44" t="s">
        <v>397</v>
      </c>
      <c r="E417" s="45" t="s">
        <v>2021</v>
      </c>
      <c r="F417" s="45" t="s">
        <v>2022</v>
      </c>
      <c r="G417" s="46" t="s">
        <v>41</v>
      </c>
      <c r="H417" s="48">
        <v>46134</v>
      </c>
      <c r="I417" s="48">
        <v>46154</v>
      </c>
      <c r="J417" s="44" t="s">
        <v>84</v>
      </c>
      <c r="K417" s="44" t="s">
        <v>92</v>
      </c>
      <c r="L417" s="50" t="s">
        <v>206</v>
      </c>
      <c r="M417" s="50" t="s">
        <v>101</v>
      </c>
      <c r="N417" s="50"/>
      <c r="O417" s="49"/>
      <c r="P417" s="50" t="str">
        <f t="shared" si="24"/>
        <v>DÜZELTME</v>
      </c>
      <c r="R417" s="51" t="str">
        <f t="shared" si="25"/>
        <v/>
      </c>
      <c r="T417" s="41"/>
      <c r="U417" s="29">
        <f>IF($C417&lt;&gt;"",COUNTIF($C$2:C417,C417),"")</f>
        <v>5</v>
      </c>
      <c r="V417" s="29" t="str">
        <f t="shared" si="26"/>
        <v>Prof. Dr. Salih Kutay DEMİRKAN§5</v>
      </c>
      <c r="W417" s="29" t="str">
        <f>IF(U417=1,COUNTIF($U$2:U417,1),"")</f>
        <v/>
      </c>
      <c r="X417" s="29" t="str">
        <f t="shared" si="27"/>
        <v/>
      </c>
      <c r="Y417" s="29">
        <f>IF(AND(LEFT($B417,7)="SBA 26/",$D417&lt;&gt;"",$F417&lt;&gt;""),COUNTIFS($D$2:$D417,$D417,$B$2:$B417,"SBA 26/*",$F$2:$F417,"&lt;&gt;"),"")</f>
        <v>12</v>
      </c>
      <c r="Z417" s="29" t="str">
        <f>IF(Y417=1,COUNTIF($Y$2:Y417,1),"")</f>
        <v/>
      </c>
      <c r="AA417" s="29">
        <f>IF(AND(LEFT($B417,7)="SBA 26/",$C417&lt;&gt;"",$F417&lt;&gt;""),COUNTIFS($C$2:$C417,$C417,$B$2:$B417,"SBA 26/*",$F$2:$F417,"&lt;&gt;"),"")</f>
        <v>5</v>
      </c>
      <c r="AB417" s="29" t="str">
        <f>IF(AA417=1,COUNTIF($AA$2:AA417,1),"")</f>
        <v/>
      </c>
    </row>
    <row r="418" spans="1:28" ht="63" customHeight="1" x14ac:dyDescent="0.2">
      <c r="A418" s="43" t="s">
        <v>2023</v>
      </c>
      <c r="B418" s="43" t="s">
        <v>2024</v>
      </c>
      <c r="C418" s="44" t="s">
        <v>403</v>
      </c>
      <c r="D418" s="44" t="s">
        <v>404</v>
      </c>
      <c r="E418" s="45" t="s">
        <v>2025</v>
      </c>
      <c r="F418" s="45" t="s">
        <v>2026</v>
      </c>
      <c r="G418" s="46" t="s">
        <v>38</v>
      </c>
      <c r="H418" s="48">
        <v>46134</v>
      </c>
      <c r="I418" s="48">
        <v>46154</v>
      </c>
      <c r="J418" s="44" t="s">
        <v>92</v>
      </c>
      <c r="K418" s="44" t="s">
        <v>76</v>
      </c>
      <c r="L418" s="50" t="s">
        <v>77</v>
      </c>
      <c r="M418" s="50"/>
      <c r="N418" s="50"/>
      <c r="O418" s="49"/>
      <c r="P418" s="50" t="str">
        <f t="shared" si="24"/>
        <v>ONAY</v>
      </c>
      <c r="R418" s="51" t="str">
        <f t="shared" si="25"/>
        <v/>
      </c>
      <c r="T418" s="41"/>
      <c r="U418" s="29">
        <f>IF($C418&lt;&gt;"",COUNTIF($C$2:C418,C418),"")</f>
        <v>2</v>
      </c>
      <c r="V418" s="29" t="str">
        <f t="shared" si="26"/>
        <v>Prof. Dr. Hasan Serkan DOĞAN§2</v>
      </c>
      <c r="W418" s="29" t="str">
        <f>IF(U418=1,COUNTIF($U$2:U418,1),"")</f>
        <v/>
      </c>
      <c r="X418" s="29" t="str">
        <f t="shared" si="27"/>
        <v/>
      </c>
      <c r="Y418" s="29">
        <f>IF(AND(LEFT($B418,7)="SBA 26/",$D418&lt;&gt;"",$F418&lt;&gt;""),COUNTIFS($D$2:$D418,$D418,$B$2:$B418,"SBA 26/*",$F$2:$F418,"&lt;&gt;"),"")</f>
        <v>6</v>
      </c>
      <c r="Z418" s="29" t="str">
        <f>IF(Y418=1,COUNTIF($Y$2:Y418,1),"")</f>
        <v/>
      </c>
      <c r="AA418" s="29">
        <f>IF(AND(LEFT($B418,7)="SBA 26/",$C418&lt;&gt;"",$F418&lt;&gt;""),COUNTIFS($C$2:$C418,$C418,$B$2:$B418,"SBA 26/*",$F$2:$F418,"&lt;&gt;"),"")</f>
        <v>2</v>
      </c>
      <c r="AB418" s="29" t="str">
        <f>IF(AA418=1,COUNTIF($AA$2:AA418,1),"")</f>
        <v/>
      </c>
    </row>
    <row r="419" spans="1:28" ht="63" customHeight="1" x14ac:dyDescent="0.2">
      <c r="A419" s="43" t="s">
        <v>2027</v>
      </c>
      <c r="B419" s="43" t="s">
        <v>2028</v>
      </c>
      <c r="C419" s="44" t="s">
        <v>192</v>
      </c>
      <c r="D419" s="44" t="s">
        <v>193</v>
      </c>
      <c r="E419" s="45" t="s">
        <v>2029</v>
      </c>
      <c r="F419" s="45" t="s">
        <v>2030</v>
      </c>
      <c r="G419" s="46" t="s">
        <v>38</v>
      </c>
      <c r="H419" s="48">
        <v>46134</v>
      </c>
      <c r="I419" s="48">
        <v>46154</v>
      </c>
      <c r="J419" s="44" t="s">
        <v>91</v>
      </c>
      <c r="K419" s="44" t="s">
        <v>99</v>
      </c>
      <c r="L419" s="50"/>
      <c r="M419" s="50"/>
      <c r="N419" s="50"/>
      <c r="O419" s="49"/>
      <c r="P419" s="50">
        <f t="shared" si="24"/>
        <v>0</v>
      </c>
      <c r="R419" s="51" t="str">
        <f t="shared" si="25"/>
        <v/>
      </c>
      <c r="T419" s="41"/>
      <c r="U419" s="29">
        <f>IF($C419&lt;&gt;"",COUNTIF($C$2:C419,C419),"")</f>
        <v>8</v>
      </c>
      <c r="V419" s="29" t="str">
        <f t="shared" si="26"/>
        <v>Dr. Öğr. Üyesi Figen BEZCİ AYGÜN§8</v>
      </c>
      <c r="W419" s="29" t="str">
        <f>IF(U419=1,COUNTIF($U$2:U419,1),"")</f>
        <v/>
      </c>
      <c r="X419" s="29" t="str">
        <f t="shared" si="27"/>
        <v/>
      </c>
      <c r="Y419" s="29">
        <f>IF(AND(LEFT($B419,7)="SBA 26/",$D419&lt;&gt;"",$F419&lt;&gt;""),COUNTIFS($D$2:$D419,$D419,$B$2:$B419,"SBA 26/*",$F$2:$F419,"&lt;&gt;"),"")</f>
        <v>13</v>
      </c>
      <c r="Z419" s="29" t="str">
        <f>IF(Y419=1,COUNTIF($Y$2:Y419,1),"")</f>
        <v/>
      </c>
      <c r="AA419" s="29">
        <f>IF(AND(LEFT($B419,7)="SBA 26/",$C419&lt;&gt;"",$F419&lt;&gt;""),COUNTIFS($C$2:$C419,$C419,$B$2:$B419,"SBA 26/*",$F$2:$F419,"&lt;&gt;"),"")</f>
        <v>8</v>
      </c>
      <c r="AB419" s="29" t="str">
        <f>IF(AA419=1,COUNTIF($AA$2:AA419,1),"")</f>
        <v/>
      </c>
    </row>
    <row r="420" spans="1:28" ht="78.75" customHeight="1" x14ac:dyDescent="0.2">
      <c r="A420" s="43" t="s">
        <v>2031</v>
      </c>
      <c r="B420" s="43" t="s">
        <v>2032</v>
      </c>
      <c r="C420" s="44" t="s">
        <v>424</v>
      </c>
      <c r="D420" s="44" t="s">
        <v>364</v>
      </c>
      <c r="E420" s="45" t="s">
        <v>2033</v>
      </c>
      <c r="F420" s="45" t="s">
        <v>2034</v>
      </c>
      <c r="G420" s="46" t="s">
        <v>38</v>
      </c>
      <c r="H420" s="48">
        <v>46136</v>
      </c>
      <c r="I420" s="48">
        <v>46154</v>
      </c>
      <c r="J420" s="44" t="s">
        <v>108</v>
      </c>
      <c r="K420" s="44" t="s">
        <v>100</v>
      </c>
      <c r="L420" s="50" t="s">
        <v>206</v>
      </c>
      <c r="M420" s="50" t="s">
        <v>77</v>
      </c>
      <c r="N420" s="50"/>
      <c r="O420" s="49"/>
      <c r="P420" s="50" t="str">
        <f t="shared" si="24"/>
        <v>ONAY</v>
      </c>
      <c r="R420" s="51" t="str">
        <f t="shared" si="25"/>
        <v/>
      </c>
      <c r="T420" s="41"/>
      <c r="U420" s="29">
        <f>IF($C420&lt;&gt;"",COUNTIF($C$2:C420,C420),"")</f>
        <v>4</v>
      </c>
      <c r="V420" s="29" t="str">
        <f t="shared" si="26"/>
        <v>Prof. Dr. Fatma Gökçem YILDIZ SARIKAYA§4</v>
      </c>
      <c r="W420" s="29" t="str">
        <f>IF(U420=1,COUNTIF($U$2:U420,1),"")</f>
        <v/>
      </c>
      <c r="X420" s="29" t="str">
        <f t="shared" si="27"/>
        <v/>
      </c>
      <c r="Y420" s="29">
        <f>IF(AND(LEFT($B420,7)="SBA 26/",$D420&lt;&gt;"",$F420&lt;&gt;""),COUNTIFS($D$2:$D420,$D420,$B$2:$B420,"SBA 26/*",$F$2:$F420,"&lt;&gt;"),"")</f>
        <v>15</v>
      </c>
      <c r="Z420" s="29" t="str">
        <f>IF(Y420=1,COUNTIF($Y$2:Y420,1),"")</f>
        <v/>
      </c>
      <c r="AA420" s="29">
        <f>IF(AND(LEFT($B420,7)="SBA 26/",$C420&lt;&gt;"",$F420&lt;&gt;""),COUNTIFS($C$2:$C420,$C420,$B$2:$B420,"SBA 26/*",$F$2:$F420,"&lt;&gt;"),"")</f>
        <v>4</v>
      </c>
      <c r="AB420" s="29" t="str">
        <f>IF(AA420=1,COUNTIF($AA$2:AA420,1),"")</f>
        <v/>
      </c>
    </row>
    <row r="421" spans="1:28" ht="94.5" customHeight="1" x14ac:dyDescent="0.2">
      <c r="A421" s="43" t="s">
        <v>2035</v>
      </c>
      <c r="B421" s="43" t="s">
        <v>2036</v>
      </c>
      <c r="C421" s="44" t="s">
        <v>2037</v>
      </c>
      <c r="D421" s="44" t="s">
        <v>222</v>
      </c>
      <c r="E421" s="45" t="s">
        <v>2038</v>
      </c>
      <c r="F421" s="45" t="s">
        <v>2039</v>
      </c>
      <c r="G421" s="46" t="s">
        <v>38</v>
      </c>
      <c r="H421" s="48">
        <v>46136</v>
      </c>
      <c r="I421" s="48">
        <v>46154</v>
      </c>
      <c r="J421" s="44" t="s">
        <v>76</v>
      </c>
      <c r="K421" s="44" t="s">
        <v>109</v>
      </c>
      <c r="L421" s="50" t="s">
        <v>77</v>
      </c>
      <c r="M421" s="50"/>
      <c r="N421" s="50"/>
      <c r="O421" s="49"/>
      <c r="P421" s="50" t="str">
        <f t="shared" si="24"/>
        <v>ONAY</v>
      </c>
      <c r="R421" s="51" t="str">
        <f t="shared" si="25"/>
        <v/>
      </c>
      <c r="T421" s="41"/>
      <c r="U421" s="29">
        <f>IF($C421&lt;&gt;"",COUNTIF($C$2:C421,C421),"")</f>
        <v>1</v>
      </c>
      <c r="V421" s="29" t="str">
        <f t="shared" si="26"/>
        <v>Prof. Dr. Elmas Ebru YALÇIN§1</v>
      </c>
      <c r="W421" s="29">
        <f>IF(U421=1,COUNTIF($U$2:U421,1),"")</f>
        <v>232</v>
      </c>
      <c r="X421" s="29">
        <f t="shared" si="27"/>
        <v>223</v>
      </c>
      <c r="Y421" s="29">
        <f>IF(AND(LEFT($B421,7)="SBA 26/",$D421&lt;&gt;"",$F421&lt;&gt;""),COUNTIFS($D$2:$D421,$D421,$B$2:$B421,"SBA 26/*",$F$2:$F421,"&lt;&gt;"),"")</f>
        <v>59</v>
      </c>
      <c r="Z421" s="29" t="str">
        <f>IF(Y421=1,COUNTIF($Y$2:Y421,1),"")</f>
        <v/>
      </c>
      <c r="AA421" s="29">
        <f>IF(AND(LEFT($B421,7)="SBA 26/",$C421&lt;&gt;"",$F421&lt;&gt;""),COUNTIFS($C$2:$C421,$C421,$B$2:$B421,"SBA 26/*",$F$2:$F421,"&lt;&gt;"),"")</f>
        <v>1</v>
      </c>
      <c r="AB421" s="29">
        <f>IF(AA421=1,COUNTIF($AA$2:AA421,1),"")</f>
        <v>232</v>
      </c>
    </row>
    <row r="422" spans="1:28" ht="63" customHeight="1" x14ac:dyDescent="0.2">
      <c r="A422" s="43" t="s">
        <v>2040</v>
      </c>
      <c r="B422" s="43" t="s">
        <v>2041</v>
      </c>
      <c r="C422" s="44" t="s">
        <v>1228</v>
      </c>
      <c r="D422" s="44" t="s">
        <v>391</v>
      </c>
      <c r="E422" s="45" t="s">
        <v>2042</v>
      </c>
      <c r="F422" s="45" t="s">
        <v>2043</v>
      </c>
      <c r="G422" s="46" t="s">
        <v>38</v>
      </c>
      <c r="H422" s="48">
        <v>46136</v>
      </c>
      <c r="I422" s="48">
        <v>46154</v>
      </c>
      <c r="J422" s="44" t="s">
        <v>109</v>
      </c>
      <c r="K422" s="44" t="s">
        <v>129</v>
      </c>
      <c r="L422" s="50" t="s">
        <v>77</v>
      </c>
      <c r="M422" s="50"/>
      <c r="N422" s="50"/>
      <c r="O422" s="49"/>
      <c r="P422" s="50" t="str">
        <f t="shared" si="24"/>
        <v>ONAY</v>
      </c>
      <c r="R422" s="51" t="str">
        <f t="shared" si="25"/>
        <v/>
      </c>
      <c r="T422" s="41"/>
      <c r="U422" s="29">
        <f>IF($C422&lt;&gt;"",COUNTIF($C$2:C422,C422),"")</f>
        <v>2</v>
      </c>
      <c r="V422" s="29" t="str">
        <f t="shared" si="26"/>
        <v>Dr. Öğr. Üyesi Gökhan AYIK§2</v>
      </c>
      <c r="W422" s="29" t="str">
        <f>IF(U422=1,COUNTIF($U$2:U422,1),"")</f>
        <v/>
      </c>
      <c r="X422" s="29" t="str">
        <f t="shared" si="27"/>
        <v/>
      </c>
      <c r="Y422" s="29">
        <f>IF(AND(LEFT($B422,7)="SBA 26/",$D422&lt;&gt;"",$F422&lt;&gt;""),COUNTIFS($D$2:$D422,$D422,$B$2:$B422,"SBA 26/*",$F$2:$F422,"&lt;&gt;"),"")</f>
        <v>14</v>
      </c>
      <c r="Z422" s="29" t="str">
        <f>IF(Y422=1,COUNTIF($Y$2:Y422,1),"")</f>
        <v/>
      </c>
      <c r="AA422" s="29">
        <f>IF(AND(LEFT($B422,7)="SBA 26/",$C422&lt;&gt;"",$F422&lt;&gt;""),COUNTIFS($C$2:$C422,$C422,$B$2:$B422,"SBA 26/*",$F$2:$F422,"&lt;&gt;"),"")</f>
        <v>2</v>
      </c>
      <c r="AB422" s="29" t="str">
        <f>IF(AA422=1,COUNTIF($AA$2:AA422,1),"")</f>
        <v/>
      </c>
    </row>
    <row r="423" spans="1:28" ht="78.75" customHeight="1" x14ac:dyDescent="0.2">
      <c r="A423" s="43" t="s">
        <v>2044</v>
      </c>
      <c r="B423" s="43" t="s">
        <v>2045</v>
      </c>
      <c r="C423" s="44" t="s">
        <v>285</v>
      </c>
      <c r="D423" s="44" t="s">
        <v>222</v>
      </c>
      <c r="E423" s="45" t="s">
        <v>2046</v>
      </c>
      <c r="F423" s="45" t="s">
        <v>2047</v>
      </c>
      <c r="G423" s="46" t="s">
        <v>38</v>
      </c>
      <c r="H423" s="48">
        <v>46139</v>
      </c>
      <c r="I423" s="48">
        <v>46154</v>
      </c>
      <c r="J423" s="44" t="s">
        <v>109</v>
      </c>
      <c r="K423" s="44" t="s">
        <v>76</v>
      </c>
      <c r="L423" s="50" t="s">
        <v>101</v>
      </c>
      <c r="M423" s="50"/>
      <c r="N423" s="50"/>
      <c r="O423" s="49"/>
      <c r="P423" s="50" t="str">
        <f t="shared" si="24"/>
        <v>DÜZELTME</v>
      </c>
      <c r="R423" s="51" t="str">
        <f t="shared" si="25"/>
        <v/>
      </c>
      <c r="T423" s="41"/>
      <c r="U423" s="29">
        <f>IF($C423&lt;&gt;"",COUNTIF($C$2:C423,C423),"")</f>
        <v>9</v>
      </c>
      <c r="V423" s="29" t="str">
        <f t="shared" si="26"/>
        <v>Prof. Dr. Yasemin ÖZSÜREKCİ§9</v>
      </c>
      <c r="W423" s="29" t="str">
        <f>IF(U423=1,COUNTIF($U$2:U423,1),"")</f>
        <v/>
      </c>
      <c r="X423" s="29" t="str">
        <f t="shared" si="27"/>
        <v/>
      </c>
      <c r="Y423" s="29">
        <f>IF(AND(LEFT($B423,7)="SBA 26/",$D423&lt;&gt;"",$F423&lt;&gt;""),COUNTIFS($D$2:$D423,$D423,$B$2:$B423,"SBA 26/*",$F$2:$F423,"&lt;&gt;"),"")</f>
        <v>60</v>
      </c>
      <c r="Z423" s="29" t="str">
        <f>IF(Y423=1,COUNTIF($Y$2:Y423,1),"")</f>
        <v/>
      </c>
      <c r="AA423" s="29">
        <f>IF(AND(LEFT($B423,7)="SBA 26/",$C423&lt;&gt;"",$F423&lt;&gt;""),COUNTIFS($C$2:$C423,$C423,$B$2:$B423,"SBA 26/*",$F$2:$F423,"&lt;&gt;"),"")</f>
        <v>9</v>
      </c>
      <c r="AB423" s="29" t="str">
        <f>IF(AA423=1,COUNTIF($AA$2:AA423,1),"")</f>
        <v/>
      </c>
    </row>
    <row r="424" spans="1:28" ht="78.75" customHeight="1" x14ac:dyDescent="0.2">
      <c r="A424" s="43" t="s">
        <v>2048</v>
      </c>
      <c r="B424" s="43" t="s">
        <v>2049</v>
      </c>
      <c r="C424" s="44" t="s">
        <v>2050</v>
      </c>
      <c r="D424" s="44" t="s">
        <v>222</v>
      </c>
      <c r="E424" s="45" t="s">
        <v>2051</v>
      </c>
      <c r="F424" s="45" t="s">
        <v>2052</v>
      </c>
      <c r="G424" s="46" t="s">
        <v>38</v>
      </c>
      <c r="H424" s="48">
        <v>46139</v>
      </c>
      <c r="I424" s="48">
        <v>46154</v>
      </c>
      <c r="J424" s="44" t="s">
        <v>116</v>
      </c>
      <c r="K424" s="44" t="s">
        <v>129</v>
      </c>
      <c r="L424" s="50" t="s">
        <v>101</v>
      </c>
      <c r="M424" s="50" t="s">
        <v>77</v>
      </c>
      <c r="N424" s="50"/>
      <c r="O424" s="49"/>
      <c r="P424" s="50" t="str">
        <f t="shared" si="24"/>
        <v>ONAY</v>
      </c>
      <c r="Q424" s="28" t="s">
        <v>129</v>
      </c>
      <c r="R424" s="51" t="str">
        <f t="shared" si="25"/>
        <v/>
      </c>
      <c r="T424" s="41"/>
      <c r="U424" s="29">
        <f>IF($C424&lt;&gt;"",COUNTIF($C$2:C424,C424),"")</f>
        <v>1</v>
      </c>
      <c r="V424" s="29" t="str">
        <f t="shared" si="26"/>
        <v>Doç. Dr. Kısmet ÇIKI§1</v>
      </c>
      <c r="W424" s="29">
        <f>IF(U424=1,COUNTIF($U$2:U424,1),"")</f>
        <v>233</v>
      </c>
      <c r="X424" s="29">
        <f t="shared" si="27"/>
        <v>76</v>
      </c>
      <c r="Y424" s="29">
        <f>IF(AND(LEFT($B424,7)="SBA 26/",$D424&lt;&gt;"",$F424&lt;&gt;""),COUNTIFS($D$2:$D424,$D424,$B$2:$B424,"SBA 26/*",$F$2:$F424,"&lt;&gt;"),"")</f>
        <v>61</v>
      </c>
      <c r="Z424" s="29" t="str">
        <f>IF(Y424=1,COUNTIF($Y$2:Y424,1),"")</f>
        <v/>
      </c>
      <c r="AA424" s="29">
        <f>IF(AND(LEFT($B424,7)="SBA 26/",$C424&lt;&gt;"",$F424&lt;&gt;""),COUNTIFS($C$2:$C424,$C424,$B$2:$B424,"SBA 26/*",$F$2:$F424,"&lt;&gt;"),"")</f>
        <v>1</v>
      </c>
      <c r="AB424" s="29">
        <f>IF(AA424=1,COUNTIF($AA$2:AA424,1),"")</f>
        <v>233</v>
      </c>
    </row>
    <row r="425" spans="1:28" ht="94.5" customHeight="1" x14ac:dyDescent="0.2">
      <c r="A425" s="43" t="s">
        <v>2053</v>
      </c>
      <c r="B425" s="43" t="s">
        <v>2054</v>
      </c>
      <c r="C425" s="44" t="s">
        <v>795</v>
      </c>
      <c r="D425" s="44" t="s">
        <v>222</v>
      </c>
      <c r="E425" s="45" t="s">
        <v>2055</v>
      </c>
      <c r="F425" s="45" t="s">
        <v>2056</v>
      </c>
      <c r="G425" s="46" t="s">
        <v>38</v>
      </c>
      <c r="H425" s="48">
        <v>46139</v>
      </c>
      <c r="I425" s="48">
        <v>46154</v>
      </c>
      <c r="J425" s="44" t="s">
        <v>116</v>
      </c>
      <c r="K425" s="44" t="s">
        <v>76</v>
      </c>
      <c r="L425" s="50" t="s">
        <v>77</v>
      </c>
      <c r="M425" s="50"/>
      <c r="N425" s="50"/>
      <c r="O425" s="49"/>
      <c r="P425" s="50" t="str">
        <f t="shared" si="24"/>
        <v>ONAY</v>
      </c>
      <c r="R425" s="51" t="str">
        <f t="shared" si="25"/>
        <v/>
      </c>
      <c r="T425" s="41"/>
      <c r="U425" s="29">
        <f>IF($C425&lt;&gt;"",COUNTIF($C$2:C425,C425),"")</f>
        <v>2</v>
      </c>
      <c r="V425" s="29" t="str">
        <f t="shared" si="26"/>
        <v>Prof. Dr. Deniz DOĞRU ERSÖZ§2</v>
      </c>
      <c r="W425" s="29" t="str">
        <f>IF(U425=1,COUNTIF($U$2:U425,1),"")</f>
        <v/>
      </c>
      <c r="X425" s="29" t="str">
        <f t="shared" si="27"/>
        <v/>
      </c>
      <c r="Y425" s="29">
        <f>IF(AND(LEFT($B425,7)="SBA 26/",$D425&lt;&gt;"",$F425&lt;&gt;""),COUNTIFS($D$2:$D425,$D425,$B$2:$B425,"SBA 26/*",$F$2:$F425,"&lt;&gt;"),"")</f>
        <v>62</v>
      </c>
      <c r="Z425" s="29" t="str">
        <f>IF(Y425=1,COUNTIF($Y$2:Y425,1),"")</f>
        <v/>
      </c>
      <c r="AA425" s="29">
        <f>IF(AND(LEFT($B425,7)="SBA 26/",$C425&lt;&gt;"",$F425&lt;&gt;""),COUNTIFS($C$2:$C425,$C425,$B$2:$B425,"SBA 26/*",$F$2:$F425,"&lt;&gt;"),"")</f>
        <v>2</v>
      </c>
      <c r="AB425" s="29" t="str">
        <f>IF(AA425=1,COUNTIF($AA$2:AA425,1),"")</f>
        <v/>
      </c>
    </row>
    <row r="426" spans="1:28" ht="64.5" customHeight="1" x14ac:dyDescent="0.2">
      <c r="A426" s="43" t="s">
        <v>2057</v>
      </c>
      <c r="B426" s="43" t="s">
        <v>2058</v>
      </c>
      <c r="C426" s="44" t="s">
        <v>2059</v>
      </c>
      <c r="D426" s="44" t="s">
        <v>1493</v>
      </c>
      <c r="E426" s="45" t="s">
        <v>2060</v>
      </c>
      <c r="F426" s="45" t="s">
        <v>2061</v>
      </c>
      <c r="G426" s="46" t="s">
        <v>38</v>
      </c>
      <c r="H426" s="48">
        <v>46139</v>
      </c>
      <c r="I426" s="48">
        <v>46154</v>
      </c>
      <c r="J426" s="44" t="s">
        <v>92</v>
      </c>
      <c r="K426" s="44" t="s">
        <v>84</v>
      </c>
      <c r="L426" s="50" t="s">
        <v>77</v>
      </c>
      <c r="M426" s="50"/>
      <c r="N426" s="50"/>
      <c r="O426" s="49"/>
      <c r="P426" s="50" t="str">
        <f t="shared" si="24"/>
        <v>ONAY</v>
      </c>
      <c r="R426" s="51" t="str">
        <f t="shared" si="25"/>
        <v/>
      </c>
      <c r="T426" s="41"/>
      <c r="U426" s="29">
        <f>IF($C426&lt;&gt;"",COUNTIF($C$2:C426,C426),"")</f>
        <v>1</v>
      </c>
      <c r="V426" s="29" t="str">
        <f t="shared" si="26"/>
        <v>Prof. Dr. Alp USUBÜTÜN§1</v>
      </c>
      <c r="W426" s="29">
        <f>IF(U426=1,COUNTIF($U$2:U426,1),"")</f>
        <v>234</v>
      </c>
      <c r="X426" s="29">
        <f t="shared" si="27"/>
        <v>194</v>
      </c>
      <c r="Y426" s="29">
        <f>IF(AND(LEFT($B426,7)="SBA 26/",$D426&lt;&gt;"",$F426&lt;&gt;""),COUNTIFS($D$2:$D426,$D426,$B$2:$B426,"SBA 26/*",$F$2:$F426,"&lt;&gt;"),"")</f>
        <v>4</v>
      </c>
      <c r="Z426" s="29" t="str">
        <f>IF(Y426=1,COUNTIF($Y$2:Y426,1),"")</f>
        <v/>
      </c>
      <c r="AA426" s="29">
        <f>IF(AND(LEFT($B426,7)="SBA 26/",$C426&lt;&gt;"",$F426&lt;&gt;""),COUNTIFS($C$2:$C426,$C426,$B$2:$B426,"SBA 26/*",$F$2:$F426,"&lt;&gt;"),"")</f>
        <v>1</v>
      </c>
      <c r="AB426" s="29">
        <f>IF(AA426=1,COUNTIF($AA$2:AA426,1),"")</f>
        <v>234</v>
      </c>
    </row>
    <row r="427" spans="1:28" ht="75" customHeight="1" x14ac:dyDescent="0.2">
      <c r="A427" s="43" t="s">
        <v>2062</v>
      </c>
      <c r="B427" s="43" t="s">
        <v>2063</v>
      </c>
      <c r="C427" s="44" t="s">
        <v>1247</v>
      </c>
      <c r="D427" s="44" t="s">
        <v>222</v>
      </c>
      <c r="E427" s="45" t="s">
        <v>2064</v>
      </c>
      <c r="F427" s="45" t="s">
        <v>2065</v>
      </c>
      <c r="G427" s="46" t="s">
        <v>38</v>
      </c>
      <c r="H427" s="48">
        <v>46139</v>
      </c>
      <c r="I427" s="48">
        <v>46154</v>
      </c>
      <c r="J427" s="44" t="s">
        <v>75</v>
      </c>
      <c r="K427" s="44" t="s">
        <v>100</v>
      </c>
      <c r="L427" s="50" t="s">
        <v>77</v>
      </c>
      <c r="M427" s="50"/>
      <c r="N427" s="50"/>
      <c r="O427" s="49"/>
      <c r="P427" s="50" t="str">
        <f t="shared" si="24"/>
        <v>ONAY</v>
      </c>
      <c r="R427" s="51" t="str">
        <f t="shared" si="25"/>
        <v/>
      </c>
      <c r="T427" s="41"/>
      <c r="U427" s="29">
        <f>IF($C427&lt;&gt;"",COUNTIF($C$2:C427,C427),"")</f>
        <v>4</v>
      </c>
      <c r="V427" s="29" t="str">
        <f t="shared" si="26"/>
        <v>Prof. Dr. Şule ÜNAL CANGÜL§4</v>
      </c>
      <c r="W427" s="29" t="str">
        <f>IF(U427=1,COUNTIF($U$2:U427,1),"")</f>
        <v/>
      </c>
      <c r="X427" s="29" t="str">
        <f t="shared" si="27"/>
        <v/>
      </c>
      <c r="Y427" s="29">
        <f>IF(AND(LEFT($B427,7)="SBA 26/",$D427&lt;&gt;"",$F427&lt;&gt;""),COUNTIFS($D$2:$D427,$D427,$B$2:$B427,"SBA 26/*",$F$2:$F427,"&lt;&gt;"),"")</f>
        <v>63</v>
      </c>
      <c r="Z427" s="29" t="str">
        <f>IF(Y427=1,COUNTIF($Y$2:Y427,1),"")</f>
        <v/>
      </c>
      <c r="AA427" s="29">
        <f>IF(AND(LEFT($B427,7)="SBA 26/",$C427&lt;&gt;"",$F427&lt;&gt;""),COUNTIFS($C$2:$C427,$C427,$B$2:$B427,"SBA 26/*",$F$2:$F427,"&lt;&gt;"),"")</f>
        <v>4</v>
      </c>
      <c r="AB427" s="29" t="str">
        <f>IF(AA427=1,COUNTIF($AA$2:AA427,1),"")</f>
        <v/>
      </c>
    </row>
    <row r="428" spans="1:28" ht="63" customHeight="1" x14ac:dyDescent="0.2">
      <c r="A428" s="43" t="s">
        <v>2066</v>
      </c>
      <c r="B428" s="43" t="s">
        <v>2067</v>
      </c>
      <c r="C428" s="44" t="s">
        <v>1584</v>
      </c>
      <c r="D428" s="44" t="s">
        <v>113</v>
      </c>
      <c r="E428" s="45" t="s">
        <v>2068</v>
      </c>
      <c r="F428" s="45" t="s">
        <v>2069</v>
      </c>
      <c r="G428" s="46" t="s">
        <v>38</v>
      </c>
      <c r="H428" s="48">
        <v>46139</v>
      </c>
      <c r="I428" s="48">
        <v>46154</v>
      </c>
      <c r="J428" s="44" t="s">
        <v>91</v>
      </c>
      <c r="K428" s="44" t="s">
        <v>129</v>
      </c>
      <c r="L428" s="50" t="s">
        <v>101</v>
      </c>
      <c r="M428" s="50" t="s">
        <v>77</v>
      </c>
      <c r="N428" s="50"/>
      <c r="O428" s="49"/>
      <c r="P428" s="50" t="str">
        <f t="shared" si="24"/>
        <v>ONAY</v>
      </c>
      <c r="Q428" s="28" t="s">
        <v>129</v>
      </c>
      <c r="R428" s="51" t="str">
        <f t="shared" si="25"/>
        <v/>
      </c>
      <c r="T428" s="41"/>
      <c r="U428" s="29">
        <f>IF($C428&lt;&gt;"",COUNTIF($C$2:C428,C428),"")</f>
        <v>4</v>
      </c>
      <c r="V428" s="29" t="str">
        <f t="shared" si="26"/>
        <v>Doç. Dr. Cafer BALCI§4</v>
      </c>
      <c r="W428" s="29" t="str">
        <f>IF(U428=1,COUNTIF($U$2:U428,1),"")</f>
        <v/>
      </c>
      <c r="X428" s="29" t="str">
        <f t="shared" si="27"/>
        <v/>
      </c>
      <c r="Y428" s="29">
        <f>IF(AND(LEFT($B428,7)="SBA 26/",$D428&lt;&gt;"",$F428&lt;&gt;""),COUNTIFS($D$2:$D428,$D428,$B$2:$B428,"SBA 26/*",$F$2:$F428,"&lt;&gt;"),"")</f>
        <v>68</v>
      </c>
      <c r="Z428" s="29" t="str">
        <f>IF(Y428=1,COUNTIF($Y$2:Y428,1),"")</f>
        <v/>
      </c>
      <c r="AA428" s="29">
        <f>IF(AND(LEFT($B428,7)="SBA 26/",$C428&lt;&gt;"",$F428&lt;&gt;""),COUNTIFS($C$2:$C428,$C428,$B$2:$B428,"SBA 26/*",$F$2:$F428,"&lt;&gt;"),"")</f>
        <v>4</v>
      </c>
      <c r="AB428" s="29" t="str">
        <f>IF(AA428=1,COUNTIF($AA$2:AA428,1),"")</f>
        <v/>
      </c>
    </row>
    <row r="429" spans="1:28" ht="78.75" customHeight="1" x14ac:dyDescent="0.2">
      <c r="A429" s="43" t="s">
        <v>2070</v>
      </c>
      <c r="B429" s="43" t="s">
        <v>2071</v>
      </c>
      <c r="C429" s="44" t="s">
        <v>1009</v>
      </c>
      <c r="D429" s="44" t="s">
        <v>222</v>
      </c>
      <c r="E429" s="45" t="s">
        <v>2072</v>
      </c>
      <c r="F429" s="45" t="s">
        <v>2073</v>
      </c>
      <c r="G429" s="46" t="s">
        <v>38</v>
      </c>
      <c r="H429" s="48">
        <v>46140</v>
      </c>
      <c r="I429" s="48">
        <v>46154</v>
      </c>
      <c r="J429" s="44" t="s">
        <v>108</v>
      </c>
      <c r="K429" s="44" t="s">
        <v>123</v>
      </c>
      <c r="L429" s="50" t="s">
        <v>101</v>
      </c>
      <c r="M429" s="50" t="s">
        <v>77</v>
      </c>
      <c r="N429" s="50"/>
      <c r="O429" s="49"/>
      <c r="P429" s="50" t="str">
        <f t="shared" si="24"/>
        <v>ONAY</v>
      </c>
      <c r="Q429" s="28" t="s">
        <v>108</v>
      </c>
      <c r="R429" s="51" t="str">
        <f t="shared" si="25"/>
        <v/>
      </c>
      <c r="T429" s="41"/>
      <c r="U429" s="29">
        <f>IF($C429&lt;&gt;"",COUNTIF($C$2:C429,C429),"")</f>
        <v>2</v>
      </c>
      <c r="V429" s="29" t="str">
        <f t="shared" si="26"/>
        <v>Doç. Dr. Tekin AKSU§2</v>
      </c>
      <c r="W429" s="29" t="str">
        <f>IF(U429=1,COUNTIF($U$2:U429,1),"")</f>
        <v/>
      </c>
      <c r="X429" s="29" t="str">
        <f t="shared" si="27"/>
        <v/>
      </c>
      <c r="Y429" s="29">
        <f>IF(AND(LEFT($B429,7)="SBA 26/",$D429&lt;&gt;"",$F429&lt;&gt;""),COUNTIFS($D$2:$D429,$D429,$B$2:$B429,"SBA 26/*",$F$2:$F429,"&lt;&gt;"),"")</f>
        <v>64</v>
      </c>
      <c r="Z429" s="29" t="str">
        <f>IF(Y429=1,COUNTIF($Y$2:Y429,1),"")</f>
        <v/>
      </c>
      <c r="AA429" s="29">
        <f>IF(AND(LEFT($B429,7)="SBA 26/",$C429&lt;&gt;"",$F429&lt;&gt;""),COUNTIFS($C$2:$C429,$C429,$B$2:$B429,"SBA 26/*",$F$2:$F429,"&lt;&gt;"),"")</f>
        <v>2</v>
      </c>
      <c r="AB429" s="29" t="str">
        <f>IF(AA429=1,COUNTIF($AA$2:AA429,1),"")</f>
        <v/>
      </c>
    </row>
    <row r="430" spans="1:28" ht="63" customHeight="1" x14ac:dyDescent="0.2">
      <c r="A430" s="43" t="s">
        <v>2074</v>
      </c>
      <c r="B430" s="43" t="s">
        <v>2075</v>
      </c>
      <c r="C430" s="44" t="s">
        <v>2076</v>
      </c>
      <c r="D430" s="44" t="s">
        <v>113</v>
      </c>
      <c r="E430" s="45" t="s">
        <v>2077</v>
      </c>
      <c r="F430" s="45" t="s">
        <v>2078</v>
      </c>
      <c r="G430" s="46" t="s">
        <v>38</v>
      </c>
      <c r="H430" s="48">
        <v>46140</v>
      </c>
      <c r="I430" s="48">
        <v>46154</v>
      </c>
      <c r="J430" s="44" t="s">
        <v>109</v>
      </c>
      <c r="K430" s="44" t="s">
        <v>84</v>
      </c>
      <c r="L430" s="50" t="s">
        <v>101</v>
      </c>
      <c r="M430" s="50" t="s">
        <v>77</v>
      </c>
      <c r="N430" s="50"/>
      <c r="O430" s="49"/>
      <c r="P430" s="50" t="str">
        <f t="shared" si="24"/>
        <v>ONAY</v>
      </c>
      <c r="Q430" s="28" t="s">
        <v>109</v>
      </c>
      <c r="R430" s="51" t="str">
        <f t="shared" si="25"/>
        <v/>
      </c>
      <c r="T430" s="41"/>
      <c r="U430" s="29">
        <f>IF($C430&lt;&gt;"",COUNTIF($C$2:C430,C430),"")</f>
        <v>1</v>
      </c>
      <c r="V430" s="29" t="str">
        <f t="shared" si="26"/>
        <v>Prof. Dr. Ümit Yavuz MALKAN§1</v>
      </c>
      <c r="W430" s="29">
        <f>IF(U430=1,COUNTIF($U$2:U430,1),"")</f>
        <v>235</v>
      </c>
      <c r="X430" s="29">
        <f t="shared" si="27"/>
        <v>341</v>
      </c>
      <c r="Y430" s="29">
        <f>IF(AND(LEFT($B430,7)="SBA 26/",$D430&lt;&gt;"",$F430&lt;&gt;""),COUNTIFS($D$2:$D430,$D430,$B$2:$B430,"SBA 26/*",$F$2:$F430,"&lt;&gt;"),"")</f>
        <v>69</v>
      </c>
      <c r="Z430" s="29" t="str">
        <f>IF(Y430=1,COUNTIF($Y$2:Y430,1),"")</f>
        <v/>
      </c>
      <c r="AA430" s="29">
        <f>IF(AND(LEFT($B430,7)="SBA 26/",$C430&lt;&gt;"",$F430&lt;&gt;""),COUNTIFS($C$2:$C430,$C430,$B$2:$B430,"SBA 26/*",$F$2:$F430,"&lt;&gt;"),"")</f>
        <v>1</v>
      </c>
      <c r="AB430" s="29">
        <f>IF(AA430=1,COUNTIF($AA$2:AA430,1),"")</f>
        <v>235</v>
      </c>
    </row>
    <row r="431" spans="1:28" ht="63" customHeight="1" x14ac:dyDescent="0.2">
      <c r="A431" s="43" t="s">
        <v>2079</v>
      </c>
      <c r="B431" s="43" t="s">
        <v>2080</v>
      </c>
      <c r="C431" s="44" t="s">
        <v>2076</v>
      </c>
      <c r="D431" s="44" t="s">
        <v>113</v>
      </c>
      <c r="E431" s="45" t="s">
        <v>2077</v>
      </c>
      <c r="F431" s="45" t="s">
        <v>2081</v>
      </c>
      <c r="G431" s="46" t="s">
        <v>38</v>
      </c>
      <c r="H431" s="48">
        <v>46140</v>
      </c>
      <c r="I431" s="48">
        <v>46154</v>
      </c>
      <c r="J431" s="44" t="s">
        <v>109</v>
      </c>
      <c r="K431" s="44" t="s">
        <v>84</v>
      </c>
      <c r="L431" s="50" t="s">
        <v>77</v>
      </c>
      <c r="M431" s="50"/>
      <c r="N431" s="50"/>
      <c r="O431" s="49"/>
      <c r="P431" s="50" t="str">
        <f t="shared" si="24"/>
        <v>ONAY</v>
      </c>
      <c r="R431" s="51" t="str">
        <f t="shared" si="25"/>
        <v/>
      </c>
      <c r="T431" s="41"/>
      <c r="U431" s="29">
        <f>IF($C431&lt;&gt;"",COUNTIF($C$2:C431,C431),"")</f>
        <v>2</v>
      </c>
      <c r="V431" s="29" t="str">
        <f t="shared" si="26"/>
        <v>Prof. Dr. Ümit Yavuz MALKAN§2</v>
      </c>
      <c r="W431" s="29" t="str">
        <f>IF(U431=1,COUNTIF($U$2:U431,1),"")</f>
        <v/>
      </c>
      <c r="X431" s="29" t="str">
        <f t="shared" si="27"/>
        <v/>
      </c>
      <c r="Y431" s="29">
        <f>IF(AND(LEFT($B431,7)="SBA 26/",$D431&lt;&gt;"",$F431&lt;&gt;""),COUNTIFS($D$2:$D431,$D431,$B$2:$B431,"SBA 26/*",$F$2:$F431,"&lt;&gt;"),"")</f>
        <v>70</v>
      </c>
      <c r="Z431" s="29" t="str">
        <f>IF(Y431=1,COUNTIF($Y$2:Y431,1),"")</f>
        <v/>
      </c>
      <c r="AA431" s="29">
        <f>IF(AND(LEFT($B431,7)="SBA 26/",$C431&lt;&gt;"",$F431&lt;&gt;""),COUNTIFS($C$2:$C431,$C431,$B$2:$B431,"SBA 26/*",$F$2:$F431,"&lt;&gt;"),"")</f>
        <v>2</v>
      </c>
      <c r="AB431" s="29" t="str">
        <f>IF(AA431=1,COUNTIF($AA$2:AA431,1),"")</f>
        <v/>
      </c>
    </row>
    <row r="432" spans="1:28" ht="63" customHeight="1" x14ac:dyDescent="0.2">
      <c r="A432" s="43" t="s">
        <v>2082</v>
      </c>
      <c r="B432" s="43" t="s">
        <v>2083</v>
      </c>
      <c r="C432" s="44" t="s">
        <v>2084</v>
      </c>
      <c r="D432" s="44" t="s">
        <v>222</v>
      </c>
      <c r="E432" s="45" t="s">
        <v>2085</v>
      </c>
      <c r="F432" s="45" t="s">
        <v>2086</v>
      </c>
      <c r="G432" s="46" t="s">
        <v>39</v>
      </c>
      <c r="H432" s="48">
        <v>46140</v>
      </c>
      <c r="I432" s="48">
        <v>46154</v>
      </c>
      <c r="J432" s="44" t="s">
        <v>91</v>
      </c>
      <c r="K432" s="44" t="s">
        <v>100</v>
      </c>
      <c r="L432" s="50" t="s">
        <v>77</v>
      </c>
      <c r="M432" s="50"/>
      <c r="N432" s="50"/>
      <c r="O432" s="49"/>
      <c r="P432" s="50" t="str">
        <f t="shared" si="24"/>
        <v>ONAY</v>
      </c>
      <c r="R432" s="51" t="str">
        <f t="shared" si="25"/>
        <v/>
      </c>
      <c r="T432" s="41"/>
      <c r="U432" s="29">
        <f>IF($C432&lt;&gt;"",COUNTIF($C$2:C432,C432),"")</f>
        <v>1</v>
      </c>
      <c r="V432" s="29" t="str">
        <f t="shared" si="26"/>
        <v>Doç. Dr. Eda Didem KURT ŞÜKÜR§1</v>
      </c>
      <c r="W432" s="29">
        <f>IF(U432=1,COUNTIF($U$2:U432,1),"")</f>
        <v>236</v>
      </c>
      <c r="X432" s="29">
        <f t="shared" si="27"/>
        <v>43</v>
      </c>
      <c r="Y432" s="29">
        <f>IF(AND(LEFT($B432,7)="SBA 26/",$D432&lt;&gt;"",$F432&lt;&gt;""),COUNTIFS($D$2:$D432,$D432,$B$2:$B432,"SBA 26/*",$F$2:$F432,"&lt;&gt;"),"")</f>
        <v>65</v>
      </c>
      <c r="Z432" s="29" t="str">
        <f>IF(Y432=1,COUNTIF($Y$2:Y432,1),"")</f>
        <v/>
      </c>
      <c r="AA432" s="29">
        <f>IF(AND(LEFT($B432,7)="SBA 26/",$C432&lt;&gt;"",$F432&lt;&gt;""),COUNTIFS($C$2:$C432,$C432,$B$2:$B432,"SBA 26/*",$F$2:$F432,"&lt;&gt;"),"")</f>
        <v>1</v>
      </c>
      <c r="AB432" s="29">
        <f>IF(AA432=1,COUNTIF($AA$2:AA432,1),"")</f>
        <v>236</v>
      </c>
    </row>
    <row r="433" spans="1:28" ht="63" customHeight="1" x14ac:dyDescent="0.2">
      <c r="A433" s="43" t="s">
        <v>2087</v>
      </c>
      <c r="B433" s="43" t="s">
        <v>2088</v>
      </c>
      <c r="C433" s="44" t="s">
        <v>123</v>
      </c>
      <c r="D433" s="44" t="s">
        <v>120</v>
      </c>
      <c r="E433" s="45" t="s">
        <v>2089</v>
      </c>
      <c r="F433" s="45" t="s">
        <v>2090</v>
      </c>
      <c r="G433" s="46" t="s">
        <v>38</v>
      </c>
      <c r="H433" s="48">
        <v>46140</v>
      </c>
      <c r="I433" s="48">
        <v>46154</v>
      </c>
      <c r="J433" s="44" t="s">
        <v>116</v>
      </c>
      <c r="K433" s="44" t="s">
        <v>91</v>
      </c>
      <c r="L433" s="50" t="s">
        <v>77</v>
      </c>
      <c r="M433" s="50"/>
      <c r="N433" s="50"/>
      <c r="O433" s="49"/>
      <c r="P433" s="50" t="str">
        <f t="shared" si="24"/>
        <v>ONAY</v>
      </c>
      <c r="R433" s="51" t="str">
        <f t="shared" si="25"/>
        <v/>
      </c>
      <c r="T433" s="41"/>
      <c r="U433" s="29">
        <f>IF($C433&lt;&gt;"",COUNTIF($C$2:C433,C433),"")</f>
        <v>1</v>
      </c>
      <c r="V433" s="29" t="str">
        <f t="shared" si="26"/>
        <v>Prof. Dr. M. Özgür UYANIK§1</v>
      </c>
      <c r="W433" s="29">
        <f>IF(U433=1,COUNTIF($U$2:U433,1),"")</f>
        <v>237</v>
      </c>
      <c r="X433" s="29">
        <f t="shared" si="27"/>
        <v>264</v>
      </c>
      <c r="Y433" s="29">
        <f>IF(AND(LEFT($B433,7)="SBA 26/",$D433&lt;&gt;"",$F433&lt;&gt;""),COUNTIFS($D$2:$D433,$D433,$B$2:$B433,"SBA 26/*",$F$2:$F433,"&lt;&gt;"),"")</f>
        <v>5</v>
      </c>
      <c r="Z433" s="29" t="str">
        <f>IF(Y433=1,COUNTIF($Y$2:Y433,1),"")</f>
        <v/>
      </c>
      <c r="AA433" s="29">
        <f>IF(AND(LEFT($B433,7)="SBA 26/",$C433&lt;&gt;"",$F433&lt;&gt;""),COUNTIFS($C$2:$C433,$C433,$B$2:$B433,"SBA 26/*",$F$2:$F433,"&lt;&gt;"),"")</f>
        <v>1</v>
      </c>
      <c r="AB433" s="29">
        <f>IF(AA433=1,COUNTIF($AA$2:AA433,1),"")</f>
        <v>237</v>
      </c>
    </row>
    <row r="434" spans="1:28" ht="78.75" customHeight="1" x14ac:dyDescent="0.2">
      <c r="A434" s="43" t="s">
        <v>2091</v>
      </c>
      <c r="B434" s="43" t="s">
        <v>2092</v>
      </c>
      <c r="C434" s="44" t="s">
        <v>2093</v>
      </c>
      <c r="D434" s="44" t="s">
        <v>341</v>
      </c>
      <c r="E434" s="45" t="s">
        <v>2094</v>
      </c>
      <c r="F434" s="45" t="s">
        <v>2095</v>
      </c>
      <c r="G434" s="46" t="s">
        <v>38</v>
      </c>
      <c r="H434" s="48">
        <v>46140</v>
      </c>
      <c r="I434" s="48">
        <v>46154</v>
      </c>
      <c r="J434" s="44" t="s">
        <v>92</v>
      </c>
      <c r="K434" s="44" t="s">
        <v>99</v>
      </c>
      <c r="L434" s="50" t="s">
        <v>77</v>
      </c>
      <c r="M434" s="50"/>
      <c r="N434" s="50"/>
      <c r="O434" s="49"/>
      <c r="P434" s="50" t="str">
        <f t="shared" si="24"/>
        <v>ONAY</v>
      </c>
      <c r="R434" s="51" t="str">
        <f t="shared" si="25"/>
        <v/>
      </c>
      <c r="T434" s="41"/>
      <c r="U434" s="29">
        <f>IF($C434&lt;&gt;"",COUNTIF($C$2:C434,C434),"")</f>
        <v>1</v>
      </c>
      <c r="V434" s="29" t="str">
        <f t="shared" si="26"/>
        <v>Dr. Öğr. Üyesi Leyla HUSEYNOVA TERZİ§1</v>
      </c>
      <c r="W434" s="29">
        <f>IF(U434=1,COUNTIF($U$2:U434,1),"")</f>
        <v>238</v>
      </c>
      <c r="X434" s="29">
        <f t="shared" si="27"/>
        <v>150</v>
      </c>
      <c r="Y434" s="29">
        <f>IF(AND(LEFT($B434,7)="SBA 26/",$D434&lt;&gt;"",$F434&lt;&gt;""),COUNTIFS($D$2:$D434,$D434,$B$2:$B434,"SBA 26/*",$F$2:$F434,"&lt;&gt;"),"")</f>
        <v>10</v>
      </c>
      <c r="Z434" s="29" t="str">
        <f>IF(Y434=1,COUNTIF($Y$2:Y434,1),"")</f>
        <v/>
      </c>
      <c r="AA434" s="29">
        <f>IF(AND(LEFT($B434,7)="SBA 26/",$C434&lt;&gt;"",$F434&lt;&gt;""),COUNTIFS($C$2:$C434,$C434,$B$2:$B434,"SBA 26/*",$F$2:$F434,"&lt;&gt;"),"")</f>
        <v>1</v>
      </c>
      <c r="AB434" s="29">
        <f>IF(AA434=1,COUNTIF($AA$2:AA434,1),"")</f>
        <v>238</v>
      </c>
    </row>
    <row r="435" spans="1:28" ht="78.75" customHeight="1" x14ac:dyDescent="0.2">
      <c r="A435" s="43" t="s">
        <v>2096</v>
      </c>
      <c r="B435" s="43" t="s">
        <v>2097</v>
      </c>
      <c r="C435" s="44" t="s">
        <v>2098</v>
      </c>
      <c r="D435" s="44" t="s">
        <v>203</v>
      </c>
      <c r="E435" s="45" t="s">
        <v>2099</v>
      </c>
      <c r="F435" s="45" t="s">
        <v>2100</v>
      </c>
      <c r="G435" s="46" t="s">
        <v>38</v>
      </c>
      <c r="H435" s="48">
        <v>46141</v>
      </c>
      <c r="I435" s="48">
        <v>46154</v>
      </c>
      <c r="J435" s="44" t="s">
        <v>75</v>
      </c>
      <c r="K435" s="44" t="s">
        <v>99</v>
      </c>
      <c r="L435" s="50" t="s">
        <v>101</v>
      </c>
      <c r="M435" s="50" t="s">
        <v>77</v>
      </c>
      <c r="N435" s="50"/>
      <c r="O435" s="49"/>
      <c r="P435" s="50" t="str">
        <f t="shared" si="24"/>
        <v>ONAY</v>
      </c>
      <c r="Q435" s="28" t="s">
        <v>75</v>
      </c>
      <c r="R435" s="51" t="str">
        <f t="shared" si="25"/>
        <v/>
      </c>
      <c r="T435" s="41"/>
      <c r="U435" s="29">
        <f>IF($C435&lt;&gt;"",COUNTIF($C$2:C435,C435),"")</f>
        <v>1</v>
      </c>
      <c r="V435" s="29" t="str">
        <f t="shared" si="26"/>
        <v>Prof. Dr. Tarık TUNCAY§1</v>
      </c>
      <c r="W435" s="29">
        <f>IF(U435=1,COUNTIF($U$2:U435,1),"")</f>
        <v>239</v>
      </c>
      <c r="X435" s="29">
        <f t="shared" si="27"/>
        <v>330</v>
      </c>
      <c r="Y435" s="29">
        <f>IF(AND(LEFT($B435,7)="SBA 26/",$D435&lt;&gt;"",$F435&lt;&gt;""),COUNTIFS($D$2:$D435,$D435,$B$2:$B435,"SBA 26/*",$F$2:$F435,"&lt;&gt;"),"")</f>
        <v>7</v>
      </c>
      <c r="Z435" s="29" t="str">
        <f>IF(Y435=1,COUNTIF($Y$2:Y435,1),"")</f>
        <v/>
      </c>
      <c r="AA435" s="29">
        <f>IF(AND(LEFT($B435,7)="SBA 26/",$C435&lt;&gt;"",$F435&lt;&gt;""),COUNTIFS($C$2:$C435,$C435,$B$2:$B435,"SBA 26/*",$F$2:$F435,"&lt;&gt;"),"")</f>
        <v>1</v>
      </c>
      <c r="AB435" s="29">
        <f>IF(AA435=1,COUNTIF($AA$2:AA435,1),"")</f>
        <v>239</v>
      </c>
    </row>
    <row r="436" spans="1:28" ht="63" customHeight="1" x14ac:dyDescent="0.2">
      <c r="A436" s="43" t="s">
        <v>2101</v>
      </c>
      <c r="B436" s="43" t="s">
        <v>2102</v>
      </c>
      <c r="C436" s="44" t="s">
        <v>2103</v>
      </c>
      <c r="D436" s="44" t="s">
        <v>222</v>
      </c>
      <c r="E436" s="45" t="s">
        <v>2104</v>
      </c>
      <c r="F436" s="45" t="s">
        <v>2105</v>
      </c>
      <c r="G436" s="46" t="s">
        <v>38</v>
      </c>
      <c r="H436" s="48">
        <v>46141</v>
      </c>
      <c r="I436" s="48">
        <v>46154</v>
      </c>
      <c r="J436" s="44" t="s">
        <v>108</v>
      </c>
      <c r="K436" s="44" t="s">
        <v>100</v>
      </c>
      <c r="L436" s="50" t="s">
        <v>153</v>
      </c>
      <c r="M436" s="50"/>
      <c r="N436" s="50"/>
      <c r="O436" s="49"/>
      <c r="P436" s="50" t="str">
        <f t="shared" si="24"/>
        <v>KAPSAM DIŞI</v>
      </c>
      <c r="R436" s="51" t="str">
        <f t="shared" si="25"/>
        <v/>
      </c>
      <c r="T436" s="41"/>
      <c r="U436" s="29">
        <f>IF($C436&lt;&gt;"",COUNTIF($C$2:C436,C436),"")</f>
        <v>1</v>
      </c>
      <c r="V436" s="29" t="str">
        <f t="shared" si="26"/>
        <v>Arş. Gör. Dr. Şeyma KAHRAMAN§1</v>
      </c>
      <c r="W436" s="29">
        <f>IF(U436=1,COUNTIF($U$2:U436,1),"")</f>
        <v>240</v>
      </c>
      <c r="X436" s="29">
        <f t="shared" si="27"/>
        <v>11</v>
      </c>
      <c r="Y436" s="29">
        <f>IF(AND(LEFT($B436,7)="SBA 26/",$D436&lt;&gt;"",$F436&lt;&gt;""),COUNTIFS($D$2:$D436,$D436,$B$2:$B436,"SBA 26/*",$F$2:$F436,"&lt;&gt;"),"")</f>
        <v>66</v>
      </c>
      <c r="Z436" s="29" t="str">
        <f>IF(Y436=1,COUNTIF($Y$2:Y436,1),"")</f>
        <v/>
      </c>
      <c r="AA436" s="29">
        <f>IF(AND(LEFT($B436,7)="SBA 26/",$C436&lt;&gt;"",$F436&lt;&gt;""),COUNTIFS($C$2:$C436,$C436,$B$2:$B436,"SBA 26/*",$F$2:$F436,"&lt;&gt;"),"")</f>
        <v>1</v>
      </c>
      <c r="AB436" s="29">
        <f>IF(AA436=1,COUNTIF($AA$2:AA436,1),"")</f>
        <v>240</v>
      </c>
    </row>
    <row r="437" spans="1:28" ht="64.5" customHeight="1" x14ac:dyDescent="0.2">
      <c r="A437" s="43" t="s">
        <v>2106</v>
      </c>
      <c r="B437" s="43" t="s">
        <v>2107</v>
      </c>
      <c r="C437" s="44" t="s">
        <v>1353</v>
      </c>
      <c r="D437" s="44" t="s">
        <v>113</v>
      </c>
      <c r="E437" s="45" t="s">
        <v>2108</v>
      </c>
      <c r="F437" s="45" t="s">
        <v>2109</v>
      </c>
      <c r="G437" s="46" t="s">
        <v>38</v>
      </c>
      <c r="H437" s="48">
        <v>46141</v>
      </c>
      <c r="I437" s="48">
        <v>46154</v>
      </c>
      <c r="J437" s="44" t="s">
        <v>129</v>
      </c>
      <c r="K437" s="44" t="s">
        <v>116</v>
      </c>
      <c r="L437" s="50" t="s">
        <v>101</v>
      </c>
      <c r="M437" s="50" t="s">
        <v>206</v>
      </c>
      <c r="N437" s="50"/>
      <c r="O437" s="49"/>
      <c r="P437" s="50" t="str">
        <f t="shared" si="24"/>
        <v>GÖRÜŞ</v>
      </c>
      <c r="R437" s="51" t="str">
        <f t="shared" si="25"/>
        <v/>
      </c>
      <c r="T437" s="41"/>
      <c r="U437" s="29">
        <f>IF($C437&lt;&gt;"",COUNTIF($C$2:C437,C437),"")</f>
        <v>7</v>
      </c>
      <c r="V437" s="29" t="str">
        <f t="shared" si="26"/>
        <v>Prof. Dr. Burcu Balam DOĞU§7</v>
      </c>
      <c r="W437" s="29" t="str">
        <f>IF(U437=1,COUNTIF($U$2:U437,1),"")</f>
        <v/>
      </c>
      <c r="X437" s="29" t="str">
        <f t="shared" si="27"/>
        <v/>
      </c>
      <c r="Y437" s="29">
        <f>IF(AND(LEFT($B437,7)="SBA 26/",$D437&lt;&gt;"",$F437&lt;&gt;""),COUNTIFS($D$2:$D437,$D437,$B$2:$B437,"SBA 26/*",$F$2:$F437,"&lt;&gt;"),"")</f>
        <v>71</v>
      </c>
      <c r="Z437" s="29" t="str">
        <f>IF(Y437=1,COUNTIF($Y$2:Y437,1),"")</f>
        <v/>
      </c>
      <c r="AA437" s="29">
        <f>IF(AND(LEFT($B437,7)="SBA 26/",$C437&lt;&gt;"",$F437&lt;&gt;""),COUNTIFS($C$2:$C437,$C437,$B$2:$B437,"SBA 26/*",$F$2:$F437,"&lt;&gt;"),"")</f>
        <v>7</v>
      </c>
      <c r="AB437" s="29" t="str">
        <f>IF(AA437=1,COUNTIF($AA$2:AA437,1),"")</f>
        <v/>
      </c>
    </row>
    <row r="438" spans="1:28" ht="47.25" customHeight="1" x14ac:dyDescent="0.2">
      <c r="A438" s="43" t="s">
        <v>2110</v>
      </c>
      <c r="B438" s="43" t="s">
        <v>2111</v>
      </c>
      <c r="C438" s="44" t="s">
        <v>519</v>
      </c>
      <c r="D438" s="44" t="s">
        <v>364</v>
      </c>
      <c r="E438" s="45" t="s">
        <v>2112</v>
      </c>
      <c r="F438" s="45" t="s">
        <v>2113</v>
      </c>
      <c r="G438" s="46" t="s">
        <v>38</v>
      </c>
      <c r="H438" s="48">
        <v>46141</v>
      </c>
      <c r="I438" s="48">
        <v>46154</v>
      </c>
      <c r="J438" s="44" t="s">
        <v>108</v>
      </c>
      <c r="K438" s="44" t="s">
        <v>92</v>
      </c>
      <c r="L438" s="50" t="s">
        <v>77</v>
      </c>
      <c r="M438" s="50"/>
      <c r="N438" s="50"/>
      <c r="O438" s="49"/>
      <c r="P438" s="50" t="str">
        <f t="shared" si="24"/>
        <v>ONAY</v>
      </c>
      <c r="R438" s="51" t="str">
        <f t="shared" si="25"/>
        <v/>
      </c>
      <c r="T438" s="41"/>
      <c r="U438" s="29">
        <f>IF($C438&lt;&gt;"",COUNTIF($C$2:C438,C438),"")</f>
        <v>4</v>
      </c>
      <c r="V438" s="29" t="str">
        <f t="shared" si="26"/>
        <v>Prof. Dr. Neşe DERİCİOĞLU§4</v>
      </c>
      <c r="W438" s="29" t="str">
        <f>IF(U438=1,COUNTIF($U$2:U438,1),"")</f>
        <v/>
      </c>
      <c r="X438" s="29" t="str">
        <f t="shared" si="27"/>
        <v/>
      </c>
      <c r="Y438" s="29">
        <f>IF(AND(LEFT($B438,7)="SBA 26/",$D438&lt;&gt;"",$F438&lt;&gt;""),COUNTIFS($D$2:$D438,$D438,$B$2:$B438,"SBA 26/*",$F$2:$F438,"&lt;&gt;"),"")</f>
        <v>16</v>
      </c>
      <c r="Z438" s="29" t="str">
        <f>IF(Y438=1,COUNTIF($Y$2:Y438,1),"")</f>
        <v/>
      </c>
      <c r="AA438" s="29">
        <f>IF(AND(LEFT($B438,7)="SBA 26/",$C438&lt;&gt;"",$F438&lt;&gt;""),COUNTIFS($C$2:$C438,$C438,$B$2:$B438,"SBA 26/*",$F$2:$F438,"&lt;&gt;"),"")</f>
        <v>4</v>
      </c>
      <c r="AB438" s="29" t="str">
        <f>IF(AA438=1,COUNTIF($AA$2:AA438,1),"")</f>
        <v/>
      </c>
    </row>
    <row r="439" spans="1:28" ht="78.75" customHeight="1" x14ac:dyDescent="0.2">
      <c r="A439" s="43" t="s">
        <v>2114</v>
      </c>
      <c r="B439" s="43" t="s">
        <v>2115</v>
      </c>
      <c r="C439" s="44" t="s">
        <v>1379</v>
      </c>
      <c r="D439" s="44" t="s">
        <v>222</v>
      </c>
      <c r="E439" s="45" t="s">
        <v>2116</v>
      </c>
      <c r="F439" s="45" t="s">
        <v>2117</v>
      </c>
      <c r="G439" s="46" t="s">
        <v>38</v>
      </c>
      <c r="H439" s="48">
        <v>46142</v>
      </c>
      <c r="I439" s="48">
        <v>46154</v>
      </c>
      <c r="J439" s="44" t="s">
        <v>75</v>
      </c>
      <c r="K439" s="44" t="s">
        <v>116</v>
      </c>
      <c r="L439" s="50" t="s">
        <v>77</v>
      </c>
      <c r="M439" s="50"/>
      <c r="N439" s="50"/>
      <c r="O439" s="49"/>
      <c r="P439" s="50" t="str">
        <f t="shared" si="24"/>
        <v>ONAY</v>
      </c>
      <c r="R439" s="51" t="str">
        <f t="shared" si="25"/>
        <v/>
      </c>
      <c r="T439" s="41"/>
      <c r="U439" s="29">
        <f>IF($C439&lt;&gt;"",COUNTIF($C$2:C439,C439),"")</f>
        <v>3</v>
      </c>
      <c r="V439" s="29" t="str">
        <f t="shared" si="26"/>
        <v>Dr. Öğr. Üyesi Gizem ÜREL DEMİR§3</v>
      </c>
      <c r="W439" s="29" t="str">
        <f>IF(U439=1,COUNTIF($U$2:U439,1),"")</f>
        <v/>
      </c>
      <c r="X439" s="29" t="str">
        <f t="shared" si="27"/>
        <v/>
      </c>
      <c r="Y439" s="29">
        <f>IF(AND(LEFT($B439,7)="SBA 26/",$D439&lt;&gt;"",$F439&lt;&gt;""),COUNTIFS($D$2:$D439,$D439,$B$2:$B439,"SBA 26/*",$F$2:$F439,"&lt;&gt;"),"")</f>
        <v>67</v>
      </c>
      <c r="Z439" s="29" t="str">
        <f>IF(Y439=1,COUNTIF($Y$2:Y439,1),"")</f>
        <v/>
      </c>
      <c r="AA439" s="29">
        <f>IF(AND(LEFT($B439,7)="SBA 26/",$C439&lt;&gt;"",$F439&lt;&gt;""),COUNTIFS($C$2:$C439,$C439,$B$2:$B439,"SBA 26/*",$F$2:$F439,"&lt;&gt;"),"")</f>
        <v>3</v>
      </c>
      <c r="AB439" s="29" t="str">
        <f>IF(AA439=1,COUNTIF($AA$2:AA439,1),"")</f>
        <v/>
      </c>
    </row>
    <row r="440" spans="1:28" ht="78.75" customHeight="1" x14ac:dyDescent="0.2">
      <c r="A440" s="43" t="s">
        <v>2118</v>
      </c>
      <c r="B440" s="43" t="s">
        <v>2119</v>
      </c>
      <c r="C440" s="44" t="s">
        <v>1697</v>
      </c>
      <c r="D440" s="44" t="s">
        <v>1143</v>
      </c>
      <c r="E440" s="45" t="s">
        <v>2120</v>
      </c>
      <c r="F440" s="45" t="s">
        <v>2121</v>
      </c>
      <c r="G440" s="46" t="s">
        <v>38</v>
      </c>
      <c r="H440" s="48">
        <v>46142</v>
      </c>
      <c r="I440" s="48">
        <v>46154</v>
      </c>
      <c r="J440" s="44" t="s">
        <v>91</v>
      </c>
      <c r="K440" s="44" t="s">
        <v>84</v>
      </c>
      <c r="L440" s="50" t="s">
        <v>77</v>
      </c>
      <c r="M440" s="50"/>
      <c r="N440" s="50"/>
      <c r="O440" s="49"/>
      <c r="P440" s="50" t="str">
        <f t="shared" si="24"/>
        <v>ONAY</v>
      </c>
      <c r="R440" s="51" t="str">
        <f t="shared" si="25"/>
        <v/>
      </c>
      <c r="T440" s="41"/>
      <c r="U440" s="29">
        <f>IF($C440&lt;&gt;"",COUNTIF($C$2:C440,C440),"")</f>
        <v>2</v>
      </c>
      <c r="V440" s="29" t="str">
        <f t="shared" si="26"/>
        <v>Doç. Dr. Galip Gencay ÜSTÜN§2</v>
      </c>
      <c r="W440" s="29" t="str">
        <f>IF(U440=1,COUNTIF($U$2:U440,1),"")</f>
        <v/>
      </c>
      <c r="X440" s="29" t="str">
        <f t="shared" si="27"/>
        <v/>
      </c>
      <c r="Y440" s="29">
        <f>IF(AND(LEFT($B440,7)="SBA 26/",$D440&lt;&gt;"",$F440&lt;&gt;""),COUNTIFS($D$2:$D440,$D440,$B$2:$B440,"SBA 26/*",$F$2:$F440,"&lt;&gt;"),"")</f>
        <v>4</v>
      </c>
      <c r="Z440" s="29" t="str">
        <f>IF(Y440=1,COUNTIF($Y$2:Y440,1),"")</f>
        <v/>
      </c>
      <c r="AA440" s="29">
        <f>IF(AND(LEFT($B440,7)="SBA 26/",$C440&lt;&gt;"",$F440&lt;&gt;""),COUNTIFS($C$2:$C440,$C440,$B$2:$B440,"SBA 26/*",$F$2:$F440,"&lt;&gt;"),"")</f>
        <v>2</v>
      </c>
      <c r="AB440" s="29" t="str">
        <f>IF(AA440=1,COUNTIF($AA$2:AA440,1),"")</f>
        <v/>
      </c>
    </row>
    <row r="441" spans="1:28" ht="63" customHeight="1" x14ac:dyDescent="0.2">
      <c r="A441" s="43" t="s">
        <v>2122</v>
      </c>
      <c r="B441" s="43" t="s">
        <v>2123</v>
      </c>
      <c r="C441" s="44" t="s">
        <v>2124</v>
      </c>
      <c r="D441" s="44" t="s">
        <v>2125</v>
      </c>
      <c r="E441" s="45" t="s">
        <v>2126</v>
      </c>
      <c r="F441" s="45" t="s">
        <v>2127</v>
      </c>
      <c r="G441" s="46" t="s">
        <v>41</v>
      </c>
      <c r="H441" s="48">
        <v>46146</v>
      </c>
      <c r="I441" s="48">
        <v>46154</v>
      </c>
      <c r="J441" s="44" t="s">
        <v>108</v>
      </c>
      <c r="K441" s="44" t="s">
        <v>100</v>
      </c>
      <c r="L441" s="50" t="s">
        <v>77</v>
      </c>
      <c r="M441" s="50"/>
      <c r="N441" s="50"/>
      <c r="O441" s="49"/>
      <c r="P441" s="50" t="str">
        <f t="shared" si="24"/>
        <v>ONAY</v>
      </c>
      <c r="R441" s="51" t="str">
        <f t="shared" si="25"/>
        <v/>
      </c>
      <c r="T441" s="41"/>
      <c r="U441" s="29">
        <f>IF($C441&lt;&gt;"",COUNTIF($C$2:C441,C441),"")</f>
        <v>1</v>
      </c>
      <c r="V441" s="29" t="str">
        <f t="shared" si="26"/>
        <v>Doç. Dr. Ayşe Bikem KARGI§1</v>
      </c>
      <c r="W441" s="29">
        <f>IF(U441=1,COUNTIF($U$2:U441,1),"")</f>
        <v>241</v>
      </c>
      <c r="X441" s="29">
        <f t="shared" si="27"/>
        <v>22</v>
      </c>
      <c r="Y441" s="29">
        <f>IF(AND(LEFT($B441,7)="SBA 26/",$D441&lt;&gt;"",$F441&lt;&gt;""),COUNTIFS($D$2:$D441,$D441,$B$2:$B441,"SBA 26/*",$F$2:$F441,"&lt;&gt;"),"")</f>
        <v>1</v>
      </c>
      <c r="Z441" s="29">
        <f>IF(Y441=1,COUNTIF($Y$2:Y441,1),"")</f>
        <v>66</v>
      </c>
      <c r="AA441" s="29">
        <f>IF(AND(LEFT($B441,7)="SBA 26/",$C441&lt;&gt;"",$F441&lt;&gt;""),COUNTIFS($C$2:$C441,$C441,$B$2:$B441,"SBA 26/*",$F$2:$F441,"&lt;&gt;"),"")</f>
        <v>1</v>
      </c>
      <c r="AB441" s="29">
        <f>IF(AA441=1,COUNTIF($AA$2:AA441,1),"")</f>
        <v>241</v>
      </c>
    </row>
    <row r="442" spans="1:28" ht="78.75" customHeight="1" x14ac:dyDescent="0.2">
      <c r="A442" s="43" t="s">
        <v>2128</v>
      </c>
      <c r="B442" s="43" t="s">
        <v>2129</v>
      </c>
      <c r="C442" s="44" t="s">
        <v>2130</v>
      </c>
      <c r="D442" s="44" t="s">
        <v>222</v>
      </c>
      <c r="E442" s="45" t="s">
        <v>2131</v>
      </c>
      <c r="F442" s="45" t="s">
        <v>2132</v>
      </c>
      <c r="G442" s="46" t="s">
        <v>38</v>
      </c>
      <c r="H442" s="48">
        <v>46146</v>
      </c>
      <c r="I442" s="48">
        <v>46154</v>
      </c>
      <c r="J442" s="44" t="s">
        <v>75</v>
      </c>
      <c r="K442" s="44" t="s">
        <v>123</v>
      </c>
      <c r="L442" s="50" t="s">
        <v>77</v>
      </c>
      <c r="M442" s="50"/>
      <c r="N442" s="50"/>
      <c r="O442" s="49"/>
      <c r="P442" s="50" t="str">
        <f t="shared" si="24"/>
        <v>ONAY</v>
      </c>
      <c r="R442" s="51" t="str">
        <f t="shared" si="25"/>
        <v/>
      </c>
      <c r="T442" s="41"/>
      <c r="U442" s="29">
        <f>IF($C442&lt;&gt;"",COUNTIF($C$2:C442,C442),"")</f>
        <v>1</v>
      </c>
      <c r="V442" s="29" t="str">
        <f t="shared" si="26"/>
        <v>Prof. Dr. Pelin Özlem ŞİMŞEK KİPER§1</v>
      </c>
      <c r="W442" s="29">
        <f>IF(U442=1,COUNTIF($U$2:U442,1),"")</f>
        <v>242</v>
      </c>
      <c r="X442" s="29">
        <f t="shared" si="27"/>
        <v>302</v>
      </c>
      <c r="Y442" s="29">
        <f>IF(AND(LEFT($B442,7)="SBA 26/",$D442&lt;&gt;"",$F442&lt;&gt;""),COUNTIFS($D$2:$D442,$D442,$B$2:$B442,"SBA 26/*",$F$2:$F442,"&lt;&gt;"),"")</f>
        <v>68</v>
      </c>
      <c r="Z442" s="29" t="str">
        <f>IF(Y442=1,COUNTIF($Y$2:Y442,1),"")</f>
        <v/>
      </c>
      <c r="AA442" s="29">
        <f>IF(AND(LEFT($B442,7)="SBA 26/",$C442&lt;&gt;"",$F442&lt;&gt;""),COUNTIFS($C$2:$C442,$C442,$B$2:$B442,"SBA 26/*",$F$2:$F442,"&lt;&gt;"),"")</f>
        <v>1</v>
      </c>
      <c r="AB442" s="29">
        <f>IF(AA442=1,COUNTIF($AA$2:AA442,1),"")</f>
        <v>242</v>
      </c>
    </row>
    <row r="443" spans="1:28" ht="63" customHeight="1" x14ac:dyDescent="0.2">
      <c r="A443" s="43" t="s">
        <v>2133</v>
      </c>
      <c r="B443" s="43" t="s">
        <v>2134</v>
      </c>
      <c r="C443" s="44" t="s">
        <v>112</v>
      </c>
      <c r="D443" s="44" t="s">
        <v>113</v>
      </c>
      <c r="E443" s="45" t="s">
        <v>1182</v>
      </c>
      <c r="F443" s="45" t="s">
        <v>2135</v>
      </c>
      <c r="G443" s="46" t="s">
        <v>38</v>
      </c>
      <c r="H443" s="48">
        <v>46146</v>
      </c>
      <c r="I443" s="48">
        <v>46154</v>
      </c>
      <c r="J443" s="44" t="s">
        <v>75</v>
      </c>
      <c r="K443" s="44" t="s">
        <v>129</v>
      </c>
      <c r="L443" s="50" t="s">
        <v>77</v>
      </c>
      <c r="M443" s="50"/>
      <c r="N443" s="50"/>
      <c r="O443" s="49"/>
      <c r="P443" s="50" t="str">
        <f t="shared" si="24"/>
        <v>ONAY</v>
      </c>
      <c r="R443" s="51" t="str">
        <f t="shared" si="25"/>
        <v/>
      </c>
      <c r="T443" s="41"/>
      <c r="U443" s="29">
        <f>IF($C443&lt;&gt;"",COUNTIF($C$2:C443,C443),"")</f>
        <v>13</v>
      </c>
      <c r="V443" s="29" t="str">
        <f t="shared" si="26"/>
        <v>Prof. Dr. Meltem Gülhan HALİL§13</v>
      </c>
      <c r="W443" s="29" t="str">
        <f>IF(U443=1,COUNTIF($U$2:U443,1),"")</f>
        <v/>
      </c>
      <c r="X443" s="29" t="str">
        <f t="shared" si="27"/>
        <v/>
      </c>
      <c r="Y443" s="29">
        <f>IF(AND(LEFT($B443,7)="SBA 26/",$D443&lt;&gt;"",$F443&lt;&gt;""),COUNTIFS($D$2:$D443,$D443,$B$2:$B443,"SBA 26/*",$F$2:$F443,"&lt;&gt;"),"")</f>
        <v>72</v>
      </c>
      <c r="Z443" s="29" t="str">
        <f>IF(Y443=1,COUNTIF($Y$2:Y443,1),"")</f>
        <v/>
      </c>
      <c r="AA443" s="29">
        <f>IF(AND(LEFT($B443,7)="SBA 26/",$C443&lt;&gt;"",$F443&lt;&gt;""),COUNTIFS($C$2:$C443,$C443,$B$2:$B443,"SBA 26/*",$F$2:$F443,"&lt;&gt;"),"")</f>
        <v>13</v>
      </c>
      <c r="AB443" s="29" t="str">
        <f>IF(AA443=1,COUNTIF($AA$2:AA443,1),"")</f>
        <v/>
      </c>
    </row>
    <row r="444" spans="1:28" ht="80.25" customHeight="1" x14ac:dyDescent="0.2">
      <c r="A444" s="43" t="s">
        <v>2136</v>
      </c>
      <c r="B444" s="43" t="s">
        <v>2137</v>
      </c>
      <c r="C444" s="44" t="s">
        <v>652</v>
      </c>
      <c r="D444" s="44" t="s">
        <v>364</v>
      </c>
      <c r="E444" s="45" t="s">
        <v>2138</v>
      </c>
      <c r="F444" s="45" t="s">
        <v>2139</v>
      </c>
      <c r="G444" s="46" t="s">
        <v>38</v>
      </c>
      <c r="H444" s="48">
        <v>46146</v>
      </c>
      <c r="I444" s="48">
        <v>46154</v>
      </c>
      <c r="J444" s="44" t="s">
        <v>108</v>
      </c>
      <c r="K444" s="44" t="s">
        <v>92</v>
      </c>
      <c r="L444" s="50" t="s">
        <v>77</v>
      </c>
      <c r="M444" s="50"/>
      <c r="N444" s="50"/>
      <c r="O444" s="49"/>
      <c r="P444" s="50" t="str">
        <f t="shared" si="24"/>
        <v>ONAY</v>
      </c>
      <c r="R444" s="51" t="str">
        <f t="shared" si="25"/>
        <v/>
      </c>
      <c r="T444" s="41"/>
      <c r="U444" s="29">
        <f>IF($C444&lt;&gt;"",COUNTIF($C$2:C444,C444),"")</f>
        <v>4</v>
      </c>
      <c r="V444" s="29" t="str">
        <f t="shared" si="26"/>
        <v>Prof. Dr. Çağrı Mesut TEMUÇİN§4</v>
      </c>
      <c r="W444" s="29" t="str">
        <f>IF(U444=1,COUNTIF($U$2:U444,1),"")</f>
        <v/>
      </c>
      <c r="X444" s="29" t="str">
        <f t="shared" si="27"/>
        <v/>
      </c>
      <c r="Y444" s="29">
        <f>IF(AND(LEFT($B444,7)="SBA 26/",$D444&lt;&gt;"",$F444&lt;&gt;""),COUNTIFS($D$2:$D444,$D444,$B$2:$B444,"SBA 26/*",$F$2:$F444,"&lt;&gt;"),"")</f>
        <v>17</v>
      </c>
      <c r="Z444" s="29" t="str">
        <f>IF(Y444=1,COUNTIF($Y$2:Y444,1),"")</f>
        <v/>
      </c>
      <c r="AA444" s="29">
        <f>IF(AND(LEFT($B444,7)="SBA 26/",$C444&lt;&gt;"",$F444&lt;&gt;""),COUNTIFS($C$2:$C444,$C444,$B$2:$B444,"SBA 26/*",$F$2:$F444,"&lt;&gt;"),"")</f>
        <v>4</v>
      </c>
      <c r="AB444" s="29" t="str">
        <f>IF(AA444=1,COUNTIF($AA$2:AA444,1),"")</f>
        <v/>
      </c>
    </row>
    <row r="445" spans="1:28" ht="78.75" customHeight="1" x14ac:dyDescent="0.2">
      <c r="A445" s="43" t="s">
        <v>2140</v>
      </c>
      <c r="B445" s="43" t="s">
        <v>2141</v>
      </c>
      <c r="C445" s="44" t="s">
        <v>2142</v>
      </c>
      <c r="D445" s="44" t="s">
        <v>1168</v>
      </c>
      <c r="E445" s="45" t="s">
        <v>2143</v>
      </c>
      <c r="F445" s="45" t="s">
        <v>2144</v>
      </c>
      <c r="G445" s="46" t="s">
        <v>38</v>
      </c>
      <c r="H445" s="48">
        <v>46146</v>
      </c>
      <c r="I445" s="48">
        <v>46154</v>
      </c>
      <c r="J445" s="44" t="s">
        <v>99</v>
      </c>
      <c r="K445" s="44" t="s">
        <v>76</v>
      </c>
      <c r="L445" s="50" t="s">
        <v>77</v>
      </c>
      <c r="M445" s="50"/>
      <c r="N445" s="50"/>
      <c r="O445" s="49"/>
      <c r="P445" s="50" t="str">
        <f t="shared" si="24"/>
        <v>ONAY</v>
      </c>
      <c r="R445" s="51" t="str">
        <f t="shared" si="25"/>
        <v/>
      </c>
      <c r="T445" s="41"/>
      <c r="U445" s="29">
        <f>IF($C445&lt;&gt;"",COUNTIF($C$2:C445,C445),"")</f>
        <v>1</v>
      </c>
      <c r="V445" s="29" t="str">
        <f t="shared" si="26"/>
        <v>Doç. Dr. Gülçin TELLİ DİZMAN§1</v>
      </c>
      <c r="W445" s="29">
        <f>IF(U445=1,COUNTIF($U$2:U445,1),"")</f>
        <v>243</v>
      </c>
      <c r="X445" s="29">
        <f t="shared" si="27"/>
        <v>63</v>
      </c>
      <c r="Y445" s="29">
        <f>IF(AND(LEFT($B445,7)="SBA 26/",$D445&lt;&gt;"",$F445&lt;&gt;""),COUNTIFS($D$2:$D445,$D445,$B$2:$B445,"SBA 26/*",$F$2:$F445,"&lt;&gt;"),"")</f>
        <v>3</v>
      </c>
      <c r="Z445" s="29" t="str">
        <f>IF(Y445=1,COUNTIF($Y$2:Y445,1),"")</f>
        <v/>
      </c>
      <c r="AA445" s="29">
        <f>IF(AND(LEFT($B445,7)="SBA 26/",$C445&lt;&gt;"",$F445&lt;&gt;""),COUNTIFS($C$2:$C445,$C445,$B$2:$B445,"SBA 26/*",$F$2:$F445,"&lt;&gt;"),"")</f>
        <v>1</v>
      </c>
      <c r="AB445" s="29">
        <f>IF(AA445=1,COUNTIF($AA$2:AA445,1),"")</f>
        <v>243</v>
      </c>
    </row>
    <row r="446" spans="1:28" ht="63" customHeight="1" x14ac:dyDescent="0.2">
      <c r="A446" s="43" t="s">
        <v>2145</v>
      </c>
      <c r="B446" s="43" t="s">
        <v>2146</v>
      </c>
      <c r="C446" s="44" t="s">
        <v>1947</v>
      </c>
      <c r="D446" s="44" t="s">
        <v>120</v>
      </c>
      <c r="E446" s="45" t="s">
        <v>2147</v>
      </c>
      <c r="F446" s="45" t="s">
        <v>2148</v>
      </c>
      <c r="G446" s="46" t="s">
        <v>38</v>
      </c>
      <c r="H446" s="48">
        <v>46146</v>
      </c>
      <c r="I446" s="48">
        <v>46154</v>
      </c>
      <c r="J446" s="44" t="s">
        <v>123</v>
      </c>
      <c r="K446" s="44" t="s">
        <v>116</v>
      </c>
      <c r="L446" s="50" t="s">
        <v>77</v>
      </c>
      <c r="M446" s="50"/>
      <c r="N446" s="50"/>
      <c r="O446" s="49"/>
      <c r="P446" s="50" t="str">
        <f t="shared" si="24"/>
        <v>ONAY</v>
      </c>
      <c r="R446" s="51" t="str">
        <f t="shared" si="25"/>
        <v/>
      </c>
      <c r="T446" s="41"/>
      <c r="U446" s="29">
        <f>IF($C446&lt;&gt;"",COUNTIF($C$2:C446,C446),"")</f>
        <v>2</v>
      </c>
      <c r="V446" s="29" t="str">
        <f t="shared" si="26"/>
        <v>Doç. Dr. Eda Ezgi ASLANTAŞ§2</v>
      </c>
      <c r="W446" s="29" t="str">
        <f>IF(U446=1,COUNTIF($U$2:U446,1),"")</f>
        <v/>
      </c>
      <c r="X446" s="29" t="str">
        <f t="shared" si="27"/>
        <v/>
      </c>
      <c r="Y446" s="29">
        <f>IF(AND(LEFT($B446,7)="SBA 26/",$D446&lt;&gt;"",$F446&lt;&gt;""),COUNTIFS($D$2:$D446,$D446,$B$2:$B446,"SBA 26/*",$F$2:$F446,"&lt;&gt;"),"")</f>
        <v>6</v>
      </c>
      <c r="Z446" s="29" t="str">
        <f>IF(Y446=1,COUNTIF($Y$2:Y446,1),"")</f>
        <v/>
      </c>
      <c r="AA446" s="29">
        <f>IF(AND(LEFT($B446,7)="SBA 26/",$C446&lt;&gt;"",$F446&lt;&gt;""),COUNTIFS($C$2:$C446,$C446,$B$2:$B446,"SBA 26/*",$F$2:$F446,"&lt;&gt;"),"")</f>
        <v>2</v>
      </c>
      <c r="AB446" s="29" t="str">
        <f>IF(AA446=1,COUNTIF($AA$2:AA446,1),"")</f>
        <v/>
      </c>
    </row>
    <row r="447" spans="1:28" ht="47.25" customHeight="1" x14ac:dyDescent="0.2">
      <c r="A447" s="43" t="s">
        <v>2149</v>
      </c>
      <c r="B447" s="43" t="s">
        <v>2150</v>
      </c>
      <c r="C447" s="44" t="s">
        <v>509</v>
      </c>
      <c r="D447" s="44" t="s">
        <v>222</v>
      </c>
      <c r="E447" s="45" t="s">
        <v>2151</v>
      </c>
      <c r="F447" s="45" t="s">
        <v>2152</v>
      </c>
      <c r="G447" s="46" t="s">
        <v>38</v>
      </c>
      <c r="H447" s="48">
        <v>46146</v>
      </c>
      <c r="I447" s="48">
        <v>46154</v>
      </c>
      <c r="J447" s="44" t="s">
        <v>109</v>
      </c>
      <c r="K447" s="44" t="s">
        <v>123</v>
      </c>
      <c r="L447" s="50" t="s">
        <v>101</v>
      </c>
      <c r="M447" s="50"/>
      <c r="N447" s="50"/>
      <c r="O447" s="49"/>
      <c r="P447" s="50" t="str">
        <f t="shared" si="24"/>
        <v>DÜZELTME</v>
      </c>
      <c r="R447" s="51" t="str">
        <f t="shared" si="25"/>
        <v/>
      </c>
      <c r="T447" s="41"/>
      <c r="U447" s="29">
        <f>IF($C447&lt;&gt;"",COUNTIF($C$2:C447,C447),"")</f>
        <v>2</v>
      </c>
      <c r="V447" s="29" t="str">
        <f t="shared" si="26"/>
        <v>Doç. Dr. Erdal SAĞ§2</v>
      </c>
      <c r="W447" s="29" t="str">
        <f>IF(U447=1,COUNTIF($U$2:U447,1),"")</f>
        <v/>
      </c>
      <c r="X447" s="29" t="str">
        <f t="shared" si="27"/>
        <v/>
      </c>
      <c r="Y447" s="29">
        <f>IF(AND(LEFT($B447,7)="SBA 26/",$D447&lt;&gt;"",$F447&lt;&gt;""),COUNTIFS($D$2:$D447,$D447,$B$2:$B447,"SBA 26/*",$F$2:$F447,"&lt;&gt;"),"")</f>
        <v>69</v>
      </c>
      <c r="Z447" s="29" t="str">
        <f>IF(Y447=1,COUNTIF($Y$2:Y447,1),"")</f>
        <v/>
      </c>
      <c r="AA447" s="29">
        <f>IF(AND(LEFT($B447,7)="SBA 26/",$C447&lt;&gt;"",$F447&lt;&gt;""),COUNTIFS($C$2:$C447,$C447,$B$2:$B447,"SBA 26/*",$F$2:$F447,"&lt;&gt;"),"")</f>
        <v>2</v>
      </c>
      <c r="AB447" s="29" t="str">
        <f>IF(AA447=1,COUNTIF($AA$2:AA447,1),"")</f>
        <v/>
      </c>
    </row>
    <row r="448" spans="1:28" ht="46.5" customHeight="1" x14ac:dyDescent="0.2">
      <c r="A448" s="43" t="s">
        <v>2153</v>
      </c>
      <c r="B448" s="43" t="s">
        <v>2154</v>
      </c>
      <c r="C448" s="44" t="s">
        <v>524</v>
      </c>
      <c r="D448" s="44" t="s">
        <v>113</v>
      </c>
      <c r="E448" s="45" t="s">
        <v>2155</v>
      </c>
      <c r="F448" s="45" t="s">
        <v>2156</v>
      </c>
      <c r="G448" s="46" t="s">
        <v>38</v>
      </c>
      <c r="H448" s="48">
        <v>46146</v>
      </c>
      <c r="I448" s="48">
        <v>46154</v>
      </c>
      <c r="J448" s="44" t="s">
        <v>108</v>
      </c>
      <c r="K448" s="44" t="s">
        <v>84</v>
      </c>
      <c r="L448" s="50" t="s">
        <v>206</v>
      </c>
      <c r="M448" s="50" t="s">
        <v>218</v>
      </c>
      <c r="N448" s="50"/>
      <c r="O448" s="49"/>
      <c r="P448" s="50" t="str">
        <f t="shared" si="24"/>
        <v>KAEK</v>
      </c>
      <c r="R448" s="51" t="str">
        <f t="shared" si="25"/>
        <v/>
      </c>
      <c r="T448" s="41"/>
      <c r="U448" s="29">
        <f>IF($C448&lt;&gt;"",COUNTIF($C$2:C448,C448),"")</f>
        <v>5</v>
      </c>
      <c r="V448" s="29" t="str">
        <f t="shared" si="26"/>
        <v>Doç. Dr. Mert EŞME§5</v>
      </c>
      <c r="W448" s="29" t="str">
        <f>IF(U448=1,COUNTIF($U$2:U448,1),"")</f>
        <v/>
      </c>
      <c r="X448" s="29" t="str">
        <f t="shared" si="27"/>
        <v/>
      </c>
      <c r="Y448" s="29">
        <f>IF(AND(LEFT($B448,7)="SBA 26/",$D448&lt;&gt;"",$F448&lt;&gt;""),COUNTIFS($D$2:$D448,$D448,$B$2:$B448,"SBA 26/*",$F$2:$F448,"&lt;&gt;"),"")</f>
        <v>73</v>
      </c>
      <c r="Z448" s="29" t="str">
        <f>IF(Y448=1,COUNTIF($Y$2:Y448,1),"")</f>
        <v/>
      </c>
      <c r="AA448" s="29">
        <f>IF(AND(LEFT($B448,7)="SBA 26/",$C448&lt;&gt;"",$F448&lt;&gt;""),COUNTIFS($C$2:$C448,$C448,$B$2:$B448,"SBA 26/*",$F$2:$F448,"&lt;&gt;"),"")</f>
        <v>5</v>
      </c>
      <c r="AB448" s="29" t="str">
        <f>IF(AA448=1,COUNTIF($AA$2:AA448,1),"")</f>
        <v/>
      </c>
    </row>
    <row r="449" spans="1:28" ht="78.75" customHeight="1" x14ac:dyDescent="0.2">
      <c r="A449" s="43" t="s">
        <v>2157</v>
      </c>
      <c r="B449" s="43" t="s">
        <v>2158</v>
      </c>
      <c r="C449" s="44" t="s">
        <v>2159</v>
      </c>
      <c r="D449" s="44" t="s">
        <v>215</v>
      </c>
      <c r="E449" s="45" t="s">
        <v>2160</v>
      </c>
      <c r="F449" s="45" t="s">
        <v>2161</v>
      </c>
      <c r="G449" s="46" t="s">
        <v>38</v>
      </c>
      <c r="H449" s="48">
        <v>46146</v>
      </c>
      <c r="I449" s="48">
        <v>46154</v>
      </c>
      <c r="J449" s="44" t="s">
        <v>123</v>
      </c>
      <c r="K449" s="44" t="s">
        <v>129</v>
      </c>
      <c r="L449" s="50" t="s">
        <v>77</v>
      </c>
      <c r="M449" s="50"/>
      <c r="N449" s="50"/>
      <c r="O449" s="49"/>
      <c r="P449" s="50" t="str">
        <f t="shared" si="24"/>
        <v>ONAY</v>
      </c>
      <c r="R449" s="51" t="str">
        <f t="shared" si="25"/>
        <v/>
      </c>
      <c r="T449" s="41"/>
      <c r="U449" s="29">
        <f>IF($C449&lt;&gt;"",COUNTIF($C$2:C449,C449),"")</f>
        <v>1</v>
      </c>
      <c r="V449" s="29" t="str">
        <f t="shared" si="26"/>
        <v>Prof. Dr. Alper AKTAŞ§1</v>
      </c>
      <c r="W449" s="29">
        <f>IF(U449=1,COUNTIF($U$2:U449,1),"")</f>
        <v>244</v>
      </c>
      <c r="X449" s="29">
        <f t="shared" si="27"/>
        <v>195</v>
      </c>
      <c r="Y449" s="29">
        <f>IF(AND(LEFT($B449,7)="SBA 26/",$D449&lt;&gt;"",$F449&lt;&gt;""),COUNTIFS($D$2:$D449,$D449,$B$2:$B449,"SBA 26/*",$F$2:$F449,"&lt;&gt;"),"")</f>
        <v>6</v>
      </c>
      <c r="Z449" s="29" t="str">
        <f>IF(Y449=1,COUNTIF($Y$2:Y449,1),"")</f>
        <v/>
      </c>
      <c r="AA449" s="29">
        <f>IF(AND(LEFT($B449,7)="SBA 26/",$C449&lt;&gt;"",$F449&lt;&gt;""),COUNTIFS($C$2:$C449,$C449,$B$2:$B449,"SBA 26/*",$F$2:$F449,"&lt;&gt;"),"")</f>
        <v>1</v>
      </c>
      <c r="AB449" s="29">
        <f>IF(AA449=1,COUNTIF($AA$2:AA449,1),"")</f>
        <v>244</v>
      </c>
    </row>
    <row r="450" spans="1:28" ht="78.75" customHeight="1" x14ac:dyDescent="0.2">
      <c r="A450" s="43" t="s">
        <v>2162</v>
      </c>
      <c r="B450" s="43" t="s">
        <v>2163</v>
      </c>
      <c r="C450" s="44" t="s">
        <v>1427</v>
      </c>
      <c r="D450" s="44" t="s">
        <v>966</v>
      </c>
      <c r="E450" s="45" t="s">
        <v>2164</v>
      </c>
      <c r="F450" s="45" t="s">
        <v>2165</v>
      </c>
      <c r="G450" s="46" t="s">
        <v>38</v>
      </c>
      <c r="H450" s="48">
        <v>46146</v>
      </c>
      <c r="I450" s="48">
        <v>46154</v>
      </c>
      <c r="J450" s="44" t="s">
        <v>108</v>
      </c>
      <c r="K450" s="44" t="s">
        <v>100</v>
      </c>
      <c r="L450" s="50" t="s">
        <v>101</v>
      </c>
      <c r="M450" s="50" t="s">
        <v>101</v>
      </c>
      <c r="N450" s="50" t="s">
        <v>77</v>
      </c>
      <c r="O450" s="49"/>
      <c r="P450" s="50" t="str">
        <f t="shared" ref="P450:P513" si="28">IF(O450&lt;&gt;"",O450, IF(N450&lt;&gt;"",N450, IF(M450&lt;&gt;"",M450, L450)))</f>
        <v>ONAY</v>
      </c>
      <c r="R450" s="51" t="str">
        <f t="shared" ref="R450:R513" si="29">IF(AND($I450&lt;&gt;"",$I450&gt;=DATE(2026,6,23),COUNTIFS($C:$C,$C450,$I:$I,$I450)&gt;2),"⚠ "&amp;COUNTIFS($C:$C,$C450,$I:$I,$I450)&amp;" BAŞVURU!","")</f>
        <v/>
      </c>
      <c r="T450" s="41"/>
      <c r="U450" s="29">
        <f>IF($C450&lt;&gt;"",COUNTIF($C$2:C450,C450),"")</f>
        <v>3</v>
      </c>
      <c r="V450" s="29" t="str">
        <f t="shared" ref="V450:V513" si="30">IF($C450&lt;&gt;"",C450&amp;"§"&amp;U450,"")</f>
        <v>Doç. Dr. Hilal AKSOY§3</v>
      </c>
      <c r="W450" s="29" t="str">
        <f>IF(U450=1,COUNTIF($U$2:U450,1),"")</f>
        <v/>
      </c>
      <c r="X450" s="29" t="str">
        <f t="shared" ref="X450:X513" si="31">IF(U450=1,SUMPRODUCT(($U$2:$U$1833=1)*($C$2:$C$1833&lt;C450))+1,"")</f>
        <v/>
      </c>
      <c r="Y450" s="29">
        <f>IF(AND(LEFT($B450,7)="SBA 26/",$D450&lt;&gt;"",$F450&lt;&gt;""),COUNTIFS($D$2:$D450,$D450,$B$2:$B450,"SBA 26/*",$F$2:$F450,"&lt;&gt;"),"")</f>
        <v>9</v>
      </c>
      <c r="Z450" s="29" t="str">
        <f>IF(Y450=1,COUNTIF($Y$2:Y450,1),"")</f>
        <v/>
      </c>
      <c r="AA450" s="29">
        <f>IF(AND(LEFT($B450,7)="SBA 26/",$C450&lt;&gt;"",$F450&lt;&gt;""),COUNTIFS($C$2:$C450,$C450,$B$2:$B450,"SBA 26/*",$F$2:$F450,"&lt;&gt;"),"")</f>
        <v>3</v>
      </c>
      <c r="AB450" s="29" t="str">
        <f>IF(AA450=1,COUNTIF($AA$2:AA450,1),"")</f>
        <v/>
      </c>
    </row>
    <row r="451" spans="1:28" ht="110.25" customHeight="1" x14ac:dyDescent="0.2">
      <c r="A451" s="43" t="s">
        <v>2166</v>
      </c>
      <c r="B451" s="43" t="s">
        <v>2167</v>
      </c>
      <c r="C451" s="44" t="s">
        <v>209</v>
      </c>
      <c r="D451" s="44" t="s">
        <v>133</v>
      </c>
      <c r="E451" s="45" t="s">
        <v>2168</v>
      </c>
      <c r="F451" s="45" t="s">
        <v>2169</v>
      </c>
      <c r="G451" s="46" t="s">
        <v>38</v>
      </c>
      <c r="H451" s="48">
        <v>46146</v>
      </c>
      <c r="I451" s="48">
        <v>46154</v>
      </c>
      <c r="J451" s="44" t="s">
        <v>100</v>
      </c>
      <c r="K451" s="44" t="s">
        <v>91</v>
      </c>
      <c r="L451" s="50" t="s">
        <v>101</v>
      </c>
      <c r="M451" s="50" t="s">
        <v>77</v>
      </c>
      <c r="N451" s="50"/>
      <c r="O451" s="49"/>
      <c r="P451" s="50" t="str">
        <f t="shared" si="28"/>
        <v>ONAY</v>
      </c>
      <c r="Q451" s="28" t="s">
        <v>91</v>
      </c>
      <c r="R451" s="51" t="str">
        <f t="shared" si="29"/>
        <v/>
      </c>
      <c r="T451" s="41"/>
      <c r="U451" s="29">
        <f>IF($C451&lt;&gt;"",COUNTIF($C$2:C451,C451),"")</f>
        <v>4</v>
      </c>
      <c r="V451" s="29" t="str">
        <f t="shared" si="30"/>
        <v>Doç. Dr. Dilek ÜNAL§4</v>
      </c>
      <c r="W451" s="29" t="str">
        <f>IF(U451=1,COUNTIF($U$2:U451,1),"")</f>
        <v/>
      </c>
      <c r="X451" s="29" t="str">
        <f t="shared" si="31"/>
        <v/>
      </c>
      <c r="Y451" s="29">
        <f>IF(AND(LEFT($B451,7)="SBA 26/",$D451&lt;&gt;"",$F451&lt;&gt;""),COUNTIFS($D$2:$D451,$D451,$B$2:$B451,"SBA 26/*",$F$2:$F451,"&lt;&gt;"),"")</f>
        <v>13</v>
      </c>
      <c r="Z451" s="29" t="str">
        <f>IF(Y451=1,COUNTIF($Y$2:Y451,1),"")</f>
        <v/>
      </c>
      <c r="AA451" s="29">
        <f>IF(AND(LEFT($B451,7)="SBA 26/",$C451&lt;&gt;"",$F451&lt;&gt;""),COUNTIFS($C$2:$C451,$C451,$B$2:$B451,"SBA 26/*",$F$2:$F451,"&lt;&gt;"),"")</f>
        <v>4</v>
      </c>
      <c r="AB451" s="29" t="str">
        <f>IF(AA451=1,COUNTIF($AA$2:AA451,1),"")</f>
        <v/>
      </c>
    </row>
    <row r="452" spans="1:28" ht="63" customHeight="1" x14ac:dyDescent="0.2">
      <c r="A452" s="43" t="s">
        <v>2170</v>
      </c>
      <c r="B452" s="43" t="s">
        <v>2171</v>
      </c>
      <c r="C452" s="44" t="s">
        <v>2172</v>
      </c>
      <c r="D452" s="44" t="s">
        <v>157</v>
      </c>
      <c r="E452" s="45" t="s">
        <v>2173</v>
      </c>
      <c r="F452" s="45" t="s">
        <v>2174</v>
      </c>
      <c r="G452" s="46" t="s">
        <v>38</v>
      </c>
      <c r="H452" s="48">
        <v>46146</v>
      </c>
      <c r="I452" s="48">
        <v>46154</v>
      </c>
      <c r="J452" s="44" t="s">
        <v>91</v>
      </c>
      <c r="K452" s="44" t="s">
        <v>92</v>
      </c>
      <c r="L452" s="50" t="s">
        <v>77</v>
      </c>
      <c r="M452" s="50"/>
      <c r="N452" s="50"/>
      <c r="O452" s="49"/>
      <c r="P452" s="50" t="str">
        <f t="shared" si="28"/>
        <v>ONAY</v>
      </c>
      <c r="R452" s="51" t="str">
        <f t="shared" si="29"/>
        <v/>
      </c>
      <c r="T452" s="41"/>
      <c r="U452" s="29">
        <f>IF($C452&lt;&gt;"",COUNTIF($C$2:C452,C452),"")</f>
        <v>1</v>
      </c>
      <c r="V452" s="29" t="str">
        <f t="shared" si="30"/>
        <v>Doç. Dr. Barış SEZER§1</v>
      </c>
      <c r="W452" s="29">
        <f>IF(U452=1,COUNTIF($U$2:U452,1),"")</f>
        <v>245</v>
      </c>
      <c r="X452" s="29">
        <f t="shared" si="31"/>
        <v>23</v>
      </c>
      <c r="Y452" s="29">
        <f>IF(AND(LEFT($B452,7)="SBA 26/",$D452&lt;&gt;"",$F452&lt;&gt;""),COUNTIFS($D$2:$D452,$D452,$B$2:$B452,"SBA 26/*",$F$2:$F452,"&lt;&gt;"),"")</f>
        <v>2</v>
      </c>
      <c r="Z452" s="29" t="str">
        <f>IF(Y452=1,COUNTIF($Y$2:Y452,1),"")</f>
        <v/>
      </c>
      <c r="AA452" s="29">
        <f>IF(AND(LEFT($B452,7)="SBA 26/",$C452&lt;&gt;"",$F452&lt;&gt;""),COUNTIFS($C$2:$C452,$C452,$B$2:$B452,"SBA 26/*",$F$2:$F452,"&lt;&gt;"),"")</f>
        <v>1</v>
      </c>
      <c r="AB452" s="29">
        <f>IF(AA452=1,COUNTIF($AA$2:AA452,1),"")</f>
        <v>245</v>
      </c>
    </row>
    <row r="453" spans="1:28" ht="94.5" customHeight="1" x14ac:dyDescent="0.2">
      <c r="A453" s="43" t="s">
        <v>2175</v>
      </c>
      <c r="B453" s="43" t="s">
        <v>2176</v>
      </c>
      <c r="C453" s="44" t="s">
        <v>109</v>
      </c>
      <c r="D453" s="44" t="s">
        <v>2177</v>
      </c>
      <c r="E453" s="45" t="s">
        <v>2178</v>
      </c>
      <c r="F453" s="45" t="s">
        <v>2179</v>
      </c>
      <c r="G453" s="46" t="s">
        <v>39</v>
      </c>
      <c r="H453" s="48">
        <v>46146</v>
      </c>
      <c r="I453" s="48">
        <v>46154</v>
      </c>
      <c r="J453" s="44" t="s">
        <v>75</v>
      </c>
      <c r="K453" s="44" t="s">
        <v>99</v>
      </c>
      <c r="L453" s="50" t="s">
        <v>77</v>
      </c>
      <c r="M453" s="50"/>
      <c r="N453" s="50"/>
      <c r="O453" s="49"/>
      <c r="P453" s="50" t="str">
        <f t="shared" si="28"/>
        <v>ONAY</v>
      </c>
      <c r="R453" s="51" t="str">
        <f t="shared" si="29"/>
        <v/>
      </c>
      <c r="T453" s="41"/>
      <c r="U453" s="29">
        <f>IF($C453&lt;&gt;"",COUNTIF($C$2:C453,C453),"")</f>
        <v>1</v>
      </c>
      <c r="V453" s="29" t="str">
        <f t="shared" si="30"/>
        <v>Prof. Dr. Melih Önder BABAOĞLU§1</v>
      </c>
      <c r="W453" s="29">
        <f>IF(U453=1,COUNTIF($U$2:U453,1),"")</f>
        <v>246</v>
      </c>
      <c r="X453" s="29">
        <f t="shared" si="31"/>
        <v>269</v>
      </c>
      <c r="Y453" s="29">
        <f>IF(AND(LEFT($B453,7)="SBA 26/",$D453&lt;&gt;"",$F453&lt;&gt;""),COUNTIFS($D$2:$D453,$D453,$B$2:$B453,"SBA 26/*",$F$2:$F453,"&lt;&gt;"),"")</f>
        <v>1</v>
      </c>
      <c r="Z453" s="29">
        <f>IF(Y453=1,COUNTIF($Y$2:Y453,1),"")</f>
        <v>67</v>
      </c>
      <c r="AA453" s="29">
        <f>IF(AND(LEFT($B453,7)="SBA 26/",$C453&lt;&gt;"",$F453&lt;&gt;""),COUNTIFS($C$2:$C453,$C453,$B$2:$B453,"SBA 26/*",$F$2:$F453,"&lt;&gt;"),"")</f>
        <v>1</v>
      </c>
      <c r="AB453" s="29">
        <f>IF(AA453=1,COUNTIF($AA$2:AA453,1),"")</f>
        <v>246</v>
      </c>
    </row>
    <row r="454" spans="1:28" ht="63" customHeight="1" x14ac:dyDescent="0.2">
      <c r="A454" s="43" t="s">
        <v>2180</v>
      </c>
      <c r="B454" s="43" t="s">
        <v>2181</v>
      </c>
      <c r="C454" s="44" t="s">
        <v>2076</v>
      </c>
      <c r="D454" s="44" t="s">
        <v>113</v>
      </c>
      <c r="E454" s="45" t="s">
        <v>2077</v>
      </c>
      <c r="F454" s="45" t="s">
        <v>2182</v>
      </c>
      <c r="G454" s="46" t="s">
        <v>38</v>
      </c>
      <c r="H454" s="48">
        <v>46154</v>
      </c>
      <c r="I454" s="48">
        <v>46175</v>
      </c>
      <c r="J454" s="44" t="s">
        <v>116</v>
      </c>
      <c r="K454" s="44" t="s">
        <v>84</v>
      </c>
      <c r="L454" s="50" t="s">
        <v>77</v>
      </c>
      <c r="M454" s="50"/>
      <c r="N454" s="50"/>
      <c r="O454" s="49"/>
      <c r="P454" s="50" t="str">
        <f t="shared" si="28"/>
        <v>ONAY</v>
      </c>
      <c r="R454" s="51" t="str">
        <f t="shared" si="29"/>
        <v/>
      </c>
      <c r="T454" s="41"/>
      <c r="U454" s="29">
        <f>IF($C454&lt;&gt;"",COUNTIF($C$2:C454,C454),"")</f>
        <v>3</v>
      </c>
      <c r="V454" s="29" t="str">
        <f t="shared" si="30"/>
        <v>Prof. Dr. Ümit Yavuz MALKAN§3</v>
      </c>
      <c r="W454" s="29" t="str">
        <f>IF(U454=1,COUNTIF($U$2:U454,1),"")</f>
        <v/>
      </c>
      <c r="X454" s="29" t="str">
        <f t="shared" si="31"/>
        <v/>
      </c>
      <c r="Y454" s="29">
        <f>IF(AND(LEFT($B454,7)="SBA 26/",$D454&lt;&gt;"",$F454&lt;&gt;""),COUNTIFS($D$2:$D454,$D454,$B$2:$B454,"SBA 26/*",$F$2:$F454,"&lt;&gt;"),"")</f>
        <v>74</v>
      </c>
      <c r="Z454" s="29" t="str">
        <f>IF(Y454=1,COUNTIF($Y$2:Y454,1),"")</f>
        <v/>
      </c>
      <c r="AA454" s="29">
        <f>IF(AND(LEFT($B454,7)="SBA 26/",$C454&lt;&gt;"",$F454&lt;&gt;""),COUNTIFS($C$2:$C454,$C454,$B$2:$B454,"SBA 26/*",$F$2:$F454,"&lt;&gt;"),"")</f>
        <v>3</v>
      </c>
      <c r="AB454" s="29" t="str">
        <f>IF(AA454=1,COUNTIF($AA$2:AA454,1),"")</f>
        <v/>
      </c>
    </row>
    <row r="455" spans="1:28" ht="63" customHeight="1" x14ac:dyDescent="0.2">
      <c r="A455" s="43" t="s">
        <v>2183</v>
      </c>
      <c r="B455" s="43" t="s">
        <v>2184</v>
      </c>
      <c r="C455" s="44" t="s">
        <v>2076</v>
      </c>
      <c r="D455" s="44" t="s">
        <v>113</v>
      </c>
      <c r="E455" s="45" t="s">
        <v>2077</v>
      </c>
      <c r="F455" s="45" t="s">
        <v>2185</v>
      </c>
      <c r="G455" s="46" t="s">
        <v>38</v>
      </c>
      <c r="H455" s="48">
        <v>46154</v>
      </c>
      <c r="I455" s="48">
        <v>46175</v>
      </c>
      <c r="J455" s="44" t="s">
        <v>129</v>
      </c>
      <c r="K455" s="44" t="s">
        <v>84</v>
      </c>
      <c r="L455" s="50" t="s">
        <v>77</v>
      </c>
      <c r="M455" s="50"/>
      <c r="N455" s="50"/>
      <c r="O455" s="49"/>
      <c r="P455" s="50" t="str">
        <f t="shared" si="28"/>
        <v>ONAY</v>
      </c>
      <c r="R455" s="51" t="str">
        <f t="shared" si="29"/>
        <v/>
      </c>
      <c r="T455" s="41"/>
      <c r="U455" s="29">
        <f>IF($C455&lt;&gt;"",COUNTIF($C$2:C455,C455),"")</f>
        <v>4</v>
      </c>
      <c r="V455" s="29" t="str">
        <f t="shared" si="30"/>
        <v>Prof. Dr. Ümit Yavuz MALKAN§4</v>
      </c>
      <c r="W455" s="29" t="str">
        <f>IF(U455=1,COUNTIF($U$2:U455,1),"")</f>
        <v/>
      </c>
      <c r="X455" s="29" t="str">
        <f t="shared" si="31"/>
        <v/>
      </c>
      <c r="Y455" s="29">
        <f>IF(AND(LEFT($B455,7)="SBA 26/",$D455&lt;&gt;"",$F455&lt;&gt;""),COUNTIFS($D$2:$D455,$D455,$B$2:$B455,"SBA 26/*",$F$2:$F455,"&lt;&gt;"),"")</f>
        <v>75</v>
      </c>
      <c r="Z455" s="29" t="str">
        <f>IF(Y455=1,COUNTIF($Y$2:Y455,1),"")</f>
        <v/>
      </c>
      <c r="AA455" s="29">
        <f>IF(AND(LEFT($B455,7)="SBA 26/",$C455&lt;&gt;"",$F455&lt;&gt;""),COUNTIFS($C$2:$C455,$C455,$B$2:$B455,"SBA 26/*",$F$2:$F455,"&lt;&gt;"),"")</f>
        <v>4</v>
      </c>
      <c r="AB455" s="29" t="str">
        <f>IF(AA455=1,COUNTIF($AA$2:AA455,1),"")</f>
        <v/>
      </c>
    </row>
    <row r="456" spans="1:28" ht="78.75" customHeight="1" x14ac:dyDescent="0.2">
      <c r="A456" s="43" t="s">
        <v>2186</v>
      </c>
      <c r="B456" s="43" t="s">
        <v>2187</v>
      </c>
      <c r="C456" s="44" t="s">
        <v>2188</v>
      </c>
      <c r="D456" s="44" t="s">
        <v>291</v>
      </c>
      <c r="E456" s="45" t="s">
        <v>2189</v>
      </c>
      <c r="F456" s="45" t="s">
        <v>2190</v>
      </c>
      <c r="G456" s="46" t="s">
        <v>38</v>
      </c>
      <c r="H456" s="48">
        <v>46154</v>
      </c>
      <c r="I456" s="48">
        <v>46175</v>
      </c>
      <c r="J456" s="44" t="s">
        <v>75</v>
      </c>
      <c r="K456" s="44" t="s">
        <v>116</v>
      </c>
      <c r="L456" s="50" t="s">
        <v>77</v>
      </c>
      <c r="M456" s="50"/>
      <c r="N456" s="50"/>
      <c r="O456" s="49"/>
      <c r="P456" s="50" t="str">
        <f t="shared" si="28"/>
        <v>ONAY</v>
      </c>
      <c r="R456" s="51" t="str">
        <f t="shared" si="29"/>
        <v/>
      </c>
      <c r="T456" s="41"/>
      <c r="U456" s="29">
        <f>IF($C456&lt;&gt;"",COUNTIF($C$2:C456,C456),"")</f>
        <v>1</v>
      </c>
      <c r="V456" s="29" t="str">
        <f t="shared" si="30"/>
        <v>Dr. Öğr. Üyesi Oğuzhan KATAR§1</v>
      </c>
      <c r="W456" s="29">
        <f>IF(U456=1,COUNTIF($U$2:U456,1),"")</f>
        <v>247</v>
      </c>
      <c r="X456" s="29">
        <f t="shared" si="31"/>
        <v>157</v>
      </c>
      <c r="Y456" s="29">
        <f>IF(AND(LEFT($B456,7)="SBA 26/",$D456&lt;&gt;"",$F456&lt;&gt;""),COUNTIFS($D$2:$D456,$D456,$B$2:$B456,"SBA 26/*",$F$2:$F456,"&lt;&gt;"),"")</f>
        <v>8</v>
      </c>
      <c r="Z456" s="29" t="str">
        <f>IF(Y456=1,COUNTIF($Y$2:Y456,1),"")</f>
        <v/>
      </c>
      <c r="AA456" s="29">
        <f>IF(AND(LEFT($B456,7)="SBA 26/",$C456&lt;&gt;"",$F456&lt;&gt;""),COUNTIFS($C$2:$C456,$C456,$B$2:$B456,"SBA 26/*",$F$2:$F456,"&lt;&gt;"),"")</f>
        <v>1</v>
      </c>
      <c r="AB456" s="29">
        <f>IF(AA456=1,COUNTIF($AA$2:AA456,1),"")</f>
        <v>247</v>
      </c>
    </row>
    <row r="457" spans="1:28" ht="63" customHeight="1" x14ac:dyDescent="0.2">
      <c r="A457" s="43" t="s">
        <v>2191</v>
      </c>
      <c r="B457" s="43" t="s">
        <v>2192</v>
      </c>
      <c r="C457" s="44" t="s">
        <v>519</v>
      </c>
      <c r="D457" s="44" t="s">
        <v>364</v>
      </c>
      <c r="E457" s="45" t="s">
        <v>2193</v>
      </c>
      <c r="F457" s="45" t="s">
        <v>2194</v>
      </c>
      <c r="G457" s="46" t="s">
        <v>38</v>
      </c>
      <c r="H457" s="48">
        <v>46154</v>
      </c>
      <c r="I457" s="48">
        <v>46175</v>
      </c>
      <c r="J457" s="44" t="s">
        <v>108</v>
      </c>
      <c r="K457" s="44" t="s">
        <v>99</v>
      </c>
      <c r="L457" s="50" t="s">
        <v>77</v>
      </c>
      <c r="M457" s="50"/>
      <c r="N457" s="50"/>
      <c r="O457" s="49"/>
      <c r="P457" s="50" t="str">
        <f t="shared" si="28"/>
        <v>ONAY</v>
      </c>
      <c r="R457" s="51" t="str">
        <f t="shared" si="29"/>
        <v/>
      </c>
      <c r="T457" s="41"/>
      <c r="U457" s="29">
        <f>IF($C457&lt;&gt;"",COUNTIF($C$2:C457,C457),"")</f>
        <v>5</v>
      </c>
      <c r="V457" s="29" t="str">
        <f t="shared" si="30"/>
        <v>Prof. Dr. Neşe DERİCİOĞLU§5</v>
      </c>
      <c r="W457" s="29" t="str">
        <f>IF(U457=1,COUNTIF($U$2:U457,1),"")</f>
        <v/>
      </c>
      <c r="X457" s="29" t="str">
        <f t="shared" si="31"/>
        <v/>
      </c>
      <c r="Y457" s="29">
        <f>IF(AND(LEFT($B457,7)="SBA 26/",$D457&lt;&gt;"",$F457&lt;&gt;""),COUNTIFS($D$2:$D457,$D457,$B$2:$B457,"SBA 26/*",$F$2:$F457,"&lt;&gt;"),"")</f>
        <v>18</v>
      </c>
      <c r="Z457" s="29" t="str">
        <f>IF(Y457=1,COUNTIF($Y$2:Y457,1),"")</f>
        <v/>
      </c>
      <c r="AA457" s="29">
        <f>IF(AND(LEFT($B457,7)="SBA 26/",$C457&lt;&gt;"",$F457&lt;&gt;""),COUNTIFS($C$2:$C457,$C457,$B$2:$B457,"SBA 26/*",$F$2:$F457,"&lt;&gt;"),"")</f>
        <v>5</v>
      </c>
      <c r="AB457" s="29" t="str">
        <f>IF(AA457=1,COUNTIF($AA$2:AA457,1),"")</f>
        <v/>
      </c>
    </row>
    <row r="458" spans="1:28" ht="47.25" customHeight="1" x14ac:dyDescent="0.2">
      <c r="A458" s="43" t="s">
        <v>2195</v>
      </c>
      <c r="B458" s="43" t="s">
        <v>2196</v>
      </c>
      <c r="C458" s="44" t="s">
        <v>524</v>
      </c>
      <c r="D458" s="44" t="s">
        <v>113</v>
      </c>
      <c r="E458" s="45" t="s">
        <v>2155</v>
      </c>
      <c r="F458" s="45" t="s">
        <v>2197</v>
      </c>
      <c r="G458" s="46" t="s">
        <v>38</v>
      </c>
      <c r="H458" s="48">
        <v>46154</v>
      </c>
      <c r="I458" s="48">
        <v>46175</v>
      </c>
      <c r="J458" s="44" t="s">
        <v>109</v>
      </c>
      <c r="K458" s="44" t="s">
        <v>123</v>
      </c>
      <c r="L458" s="50" t="s">
        <v>77</v>
      </c>
      <c r="M458" s="50"/>
      <c r="N458" s="50"/>
      <c r="O458" s="49"/>
      <c r="P458" s="50" t="str">
        <f t="shared" si="28"/>
        <v>ONAY</v>
      </c>
      <c r="R458" s="51" t="str">
        <f t="shared" si="29"/>
        <v/>
      </c>
      <c r="T458" s="41"/>
      <c r="U458" s="29">
        <f>IF($C458&lt;&gt;"",COUNTIF($C$2:C458,C458),"")</f>
        <v>6</v>
      </c>
      <c r="V458" s="29" t="str">
        <f t="shared" si="30"/>
        <v>Doç. Dr. Mert EŞME§6</v>
      </c>
      <c r="W458" s="29" t="str">
        <f>IF(U458=1,COUNTIF($U$2:U458,1),"")</f>
        <v/>
      </c>
      <c r="X458" s="29" t="str">
        <f t="shared" si="31"/>
        <v/>
      </c>
      <c r="Y458" s="29">
        <f>IF(AND(LEFT($B458,7)="SBA 26/",$D458&lt;&gt;"",$F458&lt;&gt;""),COUNTIFS($D$2:$D458,$D458,$B$2:$B458,"SBA 26/*",$F$2:$F458,"&lt;&gt;"),"")</f>
        <v>76</v>
      </c>
      <c r="Z458" s="29" t="str">
        <f>IF(Y458=1,COUNTIF($Y$2:Y458,1),"")</f>
        <v/>
      </c>
      <c r="AA458" s="29">
        <f>IF(AND(LEFT($B458,7)="SBA 26/",$C458&lt;&gt;"",$F458&lt;&gt;""),COUNTIFS($C$2:$C458,$C458,$B$2:$B458,"SBA 26/*",$F$2:$F458,"&lt;&gt;"),"")</f>
        <v>6</v>
      </c>
      <c r="AB458" s="29" t="str">
        <f>IF(AA458=1,COUNTIF($AA$2:AA458,1),"")</f>
        <v/>
      </c>
    </row>
    <row r="459" spans="1:28" ht="47.25" customHeight="1" x14ac:dyDescent="0.2">
      <c r="A459" s="43" t="s">
        <v>2198</v>
      </c>
      <c r="B459" s="43" t="s">
        <v>2199</v>
      </c>
      <c r="C459" s="44" t="s">
        <v>2200</v>
      </c>
      <c r="D459" s="44" t="s">
        <v>234</v>
      </c>
      <c r="E459" s="45" t="s">
        <v>2201</v>
      </c>
      <c r="F459" s="45" t="s">
        <v>2202</v>
      </c>
      <c r="G459" s="46" t="s">
        <v>38</v>
      </c>
      <c r="H459" s="48">
        <v>46154</v>
      </c>
      <c r="I459" s="48">
        <v>46175</v>
      </c>
      <c r="J459" s="44" t="s">
        <v>92</v>
      </c>
      <c r="K459" s="44" t="s">
        <v>100</v>
      </c>
      <c r="L459" s="50" t="s">
        <v>101</v>
      </c>
      <c r="M459" s="50" t="s">
        <v>101</v>
      </c>
      <c r="N459" s="50" t="s">
        <v>77</v>
      </c>
      <c r="O459" s="49"/>
      <c r="P459" s="50" t="str">
        <f t="shared" si="28"/>
        <v>ONAY</v>
      </c>
      <c r="Q459" s="28" t="s">
        <v>92</v>
      </c>
      <c r="R459" s="51" t="str">
        <f t="shared" si="29"/>
        <v/>
      </c>
      <c r="T459" s="41"/>
      <c r="U459" s="29">
        <f>IF($C459&lt;&gt;"",COUNTIF($C$2:C459,C459),"")</f>
        <v>1</v>
      </c>
      <c r="V459" s="29" t="str">
        <f t="shared" si="30"/>
        <v>Doç. Dr. Ahmet KIVRAK§1</v>
      </c>
      <c r="W459" s="29">
        <f>IF(U459=1,COUNTIF($U$2:U459,1),"")</f>
        <v>248</v>
      </c>
      <c r="X459" s="29">
        <f t="shared" si="31"/>
        <v>18</v>
      </c>
      <c r="Y459" s="29">
        <f>IF(AND(LEFT($B459,7)="SBA 26/",$D459&lt;&gt;"",$F459&lt;&gt;""),COUNTIFS($D$2:$D459,$D459,$B$2:$B459,"SBA 26/*",$F$2:$F459,"&lt;&gt;"),"")</f>
        <v>8</v>
      </c>
      <c r="Z459" s="29" t="str">
        <f>IF(Y459=1,COUNTIF($Y$2:Y459,1),"")</f>
        <v/>
      </c>
      <c r="AA459" s="29">
        <f>IF(AND(LEFT($B459,7)="SBA 26/",$C459&lt;&gt;"",$F459&lt;&gt;""),COUNTIFS($C$2:$C459,$C459,$B$2:$B459,"SBA 26/*",$F$2:$F459,"&lt;&gt;"),"")</f>
        <v>1</v>
      </c>
      <c r="AB459" s="29">
        <f>IF(AA459=1,COUNTIF($AA$2:AA459,1),"")</f>
        <v>248</v>
      </c>
    </row>
    <row r="460" spans="1:28" ht="78.75" customHeight="1" x14ac:dyDescent="0.2">
      <c r="A460" s="43" t="s">
        <v>2203</v>
      </c>
      <c r="B460" s="43" t="s">
        <v>2204</v>
      </c>
      <c r="C460" s="44" t="s">
        <v>1589</v>
      </c>
      <c r="D460" s="44" t="s">
        <v>341</v>
      </c>
      <c r="E460" s="45" t="s">
        <v>2205</v>
      </c>
      <c r="F460" s="45" t="s">
        <v>2206</v>
      </c>
      <c r="G460" s="46" t="s">
        <v>38</v>
      </c>
      <c r="H460" s="48">
        <v>46154</v>
      </c>
      <c r="I460" s="48">
        <v>46175</v>
      </c>
      <c r="J460" s="44" t="s">
        <v>109</v>
      </c>
      <c r="K460" s="44" t="s">
        <v>116</v>
      </c>
      <c r="L460" s="50" t="s">
        <v>101</v>
      </c>
      <c r="M460" s="50" t="s">
        <v>77</v>
      </c>
      <c r="N460" s="50"/>
      <c r="O460" s="49"/>
      <c r="P460" s="50" t="str">
        <f t="shared" si="28"/>
        <v>ONAY</v>
      </c>
      <c r="Q460" s="28" t="s">
        <v>109</v>
      </c>
      <c r="R460" s="51" t="str">
        <f t="shared" si="29"/>
        <v/>
      </c>
      <c r="T460" s="41"/>
      <c r="U460" s="29">
        <f>IF($C460&lt;&gt;"",COUNTIF($C$2:C460,C460),"")</f>
        <v>3</v>
      </c>
      <c r="V460" s="29" t="str">
        <f t="shared" si="30"/>
        <v>Prof. Dr. Sibel DOĞAN GÜNAYDIN§3</v>
      </c>
      <c r="W460" s="29" t="str">
        <f>IF(U460=1,COUNTIF($U$2:U460,1),"")</f>
        <v/>
      </c>
      <c r="X460" s="29" t="str">
        <f t="shared" si="31"/>
        <v/>
      </c>
      <c r="Y460" s="29">
        <f>IF(AND(LEFT($B460,7)="SBA 26/",$D460&lt;&gt;"",$F460&lt;&gt;""),COUNTIFS($D$2:$D460,$D460,$B$2:$B460,"SBA 26/*",$F$2:$F460,"&lt;&gt;"),"")</f>
        <v>11</v>
      </c>
      <c r="Z460" s="29" t="str">
        <f>IF(Y460=1,COUNTIF($Y$2:Y460,1),"")</f>
        <v/>
      </c>
      <c r="AA460" s="29">
        <f>IF(AND(LEFT($B460,7)="SBA 26/",$C460&lt;&gt;"",$F460&lt;&gt;""),COUNTIFS($C$2:$C460,$C460,$B$2:$B460,"SBA 26/*",$F$2:$F460,"&lt;&gt;"),"")</f>
        <v>3</v>
      </c>
      <c r="AB460" s="29" t="str">
        <f>IF(AA460=1,COUNTIF($AA$2:AA460,1),"")</f>
        <v/>
      </c>
    </row>
    <row r="461" spans="1:28" ht="67.5" customHeight="1" x14ac:dyDescent="0.2">
      <c r="A461" s="43" t="s">
        <v>2207</v>
      </c>
      <c r="B461" s="43" t="s">
        <v>2208</v>
      </c>
      <c r="C461" s="44" t="s">
        <v>1043</v>
      </c>
      <c r="D461" s="44" t="s">
        <v>88</v>
      </c>
      <c r="E461" s="45" t="s">
        <v>2209</v>
      </c>
      <c r="F461" s="45" t="s">
        <v>2210</v>
      </c>
      <c r="G461" s="46" t="s">
        <v>38</v>
      </c>
      <c r="H461" s="48">
        <v>46154</v>
      </c>
      <c r="I461" s="48">
        <v>46175</v>
      </c>
      <c r="J461" s="44" t="s">
        <v>92</v>
      </c>
      <c r="K461" s="44" t="s">
        <v>123</v>
      </c>
      <c r="L461" s="50" t="s">
        <v>77</v>
      </c>
      <c r="M461" s="50"/>
      <c r="N461" s="50"/>
      <c r="O461" s="49"/>
      <c r="P461" s="50" t="str">
        <f t="shared" si="28"/>
        <v>ONAY</v>
      </c>
      <c r="R461" s="51" t="str">
        <f t="shared" si="29"/>
        <v/>
      </c>
      <c r="T461" s="41"/>
      <c r="U461" s="29">
        <f>IF($C461&lt;&gt;"",COUNTIF($C$2:C461,C461),"")</f>
        <v>3</v>
      </c>
      <c r="V461" s="29" t="str">
        <f t="shared" si="30"/>
        <v>Dr. Öğr. Üyesi Aycan UYSAL§3</v>
      </c>
      <c r="W461" s="29" t="str">
        <f>IF(U461=1,COUNTIF($U$2:U461,1),"")</f>
        <v/>
      </c>
      <c r="X461" s="29" t="str">
        <f t="shared" si="31"/>
        <v/>
      </c>
      <c r="Y461" s="29">
        <f>IF(AND(LEFT($B461,7)="SBA 26/",$D461&lt;&gt;"",$F461&lt;&gt;""),COUNTIFS($D$2:$D461,$D461,$B$2:$B461,"SBA 26/*",$F$2:$F461,"&lt;&gt;"),"")</f>
        <v>17</v>
      </c>
      <c r="Z461" s="29" t="str">
        <f>IF(Y461=1,COUNTIF($Y$2:Y461,1),"")</f>
        <v/>
      </c>
      <c r="AA461" s="29">
        <f>IF(AND(LEFT($B461,7)="SBA 26/",$C461&lt;&gt;"",$F461&lt;&gt;""),COUNTIFS($C$2:$C461,$C461,$B$2:$B461,"SBA 26/*",$F$2:$F461,"&lt;&gt;"),"")</f>
        <v>3</v>
      </c>
      <c r="AB461" s="29" t="str">
        <f>IF(AA461=1,COUNTIF($AA$2:AA461,1),"")</f>
        <v/>
      </c>
    </row>
    <row r="462" spans="1:28" ht="63" customHeight="1" x14ac:dyDescent="0.2">
      <c r="A462" s="43" t="s">
        <v>2211</v>
      </c>
      <c r="B462" s="43" t="s">
        <v>2212</v>
      </c>
      <c r="C462" s="44" t="s">
        <v>2213</v>
      </c>
      <c r="D462" s="44" t="s">
        <v>2214</v>
      </c>
      <c r="E462" s="45" t="s">
        <v>2215</v>
      </c>
      <c r="F462" s="45" t="s">
        <v>2216</v>
      </c>
      <c r="G462" s="46" t="s">
        <v>38</v>
      </c>
      <c r="H462" s="48">
        <v>46154</v>
      </c>
      <c r="I462" s="48">
        <v>46175</v>
      </c>
      <c r="J462" s="44" t="s">
        <v>75</v>
      </c>
      <c r="K462" s="44" t="s">
        <v>84</v>
      </c>
      <c r="L462" s="50" t="s">
        <v>206</v>
      </c>
      <c r="M462" s="50" t="s">
        <v>101</v>
      </c>
      <c r="N462" s="50" t="s">
        <v>77</v>
      </c>
      <c r="O462" s="49"/>
      <c r="P462" s="50" t="str">
        <f t="shared" si="28"/>
        <v>ONAY</v>
      </c>
      <c r="Q462" s="28" t="s">
        <v>75</v>
      </c>
      <c r="R462" s="51" t="str">
        <f t="shared" si="29"/>
        <v/>
      </c>
      <c r="T462" s="41"/>
      <c r="U462" s="29">
        <f>IF($C462&lt;&gt;"",COUNTIF($C$2:C462,C462),"")</f>
        <v>1</v>
      </c>
      <c r="V462" s="29" t="str">
        <f t="shared" si="30"/>
        <v>Arş. Gör. Dr. Ozan KAPLAN§1</v>
      </c>
      <c r="W462" s="29">
        <f>IF(U462=1,COUNTIF($U$2:U462,1),"")</f>
        <v>249</v>
      </c>
      <c r="X462" s="29">
        <f t="shared" si="31"/>
        <v>7</v>
      </c>
      <c r="Y462" s="29">
        <f>IF(AND(LEFT($B462,7)="SBA 26/",$D462&lt;&gt;"",$F462&lt;&gt;""),COUNTIFS($D$2:$D462,$D462,$B$2:$B462,"SBA 26/*",$F$2:$F462,"&lt;&gt;"),"")</f>
        <v>1</v>
      </c>
      <c r="Z462" s="29">
        <f>IF(Y462=1,COUNTIF($Y$2:Y462,1),"")</f>
        <v>68</v>
      </c>
      <c r="AA462" s="29">
        <f>IF(AND(LEFT($B462,7)="SBA 26/",$C462&lt;&gt;"",$F462&lt;&gt;""),COUNTIFS($C$2:$C462,$C462,$B$2:$B462,"SBA 26/*",$F$2:$F462,"&lt;&gt;"),"")</f>
        <v>1</v>
      </c>
      <c r="AB462" s="29">
        <f>IF(AA462=1,COUNTIF($AA$2:AA462,1),"")</f>
        <v>249</v>
      </c>
    </row>
    <row r="463" spans="1:28" ht="94.5" customHeight="1" x14ac:dyDescent="0.2">
      <c r="A463" s="43" t="s">
        <v>2217</v>
      </c>
      <c r="B463" s="43" t="s">
        <v>2218</v>
      </c>
      <c r="C463" s="44" t="s">
        <v>2219</v>
      </c>
      <c r="D463" s="44" t="s">
        <v>430</v>
      </c>
      <c r="E463" s="45" t="s">
        <v>2220</v>
      </c>
      <c r="F463" s="45" t="s">
        <v>2221</v>
      </c>
      <c r="G463" s="46" t="s">
        <v>38</v>
      </c>
      <c r="H463" s="48">
        <v>46154</v>
      </c>
      <c r="I463" s="48">
        <v>46175</v>
      </c>
      <c r="J463" s="44" t="s">
        <v>109</v>
      </c>
      <c r="K463" s="44" t="s">
        <v>100</v>
      </c>
      <c r="L463" s="50" t="s">
        <v>77</v>
      </c>
      <c r="M463" s="50"/>
      <c r="N463" s="50"/>
      <c r="O463" s="49"/>
      <c r="P463" s="50" t="str">
        <f t="shared" si="28"/>
        <v>ONAY</v>
      </c>
      <c r="R463" s="51" t="str">
        <f t="shared" si="29"/>
        <v/>
      </c>
      <c r="T463" s="41"/>
      <c r="U463" s="29">
        <f>IF($C463&lt;&gt;"",COUNTIF($C$2:C463,C463),"")</f>
        <v>1</v>
      </c>
      <c r="V463" s="29" t="str">
        <f t="shared" si="30"/>
        <v>Dr. Öğr. Üyesi Emre MUTLU§1</v>
      </c>
      <c r="W463" s="29">
        <f>IF(U463=1,COUNTIF($U$2:U463,1),"")</f>
        <v>250</v>
      </c>
      <c r="X463" s="29">
        <f t="shared" si="31"/>
        <v>132</v>
      </c>
      <c r="Y463" s="29">
        <f>IF(AND(LEFT($B463,7)="SBA 26/",$D463&lt;&gt;"",$F463&lt;&gt;""),COUNTIFS($D$2:$D463,$D463,$B$2:$B463,"SBA 26/*",$F$2:$F463,"&lt;&gt;"),"")</f>
        <v>6</v>
      </c>
      <c r="Z463" s="29" t="str">
        <f>IF(Y463=1,COUNTIF($Y$2:Y463,1),"")</f>
        <v/>
      </c>
      <c r="AA463" s="29">
        <f>IF(AND(LEFT($B463,7)="SBA 26/",$C463&lt;&gt;"",$F463&lt;&gt;""),COUNTIFS($C$2:$C463,$C463,$B$2:$B463,"SBA 26/*",$F$2:$F463,"&lt;&gt;"),"")</f>
        <v>1</v>
      </c>
      <c r="AB463" s="29">
        <f>IF(AA463=1,COUNTIF($AA$2:AA463,1),"")</f>
        <v>250</v>
      </c>
    </row>
    <row r="464" spans="1:28" ht="110.25" customHeight="1" x14ac:dyDescent="0.2">
      <c r="A464" s="43" t="s">
        <v>2222</v>
      </c>
      <c r="B464" s="43" t="s">
        <v>2223</v>
      </c>
      <c r="C464" s="44" t="s">
        <v>2224</v>
      </c>
      <c r="D464" s="44" t="s">
        <v>150</v>
      </c>
      <c r="E464" s="45" t="s">
        <v>2225</v>
      </c>
      <c r="F464" s="45" t="s">
        <v>2226</v>
      </c>
      <c r="G464" s="46" t="s">
        <v>39</v>
      </c>
      <c r="H464" s="48">
        <v>46154</v>
      </c>
      <c r="I464" s="48">
        <v>46175</v>
      </c>
      <c r="J464" s="44" t="s">
        <v>108</v>
      </c>
      <c r="K464" s="44" t="s">
        <v>99</v>
      </c>
      <c r="L464" s="50" t="s">
        <v>101</v>
      </c>
      <c r="M464" s="50" t="s">
        <v>77</v>
      </c>
      <c r="N464" s="50"/>
      <c r="O464" s="49"/>
      <c r="P464" s="50" t="str">
        <f t="shared" si="28"/>
        <v>ONAY</v>
      </c>
      <c r="Q464" s="28" t="s">
        <v>99</v>
      </c>
      <c r="R464" s="51" t="str">
        <f t="shared" si="29"/>
        <v/>
      </c>
      <c r="T464" s="41"/>
      <c r="U464" s="29">
        <f>IF($C464&lt;&gt;"",COUNTIF($C$2:C464,C464),"")</f>
        <v>1</v>
      </c>
      <c r="V464" s="29" t="str">
        <f t="shared" si="30"/>
        <v>Prof. Dr. Lale KARAKOÇ SÖKMENSÜER§1</v>
      </c>
      <c r="W464" s="29">
        <f>IF(U464=1,COUNTIF($U$2:U464,1),"")</f>
        <v>251</v>
      </c>
      <c r="X464" s="29">
        <f t="shared" si="31"/>
        <v>260</v>
      </c>
      <c r="Y464" s="29">
        <f>IF(AND(LEFT($B464,7)="SBA 26/",$D464&lt;&gt;"",$F464&lt;&gt;""),COUNTIFS($D$2:$D464,$D464,$B$2:$B464,"SBA 26/*",$F$2:$F464,"&lt;&gt;"),"")</f>
        <v>5</v>
      </c>
      <c r="Z464" s="29" t="str">
        <f>IF(Y464=1,COUNTIF($Y$2:Y464,1),"")</f>
        <v/>
      </c>
      <c r="AA464" s="29">
        <f>IF(AND(LEFT($B464,7)="SBA 26/",$C464&lt;&gt;"",$F464&lt;&gt;""),COUNTIFS($C$2:$C464,$C464,$B$2:$B464,"SBA 26/*",$F$2:$F464,"&lt;&gt;"),"")</f>
        <v>1</v>
      </c>
      <c r="AB464" s="29">
        <f>IF(AA464=1,COUNTIF($AA$2:AA464,1),"")</f>
        <v>251</v>
      </c>
    </row>
    <row r="465" spans="1:28" ht="80.25" customHeight="1" x14ac:dyDescent="0.2">
      <c r="A465" s="43" t="s">
        <v>2227</v>
      </c>
      <c r="B465" s="43" t="s">
        <v>2228</v>
      </c>
      <c r="C465" s="44" t="s">
        <v>2229</v>
      </c>
      <c r="D465" s="44" t="s">
        <v>484</v>
      </c>
      <c r="E465" s="45" t="s">
        <v>2230</v>
      </c>
      <c r="F465" s="45" t="s">
        <v>2231</v>
      </c>
      <c r="G465" s="46" t="s">
        <v>38</v>
      </c>
      <c r="H465" s="48">
        <v>46154</v>
      </c>
      <c r="I465" s="48">
        <v>46175</v>
      </c>
      <c r="J465" s="44" t="s">
        <v>123</v>
      </c>
      <c r="K465" s="44" t="s">
        <v>92</v>
      </c>
      <c r="L465" s="50" t="s">
        <v>101</v>
      </c>
      <c r="M465" s="50" t="s">
        <v>77</v>
      </c>
      <c r="N465" s="50"/>
      <c r="O465" s="49"/>
      <c r="P465" s="50" t="str">
        <f t="shared" si="28"/>
        <v>ONAY</v>
      </c>
      <c r="Q465" s="28" t="s">
        <v>123</v>
      </c>
      <c r="R465" s="51" t="str">
        <f t="shared" si="29"/>
        <v/>
      </c>
      <c r="T465" s="41"/>
      <c r="U465" s="29">
        <f>IF($C465&lt;&gt;"",COUNTIF($C$2:C465,C465),"")</f>
        <v>1</v>
      </c>
      <c r="V465" s="29" t="str">
        <f t="shared" si="30"/>
        <v>Prof. Dr. Şevket Murat ÖZBEK§1</v>
      </c>
      <c r="W465" s="29">
        <f>IF(U465=1,COUNTIF($U$2:U465,1),"")</f>
        <v>252</v>
      </c>
      <c r="X465" s="29">
        <f t="shared" si="31"/>
        <v>325</v>
      </c>
      <c r="Y465" s="29">
        <f>IF(AND(LEFT($B465,7)="SBA 26/",$D465&lt;&gt;"",$F465&lt;&gt;""),COUNTIFS($D$2:$D465,$D465,$B$2:$B465,"SBA 26/*",$F$2:$F465,"&lt;&gt;"),"")</f>
        <v>5</v>
      </c>
      <c r="Z465" s="29" t="str">
        <f>IF(Y465=1,COUNTIF($Y$2:Y465,1),"")</f>
        <v/>
      </c>
      <c r="AA465" s="29">
        <f>IF(AND(LEFT($B465,7)="SBA 26/",$C465&lt;&gt;"",$F465&lt;&gt;""),COUNTIFS($C$2:$C465,$C465,$B$2:$B465,"SBA 26/*",$F$2:$F465,"&lt;&gt;"),"")</f>
        <v>1</v>
      </c>
      <c r="AB465" s="29">
        <f>IF(AA465=1,COUNTIF($AA$2:AA465,1),"")</f>
        <v>252</v>
      </c>
    </row>
    <row r="466" spans="1:28" ht="96" customHeight="1" x14ac:dyDescent="0.2">
      <c r="A466" s="43" t="s">
        <v>2232</v>
      </c>
      <c r="B466" s="43" t="s">
        <v>2233</v>
      </c>
      <c r="C466" s="44" t="s">
        <v>2234</v>
      </c>
      <c r="D466" s="44" t="s">
        <v>2235</v>
      </c>
      <c r="E466" s="45" t="s">
        <v>2236</v>
      </c>
      <c r="F466" s="45" t="s">
        <v>2237</v>
      </c>
      <c r="G466" s="46" t="s">
        <v>40</v>
      </c>
      <c r="H466" s="48">
        <v>46154</v>
      </c>
      <c r="I466" s="48">
        <v>46175</v>
      </c>
      <c r="J466" s="44" t="s">
        <v>109</v>
      </c>
      <c r="K466" s="44" t="s">
        <v>75</v>
      </c>
      <c r="L466" s="50" t="s">
        <v>101</v>
      </c>
      <c r="M466" s="50"/>
      <c r="N466" s="50"/>
      <c r="O466" s="49"/>
      <c r="P466" s="50" t="str">
        <f t="shared" si="28"/>
        <v>DÜZELTME</v>
      </c>
      <c r="R466" s="51" t="str">
        <f t="shared" si="29"/>
        <v/>
      </c>
      <c r="T466" s="41"/>
      <c r="U466" s="29">
        <f>IF($C466&lt;&gt;"",COUNTIF($C$2:C466,C466),"")</f>
        <v>1</v>
      </c>
      <c r="V466" s="29" t="str">
        <f t="shared" si="30"/>
        <v>Dr. Öğr. Üyesi Neslihan TAŞ§1</v>
      </c>
      <c r="W466" s="29">
        <f>IF(U466=1,COUNTIF($U$2:U466,1),"")</f>
        <v>253</v>
      </c>
      <c r="X466" s="29">
        <f t="shared" si="31"/>
        <v>155</v>
      </c>
      <c r="Y466" s="29">
        <f>IF(AND(LEFT($B466,7)="SBA 26/",$D466&lt;&gt;"",$F466&lt;&gt;""),COUNTIFS($D$2:$D466,$D466,$B$2:$B466,"SBA 26/*",$F$2:$F466,"&lt;&gt;"),"")</f>
        <v>1</v>
      </c>
      <c r="Z466" s="29">
        <f>IF(Y466=1,COUNTIF($Y$2:Y466,1),"")</f>
        <v>69</v>
      </c>
      <c r="AA466" s="29">
        <f>IF(AND(LEFT($B466,7)="SBA 26/",$C466&lt;&gt;"",$F466&lt;&gt;""),COUNTIFS($C$2:$C466,$C466,$B$2:$B466,"SBA 26/*",$F$2:$F466,"&lt;&gt;"),"")</f>
        <v>1</v>
      </c>
      <c r="AB466" s="29">
        <f>IF(AA466=1,COUNTIF($AA$2:AA466,1),"")</f>
        <v>253</v>
      </c>
    </row>
    <row r="467" spans="1:28" ht="78.75" customHeight="1" x14ac:dyDescent="0.2">
      <c r="A467" s="43" t="s">
        <v>2238</v>
      </c>
      <c r="B467" s="43" t="s">
        <v>2239</v>
      </c>
      <c r="C467" s="44" t="s">
        <v>1538</v>
      </c>
      <c r="D467" s="44" t="s">
        <v>280</v>
      </c>
      <c r="E467" s="45" t="s">
        <v>2240</v>
      </c>
      <c r="F467" s="45" t="s">
        <v>2241</v>
      </c>
      <c r="G467" s="46" t="s">
        <v>38</v>
      </c>
      <c r="H467" s="48">
        <v>46154</v>
      </c>
      <c r="I467" s="48">
        <v>46175</v>
      </c>
      <c r="J467" s="44" t="s">
        <v>108</v>
      </c>
      <c r="K467" s="44" t="s">
        <v>92</v>
      </c>
      <c r="L467" s="50" t="s">
        <v>77</v>
      </c>
      <c r="M467" s="50"/>
      <c r="N467" s="50"/>
      <c r="O467" s="49"/>
      <c r="P467" s="50" t="str">
        <f t="shared" si="28"/>
        <v>ONAY</v>
      </c>
      <c r="R467" s="51" t="str">
        <f t="shared" si="29"/>
        <v/>
      </c>
      <c r="T467" s="41"/>
      <c r="U467" s="29">
        <f>IF($C467&lt;&gt;"",COUNTIF($C$2:C467,C467),"")</f>
        <v>2</v>
      </c>
      <c r="V467" s="29" t="str">
        <f t="shared" si="30"/>
        <v>Prof. Dr. Bilge VOLKAN SALANCI§2</v>
      </c>
      <c r="W467" s="29" t="str">
        <f>IF(U467=1,COUNTIF($U$2:U467,1),"")</f>
        <v/>
      </c>
      <c r="X467" s="29" t="str">
        <f t="shared" si="31"/>
        <v/>
      </c>
      <c r="Y467" s="29">
        <f>IF(AND(LEFT($B467,7)="SBA 26/",$D467&lt;&gt;"",$F467&lt;&gt;""),COUNTIFS($D$2:$D467,$D467,$B$2:$B467,"SBA 26/*",$F$2:$F467,"&lt;&gt;"),"")</f>
        <v>6</v>
      </c>
      <c r="Z467" s="29" t="str">
        <f>IF(Y467=1,COUNTIF($Y$2:Y467,1),"")</f>
        <v/>
      </c>
      <c r="AA467" s="29">
        <f>IF(AND(LEFT($B467,7)="SBA 26/",$C467&lt;&gt;"",$F467&lt;&gt;""),COUNTIFS($C$2:$C467,$C467,$B$2:$B467,"SBA 26/*",$F$2:$F467,"&lt;&gt;"),"")</f>
        <v>2</v>
      </c>
      <c r="AB467" s="29" t="str">
        <f>IF(AA467=1,COUNTIF($AA$2:AA467,1),"")</f>
        <v/>
      </c>
    </row>
    <row r="468" spans="1:28" ht="78.75" customHeight="1" x14ac:dyDescent="0.2">
      <c r="A468" s="43" t="s">
        <v>2242</v>
      </c>
      <c r="B468" s="43" t="s">
        <v>2243</v>
      </c>
      <c r="C468" s="44" t="s">
        <v>2244</v>
      </c>
      <c r="D468" s="44" t="s">
        <v>504</v>
      </c>
      <c r="E468" s="45" t="s">
        <v>2245</v>
      </c>
      <c r="F468" s="45" t="s">
        <v>2246</v>
      </c>
      <c r="G468" s="46" t="s">
        <v>38</v>
      </c>
      <c r="H468" s="48">
        <v>46154</v>
      </c>
      <c r="I468" s="48">
        <v>46175</v>
      </c>
      <c r="J468" s="44" t="s">
        <v>99</v>
      </c>
      <c r="K468" s="44" t="s">
        <v>129</v>
      </c>
      <c r="L468" s="50" t="s">
        <v>206</v>
      </c>
      <c r="M468" s="50" t="s">
        <v>101</v>
      </c>
      <c r="N468" s="50" t="s">
        <v>77</v>
      </c>
      <c r="O468" s="49"/>
      <c r="P468" s="50" t="str">
        <f t="shared" si="28"/>
        <v>ONAY</v>
      </c>
      <c r="Q468" s="28" t="s">
        <v>75</v>
      </c>
      <c r="R468" s="51" t="str">
        <f t="shared" si="29"/>
        <v/>
      </c>
      <c r="T468" s="41"/>
      <c r="U468" s="29">
        <f>IF($C468&lt;&gt;"",COUNTIF($C$2:C468,C468),"")</f>
        <v>1</v>
      </c>
      <c r="V468" s="29" t="str">
        <f t="shared" si="30"/>
        <v>Prof. Dr. Ülfet Pınar ERKEKOĞLU§1</v>
      </c>
      <c r="W468" s="29">
        <f>IF(U468=1,COUNTIF($U$2:U468,1),"")</f>
        <v>254</v>
      </c>
      <c r="X468" s="29">
        <f t="shared" si="31"/>
        <v>338</v>
      </c>
      <c r="Y468" s="29">
        <f>IF(AND(LEFT($B468,7)="SBA 26/",$D468&lt;&gt;"",$F468&lt;&gt;""),COUNTIFS($D$2:$D468,$D468,$B$2:$B468,"SBA 26/*",$F$2:$F468,"&lt;&gt;"),"")</f>
        <v>2</v>
      </c>
      <c r="Z468" s="29" t="str">
        <f>IF(Y468=1,COUNTIF($Y$2:Y468,1),"")</f>
        <v/>
      </c>
      <c r="AA468" s="29">
        <f>IF(AND(LEFT($B468,7)="SBA 26/",$C468&lt;&gt;"",$F468&lt;&gt;""),COUNTIFS($C$2:$C468,$C468,$B$2:$B468,"SBA 26/*",$F$2:$F468,"&lt;&gt;"),"")</f>
        <v>1</v>
      </c>
      <c r="AB468" s="29">
        <f>IF(AA468=1,COUNTIF($AA$2:AA468,1),"")</f>
        <v>254</v>
      </c>
    </row>
    <row r="469" spans="1:28" ht="63" customHeight="1" x14ac:dyDescent="0.2">
      <c r="A469" s="43" t="s">
        <v>2247</v>
      </c>
      <c r="B469" s="43" t="s">
        <v>2248</v>
      </c>
      <c r="C469" s="44" t="s">
        <v>1584</v>
      </c>
      <c r="D469" s="44" t="s">
        <v>113</v>
      </c>
      <c r="E469" s="45" t="s">
        <v>1585</v>
      </c>
      <c r="F469" s="45" t="s">
        <v>2249</v>
      </c>
      <c r="G469" s="46" t="s">
        <v>38</v>
      </c>
      <c r="H469" s="48">
        <v>46154</v>
      </c>
      <c r="I469" s="48">
        <v>46175</v>
      </c>
      <c r="J469" s="44" t="s">
        <v>116</v>
      </c>
      <c r="K469" s="44" t="s">
        <v>129</v>
      </c>
      <c r="L469" s="50" t="s">
        <v>101</v>
      </c>
      <c r="M469" s="50" t="s">
        <v>77</v>
      </c>
      <c r="O469" s="49"/>
      <c r="P469" s="50" t="str">
        <f t="shared" si="28"/>
        <v>ONAY</v>
      </c>
      <c r="Q469" s="28" t="s">
        <v>129</v>
      </c>
      <c r="R469" s="51" t="str">
        <f t="shared" si="29"/>
        <v/>
      </c>
      <c r="T469" s="41"/>
      <c r="U469" s="29">
        <f>IF($C469&lt;&gt;"",COUNTIF($C$2:C469,C469),"")</f>
        <v>5</v>
      </c>
      <c r="V469" s="29" t="str">
        <f t="shared" si="30"/>
        <v>Doç. Dr. Cafer BALCI§5</v>
      </c>
      <c r="W469" s="29" t="str">
        <f>IF(U469=1,COUNTIF($U$2:U469,1),"")</f>
        <v/>
      </c>
      <c r="X469" s="29" t="str">
        <f t="shared" si="31"/>
        <v/>
      </c>
      <c r="Y469" s="29">
        <f>IF(AND(LEFT($B469,7)="SBA 26/",$D469&lt;&gt;"",$F469&lt;&gt;""),COUNTIFS($D$2:$D469,$D469,$B$2:$B469,"SBA 26/*",$F$2:$F469,"&lt;&gt;"),"")</f>
        <v>77</v>
      </c>
      <c r="Z469" s="29" t="str">
        <f>IF(Y469=1,COUNTIF($Y$2:Y469,1),"")</f>
        <v/>
      </c>
      <c r="AA469" s="29">
        <f>IF(AND(LEFT($B469,7)="SBA 26/",$C469&lt;&gt;"",$F469&lt;&gt;""),COUNTIFS($C$2:$C469,$C469,$B$2:$B469,"SBA 26/*",$F$2:$F469,"&lt;&gt;"),"")</f>
        <v>5</v>
      </c>
      <c r="AB469" s="29" t="str">
        <f>IF(AA469=1,COUNTIF($AA$2:AA469,1),"")</f>
        <v/>
      </c>
    </row>
    <row r="470" spans="1:28" ht="47.25" customHeight="1" x14ac:dyDescent="0.2">
      <c r="A470" s="43" t="s">
        <v>2250</v>
      </c>
      <c r="B470" s="43" t="s">
        <v>2251</v>
      </c>
      <c r="C470" s="44" t="s">
        <v>112</v>
      </c>
      <c r="D470" s="44" t="s">
        <v>113</v>
      </c>
      <c r="E470" s="45" t="s">
        <v>2252</v>
      </c>
      <c r="F470" s="45" t="s">
        <v>2253</v>
      </c>
      <c r="G470" s="46" t="s">
        <v>38</v>
      </c>
      <c r="H470" s="48">
        <v>46154</v>
      </c>
      <c r="I470" s="48">
        <v>46175</v>
      </c>
      <c r="J470" s="44" t="s">
        <v>75</v>
      </c>
      <c r="K470" s="44" t="s">
        <v>108</v>
      </c>
      <c r="L470" s="50" t="s">
        <v>172</v>
      </c>
      <c r="M470" s="50" t="s">
        <v>77</v>
      </c>
      <c r="N470" s="50"/>
      <c r="O470" s="49"/>
      <c r="P470" s="50" t="str">
        <f t="shared" si="28"/>
        <v>ONAY</v>
      </c>
      <c r="R470" s="51" t="str">
        <f t="shared" si="29"/>
        <v/>
      </c>
      <c r="T470" s="41"/>
      <c r="U470" s="29">
        <f>IF($C470&lt;&gt;"",COUNTIF($C$2:C470,C470),"")</f>
        <v>14</v>
      </c>
      <c r="V470" s="29" t="str">
        <f t="shared" si="30"/>
        <v>Prof. Dr. Meltem Gülhan HALİL§14</v>
      </c>
      <c r="W470" s="29" t="str">
        <f>IF(U470=1,COUNTIF($U$2:U470,1),"")</f>
        <v/>
      </c>
      <c r="X470" s="29" t="str">
        <f t="shared" si="31"/>
        <v/>
      </c>
      <c r="Y470" s="29">
        <f>IF(AND(LEFT($B470,7)="SBA 26/",$D470&lt;&gt;"",$F470&lt;&gt;""),COUNTIFS($D$2:$D470,$D470,$B$2:$B470,"SBA 26/*",$F$2:$F470,"&lt;&gt;"),"")</f>
        <v>78</v>
      </c>
      <c r="Z470" s="29" t="str">
        <f>IF(Y470=1,COUNTIF($Y$2:Y470,1),"")</f>
        <v/>
      </c>
      <c r="AA470" s="29">
        <f>IF(AND(LEFT($B470,7)="SBA 26/",$C470&lt;&gt;"",$F470&lt;&gt;""),COUNTIFS($C$2:$C470,$C470,$B$2:$B470,"SBA 26/*",$F$2:$F470,"&lt;&gt;"),"")</f>
        <v>14</v>
      </c>
      <c r="AB470" s="29" t="str">
        <f>IF(AA470=1,COUNTIF($AA$2:AA470,1),"")</f>
        <v/>
      </c>
    </row>
    <row r="471" spans="1:28" ht="63" customHeight="1" x14ac:dyDescent="0.2">
      <c r="A471" s="43" t="s">
        <v>2254</v>
      </c>
      <c r="B471" s="43" t="s">
        <v>2255</v>
      </c>
      <c r="C471" s="44" t="s">
        <v>2256</v>
      </c>
      <c r="D471" s="44" t="s">
        <v>181</v>
      </c>
      <c r="E471" s="45" t="s">
        <v>2257</v>
      </c>
      <c r="F471" s="45" t="s">
        <v>2258</v>
      </c>
      <c r="G471" s="46" t="s">
        <v>39</v>
      </c>
      <c r="H471" s="48">
        <v>46154</v>
      </c>
      <c r="I471" s="48">
        <v>46175</v>
      </c>
      <c r="J471" s="44" t="s">
        <v>109</v>
      </c>
      <c r="K471" s="44" t="s">
        <v>123</v>
      </c>
      <c r="L471" s="50" t="s">
        <v>77</v>
      </c>
      <c r="M471" s="50"/>
      <c r="N471" s="50"/>
      <c r="O471" s="49"/>
      <c r="P471" s="50" t="str">
        <f t="shared" si="28"/>
        <v>ONAY</v>
      </c>
      <c r="R471" s="51" t="str">
        <f t="shared" si="29"/>
        <v/>
      </c>
      <c r="T471" s="41"/>
      <c r="U471" s="29">
        <f>IF($C471&lt;&gt;"",COUNTIF($C$2:C471,C471),"")</f>
        <v>1</v>
      </c>
      <c r="V471" s="29" t="str">
        <f t="shared" si="30"/>
        <v>Prof. Dr. Filiz ÜZÜMCÜGİL§1</v>
      </c>
      <c r="W471" s="29">
        <f>IF(U471=1,COUNTIF($U$2:U471,1),"")</f>
        <v>255</v>
      </c>
      <c r="X471" s="29">
        <f t="shared" si="31"/>
        <v>233</v>
      </c>
      <c r="Y471" s="29">
        <f>IF(AND(LEFT($B471,7)="SBA 26/",$D471&lt;&gt;"",$F471&lt;&gt;""),COUNTIFS($D$2:$D471,$D471,$B$2:$B471,"SBA 26/*",$F$2:$F471,"&lt;&gt;"),"")</f>
        <v>6</v>
      </c>
      <c r="Z471" s="29" t="str">
        <f>IF(Y471=1,COUNTIF($Y$2:Y471,1),"")</f>
        <v/>
      </c>
      <c r="AA471" s="29">
        <f>IF(AND(LEFT($B471,7)="SBA 26/",$C471&lt;&gt;"",$F471&lt;&gt;""),COUNTIFS($C$2:$C471,$C471,$B$2:$B471,"SBA 26/*",$F$2:$F471,"&lt;&gt;"),"")</f>
        <v>1</v>
      </c>
      <c r="AB471" s="29">
        <f>IF(AA471=1,COUNTIF($AA$2:AA471,1),"")</f>
        <v>255</v>
      </c>
    </row>
    <row r="472" spans="1:28" ht="63" customHeight="1" x14ac:dyDescent="0.2">
      <c r="A472" s="43" t="s">
        <v>2259</v>
      </c>
      <c r="B472" s="43" t="s">
        <v>2260</v>
      </c>
      <c r="C472" s="44" t="s">
        <v>2261</v>
      </c>
      <c r="D472" s="44" t="s">
        <v>391</v>
      </c>
      <c r="E472" s="45" t="s">
        <v>2262</v>
      </c>
      <c r="F472" s="45" t="s">
        <v>2263</v>
      </c>
      <c r="G472" s="46" t="s">
        <v>38</v>
      </c>
      <c r="H472" s="48">
        <v>46154</v>
      </c>
      <c r="I472" s="48">
        <v>46175</v>
      </c>
      <c r="J472" s="44" t="s">
        <v>100</v>
      </c>
      <c r="K472" s="44" t="s">
        <v>84</v>
      </c>
      <c r="L472" s="50" t="s">
        <v>77</v>
      </c>
      <c r="M472" s="50"/>
      <c r="N472" s="50"/>
      <c r="O472" s="49"/>
      <c r="P472" s="50" t="str">
        <f t="shared" si="28"/>
        <v>ONAY</v>
      </c>
      <c r="R472" s="51" t="str">
        <f t="shared" si="29"/>
        <v/>
      </c>
      <c r="T472" s="41"/>
      <c r="U472" s="29">
        <f>IF($C472&lt;&gt;"",COUNTIF($C$2:C472,C472),"")</f>
        <v>1</v>
      </c>
      <c r="V472" s="29" t="str">
        <f t="shared" si="30"/>
        <v>Prof. Dr. Ömür ÇAĞLAR§1</v>
      </c>
      <c r="W472" s="29">
        <f>IF(U472=1,COUNTIF($U$2:U472,1),"")</f>
        <v>256</v>
      </c>
      <c r="X472" s="29">
        <f t="shared" si="31"/>
        <v>296</v>
      </c>
      <c r="Y472" s="29">
        <f>IF(AND(LEFT($B472,7)="SBA 26/",$D472&lt;&gt;"",$F472&lt;&gt;""),COUNTIFS($D$2:$D472,$D472,$B$2:$B472,"SBA 26/*",$F$2:$F472,"&lt;&gt;"),"")</f>
        <v>15</v>
      </c>
      <c r="Z472" s="29" t="str">
        <f>IF(Y472=1,COUNTIF($Y$2:Y472,1),"")</f>
        <v/>
      </c>
      <c r="AA472" s="29">
        <f>IF(AND(LEFT($B472,7)="SBA 26/",$C472&lt;&gt;"",$F472&lt;&gt;""),COUNTIFS($C$2:$C472,$C472,$B$2:$B472,"SBA 26/*",$F$2:$F472,"&lt;&gt;"),"")</f>
        <v>1</v>
      </c>
      <c r="AB472" s="29">
        <f>IF(AA472=1,COUNTIF($AA$2:AA472,1),"")</f>
        <v>256</v>
      </c>
    </row>
    <row r="473" spans="1:28" ht="63" customHeight="1" x14ac:dyDescent="0.2">
      <c r="A473" s="43" t="s">
        <v>2264</v>
      </c>
      <c r="B473" s="43" t="s">
        <v>2265</v>
      </c>
      <c r="C473" s="44" t="s">
        <v>2266</v>
      </c>
      <c r="D473" s="44" t="s">
        <v>2267</v>
      </c>
      <c r="E473" s="45" t="s">
        <v>2268</v>
      </c>
      <c r="F473" s="45" t="s">
        <v>2269</v>
      </c>
      <c r="G473" s="46" t="s">
        <v>41</v>
      </c>
      <c r="H473" s="48">
        <v>46154</v>
      </c>
      <c r="I473" s="48">
        <v>46175</v>
      </c>
      <c r="J473" s="44" t="s">
        <v>99</v>
      </c>
      <c r="K473" s="44" t="s">
        <v>100</v>
      </c>
      <c r="L473" s="50" t="s">
        <v>77</v>
      </c>
      <c r="M473" s="50"/>
      <c r="N473" s="50"/>
      <c r="O473" s="49"/>
      <c r="P473" s="50" t="str">
        <f t="shared" si="28"/>
        <v>ONAY</v>
      </c>
      <c r="R473" s="51" t="str">
        <f t="shared" si="29"/>
        <v/>
      </c>
      <c r="T473" s="41"/>
      <c r="U473" s="29">
        <f>IF($C473&lt;&gt;"",COUNTIF($C$2:C473,C473),"")</f>
        <v>1</v>
      </c>
      <c r="V473" s="29" t="str">
        <f t="shared" si="30"/>
        <v>Doç. Dr. Songül ÇINAROĞLU§1</v>
      </c>
      <c r="W473" s="29">
        <f>IF(U473=1,COUNTIF($U$2:U473,1),"")</f>
        <v>257</v>
      </c>
      <c r="X473" s="29">
        <f t="shared" si="31"/>
        <v>100</v>
      </c>
      <c r="Y473" s="29">
        <f>IF(AND(LEFT($B473,7)="SBA 26/",$D473&lt;&gt;"",$F473&lt;&gt;""),COUNTIFS($D$2:$D473,$D473,$B$2:$B473,"SBA 26/*",$F$2:$F473,"&lt;&gt;"),"")</f>
        <v>1</v>
      </c>
      <c r="Z473" s="29">
        <f>IF(Y473=1,COUNTIF($Y$2:Y473,1),"")</f>
        <v>70</v>
      </c>
      <c r="AA473" s="29">
        <f>IF(AND(LEFT($B473,7)="SBA 26/",$C473&lt;&gt;"",$F473&lt;&gt;""),COUNTIFS($C$2:$C473,$C473,$B$2:$B473,"SBA 26/*",$F$2:$F473,"&lt;&gt;"),"")</f>
        <v>1</v>
      </c>
      <c r="AB473" s="29">
        <f>IF(AA473=1,COUNTIF($AA$2:AA473,1),"")</f>
        <v>257</v>
      </c>
    </row>
    <row r="474" spans="1:28" ht="78.75" customHeight="1" x14ac:dyDescent="0.2">
      <c r="A474" s="43" t="s">
        <v>2270</v>
      </c>
      <c r="B474" s="43" t="s">
        <v>2271</v>
      </c>
      <c r="C474" s="44" t="s">
        <v>2272</v>
      </c>
      <c r="D474" s="44" t="s">
        <v>181</v>
      </c>
      <c r="E474" s="45" t="s">
        <v>2273</v>
      </c>
      <c r="F474" s="45" t="s">
        <v>2274</v>
      </c>
      <c r="G474" s="46" t="s">
        <v>38</v>
      </c>
      <c r="H474" s="48">
        <v>46154</v>
      </c>
      <c r="I474" s="48">
        <v>46175</v>
      </c>
      <c r="J474" s="44" t="s">
        <v>92</v>
      </c>
      <c r="K474" s="44" t="s">
        <v>116</v>
      </c>
      <c r="L474" s="50" t="s">
        <v>101</v>
      </c>
      <c r="M474" s="50"/>
      <c r="N474" s="50"/>
      <c r="O474" s="49"/>
      <c r="P474" s="50" t="str">
        <f t="shared" si="28"/>
        <v>DÜZELTME</v>
      </c>
      <c r="R474" s="51" t="str">
        <f t="shared" si="29"/>
        <v/>
      </c>
      <c r="T474" s="41"/>
      <c r="U474" s="29">
        <f>IF($C474&lt;&gt;"",COUNTIF($C$2:C474,C474),"")</f>
        <v>1</v>
      </c>
      <c r="V474" s="29" t="str">
        <f t="shared" si="30"/>
        <v>Dr. Öğr. Üyesi Sehend DEBBAĞ§1</v>
      </c>
      <c r="W474" s="29">
        <f>IF(U474=1,COUNTIF($U$2:U474,1),"")</f>
        <v>258</v>
      </c>
      <c r="X474" s="29">
        <f t="shared" si="31"/>
        <v>162</v>
      </c>
      <c r="Y474" s="29">
        <f>IF(AND(LEFT($B474,7)="SBA 26/",$D474&lt;&gt;"",$F474&lt;&gt;""),COUNTIFS($D$2:$D474,$D474,$B$2:$B474,"SBA 26/*",$F$2:$F474,"&lt;&gt;"),"")</f>
        <v>7</v>
      </c>
      <c r="Z474" s="29" t="str">
        <f>IF(Y474=1,COUNTIF($Y$2:Y474,1),"")</f>
        <v/>
      </c>
      <c r="AA474" s="29">
        <f>IF(AND(LEFT($B474,7)="SBA 26/",$C474&lt;&gt;"",$F474&lt;&gt;""),COUNTIFS($C$2:$C474,$C474,$B$2:$B474,"SBA 26/*",$F$2:$F474,"&lt;&gt;"),"")</f>
        <v>1</v>
      </c>
      <c r="AB474" s="29">
        <f>IF(AA474=1,COUNTIF($AA$2:AA474,1),"")</f>
        <v>258</v>
      </c>
    </row>
    <row r="475" spans="1:28" ht="110.25" customHeight="1" x14ac:dyDescent="0.2">
      <c r="A475" s="43" t="s">
        <v>2275</v>
      </c>
      <c r="B475" s="43" t="s">
        <v>2276</v>
      </c>
      <c r="C475" s="44" t="s">
        <v>2277</v>
      </c>
      <c r="D475" s="44" t="s">
        <v>539</v>
      </c>
      <c r="E475" s="45" t="s">
        <v>2278</v>
      </c>
      <c r="F475" s="45" t="s">
        <v>2279</v>
      </c>
      <c r="G475" s="46" t="s">
        <v>39</v>
      </c>
      <c r="H475" s="48">
        <v>46154</v>
      </c>
      <c r="I475" s="48">
        <v>46175</v>
      </c>
      <c r="J475" s="44" t="s">
        <v>123</v>
      </c>
      <c r="K475" s="44" t="s">
        <v>84</v>
      </c>
      <c r="L475" s="50" t="s">
        <v>101</v>
      </c>
      <c r="M475" s="50" t="s">
        <v>77</v>
      </c>
      <c r="N475" s="50"/>
      <c r="O475" s="49"/>
      <c r="P475" s="50" t="str">
        <f t="shared" si="28"/>
        <v>ONAY</v>
      </c>
      <c r="Q475" s="28" t="s">
        <v>1281</v>
      </c>
      <c r="R475" s="51" t="str">
        <f t="shared" si="29"/>
        <v/>
      </c>
      <c r="T475" s="41"/>
      <c r="U475" s="29">
        <f>IF($C475&lt;&gt;"",COUNTIF($C$2:C475,C475),"")</f>
        <v>1</v>
      </c>
      <c r="V475" s="29" t="str">
        <f t="shared" si="30"/>
        <v>Dr. Öğr. Üyesi Yağmur Deniz YILDIRIM§1</v>
      </c>
      <c r="W475" s="29">
        <f>IF(U475=1,COUNTIF($U$2:U475,1),"")</f>
        <v>259</v>
      </c>
      <c r="X475" s="29">
        <f t="shared" si="31"/>
        <v>170</v>
      </c>
      <c r="Y475" s="29">
        <f>IF(AND(LEFT($B475,7)="SBA 26/",$D475&lt;&gt;"",$F475&lt;&gt;""),COUNTIFS($D$2:$D475,$D475,$B$2:$B475,"SBA 26/*",$F$2:$F475,"&lt;&gt;"),"")</f>
        <v>6</v>
      </c>
      <c r="Z475" s="29" t="str">
        <f>IF(Y475=1,COUNTIF($Y$2:Y475,1),"")</f>
        <v/>
      </c>
      <c r="AA475" s="29">
        <f>IF(AND(LEFT($B475,7)="SBA 26/",$C475&lt;&gt;"",$F475&lt;&gt;""),COUNTIFS($C$2:$C475,$C475,$B$2:$B475,"SBA 26/*",$F$2:$F475,"&lt;&gt;"),"")</f>
        <v>1</v>
      </c>
      <c r="AB475" s="29">
        <f>IF(AA475=1,COUNTIF($AA$2:AA475,1),"")</f>
        <v>259</v>
      </c>
    </row>
    <row r="476" spans="1:28" ht="63" customHeight="1" x14ac:dyDescent="0.2">
      <c r="A476" s="43" t="s">
        <v>2280</v>
      </c>
      <c r="B476" s="43" t="s">
        <v>2281</v>
      </c>
      <c r="C476" s="44" t="s">
        <v>2282</v>
      </c>
      <c r="D476" s="44" t="s">
        <v>391</v>
      </c>
      <c r="E476" s="45" t="s">
        <v>2283</v>
      </c>
      <c r="F476" s="45" t="s">
        <v>2284</v>
      </c>
      <c r="G476" s="46" t="s">
        <v>38</v>
      </c>
      <c r="H476" s="48">
        <v>46154</v>
      </c>
      <c r="I476" s="48">
        <v>46175</v>
      </c>
      <c r="J476" s="44" t="s">
        <v>92</v>
      </c>
      <c r="K476" s="44" t="s">
        <v>99</v>
      </c>
      <c r="L476" s="50" t="s">
        <v>101</v>
      </c>
      <c r="M476" s="50" t="s">
        <v>77</v>
      </c>
      <c r="N476" s="50"/>
      <c r="O476" s="49"/>
      <c r="P476" s="50" t="str">
        <f t="shared" si="28"/>
        <v>ONAY</v>
      </c>
      <c r="Q476" s="28" t="s">
        <v>92</v>
      </c>
      <c r="R476" s="51" t="str">
        <f t="shared" si="29"/>
        <v/>
      </c>
      <c r="T476" s="41"/>
      <c r="U476" s="29">
        <f>IF($C476&lt;&gt;"",COUNTIF($C$2:C476,C476),"")</f>
        <v>1</v>
      </c>
      <c r="V476" s="29" t="str">
        <f t="shared" si="30"/>
        <v>Prof. Dr. Bülent ATİLLA§1</v>
      </c>
      <c r="W476" s="29">
        <f>IF(U476=1,COUNTIF($U$2:U476,1),"")</f>
        <v>260</v>
      </c>
      <c r="X476" s="29">
        <f t="shared" si="31"/>
        <v>210</v>
      </c>
      <c r="Y476" s="29">
        <f>IF(AND(LEFT($B476,7)="SBA 26/",$D476&lt;&gt;"",$F476&lt;&gt;""),COUNTIFS($D$2:$D476,$D476,$B$2:$B476,"SBA 26/*",$F$2:$F476,"&lt;&gt;"),"")</f>
        <v>16</v>
      </c>
      <c r="Z476" s="29" t="str">
        <f>IF(Y476=1,COUNTIF($Y$2:Y476,1),"")</f>
        <v/>
      </c>
      <c r="AA476" s="29">
        <f>IF(AND(LEFT($B476,7)="SBA 26/",$C476&lt;&gt;"",$F476&lt;&gt;""),COUNTIFS($C$2:$C476,$C476,$B$2:$B476,"SBA 26/*",$F$2:$F476,"&lt;&gt;"),"")</f>
        <v>1</v>
      </c>
      <c r="AB476" s="29">
        <f>IF(AA476=1,COUNTIF($AA$2:AA476,1),"")</f>
        <v>260</v>
      </c>
    </row>
    <row r="477" spans="1:28" ht="47.25" customHeight="1" x14ac:dyDescent="0.2">
      <c r="A477" s="43" t="s">
        <v>2285</v>
      </c>
      <c r="B477" s="43" t="s">
        <v>2286</v>
      </c>
      <c r="C477" s="44" t="s">
        <v>2200</v>
      </c>
      <c r="D477" s="44" t="s">
        <v>234</v>
      </c>
      <c r="E477" s="45" t="s">
        <v>2201</v>
      </c>
      <c r="F477" s="45" t="s">
        <v>2287</v>
      </c>
      <c r="G477" s="46" t="s">
        <v>38</v>
      </c>
      <c r="H477" s="48">
        <v>46154</v>
      </c>
      <c r="I477" s="48">
        <v>46175</v>
      </c>
      <c r="J477" s="44" t="s">
        <v>100</v>
      </c>
      <c r="K477" s="44" t="s">
        <v>129</v>
      </c>
      <c r="L477" s="50" t="s">
        <v>77</v>
      </c>
      <c r="M477" s="50"/>
      <c r="N477" s="50"/>
      <c r="O477" s="49"/>
      <c r="P477" s="50" t="str">
        <f t="shared" si="28"/>
        <v>ONAY</v>
      </c>
      <c r="R477" s="51" t="str">
        <f t="shared" si="29"/>
        <v/>
      </c>
      <c r="T477" s="41"/>
      <c r="U477" s="29">
        <f>IF($C477&lt;&gt;"",COUNTIF($C$2:C477,C477),"")</f>
        <v>2</v>
      </c>
      <c r="V477" s="29" t="str">
        <f t="shared" si="30"/>
        <v>Doç. Dr. Ahmet KIVRAK§2</v>
      </c>
      <c r="W477" s="29" t="str">
        <f>IF(U477=1,COUNTIF($U$2:U477,1),"")</f>
        <v/>
      </c>
      <c r="X477" s="29" t="str">
        <f t="shared" si="31"/>
        <v/>
      </c>
      <c r="Y477" s="29">
        <f>IF(AND(LEFT($B477,7)="SBA 26/",$D477&lt;&gt;"",$F477&lt;&gt;""),COUNTIFS($D$2:$D477,$D477,$B$2:$B477,"SBA 26/*",$F$2:$F477,"&lt;&gt;"),"")</f>
        <v>9</v>
      </c>
      <c r="Z477" s="29" t="str">
        <f>IF(Y477=1,COUNTIF($Y$2:Y477,1),"")</f>
        <v/>
      </c>
      <c r="AA477" s="29">
        <f>IF(AND(LEFT($B477,7)="SBA 26/",$C477&lt;&gt;"",$F477&lt;&gt;""),COUNTIFS($C$2:$C477,$C477,$B$2:$B477,"SBA 26/*",$F$2:$F477,"&lt;&gt;"),"")</f>
        <v>2</v>
      </c>
      <c r="AB477" s="29" t="str">
        <f>IF(AA477=1,COUNTIF($AA$2:AA477,1),"")</f>
        <v/>
      </c>
    </row>
    <row r="478" spans="1:28" ht="110.25" customHeight="1" x14ac:dyDescent="0.2">
      <c r="A478" s="43" t="s">
        <v>2288</v>
      </c>
      <c r="B478" s="43" t="s">
        <v>2289</v>
      </c>
      <c r="C478" s="44" t="s">
        <v>1503</v>
      </c>
      <c r="D478" s="44" t="s">
        <v>222</v>
      </c>
      <c r="E478" s="45" t="s">
        <v>2290</v>
      </c>
      <c r="F478" s="45" t="s">
        <v>2291</v>
      </c>
      <c r="G478" s="46" t="s">
        <v>38</v>
      </c>
      <c r="H478" s="48">
        <v>46154</v>
      </c>
      <c r="I478" s="48">
        <v>46175</v>
      </c>
      <c r="J478" s="44" t="s">
        <v>108</v>
      </c>
      <c r="K478" s="44" t="s">
        <v>116</v>
      </c>
      <c r="L478" s="50" t="s">
        <v>101</v>
      </c>
      <c r="M478" s="50" t="s">
        <v>77</v>
      </c>
      <c r="N478" s="50"/>
      <c r="O478" s="49"/>
      <c r="P478" s="50" t="str">
        <f t="shared" si="28"/>
        <v>ONAY</v>
      </c>
      <c r="Q478" s="28" t="s">
        <v>108</v>
      </c>
      <c r="R478" s="51" t="str">
        <f t="shared" si="29"/>
        <v/>
      </c>
      <c r="T478" s="41"/>
      <c r="U478" s="29">
        <f>IF($C478&lt;&gt;"",COUNTIF($C$2:C478,C478),"")</f>
        <v>2</v>
      </c>
      <c r="V478" s="29" t="str">
        <f t="shared" si="30"/>
        <v>Prof. Dr. Sinem AKGÜL§2</v>
      </c>
      <c r="W478" s="29" t="str">
        <f>IF(U478=1,COUNTIF($U$2:U478,1),"")</f>
        <v/>
      </c>
      <c r="X478" s="29" t="str">
        <f t="shared" si="31"/>
        <v/>
      </c>
      <c r="Y478" s="29">
        <f>IF(AND(LEFT($B478,7)="SBA 26/",$D478&lt;&gt;"",$F478&lt;&gt;""),COUNTIFS($D$2:$D478,$D478,$B$2:$B478,"SBA 26/*",$F$2:$F478,"&lt;&gt;"),"")</f>
        <v>70</v>
      </c>
      <c r="Z478" s="29" t="str">
        <f>IF(Y478=1,COUNTIF($Y$2:Y478,1),"")</f>
        <v/>
      </c>
      <c r="AA478" s="29">
        <f>IF(AND(LEFT($B478,7)="SBA 26/",$C478&lt;&gt;"",$F478&lt;&gt;""),COUNTIFS($C$2:$C478,$C478,$B$2:$B478,"SBA 26/*",$F$2:$F478,"&lt;&gt;"),"")</f>
        <v>2</v>
      </c>
      <c r="AB478" s="29" t="str">
        <f>IF(AA478=1,COUNTIF($AA$2:AA478,1),"")</f>
        <v/>
      </c>
    </row>
    <row r="479" spans="1:28" ht="63" customHeight="1" x14ac:dyDescent="0.2">
      <c r="A479" s="43" t="s">
        <v>2292</v>
      </c>
      <c r="B479" s="43" t="s">
        <v>2293</v>
      </c>
      <c r="C479" s="44" t="s">
        <v>2294</v>
      </c>
      <c r="D479" s="44" t="s">
        <v>222</v>
      </c>
      <c r="E479" s="45" t="s">
        <v>2295</v>
      </c>
      <c r="F479" s="45" t="s">
        <v>2296</v>
      </c>
      <c r="G479" s="46" t="s">
        <v>38</v>
      </c>
      <c r="H479" s="48">
        <v>46154</v>
      </c>
      <c r="I479" s="48">
        <v>46175</v>
      </c>
      <c r="J479" s="44" t="s">
        <v>109</v>
      </c>
      <c r="K479" s="44" t="s">
        <v>100</v>
      </c>
      <c r="L479" s="50" t="s">
        <v>77</v>
      </c>
      <c r="M479" s="50"/>
      <c r="N479" s="50"/>
      <c r="O479" s="49"/>
      <c r="P479" s="50" t="str">
        <f t="shared" si="28"/>
        <v>ONAY</v>
      </c>
      <c r="R479" s="51" t="str">
        <f t="shared" si="29"/>
        <v/>
      </c>
      <c r="T479" s="41"/>
      <c r="U479" s="29">
        <f>IF($C479&lt;&gt;"",COUNTIF($C$2:C479,C479),"")</f>
        <v>1</v>
      </c>
      <c r="V479" s="29" t="str">
        <f t="shared" si="30"/>
        <v>Dr. Öğr. Üyesi Nur Berna ÇELİK ERTAŞ§1</v>
      </c>
      <c r="W479" s="29">
        <f>IF(U479=1,COUNTIF($U$2:U479,1),"")</f>
        <v>261</v>
      </c>
      <c r="X479" s="29">
        <f t="shared" si="31"/>
        <v>156</v>
      </c>
      <c r="Y479" s="29">
        <f>IF(AND(LEFT($B479,7)="SBA 26/",$D479&lt;&gt;"",$F479&lt;&gt;""),COUNTIFS($D$2:$D479,$D479,$B$2:$B479,"SBA 26/*",$F$2:$F479,"&lt;&gt;"),"")</f>
        <v>71</v>
      </c>
      <c r="Z479" s="29" t="str">
        <f>IF(Y479=1,COUNTIF($Y$2:Y479,1),"")</f>
        <v/>
      </c>
      <c r="AA479" s="29">
        <f>IF(AND(LEFT($B479,7)="SBA 26/",$C479&lt;&gt;"",$F479&lt;&gt;""),COUNTIFS($C$2:$C479,$C479,$B$2:$B479,"SBA 26/*",$F$2:$F479,"&lt;&gt;"),"")</f>
        <v>1</v>
      </c>
      <c r="AB479" s="29">
        <f>IF(AA479=1,COUNTIF($AA$2:AA479,1),"")</f>
        <v>261</v>
      </c>
    </row>
    <row r="480" spans="1:28" ht="78.75" customHeight="1" x14ac:dyDescent="0.2">
      <c r="A480" s="43" t="s">
        <v>2297</v>
      </c>
      <c r="B480" s="43" t="s">
        <v>2298</v>
      </c>
      <c r="C480" s="44" t="s">
        <v>744</v>
      </c>
      <c r="D480" s="44" t="s">
        <v>291</v>
      </c>
      <c r="E480" s="45" t="s">
        <v>2299</v>
      </c>
      <c r="F480" s="45" t="s">
        <v>2300</v>
      </c>
      <c r="G480" s="46" t="s">
        <v>38</v>
      </c>
      <c r="H480" s="48">
        <v>46154</v>
      </c>
      <c r="I480" s="48">
        <v>46175</v>
      </c>
      <c r="J480" s="44" t="s">
        <v>123</v>
      </c>
      <c r="K480" s="44" t="s">
        <v>75</v>
      </c>
      <c r="L480" s="50" t="s">
        <v>172</v>
      </c>
      <c r="M480" s="50"/>
      <c r="N480" s="50"/>
      <c r="O480" s="49"/>
      <c r="P480" s="50" t="str">
        <f t="shared" si="28"/>
        <v>RET</v>
      </c>
      <c r="R480" s="51" t="str">
        <f t="shared" si="29"/>
        <v/>
      </c>
      <c r="T480" s="41"/>
      <c r="U480" s="29">
        <f>IF($C480&lt;&gt;"",COUNTIF($C$2:C480,C480),"")</f>
        <v>2</v>
      </c>
      <c r="V480" s="29" t="str">
        <f t="shared" si="30"/>
        <v>Prof. Dr. Serdar ÖZER§2</v>
      </c>
      <c r="W480" s="29" t="str">
        <f>IF(U480=1,COUNTIF($U$2:U480,1),"")</f>
        <v/>
      </c>
      <c r="X480" s="29" t="str">
        <f t="shared" si="31"/>
        <v/>
      </c>
      <c r="Y480" s="29">
        <f>IF(AND(LEFT($B480,7)="SBA 26/",$D480&lt;&gt;"",$F480&lt;&gt;""),COUNTIFS($D$2:$D480,$D480,$B$2:$B480,"SBA 26/*",$F$2:$F480,"&lt;&gt;"),"")</f>
        <v>9</v>
      </c>
      <c r="Z480" s="29" t="str">
        <f>IF(Y480=1,COUNTIF($Y$2:Y480,1),"")</f>
        <v/>
      </c>
      <c r="AA480" s="29">
        <f>IF(AND(LEFT($B480,7)="SBA 26/",$C480&lt;&gt;"",$F480&lt;&gt;""),COUNTIFS($C$2:$C480,$C480,$B$2:$B480,"SBA 26/*",$F$2:$F480,"&lt;&gt;"),"")</f>
        <v>2</v>
      </c>
      <c r="AB480" s="29" t="str">
        <f>IF(AA480=1,COUNTIF($AA$2:AA480,1),"")</f>
        <v/>
      </c>
    </row>
    <row r="481" spans="1:28" ht="81" customHeight="1" x14ac:dyDescent="0.2">
      <c r="A481" s="43" t="s">
        <v>2301</v>
      </c>
      <c r="B481" s="43" t="s">
        <v>2302</v>
      </c>
      <c r="C481" s="44" t="s">
        <v>1663</v>
      </c>
      <c r="D481" s="44" t="s">
        <v>1664</v>
      </c>
      <c r="E481" s="45" t="s">
        <v>2303</v>
      </c>
      <c r="F481" s="45" t="s">
        <v>2304</v>
      </c>
      <c r="G481" s="46" t="s">
        <v>38</v>
      </c>
      <c r="H481" s="48">
        <v>46154</v>
      </c>
      <c r="I481" s="48">
        <v>46175</v>
      </c>
      <c r="J481" s="44" t="s">
        <v>75</v>
      </c>
      <c r="K481" s="44" t="s">
        <v>129</v>
      </c>
      <c r="L481" s="50" t="s">
        <v>101</v>
      </c>
      <c r="M481" s="50" t="s">
        <v>77</v>
      </c>
      <c r="N481" s="50"/>
      <c r="O481" s="49"/>
      <c r="P481" s="50" t="str">
        <f t="shared" si="28"/>
        <v>ONAY</v>
      </c>
      <c r="Q481" s="28" t="s">
        <v>75</v>
      </c>
      <c r="R481" s="51" t="str">
        <f t="shared" si="29"/>
        <v/>
      </c>
      <c r="T481" s="41"/>
      <c r="U481" s="29">
        <f>IF($C481&lt;&gt;"",COUNTIF($C$2:C481,C481),"")</f>
        <v>2</v>
      </c>
      <c r="V481" s="29" t="str">
        <f t="shared" si="30"/>
        <v>Doç. Dr. Oytun PORTAKAL AKÇİN§2</v>
      </c>
      <c r="W481" s="29" t="str">
        <f>IF(U481=1,COUNTIF($U$2:U481,1),"")</f>
        <v/>
      </c>
      <c r="X481" s="29" t="str">
        <f t="shared" si="31"/>
        <v/>
      </c>
      <c r="Y481" s="29">
        <f>IF(AND(LEFT($B481,7)="SBA 26/",$D481&lt;&gt;"",$F481&lt;&gt;""),COUNTIFS($D$2:$D481,$D481,$B$2:$B481,"SBA 26/*",$F$2:$F481,"&lt;&gt;"),"")</f>
        <v>3</v>
      </c>
      <c r="Z481" s="29" t="str">
        <f>IF(Y481=1,COUNTIF($Y$2:Y481,1),"")</f>
        <v/>
      </c>
      <c r="AA481" s="29">
        <f>IF(AND(LEFT($B481,7)="SBA 26/",$C481&lt;&gt;"",$F481&lt;&gt;""),COUNTIFS($C$2:$C481,$C481,$B$2:$B481,"SBA 26/*",$F$2:$F481,"&lt;&gt;"),"")</f>
        <v>2</v>
      </c>
      <c r="AB481" s="29" t="str">
        <f>IF(AA481=1,COUNTIF($AA$2:AA481,1),"")</f>
        <v/>
      </c>
    </row>
    <row r="482" spans="1:28" ht="110.25" customHeight="1" x14ac:dyDescent="0.2">
      <c r="A482" s="43" t="s">
        <v>2305</v>
      </c>
      <c r="B482" s="43" t="s">
        <v>2306</v>
      </c>
      <c r="C482" s="44" t="s">
        <v>2307</v>
      </c>
      <c r="D482" s="44" t="s">
        <v>169</v>
      </c>
      <c r="E482" s="45" t="s">
        <v>2308</v>
      </c>
      <c r="F482" s="45" t="s">
        <v>2309</v>
      </c>
      <c r="G482" s="46" t="s">
        <v>39</v>
      </c>
      <c r="H482" s="48">
        <v>46155</v>
      </c>
      <c r="I482" s="48">
        <v>46175</v>
      </c>
      <c r="J482" s="44" t="s">
        <v>99</v>
      </c>
      <c r="K482" s="44" t="s">
        <v>108</v>
      </c>
      <c r="L482" s="50" t="s">
        <v>77</v>
      </c>
      <c r="M482" s="50"/>
      <c r="N482" s="50"/>
      <c r="O482" s="49"/>
      <c r="P482" s="50" t="str">
        <f t="shared" si="28"/>
        <v>ONAY</v>
      </c>
      <c r="R482" s="51" t="str">
        <f t="shared" si="29"/>
        <v/>
      </c>
      <c r="T482" s="41"/>
      <c r="U482" s="29">
        <f>IF($C482&lt;&gt;"",COUNTIF($C$2:C482,C482),"")</f>
        <v>1</v>
      </c>
      <c r="V482" s="29" t="str">
        <f t="shared" si="30"/>
        <v>Dr. Öğr. Üyesi Aslı ALKAN§1</v>
      </c>
      <c r="W482" s="29">
        <f>IF(U482=1,COUNTIF($U$2:U482,1),"")</f>
        <v>262</v>
      </c>
      <c r="X482" s="29">
        <f t="shared" si="31"/>
        <v>116</v>
      </c>
      <c r="Y482" s="29">
        <f>IF(AND(LEFT($B482,7)="SBA 26/",$D482&lt;&gt;"",$F482&lt;&gt;""),COUNTIFS($D$2:$D482,$D482,$B$2:$B482,"SBA 26/*",$F$2:$F482,"&lt;&gt;"),"")</f>
        <v>15</v>
      </c>
      <c r="Z482" s="29" t="str">
        <f>IF(Y482=1,COUNTIF($Y$2:Y482,1),"")</f>
        <v/>
      </c>
      <c r="AA482" s="29">
        <f>IF(AND(LEFT($B482,7)="SBA 26/",$C482&lt;&gt;"",$F482&lt;&gt;""),COUNTIFS($C$2:$C482,$C482,$B$2:$B482,"SBA 26/*",$F$2:$F482,"&lt;&gt;"),"")</f>
        <v>1</v>
      </c>
      <c r="AB482" s="29">
        <f>IF(AA482=1,COUNTIF($AA$2:AA482,1),"")</f>
        <v>262</v>
      </c>
    </row>
    <row r="483" spans="1:28" ht="78.75" customHeight="1" x14ac:dyDescent="0.2">
      <c r="A483" s="43" t="s">
        <v>2310</v>
      </c>
      <c r="B483" s="43" t="s">
        <v>2311</v>
      </c>
      <c r="C483" s="44" t="s">
        <v>2312</v>
      </c>
      <c r="D483" s="44" t="s">
        <v>222</v>
      </c>
      <c r="E483" s="45" t="s">
        <v>2313</v>
      </c>
      <c r="F483" s="45" t="s">
        <v>2314</v>
      </c>
      <c r="G483" s="46" t="s">
        <v>39</v>
      </c>
      <c r="H483" s="48">
        <v>46155</v>
      </c>
      <c r="I483" s="48">
        <v>46175</v>
      </c>
      <c r="J483" s="44" t="s">
        <v>75</v>
      </c>
      <c r="K483" s="44" t="s">
        <v>84</v>
      </c>
      <c r="L483" s="50" t="s">
        <v>77</v>
      </c>
      <c r="M483" s="50"/>
      <c r="N483" s="50"/>
      <c r="O483" s="49"/>
      <c r="P483" s="50" t="str">
        <f t="shared" si="28"/>
        <v>ONAY</v>
      </c>
      <c r="R483" s="51" t="str">
        <f t="shared" si="29"/>
        <v/>
      </c>
      <c r="T483" s="41"/>
      <c r="U483" s="29">
        <f>IF($C483&lt;&gt;"",COUNTIF($C$2:C483,C483),"")</f>
        <v>1</v>
      </c>
      <c r="V483" s="29" t="str">
        <f t="shared" si="30"/>
        <v>Prof. Dr. Gülen Eda ÜTİNE§1</v>
      </c>
      <c r="W483" s="29">
        <f>IF(U483=1,COUNTIF($U$2:U483,1),"")</f>
        <v>263</v>
      </c>
      <c r="X483" s="29">
        <f t="shared" si="31"/>
        <v>239</v>
      </c>
      <c r="Y483" s="29">
        <f>IF(AND(LEFT($B483,7)="SBA 26/",$D483&lt;&gt;"",$F483&lt;&gt;""),COUNTIFS($D$2:$D483,$D483,$B$2:$B483,"SBA 26/*",$F$2:$F483,"&lt;&gt;"),"")</f>
        <v>72</v>
      </c>
      <c r="Z483" s="29" t="str">
        <f>IF(Y483=1,COUNTIF($Y$2:Y483,1),"")</f>
        <v/>
      </c>
      <c r="AA483" s="29">
        <f>IF(AND(LEFT($B483,7)="SBA 26/",$C483&lt;&gt;"",$F483&lt;&gt;""),COUNTIFS($C$2:$C483,$C483,$B$2:$B483,"SBA 26/*",$F$2:$F483,"&lt;&gt;"),"")</f>
        <v>1</v>
      </c>
      <c r="AB483" s="29">
        <f>IF(AA483=1,COUNTIF($AA$2:AA483,1),"")</f>
        <v>263</v>
      </c>
    </row>
    <row r="484" spans="1:28" ht="78.75" customHeight="1" x14ac:dyDescent="0.2">
      <c r="A484" s="43" t="s">
        <v>2315</v>
      </c>
      <c r="B484" s="43" t="s">
        <v>2316</v>
      </c>
      <c r="C484" s="44" t="s">
        <v>2317</v>
      </c>
      <c r="D484" s="44" t="s">
        <v>113</v>
      </c>
      <c r="E484" s="45" t="s">
        <v>2318</v>
      </c>
      <c r="F484" s="45" t="s">
        <v>2319</v>
      </c>
      <c r="G484" s="46" t="s">
        <v>39</v>
      </c>
      <c r="H484" s="48">
        <v>46155</v>
      </c>
      <c r="I484" s="48">
        <v>46175</v>
      </c>
      <c r="J484" s="44" t="s">
        <v>109</v>
      </c>
      <c r="K484" s="44" t="s">
        <v>129</v>
      </c>
      <c r="L484" s="50" t="s">
        <v>77</v>
      </c>
      <c r="M484" s="50"/>
      <c r="N484" s="50"/>
      <c r="O484" s="49"/>
      <c r="P484" s="50" t="str">
        <f t="shared" si="28"/>
        <v>ONAY</v>
      </c>
      <c r="R484" s="51" t="str">
        <f t="shared" si="29"/>
        <v/>
      </c>
      <c r="T484" s="41"/>
      <c r="U484" s="29">
        <f>IF($C484&lt;&gt;"",COUNTIF($C$2:C484,C484),"")</f>
        <v>1</v>
      </c>
      <c r="V484" s="29" t="str">
        <f t="shared" si="30"/>
        <v>Doç. Dr. Muhammed Bahaddin DURAK§1</v>
      </c>
      <c r="W484" s="29">
        <f>IF(U484=1,COUNTIF($U$2:U484,1),"")</f>
        <v>264</v>
      </c>
      <c r="X484" s="29">
        <f t="shared" si="31"/>
        <v>84</v>
      </c>
      <c r="Y484" s="29">
        <f>IF(AND(LEFT($B484,7)="SBA 26/",$D484&lt;&gt;"",$F484&lt;&gt;""),COUNTIFS($D$2:$D484,$D484,$B$2:$B484,"SBA 26/*",$F$2:$F484,"&lt;&gt;"),"")</f>
        <v>79</v>
      </c>
      <c r="Z484" s="29" t="str">
        <f>IF(Y484=1,COUNTIF($Y$2:Y484,1),"")</f>
        <v/>
      </c>
      <c r="AA484" s="29">
        <f>IF(AND(LEFT($B484,7)="SBA 26/",$C484&lt;&gt;"",$F484&lt;&gt;""),COUNTIFS($C$2:$C484,$C484,$B$2:$B484,"SBA 26/*",$F$2:$F484,"&lt;&gt;"),"")</f>
        <v>1</v>
      </c>
      <c r="AB484" s="29">
        <f>IF(AA484=1,COUNTIF($AA$2:AA484,1),"")</f>
        <v>264</v>
      </c>
    </row>
    <row r="485" spans="1:28" ht="63" customHeight="1" x14ac:dyDescent="0.2">
      <c r="A485" s="43" t="s">
        <v>2320</v>
      </c>
      <c r="B485" s="43" t="s">
        <v>2321</v>
      </c>
      <c r="C485" s="44" t="s">
        <v>1528</v>
      </c>
      <c r="D485" s="44" t="s">
        <v>234</v>
      </c>
      <c r="E485" s="45" t="s">
        <v>2322</v>
      </c>
      <c r="F485" s="45" t="s">
        <v>2323</v>
      </c>
      <c r="G485" s="46" t="s">
        <v>38</v>
      </c>
      <c r="H485" s="48">
        <v>46155</v>
      </c>
      <c r="I485" s="48">
        <v>46175</v>
      </c>
      <c r="J485" s="44" t="s">
        <v>116</v>
      </c>
      <c r="K485" s="44" t="s">
        <v>92</v>
      </c>
      <c r="L485" s="50" t="s">
        <v>77</v>
      </c>
      <c r="M485" s="50"/>
      <c r="N485" s="50"/>
      <c r="O485" s="49"/>
      <c r="P485" s="50" t="str">
        <f t="shared" si="28"/>
        <v>ONAY</v>
      </c>
      <c r="R485" s="51" t="str">
        <f t="shared" si="29"/>
        <v/>
      </c>
      <c r="T485" s="41"/>
      <c r="U485" s="29">
        <f>IF($C485&lt;&gt;"",COUNTIF($C$2:C485,C485),"")</f>
        <v>2</v>
      </c>
      <c r="V485" s="29" t="str">
        <f t="shared" si="30"/>
        <v>Doç. Dr. Cem ÇÖTELİ§2</v>
      </c>
      <c r="W485" s="29" t="str">
        <f>IF(U485=1,COUNTIF($U$2:U485,1),"")</f>
        <v/>
      </c>
      <c r="X485" s="29" t="str">
        <f t="shared" si="31"/>
        <v/>
      </c>
      <c r="Y485" s="29">
        <f>IF(AND(LEFT($B485,7)="SBA 26/",$D485&lt;&gt;"",$F485&lt;&gt;""),COUNTIFS($D$2:$D485,$D485,$B$2:$B485,"SBA 26/*",$F$2:$F485,"&lt;&gt;"),"")</f>
        <v>10</v>
      </c>
      <c r="Z485" s="29" t="str">
        <f>IF(Y485=1,COUNTIF($Y$2:Y485,1),"")</f>
        <v/>
      </c>
      <c r="AA485" s="29">
        <f>IF(AND(LEFT($B485,7)="SBA 26/",$C485&lt;&gt;"",$F485&lt;&gt;""),COUNTIFS($C$2:$C485,$C485,$B$2:$B485,"SBA 26/*",$F$2:$F485,"&lt;&gt;"),"")</f>
        <v>2</v>
      </c>
      <c r="AB485" s="29" t="str">
        <f>IF(AA485=1,COUNTIF($AA$2:AA485,1),"")</f>
        <v/>
      </c>
    </row>
    <row r="486" spans="1:28" ht="63" customHeight="1" x14ac:dyDescent="0.2">
      <c r="A486" s="43" t="s">
        <v>2324</v>
      </c>
      <c r="B486" s="43" t="s">
        <v>2325</v>
      </c>
      <c r="C486" s="44" t="s">
        <v>1528</v>
      </c>
      <c r="D486" s="44" t="s">
        <v>234</v>
      </c>
      <c r="E486" s="45" t="s">
        <v>2322</v>
      </c>
      <c r="F486" s="45" t="s">
        <v>2326</v>
      </c>
      <c r="G486" s="46" t="s">
        <v>38</v>
      </c>
      <c r="H486" s="48">
        <v>46155</v>
      </c>
      <c r="I486" s="48">
        <v>46175</v>
      </c>
      <c r="J486" s="44" t="s">
        <v>116</v>
      </c>
      <c r="K486" s="44" t="s">
        <v>92</v>
      </c>
      <c r="L486" s="50" t="s">
        <v>101</v>
      </c>
      <c r="M486" s="50"/>
      <c r="N486" s="50"/>
      <c r="O486" s="49"/>
      <c r="P486" s="50" t="str">
        <f t="shared" si="28"/>
        <v>DÜZELTME</v>
      </c>
      <c r="R486" s="51" t="str">
        <f t="shared" si="29"/>
        <v/>
      </c>
      <c r="T486" s="41"/>
      <c r="U486" s="29">
        <f>IF($C486&lt;&gt;"",COUNTIF($C$2:C486,C486),"")</f>
        <v>3</v>
      </c>
      <c r="V486" s="29" t="str">
        <f t="shared" si="30"/>
        <v>Doç. Dr. Cem ÇÖTELİ§3</v>
      </c>
      <c r="W486" s="29" t="str">
        <f>IF(U486=1,COUNTIF($U$2:U486,1),"")</f>
        <v/>
      </c>
      <c r="X486" s="29" t="str">
        <f t="shared" si="31"/>
        <v/>
      </c>
      <c r="Y486" s="29">
        <f>IF(AND(LEFT($B486,7)="SBA 26/",$D486&lt;&gt;"",$F486&lt;&gt;""),COUNTIFS($D$2:$D486,$D486,$B$2:$B486,"SBA 26/*",$F$2:$F486,"&lt;&gt;"),"")</f>
        <v>11</v>
      </c>
      <c r="Z486" s="29" t="str">
        <f>IF(Y486=1,COUNTIF($Y$2:Y486,1),"")</f>
        <v/>
      </c>
      <c r="AA486" s="29">
        <f>IF(AND(LEFT($B486,7)="SBA 26/",$C486&lt;&gt;"",$F486&lt;&gt;""),COUNTIFS($C$2:$C486,$C486,$B$2:$B486,"SBA 26/*",$F$2:$F486,"&lt;&gt;"),"")</f>
        <v>3</v>
      </c>
      <c r="AB486" s="29" t="str">
        <f>IF(AA486=1,COUNTIF($AA$2:AA486,1),"")</f>
        <v/>
      </c>
    </row>
    <row r="487" spans="1:28" ht="78.75" customHeight="1" x14ac:dyDescent="0.2">
      <c r="A487" s="43" t="s">
        <v>2327</v>
      </c>
      <c r="B487" s="43" t="s">
        <v>2328</v>
      </c>
      <c r="C487" s="44" t="s">
        <v>2329</v>
      </c>
      <c r="D487" s="44" t="s">
        <v>113</v>
      </c>
      <c r="E487" s="45" t="s">
        <v>2330</v>
      </c>
      <c r="F487" s="45" t="s">
        <v>2331</v>
      </c>
      <c r="G487" s="46" t="s">
        <v>38</v>
      </c>
      <c r="H487" s="48">
        <v>46156</v>
      </c>
      <c r="I487" s="48">
        <v>46175</v>
      </c>
      <c r="J487" s="44" t="s">
        <v>108</v>
      </c>
      <c r="K487" s="44" t="s">
        <v>129</v>
      </c>
      <c r="L487" s="50" t="s">
        <v>101</v>
      </c>
      <c r="M487" s="50" t="s">
        <v>77</v>
      </c>
      <c r="N487" s="50"/>
      <c r="O487" s="49"/>
      <c r="P487" s="50" t="str">
        <f t="shared" si="28"/>
        <v>ONAY</v>
      </c>
      <c r="Q487" s="28" t="s">
        <v>75</v>
      </c>
      <c r="R487" s="51" t="str">
        <f t="shared" si="29"/>
        <v/>
      </c>
      <c r="T487" s="41"/>
      <c r="U487" s="29">
        <f>IF($C487&lt;&gt;"",COUNTIF($C$2:C487,C487),"")</f>
        <v>1</v>
      </c>
      <c r="V487" s="29" t="str">
        <f t="shared" si="30"/>
        <v>Prof. Dr. Okan Bülent YILDIZ§1</v>
      </c>
      <c r="W487" s="29">
        <f>IF(U487=1,COUNTIF($U$2:U487,1),"")</f>
        <v>265</v>
      </c>
      <c r="X487" s="29">
        <f t="shared" si="31"/>
        <v>288</v>
      </c>
      <c r="Y487" s="29">
        <f>IF(AND(LEFT($B487,7)="SBA 26/",$D487&lt;&gt;"",$F487&lt;&gt;""),COUNTIFS($D$2:$D487,$D487,$B$2:$B487,"SBA 26/*",$F$2:$F487,"&lt;&gt;"),"")</f>
        <v>80</v>
      </c>
      <c r="Z487" s="29" t="str">
        <f>IF(Y487=1,COUNTIF($Y$2:Y487,1),"")</f>
        <v/>
      </c>
      <c r="AA487" s="29">
        <f>IF(AND(LEFT($B487,7)="SBA 26/",$C487&lt;&gt;"",$F487&lt;&gt;""),COUNTIFS($C$2:$C487,$C487,$B$2:$B487,"SBA 26/*",$F$2:$F487,"&lt;&gt;"),"")</f>
        <v>1</v>
      </c>
      <c r="AB487" s="29">
        <f>IF(AA487=1,COUNTIF($AA$2:AA487,1),"")</f>
        <v>265</v>
      </c>
    </row>
    <row r="488" spans="1:28" ht="78.75" customHeight="1" x14ac:dyDescent="0.2">
      <c r="A488" s="43" t="s">
        <v>2332</v>
      </c>
      <c r="B488" s="43" t="s">
        <v>2333</v>
      </c>
      <c r="C488" s="44" t="s">
        <v>2329</v>
      </c>
      <c r="D488" s="44" t="s">
        <v>113</v>
      </c>
      <c r="E488" s="45" t="s">
        <v>2330</v>
      </c>
      <c r="F488" s="45" t="s">
        <v>2334</v>
      </c>
      <c r="G488" s="46" t="s">
        <v>38</v>
      </c>
      <c r="H488" s="48">
        <v>46156</v>
      </c>
      <c r="I488" s="48">
        <v>46175</v>
      </c>
      <c r="J488" s="44" t="s">
        <v>108</v>
      </c>
      <c r="K488" s="44" t="s">
        <v>129</v>
      </c>
      <c r="L488" s="50" t="s">
        <v>101</v>
      </c>
      <c r="M488" s="50" t="s">
        <v>77</v>
      </c>
      <c r="N488" s="50"/>
      <c r="O488" s="49"/>
      <c r="P488" s="50" t="str">
        <f t="shared" si="28"/>
        <v>ONAY</v>
      </c>
      <c r="Q488" s="28" t="s">
        <v>75</v>
      </c>
      <c r="R488" s="51" t="str">
        <f t="shared" si="29"/>
        <v/>
      </c>
      <c r="T488" s="41"/>
      <c r="U488" s="29">
        <f>IF($C488&lt;&gt;"",COUNTIF($C$2:C488,C488),"")</f>
        <v>2</v>
      </c>
      <c r="V488" s="29" t="str">
        <f t="shared" si="30"/>
        <v>Prof. Dr. Okan Bülent YILDIZ§2</v>
      </c>
      <c r="W488" s="29" t="str">
        <f>IF(U488=1,COUNTIF($U$2:U488,1),"")</f>
        <v/>
      </c>
      <c r="X488" s="29" t="str">
        <f t="shared" si="31"/>
        <v/>
      </c>
      <c r="Y488" s="29">
        <f>IF(AND(LEFT($B488,7)="SBA 26/",$D488&lt;&gt;"",$F488&lt;&gt;""),COUNTIFS($D$2:$D488,$D488,$B$2:$B488,"SBA 26/*",$F$2:$F488,"&lt;&gt;"),"")</f>
        <v>81</v>
      </c>
      <c r="Z488" s="29" t="str">
        <f>IF(Y488=1,COUNTIF($Y$2:Y488,1),"")</f>
        <v/>
      </c>
      <c r="AA488" s="29">
        <f>IF(AND(LEFT($B488,7)="SBA 26/",$C488&lt;&gt;"",$F488&lt;&gt;""),COUNTIFS($C$2:$C488,$C488,$B$2:$B488,"SBA 26/*",$F$2:$F488,"&lt;&gt;"),"")</f>
        <v>2</v>
      </c>
      <c r="AB488" s="29" t="str">
        <f>IF(AA488=1,COUNTIF($AA$2:AA488,1),"")</f>
        <v/>
      </c>
    </row>
    <row r="489" spans="1:28" ht="63" customHeight="1" x14ac:dyDescent="0.2">
      <c r="A489" s="43" t="s">
        <v>2335</v>
      </c>
      <c r="B489" s="43" t="s">
        <v>2336</v>
      </c>
      <c r="C489" s="44" t="s">
        <v>633</v>
      </c>
      <c r="D489" s="44" t="s">
        <v>228</v>
      </c>
      <c r="E489" s="45" t="s">
        <v>2337</v>
      </c>
      <c r="F489" s="45" t="s">
        <v>2338</v>
      </c>
      <c r="G489" s="46" t="s">
        <v>39</v>
      </c>
      <c r="H489" s="48">
        <v>46156</v>
      </c>
      <c r="I489" s="48">
        <v>46175</v>
      </c>
      <c r="J489" s="44" t="s">
        <v>84</v>
      </c>
      <c r="K489" s="44" t="s">
        <v>99</v>
      </c>
      <c r="L489" s="50" t="s">
        <v>101</v>
      </c>
      <c r="M489" s="50" t="s">
        <v>77</v>
      </c>
      <c r="N489" s="50"/>
      <c r="O489" s="49"/>
      <c r="P489" s="50" t="str">
        <f t="shared" si="28"/>
        <v>ONAY</v>
      </c>
      <c r="Q489" s="28" t="s">
        <v>84</v>
      </c>
      <c r="R489" s="51" t="str">
        <f t="shared" si="29"/>
        <v/>
      </c>
      <c r="T489" s="41"/>
      <c r="U489" s="29">
        <f>IF($C489&lt;&gt;"",COUNTIF($C$2:C489,C489),"")</f>
        <v>6</v>
      </c>
      <c r="V489" s="29" t="str">
        <f t="shared" si="30"/>
        <v>Doç. Dr. Utku AKGÖR§6</v>
      </c>
      <c r="W489" s="29" t="str">
        <f>IF(U489=1,COUNTIF($U$2:U489,1),"")</f>
        <v/>
      </c>
      <c r="X489" s="29" t="str">
        <f t="shared" si="31"/>
        <v/>
      </c>
      <c r="Y489" s="29">
        <f>IF(AND(LEFT($B489,7)="SBA 26/",$D489&lt;&gt;"",$F489&lt;&gt;""),COUNTIFS($D$2:$D489,$D489,$B$2:$B489,"SBA 26/*",$F$2:$F489,"&lt;&gt;"),"")</f>
        <v>24</v>
      </c>
      <c r="Z489" s="29" t="str">
        <f>IF(Y489=1,COUNTIF($Y$2:Y489,1),"")</f>
        <v/>
      </c>
      <c r="AA489" s="29">
        <f>IF(AND(LEFT($B489,7)="SBA 26/",$C489&lt;&gt;"",$F489&lt;&gt;""),COUNTIFS($C$2:$C489,$C489,$B$2:$B489,"SBA 26/*",$F$2:$F489,"&lt;&gt;"),"")</f>
        <v>6</v>
      </c>
      <c r="AB489" s="29" t="str">
        <f>IF(AA489=1,COUNTIF($AA$2:AA489,1),"")</f>
        <v/>
      </c>
    </row>
    <row r="490" spans="1:28" ht="63" customHeight="1" x14ac:dyDescent="0.2">
      <c r="A490" s="43" t="s">
        <v>2339</v>
      </c>
      <c r="B490" s="43" t="s">
        <v>2340</v>
      </c>
      <c r="C490" s="44" t="s">
        <v>2341</v>
      </c>
      <c r="D490" s="44" t="s">
        <v>385</v>
      </c>
      <c r="E490" s="45" t="s">
        <v>2342</v>
      </c>
      <c r="F490" s="45" t="s">
        <v>2343</v>
      </c>
      <c r="G490" s="46" t="s">
        <v>38</v>
      </c>
      <c r="H490" s="48">
        <v>46156</v>
      </c>
      <c r="I490" s="48">
        <v>46175</v>
      </c>
      <c r="J490" s="44" t="s">
        <v>99</v>
      </c>
      <c r="K490" s="44" t="s">
        <v>100</v>
      </c>
      <c r="L490" s="50" t="s">
        <v>77</v>
      </c>
      <c r="M490" s="50"/>
      <c r="N490" s="50"/>
      <c r="O490" s="49"/>
      <c r="P490" s="50" t="str">
        <f t="shared" si="28"/>
        <v>ONAY</v>
      </c>
      <c r="R490" s="51" t="str">
        <f t="shared" si="29"/>
        <v/>
      </c>
      <c r="T490" s="41"/>
      <c r="U490" s="29">
        <f>IF($C490&lt;&gt;"",COUNTIF($C$2:C490,C490),"")</f>
        <v>1</v>
      </c>
      <c r="V490" s="29" t="str">
        <f t="shared" si="30"/>
        <v>Prof. Dr. Saniye EKİNCİ§1</v>
      </c>
      <c r="W490" s="29">
        <f>IF(U490=1,COUNTIF($U$2:U490,1),"")</f>
        <v>266</v>
      </c>
      <c r="X490" s="29">
        <f t="shared" si="31"/>
        <v>310</v>
      </c>
      <c r="Y490" s="29">
        <f>IF(AND(LEFT($B490,7)="SBA 26/",$D490&lt;&gt;"",$F490&lt;&gt;""),COUNTIFS($D$2:$D490,$D490,$B$2:$B490,"SBA 26/*",$F$2:$F490,"&lt;&gt;"),"")</f>
        <v>9</v>
      </c>
      <c r="Z490" s="29" t="str">
        <f>IF(Y490=1,COUNTIF($Y$2:Y490,1),"")</f>
        <v/>
      </c>
      <c r="AA490" s="29">
        <f>IF(AND(LEFT($B490,7)="SBA 26/",$C490&lt;&gt;"",$F490&lt;&gt;""),COUNTIFS($C$2:$C490,$C490,$B$2:$B490,"SBA 26/*",$F$2:$F490,"&lt;&gt;"),"")</f>
        <v>1</v>
      </c>
      <c r="AB490" s="29">
        <f>IF(AA490=1,COUNTIF($AA$2:AA490,1),"")</f>
        <v>266</v>
      </c>
    </row>
    <row r="491" spans="1:28" ht="63" customHeight="1" x14ac:dyDescent="0.2">
      <c r="A491" s="43" t="s">
        <v>2344</v>
      </c>
      <c r="B491" s="43" t="s">
        <v>2345</v>
      </c>
      <c r="C491" s="44" t="s">
        <v>2346</v>
      </c>
      <c r="D491" s="44" t="s">
        <v>113</v>
      </c>
      <c r="E491" s="45" t="s">
        <v>2347</v>
      </c>
      <c r="F491" s="45" t="s">
        <v>2348</v>
      </c>
      <c r="G491" s="46" t="s">
        <v>38</v>
      </c>
      <c r="H491" s="48">
        <v>46157</v>
      </c>
      <c r="I491" s="48">
        <v>46175</v>
      </c>
      <c r="J491" s="44" t="s">
        <v>123</v>
      </c>
      <c r="K491" s="44" t="s">
        <v>84</v>
      </c>
      <c r="L491" s="50" t="s">
        <v>77</v>
      </c>
      <c r="M491" s="50"/>
      <c r="N491" s="50"/>
      <c r="O491" s="49"/>
      <c r="P491" s="50" t="str">
        <f t="shared" si="28"/>
        <v>ONAY</v>
      </c>
      <c r="R491" s="51" t="str">
        <f t="shared" si="29"/>
        <v/>
      </c>
      <c r="T491" s="41"/>
      <c r="U491" s="29">
        <f>IF($C491&lt;&gt;"",COUNTIF($C$2:C491,C491),"")</f>
        <v>1</v>
      </c>
      <c r="V491" s="29" t="str">
        <f t="shared" si="30"/>
        <v>Prof. Dr. Gülay SAİN GÜVEN§1</v>
      </c>
      <c r="W491" s="29">
        <f>IF(U491=1,COUNTIF($U$2:U491,1),"")</f>
        <v>267</v>
      </c>
      <c r="X491" s="29">
        <f t="shared" si="31"/>
        <v>238</v>
      </c>
      <c r="Y491" s="29">
        <f>IF(AND(LEFT($B491,7)="SBA 26/",$D491&lt;&gt;"",$F491&lt;&gt;""),COUNTIFS($D$2:$D491,$D491,$B$2:$B491,"SBA 26/*",$F$2:$F491,"&lt;&gt;"),"")</f>
        <v>82</v>
      </c>
      <c r="Z491" s="29" t="str">
        <f>IF(Y491=1,COUNTIF($Y$2:Y491,1),"")</f>
        <v/>
      </c>
      <c r="AA491" s="29">
        <f>IF(AND(LEFT($B491,7)="SBA 26/",$C491&lt;&gt;"",$F491&lt;&gt;""),COUNTIFS($C$2:$C491,$C491,$B$2:$B491,"SBA 26/*",$F$2:$F491,"&lt;&gt;"),"")</f>
        <v>1</v>
      </c>
      <c r="AB491" s="29">
        <f>IF(AA491=1,COUNTIF($AA$2:AA491,1),"")</f>
        <v>267</v>
      </c>
    </row>
    <row r="492" spans="1:28" ht="63" customHeight="1" x14ac:dyDescent="0.2">
      <c r="A492" s="43" t="s">
        <v>2349</v>
      </c>
      <c r="B492" s="43" t="s">
        <v>2350</v>
      </c>
      <c r="C492" s="44" t="s">
        <v>514</v>
      </c>
      <c r="D492" s="44" t="s">
        <v>291</v>
      </c>
      <c r="E492" s="45" t="s">
        <v>2351</v>
      </c>
      <c r="F492" s="45" t="s">
        <v>2352</v>
      </c>
      <c r="G492" s="46" t="s">
        <v>38</v>
      </c>
      <c r="H492" s="48">
        <v>46157</v>
      </c>
      <c r="I492" s="48">
        <v>46175</v>
      </c>
      <c r="J492" s="44" t="s">
        <v>100</v>
      </c>
      <c r="K492" s="44" t="s">
        <v>109</v>
      </c>
      <c r="L492" s="50" t="s">
        <v>77</v>
      </c>
      <c r="M492" s="50"/>
      <c r="N492" s="50"/>
      <c r="O492" s="49"/>
      <c r="P492" s="50" t="str">
        <f t="shared" si="28"/>
        <v>ONAY</v>
      </c>
      <c r="R492" s="51" t="str">
        <f t="shared" si="29"/>
        <v/>
      </c>
      <c r="T492" s="41"/>
      <c r="U492" s="29">
        <f>IF($C492&lt;&gt;"",COUNTIF($C$2:C492,C492),"")</f>
        <v>2</v>
      </c>
      <c r="V492" s="29" t="str">
        <f t="shared" si="30"/>
        <v>Prof. Dr. Taner YILMAZ§2</v>
      </c>
      <c r="W492" s="29" t="str">
        <f>IF(U492=1,COUNTIF($U$2:U492,1),"")</f>
        <v/>
      </c>
      <c r="X492" s="29" t="str">
        <f t="shared" si="31"/>
        <v/>
      </c>
      <c r="Y492" s="29">
        <f>IF(AND(LEFT($B492,7)="SBA 26/",$D492&lt;&gt;"",$F492&lt;&gt;""),COUNTIFS($D$2:$D492,$D492,$B$2:$B492,"SBA 26/*",$F$2:$F492,"&lt;&gt;"),"")</f>
        <v>10</v>
      </c>
      <c r="Z492" s="29" t="str">
        <f>IF(Y492=1,COUNTIF($Y$2:Y492,1),"")</f>
        <v/>
      </c>
      <c r="AA492" s="29">
        <f>IF(AND(LEFT($B492,7)="SBA 26/",$C492&lt;&gt;"",$F492&lt;&gt;""),COUNTIFS($C$2:$C492,$C492,$B$2:$B492,"SBA 26/*",$F$2:$F492,"&lt;&gt;"),"")</f>
        <v>2</v>
      </c>
      <c r="AB492" s="29" t="str">
        <f>IF(AA492=1,COUNTIF($AA$2:AA492,1),"")</f>
        <v/>
      </c>
    </row>
    <row r="493" spans="1:28" ht="78.75" customHeight="1" x14ac:dyDescent="0.2">
      <c r="A493" s="43" t="s">
        <v>2353</v>
      </c>
      <c r="B493" s="43" t="s">
        <v>2354</v>
      </c>
      <c r="C493" s="44" t="s">
        <v>633</v>
      </c>
      <c r="D493" s="44" t="s">
        <v>228</v>
      </c>
      <c r="E493" s="45" t="s">
        <v>2355</v>
      </c>
      <c r="F493" s="45" t="s">
        <v>2356</v>
      </c>
      <c r="G493" s="46" t="s">
        <v>38</v>
      </c>
      <c r="H493" s="48">
        <v>46157</v>
      </c>
      <c r="I493" s="48">
        <v>46175</v>
      </c>
      <c r="J493" s="44" t="s">
        <v>123</v>
      </c>
      <c r="K493" s="44" t="s">
        <v>75</v>
      </c>
      <c r="L493" s="50" t="s">
        <v>77</v>
      </c>
      <c r="M493" s="50"/>
      <c r="N493" s="50"/>
      <c r="O493" s="49"/>
      <c r="P493" s="50" t="str">
        <f t="shared" si="28"/>
        <v>ONAY</v>
      </c>
      <c r="R493" s="51" t="str">
        <f t="shared" si="29"/>
        <v/>
      </c>
      <c r="T493" s="41"/>
      <c r="U493" s="29">
        <f>IF($C493&lt;&gt;"",COUNTIF($C$2:C493,C493),"")</f>
        <v>7</v>
      </c>
      <c r="V493" s="29" t="str">
        <f t="shared" si="30"/>
        <v>Doç. Dr. Utku AKGÖR§7</v>
      </c>
      <c r="W493" s="29" t="str">
        <f>IF(U493=1,COUNTIF($U$2:U493,1),"")</f>
        <v/>
      </c>
      <c r="X493" s="29" t="str">
        <f t="shared" si="31"/>
        <v/>
      </c>
      <c r="Y493" s="29">
        <f>IF(AND(LEFT($B493,7)="SBA 26/",$D493&lt;&gt;"",$F493&lt;&gt;""),COUNTIFS($D$2:$D493,$D493,$B$2:$B493,"SBA 26/*",$F$2:$F493,"&lt;&gt;"),"")</f>
        <v>25</v>
      </c>
      <c r="Z493" s="29" t="str">
        <f>IF(Y493=1,COUNTIF($Y$2:Y493,1),"")</f>
        <v/>
      </c>
      <c r="AA493" s="29">
        <f>IF(AND(LEFT($B493,7)="SBA 26/",$C493&lt;&gt;"",$F493&lt;&gt;""),COUNTIFS($C$2:$C493,$C493,$B$2:$B493,"SBA 26/*",$F$2:$F493,"&lt;&gt;"),"")</f>
        <v>7</v>
      </c>
      <c r="AB493" s="29" t="str">
        <f>IF(AA493=1,COUNTIF($AA$2:AA493,1),"")</f>
        <v/>
      </c>
    </row>
    <row r="494" spans="1:28" ht="47.25" customHeight="1" x14ac:dyDescent="0.2">
      <c r="A494" s="43" t="s">
        <v>2357</v>
      </c>
      <c r="B494" s="43" t="s">
        <v>2358</v>
      </c>
      <c r="C494" s="44" t="s">
        <v>1427</v>
      </c>
      <c r="D494" s="44" t="s">
        <v>966</v>
      </c>
      <c r="E494" s="45" t="s">
        <v>2359</v>
      </c>
      <c r="F494" s="45" t="s">
        <v>2360</v>
      </c>
      <c r="G494" s="46" t="s">
        <v>39</v>
      </c>
      <c r="H494" s="48">
        <v>46176</v>
      </c>
      <c r="I494" s="48">
        <v>46196</v>
      </c>
      <c r="J494" s="44" t="s">
        <v>84</v>
      </c>
      <c r="K494" s="44" t="s">
        <v>116</v>
      </c>
      <c r="L494" s="50" t="s">
        <v>77</v>
      </c>
      <c r="M494" s="50"/>
      <c r="N494" s="50"/>
      <c r="O494" s="49"/>
      <c r="P494" s="50" t="str">
        <f t="shared" si="28"/>
        <v>ONAY</v>
      </c>
      <c r="R494" s="51" t="str">
        <f t="shared" si="29"/>
        <v/>
      </c>
      <c r="T494" s="41"/>
      <c r="U494" s="29">
        <f>IF($C494&lt;&gt;"",COUNTIF($C$2:C494,C494),"")</f>
        <v>4</v>
      </c>
      <c r="V494" s="29" t="str">
        <f t="shared" si="30"/>
        <v>Doç. Dr. Hilal AKSOY§4</v>
      </c>
      <c r="W494" s="29" t="str">
        <f>IF(U494=1,COUNTIF($U$2:U494,1),"")</f>
        <v/>
      </c>
      <c r="X494" s="29" t="str">
        <f t="shared" si="31"/>
        <v/>
      </c>
      <c r="Y494" s="29">
        <f>IF(AND(LEFT($B494,7)="SBA 26/",$D494&lt;&gt;"",$F494&lt;&gt;""),COUNTIFS($D$2:$D494,$D494,$B$2:$B494,"SBA 26/*",$F$2:$F494,"&lt;&gt;"),"")</f>
        <v>10</v>
      </c>
      <c r="Z494" s="29" t="str">
        <f>IF(Y494=1,COUNTIF($Y$2:Y494,1),"")</f>
        <v/>
      </c>
      <c r="AA494" s="29">
        <f>IF(AND(LEFT($B494,7)="SBA 26/",$C494&lt;&gt;"",$F494&lt;&gt;""),COUNTIFS($C$2:$C494,$C494,$B$2:$B494,"SBA 26/*",$F$2:$F494,"&lt;&gt;"),"")</f>
        <v>4</v>
      </c>
      <c r="AB494" s="29" t="str">
        <f>IF(AA494=1,COUNTIF($AA$2:AA494,1),"")</f>
        <v/>
      </c>
    </row>
    <row r="495" spans="1:28" ht="63" customHeight="1" x14ac:dyDescent="0.2">
      <c r="A495" s="43" t="s">
        <v>2361</v>
      </c>
      <c r="B495" s="43" t="s">
        <v>2362</v>
      </c>
      <c r="C495" s="44" t="s">
        <v>489</v>
      </c>
      <c r="D495" s="44" t="s">
        <v>297</v>
      </c>
      <c r="E495" s="45" t="s">
        <v>2363</v>
      </c>
      <c r="F495" s="45" t="s">
        <v>2364</v>
      </c>
      <c r="G495" s="46" t="s">
        <v>38</v>
      </c>
      <c r="H495" s="48">
        <v>46176</v>
      </c>
      <c r="I495" s="48">
        <v>46196</v>
      </c>
      <c r="J495" s="44" t="s">
        <v>123</v>
      </c>
      <c r="K495" s="44" t="s">
        <v>116</v>
      </c>
      <c r="L495" s="50" t="s">
        <v>77</v>
      </c>
      <c r="M495" s="50"/>
      <c r="N495" s="50"/>
      <c r="O495" s="49"/>
      <c r="P495" s="50" t="str">
        <f t="shared" si="28"/>
        <v>ONAY</v>
      </c>
      <c r="R495" s="51" t="str">
        <f t="shared" si="29"/>
        <v/>
      </c>
      <c r="T495" s="41"/>
      <c r="U495" s="29">
        <f>IF($C495&lt;&gt;"",COUNTIF($C$2:C495,C495),"")</f>
        <v>4</v>
      </c>
      <c r="V495" s="29" t="str">
        <f t="shared" si="30"/>
        <v>Doç. Dr. Ezgi ATİK§4</v>
      </c>
      <c r="W495" s="29" t="str">
        <f>IF(U495=1,COUNTIF($U$2:U495,1),"")</f>
        <v/>
      </c>
      <c r="X495" s="29" t="str">
        <f t="shared" si="31"/>
        <v/>
      </c>
      <c r="Y495" s="29">
        <f>IF(AND(LEFT($B495,7)="SBA 26/",$D495&lt;&gt;"",$F495&lt;&gt;""),COUNTIFS($D$2:$D495,$D495,$B$2:$B495,"SBA 26/*",$F$2:$F495,"&lt;&gt;"),"")</f>
        <v>8</v>
      </c>
      <c r="Z495" s="29" t="str">
        <f>IF(Y495=1,COUNTIF($Y$2:Y495,1),"")</f>
        <v/>
      </c>
      <c r="AA495" s="29">
        <f>IF(AND(LEFT($B495,7)="SBA 26/",$C495&lt;&gt;"",$F495&lt;&gt;""),COUNTIFS($C$2:$C495,$C495,$B$2:$B495,"SBA 26/*",$F$2:$F495,"&lt;&gt;"),"")</f>
        <v>4</v>
      </c>
      <c r="AB495" s="29" t="str">
        <f>IF(AA495=1,COUNTIF($AA$2:AA495,1),"")</f>
        <v/>
      </c>
    </row>
    <row r="496" spans="1:28" ht="63" customHeight="1" x14ac:dyDescent="0.2">
      <c r="A496" s="43" t="s">
        <v>2365</v>
      </c>
      <c r="B496" s="43" t="s">
        <v>2366</v>
      </c>
      <c r="C496" s="44" t="s">
        <v>2367</v>
      </c>
      <c r="D496" s="44" t="s">
        <v>291</v>
      </c>
      <c r="E496" s="45" t="s">
        <v>2368</v>
      </c>
      <c r="F496" s="45" t="s">
        <v>2369</v>
      </c>
      <c r="G496" s="46" t="s">
        <v>38</v>
      </c>
      <c r="H496" s="48">
        <v>46176</v>
      </c>
      <c r="I496" s="48">
        <v>46196</v>
      </c>
      <c r="J496" s="44" t="s">
        <v>75</v>
      </c>
      <c r="K496" s="44" t="s">
        <v>100</v>
      </c>
      <c r="L496" s="50" t="s">
        <v>77</v>
      </c>
      <c r="M496" s="50"/>
      <c r="N496" s="50"/>
      <c r="O496" s="49"/>
      <c r="P496" s="50" t="str">
        <f t="shared" si="28"/>
        <v>ONAY</v>
      </c>
      <c r="R496" s="51" t="str">
        <f t="shared" si="29"/>
        <v/>
      </c>
      <c r="T496" s="41"/>
      <c r="U496" s="29">
        <f>IF($C496&lt;&gt;"",COUNTIF($C$2:C496,C496),"")</f>
        <v>1</v>
      </c>
      <c r="V496" s="29" t="str">
        <f t="shared" si="30"/>
        <v>Prof. Dr. Levent SENNAROĞLU§1</v>
      </c>
      <c r="W496" s="29">
        <f>IF(U496=1,COUNTIF($U$2:U496,1),"")</f>
        <v>268</v>
      </c>
      <c r="X496" s="29">
        <f t="shared" si="31"/>
        <v>262</v>
      </c>
      <c r="Y496" s="29">
        <f>IF(AND(LEFT($B496,7)="SBA 26/",$D496&lt;&gt;"",$F496&lt;&gt;""),COUNTIFS($D$2:$D496,$D496,$B$2:$B496,"SBA 26/*",$F$2:$F496,"&lt;&gt;"),"")</f>
        <v>11</v>
      </c>
      <c r="Z496" s="29" t="str">
        <f>IF(Y496=1,COUNTIF($Y$2:Y496,1),"")</f>
        <v/>
      </c>
      <c r="AA496" s="29">
        <f>IF(AND(LEFT($B496,7)="SBA 26/",$C496&lt;&gt;"",$F496&lt;&gt;""),COUNTIFS($C$2:$C496,$C496,$B$2:$B496,"SBA 26/*",$F$2:$F496,"&lt;&gt;"),"")</f>
        <v>1</v>
      </c>
      <c r="AB496" s="29">
        <f>IF(AA496=1,COUNTIF($AA$2:AA496,1),"")</f>
        <v>268</v>
      </c>
    </row>
    <row r="497" spans="1:28" ht="63" customHeight="1" x14ac:dyDescent="0.2">
      <c r="A497" s="43" t="s">
        <v>2370</v>
      </c>
      <c r="B497" s="43" t="s">
        <v>2371</v>
      </c>
      <c r="C497" s="44" t="s">
        <v>1338</v>
      </c>
      <c r="D497" s="44" t="s">
        <v>222</v>
      </c>
      <c r="E497" s="45" t="s">
        <v>2372</v>
      </c>
      <c r="F497" s="45" t="s">
        <v>2373</v>
      </c>
      <c r="G497" s="46" t="s">
        <v>38</v>
      </c>
      <c r="H497" s="48">
        <v>46177</v>
      </c>
      <c r="I497" s="48">
        <v>46196</v>
      </c>
      <c r="J497" s="44" t="s">
        <v>76</v>
      </c>
      <c r="K497" s="44" t="s">
        <v>116</v>
      </c>
      <c r="L497" s="50" t="s">
        <v>77</v>
      </c>
      <c r="M497" s="50"/>
      <c r="N497" s="50"/>
      <c r="O497" s="49"/>
      <c r="P497" s="50" t="str">
        <f t="shared" si="28"/>
        <v>ONAY</v>
      </c>
      <c r="R497" s="51" t="str">
        <f t="shared" si="29"/>
        <v/>
      </c>
      <c r="T497" s="41"/>
      <c r="U497" s="29">
        <f>IF($C497&lt;&gt;"",COUNTIF($C$2:C497,C497),"")</f>
        <v>2</v>
      </c>
      <c r="V497" s="29" t="str">
        <f t="shared" si="30"/>
        <v>Doç. Dr. Leman AKCAN YILDIZ§2</v>
      </c>
      <c r="W497" s="29" t="str">
        <f>IF(U497=1,COUNTIF($U$2:U497,1),"")</f>
        <v/>
      </c>
      <c r="X497" s="29" t="str">
        <f t="shared" si="31"/>
        <v/>
      </c>
      <c r="Y497" s="29">
        <f>IF(AND(LEFT($B497,7)="SBA 26/",$D497&lt;&gt;"",$F497&lt;&gt;""),COUNTIFS($D$2:$D497,$D497,$B$2:$B497,"SBA 26/*",$F$2:$F497,"&lt;&gt;"),"")</f>
        <v>73</v>
      </c>
      <c r="Z497" s="29" t="str">
        <f>IF(Y497=1,COUNTIF($Y$2:Y497,1),"")</f>
        <v/>
      </c>
      <c r="AA497" s="29">
        <f>IF(AND(LEFT($B497,7)="SBA 26/",$C497&lt;&gt;"",$F497&lt;&gt;""),COUNTIFS($C$2:$C497,$C497,$B$2:$B497,"SBA 26/*",$F$2:$F497,"&lt;&gt;"),"")</f>
        <v>2</v>
      </c>
      <c r="AB497" s="29" t="str">
        <f>IF(AA497=1,COUNTIF($AA$2:AA497,1),"")</f>
        <v/>
      </c>
    </row>
    <row r="498" spans="1:28" ht="78.75" customHeight="1" x14ac:dyDescent="0.2">
      <c r="A498" s="43" t="s">
        <v>2374</v>
      </c>
      <c r="B498" s="43" t="s">
        <v>2375</v>
      </c>
      <c r="C498" s="44" t="s">
        <v>379</v>
      </c>
      <c r="D498" s="44" t="s">
        <v>222</v>
      </c>
      <c r="E498" s="45" t="s">
        <v>2376</v>
      </c>
      <c r="F498" s="45" t="s">
        <v>2377</v>
      </c>
      <c r="G498" s="46" t="s">
        <v>38</v>
      </c>
      <c r="H498" s="48">
        <v>46177</v>
      </c>
      <c r="I498" s="48">
        <v>46196</v>
      </c>
      <c r="J498" s="44" t="s">
        <v>76</v>
      </c>
      <c r="K498" s="44" t="s">
        <v>92</v>
      </c>
      <c r="L498" s="50" t="s">
        <v>77</v>
      </c>
      <c r="M498" s="50"/>
      <c r="N498" s="50"/>
      <c r="O498" s="49"/>
      <c r="P498" s="50" t="str">
        <f t="shared" si="28"/>
        <v>ONAY</v>
      </c>
      <c r="R498" s="51" t="str">
        <f t="shared" si="29"/>
        <v/>
      </c>
      <c r="T498" s="41"/>
      <c r="U498" s="29">
        <f>IF($C498&lt;&gt;"",COUNTIF($C$2:C498,C498),"")</f>
        <v>6</v>
      </c>
      <c r="V498" s="29" t="str">
        <f t="shared" si="30"/>
        <v>Prof. Dr. Deniz ÇAĞDAŞ AYVAZ§6</v>
      </c>
      <c r="W498" s="29" t="str">
        <f>IF(U498=1,COUNTIF($U$2:U498,1),"")</f>
        <v/>
      </c>
      <c r="X498" s="29" t="str">
        <f t="shared" si="31"/>
        <v/>
      </c>
      <c r="Y498" s="29">
        <f>IF(AND(LEFT($B498,7)="SBA 26/",$D498&lt;&gt;"",$F498&lt;&gt;""),COUNTIFS($D$2:$D498,$D498,$B$2:$B498,"SBA 26/*",$F$2:$F498,"&lt;&gt;"),"")</f>
        <v>74</v>
      </c>
      <c r="Z498" s="29" t="str">
        <f>IF(Y498=1,COUNTIF($Y$2:Y498,1),"")</f>
        <v/>
      </c>
      <c r="AA498" s="29">
        <f>IF(AND(LEFT($B498,7)="SBA 26/",$C498&lt;&gt;"",$F498&lt;&gt;""),COUNTIFS($C$2:$C498,$C498,$B$2:$B498,"SBA 26/*",$F$2:$F498,"&lt;&gt;"),"")</f>
        <v>6</v>
      </c>
      <c r="AB498" s="29" t="str">
        <f>IF(AA498=1,COUNTIF($AA$2:AA498,1),"")</f>
        <v/>
      </c>
    </row>
    <row r="499" spans="1:28" ht="63" customHeight="1" x14ac:dyDescent="0.2">
      <c r="A499" s="43" t="s">
        <v>2378</v>
      </c>
      <c r="B499" s="43" t="s">
        <v>2379</v>
      </c>
      <c r="C499" s="44" t="s">
        <v>524</v>
      </c>
      <c r="D499" s="44" t="s">
        <v>113</v>
      </c>
      <c r="E499" s="45" t="s">
        <v>1994</v>
      </c>
      <c r="F499" s="45" t="s">
        <v>2380</v>
      </c>
      <c r="G499" s="46" t="s">
        <v>38</v>
      </c>
      <c r="H499" s="48">
        <v>46177</v>
      </c>
      <c r="I499" s="48">
        <v>46196</v>
      </c>
      <c r="J499" s="44" t="s">
        <v>75</v>
      </c>
      <c r="K499" s="44" t="s">
        <v>129</v>
      </c>
      <c r="L499" s="50" t="s">
        <v>101</v>
      </c>
      <c r="M499" s="50"/>
      <c r="N499" s="50"/>
      <c r="O499" s="49"/>
      <c r="P499" s="50" t="str">
        <f t="shared" si="28"/>
        <v>DÜZELTME</v>
      </c>
      <c r="R499" s="51" t="str">
        <f t="shared" si="29"/>
        <v/>
      </c>
      <c r="T499" s="41"/>
      <c r="U499" s="29">
        <f>IF($C499&lt;&gt;"",COUNTIF($C$2:C499,C499),"")</f>
        <v>7</v>
      </c>
      <c r="V499" s="29" t="str">
        <f t="shared" si="30"/>
        <v>Doç. Dr. Mert EŞME§7</v>
      </c>
      <c r="W499" s="29" t="str">
        <f>IF(U499=1,COUNTIF($U$2:U499,1),"")</f>
        <v/>
      </c>
      <c r="X499" s="29" t="str">
        <f t="shared" si="31"/>
        <v/>
      </c>
      <c r="Y499" s="29">
        <f>IF(AND(LEFT($B499,7)="SBA 26/",$D499&lt;&gt;"",$F499&lt;&gt;""),COUNTIFS($D$2:$D499,$D499,$B$2:$B499,"SBA 26/*",$F$2:$F499,"&lt;&gt;"),"")</f>
        <v>83</v>
      </c>
      <c r="Z499" s="29" t="str">
        <f>IF(Y499=1,COUNTIF($Y$2:Y499,1),"")</f>
        <v/>
      </c>
      <c r="AA499" s="29">
        <f>IF(AND(LEFT($B499,7)="SBA 26/",$C499&lt;&gt;"",$F499&lt;&gt;""),COUNTIFS($C$2:$C499,$C499,$B$2:$B499,"SBA 26/*",$F$2:$F499,"&lt;&gt;"),"")</f>
        <v>7</v>
      </c>
      <c r="AB499" s="29" t="str">
        <f>IF(AA499=1,COUNTIF($AA$2:AA499,1),"")</f>
        <v/>
      </c>
    </row>
    <row r="500" spans="1:28" ht="65.25" customHeight="1" x14ac:dyDescent="0.2">
      <c r="A500" s="43" t="s">
        <v>2381</v>
      </c>
      <c r="B500" s="43" t="s">
        <v>2382</v>
      </c>
      <c r="C500" s="44" t="s">
        <v>548</v>
      </c>
      <c r="D500" s="44" t="s">
        <v>193</v>
      </c>
      <c r="E500" s="45" t="s">
        <v>2383</v>
      </c>
      <c r="F500" s="45" t="s">
        <v>2384</v>
      </c>
      <c r="G500" s="46" t="s">
        <v>38</v>
      </c>
      <c r="H500" s="48">
        <v>46177</v>
      </c>
      <c r="I500" s="48">
        <v>46196</v>
      </c>
      <c r="J500" s="44" t="s">
        <v>92</v>
      </c>
      <c r="K500" s="44" t="s">
        <v>84</v>
      </c>
      <c r="L500" s="50" t="s">
        <v>77</v>
      </c>
      <c r="M500" s="50"/>
      <c r="N500" s="50"/>
      <c r="O500" s="49"/>
      <c r="P500" s="50" t="str">
        <f t="shared" si="28"/>
        <v>ONAY</v>
      </c>
      <c r="R500" s="51" t="str">
        <f t="shared" si="29"/>
        <v/>
      </c>
      <c r="T500" s="41"/>
      <c r="U500" s="29">
        <f>IF($C500&lt;&gt;"",COUNTIF($C$2:C500,C500),"")</f>
        <v>5</v>
      </c>
      <c r="V500" s="29" t="str">
        <f t="shared" si="30"/>
        <v>Doç. Dr. İrem KOÇ§5</v>
      </c>
      <c r="W500" s="29" t="str">
        <f>IF(U500=1,COUNTIF($U$2:U500,1),"")</f>
        <v/>
      </c>
      <c r="X500" s="29" t="str">
        <f t="shared" si="31"/>
        <v/>
      </c>
      <c r="Y500" s="29">
        <f>IF(AND(LEFT($B500,7)="SBA 26/",$D500&lt;&gt;"",$F500&lt;&gt;""),COUNTIFS($D$2:$D500,$D500,$B$2:$B500,"SBA 26/*",$F$2:$F500,"&lt;&gt;"),"")</f>
        <v>14</v>
      </c>
      <c r="Z500" s="29" t="str">
        <f>IF(Y500=1,COUNTIF($Y$2:Y500,1),"")</f>
        <v/>
      </c>
      <c r="AA500" s="29">
        <f>IF(AND(LEFT($B500,7)="SBA 26/",$C500&lt;&gt;"",$F500&lt;&gt;""),COUNTIFS($C$2:$C500,$C500,$B$2:$B500,"SBA 26/*",$F$2:$F500,"&lt;&gt;"),"")</f>
        <v>5</v>
      </c>
      <c r="AB500" s="29" t="str">
        <f>IF(AA500=1,COUNTIF($AA$2:AA500,1),"")</f>
        <v/>
      </c>
    </row>
    <row r="501" spans="1:28" ht="78.75" customHeight="1" x14ac:dyDescent="0.2">
      <c r="A501" s="43" t="s">
        <v>2385</v>
      </c>
      <c r="B501" s="43" t="s">
        <v>2386</v>
      </c>
      <c r="C501" s="44" t="s">
        <v>233</v>
      </c>
      <c r="D501" s="44" t="s">
        <v>234</v>
      </c>
      <c r="E501" s="45" t="s">
        <v>2387</v>
      </c>
      <c r="F501" s="45" t="s">
        <v>2388</v>
      </c>
      <c r="G501" s="46" t="s">
        <v>39</v>
      </c>
      <c r="H501" s="48">
        <v>46177</v>
      </c>
      <c r="I501" s="48">
        <v>46196</v>
      </c>
      <c r="J501" s="44" t="s">
        <v>91</v>
      </c>
      <c r="K501" s="44" t="s">
        <v>92</v>
      </c>
      <c r="L501" s="50" t="s">
        <v>77</v>
      </c>
      <c r="M501" s="50"/>
      <c r="N501" s="50"/>
      <c r="O501" s="49"/>
      <c r="P501" s="50" t="str">
        <f t="shared" si="28"/>
        <v>ONAY</v>
      </c>
      <c r="R501" s="51" t="str">
        <f t="shared" si="29"/>
        <v/>
      </c>
      <c r="T501" s="41"/>
      <c r="U501" s="29">
        <f>IF($C501&lt;&gt;"",COUNTIF($C$2:C501,C501),"")</f>
        <v>2</v>
      </c>
      <c r="V501" s="29" t="str">
        <f t="shared" si="30"/>
        <v>Prof. Dr. Hikmet YORGUN§2</v>
      </c>
      <c r="W501" s="29" t="str">
        <f>IF(U501=1,COUNTIF($U$2:U501,1),"")</f>
        <v/>
      </c>
      <c r="X501" s="29" t="str">
        <f t="shared" si="31"/>
        <v/>
      </c>
      <c r="Y501" s="29">
        <f>IF(AND(LEFT($B501,7)="SBA 26/",$D501&lt;&gt;"",$F501&lt;&gt;""),COUNTIFS($D$2:$D501,$D501,$B$2:$B501,"SBA 26/*",$F$2:$F501,"&lt;&gt;"),"")</f>
        <v>12</v>
      </c>
      <c r="Z501" s="29" t="str">
        <f>IF(Y501=1,COUNTIF($Y$2:Y501,1),"")</f>
        <v/>
      </c>
      <c r="AA501" s="29">
        <f>IF(AND(LEFT($B501,7)="SBA 26/",$C501&lt;&gt;"",$F501&lt;&gt;""),COUNTIFS($C$2:$C501,$C501,$B$2:$B501,"SBA 26/*",$F$2:$F501,"&lt;&gt;"),"")</f>
        <v>2</v>
      </c>
      <c r="AB501" s="29" t="str">
        <f>IF(AA501=1,COUNTIF($AA$2:AA501,1),"")</f>
        <v/>
      </c>
    </row>
    <row r="502" spans="1:28" ht="63" customHeight="1" x14ac:dyDescent="0.2">
      <c r="A502" s="43" t="s">
        <v>2389</v>
      </c>
      <c r="B502" s="43" t="s">
        <v>2390</v>
      </c>
      <c r="C502" s="44" t="s">
        <v>2200</v>
      </c>
      <c r="D502" s="44" t="s">
        <v>234</v>
      </c>
      <c r="E502" s="45" t="s">
        <v>2391</v>
      </c>
      <c r="F502" s="45" t="s">
        <v>2392</v>
      </c>
      <c r="G502" s="46" t="s">
        <v>38</v>
      </c>
      <c r="H502" s="48">
        <v>46177</v>
      </c>
      <c r="I502" s="48">
        <v>46196</v>
      </c>
      <c r="J502" s="44" t="s">
        <v>91</v>
      </c>
      <c r="K502" s="44" t="s">
        <v>129</v>
      </c>
      <c r="L502" s="50" t="s">
        <v>77</v>
      </c>
      <c r="M502" s="50"/>
      <c r="N502" s="50"/>
      <c r="O502" s="49"/>
      <c r="P502" s="50" t="str">
        <f t="shared" si="28"/>
        <v>ONAY</v>
      </c>
      <c r="R502" s="51" t="str">
        <f t="shared" si="29"/>
        <v/>
      </c>
      <c r="T502" s="41"/>
      <c r="U502" s="29">
        <f>IF($C502&lt;&gt;"",COUNTIF($C$2:C502,C502),"")</f>
        <v>3</v>
      </c>
      <c r="V502" s="29" t="str">
        <f t="shared" si="30"/>
        <v>Doç. Dr. Ahmet KIVRAK§3</v>
      </c>
      <c r="W502" s="29" t="str">
        <f>IF(U502=1,COUNTIF($U$2:U502,1),"")</f>
        <v/>
      </c>
      <c r="X502" s="29" t="str">
        <f t="shared" si="31"/>
        <v/>
      </c>
      <c r="Y502" s="29">
        <f>IF(AND(LEFT($B502,7)="SBA 26/",$D502&lt;&gt;"",$F502&lt;&gt;""),COUNTIFS($D$2:$D502,$D502,$B$2:$B502,"SBA 26/*",$F$2:$F502,"&lt;&gt;"),"")</f>
        <v>13</v>
      </c>
      <c r="Z502" s="29" t="str">
        <f>IF(Y502=1,COUNTIF($Y$2:Y502,1),"")</f>
        <v/>
      </c>
      <c r="AA502" s="29">
        <f>IF(AND(LEFT($B502,7)="SBA 26/",$C502&lt;&gt;"",$F502&lt;&gt;""),COUNTIFS($C$2:$C502,$C502,$B$2:$B502,"SBA 26/*",$F$2:$F502,"&lt;&gt;"),"")</f>
        <v>3</v>
      </c>
      <c r="AB502" s="29" t="str">
        <f>IF(AA502=1,COUNTIF($AA$2:AA502,1),"")</f>
        <v/>
      </c>
    </row>
    <row r="503" spans="1:28" ht="82.5" customHeight="1" x14ac:dyDescent="0.2">
      <c r="A503" s="43" t="s">
        <v>2393</v>
      </c>
      <c r="B503" s="43" t="s">
        <v>2394</v>
      </c>
      <c r="C503" s="44" t="s">
        <v>1300</v>
      </c>
      <c r="D503" s="44" t="s">
        <v>228</v>
      </c>
      <c r="E503" s="45" t="s">
        <v>2395</v>
      </c>
      <c r="F503" s="45" t="s">
        <v>2396</v>
      </c>
      <c r="G503" s="46" t="s">
        <v>38</v>
      </c>
      <c r="H503" s="48">
        <v>46177</v>
      </c>
      <c r="I503" s="48">
        <v>46196</v>
      </c>
      <c r="J503" s="44" t="s">
        <v>75</v>
      </c>
      <c r="K503" s="44" t="s">
        <v>84</v>
      </c>
      <c r="L503" s="50" t="s">
        <v>218</v>
      </c>
      <c r="M503" s="50"/>
      <c r="N503" s="50"/>
      <c r="O503" s="49"/>
      <c r="P503" s="50" t="str">
        <f t="shared" si="28"/>
        <v>KAEK</v>
      </c>
      <c r="R503" s="51" t="str">
        <f t="shared" si="29"/>
        <v/>
      </c>
      <c r="T503" s="41"/>
      <c r="U503" s="29">
        <f>IF($C503&lt;&gt;"",COUNTIF($C$2:C503,C503),"")</f>
        <v>4</v>
      </c>
      <c r="V503" s="29" t="str">
        <f t="shared" si="30"/>
        <v>Prof. Dr. Murat GÜLTEKİN§4</v>
      </c>
      <c r="W503" s="29" t="str">
        <f>IF(U503=1,COUNTIF($U$2:U503,1),"")</f>
        <v/>
      </c>
      <c r="X503" s="29" t="str">
        <f t="shared" si="31"/>
        <v/>
      </c>
      <c r="Y503" s="29">
        <f>IF(AND(LEFT($B503,7)="SBA 26/",$D503&lt;&gt;"",$F503&lt;&gt;""),COUNTIFS($D$2:$D503,$D503,$B$2:$B503,"SBA 26/*",$F$2:$F503,"&lt;&gt;"),"")</f>
        <v>26</v>
      </c>
      <c r="Z503" s="29" t="str">
        <f>IF(Y503=1,COUNTIF($Y$2:Y503,1),"")</f>
        <v/>
      </c>
      <c r="AA503" s="29">
        <f>IF(AND(LEFT($B503,7)="SBA 26/",$C503&lt;&gt;"",$F503&lt;&gt;""),COUNTIFS($C$2:$C503,$C503,$B$2:$B503,"SBA 26/*",$F$2:$F503,"&lt;&gt;"),"")</f>
        <v>4</v>
      </c>
      <c r="AB503" s="29" t="str">
        <f>IF(AA503=1,COUNTIF($AA$2:AA503,1),"")</f>
        <v/>
      </c>
    </row>
    <row r="504" spans="1:28" ht="63" customHeight="1" x14ac:dyDescent="0.2">
      <c r="A504" s="43" t="s">
        <v>2397</v>
      </c>
      <c r="B504" s="43" t="s">
        <v>2398</v>
      </c>
      <c r="C504" s="44" t="s">
        <v>1300</v>
      </c>
      <c r="D504" s="44" t="s">
        <v>228</v>
      </c>
      <c r="E504" s="45" t="s">
        <v>2395</v>
      </c>
      <c r="F504" s="45" t="s">
        <v>2399</v>
      </c>
      <c r="G504" s="46" t="s">
        <v>38</v>
      </c>
      <c r="H504" s="48">
        <v>46177</v>
      </c>
      <c r="I504" s="48">
        <v>46196</v>
      </c>
      <c r="J504" s="44" t="s">
        <v>75</v>
      </c>
      <c r="K504" s="44" t="s">
        <v>84</v>
      </c>
      <c r="L504" s="50" t="s">
        <v>218</v>
      </c>
      <c r="M504" s="50"/>
      <c r="N504" s="50"/>
      <c r="O504" s="49"/>
      <c r="P504" s="50" t="str">
        <f t="shared" si="28"/>
        <v>KAEK</v>
      </c>
      <c r="R504" s="51" t="str">
        <f t="shared" si="29"/>
        <v/>
      </c>
      <c r="T504" s="41"/>
      <c r="U504" s="29">
        <f>IF($C504&lt;&gt;"",COUNTIF($C$2:C504,C504),"")</f>
        <v>5</v>
      </c>
      <c r="V504" s="29" t="str">
        <f t="shared" si="30"/>
        <v>Prof. Dr. Murat GÜLTEKİN§5</v>
      </c>
      <c r="W504" s="29" t="str">
        <f>IF(U504=1,COUNTIF($U$2:U504,1),"")</f>
        <v/>
      </c>
      <c r="X504" s="29" t="str">
        <f t="shared" si="31"/>
        <v/>
      </c>
      <c r="Y504" s="29">
        <f>IF(AND(LEFT($B504,7)="SBA 26/",$D504&lt;&gt;"",$F504&lt;&gt;""),COUNTIFS($D$2:$D504,$D504,$B$2:$B504,"SBA 26/*",$F$2:$F504,"&lt;&gt;"),"")</f>
        <v>27</v>
      </c>
      <c r="Z504" s="29" t="str">
        <f>IF(Y504=1,COUNTIF($Y$2:Y504,1),"")</f>
        <v/>
      </c>
      <c r="AA504" s="29">
        <f>IF(AND(LEFT($B504,7)="SBA 26/",$C504&lt;&gt;"",$F504&lt;&gt;""),COUNTIFS($C$2:$C504,$C504,$B$2:$B504,"SBA 26/*",$F$2:$F504,"&lt;&gt;"),"")</f>
        <v>5</v>
      </c>
      <c r="AB504" s="29" t="str">
        <f>IF(AA504=1,COUNTIF($AA$2:AA504,1),"")</f>
        <v/>
      </c>
    </row>
    <row r="505" spans="1:28" ht="63" customHeight="1" x14ac:dyDescent="0.2">
      <c r="A505" s="43" t="s">
        <v>2400</v>
      </c>
      <c r="B505" s="43" t="s">
        <v>2401</v>
      </c>
      <c r="C505" s="44" t="s">
        <v>2402</v>
      </c>
      <c r="D505" s="44" t="s">
        <v>113</v>
      </c>
      <c r="E505" s="45" t="s">
        <v>2403</v>
      </c>
      <c r="F505" s="45" t="s">
        <v>2404</v>
      </c>
      <c r="G505" s="46" t="s">
        <v>38</v>
      </c>
      <c r="H505" s="48">
        <v>46177</v>
      </c>
      <c r="I505" s="48">
        <v>46196</v>
      </c>
      <c r="J505" s="44" t="s">
        <v>123</v>
      </c>
      <c r="K505" s="44" t="s">
        <v>129</v>
      </c>
      <c r="L505" s="50" t="s">
        <v>77</v>
      </c>
      <c r="M505" s="50"/>
      <c r="N505" s="50"/>
      <c r="O505" s="49"/>
      <c r="P505" s="50" t="str">
        <f t="shared" si="28"/>
        <v>ONAY</v>
      </c>
      <c r="R505" s="51" t="str">
        <f t="shared" si="29"/>
        <v/>
      </c>
      <c r="T505" s="41"/>
      <c r="U505" s="29">
        <f>IF($C505&lt;&gt;"",COUNTIF($C$2:C505,C505),"")</f>
        <v>1</v>
      </c>
      <c r="V505" s="29" t="str">
        <f t="shared" si="30"/>
        <v>Prof. Dr. Uğur ÜNLÜTÜRK§1</v>
      </c>
      <c r="W505" s="29">
        <f>IF(U505=1,COUNTIF($U$2:U505,1),"")</f>
        <v>269</v>
      </c>
      <c r="X505" s="29">
        <f t="shared" si="31"/>
        <v>335</v>
      </c>
      <c r="Y505" s="29">
        <f>IF(AND(LEFT($B505,7)="SBA 26/",$D505&lt;&gt;"",$F505&lt;&gt;""),COUNTIFS($D$2:$D505,$D505,$B$2:$B505,"SBA 26/*",$F$2:$F505,"&lt;&gt;"),"")</f>
        <v>84</v>
      </c>
      <c r="Z505" s="29" t="str">
        <f>IF(Y505=1,COUNTIF($Y$2:Y505,1),"")</f>
        <v/>
      </c>
      <c r="AA505" s="29">
        <f>IF(AND(LEFT($B505,7)="SBA 26/",$C505&lt;&gt;"",$F505&lt;&gt;""),COUNTIFS($C$2:$C505,$C505,$B$2:$B505,"SBA 26/*",$F$2:$F505,"&lt;&gt;"),"")</f>
        <v>1</v>
      </c>
      <c r="AB505" s="29">
        <f>IF(AA505=1,COUNTIF($AA$2:AA505,1),"")</f>
        <v>269</v>
      </c>
    </row>
    <row r="506" spans="1:28" ht="78.75" customHeight="1" x14ac:dyDescent="0.2">
      <c r="A506" s="43" t="s">
        <v>2405</v>
      </c>
      <c r="B506" s="43" t="s">
        <v>2406</v>
      </c>
      <c r="C506" s="44" t="s">
        <v>227</v>
      </c>
      <c r="D506" s="44" t="s">
        <v>228</v>
      </c>
      <c r="E506" s="45" t="s">
        <v>2407</v>
      </c>
      <c r="F506" s="45" t="s">
        <v>2408</v>
      </c>
      <c r="G506" s="46" t="s">
        <v>38</v>
      </c>
      <c r="H506" s="48">
        <v>46177</v>
      </c>
      <c r="I506" s="48">
        <v>46196</v>
      </c>
      <c r="J506" s="44" t="s">
        <v>116</v>
      </c>
      <c r="K506" s="44" t="s">
        <v>76</v>
      </c>
      <c r="L506" s="50" t="s">
        <v>77</v>
      </c>
      <c r="M506" s="50"/>
      <c r="N506" s="50"/>
      <c r="O506" s="49"/>
      <c r="P506" s="50" t="str">
        <f t="shared" si="28"/>
        <v>ONAY</v>
      </c>
      <c r="R506" s="51" t="str">
        <f t="shared" si="29"/>
        <v/>
      </c>
      <c r="T506" s="41"/>
      <c r="U506" s="29">
        <f>IF($C506&lt;&gt;"",COUNTIF($C$2:C506,C506),"")</f>
        <v>8</v>
      </c>
      <c r="V506" s="29" t="str">
        <f t="shared" si="30"/>
        <v>Dr. Öğr. Üyesi Gonca ÖZTEN DERE§8</v>
      </c>
      <c r="W506" s="29" t="str">
        <f>IF(U506=1,COUNTIF($U$2:U506,1),"")</f>
        <v/>
      </c>
      <c r="X506" s="29" t="str">
        <f t="shared" si="31"/>
        <v/>
      </c>
      <c r="Y506" s="29">
        <f>IF(AND(LEFT($B506,7)="SBA 26/",$D506&lt;&gt;"",$F506&lt;&gt;""),COUNTIFS($D$2:$D506,$D506,$B$2:$B506,"SBA 26/*",$F$2:$F506,"&lt;&gt;"),"")</f>
        <v>28</v>
      </c>
      <c r="Z506" s="29" t="str">
        <f>IF(Y506=1,COUNTIF($Y$2:Y506,1),"")</f>
        <v/>
      </c>
      <c r="AA506" s="29">
        <f>IF(AND(LEFT($B506,7)="SBA 26/",$C506&lt;&gt;"",$F506&lt;&gt;""),COUNTIFS($C$2:$C506,$C506,$B$2:$B506,"SBA 26/*",$F$2:$F506,"&lt;&gt;"),"")</f>
        <v>8</v>
      </c>
      <c r="AB506" s="29" t="str">
        <f>IF(AA506=1,COUNTIF($AA$2:AA506,1),"")</f>
        <v/>
      </c>
    </row>
    <row r="507" spans="1:28" ht="78.75" customHeight="1" x14ac:dyDescent="0.2">
      <c r="A507" s="43" t="s">
        <v>2409</v>
      </c>
      <c r="B507" s="43" t="s">
        <v>2410</v>
      </c>
      <c r="C507" s="44" t="s">
        <v>2411</v>
      </c>
      <c r="D507" s="44" t="s">
        <v>222</v>
      </c>
      <c r="E507" s="45" t="s">
        <v>2412</v>
      </c>
      <c r="F507" s="45" t="s">
        <v>2413</v>
      </c>
      <c r="G507" s="46" t="s">
        <v>38</v>
      </c>
      <c r="H507" s="48">
        <v>46177</v>
      </c>
      <c r="I507" s="48">
        <v>46196</v>
      </c>
      <c r="J507" s="44" t="s">
        <v>108</v>
      </c>
      <c r="K507" s="44" t="s">
        <v>100</v>
      </c>
      <c r="L507" s="50" t="s">
        <v>101</v>
      </c>
      <c r="M507" s="50"/>
      <c r="N507" s="50"/>
      <c r="O507" s="49"/>
      <c r="P507" s="50" t="str">
        <f t="shared" si="28"/>
        <v>DÜZELTME</v>
      </c>
      <c r="R507" s="51" t="str">
        <f t="shared" si="29"/>
        <v/>
      </c>
      <c r="T507" s="41"/>
      <c r="U507" s="29">
        <f>IF($C507&lt;&gt;"",COUNTIF($C$2:C507,C507),"")</f>
        <v>1</v>
      </c>
      <c r="V507" s="29" t="str">
        <f t="shared" si="30"/>
        <v>Doç. Dr. Melis PEHLİVANTÜRK KIZILKAN§1</v>
      </c>
      <c r="W507" s="29">
        <f>IF(U507=1,COUNTIF($U$2:U507,1),"")</f>
        <v>270</v>
      </c>
      <c r="X507" s="29">
        <f t="shared" si="31"/>
        <v>81</v>
      </c>
      <c r="Y507" s="29">
        <f>IF(AND(LEFT($B507,7)="SBA 26/",$D507&lt;&gt;"",$F507&lt;&gt;""),COUNTIFS($D$2:$D507,$D507,$B$2:$B507,"SBA 26/*",$F$2:$F507,"&lt;&gt;"),"")</f>
        <v>75</v>
      </c>
      <c r="Z507" s="29" t="str">
        <f>IF(Y507=1,COUNTIF($Y$2:Y507,1),"")</f>
        <v/>
      </c>
      <c r="AA507" s="29">
        <f>IF(AND(LEFT($B507,7)="SBA 26/",$C507&lt;&gt;"",$F507&lt;&gt;""),COUNTIFS($C$2:$C507,$C507,$B$2:$B507,"SBA 26/*",$F$2:$F507,"&lt;&gt;"),"")</f>
        <v>1</v>
      </c>
      <c r="AB507" s="29">
        <f>IF(AA507=1,COUNTIF($AA$2:AA507,1),"")</f>
        <v>270</v>
      </c>
    </row>
    <row r="508" spans="1:28" ht="63" customHeight="1" x14ac:dyDescent="0.2">
      <c r="A508" s="43" t="s">
        <v>2414</v>
      </c>
      <c r="B508" s="43" t="s">
        <v>2415</v>
      </c>
      <c r="C508" s="44" t="s">
        <v>2416</v>
      </c>
      <c r="D508" s="44" t="s">
        <v>139</v>
      </c>
      <c r="E508" s="45" t="s">
        <v>2417</v>
      </c>
      <c r="F508" s="45" t="s">
        <v>2418</v>
      </c>
      <c r="G508" s="46" t="s">
        <v>38</v>
      </c>
      <c r="H508" s="48">
        <v>46177</v>
      </c>
      <c r="I508" s="48">
        <v>46196</v>
      </c>
      <c r="J508" s="44" t="s">
        <v>75</v>
      </c>
      <c r="K508" s="44" t="s">
        <v>109</v>
      </c>
      <c r="L508" s="50" t="s">
        <v>77</v>
      </c>
      <c r="M508" s="50"/>
      <c r="N508" s="50"/>
      <c r="O508" s="49"/>
      <c r="P508" s="50" t="str">
        <f t="shared" si="28"/>
        <v>ONAY</v>
      </c>
      <c r="R508" s="51" t="str">
        <f t="shared" si="29"/>
        <v/>
      </c>
      <c r="T508" s="41"/>
      <c r="U508" s="29">
        <f>IF($C508&lt;&gt;"",COUNTIF($C$2:C508,C508),"")</f>
        <v>1</v>
      </c>
      <c r="V508" s="29" t="str">
        <f t="shared" si="30"/>
        <v>Prof. Dr. Banu SANCAK§1</v>
      </c>
      <c r="W508" s="29">
        <f>IF(U508=1,COUNTIF($U$2:U508,1),"")</f>
        <v>271</v>
      </c>
      <c r="X508" s="29">
        <f t="shared" si="31"/>
        <v>203</v>
      </c>
      <c r="Y508" s="29">
        <f>IF(AND(LEFT($B508,7)="SBA 26/",$D508&lt;&gt;"",$F508&lt;&gt;""),COUNTIFS($D$2:$D508,$D508,$B$2:$B508,"SBA 26/*",$F$2:$F508,"&lt;&gt;"),"")</f>
        <v>2</v>
      </c>
      <c r="Z508" s="29" t="str">
        <f>IF(Y508=1,COUNTIF($Y$2:Y508,1),"")</f>
        <v/>
      </c>
      <c r="AA508" s="29">
        <f>IF(AND(LEFT($B508,7)="SBA 26/",$C508&lt;&gt;"",$F508&lt;&gt;""),COUNTIFS($C$2:$C508,$C508,$B$2:$B508,"SBA 26/*",$F$2:$F508,"&lt;&gt;"),"")</f>
        <v>1</v>
      </c>
      <c r="AB508" s="29">
        <f>IF(AA508=1,COUNTIF($AA$2:AA508,1),"")</f>
        <v>271</v>
      </c>
    </row>
    <row r="509" spans="1:28" ht="112.5" customHeight="1" x14ac:dyDescent="0.2">
      <c r="A509" s="43" t="s">
        <v>2419</v>
      </c>
      <c r="B509" s="43" t="s">
        <v>2420</v>
      </c>
      <c r="C509" s="44" t="s">
        <v>1528</v>
      </c>
      <c r="D509" s="44" t="s">
        <v>234</v>
      </c>
      <c r="E509" s="45" t="s">
        <v>2421</v>
      </c>
      <c r="F509" s="45" t="s">
        <v>2422</v>
      </c>
      <c r="G509" s="46" t="s">
        <v>38</v>
      </c>
      <c r="H509" s="48">
        <v>46177</v>
      </c>
      <c r="I509" s="48">
        <v>46196</v>
      </c>
      <c r="J509" s="44" t="s">
        <v>91</v>
      </c>
      <c r="K509" s="44" t="s">
        <v>92</v>
      </c>
      <c r="L509" s="50" t="s">
        <v>218</v>
      </c>
      <c r="M509" s="50"/>
      <c r="N509" s="50"/>
      <c r="O509" s="49"/>
      <c r="P509" s="50" t="str">
        <f t="shared" si="28"/>
        <v>KAEK</v>
      </c>
      <c r="R509" s="51" t="str">
        <f t="shared" si="29"/>
        <v/>
      </c>
      <c r="T509" s="41"/>
      <c r="U509" s="29">
        <f>IF($C509&lt;&gt;"",COUNTIF($C$2:C509,C509),"")</f>
        <v>4</v>
      </c>
      <c r="V509" s="29" t="str">
        <f t="shared" si="30"/>
        <v>Doç. Dr. Cem ÇÖTELİ§4</v>
      </c>
      <c r="W509" s="29" t="str">
        <f>IF(U509=1,COUNTIF($U$2:U509,1),"")</f>
        <v/>
      </c>
      <c r="X509" s="29" t="str">
        <f t="shared" si="31"/>
        <v/>
      </c>
      <c r="Y509" s="29">
        <f>IF(AND(LEFT($B509,7)="SBA 26/",$D509&lt;&gt;"",$F509&lt;&gt;""),COUNTIFS($D$2:$D509,$D509,$B$2:$B509,"SBA 26/*",$F$2:$F509,"&lt;&gt;"),"")</f>
        <v>14</v>
      </c>
      <c r="Z509" s="29" t="str">
        <f>IF(Y509=1,COUNTIF($Y$2:Y509,1),"")</f>
        <v/>
      </c>
      <c r="AA509" s="29">
        <f>IF(AND(LEFT($B509,7)="SBA 26/",$C509&lt;&gt;"",$F509&lt;&gt;""),COUNTIFS($C$2:$C509,$C509,$B$2:$B509,"SBA 26/*",$F$2:$F509,"&lt;&gt;"),"")</f>
        <v>4</v>
      </c>
      <c r="AB509" s="29" t="str">
        <f>IF(AA509=1,COUNTIF($AA$2:AA509,1),"")</f>
        <v/>
      </c>
    </row>
    <row r="510" spans="1:28" ht="78.75" customHeight="1" x14ac:dyDescent="0.2">
      <c r="A510" s="43" t="s">
        <v>2423</v>
      </c>
      <c r="B510" s="43" t="s">
        <v>2424</v>
      </c>
      <c r="C510" s="44" t="s">
        <v>2425</v>
      </c>
      <c r="D510" s="54" t="s">
        <v>2426</v>
      </c>
      <c r="E510" s="45" t="s">
        <v>2427</v>
      </c>
      <c r="F510" s="45" t="s">
        <v>2428</v>
      </c>
      <c r="G510" s="46" t="s">
        <v>40</v>
      </c>
      <c r="H510" s="48">
        <v>46177</v>
      </c>
      <c r="I510" s="48">
        <v>46196</v>
      </c>
      <c r="J510" s="44" t="s">
        <v>75</v>
      </c>
      <c r="K510" s="44" t="s">
        <v>76</v>
      </c>
      <c r="L510" s="50" t="s">
        <v>218</v>
      </c>
      <c r="M510" s="50"/>
      <c r="N510" s="50"/>
      <c r="O510" s="49"/>
      <c r="P510" s="50" t="str">
        <f t="shared" si="28"/>
        <v>KAEK</v>
      </c>
      <c r="R510" s="51" t="str">
        <f t="shared" si="29"/>
        <v/>
      </c>
      <c r="T510" s="41"/>
      <c r="U510" s="29">
        <f>IF($C510&lt;&gt;"",COUNTIF($C$2:C510,C510),"")</f>
        <v>1</v>
      </c>
      <c r="V510" s="29" t="str">
        <f t="shared" si="30"/>
        <v>Doç. Dr. Eylem TOPBAŞ§1</v>
      </c>
      <c r="W510" s="29">
        <f>IF(U510=1,COUNTIF($U$2:U510,1),"")</f>
        <v>272</v>
      </c>
      <c r="X510" s="29">
        <f t="shared" si="31"/>
        <v>53</v>
      </c>
      <c r="Y510" s="29">
        <f>IF(AND(LEFT($B510,7)="SBA 26/",$D510&lt;&gt;"",$F510&lt;&gt;""),COUNTIFS($D$2:$D510,$D510,$B$2:$B510,"SBA 26/*",$F$2:$F510,"&lt;&gt;"),"")</f>
        <v>1</v>
      </c>
      <c r="Z510" s="29">
        <f>IF(Y510=1,COUNTIF($Y$2:Y510,1),"")</f>
        <v>71</v>
      </c>
      <c r="AA510" s="29">
        <f>IF(AND(LEFT($B510,7)="SBA 26/",$C510&lt;&gt;"",$F510&lt;&gt;""),COUNTIFS($C$2:$C510,$C510,$B$2:$B510,"SBA 26/*",$F$2:$F510,"&lt;&gt;"),"")</f>
        <v>1</v>
      </c>
      <c r="AB510" s="29">
        <f>IF(AA510=1,COUNTIF($AA$2:AA510,1),"")</f>
        <v>272</v>
      </c>
    </row>
    <row r="511" spans="1:28" ht="127.5" customHeight="1" x14ac:dyDescent="0.2">
      <c r="A511" s="43" t="s">
        <v>2429</v>
      </c>
      <c r="B511" s="43" t="s">
        <v>2430</v>
      </c>
      <c r="C511" s="44" t="s">
        <v>795</v>
      </c>
      <c r="D511" s="44" t="s">
        <v>222</v>
      </c>
      <c r="E511" s="45" t="s">
        <v>2431</v>
      </c>
      <c r="F511" s="45" t="s">
        <v>2432</v>
      </c>
      <c r="G511" s="46" t="s">
        <v>38</v>
      </c>
      <c r="H511" s="48">
        <v>46177</v>
      </c>
      <c r="I511" s="48">
        <v>46196</v>
      </c>
      <c r="J511" s="44" t="s">
        <v>109</v>
      </c>
      <c r="K511" s="44" t="s">
        <v>116</v>
      </c>
      <c r="L511" s="50" t="s">
        <v>218</v>
      </c>
      <c r="M511" s="50"/>
      <c r="N511" s="50"/>
      <c r="O511" s="49"/>
      <c r="P511" s="50" t="str">
        <f t="shared" si="28"/>
        <v>KAEK</v>
      </c>
      <c r="R511" s="51" t="str">
        <f t="shared" si="29"/>
        <v/>
      </c>
      <c r="T511" s="41"/>
      <c r="U511" s="29">
        <f>IF($C511&lt;&gt;"",COUNTIF($C$2:C511,C511),"")</f>
        <v>3</v>
      </c>
      <c r="V511" s="29" t="str">
        <f t="shared" si="30"/>
        <v>Prof. Dr. Deniz DOĞRU ERSÖZ§3</v>
      </c>
      <c r="W511" s="29" t="str">
        <f>IF(U511=1,COUNTIF($U$2:U511,1),"")</f>
        <v/>
      </c>
      <c r="X511" s="29" t="str">
        <f t="shared" si="31"/>
        <v/>
      </c>
      <c r="Y511" s="29">
        <f>IF(AND(LEFT($B511,7)="SBA 26/",$D511&lt;&gt;"",$F511&lt;&gt;""),COUNTIFS($D$2:$D511,$D511,$B$2:$B511,"SBA 26/*",$F$2:$F511,"&lt;&gt;"),"")</f>
        <v>76</v>
      </c>
      <c r="Z511" s="29" t="str">
        <f>IF(Y511=1,COUNTIF($Y$2:Y511,1),"")</f>
        <v/>
      </c>
      <c r="AA511" s="29">
        <f>IF(AND(LEFT($B511,7)="SBA 26/",$C511&lt;&gt;"",$F511&lt;&gt;""),COUNTIFS($C$2:$C511,$C511,$B$2:$B511,"SBA 26/*",$F$2:$F511,"&lt;&gt;"),"")</f>
        <v>3</v>
      </c>
      <c r="AB511" s="29" t="str">
        <f>IF(AA511=1,COUNTIF($AA$2:AA511,1),"")</f>
        <v/>
      </c>
    </row>
    <row r="512" spans="1:28" ht="94.5" customHeight="1" x14ac:dyDescent="0.2">
      <c r="A512" s="43" t="s">
        <v>2433</v>
      </c>
      <c r="B512" s="43" t="s">
        <v>2434</v>
      </c>
      <c r="C512" s="44" t="s">
        <v>2411</v>
      </c>
      <c r="D512" s="44" t="s">
        <v>222</v>
      </c>
      <c r="E512" s="45" t="s">
        <v>2435</v>
      </c>
      <c r="F512" s="45" t="s">
        <v>2436</v>
      </c>
      <c r="G512" s="46" t="s">
        <v>41</v>
      </c>
      <c r="H512" s="48">
        <v>46177</v>
      </c>
      <c r="I512" s="48">
        <v>46196</v>
      </c>
      <c r="J512" s="44" t="s">
        <v>100</v>
      </c>
      <c r="K512" s="44" t="s">
        <v>76</v>
      </c>
      <c r="L512" s="50" t="s">
        <v>101</v>
      </c>
      <c r="M512" s="50"/>
      <c r="N512" s="50"/>
      <c r="O512" s="49"/>
      <c r="P512" s="50" t="str">
        <f t="shared" si="28"/>
        <v>DÜZELTME</v>
      </c>
      <c r="R512" s="51" t="str">
        <f t="shared" si="29"/>
        <v/>
      </c>
      <c r="T512" s="41"/>
      <c r="U512" s="29">
        <f>IF($C512&lt;&gt;"",COUNTIF($C$2:C512,C512),"")</f>
        <v>2</v>
      </c>
      <c r="V512" s="29" t="str">
        <f t="shared" si="30"/>
        <v>Doç. Dr. Melis PEHLİVANTÜRK KIZILKAN§2</v>
      </c>
      <c r="W512" s="29" t="str">
        <f>IF(U512=1,COUNTIF($U$2:U512,1),"")</f>
        <v/>
      </c>
      <c r="X512" s="29" t="str">
        <f t="shared" si="31"/>
        <v/>
      </c>
      <c r="Y512" s="29">
        <f>IF(AND(LEFT($B512,7)="SBA 26/",$D512&lt;&gt;"",$F512&lt;&gt;""),COUNTIFS($D$2:$D512,$D512,$B$2:$B512,"SBA 26/*",$F$2:$F512,"&lt;&gt;"),"")</f>
        <v>77</v>
      </c>
      <c r="Z512" s="29" t="str">
        <f>IF(Y512=1,COUNTIF($Y$2:Y512,1),"")</f>
        <v/>
      </c>
      <c r="AA512" s="29">
        <f>IF(AND(LEFT($B512,7)="SBA 26/",$C512&lt;&gt;"",$F512&lt;&gt;""),COUNTIFS($C$2:$C512,$C512,$B$2:$B512,"SBA 26/*",$F$2:$F512,"&lt;&gt;"),"")</f>
        <v>2</v>
      </c>
      <c r="AB512" s="29" t="str">
        <f>IF(AA512=1,COUNTIF($AA$2:AA512,1),"")</f>
        <v/>
      </c>
    </row>
    <row r="513" spans="1:28" ht="78.75" customHeight="1" x14ac:dyDescent="0.2">
      <c r="A513" s="43" t="s">
        <v>2437</v>
      </c>
      <c r="B513" s="43" t="s">
        <v>2438</v>
      </c>
      <c r="C513" s="44" t="s">
        <v>2439</v>
      </c>
      <c r="D513" s="44" t="s">
        <v>297</v>
      </c>
      <c r="E513" s="45" t="s">
        <v>2440</v>
      </c>
      <c r="F513" s="45" t="s">
        <v>2441</v>
      </c>
      <c r="G513" s="46" t="s">
        <v>38</v>
      </c>
      <c r="H513" s="48">
        <v>46177</v>
      </c>
      <c r="I513" s="48">
        <v>46196</v>
      </c>
      <c r="J513" s="44" t="s">
        <v>123</v>
      </c>
      <c r="K513" s="44" t="s">
        <v>129</v>
      </c>
      <c r="L513" s="50" t="s">
        <v>77</v>
      </c>
      <c r="M513" s="50"/>
      <c r="N513" s="50"/>
      <c r="O513" s="49"/>
      <c r="P513" s="50" t="str">
        <f t="shared" si="28"/>
        <v>ONAY</v>
      </c>
      <c r="R513" s="51" t="str">
        <f t="shared" si="29"/>
        <v/>
      </c>
      <c r="T513" s="41"/>
      <c r="U513" s="29">
        <f>IF($C513&lt;&gt;"",COUNTIF($C$2:C513,C513),"")</f>
        <v>1</v>
      </c>
      <c r="V513" s="29" t="str">
        <f t="shared" si="30"/>
        <v>Dr. Öğr. Üyesi Cenk Ahmet AKCAN§1</v>
      </c>
      <c r="W513" s="29">
        <f>IF(U513=1,COUNTIF($U$2:U513,1),"")</f>
        <v>273</v>
      </c>
      <c r="X513" s="29">
        <f t="shared" si="31"/>
        <v>128</v>
      </c>
      <c r="Y513" s="29">
        <f>IF(AND(LEFT($B513,7)="SBA 26/",$D513&lt;&gt;"",$F513&lt;&gt;""),COUNTIFS($D$2:$D513,$D513,$B$2:$B513,"SBA 26/*",$F$2:$F513,"&lt;&gt;"),"")</f>
        <v>9</v>
      </c>
      <c r="Z513" s="29" t="str">
        <f>IF(Y513=1,COUNTIF($Y$2:Y513,1),"")</f>
        <v/>
      </c>
      <c r="AA513" s="29">
        <f>IF(AND(LEFT($B513,7)="SBA 26/",$C513&lt;&gt;"",$F513&lt;&gt;""),COUNTIFS($C$2:$C513,$C513,$B$2:$B513,"SBA 26/*",$F$2:$F513,"&lt;&gt;"),"")</f>
        <v>1</v>
      </c>
      <c r="AB513" s="29">
        <f>IF(AA513=1,COUNTIF($AA$2:AA513,1),"")</f>
        <v>273</v>
      </c>
    </row>
    <row r="514" spans="1:28" ht="63" customHeight="1" x14ac:dyDescent="0.2">
      <c r="A514" s="43" t="s">
        <v>2442</v>
      </c>
      <c r="B514" s="43" t="s">
        <v>2443</v>
      </c>
      <c r="C514" s="44" t="s">
        <v>1052</v>
      </c>
      <c r="D514" s="44" t="s">
        <v>113</v>
      </c>
      <c r="E514" s="45" t="s">
        <v>1053</v>
      </c>
      <c r="F514" s="45" t="s">
        <v>2444</v>
      </c>
      <c r="G514" s="46" t="s">
        <v>38</v>
      </c>
      <c r="H514" s="48">
        <v>46177</v>
      </c>
      <c r="I514" s="48">
        <v>46196</v>
      </c>
      <c r="J514" s="44" t="s">
        <v>109</v>
      </c>
      <c r="K514" s="44" t="s">
        <v>84</v>
      </c>
      <c r="L514" s="50" t="s">
        <v>153</v>
      </c>
      <c r="M514" s="50"/>
      <c r="N514" s="50"/>
      <c r="O514" s="49"/>
      <c r="P514" s="50" t="str">
        <f t="shared" ref="P514:P577" si="32">IF(O514&lt;&gt;"",O514, IF(N514&lt;&gt;"",N514, IF(M514&lt;&gt;"",M514, L514)))</f>
        <v>KAPSAM DIŞI</v>
      </c>
      <c r="R514" s="51" t="str">
        <f t="shared" ref="R514:R577" si="33">IF(AND($I514&lt;&gt;"",$I514&gt;=DATE(2026,6,23),COUNTIFS($C:$C,$C514,$I:$I,$I514)&gt;2),"⚠ "&amp;COUNTIFS($C:$C,$C514,$I:$I,$I514)&amp;" BAŞVURU!","")</f>
        <v/>
      </c>
      <c r="T514" s="41"/>
      <c r="U514" s="29">
        <f>IF($C514&lt;&gt;"",COUNTIF($C$2:C514,C514),"")</f>
        <v>6</v>
      </c>
      <c r="V514" s="29" t="str">
        <f t="shared" ref="V514:V577" si="34">IF($C514&lt;&gt;"",C514&amp;"§"&amp;U514,"")</f>
        <v>Prof. Dr. Mustafa CANKURTARAN§6</v>
      </c>
      <c r="W514" s="29" t="str">
        <f>IF(U514=1,COUNTIF($U$2:U514,1),"")</f>
        <v/>
      </c>
      <c r="X514" s="29" t="str">
        <f t="shared" ref="X514:X577" si="35">IF(U514=1,SUMPRODUCT(($U$2:$U$1833=1)*($C$2:$C$1833&lt;C514))+1,"")</f>
        <v/>
      </c>
      <c r="Y514" s="29">
        <f>IF(AND(LEFT($B514,7)="SBA 26/",$D514&lt;&gt;"",$F514&lt;&gt;""),COUNTIFS($D$2:$D514,$D514,$B$2:$B514,"SBA 26/*",$F$2:$F514,"&lt;&gt;"),"")</f>
        <v>85</v>
      </c>
      <c r="Z514" s="29" t="str">
        <f>IF(Y514=1,COUNTIF($Y$2:Y514,1),"")</f>
        <v/>
      </c>
      <c r="AA514" s="29">
        <f>IF(AND(LEFT($B514,7)="SBA 26/",$C514&lt;&gt;"",$F514&lt;&gt;""),COUNTIFS($C$2:$C514,$C514,$B$2:$B514,"SBA 26/*",$F$2:$F514,"&lt;&gt;"),"")</f>
        <v>6</v>
      </c>
      <c r="AB514" s="29" t="str">
        <f>IF(AA514=1,COUNTIF($AA$2:AA514,1),"")</f>
        <v/>
      </c>
    </row>
    <row r="515" spans="1:28" ht="63" customHeight="1" x14ac:dyDescent="0.2">
      <c r="A515" s="43" t="s">
        <v>2445</v>
      </c>
      <c r="B515" s="43" t="s">
        <v>2446</v>
      </c>
      <c r="C515" s="44" t="s">
        <v>1052</v>
      </c>
      <c r="D515" s="44" t="s">
        <v>113</v>
      </c>
      <c r="E515" s="45" t="s">
        <v>1053</v>
      </c>
      <c r="F515" s="45" t="s">
        <v>2447</v>
      </c>
      <c r="G515" s="46" t="s">
        <v>38</v>
      </c>
      <c r="H515" s="48">
        <v>46177</v>
      </c>
      <c r="I515" s="48">
        <v>46196</v>
      </c>
      <c r="J515" s="44" t="s">
        <v>109</v>
      </c>
      <c r="K515" s="44" t="s">
        <v>84</v>
      </c>
      <c r="L515" s="50" t="s">
        <v>153</v>
      </c>
      <c r="M515" s="50"/>
      <c r="N515" s="50"/>
      <c r="O515" s="49"/>
      <c r="P515" s="50" t="str">
        <f t="shared" si="32"/>
        <v>KAPSAM DIŞI</v>
      </c>
      <c r="R515" s="51" t="str">
        <f t="shared" si="33"/>
        <v/>
      </c>
      <c r="T515" s="41"/>
      <c r="U515" s="29">
        <f>IF($C515&lt;&gt;"",COUNTIF($C$2:C515,C515),"")</f>
        <v>7</v>
      </c>
      <c r="V515" s="29" t="str">
        <f t="shared" si="34"/>
        <v>Prof. Dr. Mustafa CANKURTARAN§7</v>
      </c>
      <c r="W515" s="29" t="str">
        <f>IF(U515=1,COUNTIF($U$2:U515,1),"")</f>
        <v/>
      </c>
      <c r="X515" s="29" t="str">
        <f t="shared" si="35"/>
        <v/>
      </c>
      <c r="Y515" s="29">
        <f>IF(AND(LEFT($B515,7)="SBA 26/",$D515&lt;&gt;"",$F515&lt;&gt;""),COUNTIFS($D$2:$D515,$D515,$B$2:$B515,"SBA 26/*",$F$2:$F515,"&lt;&gt;"),"")</f>
        <v>86</v>
      </c>
      <c r="Z515" s="29" t="str">
        <f>IF(Y515=1,COUNTIF($Y$2:Y515,1),"")</f>
        <v/>
      </c>
      <c r="AA515" s="29">
        <f>IF(AND(LEFT($B515,7)="SBA 26/",$C515&lt;&gt;"",$F515&lt;&gt;""),COUNTIFS($C$2:$C515,$C515,$B$2:$B515,"SBA 26/*",$F$2:$F515,"&lt;&gt;"),"")</f>
        <v>7</v>
      </c>
      <c r="AB515" s="29" t="str">
        <f>IF(AA515=1,COUNTIF($AA$2:AA515,1),"")</f>
        <v/>
      </c>
    </row>
    <row r="516" spans="1:28" ht="126" customHeight="1" x14ac:dyDescent="0.2">
      <c r="A516" s="43" t="s">
        <v>2448</v>
      </c>
      <c r="B516" s="43" t="s">
        <v>2449</v>
      </c>
      <c r="C516" s="44" t="s">
        <v>2450</v>
      </c>
      <c r="D516" s="44" t="s">
        <v>193</v>
      </c>
      <c r="E516" s="45" t="s">
        <v>2451</v>
      </c>
      <c r="F516" s="45" t="s">
        <v>2452</v>
      </c>
      <c r="G516" s="46" t="s">
        <v>38</v>
      </c>
      <c r="H516" s="48">
        <v>46177</v>
      </c>
      <c r="I516" s="48">
        <v>46196</v>
      </c>
      <c r="J516" s="44" t="s">
        <v>129</v>
      </c>
      <c r="K516" s="44" t="s">
        <v>108</v>
      </c>
      <c r="L516" s="50" t="s">
        <v>218</v>
      </c>
      <c r="M516" s="50"/>
      <c r="N516" s="50"/>
      <c r="O516" s="49"/>
      <c r="P516" s="50" t="str">
        <f t="shared" si="32"/>
        <v>KAEK</v>
      </c>
      <c r="R516" s="51" t="str">
        <f t="shared" si="33"/>
        <v/>
      </c>
      <c r="T516" s="41"/>
      <c r="U516" s="29">
        <f>IF($C516&lt;&gt;"",COUNTIF($C$2:C516,C516),"")</f>
        <v>1</v>
      </c>
      <c r="V516" s="29" t="str">
        <f t="shared" si="34"/>
        <v>Prof. Dr. Hande TAYLAN ŞEKEROĞLU§1</v>
      </c>
      <c r="W516" s="29">
        <f>IF(U516=1,COUNTIF($U$2:U516,1),"")</f>
        <v>274</v>
      </c>
      <c r="X516" s="29">
        <f t="shared" si="35"/>
        <v>246</v>
      </c>
      <c r="Y516" s="29">
        <f>IF(AND(LEFT($B516,7)="SBA 26/",$D516&lt;&gt;"",$F516&lt;&gt;""),COUNTIFS($D$2:$D516,$D516,$B$2:$B516,"SBA 26/*",$F$2:$F516,"&lt;&gt;"),"")</f>
        <v>15</v>
      </c>
      <c r="Z516" s="29" t="str">
        <f>IF(Y516=1,COUNTIF($Y$2:Y516,1),"")</f>
        <v/>
      </c>
      <c r="AA516" s="29">
        <f>IF(AND(LEFT($B516,7)="SBA 26/",$C516&lt;&gt;"",$F516&lt;&gt;""),COUNTIFS($C$2:$C516,$C516,$B$2:$B516,"SBA 26/*",$F$2:$F516,"&lt;&gt;"),"")</f>
        <v>1</v>
      </c>
      <c r="AB516" s="29">
        <f>IF(AA516=1,COUNTIF($AA$2:AA516,1),"")</f>
        <v>274</v>
      </c>
    </row>
    <row r="517" spans="1:28" ht="78.75" customHeight="1" x14ac:dyDescent="0.2">
      <c r="A517" s="43" t="s">
        <v>2453</v>
      </c>
      <c r="B517" s="43" t="s">
        <v>2454</v>
      </c>
      <c r="C517" s="44" t="s">
        <v>112</v>
      </c>
      <c r="D517" s="44" t="s">
        <v>113</v>
      </c>
      <c r="E517" s="45" t="s">
        <v>2455</v>
      </c>
      <c r="F517" s="45" t="s">
        <v>2456</v>
      </c>
      <c r="G517" s="46" t="s">
        <v>38</v>
      </c>
      <c r="H517" s="48">
        <v>46177</v>
      </c>
      <c r="I517" s="48">
        <v>46196</v>
      </c>
      <c r="J517" s="44" t="s">
        <v>91</v>
      </c>
      <c r="K517" s="44" t="s">
        <v>92</v>
      </c>
      <c r="L517" s="50" t="s">
        <v>172</v>
      </c>
      <c r="M517" s="50"/>
      <c r="N517" s="50"/>
      <c r="O517" s="49"/>
      <c r="P517" s="50" t="str">
        <f t="shared" si="32"/>
        <v>RET</v>
      </c>
      <c r="R517" s="51" t="str">
        <f t="shared" si="33"/>
        <v/>
      </c>
      <c r="T517" s="41"/>
      <c r="U517" s="29">
        <f>IF($C517&lt;&gt;"",COUNTIF($C$2:C517,C517),"")</f>
        <v>15</v>
      </c>
      <c r="V517" s="29" t="str">
        <f t="shared" si="34"/>
        <v>Prof. Dr. Meltem Gülhan HALİL§15</v>
      </c>
      <c r="W517" s="29" t="str">
        <f>IF(U517=1,COUNTIF($U$2:U517,1),"")</f>
        <v/>
      </c>
      <c r="X517" s="29" t="str">
        <f t="shared" si="35"/>
        <v/>
      </c>
      <c r="Y517" s="29">
        <f>IF(AND(LEFT($B517,7)="SBA 26/",$D517&lt;&gt;"",$F517&lt;&gt;""),COUNTIFS($D$2:$D517,$D517,$B$2:$B517,"SBA 26/*",$F$2:$F517,"&lt;&gt;"),"")</f>
        <v>87</v>
      </c>
      <c r="Z517" s="29" t="str">
        <f>IF(Y517=1,COUNTIF($Y$2:Y517,1),"")</f>
        <v/>
      </c>
      <c r="AA517" s="29">
        <f>IF(AND(LEFT($B517,7)="SBA 26/",$C517&lt;&gt;"",$F517&lt;&gt;""),COUNTIFS($C$2:$C517,$C517,$B$2:$B517,"SBA 26/*",$F$2:$F517,"&lt;&gt;"),"")</f>
        <v>15</v>
      </c>
      <c r="AB517" s="29" t="str">
        <f>IF(AA517=1,COUNTIF($AA$2:AA517,1),"")</f>
        <v/>
      </c>
    </row>
    <row r="518" spans="1:28" ht="63" customHeight="1" x14ac:dyDescent="0.2">
      <c r="A518" s="43" t="s">
        <v>2457</v>
      </c>
      <c r="B518" s="43" t="s">
        <v>2458</v>
      </c>
      <c r="C518" s="44" t="s">
        <v>2459</v>
      </c>
      <c r="D518" s="44" t="s">
        <v>385</v>
      </c>
      <c r="E518" s="45" t="s">
        <v>2460</v>
      </c>
      <c r="F518" s="45" t="s">
        <v>2461</v>
      </c>
      <c r="G518" s="46" t="s">
        <v>38</v>
      </c>
      <c r="H518" s="48">
        <v>46177</v>
      </c>
      <c r="I518" s="48">
        <v>46196</v>
      </c>
      <c r="J518" s="44" t="s">
        <v>76</v>
      </c>
      <c r="K518" s="44" t="s">
        <v>116</v>
      </c>
      <c r="L518" s="50" t="s">
        <v>101</v>
      </c>
      <c r="M518" s="50" t="s">
        <v>77</v>
      </c>
      <c r="N518" s="50"/>
      <c r="O518" s="49"/>
      <c r="P518" s="50" t="str">
        <f t="shared" si="32"/>
        <v>ONAY</v>
      </c>
      <c r="Q518" s="28" t="s">
        <v>76</v>
      </c>
      <c r="R518" s="51" t="str">
        <f t="shared" si="33"/>
        <v/>
      </c>
      <c r="T518" s="41"/>
      <c r="U518" s="29">
        <f>IF($C518&lt;&gt;"",COUNTIF($C$2:C518,C518),"")</f>
        <v>1</v>
      </c>
      <c r="V518" s="29" t="str">
        <f t="shared" si="34"/>
        <v>Dr. Öğr. Üyesi Bekir ERDEVE§1</v>
      </c>
      <c r="W518" s="29">
        <f>IF(U518=1,COUNTIF($U$2:U518,1),"")</f>
        <v>275</v>
      </c>
      <c r="X518" s="29">
        <f t="shared" si="35"/>
        <v>123</v>
      </c>
      <c r="Y518" s="29">
        <f>IF(AND(LEFT($B518,7)="SBA 26/",$D518&lt;&gt;"",$F518&lt;&gt;""),COUNTIFS($D$2:$D518,$D518,$B$2:$B518,"SBA 26/*",$F$2:$F518,"&lt;&gt;"),"")</f>
        <v>10</v>
      </c>
      <c r="Z518" s="29" t="str">
        <f>IF(Y518=1,COUNTIF($Y$2:Y518,1),"")</f>
        <v/>
      </c>
      <c r="AA518" s="29">
        <f>IF(AND(LEFT($B518,7)="SBA 26/",$C518&lt;&gt;"",$F518&lt;&gt;""),COUNTIFS($C$2:$C518,$C518,$B$2:$B518,"SBA 26/*",$F$2:$F518,"&lt;&gt;"),"")</f>
        <v>1</v>
      </c>
      <c r="AB518" s="29">
        <f>IF(AA518=1,COUNTIF($AA$2:AA518,1),"")</f>
        <v>275</v>
      </c>
    </row>
    <row r="519" spans="1:28" ht="97.5" customHeight="1" x14ac:dyDescent="0.2">
      <c r="A519" s="43" t="s">
        <v>2462</v>
      </c>
      <c r="B519" s="43" t="s">
        <v>2463</v>
      </c>
      <c r="C519" s="44" t="s">
        <v>1498</v>
      </c>
      <c r="D519" s="44" t="s">
        <v>113</v>
      </c>
      <c r="E519" s="45" t="s">
        <v>2464</v>
      </c>
      <c r="F519" s="45" t="s">
        <v>2465</v>
      </c>
      <c r="G519" s="46" t="s">
        <v>38</v>
      </c>
      <c r="H519" s="48">
        <v>46177</v>
      </c>
      <c r="I519" s="48">
        <v>46196</v>
      </c>
      <c r="J519" s="44" t="s">
        <v>109</v>
      </c>
      <c r="K519" s="44" t="s">
        <v>129</v>
      </c>
      <c r="L519" s="50" t="s">
        <v>101</v>
      </c>
      <c r="M519" s="50" t="s">
        <v>77</v>
      </c>
      <c r="N519" s="50"/>
      <c r="O519" s="49"/>
      <c r="P519" s="50" t="str">
        <f t="shared" si="32"/>
        <v>ONAY</v>
      </c>
      <c r="Q519" s="28" t="s">
        <v>109</v>
      </c>
      <c r="R519" s="51" t="str">
        <f t="shared" si="33"/>
        <v/>
      </c>
      <c r="T519" s="41"/>
      <c r="U519" s="29">
        <f>IF($C519&lt;&gt;"",COUNTIF($C$2:C519,C519),"")</f>
        <v>2</v>
      </c>
      <c r="V519" s="29" t="str">
        <f t="shared" si="34"/>
        <v>Prof. Dr. Hakan GÖKER§2</v>
      </c>
      <c r="W519" s="29" t="str">
        <f>IF(U519=1,COUNTIF($U$2:U519,1),"")</f>
        <v/>
      </c>
      <c r="X519" s="29" t="str">
        <f t="shared" si="35"/>
        <v/>
      </c>
      <c r="Y519" s="29">
        <f>IF(AND(LEFT($B519,7)="SBA 26/",$D519&lt;&gt;"",$F519&lt;&gt;""),COUNTIFS($D$2:$D519,$D519,$B$2:$B519,"SBA 26/*",$F$2:$F519,"&lt;&gt;"),"")</f>
        <v>88</v>
      </c>
      <c r="Z519" s="29" t="str">
        <f>IF(Y519=1,COUNTIF($Y$2:Y519,1),"")</f>
        <v/>
      </c>
      <c r="AA519" s="29">
        <f>IF(AND(LEFT($B519,7)="SBA 26/",$C519&lt;&gt;"",$F519&lt;&gt;""),COUNTIFS($C$2:$C519,$C519,$B$2:$B519,"SBA 26/*",$F$2:$F519,"&lt;&gt;"),"")</f>
        <v>2</v>
      </c>
      <c r="AB519" s="29" t="str">
        <f>IF(AA519=1,COUNTIF($AA$2:AA519,1),"")</f>
        <v/>
      </c>
    </row>
    <row r="520" spans="1:28" ht="94.5" customHeight="1" x14ac:dyDescent="0.2">
      <c r="A520" s="43" t="s">
        <v>2466</v>
      </c>
      <c r="B520" s="43" t="s">
        <v>2467</v>
      </c>
      <c r="C520" s="44" t="s">
        <v>2468</v>
      </c>
      <c r="D520" s="44" t="s">
        <v>2469</v>
      </c>
      <c r="E520" s="45" t="s">
        <v>2470</v>
      </c>
      <c r="F520" s="45" t="s">
        <v>2471</v>
      </c>
      <c r="G520" s="46" t="s">
        <v>38</v>
      </c>
      <c r="H520" s="48">
        <v>46177</v>
      </c>
      <c r="I520" s="48">
        <v>46196</v>
      </c>
      <c r="J520" s="44" t="s">
        <v>108</v>
      </c>
      <c r="K520" s="44" t="s">
        <v>91</v>
      </c>
      <c r="L520" s="50" t="s">
        <v>101</v>
      </c>
      <c r="M520" s="50"/>
      <c r="N520" s="50"/>
      <c r="O520" s="49"/>
      <c r="P520" s="50" t="str">
        <f t="shared" si="32"/>
        <v>DÜZELTME</v>
      </c>
      <c r="R520" s="51" t="str">
        <f t="shared" si="33"/>
        <v/>
      </c>
      <c r="T520" s="41"/>
      <c r="U520" s="29">
        <f>IF($C520&lt;&gt;"",COUNTIF($C$2:C520,C520),"")</f>
        <v>1</v>
      </c>
      <c r="V520" s="29" t="str">
        <f t="shared" si="34"/>
        <v>Doç. Dr. Şahin HANALİOĞLU§1</v>
      </c>
      <c r="W520" s="29">
        <f>IF(U520=1,COUNTIF($U$2:U520,1),"")</f>
        <v>276</v>
      </c>
      <c r="X520" s="29">
        <f t="shared" si="35"/>
        <v>102</v>
      </c>
      <c r="Y520" s="29">
        <f>IF(AND(LEFT($B520,7)="SBA 26/",$D520&lt;&gt;"",$F520&lt;&gt;""),COUNTIFS($D$2:$D520,$D520,$B$2:$B520,"SBA 26/*",$F$2:$F520,"&lt;&gt;"),"")</f>
        <v>1</v>
      </c>
      <c r="Z520" s="29">
        <f>IF(Y520=1,COUNTIF($Y$2:Y520,1),"")</f>
        <v>72</v>
      </c>
      <c r="AA520" s="29">
        <f>IF(AND(LEFT($B520,7)="SBA 26/",$C520&lt;&gt;"",$F520&lt;&gt;""),COUNTIFS($C$2:$C520,$C520,$B$2:$B520,"SBA 26/*",$F$2:$F520,"&lt;&gt;"),"")</f>
        <v>1</v>
      </c>
      <c r="AB520" s="29">
        <f>IF(AA520=1,COUNTIF($AA$2:AA520,1),"")</f>
        <v>276</v>
      </c>
    </row>
    <row r="521" spans="1:28" ht="47.25" customHeight="1" x14ac:dyDescent="0.2">
      <c r="A521" s="43" t="s">
        <v>2472</v>
      </c>
      <c r="B521" s="43" t="s">
        <v>2473</v>
      </c>
      <c r="C521" s="44" t="s">
        <v>2200</v>
      </c>
      <c r="D521" s="44" t="s">
        <v>234</v>
      </c>
      <c r="E521" s="45" t="s">
        <v>2201</v>
      </c>
      <c r="F521" s="45" t="s">
        <v>2474</v>
      </c>
      <c r="G521" s="46" t="s">
        <v>38</v>
      </c>
      <c r="H521" s="48">
        <v>46178</v>
      </c>
      <c r="I521" s="48">
        <v>46196</v>
      </c>
      <c r="J521" s="44" t="s">
        <v>123</v>
      </c>
      <c r="K521" s="44" t="s">
        <v>100</v>
      </c>
      <c r="L521" s="50" t="s">
        <v>77</v>
      </c>
      <c r="M521" s="50"/>
      <c r="N521" s="50"/>
      <c r="O521" s="49"/>
      <c r="P521" s="50" t="str">
        <f t="shared" si="32"/>
        <v>ONAY</v>
      </c>
      <c r="R521" s="51" t="str">
        <f t="shared" si="33"/>
        <v/>
      </c>
      <c r="T521" s="41"/>
      <c r="U521" s="29">
        <f>IF($C521&lt;&gt;"",COUNTIF($C$2:C521,C521),"")</f>
        <v>4</v>
      </c>
      <c r="V521" s="29" t="str">
        <f t="shared" si="34"/>
        <v>Doç. Dr. Ahmet KIVRAK§4</v>
      </c>
      <c r="W521" s="29" t="str">
        <f>IF(U521=1,COUNTIF($U$2:U521,1),"")</f>
        <v/>
      </c>
      <c r="X521" s="29" t="str">
        <f t="shared" si="35"/>
        <v/>
      </c>
      <c r="Y521" s="29">
        <f>IF(AND(LEFT($B521,7)="SBA 26/",$D521&lt;&gt;"",$F521&lt;&gt;""),COUNTIFS($D$2:$D521,$D521,$B$2:$B521,"SBA 26/*",$F$2:$F521,"&lt;&gt;"),"")</f>
        <v>15</v>
      </c>
      <c r="Z521" s="29" t="str">
        <f>IF(Y521=1,COUNTIF($Y$2:Y521,1),"")</f>
        <v/>
      </c>
      <c r="AA521" s="29">
        <f>IF(AND(LEFT($B521,7)="SBA 26/",$C521&lt;&gt;"",$F521&lt;&gt;""),COUNTIFS($C$2:$C521,$C521,$B$2:$B521,"SBA 26/*",$F$2:$F521,"&lt;&gt;"),"")</f>
        <v>4</v>
      </c>
      <c r="AB521" s="29" t="str">
        <f>IF(AA521=1,COUNTIF($AA$2:AA521,1),"")</f>
        <v/>
      </c>
    </row>
    <row r="522" spans="1:28" ht="63" customHeight="1" x14ac:dyDescent="0.2">
      <c r="A522" s="43" t="s">
        <v>2475</v>
      </c>
      <c r="B522" s="43" t="s">
        <v>2476</v>
      </c>
      <c r="C522" s="44" t="s">
        <v>384</v>
      </c>
      <c r="D522" s="44" t="s">
        <v>385</v>
      </c>
      <c r="E522" s="45" t="s">
        <v>2477</v>
      </c>
      <c r="F522" s="45" t="s">
        <v>2478</v>
      </c>
      <c r="G522" s="46" t="s">
        <v>38</v>
      </c>
      <c r="H522" s="48">
        <v>46178</v>
      </c>
      <c r="I522" s="48">
        <v>46196</v>
      </c>
      <c r="J522" s="44" t="s">
        <v>92</v>
      </c>
      <c r="K522" s="44" t="s">
        <v>123</v>
      </c>
      <c r="L522" s="50" t="s">
        <v>77</v>
      </c>
      <c r="M522" s="50"/>
      <c r="N522" s="50"/>
      <c r="O522" s="49"/>
      <c r="P522" s="50" t="str">
        <f t="shared" si="32"/>
        <v>ONAY</v>
      </c>
      <c r="R522" s="51" t="str">
        <f t="shared" si="33"/>
        <v/>
      </c>
      <c r="T522" s="41"/>
      <c r="U522" s="29">
        <f>IF($C522&lt;&gt;"",COUNTIF($C$2:C522,C522),"")</f>
        <v>5</v>
      </c>
      <c r="V522" s="29" t="str">
        <f t="shared" si="34"/>
        <v>Prof. Dr. Tutku SOYER§5</v>
      </c>
      <c r="W522" s="29" t="str">
        <f>IF(U522=1,COUNTIF($U$2:U522,1),"")</f>
        <v/>
      </c>
      <c r="X522" s="29" t="str">
        <f t="shared" si="35"/>
        <v/>
      </c>
      <c r="Y522" s="29">
        <f>IF(AND(LEFT($B522,7)="SBA 26/",$D522&lt;&gt;"",$F522&lt;&gt;""),COUNTIFS($D$2:$D522,$D522,$B$2:$B522,"SBA 26/*",$F$2:$F522,"&lt;&gt;"),"")</f>
        <v>11</v>
      </c>
      <c r="Z522" s="29" t="str">
        <f>IF(Y522=1,COUNTIF($Y$2:Y522,1),"")</f>
        <v/>
      </c>
      <c r="AA522" s="29">
        <f>IF(AND(LEFT($B522,7)="SBA 26/",$C522&lt;&gt;"",$F522&lt;&gt;""),COUNTIFS($C$2:$C522,$C522,$B$2:$B522,"SBA 26/*",$F$2:$F522,"&lt;&gt;"),"")</f>
        <v>5</v>
      </c>
      <c r="AB522" s="29" t="str">
        <f>IF(AA522=1,COUNTIF($AA$2:AA522,1),"")</f>
        <v/>
      </c>
    </row>
    <row r="523" spans="1:28" ht="63" customHeight="1" x14ac:dyDescent="0.2">
      <c r="A523" s="43" t="s">
        <v>2479</v>
      </c>
      <c r="B523" s="43" t="s">
        <v>2480</v>
      </c>
      <c r="C523" s="44" t="s">
        <v>1584</v>
      </c>
      <c r="D523" s="44" t="s">
        <v>113</v>
      </c>
      <c r="E523" s="45" t="s">
        <v>2481</v>
      </c>
      <c r="F523" s="45" t="s">
        <v>2482</v>
      </c>
      <c r="G523" s="46" t="s">
        <v>38</v>
      </c>
      <c r="H523" s="48">
        <v>46178</v>
      </c>
      <c r="I523" s="48">
        <v>46196</v>
      </c>
      <c r="J523" s="44" t="s">
        <v>129</v>
      </c>
      <c r="K523" s="44" t="s">
        <v>123</v>
      </c>
      <c r="L523" s="50" t="s">
        <v>101</v>
      </c>
      <c r="M523" s="50" t="s">
        <v>77</v>
      </c>
      <c r="N523" s="50"/>
      <c r="O523" s="49"/>
      <c r="P523" s="50" t="str">
        <f t="shared" si="32"/>
        <v>ONAY</v>
      </c>
      <c r="Q523" s="28" t="s">
        <v>129</v>
      </c>
      <c r="R523" s="51" t="str">
        <f t="shared" si="33"/>
        <v/>
      </c>
      <c r="T523" s="41"/>
      <c r="U523" s="29">
        <f>IF($C523&lt;&gt;"",COUNTIF($C$2:C523,C523),"")</f>
        <v>6</v>
      </c>
      <c r="V523" s="29" t="str">
        <f t="shared" si="34"/>
        <v>Doç. Dr. Cafer BALCI§6</v>
      </c>
      <c r="W523" s="29" t="str">
        <f>IF(U523=1,COUNTIF($U$2:U523,1),"")</f>
        <v/>
      </c>
      <c r="X523" s="29" t="str">
        <f t="shared" si="35"/>
        <v/>
      </c>
      <c r="Y523" s="29">
        <f>IF(AND(LEFT($B523,7)="SBA 26/",$D523&lt;&gt;"",$F523&lt;&gt;""),COUNTIFS($D$2:$D523,$D523,$B$2:$B523,"SBA 26/*",$F$2:$F523,"&lt;&gt;"),"")</f>
        <v>89</v>
      </c>
      <c r="Z523" s="29" t="str">
        <f>IF(Y523=1,COUNTIF($Y$2:Y523,1),"")</f>
        <v/>
      </c>
      <c r="AA523" s="29">
        <f>IF(AND(LEFT($B523,7)="SBA 26/",$C523&lt;&gt;"",$F523&lt;&gt;""),COUNTIFS($C$2:$C523,$C523,$B$2:$B523,"SBA 26/*",$F$2:$F523,"&lt;&gt;"),"")</f>
        <v>6</v>
      </c>
      <c r="AB523" s="29" t="str">
        <f>IF(AA523=1,COUNTIF($AA$2:AA523,1),"")</f>
        <v/>
      </c>
    </row>
    <row r="524" spans="1:28" ht="94.5" customHeight="1" x14ac:dyDescent="0.2">
      <c r="A524" s="43" t="s">
        <v>2483</v>
      </c>
      <c r="B524" s="43" t="s">
        <v>2484</v>
      </c>
      <c r="C524" s="44" t="s">
        <v>384</v>
      </c>
      <c r="D524" s="44" t="s">
        <v>385</v>
      </c>
      <c r="E524" s="45" t="s">
        <v>2485</v>
      </c>
      <c r="F524" s="45" t="s">
        <v>2486</v>
      </c>
      <c r="G524" s="46" t="s">
        <v>39</v>
      </c>
      <c r="H524" s="48">
        <v>46178</v>
      </c>
      <c r="I524" s="48">
        <v>46196</v>
      </c>
      <c r="J524" s="44" t="s">
        <v>108</v>
      </c>
      <c r="K524" s="44" t="s">
        <v>84</v>
      </c>
      <c r="L524" s="50" t="s">
        <v>77</v>
      </c>
      <c r="M524" s="50"/>
      <c r="N524" s="50"/>
      <c r="O524" s="49"/>
      <c r="P524" s="50" t="str">
        <f t="shared" si="32"/>
        <v>ONAY</v>
      </c>
      <c r="R524" s="51" t="str">
        <f t="shared" si="33"/>
        <v/>
      </c>
      <c r="T524" s="41"/>
      <c r="U524" s="29">
        <f>IF($C524&lt;&gt;"",COUNTIF($C$2:C524,C524),"")</f>
        <v>6</v>
      </c>
      <c r="V524" s="29" t="str">
        <f t="shared" si="34"/>
        <v>Prof. Dr. Tutku SOYER§6</v>
      </c>
      <c r="W524" s="29" t="str">
        <f>IF(U524=1,COUNTIF($U$2:U524,1),"")</f>
        <v/>
      </c>
      <c r="X524" s="29" t="str">
        <f t="shared" si="35"/>
        <v/>
      </c>
      <c r="Y524" s="29">
        <f>IF(AND(LEFT($B524,7)="SBA 26/",$D524&lt;&gt;"",$F524&lt;&gt;""),COUNTIFS($D$2:$D524,$D524,$B$2:$B524,"SBA 26/*",$F$2:$F524,"&lt;&gt;"),"")</f>
        <v>12</v>
      </c>
      <c r="Z524" s="29" t="str">
        <f>IF(Y524=1,COUNTIF($Y$2:Y524,1),"")</f>
        <v/>
      </c>
      <c r="AA524" s="29">
        <f>IF(AND(LEFT($B524,7)="SBA 26/",$C524&lt;&gt;"",$F524&lt;&gt;""),COUNTIFS($C$2:$C524,$C524,$B$2:$B524,"SBA 26/*",$F$2:$F524,"&lt;&gt;"),"")</f>
        <v>6</v>
      </c>
      <c r="AB524" s="29" t="str">
        <f>IF(AA524=1,COUNTIF($AA$2:AA524,1),"")</f>
        <v/>
      </c>
    </row>
    <row r="525" spans="1:28" ht="129" customHeight="1" x14ac:dyDescent="0.2">
      <c r="A525" s="43" t="s">
        <v>2487</v>
      </c>
      <c r="B525" s="43" t="s">
        <v>2488</v>
      </c>
      <c r="C525" s="44" t="s">
        <v>1528</v>
      </c>
      <c r="D525" s="44" t="s">
        <v>234</v>
      </c>
      <c r="E525" s="45" t="s">
        <v>2489</v>
      </c>
      <c r="F525" s="45" t="s">
        <v>2490</v>
      </c>
      <c r="G525" s="46" t="s">
        <v>38</v>
      </c>
      <c r="H525" s="48">
        <v>46178</v>
      </c>
      <c r="I525" s="48">
        <v>46196</v>
      </c>
      <c r="J525" s="44" t="s">
        <v>92</v>
      </c>
      <c r="K525" s="44" t="s">
        <v>108</v>
      </c>
      <c r="L525" s="50" t="s">
        <v>218</v>
      </c>
      <c r="M525" s="50"/>
      <c r="N525" s="50"/>
      <c r="O525" s="49"/>
      <c r="P525" s="50" t="str">
        <f t="shared" si="32"/>
        <v>KAEK</v>
      </c>
      <c r="R525" s="51" t="str">
        <f t="shared" si="33"/>
        <v/>
      </c>
      <c r="T525" s="41"/>
      <c r="U525" s="29">
        <f>IF($C525&lt;&gt;"",COUNTIF($C$2:C525,C525),"")</f>
        <v>5</v>
      </c>
      <c r="V525" s="29" t="str">
        <f t="shared" si="34"/>
        <v>Doç. Dr. Cem ÇÖTELİ§5</v>
      </c>
      <c r="W525" s="29" t="str">
        <f>IF(U525=1,COUNTIF($U$2:U525,1),"")</f>
        <v/>
      </c>
      <c r="X525" s="29" t="str">
        <f t="shared" si="35"/>
        <v/>
      </c>
      <c r="Y525" s="29">
        <f>IF(AND(LEFT($B525,7)="SBA 26/",$D525&lt;&gt;"",$F525&lt;&gt;""),COUNTIFS($D$2:$D525,$D525,$B$2:$B525,"SBA 26/*",$F$2:$F525,"&lt;&gt;"),"")</f>
        <v>16</v>
      </c>
      <c r="Z525" s="29" t="str">
        <f>IF(Y525=1,COUNTIF($Y$2:Y525,1),"")</f>
        <v/>
      </c>
      <c r="AA525" s="29">
        <f>IF(AND(LEFT($B525,7)="SBA 26/",$C525&lt;&gt;"",$F525&lt;&gt;""),COUNTIFS($C$2:$C525,$C525,$B$2:$B525,"SBA 26/*",$F$2:$F525,"&lt;&gt;"),"")</f>
        <v>5</v>
      </c>
      <c r="AB525" s="29" t="str">
        <f>IF(AA525=1,COUNTIF($AA$2:AA525,1),"")</f>
        <v/>
      </c>
    </row>
    <row r="526" spans="1:28" ht="63" customHeight="1" x14ac:dyDescent="0.2">
      <c r="A526" s="43" t="s">
        <v>2491</v>
      </c>
      <c r="B526" s="43" t="s">
        <v>2492</v>
      </c>
      <c r="C526" s="44" t="s">
        <v>524</v>
      </c>
      <c r="D526" s="44" t="s">
        <v>113</v>
      </c>
      <c r="E526" s="45" t="s">
        <v>2493</v>
      </c>
      <c r="F526" s="45" t="s">
        <v>2494</v>
      </c>
      <c r="G526" s="46" t="s">
        <v>38</v>
      </c>
      <c r="H526" s="48">
        <v>46178</v>
      </c>
      <c r="I526" s="48">
        <v>46196</v>
      </c>
      <c r="J526" s="44" t="s">
        <v>109</v>
      </c>
      <c r="K526" s="44" t="s">
        <v>100</v>
      </c>
      <c r="L526" s="50" t="s">
        <v>77</v>
      </c>
      <c r="M526" s="50"/>
      <c r="N526" s="50"/>
      <c r="O526" s="49"/>
      <c r="P526" s="50" t="str">
        <f t="shared" si="32"/>
        <v>ONAY</v>
      </c>
      <c r="R526" s="51" t="str">
        <f t="shared" si="33"/>
        <v/>
      </c>
      <c r="T526" s="41"/>
      <c r="U526" s="29">
        <f>IF($C526&lt;&gt;"",COUNTIF($C$2:C526,C526),"")</f>
        <v>8</v>
      </c>
      <c r="V526" s="29" t="str">
        <f t="shared" si="34"/>
        <v>Doç. Dr. Mert EŞME§8</v>
      </c>
      <c r="W526" s="29" t="str">
        <f>IF(U526=1,COUNTIF($U$2:U526,1),"")</f>
        <v/>
      </c>
      <c r="X526" s="29" t="str">
        <f t="shared" si="35"/>
        <v/>
      </c>
      <c r="Y526" s="29">
        <f>IF(AND(LEFT($B526,7)="SBA 26/",$D526&lt;&gt;"",$F526&lt;&gt;""),COUNTIFS($D$2:$D526,$D526,$B$2:$B526,"SBA 26/*",$F$2:$F526,"&lt;&gt;"),"")</f>
        <v>90</v>
      </c>
      <c r="Z526" s="29" t="str">
        <f>IF(Y526=1,COUNTIF($Y$2:Y526,1),"")</f>
        <v/>
      </c>
      <c r="AA526" s="29">
        <f>IF(AND(LEFT($B526,7)="SBA 26/",$C526&lt;&gt;"",$F526&lt;&gt;""),COUNTIFS($C$2:$C526,$C526,$B$2:$B526,"SBA 26/*",$F$2:$F526,"&lt;&gt;"),"")</f>
        <v>8</v>
      </c>
      <c r="AB526" s="29" t="str">
        <f>IF(AA526=1,COUNTIF($AA$2:AA526,1),"")</f>
        <v/>
      </c>
    </row>
    <row r="527" spans="1:28" ht="78.75" customHeight="1" x14ac:dyDescent="0.2">
      <c r="A527" s="43" t="s">
        <v>2495</v>
      </c>
      <c r="B527" s="43" t="s">
        <v>2496</v>
      </c>
      <c r="C527" s="44" t="s">
        <v>2497</v>
      </c>
      <c r="D527" s="44" t="s">
        <v>2469</v>
      </c>
      <c r="E527" s="45" t="s">
        <v>2498</v>
      </c>
      <c r="F527" s="45" t="s">
        <v>2499</v>
      </c>
      <c r="G527" s="46" t="s">
        <v>40</v>
      </c>
      <c r="H527" s="48">
        <v>46178</v>
      </c>
      <c r="I527" s="48">
        <v>46196</v>
      </c>
      <c r="J527" s="44" t="s">
        <v>108</v>
      </c>
      <c r="K527" s="44" t="s">
        <v>91</v>
      </c>
      <c r="L527" s="50" t="s">
        <v>77</v>
      </c>
      <c r="M527" s="50"/>
      <c r="N527" s="50"/>
      <c r="O527" s="49"/>
      <c r="P527" s="50" t="str">
        <f t="shared" si="32"/>
        <v>ONAY</v>
      </c>
      <c r="R527" s="51" t="str">
        <f t="shared" si="33"/>
        <v/>
      </c>
      <c r="T527" s="41"/>
      <c r="U527" s="29">
        <f>IF($C527&lt;&gt;"",COUNTIF($C$2:C527,C527),"")</f>
        <v>1</v>
      </c>
      <c r="V527" s="29" t="str">
        <f t="shared" si="34"/>
        <v>Prof. Dr. Mustafa BERKER§1</v>
      </c>
      <c r="W527" s="29">
        <f>IF(U527=1,COUNTIF($U$2:U527,1),"")</f>
        <v>277</v>
      </c>
      <c r="X527" s="29">
        <f t="shared" si="35"/>
        <v>277</v>
      </c>
      <c r="Y527" s="29">
        <f>IF(AND(LEFT($B527,7)="SBA 26/",$D527&lt;&gt;"",$F527&lt;&gt;""),COUNTIFS($D$2:$D527,$D527,$B$2:$B527,"SBA 26/*",$F$2:$F527,"&lt;&gt;"),"")</f>
        <v>2</v>
      </c>
      <c r="Z527" s="29" t="str">
        <f>IF(Y527=1,COUNTIF($Y$2:Y527,1),"")</f>
        <v/>
      </c>
      <c r="AA527" s="29">
        <f>IF(AND(LEFT($B527,7)="SBA 26/",$C527&lt;&gt;"",$F527&lt;&gt;""),COUNTIFS($C$2:$C527,$C527,$B$2:$B527,"SBA 26/*",$F$2:$F527,"&lt;&gt;"),"")</f>
        <v>1</v>
      </c>
      <c r="AB527" s="29">
        <f>IF(AA527=1,COUNTIF($AA$2:AA527,1),"")</f>
        <v>277</v>
      </c>
    </row>
    <row r="528" spans="1:28" ht="63" customHeight="1" x14ac:dyDescent="0.2">
      <c r="A528" s="43" t="s">
        <v>2500</v>
      </c>
      <c r="B528" s="43" t="s">
        <v>2501</v>
      </c>
      <c r="C528" s="44" t="s">
        <v>2502</v>
      </c>
      <c r="D528" s="44" t="s">
        <v>2503</v>
      </c>
      <c r="E528" s="45" t="s">
        <v>2504</v>
      </c>
      <c r="F528" s="45" t="s">
        <v>2505</v>
      </c>
      <c r="G528" s="46" t="s">
        <v>40</v>
      </c>
      <c r="H528" s="48">
        <v>46178</v>
      </c>
      <c r="I528" s="48">
        <v>46196</v>
      </c>
      <c r="J528" s="44" t="s">
        <v>75</v>
      </c>
      <c r="K528" s="44" t="s">
        <v>116</v>
      </c>
      <c r="L528" s="50" t="s">
        <v>101</v>
      </c>
      <c r="M528" s="50" t="s">
        <v>77</v>
      </c>
      <c r="N528" s="50"/>
      <c r="O528" s="49"/>
      <c r="P528" s="50" t="str">
        <f t="shared" si="32"/>
        <v>ONAY</v>
      </c>
      <c r="Q528" s="28" t="s">
        <v>75</v>
      </c>
      <c r="R528" s="51" t="str">
        <f t="shared" si="33"/>
        <v/>
      </c>
      <c r="T528" s="41"/>
      <c r="U528" s="29">
        <f>IF($C528&lt;&gt;"",COUNTIF($C$2:C528,C528),"")</f>
        <v>1</v>
      </c>
      <c r="V528" s="29" t="str">
        <f t="shared" si="34"/>
        <v>Doç. Dr. Evren SERTALP§1</v>
      </c>
      <c r="W528" s="29">
        <f>IF(U528=1,COUNTIF($U$2:U528,1),"")</f>
        <v>278</v>
      </c>
      <c r="X528" s="29">
        <f t="shared" si="35"/>
        <v>52</v>
      </c>
      <c r="Y528" s="29">
        <f>IF(AND(LEFT($B528,7)="SBA 26/",$D528&lt;&gt;"",$F528&lt;&gt;""),COUNTIFS($D$2:$D528,$D528,$B$2:$B528,"SBA 26/*",$F$2:$F528,"&lt;&gt;"),"")</f>
        <v>1</v>
      </c>
      <c r="Z528" s="29">
        <f>IF(Y528=1,COUNTIF($Y$2:Y528,1),"")</f>
        <v>73</v>
      </c>
      <c r="AA528" s="29">
        <f>IF(AND(LEFT($B528,7)="SBA 26/",$C528&lt;&gt;"",$F528&lt;&gt;""),COUNTIFS($C$2:$C528,$C528,$B$2:$B528,"SBA 26/*",$F$2:$F528,"&lt;&gt;"),"")</f>
        <v>1</v>
      </c>
      <c r="AB528" s="29">
        <f>IF(AA528=1,COUNTIF($AA$2:AA528,1),"")</f>
        <v>278</v>
      </c>
    </row>
    <row r="529" spans="1:28" ht="63" customHeight="1" x14ac:dyDescent="0.2">
      <c r="A529" s="43" t="s">
        <v>2506</v>
      </c>
      <c r="B529" s="43" t="s">
        <v>2507</v>
      </c>
      <c r="C529" s="44" t="s">
        <v>2508</v>
      </c>
      <c r="D529" s="44" t="s">
        <v>113</v>
      </c>
      <c r="E529" s="45" t="s">
        <v>2509</v>
      </c>
      <c r="F529" s="45" t="s">
        <v>2510</v>
      </c>
      <c r="G529" s="46" t="s">
        <v>38</v>
      </c>
      <c r="H529" s="48">
        <v>46178</v>
      </c>
      <c r="I529" s="48">
        <v>46196</v>
      </c>
      <c r="J529" s="44" t="s">
        <v>91</v>
      </c>
      <c r="K529" s="44" t="s">
        <v>108</v>
      </c>
      <c r="L529" s="50" t="s">
        <v>101</v>
      </c>
      <c r="M529" s="50"/>
      <c r="N529" s="50"/>
      <c r="O529" s="49"/>
      <c r="P529" s="50" t="str">
        <f t="shared" si="32"/>
        <v>DÜZELTME</v>
      </c>
      <c r="R529" s="51" t="str">
        <f t="shared" si="33"/>
        <v/>
      </c>
      <c r="T529" s="41"/>
      <c r="U529" s="29">
        <f>IF($C529&lt;&gt;"",COUNTIF($C$2:C529,C529),"")</f>
        <v>1</v>
      </c>
      <c r="V529" s="29" t="str">
        <f t="shared" si="34"/>
        <v>Prof. Dr. Ömer Alper GÜRLEK§1</v>
      </c>
      <c r="W529" s="29">
        <f>IF(U529=1,COUNTIF($U$2:U529,1),"")</f>
        <v>279</v>
      </c>
      <c r="X529" s="29">
        <f t="shared" si="35"/>
        <v>292</v>
      </c>
      <c r="Y529" s="29">
        <f>IF(AND(LEFT($B529,7)="SBA 26/",$D529&lt;&gt;"",$F529&lt;&gt;""),COUNTIFS($D$2:$D529,$D529,$B$2:$B529,"SBA 26/*",$F$2:$F529,"&lt;&gt;"),"")</f>
        <v>91</v>
      </c>
      <c r="Z529" s="29" t="str">
        <f>IF(Y529=1,COUNTIF($Y$2:Y529,1),"")</f>
        <v/>
      </c>
      <c r="AA529" s="29">
        <f>IF(AND(LEFT($B529,7)="SBA 26/",$C529&lt;&gt;"",$F529&lt;&gt;""),COUNTIFS($C$2:$C529,$C529,$B$2:$B529,"SBA 26/*",$F$2:$F529,"&lt;&gt;"),"")</f>
        <v>1</v>
      </c>
      <c r="AB529" s="29">
        <f>IF(AA529=1,COUNTIF($AA$2:AA529,1),"")</f>
        <v>279</v>
      </c>
    </row>
    <row r="530" spans="1:28" ht="63" customHeight="1" x14ac:dyDescent="0.2">
      <c r="A530" s="43" t="s">
        <v>2511</v>
      </c>
      <c r="B530" s="43" t="s">
        <v>2512</v>
      </c>
      <c r="C530" s="44" t="s">
        <v>2513</v>
      </c>
      <c r="D530" s="44" t="s">
        <v>484</v>
      </c>
      <c r="E530" s="45" t="s">
        <v>2514</v>
      </c>
      <c r="F530" s="45" t="s">
        <v>2515</v>
      </c>
      <c r="G530" s="46" t="s">
        <v>39</v>
      </c>
      <c r="H530" s="48">
        <v>46178</v>
      </c>
      <c r="I530" s="48">
        <v>46196</v>
      </c>
      <c r="J530" s="44" t="s">
        <v>123</v>
      </c>
      <c r="K530" s="44" t="s">
        <v>76</v>
      </c>
      <c r="L530" s="50" t="s">
        <v>77</v>
      </c>
      <c r="M530" s="50"/>
      <c r="N530" s="50"/>
      <c r="O530" s="49"/>
      <c r="P530" s="50" t="str">
        <f t="shared" si="32"/>
        <v>ONAY</v>
      </c>
      <c r="R530" s="51" t="str">
        <f t="shared" si="33"/>
        <v/>
      </c>
      <c r="T530" s="41"/>
      <c r="U530" s="29">
        <f>IF($C530&lt;&gt;"",COUNTIF($C$2:C530,C530),"")</f>
        <v>1</v>
      </c>
      <c r="V530" s="29" t="str">
        <f t="shared" si="34"/>
        <v>Doç. Dr. Nursel AKKAYA§1</v>
      </c>
      <c r="W530" s="29">
        <f>IF(U530=1,COUNTIF($U$2:U530,1),"")</f>
        <v>280</v>
      </c>
      <c r="X530" s="29">
        <f t="shared" si="35"/>
        <v>90</v>
      </c>
      <c r="Y530" s="29">
        <f>IF(AND(LEFT($B530,7)="SBA 26/",$D530&lt;&gt;"",$F530&lt;&gt;""),COUNTIFS($D$2:$D530,$D530,$B$2:$B530,"SBA 26/*",$F$2:$F530,"&lt;&gt;"),"")</f>
        <v>6</v>
      </c>
      <c r="Z530" s="29" t="str">
        <f>IF(Y530=1,COUNTIF($Y$2:Y530,1),"")</f>
        <v/>
      </c>
      <c r="AA530" s="29">
        <f>IF(AND(LEFT($B530,7)="SBA 26/",$C530&lt;&gt;"",$F530&lt;&gt;""),COUNTIFS($C$2:$C530,$C530,$B$2:$B530,"SBA 26/*",$F$2:$F530,"&lt;&gt;"),"")</f>
        <v>1</v>
      </c>
      <c r="AB530" s="29">
        <f>IF(AA530=1,COUNTIF($AA$2:AA530,1),"")</f>
        <v>280</v>
      </c>
    </row>
    <row r="531" spans="1:28" ht="63" customHeight="1" x14ac:dyDescent="0.2">
      <c r="A531" s="43" t="s">
        <v>2516</v>
      </c>
      <c r="B531" s="43" t="s">
        <v>2517</v>
      </c>
      <c r="C531" s="44" t="s">
        <v>853</v>
      </c>
      <c r="D531" s="44" t="s">
        <v>584</v>
      </c>
      <c r="E531" s="45" t="s">
        <v>2518</v>
      </c>
      <c r="F531" s="45" t="s">
        <v>2519</v>
      </c>
      <c r="G531" s="46" t="s">
        <v>41</v>
      </c>
      <c r="H531" s="48">
        <v>46178</v>
      </c>
      <c r="I531" s="48">
        <v>46196</v>
      </c>
      <c r="J531" s="44" t="s">
        <v>100</v>
      </c>
      <c r="K531" s="44" t="s">
        <v>116</v>
      </c>
      <c r="L531" s="50" t="s">
        <v>77</v>
      </c>
      <c r="M531" s="50"/>
      <c r="N531" s="50"/>
      <c r="O531" s="49"/>
      <c r="P531" s="50" t="str">
        <f t="shared" si="32"/>
        <v>ONAY</v>
      </c>
      <c r="R531" s="51" t="str">
        <f t="shared" si="33"/>
        <v/>
      </c>
      <c r="T531" s="41"/>
      <c r="U531" s="29">
        <f>IF($C531&lt;&gt;"",COUNTIF($C$2:C531,C531),"")</f>
        <v>2</v>
      </c>
      <c r="V531" s="29" t="str">
        <f t="shared" si="34"/>
        <v>Doç. Dr. Burcu HATİBOĞLU§2</v>
      </c>
      <c r="W531" s="29" t="str">
        <f>IF(U531=1,COUNTIF($U$2:U531,1),"")</f>
        <v/>
      </c>
      <c r="X531" s="29" t="str">
        <f t="shared" si="35"/>
        <v/>
      </c>
      <c r="Y531" s="29">
        <f>IF(AND(LEFT($B531,7)="SBA 26/",$D531&lt;&gt;"",$F531&lt;&gt;""),COUNTIFS($D$2:$D531,$D531,$B$2:$B531,"SBA 26/*",$F$2:$F531,"&lt;&gt;"),"")</f>
        <v>5</v>
      </c>
      <c r="Z531" s="29" t="str">
        <f>IF(Y531=1,COUNTIF($Y$2:Y531,1),"")</f>
        <v/>
      </c>
      <c r="AA531" s="29">
        <f>IF(AND(LEFT($B531,7)="SBA 26/",$C531&lt;&gt;"",$F531&lt;&gt;""),COUNTIFS($C$2:$C531,$C531,$B$2:$B531,"SBA 26/*",$F$2:$F531,"&lt;&gt;"),"")</f>
        <v>2</v>
      </c>
      <c r="AB531" s="29" t="str">
        <f>IF(AA531=1,COUNTIF($AA$2:AA531,1),"")</f>
        <v/>
      </c>
    </row>
    <row r="532" spans="1:28" ht="78.75" customHeight="1" x14ac:dyDescent="0.2">
      <c r="A532" s="43" t="s">
        <v>2520</v>
      </c>
      <c r="B532" s="43" t="s">
        <v>2521</v>
      </c>
      <c r="C532" s="44" t="s">
        <v>2522</v>
      </c>
      <c r="D532" s="44" t="s">
        <v>133</v>
      </c>
      <c r="E532" s="45" t="s">
        <v>2523</v>
      </c>
      <c r="F532" s="45" t="s">
        <v>2524</v>
      </c>
      <c r="G532" s="46" t="s">
        <v>38</v>
      </c>
      <c r="H532" s="48">
        <v>46178</v>
      </c>
      <c r="I532" s="48">
        <v>46196</v>
      </c>
      <c r="J532" s="44" t="s">
        <v>108</v>
      </c>
      <c r="K532" s="44" t="s">
        <v>100</v>
      </c>
      <c r="L532" s="50" t="s">
        <v>77</v>
      </c>
      <c r="M532" s="50"/>
      <c r="N532" s="50"/>
      <c r="O532" s="49"/>
      <c r="P532" s="50" t="str">
        <f t="shared" si="32"/>
        <v>ONAY</v>
      </c>
      <c r="R532" s="51" t="str">
        <f t="shared" si="33"/>
        <v/>
      </c>
      <c r="T532" s="41"/>
      <c r="U532" s="29">
        <f>IF($C532&lt;&gt;"",COUNTIF($C$2:C532,C532),"")</f>
        <v>1</v>
      </c>
      <c r="V532" s="29" t="str">
        <f t="shared" si="34"/>
        <v>Öğr. Gör. Dr. Kemal SARUHAN§1</v>
      </c>
      <c r="W532" s="29">
        <f>IF(U532=1,COUNTIF($U$2:U532,1),"")</f>
        <v>281</v>
      </c>
      <c r="X532" s="29">
        <f t="shared" si="35"/>
        <v>182</v>
      </c>
      <c r="Y532" s="29">
        <f>IF(AND(LEFT($B532,7)="SBA 26/",$D532&lt;&gt;"",$F532&lt;&gt;""),COUNTIFS($D$2:$D532,$D532,$B$2:$B532,"SBA 26/*",$F$2:$F532,"&lt;&gt;"),"")</f>
        <v>14</v>
      </c>
      <c r="Z532" s="29" t="str">
        <f>IF(Y532=1,COUNTIF($Y$2:Y532,1),"")</f>
        <v/>
      </c>
      <c r="AA532" s="29">
        <f>IF(AND(LEFT($B532,7)="SBA 26/",$C532&lt;&gt;"",$F532&lt;&gt;""),COUNTIFS($C$2:$C532,$C532,$B$2:$B532,"SBA 26/*",$F$2:$F532,"&lt;&gt;"),"")</f>
        <v>1</v>
      </c>
      <c r="AB532" s="29">
        <f>IF(AA532=1,COUNTIF($AA$2:AA532,1),"")</f>
        <v>281</v>
      </c>
    </row>
    <row r="533" spans="1:28" ht="94.5" customHeight="1" x14ac:dyDescent="0.2">
      <c r="A533" s="43" t="s">
        <v>2525</v>
      </c>
      <c r="B533" s="43" t="s">
        <v>2526</v>
      </c>
      <c r="C533" s="44" t="s">
        <v>1673</v>
      </c>
      <c r="D533" s="44" t="s">
        <v>539</v>
      </c>
      <c r="E533" s="45" t="s">
        <v>2527</v>
      </c>
      <c r="F533" s="45" t="s">
        <v>2528</v>
      </c>
      <c r="G533" s="46" t="s">
        <v>39</v>
      </c>
      <c r="H533" s="48">
        <v>46178</v>
      </c>
      <c r="I533" s="48">
        <v>46196</v>
      </c>
      <c r="J533" s="44" t="s">
        <v>123</v>
      </c>
      <c r="K533" s="44" t="s">
        <v>75</v>
      </c>
      <c r="L533" s="50" t="s">
        <v>101</v>
      </c>
      <c r="M533" s="50"/>
      <c r="N533" s="50"/>
      <c r="O533" s="49"/>
      <c r="P533" s="50" t="str">
        <f t="shared" si="32"/>
        <v>DÜZELTME</v>
      </c>
      <c r="R533" s="51" t="str">
        <f t="shared" si="33"/>
        <v/>
      </c>
      <c r="T533" s="41"/>
      <c r="U533" s="29">
        <f>IF($C533&lt;&gt;"",COUNTIF($C$2:C533,C533),"")</f>
        <v>2</v>
      </c>
      <c r="V533" s="29" t="str">
        <f t="shared" si="34"/>
        <v>Prof. Dr. Hüseyin Gencay KEÇELİ§2</v>
      </c>
      <c r="W533" s="29" t="str">
        <f>IF(U533=1,COUNTIF($U$2:U533,1),"")</f>
        <v/>
      </c>
      <c r="X533" s="29" t="str">
        <f t="shared" si="35"/>
        <v/>
      </c>
      <c r="Y533" s="29">
        <f>IF(AND(LEFT($B533,7)="SBA 26/",$D533&lt;&gt;"",$F533&lt;&gt;""),COUNTIFS($D$2:$D533,$D533,$B$2:$B533,"SBA 26/*",$F$2:$F533,"&lt;&gt;"),"")</f>
        <v>7</v>
      </c>
      <c r="Z533" s="29" t="str">
        <f>IF(Y533=1,COUNTIF($Y$2:Y533,1),"")</f>
        <v/>
      </c>
      <c r="AA533" s="29">
        <f>IF(AND(LEFT($B533,7)="SBA 26/",$C533&lt;&gt;"",$F533&lt;&gt;""),COUNTIFS($C$2:$C533,$C533,$B$2:$B533,"SBA 26/*",$F$2:$F533,"&lt;&gt;"),"")</f>
        <v>2</v>
      </c>
      <c r="AB533" s="29" t="str">
        <f>IF(AA533=1,COUNTIF($AA$2:AA533,1),"")</f>
        <v/>
      </c>
    </row>
    <row r="534" spans="1:28" ht="47.25" customHeight="1" x14ac:dyDescent="0.2">
      <c r="A534" s="43" t="s">
        <v>2529</v>
      </c>
      <c r="B534" s="43" t="s">
        <v>2530</v>
      </c>
      <c r="C534" s="44" t="s">
        <v>248</v>
      </c>
      <c r="D534" s="44" t="s">
        <v>234</v>
      </c>
      <c r="E534" s="45" t="s">
        <v>2531</v>
      </c>
      <c r="F534" s="45" t="s">
        <v>2532</v>
      </c>
      <c r="G534" s="46" t="s">
        <v>38</v>
      </c>
      <c r="H534" s="48">
        <v>46178</v>
      </c>
      <c r="I534" s="48">
        <v>46196</v>
      </c>
      <c r="J534" s="44" t="s">
        <v>109</v>
      </c>
      <c r="K534" s="44" t="s">
        <v>92</v>
      </c>
      <c r="L534" s="50" t="s">
        <v>218</v>
      </c>
      <c r="M534" s="50"/>
      <c r="N534" s="50"/>
      <c r="O534" s="49"/>
      <c r="P534" s="50" t="str">
        <f t="shared" si="32"/>
        <v>KAEK</v>
      </c>
      <c r="R534" s="51" t="str">
        <f t="shared" si="33"/>
        <v/>
      </c>
      <c r="T534" s="41"/>
      <c r="U534" s="29">
        <f>IF($C534&lt;&gt;"",COUNTIF($C$2:C534,C534),"")</f>
        <v>3</v>
      </c>
      <c r="V534" s="29" t="str">
        <f t="shared" si="34"/>
        <v>Prof. Dr. Kudret AYTEMİR§3</v>
      </c>
      <c r="W534" s="29" t="str">
        <f>IF(U534=1,COUNTIF($U$2:U534,1),"")</f>
        <v/>
      </c>
      <c r="X534" s="29" t="str">
        <f t="shared" si="35"/>
        <v/>
      </c>
      <c r="Y534" s="29">
        <f>IF(AND(LEFT($B534,7)="SBA 26/",$D534&lt;&gt;"",$F534&lt;&gt;""),COUNTIFS($D$2:$D534,$D534,$B$2:$B534,"SBA 26/*",$F$2:$F534,"&lt;&gt;"),"")</f>
        <v>17</v>
      </c>
      <c r="Z534" s="29" t="str">
        <f>IF(Y534=1,COUNTIF($Y$2:Y534,1),"")</f>
        <v/>
      </c>
      <c r="AA534" s="29">
        <f>IF(AND(LEFT($B534,7)="SBA 26/",$C534&lt;&gt;"",$F534&lt;&gt;""),COUNTIFS($C$2:$C534,$C534,$B$2:$B534,"SBA 26/*",$F$2:$F534,"&lt;&gt;"),"")</f>
        <v>3</v>
      </c>
      <c r="AB534" s="29" t="str">
        <f>IF(AA534=1,COUNTIF($AA$2:AA534,1),"")</f>
        <v/>
      </c>
    </row>
    <row r="535" spans="1:28" ht="96" customHeight="1" x14ac:dyDescent="0.2">
      <c r="A535" s="43" t="s">
        <v>2533</v>
      </c>
      <c r="B535" s="43" t="s">
        <v>2534</v>
      </c>
      <c r="C535" s="44" t="s">
        <v>2535</v>
      </c>
      <c r="D535" s="44" t="s">
        <v>222</v>
      </c>
      <c r="E535" s="45" t="s">
        <v>2536</v>
      </c>
      <c r="F535" s="45" t="s">
        <v>2537</v>
      </c>
      <c r="G535" s="46" t="s">
        <v>38</v>
      </c>
      <c r="H535" s="48">
        <v>46178</v>
      </c>
      <c r="I535" s="48">
        <v>46196</v>
      </c>
      <c r="J535" s="44" t="s">
        <v>100</v>
      </c>
      <c r="K535" s="44" t="s">
        <v>76</v>
      </c>
      <c r="L535" s="50" t="s">
        <v>77</v>
      </c>
      <c r="M535" s="50"/>
      <c r="N535" s="50"/>
      <c r="O535" s="49"/>
      <c r="P535" s="50" t="str">
        <f t="shared" si="32"/>
        <v>ONAY</v>
      </c>
      <c r="R535" s="51" t="str">
        <f t="shared" si="33"/>
        <v/>
      </c>
      <c r="T535" s="41"/>
      <c r="U535" s="29">
        <f>IF($C535&lt;&gt;"",COUNTIF($C$2:C535,C535),"")</f>
        <v>1</v>
      </c>
      <c r="V535" s="29" t="str">
        <f t="shared" si="34"/>
        <v>Arş. Gör. Dr. Eymen YILMAZ§1</v>
      </c>
      <c r="W535" s="29">
        <f>IF(U535=1,COUNTIF($U$2:U535,1),"")</f>
        <v>282</v>
      </c>
      <c r="X535" s="29">
        <f t="shared" si="35"/>
        <v>2</v>
      </c>
      <c r="Y535" s="29">
        <f>IF(AND(LEFT($B535,7)="SBA 26/",$D535&lt;&gt;"",$F535&lt;&gt;""),COUNTIFS($D$2:$D535,$D535,$B$2:$B535,"SBA 26/*",$F$2:$F535,"&lt;&gt;"),"")</f>
        <v>78</v>
      </c>
      <c r="Z535" s="29" t="str">
        <f>IF(Y535=1,COUNTIF($Y$2:Y535,1),"")</f>
        <v/>
      </c>
      <c r="AA535" s="29">
        <f>IF(AND(LEFT($B535,7)="SBA 26/",$C535&lt;&gt;"",$F535&lt;&gt;""),COUNTIFS($C$2:$C535,$C535,$B$2:$B535,"SBA 26/*",$F$2:$F535,"&lt;&gt;"),"")</f>
        <v>1</v>
      </c>
      <c r="AB535" s="29">
        <f>IF(AA535=1,COUNTIF($AA$2:AA535,1),"")</f>
        <v>282</v>
      </c>
    </row>
    <row r="536" spans="1:28" ht="78.75" customHeight="1" x14ac:dyDescent="0.2">
      <c r="A536" s="43" t="s">
        <v>2538</v>
      </c>
      <c r="B536" s="43" t="s">
        <v>2539</v>
      </c>
      <c r="C536" s="44" t="s">
        <v>2272</v>
      </c>
      <c r="D536" s="44" t="s">
        <v>181</v>
      </c>
      <c r="E536" s="45" t="s">
        <v>2540</v>
      </c>
      <c r="F536" s="45" t="s">
        <v>2541</v>
      </c>
      <c r="G536" s="46" t="s">
        <v>38</v>
      </c>
      <c r="H536" s="48">
        <v>46178</v>
      </c>
      <c r="I536" s="48">
        <v>46196</v>
      </c>
      <c r="J536" s="44" t="s">
        <v>91</v>
      </c>
      <c r="K536" s="44" t="s">
        <v>109</v>
      </c>
      <c r="L536" s="50" t="s">
        <v>101</v>
      </c>
      <c r="M536" s="50" t="s">
        <v>77</v>
      </c>
      <c r="N536" s="50"/>
      <c r="O536" s="49"/>
      <c r="P536" s="50" t="str">
        <f t="shared" si="32"/>
        <v>ONAY</v>
      </c>
      <c r="Q536" s="28" t="s">
        <v>109</v>
      </c>
      <c r="R536" s="51" t="str">
        <f t="shared" si="33"/>
        <v/>
      </c>
      <c r="T536" s="41"/>
      <c r="U536" s="29">
        <f>IF($C536&lt;&gt;"",COUNTIF($C$2:C536,C536),"")</f>
        <v>2</v>
      </c>
      <c r="V536" s="29" t="str">
        <f t="shared" si="34"/>
        <v>Dr. Öğr. Üyesi Sehend DEBBAĞ§2</v>
      </c>
      <c r="W536" s="29" t="str">
        <f>IF(U536=1,COUNTIF($U$2:U536,1),"")</f>
        <v/>
      </c>
      <c r="X536" s="29" t="str">
        <f t="shared" si="35"/>
        <v/>
      </c>
      <c r="Y536" s="29">
        <f>IF(AND(LEFT($B536,7)="SBA 26/",$D536&lt;&gt;"",$F536&lt;&gt;""),COUNTIFS($D$2:$D536,$D536,$B$2:$B536,"SBA 26/*",$F$2:$F536,"&lt;&gt;"),"")</f>
        <v>8</v>
      </c>
      <c r="Z536" s="29" t="str">
        <f>IF(Y536=1,COUNTIF($Y$2:Y536,1),"")</f>
        <v/>
      </c>
      <c r="AA536" s="29">
        <f>IF(AND(LEFT($B536,7)="SBA 26/",$C536&lt;&gt;"",$F536&lt;&gt;""),COUNTIFS($C$2:$C536,$C536,$B$2:$B536,"SBA 26/*",$F$2:$F536,"&lt;&gt;"),"")</f>
        <v>2</v>
      </c>
      <c r="AB536" s="29" t="str">
        <f>IF(AA536=1,COUNTIF($AA$2:AA536,1),"")</f>
        <v/>
      </c>
    </row>
    <row r="537" spans="1:28" ht="81" customHeight="1" x14ac:dyDescent="0.2">
      <c r="A537" s="43" t="s">
        <v>2542</v>
      </c>
      <c r="B537" s="43" t="s">
        <v>2543</v>
      </c>
      <c r="C537" s="44" t="s">
        <v>671</v>
      </c>
      <c r="D537" s="44" t="s">
        <v>347</v>
      </c>
      <c r="E537" s="45" t="s">
        <v>2544</v>
      </c>
      <c r="F537" s="45" t="s">
        <v>2545</v>
      </c>
      <c r="G537" s="46" t="s">
        <v>38</v>
      </c>
      <c r="H537" s="48">
        <v>46178</v>
      </c>
      <c r="I537" s="48">
        <v>46196</v>
      </c>
      <c r="J537" s="44" t="s">
        <v>129</v>
      </c>
      <c r="K537" s="44" t="s">
        <v>84</v>
      </c>
      <c r="L537" s="50" t="s">
        <v>77</v>
      </c>
      <c r="M537" s="50"/>
      <c r="N537" s="50"/>
      <c r="O537" s="49"/>
      <c r="P537" s="50" t="str">
        <f t="shared" si="32"/>
        <v>ONAY</v>
      </c>
      <c r="R537" s="51" t="str">
        <f t="shared" si="33"/>
        <v/>
      </c>
      <c r="T537" s="41"/>
      <c r="U537" s="29">
        <f>IF($C537&lt;&gt;"",COUNTIF($C$2:C537,C537),"")</f>
        <v>4</v>
      </c>
      <c r="V537" s="29" t="str">
        <f t="shared" si="34"/>
        <v>Prof. Dr. Alp ÇETİN§4</v>
      </c>
      <c r="W537" s="29" t="str">
        <f>IF(U537=1,COUNTIF($U$2:U537,1),"")</f>
        <v/>
      </c>
      <c r="X537" s="29" t="str">
        <f t="shared" si="35"/>
        <v/>
      </c>
      <c r="Y537" s="29">
        <f>IF(AND(LEFT($B537,7)="SBA 26/",$D537&lt;&gt;"",$F537&lt;&gt;""),COUNTIFS($D$2:$D537,$D537,$B$2:$B537,"SBA 26/*",$F$2:$F537,"&lt;&gt;"),"")</f>
        <v>5</v>
      </c>
      <c r="Z537" s="29" t="str">
        <f>IF(Y537=1,COUNTIF($Y$2:Y537,1),"")</f>
        <v/>
      </c>
      <c r="AA537" s="29">
        <f>IF(AND(LEFT($B537,7)="SBA 26/",$C537&lt;&gt;"",$F537&lt;&gt;""),COUNTIFS($C$2:$C537,$C537,$B$2:$B537,"SBA 26/*",$F$2:$F537,"&lt;&gt;"),"")</f>
        <v>4</v>
      </c>
      <c r="AB537" s="29" t="str">
        <f>IF(AA537=1,COUNTIF($AA$2:AA537,1),"")</f>
        <v/>
      </c>
    </row>
    <row r="538" spans="1:28" ht="63" customHeight="1" x14ac:dyDescent="0.2">
      <c r="A538" s="43" t="s">
        <v>2546</v>
      </c>
      <c r="B538" s="43" t="s">
        <v>2547</v>
      </c>
      <c r="C538" s="44" t="s">
        <v>2548</v>
      </c>
      <c r="D538" s="44" t="s">
        <v>270</v>
      </c>
      <c r="E538" s="45" t="s">
        <v>2549</v>
      </c>
      <c r="F538" s="45" t="s">
        <v>2550</v>
      </c>
      <c r="G538" s="46" t="s">
        <v>38</v>
      </c>
      <c r="H538" s="48">
        <v>46178</v>
      </c>
      <c r="I538" s="48">
        <v>46196</v>
      </c>
      <c r="J538" s="44" t="s">
        <v>92</v>
      </c>
      <c r="K538" s="44" t="s">
        <v>116</v>
      </c>
      <c r="L538" s="50" t="s">
        <v>77</v>
      </c>
      <c r="M538" s="50"/>
      <c r="N538" s="50"/>
      <c r="O538" s="49"/>
      <c r="P538" s="50" t="str">
        <f t="shared" si="32"/>
        <v>ONAY</v>
      </c>
      <c r="R538" s="51" t="str">
        <f t="shared" si="33"/>
        <v/>
      </c>
      <c r="T538" s="41"/>
      <c r="U538" s="29">
        <f>IF($C538&lt;&gt;"",COUNTIF($C$2:C538,C538),"")</f>
        <v>1</v>
      </c>
      <c r="V538" s="29" t="str">
        <f t="shared" si="34"/>
        <v>Dr. Öğr. Gör. Tuğçe TAŞKINDERE ABBASOĞLU§1</v>
      </c>
      <c r="W538" s="29">
        <f>IF(U538=1,COUNTIF($U$2:U538,1),"")</f>
        <v>283</v>
      </c>
      <c r="X538" s="29">
        <f t="shared" si="35"/>
        <v>112</v>
      </c>
      <c r="Y538" s="29">
        <f>IF(AND(LEFT($B538,7)="SBA 26/",$D538&lt;&gt;"",$F538&lt;&gt;""),COUNTIFS($D$2:$D538,$D538,$B$2:$B538,"SBA 26/*",$F$2:$F538,"&lt;&gt;"),"")</f>
        <v>9</v>
      </c>
      <c r="Z538" s="29" t="str">
        <f>IF(Y538=1,COUNTIF($Y$2:Y538,1),"")</f>
        <v/>
      </c>
      <c r="AA538" s="29">
        <f>IF(AND(LEFT($B538,7)="SBA 26/",$C538&lt;&gt;"",$F538&lt;&gt;""),COUNTIFS($C$2:$C538,$C538,$B$2:$B538,"SBA 26/*",$F$2:$F538,"&lt;&gt;"),"")</f>
        <v>1</v>
      </c>
      <c r="AB538" s="29">
        <f>IF(AA538=1,COUNTIF($AA$2:AA538,1),"")</f>
        <v>283</v>
      </c>
    </row>
    <row r="539" spans="1:28" ht="47.25" customHeight="1" x14ac:dyDescent="0.2">
      <c r="A539" s="43" t="s">
        <v>2551</v>
      </c>
      <c r="B539" s="43" t="s">
        <v>2552</v>
      </c>
      <c r="C539" s="44" t="s">
        <v>2553</v>
      </c>
      <c r="D539" s="44" t="s">
        <v>2554</v>
      </c>
      <c r="E539" s="45" t="s">
        <v>2555</v>
      </c>
      <c r="F539" s="45" t="s">
        <v>2556</v>
      </c>
      <c r="G539" s="46" t="s">
        <v>38</v>
      </c>
      <c r="H539" s="48">
        <v>46186</v>
      </c>
      <c r="I539" s="48">
        <v>46196</v>
      </c>
      <c r="J539" s="44" t="s">
        <v>75</v>
      </c>
      <c r="K539" s="44" t="s">
        <v>91</v>
      </c>
      <c r="L539" s="50" t="s">
        <v>153</v>
      </c>
      <c r="M539" s="50"/>
      <c r="N539" s="50"/>
      <c r="O539" s="49"/>
      <c r="P539" s="50" t="str">
        <f t="shared" si="32"/>
        <v>KAPSAM DIŞI</v>
      </c>
      <c r="R539" s="51" t="str">
        <f t="shared" si="33"/>
        <v/>
      </c>
      <c r="T539" s="41"/>
      <c r="U539" s="29">
        <f>IF($C539&lt;&gt;"",COUNTIF($C$2:C539,C539),"")</f>
        <v>1</v>
      </c>
      <c r="V539" s="29" t="str">
        <f t="shared" si="34"/>
        <v>Prof. Dr. Lokman UZUN§1</v>
      </c>
      <c r="W539" s="29">
        <f>IF(U539=1,COUNTIF($U$2:U539,1),"")</f>
        <v>284</v>
      </c>
      <c r="X539" s="29">
        <f t="shared" si="35"/>
        <v>263</v>
      </c>
      <c r="Y539" s="29">
        <f>IF(AND(LEFT($B539,7)="SBA 26/",$D539&lt;&gt;"",$F539&lt;&gt;""),COUNTIFS($D$2:$D539,$D539,$B$2:$B539,"SBA 26/*",$F$2:$F539,"&lt;&gt;"),"")</f>
        <v>1</v>
      </c>
      <c r="Z539" s="29">
        <f>IF(Y539=1,COUNTIF($Y$2:Y539,1),"")</f>
        <v>74</v>
      </c>
      <c r="AA539" s="29">
        <f>IF(AND(LEFT($B539,7)="SBA 26/",$C539&lt;&gt;"",$F539&lt;&gt;""),COUNTIFS($C$2:$C539,$C539,$B$2:$B539,"SBA 26/*",$F$2:$F539,"&lt;&gt;"),"")</f>
        <v>1</v>
      </c>
      <c r="AB539" s="29">
        <f>IF(AA539=1,COUNTIF($AA$2:AA539,1),"")</f>
        <v>284</v>
      </c>
    </row>
    <row r="540" spans="1:28" ht="93.75" customHeight="1" x14ac:dyDescent="0.2">
      <c r="A540" s="43" t="s">
        <v>2557</v>
      </c>
      <c r="B540" s="43" t="s">
        <v>2558</v>
      </c>
      <c r="C540" s="44" t="s">
        <v>358</v>
      </c>
      <c r="D540" s="44" t="s">
        <v>228</v>
      </c>
      <c r="E540" s="45" t="s">
        <v>2559</v>
      </c>
      <c r="F540" s="45" t="s">
        <v>2560</v>
      </c>
      <c r="G540" s="46" t="s">
        <v>39</v>
      </c>
      <c r="H540" s="48">
        <v>46191</v>
      </c>
      <c r="I540" s="48">
        <v>46217</v>
      </c>
      <c r="J540" s="44" t="s">
        <v>91</v>
      </c>
      <c r="K540" s="44" t="s">
        <v>100</v>
      </c>
      <c r="L540" s="50" t="s">
        <v>101</v>
      </c>
      <c r="M540" s="50"/>
      <c r="N540" s="50"/>
      <c r="O540" s="49"/>
      <c r="P540" s="50" t="str">
        <f t="shared" si="32"/>
        <v>DÜZELTME</v>
      </c>
      <c r="R540" s="51" t="str">
        <f t="shared" si="33"/>
        <v/>
      </c>
      <c r="T540" s="41"/>
      <c r="U540" s="29">
        <f>IF($C540&lt;&gt;"",COUNTIF($C$2:C540,C540),"")</f>
        <v>3</v>
      </c>
      <c r="V540" s="29" t="str">
        <f t="shared" si="34"/>
        <v>Doç. Dr. Erdem FADILOĞLU§3</v>
      </c>
      <c r="W540" s="29" t="str">
        <f>IF(U540=1,COUNTIF($U$2:U540,1),"")</f>
        <v/>
      </c>
      <c r="X540" s="29" t="str">
        <f t="shared" si="35"/>
        <v/>
      </c>
      <c r="Y540" s="29">
        <f>IF(AND(LEFT($B540,7)="SBA 26/",$D540&lt;&gt;"",$F540&lt;&gt;""),COUNTIFS($D$2:$D540,$D540,$B$2:$B540,"SBA 26/*",$F$2:$F540,"&lt;&gt;"),"")</f>
        <v>29</v>
      </c>
      <c r="Z540" s="29" t="str">
        <f>IF(Y540=1,COUNTIF($Y$2:Y540,1),"")</f>
        <v/>
      </c>
      <c r="AA540" s="29">
        <f>IF(AND(LEFT($B540,7)="SBA 26/",$C540&lt;&gt;"",$F540&lt;&gt;""),COUNTIFS($C$2:$C540,$C540,$B$2:$B540,"SBA 26/*",$F$2:$F540,"&lt;&gt;"),"")</f>
        <v>3</v>
      </c>
      <c r="AB540" s="29" t="str">
        <f>IF(AA540=1,COUNTIF($AA$2:AA540,1),"")</f>
        <v/>
      </c>
    </row>
    <row r="541" spans="1:28" ht="64.5" customHeight="1" x14ac:dyDescent="0.2">
      <c r="A541" s="43" t="s">
        <v>2561</v>
      </c>
      <c r="B541" s="43" t="s">
        <v>2562</v>
      </c>
      <c r="C541" s="44" t="s">
        <v>524</v>
      </c>
      <c r="D541" s="44" t="s">
        <v>113</v>
      </c>
      <c r="E541" s="45" t="s">
        <v>2563</v>
      </c>
      <c r="F541" s="45" t="s">
        <v>2564</v>
      </c>
      <c r="G541" s="46" t="s">
        <v>38</v>
      </c>
      <c r="H541" s="48">
        <v>46191</v>
      </c>
      <c r="I541" s="48">
        <v>46217</v>
      </c>
      <c r="J541" s="44" t="s">
        <v>109</v>
      </c>
      <c r="K541" s="44" t="s">
        <v>84</v>
      </c>
      <c r="L541" s="50" t="s">
        <v>153</v>
      </c>
      <c r="M541" s="50"/>
      <c r="N541" s="50"/>
      <c r="O541" s="49"/>
      <c r="P541" s="50" t="str">
        <f t="shared" si="32"/>
        <v>KAPSAM DIŞI</v>
      </c>
      <c r="R541" s="51" t="str">
        <f t="shared" si="33"/>
        <v/>
      </c>
      <c r="T541" s="41"/>
      <c r="U541" s="29">
        <f>IF($C541&lt;&gt;"",COUNTIF($C$2:C541,C541),"")</f>
        <v>9</v>
      </c>
      <c r="V541" s="29" t="str">
        <f t="shared" si="34"/>
        <v>Doç. Dr. Mert EŞME§9</v>
      </c>
      <c r="W541" s="29" t="str">
        <f>IF(U541=1,COUNTIF($U$2:U541,1),"")</f>
        <v/>
      </c>
      <c r="X541" s="29" t="str">
        <f t="shared" si="35"/>
        <v/>
      </c>
      <c r="Y541" s="29">
        <f>IF(AND(LEFT($B541,7)="SBA 26/",$D541&lt;&gt;"",$F541&lt;&gt;""),COUNTIFS($D$2:$D541,$D541,$B$2:$B541,"SBA 26/*",$F$2:$F541,"&lt;&gt;"),"")</f>
        <v>92</v>
      </c>
      <c r="Z541" s="29" t="str">
        <f>IF(Y541=1,COUNTIF($Y$2:Y541,1),"")</f>
        <v/>
      </c>
      <c r="AA541" s="29">
        <f>IF(AND(LEFT($B541,7)="SBA 26/",$C541&lt;&gt;"",$F541&lt;&gt;""),COUNTIFS($C$2:$C541,$C541,$B$2:$B541,"SBA 26/*",$F$2:$F541,"&lt;&gt;"),"")</f>
        <v>9</v>
      </c>
      <c r="AB541" s="29" t="str">
        <f>IF(AA541=1,COUNTIF($AA$2:AA541,1),"")</f>
        <v/>
      </c>
    </row>
    <row r="542" spans="1:28" ht="63" customHeight="1" x14ac:dyDescent="0.2">
      <c r="A542" s="43" t="s">
        <v>2565</v>
      </c>
      <c r="B542" s="43" t="s">
        <v>2566</v>
      </c>
      <c r="C542" s="44" t="s">
        <v>524</v>
      </c>
      <c r="D542" s="44" t="s">
        <v>113</v>
      </c>
      <c r="E542" s="45" t="s">
        <v>2563</v>
      </c>
      <c r="F542" s="45" t="s">
        <v>2567</v>
      </c>
      <c r="G542" s="46" t="s">
        <v>38</v>
      </c>
      <c r="H542" s="48">
        <v>46191</v>
      </c>
      <c r="I542" s="48">
        <v>46217</v>
      </c>
      <c r="J542" s="44" t="s">
        <v>99</v>
      </c>
      <c r="K542" s="44" t="s">
        <v>84</v>
      </c>
      <c r="L542" s="50" t="s">
        <v>77</v>
      </c>
      <c r="M542" s="50"/>
      <c r="N542" s="50"/>
      <c r="O542" s="49"/>
      <c r="P542" s="50" t="str">
        <f t="shared" si="32"/>
        <v>ONAY</v>
      </c>
      <c r="R542" s="51" t="str">
        <f t="shared" si="33"/>
        <v/>
      </c>
      <c r="T542" s="41"/>
      <c r="U542" s="29">
        <f>IF($C542&lt;&gt;"",COUNTIF($C$2:C542,C542),"")</f>
        <v>10</v>
      </c>
      <c r="V542" s="29" t="str">
        <f t="shared" si="34"/>
        <v>Doç. Dr. Mert EŞME§10</v>
      </c>
      <c r="W542" s="29" t="str">
        <f>IF(U542=1,COUNTIF($U$2:U542,1),"")</f>
        <v/>
      </c>
      <c r="X542" s="29" t="str">
        <f t="shared" si="35"/>
        <v/>
      </c>
      <c r="Y542" s="29">
        <f>IF(AND(LEFT($B542,7)="SBA 26/",$D542&lt;&gt;"",$F542&lt;&gt;""),COUNTIFS($D$2:$D542,$D542,$B$2:$B542,"SBA 26/*",$F$2:$F542,"&lt;&gt;"),"")</f>
        <v>93</v>
      </c>
      <c r="Z542" s="29" t="str">
        <f>IF(Y542=1,COUNTIF($Y$2:Y542,1),"")</f>
        <v/>
      </c>
      <c r="AA542" s="29">
        <f>IF(AND(LEFT($B542,7)="SBA 26/",$C542&lt;&gt;"",$F542&lt;&gt;""),COUNTIFS($C$2:$C542,$C542,$B$2:$B542,"SBA 26/*",$F$2:$F542,"&lt;&gt;"),"")</f>
        <v>10</v>
      </c>
      <c r="AB542" s="29" t="str">
        <f>IF(AA542=1,COUNTIF($AA$2:AA542,1),"")</f>
        <v/>
      </c>
    </row>
    <row r="543" spans="1:28" ht="78.75" customHeight="1" x14ac:dyDescent="0.2">
      <c r="A543" s="43" t="s">
        <v>2568</v>
      </c>
      <c r="B543" s="43" t="s">
        <v>2569</v>
      </c>
      <c r="C543" s="44" t="s">
        <v>711</v>
      </c>
      <c r="D543" s="44" t="s">
        <v>113</v>
      </c>
      <c r="E543" s="45" t="s">
        <v>2570</v>
      </c>
      <c r="F543" s="45" t="s">
        <v>2571</v>
      </c>
      <c r="G543" s="46" t="s">
        <v>38</v>
      </c>
      <c r="H543" s="48">
        <v>46191</v>
      </c>
      <c r="I543" s="48">
        <v>46217</v>
      </c>
      <c r="J543" s="44" t="s">
        <v>99</v>
      </c>
      <c r="K543" s="44" t="s">
        <v>76</v>
      </c>
      <c r="L543" s="50" t="s">
        <v>77</v>
      </c>
      <c r="M543" s="50"/>
      <c r="N543" s="50"/>
      <c r="O543" s="49"/>
      <c r="P543" s="50" t="str">
        <f t="shared" si="32"/>
        <v>ONAY</v>
      </c>
      <c r="R543" s="51" t="str">
        <f t="shared" si="33"/>
        <v/>
      </c>
      <c r="T543" s="41"/>
      <c r="U543" s="29">
        <f>IF($C543&lt;&gt;"",COUNTIF($C$2:C543,C543),"")</f>
        <v>5</v>
      </c>
      <c r="V543" s="29" t="str">
        <f t="shared" si="34"/>
        <v>Doç. Dr. Süleyman Nahit ŞENDUR§5</v>
      </c>
      <c r="W543" s="29" t="str">
        <f>IF(U543=1,COUNTIF($U$2:U543,1),"")</f>
        <v/>
      </c>
      <c r="X543" s="29" t="str">
        <f t="shared" si="35"/>
        <v/>
      </c>
      <c r="Y543" s="29">
        <f>IF(AND(LEFT($B543,7)="SBA 26/",$D543&lt;&gt;"",$F543&lt;&gt;""),COUNTIFS($D$2:$D543,$D543,$B$2:$B543,"SBA 26/*",$F$2:$F543,"&lt;&gt;"),"")</f>
        <v>94</v>
      </c>
      <c r="Z543" s="29" t="str">
        <f>IF(Y543=1,COUNTIF($Y$2:Y543,1),"")</f>
        <v/>
      </c>
      <c r="AA543" s="29">
        <f>IF(AND(LEFT($B543,7)="SBA 26/",$C543&lt;&gt;"",$F543&lt;&gt;""),COUNTIFS($C$2:$C543,$C543,$B$2:$B543,"SBA 26/*",$F$2:$F543,"&lt;&gt;"),"")</f>
        <v>5</v>
      </c>
      <c r="AB543" s="29" t="str">
        <f>IF(AA543=1,COUNTIF($AA$2:AA543,1),"")</f>
        <v/>
      </c>
    </row>
    <row r="544" spans="1:28" ht="94.5" customHeight="1" x14ac:dyDescent="0.2">
      <c r="A544" s="43" t="s">
        <v>2572</v>
      </c>
      <c r="B544" s="43" t="s">
        <v>2573</v>
      </c>
      <c r="C544" s="44" t="s">
        <v>379</v>
      </c>
      <c r="D544" s="44" t="s">
        <v>222</v>
      </c>
      <c r="E544" s="45" t="s">
        <v>2574</v>
      </c>
      <c r="F544" s="45" t="s">
        <v>2575</v>
      </c>
      <c r="G544" s="46" t="s">
        <v>38</v>
      </c>
      <c r="H544" s="48">
        <v>46191</v>
      </c>
      <c r="I544" s="48">
        <v>46217</v>
      </c>
      <c r="J544" s="44" t="s">
        <v>123</v>
      </c>
      <c r="K544" s="44" t="s">
        <v>116</v>
      </c>
      <c r="L544" s="50" t="s">
        <v>77</v>
      </c>
      <c r="M544" s="50"/>
      <c r="N544" s="50"/>
      <c r="O544" s="49"/>
      <c r="P544" s="50" t="str">
        <f t="shared" si="32"/>
        <v>ONAY</v>
      </c>
      <c r="R544" s="51" t="str">
        <f t="shared" si="33"/>
        <v/>
      </c>
      <c r="T544" s="41"/>
      <c r="U544" s="29">
        <f>IF($C544&lt;&gt;"",COUNTIF($C$2:C544,C544),"")</f>
        <v>7</v>
      </c>
      <c r="V544" s="29" t="str">
        <f t="shared" si="34"/>
        <v>Prof. Dr. Deniz ÇAĞDAŞ AYVAZ§7</v>
      </c>
      <c r="W544" s="29" t="str">
        <f>IF(U544=1,COUNTIF($U$2:U544,1),"")</f>
        <v/>
      </c>
      <c r="X544" s="29" t="str">
        <f t="shared" si="35"/>
        <v/>
      </c>
      <c r="Y544" s="29">
        <f>IF(AND(LEFT($B544,7)="SBA 26/",$D544&lt;&gt;"",$F544&lt;&gt;""),COUNTIFS($D$2:$D544,$D544,$B$2:$B544,"SBA 26/*",$F$2:$F544,"&lt;&gt;"),"")</f>
        <v>79</v>
      </c>
      <c r="Z544" s="29" t="str">
        <f>IF(Y544=1,COUNTIF($Y$2:Y544,1),"")</f>
        <v/>
      </c>
      <c r="AA544" s="29">
        <f>IF(AND(LEFT($B544,7)="SBA 26/",$C544&lt;&gt;"",$F544&lt;&gt;""),COUNTIFS($C$2:$C544,$C544,$B$2:$B544,"SBA 26/*",$F$2:$F544,"&lt;&gt;"),"")</f>
        <v>7</v>
      </c>
      <c r="AB544" s="29" t="str">
        <f>IF(AA544=1,COUNTIF($AA$2:AA544,1),"")</f>
        <v/>
      </c>
    </row>
    <row r="545" spans="1:28" ht="126" customHeight="1" x14ac:dyDescent="0.2">
      <c r="A545" s="43" t="s">
        <v>2576</v>
      </c>
      <c r="B545" s="43" t="s">
        <v>2577</v>
      </c>
      <c r="C545" s="44" t="s">
        <v>795</v>
      </c>
      <c r="D545" s="44" t="s">
        <v>222</v>
      </c>
      <c r="E545" s="45" t="s">
        <v>2578</v>
      </c>
      <c r="F545" s="45" t="s">
        <v>2579</v>
      </c>
      <c r="G545" s="46" t="s">
        <v>38</v>
      </c>
      <c r="H545" s="48">
        <v>46191</v>
      </c>
      <c r="I545" s="48">
        <v>46217</v>
      </c>
      <c r="J545" s="44" t="s">
        <v>91</v>
      </c>
      <c r="K545" s="44" t="s">
        <v>76</v>
      </c>
      <c r="L545" s="50" t="s">
        <v>218</v>
      </c>
      <c r="M545" s="50"/>
      <c r="N545" s="50"/>
      <c r="O545" s="49"/>
      <c r="P545" s="50" t="str">
        <f t="shared" si="32"/>
        <v>KAEK</v>
      </c>
      <c r="R545" s="51" t="str">
        <f t="shared" si="33"/>
        <v/>
      </c>
      <c r="T545" s="41"/>
      <c r="U545" s="29">
        <f>IF($C545&lt;&gt;"",COUNTIF($C$2:C545,C545),"")</f>
        <v>4</v>
      </c>
      <c r="V545" s="29" t="str">
        <f t="shared" si="34"/>
        <v>Prof. Dr. Deniz DOĞRU ERSÖZ§4</v>
      </c>
      <c r="W545" s="29" t="str">
        <f>IF(U545=1,COUNTIF($U$2:U545,1),"")</f>
        <v/>
      </c>
      <c r="X545" s="29" t="str">
        <f t="shared" si="35"/>
        <v/>
      </c>
      <c r="Y545" s="29">
        <f>IF(AND(LEFT($B545,7)="SBA 26/",$D545&lt;&gt;"",$F545&lt;&gt;""),COUNTIFS($D$2:$D545,$D545,$B$2:$B545,"SBA 26/*",$F$2:$F545,"&lt;&gt;"),"")</f>
        <v>80</v>
      </c>
      <c r="Z545" s="29" t="str">
        <f>IF(Y545=1,COUNTIF($Y$2:Y545,1),"")</f>
        <v/>
      </c>
      <c r="AA545" s="29">
        <f>IF(AND(LEFT($B545,7)="SBA 26/",$C545&lt;&gt;"",$F545&lt;&gt;""),COUNTIFS($C$2:$C545,$C545,$B$2:$B545,"SBA 26/*",$F$2:$F545,"&lt;&gt;"),"")</f>
        <v>4</v>
      </c>
      <c r="AB545" s="29" t="str">
        <f>IF(AA545=1,COUNTIF($AA$2:AA545,1),"")</f>
        <v/>
      </c>
    </row>
    <row r="546" spans="1:28" ht="63" customHeight="1" x14ac:dyDescent="0.2">
      <c r="A546" s="43" t="s">
        <v>2580</v>
      </c>
      <c r="B546" s="43" t="s">
        <v>2581</v>
      </c>
      <c r="C546" s="44" t="s">
        <v>358</v>
      </c>
      <c r="D546" s="44" t="s">
        <v>228</v>
      </c>
      <c r="E546" s="45" t="s">
        <v>2582</v>
      </c>
      <c r="F546" s="45" t="s">
        <v>2583</v>
      </c>
      <c r="G546" s="46" t="s">
        <v>38</v>
      </c>
      <c r="H546" s="48">
        <v>46191</v>
      </c>
      <c r="I546" s="48">
        <v>46217</v>
      </c>
      <c r="J546" s="44" t="s">
        <v>75</v>
      </c>
      <c r="K546" s="44" t="s">
        <v>116</v>
      </c>
      <c r="L546" s="50" t="s">
        <v>77</v>
      </c>
      <c r="M546" s="50"/>
      <c r="N546" s="50"/>
      <c r="O546" s="49"/>
      <c r="P546" s="50" t="str">
        <f t="shared" si="32"/>
        <v>ONAY</v>
      </c>
      <c r="R546" s="51" t="str">
        <f t="shared" si="33"/>
        <v/>
      </c>
      <c r="T546" s="41"/>
      <c r="U546" s="29">
        <f>IF($C546&lt;&gt;"",COUNTIF($C$2:C546,C546),"")</f>
        <v>4</v>
      </c>
      <c r="V546" s="29" t="str">
        <f t="shared" si="34"/>
        <v>Doç. Dr. Erdem FADILOĞLU§4</v>
      </c>
      <c r="W546" s="29" t="str">
        <f>IF(U546=1,COUNTIF($U$2:U546,1),"")</f>
        <v/>
      </c>
      <c r="X546" s="29" t="str">
        <f t="shared" si="35"/>
        <v/>
      </c>
      <c r="Y546" s="29">
        <f>IF(AND(LEFT($B546,7)="SBA 26/",$D546&lt;&gt;"",$F546&lt;&gt;""),COUNTIFS($D$2:$D546,$D546,$B$2:$B546,"SBA 26/*",$F$2:$F546,"&lt;&gt;"),"")</f>
        <v>30</v>
      </c>
      <c r="Z546" s="29" t="str">
        <f>IF(Y546=1,COUNTIF($Y$2:Y546,1),"")</f>
        <v/>
      </c>
      <c r="AA546" s="29">
        <f>IF(AND(LEFT($B546,7)="SBA 26/",$C546&lt;&gt;"",$F546&lt;&gt;""),COUNTIFS($C$2:$C546,$C546,$B$2:$B546,"SBA 26/*",$F$2:$F546,"&lt;&gt;"),"")</f>
        <v>4</v>
      </c>
      <c r="AB546" s="29" t="str">
        <f>IF(AA546=1,COUNTIF($AA$2:AA546,1),"")</f>
        <v/>
      </c>
    </row>
    <row r="547" spans="1:28" ht="94.5" customHeight="1" x14ac:dyDescent="0.2">
      <c r="A547" s="43" t="s">
        <v>2584</v>
      </c>
      <c r="B547" s="43" t="s">
        <v>2585</v>
      </c>
      <c r="C547" s="44" t="s">
        <v>2586</v>
      </c>
      <c r="D547" s="44" t="s">
        <v>222</v>
      </c>
      <c r="E547" s="45" t="s">
        <v>2587</v>
      </c>
      <c r="F547" s="45" t="s">
        <v>2588</v>
      </c>
      <c r="G547" s="46" t="s">
        <v>38</v>
      </c>
      <c r="H547" s="48">
        <v>46191</v>
      </c>
      <c r="I547" s="48">
        <v>46217</v>
      </c>
      <c r="J547" s="44" t="s">
        <v>92</v>
      </c>
      <c r="K547" s="44" t="s">
        <v>100</v>
      </c>
      <c r="L547" s="50" t="s">
        <v>101</v>
      </c>
      <c r="M547" s="50" t="s">
        <v>77</v>
      </c>
      <c r="N547" s="50"/>
      <c r="O547" s="49"/>
      <c r="P547" s="50" t="str">
        <f t="shared" si="32"/>
        <v>ONAY</v>
      </c>
      <c r="Q547" s="28" t="s">
        <v>92</v>
      </c>
      <c r="R547" s="51" t="str">
        <f t="shared" si="33"/>
        <v/>
      </c>
      <c r="T547" s="41"/>
      <c r="U547" s="29">
        <f>IF($C547&lt;&gt;"",COUNTIF($C$2:C547,C547),"")</f>
        <v>1</v>
      </c>
      <c r="V547" s="29" t="str">
        <f t="shared" si="34"/>
        <v>Doç. Dr. Melike OCAK§1</v>
      </c>
      <c r="W547" s="29">
        <f>IF(U547=1,COUNTIF($U$2:U547,1),"")</f>
        <v>285</v>
      </c>
      <c r="X547" s="29">
        <f t="shared" si="35"/>
        <v>80</v>
      </c>
      <c r="Y547" s="29">
        <f>IF(AND(LEFT($B547,7)="SBA 26/",$D547&lt;&gt;"",$F547&lt;&gt;""),COUNTIFS($D$2:$D547,$D547,$B$2:$B547,"SBA 26/*",$F$2:$F547,"&lt;&gt;"),"")</f>
        <v>81</v>
      </c>
      <c r="Z547" s="29" t="str">
        <f>IF(Y547=1,COUNTIF($Y$2:Y547,1),"")</f>
        <v/>
      </c>
      <c r="AA547" s="29">
        <f>IF(AND(LEFT($B547,7)="SBA 26/",$C547&lt;&gt;"",$F547&lt;&gt;""),COUNTIFS($C$2:$C547,$C547,$B$2:$B547,"SBA 26/*",$F$2:$F547,"&lt;&gt;"),"")</f>
        <v>1</v>
      </c>
      <c r="AB547" s="29">
        <f>IF(AA547=1,COUNTIF($AA$2:AA547,1),"")</f>
        <v>285</v>
      </c>
    </row>
    <row r="548" spans="1:28" ht="94.5" customHeight="1" x14ac:dyDescent="0.2">
      <c r="A548" s="43" t="s">
        <v>2589</v>
      </c>
      <c r="B548" s="43" t="s">
        <v>2590</v>
      </c>
      <c r="C548" s="44" t="s">
        <v>2586</v>
      </c>
      <c r="D548" s="44" t="s">
        <v>222</v>
      </c>
      <c r="E548" s="45" t="s">
        <v>2587</v>
      </c>
      <c r="F548" s="45" t="s">
        <v>2591</v>
      </c>
      <c r="G548" s="46" t="s">
        <v>38</v>
      </c>
      <c r="H548" s="48">
        <v>46191</v>
      </c>
      <c r="I548" s="48">
        <v>46217</v>
      </c>
      <c r="J548" s="44" t="s">
        <v>75</v>
      </c>
      <c r="K548" s="44" t="s">
        <v>76</v>
      </c>
      <c r="L548" s="50" t="s">
        <v>77</v>
      </c>
      <c r="M548" s="50"/>
      <c r="N548" s="50"/>
      <c r="O548" s="49"/>
      <c r="P548" s="50" t="str">
        <f t="shared" si="32"/>
        <v>ONAY</v>
      </c>
      <c r="R548" s="51" t="str">
        <f t="shared" si="33"/>
        <v/>
      </c>
      <c r="T548" s="41"/>
      <c r="U548" s="29">
        <f>IF($C548&lt;&gt;"",COUNTIF($C$2:C548,C548),"")</f>
        <v>2</v>
      </c>
      <c r="V548" s="29" t="str">
        <f t="shared" si="34"/>
        <v>Doç. Dr. Melike OCAK§2</v>
      </c>
      <c r="W548" s="29" t="str">
        <f>IF(U548=1,COUNTIF($U$2:U548,1),"")</f>
        <v/>
      </c>
      <c r="X548" s="29" t="str">
        <f t="shared" si="35"/>
        <v/>
      </c>
      <c r="Y548" s="29">
        <f>IF(AND(LEFT($B548,7)="SBA 26/",$D548&lt;&gt;"",$F548&lt;&gt;""),COUNTIFS($D$2:$D548,$D548,$B$2:$B548,"SBA 26/*",$F$2:$F548,"&lt;&gt;"),"")</f>
        <v>82</v>
      </c>
      <c r="Z548" s="29" t="str">
        <f>IF(Y548=1,COUNTIF($Y$2:Y548,1),"")</f>
        <v/>
      </c>
      <c r="AA548" s="29">
        <f>IF(AND(LEFT($B548,7)="SBA 26/",$C548&lt;&gt;"",$F548&lt;&gt;""),COUNTIFS($C$2:$C548,$C548,$B$2:$B548,"SBA 26/*",$F$2:$F548,"&lt;&gt;"),"")</f>
        <v>2</v>
      </c>
      <c r="AB548" s="29" t="str">
        <f>IF(AA548=1,COUNTIF($AA$2:AA548,1),"")</f>
        <v/>
      </c>
    </row>
    <row r="549" spans="1:28" ht="78.75" customHeight="1" x14ac:dyDescent="0.2">
      <c r="A549" s="43" t="s">
        <v>2592</v>
      </c>
      <c r="B549" s="43" t="s">
        <v>2593</v>
      </c>
      <c r="C549" s="44" t="s">
        <v>2594</v>
      </c>
      <c r="D549" s="44" t="s">
        <v>222</v>
      </c>
      <c r="E549" s="45" t="s">
        <v>2595</v>
      </c>
      <c r="F549" s="45" t="s">
        <v>2596</v>
      </c>
      <c r="G549" s="46" t="s">
        <v>38</v>
      </c>
      <c r="H549" s="48">
        <v>46191</v>
      </c>
      <c r="I549" s="48">
        <v>46217</v>
      </c>
      <c r="J549" s="44" t="s">
        <v>75</v>
      </c>
      <c r="K549" s="44" t="s">
        <v>84</v>
      </c>
      <c r="L549" s="50" t="s">
        <v>77</v>
      </c>
      <c r="M549" s="50"/>
      <c r="N549" s="50"/>
      <c r="O549" s="49"/>
      <c r="P549" s="50" t="str">
        <f t="shared" si="32"/>
        <v>ONAY</v>
      </c>
      <c r="R549" s="51" t="str">
        <f t="shared" si="33"/>
        <v/>
      </c>
      <c r="T549" s="41"/>
      <c r="U549" s="29">
        <f>IF($C549&lt;&gt;"",COUNTIF($C$2:C549,C549),"")</f>
        <v>1</v>
      </c>
      <c r="V549" s="29" t="str">
        <f t="shared" si="34"/>
        <v>Arş. Gör. Dr. Pınar YAVUZ TAZE§1</v>
      </c>
      <c r="W549" s="29">
        <f>IF(U549=1,COUNTIF($U$2:U549,1),"")</f>
        <v>286</v>
      </c>
      <c r="X549" s="29">
        <f t="shared" si="35"/>
        <v>8</v>
      </c>
      <c r="Y549" s="29">
        <f>IF(AND(LEFT($B549,7)="SBA 26/",$D549&lt;&gt;"",$F549&lt;&gt;""),COUNTIFS($D$2:$D549,$D549,$B$2:$B549,"SBA 26/*",$F$2:$F549,"&lt;&gt;"),"")</f>
        <v>83</v>
      </c>
      <c r="Z549" s="29" t="str">
        <f>IF(Y549=1,COUNTIF($Y$2:Y549,1),"")</f>
        <v/>
      </c>
      <c r="AA549" s="29">
        <f>IF(AND(LEFT($B549,7)="SBA 26/",$C549&lt;&gt;"",$F549&lt;&gt;""),COUNTIFS($C$2:$C549,$C549,$B$2:$B549,"SBA 26/*",$F$2:$F549,"&lt;&gt;"),"")</f>
        <v>1</v>
      </c>
      <c r="AB549" s="29">
        <f>IF(AA549=1,COUNTIF($AA$2:AA549,1),"")</f>
        <v>286</v>
      </c>
    </row>
    <row r="550" spans="1:28" ht="94.5" customHeight="1" x14ac:dyDescent="0.2">
      <c r="A550" s="43" t="s">
        <v>2597</v>
      </c>
      <c r="B550" s="43" t="s">
        <v>2598</v>
      </c>
      <c r="C550" s="44" t="s">
        <v>1756</v>
      </c>
      <c r="D550" s="44" t="s">
        <v>1143</v>
      </c>
      <c r="E550" s="45" t="s">
        <v>2599</v>
      </c>
      <c r="F550" s="45" t="s">
        <v>2600</v>
      </c>
      <c r="G550" s="46" t="s">
        <v>38</v>
      </c>
      <c r="H550" s="48">
        <v>46191</v>
      </c>
      <c r="I550" s="48">
        <v>46217</v>
      </c>
      <c r="J550" s="44" t="s">
        <v>91</v>
      </c>
      <c r="K550" s="44" t="s">
        <v>99</v>
      </c>
      <c r="L550" s="50" t="s">
        <v>101</v>
      </c>
      <c r="M550" s="50"/>
      <c r="N550" s="50"/>
      <c r="O550" s="49"/>
      <c r="P550" s="50" t="str">
        <f t="shared" si="32"/>
        <v>DÜZELTME</v>
      </c>
      <c r="R550" s="51" t="str">
        <f t="shared" si="33"/>
        <v/>
      </c>
      <c r="T550" s="41"/>
      <c r="U550" s="29">
        <f>IF($C550&lt;&gt;"",COUNTIF($C$2:C550,C550),"")</f>
        <v>2</v>
      </c>
      <c r="V550" s="29" t="str">
        <f t="shared" si="34"/>
        <v>Prof. Dr. Hakan UZUN§2</v>
      </c>
      <c r="W550" s="29" t="str">
        <f>IF(U550=1,COUNTIF($U$2:U550,1),"")</f>
        <v/>
      </c>
      <c r="X550" s="29" t="str">
        <f t="shared" si="35"/>
        <v/>
      </c>
      <c r="Y550" s="29">
        <f>IF(AND(LEFT($B550,7)="SBA 26/",$D550&lt;&gt;"",$F550&lt;&gt;""),COUNTIFS($D$2:$D550,$D550,$B$2:$B550,"SBA 26/*",$F$2:$F550,"&lt;&gt;"),"")</f>
        <v>5</v>
      </c>
      <c r="Z550" s="29" t="str">
        <f>IF(Y550=1,COUNTIF($Y$2:Y550,1),"")</f>
        <v/>
      </c>
      <c r="AA550" s="29">
        <f>IF(AND(LEFT($B550,7)="SBA 26/",$C550&lt;&gt;"",$F550&lt;&gt;""),COUNTIFS($C$2:$C550,$C550,$B$2:$B550,"SBA 26/*",$F$2:$F550,"&lt;&gt;"),"")</f>
        <v>2</v>
      </c>
      <c r="AB550" s="29" t="str">
        <f>IF(AA550=1,COUNTIF($AA$2:AA550,1),"")</f>
        <v/>
      </c>
    </row>
    <row r="551" spans="1:28" ht="63" customHeight="1" x14ac:dyDescent="0.2">
      <c r="A551" s="43" t="s">
        <v>2601</v>
      </c>
      <c r="B551" s="43" t="s">
        <v>2602</v>
      </c>
      <c r="C551" s="44" t="s">
        <v>2603</v>
      </c>
      <c r="D551" s="44" t="s">
        <v>347</v>
      </c>
      <c r="E551" s="45" t="s">
        <v>2604</v>
      </c>
      <c r="F551" s="45" t="s">
        <v>2605</v>
      </c>
      <c r="G551" s="46" t="s">
        <v>39</v>
      </c>
      <c r="H551" s="48">
        <v>46284</v>
      </c>
      <c r="I551" s="48">
        <v>46217</v>
      </c>
      <c r="J551" s="44" t="s">
        <v>91</v>
      </c>
      <c r="K551" s="44" t="s">
        <v>92</v>
      </c>
      <c r="L551" s="50" t="s">
        <v>101</v>
      </c>
      <c r="M551" s="50"/>
      <c r="N551" s="50"/>
      <c r="O551" s="49"/>
      <c r="P551" s="50" t="str">
        <f t="shared" si="32"/>
        <v>DÜZELTME</v>
      </c>
      <c r="R551" s="51" t="str">
        <f t="shared" si="33"/>
        <v/>
      </c>
      <c r="T551" s="41"/>
      <c r="U551" s="29">
        <f>IF($C551&lt;&gt;"",COUNTIF($C$2:C551,C551),"")</f>
        <v>1</v>
      </c>
      <c r="V551" s="29" t="str">
        <f t="shared" si="34"/>
        <v>Prof. Dr. Levent ÖZÇAKAR§1</v>
      </c>
      <c r="W551" s="29">
        <f>IF(U551=1,COUNTIF($U$2:U551,1),"")</f>
        <v>287</v>
      </c>
      <c r="X551" s="29">
        <f t="shared" si="35"/>
        <v>261</v>
      </c>
      <c r="Y551" s="29">
        <f>IF(AND(LEFT($B551,7)="SBA 26/",$D551&lt;&gt;"",$F551&lt;&gt;""),COUNTIFS($D$2:$D551,$D551,$B$2:$B551,"SBA 26/*",$F$2:$F551,"&lt;&gt;"),"")</f>
        <v>6</v>
      </c>
      <c r="Z551" s="29" t="str">
        <f>IF(Y551=1,COUNTIF($Y$2:Y551,1),"")</f>
        <v/>
      </c>
      <c r="AA551" s="29">
        <f>IF(AND(LEFT($B551,7)="SBA 26/",$C551&lt;&gt;"",$F551&lt;&gt;""),COUNTIFS($C$2:$C551,$C551,$B$2:$B551,"SBA 26/*",$F$2:$F551,"&lt;&gt;"),"")</f>
        <v>1</v>
      </c>
      <c r="AB551" s="29">
        <f>IF(AA551=1,COUNTIF($AA$2:AA551,1),"")</f>
        <v>287</v>
      </c>
    </row>
    <row r="552" spans="1:28" ht="63" customHeight="1" x14ac:dyDescent="0.2">
      <c r="A552" s="43" t="s">
        <v>2606</v>
      </c>
      <c r="B552" s="43" t="s">
        <v>2607</v>
      </c>
      <c r="C552" s="44" t="s">
        <v>1692</v>
      </c>
      <c r="D552" s="44" t="s">
        <v>1493</v>
      </c>
      <c r="E552" s="45" t="s">
        <v>2608</v>
      </c>
      <c r="F552" s="45" t="s">
        <v>2609</v>
      </c>
      <c r="G552" s="46" t="s">
        <v>38</v>
      </c>
      <c r="H552" s="48">
        <v>46284</v>
      </c>
      <c r="I552" s="48">
        <v>46217</v>
      </c>
      <c r="J552" s="44" t="s">
        <v>116</v>
      </c>
      <c r="K552" s="44" t="s">
        <v>92</v>
      </c>
      <c r="L552" s="50" t="s">
        <v>101</v>
      </c>
      <c r="M552" s="50"/>
      <c r="N552" s="50"/>
      <c r="O552" s="49"/>
      <c r="P552" s="50" t="str">
        <f t="shared" si="32"/>
        <v>DÜZELTME</v>
      </c>
      <c r="R552" s="51" t="str">
        <f t="shared" si="33"/>
        <v/>
      </c>
      <c r="T552" s="41"/>
      <c r="U552" s="29">
        <f>IF($C552&lt;&gt;"",COUNTIF($C$2:C552,C552),"")</f>
        <v>3</v>
      </c>
      <c r="V552" s="29" t="str">
        <f t="shared" si="34"/>
        <v>Dr. Öğr. Üyesi Ece ÖZOĞUL§3</v>
      </c>
      <c r="W552" s="29" t="str">
        <f>IF(U552=1,COUNTIF($U$2:U552,1),"")</f>
        <v/>
      </c>
      <c r="X552" s="29" t="str">
        <f t="shared" si="35"/>
        <v/>
      </c>
      <c r="Y552" s="29">
        <f>IF(AND(LEFT($B552,7)="SBA 26/",$D552&lt;&gt;"",$F552&lt;&gt;""),COUNTIFS($D$2:$D552,$D552,$B$2:$B552,"SBA 26/*",$F$2:$F552,"&lt;&gt;"),"")</f>
        <v>5</v>
      </c>
      <c r="Z552" s="29" t="str">
        <f>IF(Y552=1,COUNTIF($Y$2:Y552,1),"")</f>
        <v/>
      </c>
      <c r="AA552" s="29">
        <f>IF(AND(LEFT($B552,7)="SBA 26/",$C552&lt;&gt;"",$F552&lt;&gt;""),COUNTIFS($C$2:$C552,$C552,$B$2:$B552,"SBA 26/*",$F$2:$F552,"&lt;&gt;"),"")</f>
        <v>3</v>
      </c>
      <c r="AB552" s="29" t="str">
        <f>IF(AA552=1,COUNTIF($AA$2:AA552,1),"")</f>
        <v/>
      </c>
    </row>
    <row r="553" spans="1:28" ht="47.25" customHeight="1" x14ac:dyDescent="0.2">
      <c r="A553" s="43" t="s">
        <v>2610</v>
      </c>
      <c r="B553" s="43" t="s">
        <v>2611</v>
      </c>
      <c r="C553" s="44" t="s">
        <v>519</v>
      </c>
      <c r="D553" s="44" t="s">
        <v>364</v>
      </c>
      <c r="E553" s="45" t="s">
        <v>2612</v>
      </c>
      <c r="F553" s="45" t="s">
        <v>2613</v>
      </c>
      <c r="G553" s="46" t="s">
        <v>38</v>
      </c>
      <c r="H553" s="48">
        <v>46284</v>
      </c>
      <c r="I553" s="48">
        <v>46217</v>
      </c>
      <c r="J553" s="44" t="s">
        <v>92</v>
      </c>
      <c r="K553" s="44" t="s">
        <v>100</v>
      </c>
      <c r="L553" s="50" t="s">
        <v>77</v>
      </c>
      <c r="M553" s="50"/>
      <c r="N553" s="50"/>
      <c r="O553" s="49"/>
      <c r="P553" s="50" t="str">
        <f t="shared" si="32"/>
        <v>ONAY</v>
      </c>
      <c r="R553" s="51" t="str">
        <f t="shared" si="33"/>
        <v/>
      </c>
      <c r="T553" s="41"/>
      <c r="U553" s="29">
        <f>IF($C553&lt;&gt;"",COUNTIF($C$2:C553,C553),"")</f>
        <v>6</v>
      </c>
      <c r="V553" s="29" t="str">
        <f t="shared" si="34"/>
        <v>Prof. Dr. Neşe DERİCİOĞLU§6</v>
      </c>
      <c r="W553" s="29" t="str">
        <f>IF(U553=1,COUNTIF($U$2:U553,1),"")</f>
        <v/>
      </c>
      <c r="X553" s="29" t="str">
        <f t="shared" si="35"/>
        <v/>
      </c>
      <c r="Y553" s="29">
        <f>IF(AND(LEFT($B553,7)="SBA 26/",$D553&lt;&gt;"",$F553&lt;&gt;""),COUNTIFS($D$2:$D553,$D553,$B$2:$B553,"SBA 26/*",$F$2:$F553,"&lt;&gt;"),"")</f>
        <v>19</v>
      </c>
      <c r="Z553" s="29" t="str">
        <f>IF(Y553=1,COUNTIF($Y$2:Y553,1),"")</f>
        <v/>
      </c>
      <c r="AA553" s="29">
        <f>IF(AND(LEFT($B553,7)="SBA 26/",$C553&lt;&gt;"",$F553&lt;&gt;""),COUNTIFS($C$2:$C553,$C553,$B$2:$B553,"SBA 26/*",$F$2:$F553,"&lt;&gt;"),"")</f>
        <v>6</v>
      </c>
      <c r="AB553" s="29" t="str">
        <f>IF(AA553=1,COUNTIF($AA$2:AA553,1),"")</f>
        <v/>
      </c>
    </row>
    <row r="554" spans="1:28" ht="63" customHeight="1" x14ac:dyDescent="0.2">
      <c r="A554" s="43" t="s">
        <v>2614</v>
      </c>
      <c r="B554" s="43" t="s">
        <v>2615</v>
      </c>
      <c r="C554" s="44" t="s">
        <v>1692</v>
      </c>
      <c r="D554" s="44" t="s">
        <v>1493</v>
      </c>
      <c r="E554" s="45" t="s">
        <v>2616</v>
      </c>
      <c r="F554" s="45" t="s">
        <v>2617</v>
      </c>
      <c r="G554" s="46" t="s">
        <v>38</v>
      </c>
      <c r="H554" s="48">
        <v>46284</v>
      </c>
      <c r="I554" s="48">
        <v>46217</v>
      </c>
      <c r="J554" s="44" t="s">
        <v>84</v>
      </c>
      <c r="K554" s="44" t="s">
        <v>76</v>
      </c>
      <c r="L554" s="50" t="s">
        <v>77</v>
      </c>
      <c r="M554" s="50"/>
      <c r="N554" s="50"/>
      <c r="O554" s="49"/>
      <c r="P554" s="50" t="str">
        <f t="shared" si="32"/>
        <v>ONAY</v>
      </c>
      <c r="R554" s="51" t="str">
        <f t="shared" si="33"/>
        <v/>
      </c>
      <c r="T554" s="41"/>
      <c r="U554" s="29">
        <f>IF($C554&lt;&gt;"",COUNTIF($C$2:C554,C554),"")</f>
        <v>4</v>
      </c>
      <c r="V554" s="29" t="str">
        <f t="shared" si="34"/>
        <v>Dr. Öğr. Üyesi Ece ÖZOĞUL§4</v>
      </c>
      <c r="W554" s="29" t="str">
        <f>IF(U554=1,COUNTIF($U$2:U554,1),"")</f>
        <v/>
      </c>
      <c r="X554" s="29" t="str">
        <f t="shared" si="35"/>
        <v/>
      </c>
      <c r="Y554" s="29">
        <f>IF(AND(LEFT($B554,7)="SBA 26/",$D554&lt;&gt;"",$F554&lt;&gt;""),COUNTIFS($D$2:$D554,$D554,$B$2:$B554,"SBA 26/*",$F$2:$F554,"&lt;&gt;"),"")</f>
        <v>6</v>
      </c>
      <c r="Z554" s="29" t="str">
        <f>IF(Y554=1,COUNTIF($Y$2:Y554,1),"")</f>
        <v/>
      </c>
      <c r="AA554" s="29">
        <f>IF(AND(LEFT($B554,7)="SBA 26/",$C554&lt;&gt;"",$F554&lt;&gt;""),COUNTIFS($C$2:$C554,$C554,$B$2:$B554,"SBA 26/*",$F$2:$F554,"&lt;&gt;"),"")</f>
        <v>4</v>
      </c>
      <c r="AB554" s="29" t="str">
        <f>IF(AA554=1,COUNTIF($AA$2:AA554,1),"")</f>
        <v/>
      </c>
    </row>
    <row r="555" spans="1:28" ht="95.25" customHeight="1" x14ac:dyDescent="0.2">
      <c r="A555" s="43" t="s">
        <v>2618</v>
      </c>
      <c r="B555" s="43" t="s">
        <v>2619</v>
      </c>
      <c r="C555" s="44" t="s">
        <v>112</v>
      </c>
      <c r="D555" s="44" t="s">
        <v>113</v>
      </c>
      <c r="E555" s="45" t="s">
        <v>2620</v>
      </c>
      <c r="F555" s="45" t="s">
        <v>2621</v>
      </c>
      <c r="G555" s="46" t="s">
        <v>38</v>
      </c>
      <c r="H555" s="48">
        <v>46284</v>
      </c>
      <c r="I555" s="48">
        <v>46217</v>
      </c>
      <c r="J555" s="44" t="s">
        <v>91</v>
      </c>
      <c r="K555" s="44" t="s">
        <v>116</v>
      </c>
      <c r="L555" s="50" t="s">
        <v>77</v>
      </c>
      <c r="M555" s="50"/>
      <c r="N555" s="50"/>
      <c r="O555" s="49"/>
      <c r="P555" s="50" t="str">
        <f t="shared" si="32"/>
        <v>ONAY</v>
      </c>
      <c r="R555" s="51" t="str">
        <f t="shared" si="33"/>
        <v/>
      </c>
      <c r="T555" s="41"/>
      <c r="U555" s="29">
        <f>IF($C555&lt;&gt;"",COUNTIF($C$2:C555,C555),"")</f>
        <v>16</v>
      </c>
      <c r="V555" s="29" t="str">
        <f t="shared" si="34"/>
        <v>Prof. Dr. Meltem Gülhan HALİL§16</v>
      </c>
      <c r="W555" s="29" t="str">
        <f>IF(U555=1,COUNTIF($U$2:U555,1),"")</f>
        <v/>
      </c>
      <c r="X555" s="29" t="str">
        <f t="shared" si="35"/>
        <v/>
      </c>
      <c r="Y555" s="29">
        <f>IF(AND(LEFT($B555,7)="SBA 26/",$D555&lt;&gt;"",$F555&lt;&gt;""),COUNTIFS($D$2:$D555,$D555,$B$2:$B555,"SBA 26/*",$F$2:$F555,"&lt;&gt;"),"")</f>
        <v>95</v>
      </c>
      <c r="Z555" s="29" t="str">
        <f>IF(Y555=1,COUNTIF($Y$2:Y555,1),"")</f>
        <v/>
      </c>
      <c r="AA555" s="29">
        <f>IF(AND(LEFT($B555,7)="SBA 26/",$C555&lt;&gt;"",$F555&lt;&gt;""),COUNTIFS($C$2:$C555,$C555,$B$2:$B555,"SBA 26/*",$F$2:$F555,"&lt;&gt;"),"")</f>
        <v>16</v>
      </c>
      <c r="AB555" s="29" t="str">
        <f>IF(AA555=1,COUNTIF($AA$2:AA555,1),"")</f>
        <v/>
      </c>
    </row>
    <row r="556" spans="1:28" ht="94.5" customHeight="1" x14ac:dyDescent="0.2">
      <c r="A556" s="43" t="s">
        <v>2622</v>
      </c>
      <c r="B556" s="43" t="s">
        <v>2623</v>
      </c>
      <c r="C556" s="44" t="s">
        <v>1343</v>
      </c>
      <c r="D556" s="44" t="s">
        <v>1344</v>
      </c>
      <c r="E556" s="45" t="s">
        <v>2624</v>
      </c>
      <c r="F556" s="45" t="s">
        <v>2625</v>
      </c>
      <c r="G556" s="46" t="s">
        <v>38</v>
      </c>
      <c r="H556" s="48">
        <v>46284</v>
      </c>
      <c r="I556" s="48">
        <v>46217</v>
      </c>
      <c r="J556" s="44" t="s">
        <v>116</v>
      </c>
      <c r="K556" s="44" t="s">
        <v>99</v>
      </c>
      <c r="L556" s="50" t="s">
        <v>77</v>
      </c>
      <c r="M556" s="50"/>
      <c r="N556" s="50"/>
      <c r="O556" s="49"/>
      <c r="P556" s="50" t="str">
        <f t="shared" si="32"/>
        <v>ONAY</v>
      </c>
      <c r="R556" s="51" t="str">
        <f t="shared" si="33"/>
        <v/>
      </c>
      <c r="T556" s="41"/>
      <c r="U556" s="29">
        <f>IF($C556&lt;&gt;"",COUNTIF($C$2:C556,C556),"")</f>
        <v>2</v>
      </c>
      <c r="V556" s="29" t="str">
        <f t="shared" si="34"/>
        <v>Prof. Dr. Ali Rıza TÜMER§2</v>
      </c>
      <c r="W556" s="29" t="str">
        <f>IF(U556=1,COUNTIF($U$2:U556,1),"")</f>
        <v/>
      </c>
      <c r="X556" s="29" t="str">
        <f t="shared" si="35"/>
        <v/>
      </c>
      <c r="Y556" s="29">
        <f>IF(AND(LEFT($B556,7)="SBA 26/",$D556&lt;&gt;"",$F556&lt;&gt;""),COUNTIFS($D$2:$D556,$D556,$B$2:$B556,"SBA 26/*",$F$2:$F556,"&lt;&gt;"),"")</f>
        <v>2</v>
      </c>
      <c r="Z556" s="29" t="str">
        <f>IF(Y556=1,COUNTIF($Y$2:Y556,1),"")</f>
        <v/>
      </c>
      <c r="AA556" s="29">
        <f>IF(AND(LEFT($B556,7)="SBA 26/",$C556&lt;&gt;"",$F556&lt;&gt;""),COUNTIFS($C$2:$C556,$C556,$B$2:$B556,"SBA 26/*",$F$2:$F556,"&lt;&gt;"),"")</f>
        <v>2</v>
      </c>
      <c r="AB556" s="29" t="str">
        <f>IF(AA556=1,COUNTIF($AA$2:AA556,1),"")</f>
        <v/>
      </c>
    </row>
    <row r="557" spans="1:28" ht="63" customHeight="1" x14ac:dyDescent="0.2">
      <c r="A557" s="43" t="s">
        <v>2626</v>
      </c>
      <c r="B557" s="43" t="s">
        <v>2627</v>
      </c>
      <c r="C557" s="44" t="s">
        <v>2256</v>
      </c>
      <c r="D557" s="44" t="s">
        <v>181</v>
      </c>
      <c r="E557" s="45" t="s">
        <v>2628</v>
      </c>
      <c r="F557" s="45" t="s">
        <v>2629</v>
      </c>
      <c r="G557" s="46" t="s">
        <v>39</v>
      </c>
      <c r="H557" s="48">
        <v>46284</v>
      </c>
      <c r="I557" s="48">
        <v>46217</v>
      </c>
      <c r="J557" s="44" t="s">
        <v>109</v>
      </c>
      <c r="K557" s="44" t="s">
        <v>100</v>
      </c>
      <c r="L557" s="50" t="s">
        <v>77</v>
      </c>
      <c r="M557" s="50"/>
      <c r="N557" s="50"/>
      <c r="O557" s="49"/>
      <c r="P557" s="50" t="str">
        <f t="shared" si="32"/>
        <v>ONAY</v>
      </c>
      <c r="R557" s="51" t="str">
        <f t="shared" si="33"/>
        <v/>
      </c>
      <c r="T557" s="41"/>
      <c r="U557" s="29">
        <f>IF($C557&lt;&gt;"",COUNTIF($C$2:C557,C557),"")</f>
        <v>2</v>
      </c>
      <c r="V557" s="29" t="str">
        <f t="shared" si="34"/>
        <v>Prof. Dr. Filiz ÜZÜMCÜGİL§2</v>
      </c>
      <c r="W557" s="29" t="str">
        <f>IF(U557=1,COUNTIF($U$2:U557,1),"")</f>
        <v/>
      </c>
      <c r="X557" s="29" t="str">
        <f t="shared" si="35"/>
        <v/>
      </c>
      <c r="Y557" s="29">
        <f>IF(AND(LEFT($B557,7)="SBA 26/",$D557&lt;&gt;"",$F557&lt;&gt;""),COUNTIFS($D$2:$D557,$D557,$B$2:$B557,"SBA 26/*",$F$2:$F557,"&lt;&gt;"),"")</f>
        <v>9</v>
      </c>
      <c r="Z557" s="29" t="str">
        <f>IF(Y557=1,COUNTIF($Y$2:Y557,1),"")</f>
        <v/>
      </c>
      <c r="AA557" s="29">
        <f>IF(AND(LEFT($B557,7)="SBA 26/",$C557&lt;&gt;"",$F557&lt;&gt;""),COUNTIFS($C$2:$C557,$C557,$B$2:$B557,"SBA 26/*",$F$2:$F557,"&lt;&gt;"),"")</f>
        <v>2</v>
      </c>
      <c r="AB557" s="29" t="str">
        <f>IF(AA557=1,COUNTIF($AA$2:AA557,1),"")</f>
        <v/>
      </c>
    </row>
    <row r="558" spans="1:28" ht="78.75" customHeight="1" x14ac:dyDescent="0.2">
      <c r="A558" s="43" t="s">
        <v>2630</v>
      </c>
      <c r="B558" s="43" t="s">
        <v>2631</v>
      </c>
      <c r="C558" s="44" t="s">
        <v>2632</v>
      </c>
      <c r="D558" s="44" t="s">
        <v>88</v>
      </c>
      <c r="E558" s="45" t="s">
        <v>2633</v>
      </c>
      <c r="F558" s="45" t="s">
        <v>2634</v>
      </c>
      <c r="G558" s="46" t="s">
        <v>38</v>
      </c>
      <c r="H558" s="48">
        <v>46284</v>
      </c>
      <c r="I558" s="48">
        <v>46217</v>
      </c>
      <c r="J558" s="44" t="s">
        <v>92</v>
      </c>
      <c r="K558" s="44" t="s">
        <v>76</v>
      </c>
      <c r="L558" s="50" t="s">
        <v>101</v>
      </c>
      <c r="M558" s="50" t="s">
        <v>77</v>
      </c>
      <c r="N558" s="50"/>
      <c r="O558" s="49"/>
      <c r="P558" s="50" t="str">
        <f t="shared" si="32"/>
        <v>ONAY</v>
      </c>
      <c r="Q558" s="28" t="s">
        <v>92</v>
      </c>
      <c r="R558" s="51" t="str">
        <f t="shared" si="33"/>
        <v/>
      </c>
      <c r="T558" s="41"/>
      <c r="U558" s="29">
        <f>IF($C558&lt;&gt;"",COUNTIF($C$2:C558,C558),"")</f>
        <v>1</v>
      </c>
      <c r="V558" s="29" t="str">
        <f t="shared" si="34"/>
        <v>Doç. Dr. Elif Günay BULUT§1</v>
      </c>
      <c r="W558" s="29">
        <f>IF(U558=1,COUNTIF($U$2:U558,1),"")</f>
        <v>288</v>
      </c>
      <c r="X558" s="29">
        <f t="shared" si="35"/>
        <v>46</v>
      </c>
      <c r="Y558" s="29">
        <f>IF(AND(LEFT($B558,7)="SBA 26/",$D558&lt;&gt;"",$F558&lt;&gt;""),COUNTIFS($D$2:$D558,$D558,$B$2:$B558,"SBA 26/*",$F$2:$F558,"&lt;&gt;"),"")</f>
        <v>18</v>
      </c>
      <c r="Z558" s="29" t="str">
        <f>IF(Y558=1,COUNTIF($Y$2:Y558,1),"")</f>
        <v/>
      </c>
      <c r="AA558" s="29">
        <f>IF(AND(LEFT($B558,7)="SBA 26/",$C558&lt;&gt;"",$F558&lt;&gt;""),COUNTIFS($C$2:$C558,$C558,$B$2:$B558,"SBA 26/*",$F$2:$F558,"&lt;&gt;"),"")</f>
        <v>1</v>
      </c>
      <c r="AB558" s="29">
        <f>IF(AA558=1,COUNTIF($AA$2:AA558,1),"")</f>
        <v>288</v>
      </c>
    </row>
    <row r="559" spans="1:28" ht="110.25" customHeight="1" x14ac:dyDescent="0.2">
      <c r="A559" s="43" t="s">
        <v>2635</v>
      </c>
      <c r="B559" s="43" t="s">
        <v>2636</v>
      </c>
      <c r="C559" s="44" t="s">
        <v>1658</v>
      </c>
      <c r="D559" s="44" t="s">
        <v>364</v>
      </c>
      <c r="E559" s="45" t="s">
        <v>2637</v>
      </c>
      <c r="F559" s="45" t="s">
        <v>2638</v>
      </c>
      <c r="G559" s="46" t="s">
        <v>39</v>
      </c>
      <c r="H559" s="48">
        <v>46284</v>
      </c>
      <c r="I559" s="48">
        <v>46217</v>
      </c>
      <c r="J559" s="44" t="s">
        <v>75</v>
      </c>
      <c r="K559" s="44" t="s">
        <v>123</v>
      </c>
      <c r="L559" s="50" t="s">
        <v>77</v>
      </c>
      <c r="M559" s="50"/>
      <c r="N559" s="50"/>
      <c r="O559" s="49"/>
      <c r="P559" s="50" t="str">
        <f t="shared" si="32"/>
        <v>ONAY</v>
      </c>
      <c r="R559" s="51" t="str">
        <f t="shared" si="33"/>
        <v/>
      </c>
      <c r="T559" s="41"/>
      <c r="U559" s="29">
        <f>IF($C559&lt;&gt;"",COUNTIF($C$2:C559,C559),"")</f>
        <v>2</v>
      </c>
      <c r="V559" s="29" t="str">
        <f t="shared" si="34"/>
        <v>Prof. Dr. Meryem Aslı TUNCER§2</v>
      </c>
      <c r="W559" s="29" t="str">
        <f>IF(U559=1,COUNTIF($U$2:U559,1),"")</f>
        <v/>
      </c>
      <c r="X559" s="29" t="str">
        <f t="shared" si="35"/>
        <v/>
      </c>
      <c r="Y559" s="29">
        <f>IF(AND(LEFT($B559,7)="SBA 26/",$D559&lt;&gt;"",$F559&lt;&gt;""),COUNTIFS($D$2:$D559,$D559,$B$2:$B559,"SBA 26/*",$F$2:$F559,"&lt;&gt;"),"")</f>
        <v>20</v>
      </c>
      <c r="Z559" s="29" t="str">
        <f>IF(Y559=1,COUNTIF($Y$2:Y559,1),"")</f>
        <v/>
      </c>
      <c r="AA559" s="29">
        <f>IF(AND(LEFT($B559,7)="SBA 26/",$C559&lt;&gt;"",$F559&lt;&gt;""),COUNTIFS($C$2:$C559,$C559,$B$2:$B559,"SBA 26/*",$F$2:$F559,"&lt;&gt;"),"")</f>
        <v>2</v>
      </c>
      <c r="AB559" s="29" t="str">
        <f>IF(AA559=1,COUNTIF($AA$2:AA559,1),"")</f>
        <v/>
      </c>
    </row>
    <row r="560" spans="1:28" ht="63" customHeight="1" x14ac:dyDescent="0.2">
      <c r="A560" s="43" t="s">
        <v>2639</v>
      </c>
      <c r="B560" s="43" t="s">
        <v>2640</v>
      </c>
      <c r="C560" s="44" t="s">
        <v>1247</v>
      </c>
      <c r="D560" s="44" t="s">
        <v>222</v>
      </c>
      <c r="E560" s="45" t="s">
        <v>2641</v>
      </c>
      <c r="F560" s="45" t="s">
        <v>2642</v>
      </c>
      <c r="G560" s="46" t="s">
        <v>38</v>
      </c>
      <c r="H560" s="48">
        <v>46284</v>
      </c>
      <c r="I560" s="48">
        <v>46217</v>
      </c>
      <c r="J560" s="44" t="s">
        <v>75</v>
      </c>
      <c r="K560" s="44" t="s">
        <v>123</v>
      </c>
      <c r="L560" s="50" t="s">
        <v>101</v>
      </c>
      <c r="M560" s="50"/>
      <c r="N560" s="50"/>
      <c r="O560" s="49"/>
      <c r="P560" s="50" t="str">
        <f t="shared" si="32"/>
        <v>DÜZELTME</v>
      </c>
      <c r="R560" s="51" t="str">
        <f t="shared" si="33"/>
        <v/>
      </c>
      <c r="T560" s="41"/>
      <c r="U560" s="29">
        <f>IF($C560&lt;&gt;"",COUNTIF($C$2:C560,C560),"")</f>
        <v>5</v>
      </c>
      <c r="V560" s="29" t="str">
        <f t="shared" si="34"/>
        <v>Prof. Dr. Şule ÜNAL CANGÜL§5</v>
      </c>
      <c r="W560" s="29" t="str">
        <f>IF(U560=1,COUNTIF($U$2:U560,1),"")</f>
        <v/>
      </c>
      <c r="X560" s="29" t="str">
        <f t="shared" si="35"/>
        <v/>
      </c>
      <c r="Y560" s="29">
        <f>IF(AND(LEFT($B560,7)="SBA 26/",$D560&lt;&gt;"",$F560&lt;&gt;""),COUNTIFS($D$2:$D560,$D560,$B$2:$B560,"SBA 26/*",$F$2:$F560,"&lt;&gt;"),"")</f>
        <v>84</v>
      </c>
      <c r="Z560" s="29" t="str">
        <f>IF(Y560=1,COUNTIF($Y$2:Y560,1),"")</f>
        <v/>
      </c>
      <c r="AA560" s="29">
        <f>IF(AND(LEFT($B560,7)="SBA 26/",$C560&lt;&gt;"",$F560&lt;&gt;""),COUNTIFS($C$2:$C560,$C560,$B$2:$B560,"SBA 26/*",$F$2:$F560,"&lt;&gt;"),"")</f>
        <v>5</v>
      </c>
      <c r="AB560" s="29" t="str">
        <f>IF(AA560=1,COUNTIF($AA$2:AA560,1),"")</f>
        <v/>
      </c>
    </row>
    <row r="561" spans="1:28" ht="63" customHeight="1" x14ac:dyDescent="0.2">
      <c r="A561" s="43" t="s">
        <v>2643</v>
      </c>
      <c r="B561" s="43" t="s">
        <v>2644</v>
      </c>
      <c r="C561" s="44" t="s">
        <v>952</v>
      </c>
      <c r="D561" s="44" t="s">
        <v>404</v>
      </c>
      <c r="E561" s="45" t="s">
        <v>2645</v>
      </c>
      <c r="F561" s="45" t="s">
        <v>2646</v>
      </c>
      <c r="G561" s="46" t="s">
        <v>38</v>
      </c>
      <c r="H561" s="48">
        <v>46284</v>
      </c>
      <c r="I561" s="48">
        <v>46217</v>
      </c>
      <c r="J561" s="44" t="s">
        <v>109</v>
      </c>
      <c r="K561" s="44" t="s">
        <v>84</v>
      </c>
      <c r="L561" s="50" t="s">
        <v>101</v>
      </c>
      <c r="M561" s="50" t="s">
        <v>77</v>
      </c>
      <c r="N561" s="50"/>
      <c r="O561" s="49"/>
      <c r="P561" s="50" t="str">
        <f t="shared" si="32"/>
        <v>ONAY</v>
      </c>
      <c r="Q561" s="28" t="s">
        <v>109</v>
      </c>
      <c r="R561" s="51" t="str">
        <f t="shared" si="33"/>
        <v/>
      </c>
      <c r="T561" s="41"/>
      <c r="U561" s="29">
        <f>IF($C561&lt;&gt;"",COUNTIF($C$2:C561,C561),"")</f>
        <v>2</v>
      </c>
      <c r="V561" s="29" t="str">
        <f t="shared" si="34"/>
        <v>Prof. Dr. Serdar TEKGÜL§2</v>
      </c>
      <c r="W561" s="29" t="str">
        <f>IF(U561=1,COUNTIF($U$2:U561,1),"")</f>
        <v/>
      </c>
      <c r="X561" s="29" t="str">
        <f t="shared" si="35"/>
        <v/>
      </c>
      <c r="Y561" s="29">
        <f>IF(AND(LEFT($B561,7)="SBA 26/",$D561&lt;&gt;"",$F561&lt;&gt;""),COUNTIFS($D$2:$D561,$D561,$B$2:$B561,"SBA 26/*",$F$2:$F561,"&lt;&gt;"),"")</f>
        <v>7</v>
      </c>
      <c r="Z561" s="29" t="str">
        <f>IF(Y561=1,COUNTIF($Y$2:Y561,1),"")</f>
        <v/>
      </c>
      <c r="AA561" s="29">
        <f>IF(AND(LEFT($B561,7)="SBA 26/",$C561&lt;&gt;"",$F561&lt;&gt;""),COUNTIFS($C$2:$C561,$C561,$B$2:$B561,"SBA 26/*",$F$2:$F561,"&lt;&gt;"),"")</f>
        <v>2</v>
      </c>
      <c r="AB561" s="29" t="str">
        <f>IF(AA561=1,COUNTIF($AA$2:AA561,1),"")</f>
        <v/>
      </c>
    </row>
    <row r="562" spans="1:28" ht="63" customHeight="1" x14ac:dyDescent="0.2">
      <c r="A562" s="43" t="s">
        <v>2647</v>
      </c>
      <c r="B562" s="43" t="s">
        <v>2648</v>
      </c>
      <c r="C562" s="44" t="s">
        <v>76</v>
      </c>
      <c r="D562" s="44" t="s">
        <v>222</v>
      </c>
      <c r="E562" s="45" t="s">
        <v>2649</v>
      </c>
      <c r="F562" s="45" t="s">
        <v>2650</v>
      </c>
      <c r="G562" s="46" t="s">
        <v>38</v>
      </c>
      <c r="H562" s="48">
        <v>46284</v>
      </c>
      <c r="I562" s="48">
        <v>46217</v>
      </c>
      <c r="J562" s="44" t="s">
        <v>100</v>
      </c>
      <c r="K562" s="44" t="s">
        <v>75</v>
      </c>
      <c r="L562" s="50" t="s">
        <v>101</v>
      </c>
      <c r="M562" s="50" t="s">
        <v>77</v>
      </c>
      <c r="N562" s="50"/>
      <c r="O562" s="49"/>
      <c r="P562" s="50" t="str">
        <f t="shared" si="32"/>
        <v>ONAY</v>
      </c>
      <c r="Q562" s="28" t="s">
        <v>75</v>
      </c>
      <c r="R562" s="51" t="str">
        <f t="shared" si="33"/>
        <v/>
      </c>
      <c r="T562" s="41"/>
      <c r="U562" s="29">
        <f>IF($C562&lt;&gt;"",COUNTIF($C$2:C562,C562),"")</f>
        <v>4</v>
      </c>
      <c r="V562" s="29" t="str">
        <f t="shared" si="34"/>
        <v>Doç. Dr. Kübra AYKAÇ§4</v>
      </c>
      <c r="W562" s="29" t="str">
        <f>IF(U562=1,COUNTIF($U$2:U562,1),"")</f>
        <v/>
      </c>
      <c r="X562" s="29" t="str">
        <f t="shared" si="35"/>
        <v/>
      </c>
      <c r="Y562" s="29">
        <f>IF(AND(LEFT($B562,7)="SBA 26/",$D562&lt;&gt;"",$F562&lt;&gt;""),COUNTIFS($D$2:$D562,$D562,$B$2:$B562,"SBA 26/*",$F$2:$F562,"&lt;&gt;"),"")</f>
        <v>85</v>
      </c>
      <c r="Z562" s="29" t="str">
        <f>IF(Y562=1,COUNTIF($Y$2:Y562,1),"")</f>
        <v/>
      </c>
      <c r="AA562" s="29">
        <f>IF(AND(LEFT($B562,7)="SBA 26/",$C562&lt;&gt;"",$F562&lt;&gt;""),COUNTIFS($C$2:$C562,$C562,$B$2:$B562,"SBA 26/*",$F$2:$F562,"&lt;&gt;"),"")</f>
        <v>4</v>
      </c>
      <c r="AB562" s="29" t="str">
        <f>IF(AA562=1,COUNTIF($AA$2:AA562,1),"")</f>
        <v/>
      </c>
    </row>
    <row r="563" spans="1:28" ht="94.5" customHeight="1" x14ac:dyDescent="0.2">
      <c r="A563" s="43" t="s">
        <v>2651</v>
      </c>
      <c r="B563" s="43" t="s">
        <v>2652</v>
      </c>
      <c r="C563" s="44" t="s">
        <v>2653</v>
      </c>
      <c r="D563" s="44" t="s">
        <v>120</v>
      </c>
      <c r="E563" s="45" t="s">
        <v>2654</v>
      </c>
      <c r="F563" s="45" t="s">
        <v>2655</v>
      </c>
      <c r="G563" s="46" t="s">
        <v>39</v>
      </c>
      <c r="H563" s="48">
        <v>46284</v>
      </c>
      <c r="I563" s="48">
        <v>46217</v>
      </c>
      <c r="J563" s="44" t="s">
        <v>123</v>
      </c>
      <c r="K563" s="44" t="s">
        <v>99</v>
      </c>
      <c r="L563" s="50" t="s">
        <v>172</v>
      </c>
      <c r="M563" s="50"/>
      <c r="N563" s="50"/>
      <c r="O563" s="49"/>
      <c r="P563" s="50" t="str">
        <f t="shared" si="32"/>
        <v>RET</v>
      </c>
      <c r="R563" s="51" t="str">
        <f t="shared" si="33"/>
        <v/>
      </c>
      <c r="T563" s="41"/>
      <c r="U563" s="29">
        <f>IF($C563&lt;&gt;"",COUNTIF($C$2:C563,C563),"")</f>
        <v>1</v>
      </c>
      <c r="V563" s="29" t="str">
        <f t="shared" si="34"/>
        <v>Prof. Dr. Ahmet SERPER§1</v>
      </c>
      <c r="W563" s="29">
        <f>IF(U563=1,COUNTIF($U$2:U563,1),"")</f>
        <v>289</v>
      </c>
      <c r="X563" s="29">
        <f t="shared" si="35"/>
        <v>187</v>
      </c>
      <c r="Y563" s="29">
        <f>IF(AND(LEFT($B563,7)="SBA 26/",$D563&lt;&gt;"",$F563&lt;&gt;""),COUNTIFS($D$2:$D563,$D563,$B$2:$B563,"SBA 26/*",$F$2:$F563,"&lt;&gt;"),"")</f>
        <v>7</v>
      </c>
      <c r="Z563" s="29" t="str">
        <f>IF(Y563=1,COUNTIF($Y$2:Y563,1),"")</f>
        <v/>
      </c>
      <c r="AA563" s="29">
        <f>IF(AND(LEFT($B563,7)="SBA 26/",$C563&lt;&gt;"",$F563&lt;&gt;""),COUNTIFS($C$2:$C563,$C563,$B$2:$B563,"SBA 26/*",$F$2:$F563,"&lt;&gt;"),"")</f>
        <v>1</v>
      </c>
      <c r="AB563" s="29">
        <f>IF(AA563=1,COUNTIF($AA$2:AA563,1),"")</f>
        <v>289</v>
      </c>
    </row>
    <row r="564" spans="1:28" ht="63" customHeight="1" x14ac:dyDescent="0.2">
      <c r="A564" s="43" t="s">
        <v>2656</v>
      </c>
      <c r="B564" s="43" t="s">
        <v>2657</v>
      </c>
      <c r="C564" s="44" t="s">
        <v>2658</v>
      </c>
      <c r="D564" s="44" t="s">
        <v>2659</v>
      </c>
      <c r="E564" s="45" t="s">
        <v>2660</v>
      </c>
      <c r="F564" s="45" t="s">
        <v>2661</v>
      </c>
      <c r="G564" s="46" t="s">
        <v>38</v>
      </c>
      <c r="H564" s="48">
        <v>46284</v>
      </c>
      <c r="I564" s="48">
        <v>46217</v>
      </c>
      <c r="J564" s="44" t="s">
        <v>75</v>
      </c>
      <c r="K564" s="44" t="s">
        <v>91</v>
      </c>
      <c r="L564" s="50" t="s">
        <v>101</v>
      </c>
      <c r="M564" s="50" t="s">
        <v>77</v>
      </c>
      <c r="N564" s="50"/>
      <c r="O564" s="49"/>
      <c r="P564" s="50" t="str">
        <f t="shared" si="32"/>
        <v>ONAY</v>
      </c>
      <c r="Q564" s="28" t="s">
        <v>75</v>
      </c>
      <c r="R564" s="51" t="str">
        <f t="shared" si="33"/>
        <v/>
      </c>
      <c r="T564" s="41"/>
      <c r="U564" s="29">
        <f>IF($C564&lt;&gt;"",COUNTIF($C$2:C564,C564),"")</f>
        <v>1</v>
      </c>
      <c r="V564" s="29" t="str">
        <f t="shared" si="34"/>
        <v>Doç. Dr. İsmail UYANIK§1</v>
      </c>
      <c r="W564" s="29">
        <f>IF(U564=1,COUNTIF($U$2:U564,1),"")</f>
        <v>290</v>
      </c>
      <c r="X564" s="29">
        <f t="shared" si="35"/>
        <v>73</v>
      </c>
      <c r="Y564" s="29">
        <f>IF(AND(LEFT($B564,7)="SBA 26/",$D564&lt;&gt;"",$F564&lt;&gt;""),COUNTIFS($D$2:$D564,$D564,$B$2:$B564,"SBA 26/*",$F$2:$F564,"&lt;&gt;"),"")</f>
        <v>1</v>
      </c>
      <c r="Z564" s="29">
        <f>IF(Y564=1,COUNTIF($Y$2:Y564,1),"")</f>
        <v>75</v>
      </c>
      <c r="AA564" s="29">
        <f>IF(AND(LEFT($B564,7)="SBA 26/",$C564&lt;&gt;"",$F564&lt;&gt;""),COUNTIFS($C$2:$C564,$C564,$B$2:$B564,"SBA 26/*",$F$2:$F564,"&lt;&gt;"),"")</f>
        <v>1</v>
      </c>
      <c r="AB564" s="29">
        <f>IF(AA564=1,COUNTIF($AA$2:AA564,1),"")</f>
        <v>290</v>
      </c>
    </row>
    <row r="565" spans="1:28" ht="63" customHeight="1" x14ac:dyDescent="0.2">
      <c r="A565" s="43" t="s">
        <v>2662</v>
      </c>
      <c r="B565" s="43" t="s">
        <v>2663</v>
      </c>
      <c r="C565" s="44" t="s">
        <v>126</v>
      </c>
      <c r="D565" s="44" t="s">
        <v>113</v>
      </c>
      <c r="E565" s="45" t="s">
        <v>2664</v>
      </c>
      <c r="F565" s="45" t="s">
        <v>2665</v>
      </c>
      <c r="G565" s="46" t="s">
        <v>38</v>
      </c>
      <c r="H565" s="48">
        <v>46284</v>
      </c>
      <c r="I565" s="48">
        <v>46217</v>
      </c>
      <c r="J565" s="44" t="s">
        <v>99</v>
      </c>
      <c r="K565" s="44" t="s">
        <v>116</v>
      </c>
      <c r="L565" s="50" t="s">
        <v>77</v>
      </c>
      <c r="M565" s="50"/>
      <c r="N565" s="50"/>
      <c r="O565" s="49"/>
      <c r="P565" s="50" t="str">
        <f t="shared" si="32"/>
        <v>ONAY</v>
      </c>
      <c r="R565" s="51" t="str">
        <f t="shared" si="33"/>
        <v/>
      </c>
      <c r="T565" s="41"/>
      <c r="U565" s="29">
        <f>IF($C565&lt;&gt;"",COUNTIF($C$2:C565,C565),"")</f>
        <v>2</v>
      </c>
      <c r="V565" s="29" t="str">
        <f t="shared" si="34"/>
        <v>Doç. Dr. Nursel ÇALIK BAŞARAN§2</v>
      </c>
      <c r="W565" s="29" t="str">
        <f>IF(U565=1,COUNTIF($U$2:U565,1),"")</f>
        <v/>
      </c>
      <c r="X565" s="29" t="str">
        <f t="shared" si="35"/>
        <v/>
      </c>
      <c r="Y565" s="29">
        <f>IF(AND(LEFT($B565,7)="SBA 26/",$D565&lt;&gt;"",$F565&lt;&gt;""),COUNTIFS($D$2:$D565,$D565,$B$2:$B565,"SBA 26/*",$F$2:$F565,"&lt;&gt;"),"")</f>
        <v>96</v>
      </c>
      <c r="Z565" s="29" t="str">
        <f>IF(Y565=1,COUNTIF($Y$2:Y565,1),"")</f>
        <v/>
      </c>
      <c r="AA565" s="29">
        <f>IF(AND(LEFT($B565,7)="SBA 26/",$C565&lt;&gt;"",$F565&lt;&gt;""),COUNTIFS($C$2:$C565,$C565,$B$2:$B565,"SBA 26/*",$F$2:$F565,"&lt;&gt;"),"")</f>
        <v>2</v>
      </c>
      <c r="AB565" s="29" t="str">
        <f>IF(AA565=1,COUNTIF($AA$2:AA565,1),"")</f>
        <v/>
      </c>
    </row>
    <row r="566" spans="1:28" ht="63" customHeight="1" x14ac:dyDescent="0.2">
      <c r="A566" s="43" t="s">
        <v>2666</v>
      </c>
      <c r="B566" s="43" t="s">
        <v>2667</v>
      </c>
      <c r="C566" s="44" t="s">
        <v>221</v>
      </c>
      <c r="D566" s="44" t="s">
        <v>222</v>
      </c>
      <c r="E566" s="45" t="s">
        <v>2668</v>
      </c>
      <c r="F566" s="45" t="s">
        <v>2669</v>
      </c>
      <c r="G566" s="46" t="s">
        <v>38</v>
      </c>
      <c r="H566" s="48">
        <v>46284</v>
      </c>
      <c r="I566" s="48">
        <v>46217</v>
      </c>
      <c r="J566" s="44" t="s">
        <v>109</v>
      </c>
      <c r="K566" s="44" t="s">
        <v>76</v>
      </c>
      <c r="L566" s="50" t="s">
        <v>101</v>
      </c>
      <c r="M566" s="50"/>
      <c r="N566" s="50"/>
      <c r="O566" s="49"/>
      <c r="P566" s="50" t="str">
        <f t="shared" si="32"/>
        <v>DÜZELTME</v>
      </c>
      <c r="R566" s="51" t="str">
        <f t="shared" si="33"/>
        <v/>
      </c>
      <c r="T566" s="41"/>
      <c r="U566" s="29">
        <f>IF($C566&lt;&gt;"",COUNTIF($C$2:C566,C566),"")</f>
        <v>3</v>
      </c>
      <c r="V566" s="29" t="str">
        <f t="shared" si="34"/>
        <v>Prof. Dr. Seza ÖZEN§3</v>
      </c>
      <c r="W566" s="29" t="str">
        <f>IF(U566=1,COUNTIF($U$2:U566,1),"")</f>
        <v/>
      </c>
      <c r="X566" s="29" t="str">
        <f t="shared" si="35"/>
        <v/>
      </c>
      <c r="Y566" s="29">
        <f>IF(AND(LEFT($B566,7)="SBA 26/",$D566&lt;&gt;"",$F566&lt;&gt;""),COUNTIFS($D$2:$D566,$D566,$B$2:$B566,"SBA 26/*",$F$2:$F566,"&lt;&gt;"),"")</f>
        <v>86</v>
      </c>
      <c r="Z566" s="29" t="str">
        <f>IF(Y566=1,COUNTIF($Y$2:Y566,1),"")</f>
        <v/>
      </c>
      <c r="AA566" s="29">
        <f>IF(AND(LEFT($B566,7)="SBA 26/",$C566&lt;&gt;"",$F566&lt;&gt;""),COUNTIFS($C$2:$C566,$C566,$B$2:$B566,"SBA 26/*",$F$2:$F566,"&lt;&gt;"),"")</f>
        <v>3</v>
      </c>
      <c r="AB566" s="29" t="str">
        <f>IF(AA566=1,COUNTIF($AA$2:AA566,1),"")</f>
        <v/>
      </c>
    </row>
    <row r="567" spans="1:28" ht="78.75" customHeight="1" x14ac:dyDescent="0.2">
      <c r="A567" s="43" t="s">
        <v>2670</v>
      </c>
      <c r="B567" s="43" t="s">
        <v>2671</v>
      </c>
      <c r="C567" s="44" t="s">
        <v>2672</v>
      </c>
      <c r="D567" s="44" t="s">
        <v>222</v>
      </c>
      <c r="E567" s="45" t="s">
        <v>2673</v>
      </c>
      <c r="F567" s="45" t="s">
        <v>2674</v>
      </c>
      <c r="G567" s="46" t="s">
        <v>38</v>
      </c>
      <c r="H567" s="48">
        <v>46284</v>
      </c>
      <c r="I567" s="48">
        <v>46217</v>
      </c>
      <c r="J567" s="44" t="s">
        <v>84</v>
      </c>
      <c r="K567" s="44" t="s">
        <v>91</v>
      </c>
      <c r="L567" s="50" t="s">
        <v>101</v>
      </c>
      <c r="M567" s="50" t="s">
        <v>77</v>
      </c>
      <c r="N567" s="50"/>
      <c r="O567" s="49"/>
      <c r="P567" s="50" t="str">
        <f t="shared" si="32"/>
        <v>ONAY</v>
      </c>
      <c r="Q567" s="28" t="s">
        <v>84</v>
      </c>
      <c r="R567" s="51" t="str">
        <f t="shared" si="33"/>
        <v/>
      </c>
      <c r="T567" s="41"/>
      <c r="U567" s="29">
        <f>IF($C567&lt;&gt;"",COUNTIF($C$2:C567,C567),"")</f>
        <v>1</v>
      </c>
      <c r="V567" s="29" t="str">
        <f t="shared" si="34"/>
        <v>Prof. Dr. Selin AYTAÇ EYÜPOĞLU§1</v>
      </c>
      <c r="W567" s="29">
        <f>IF(U567=1,COUNTIF($U$2:U567,1),"")</f>
        <v>291</v>
      </c>
      <c r="X567" s="29">
        <f t="shared" si="35"/>
        <v>313</v>
      </c>
      <c r="Y567" s="29">
        <f>IF(AND(LEFT($B567,7)="SBA 26/",$D567&lt;&gt;"",$F567&lt;&gt;""),COUNTIFS($D$2:$D567,$D567,$B$2:$B567,"SBA 26/*",$F$2:$F567,"&lt;&gt;"),"")</f>
        <v>87</v>
      </c>
      <c r="Z567" s="29" t="str">
        <f>IF(Y567=1,COUNTIF($Y$2:Y567,1),"")</f>
        <v/>
      </c>
      <c r="AA567" s="29">
        <f>IF(AND(LEFT($B567,7)="SBA 26/",$C567&lt;&gt;"",$F567&lt;&gt;""),COUNTIFS($C$2:$C567,$C567,$B$2:$B567,"SBA 26/*",$F$2:$F567,"&lt;&gt;"),"")</f>
        <v>1</v>
      </c>
      <c r="AB567" s="29">
        <f>IF(AA567=1,COUNTIF($AA$2:AA567,1),"")</f>
        <v>291</v>
      </c>
    </row>
    <row r="568" spans="1:28" ht="110.25" customHeight="1" x14ac:dyDescent="0.2">
      <c r="A568" s="43" t="s">
        <v>2675</v>
      </c>
      <c r="B568" s="43" t="s">
        <v>2676</v>
      </c>
      <c r="C568" s="44" t="s">
        <v>809</v>
      </c>
      <c r="D568" s="44" t="s">
        <v>222</v>
      </c>
      <c r="E568" s="45" t="s">
        <v>2677</v>
      </c>
      <c r="F568" s="45" t="s">
        <v>2678</v>
      </c>
      <c r="G568" s="46" t="s">
        <v>38</v>
      </c>
      <c r="H568" s="48">
        <v>46284</v>
      </c>
      <c r="I568" s="48">
        <v>46217</v>
      </c>
      <c r="J568" s="44" t="s">
        <v>75</v>
      </c>
      <c r="K568" s="44" t="s">
        <v>92</v>
      </c>
      <c r="L568" s="50" t="s">
        <v>101</v>
      </c>
      <c r="M568" s="50"/>
      <c r="N568" s="50"/>
      <c r="O568" s="49"/>
      <c r="P568" s="50" t="str">
        <f t="shared" si="32"/>
        <v>DÜZELTME</v>
      </c>
      <c r="R568" s="51" t="str">
        <f t="shared" si="33"/>
        <v/>
      </c>
      <c r="T568" s="41"/>
      <c r="U568" s="29">
        <f>IF($C568&lt;&gt;"",COUNTIF($C$2:C568,C568),"")</f>
        <v>2</v>
      </c>
      <c r="V568" s="29" t="str">
        <f t="shared" si="34"/>
        <v>Prof. Dr. Nagehan EMİRALİOĞLU ORDUKAYA§2</v>
      </c>
      <c r="W568" s="29" t="str">
        <f>IF(U568=1,COUNTIF($U$2:U568,1),"")</f>
        <v/>
      </c>
      <c r="X568" s="29" t="str">
        <f t="shared" si="35"/>
        <v/>
      </c>
      <c r="Y568" s="29">
        <f>IF(AND(LEFT($B568,7)="SBA 26/",$D568&lt;&gt;"",$F568&lt;&gt;""),COUNTIFS($D$2:$D568,$D568,$B$2:$B568,"SBA 26/*",$F$2:$F568,"&lt;&gt;"),"")</f>
        <v>88</v>
      </c>
      <c r="Z568" s="29" t="str">
        <f>IF(Y568=1,COUNTIF($Y$2:Y568,1),"")</f>
        <v/>
      </c>
      <c r="AA568" s="29">
        <f>IF(AND(LEFT($B568,7)="SBA 26/",$C568&lt;&gt;"",$F568&lt;&gt;""),COUNTIFS($C$2:$C568,$C568,$B$2:$B568,"SBA 26/*",$F$2:$F568,"&lt;&gt;"),"")</f>
        <v>2</v>
      </c>
      <c r="AB568" s="29" t="str">
        <f>IF(AA568=1,COUNTIF($AA$2:AA568,1),"")</f>
        <v/>
      </c>
    </row>
    <row r="569" spans="1:28" ht="78.75" customHeight="1" x14ac:dyDescent="0.2">
      <c r="A569" s="43" t="s">
        <v>2679</v>
      </c>
      <c r="B569" s="43" t="s">
        <v>2680</v>
      </c>
      <c r="C569" s="44" t="s">
        <v>800</v>
      </c>
      <c r="D569" s="44" t="s">
        <v>397</v>
      </c>
      <c r="E569" s="45" t="s">
        <v>2681</v>
      </c>
      <c r="F569" s="45" t="s">
        <v>2682</v>
      </c>
      <c r="G569" s="46" t="s">
        <v>40</v>
      </c>
      <c r="H569" s="48">
        <v>46195</v>
      </c>
      <c r="I569" s="48">
        <v>46217</v>
      </c>
      <c r="J569" s="44" t="s">
        <v>109</v>
      </c>
      <c r="K569" s="44" t="s">
        <v>84</v>
      </c>
      <c r="L569" s="50" t="s">
        <v>101</v>
      </c>
      <c r="M569" s="50" t="s">
        <v>77</v>
      </c>
      <c r="N569" s="50"/>
      <c r="O569" s="49"/>
      <c r="P569" s="50" t="str">
        <f t="shared" si="32"/>
        <v>ONAY</v>
      </c>
      <c r="Q569" s="28" t="s">
        <v>84</v>
      </c>
      <c r="R569" s="51" t="str">
        <f t="shared" si="33"/>
        <v/>
      </c>
      <c r="T569" s="41"/>
      <c r="U569" s="29">
        <f>IF($C569&lt;&gt;"",COUNTIF($C$2:C569,C569),"")</f>
        <v>3</v>
      </c>
      <c r="V569" s="29" t="str">
        <f t="shared" si="34"/>
        <v>Dr. Öğr. Üyesi Emre KARA§3</v>
      </c>
      <c r="W569" s="29" t="str">
        <f>IF(U569=1,COUNTIF($U$2:U569,1),"")</f>
        <v/>
      </c>
      <c r="X569" s="29" t="str">
        <f t="shared" si="35"/>
        <v/>
      </c>
      <c r="Y569" s="29">
        <f>IF(AND(LEFT($B569,7)="SBA 26/",$D569&lt;&gt;"",$F569&lt;&gt;""),COUNTIFS($D$2:$D569,$D569,$B$2:$B569,"SBA 26/*",$F$2:$F569,"&lt;&gt;"),"")</f>
        <v>13</v>
      </c>
      <c r="Z569" s="29" t="str">
        <f>IF(Y569=1,COUNTIF($Y$2:Y569,1),"")</f>
        <v/>
      </c>
      <c r="AA569" s="29">
        <f>IF(AND(LEFT($B569,7)="SBA 26/",$C569&lt;&gt;"",$F569&lt;&gt;""),COUNTIFS($C$2:$C569,$C569,$B$2:$B569,"SBA 26/*",$F$2:$F569,"&lt;&gt;"),"")</f>
        <v>3</v>
      </c>
      <c r="AB569" s="29" t="str">
        <f>IF(AA569=1,COUNTIF($AA$2:AA569,1),"")</f>
        <v/>
      </c>
    </row>
    <row r="570" spans="1:28" ht="63" customHeight="1" x14ac:dyDescent="0.2">
      <c r="A570" s="43" t="s">
        <v>2683</v>
      </c>
      <c r="B570" s="43" t="s">
        <v>2684</v>
      </c>
      <c r="C570" s="44" t="s">
        <v>2672</v>
      </c>
      <c r="D570" s="44" t="s">
        <v>222</v>
      </c>
      <c r="E570" s="45" t="s">
        <v>2685</v>
      </c>
      <c r="F570" s="45" t="s">
        <v>2686</v>
      </c>
      <c r="G570" s="46" t="s">
        <v>38</v>
      </c>
      <c r="H570" s="48">
        <v>46195</v>
      </c>
      <c r="I570" s="48">
        <v>46217</v>
      </c>
      <c r="J570" s="44" t="s">
        <v>123</v>
      </c>
      <c r="K570" s="44" t="s">
        <v>100</v>
      </c>
      <c r="L570" s="50" t="s">
        <v>77</v>
      </c>
      <c r="M570" s="50"/>
      <c r="N570" s="50"/>
      <c r="O570" s="49"/>
      <c r="P570" s="50" t="str">
        <f t="shared" si="32"/>
        <v>ONAY</v>
      </c>
      <c r="R570" s="51" t="str">
        <f t="shared" si="33"/>
        <v/>
      </c>
      <c r="T570" s="41"/>
      <c r="U570" s="29">
        <f>IF($C570&lt;&gt;"",COUNTIF($C$2:C570,C570),"")</f>
        <v>2</v>
      </c>
      <c r="V570" s="29" t="str">
        <f t="shared" si="34"/>
        <v>Prof. Dr. Selin AYTAÇ EYÜPOĞLU§2</v>
      </c>
      <c r="W570" s="29" t="str">
        <f>IF(U570=1,COUNTIF($U$2:U570,1),"")</f>
        <v/>
      </c>
      <c r="X570" s="29" t="str">
        <f t="shared" si="35"/>
        <v/>
      </c>
      <c r="Y570" s="29">
        <f>IF(AND(LEFT($B570,7)="SBA 26/",$D570&lt;&gt;"",$F570&lt;&gt;""),COUNTIFS($D$2:$D570,$D570,$B$2:$B570,"SBA 26/*",$F$2:$F570,"&lt;&gt;"),"")</f>
        <v>89</v>
      </c>
      <c r="Z570" s="29" t="str">
        <f>IF(Y570=1,COUNTIF($Y$2:Y570,1),"")</f>
        <v/>
      </c>
      <c r="AA570" s="29">
        <f>IF(AND(LEFT($B570,7)="SBA 26/",$C570&lt;&gt;"",$F570&lt;&gt;""),COUNTIFS($C$2:$C570,$C570,$B$2:$B570,"SBA 26/*",$F$2:$F570,"&lt;&gt;"),"")</f>
        <v>2</v>
      </c>
      <c r="AB570" s="29" t="str">
        <f>IF(AA570=1,COUNTIF($AA$2:AA570,1),"")</f>
        <v/>
      </c>
    </row>
    <row r="571" spans="1:28" ht="78.75" customHeight="1" x14ac:dyDescent="0.2">
      <c r="A571" s="43" t="s">
        <v>2687</v>
      </c>
      <c r="B571" s="43" t="s">
        <v>2688</v>
      </c>
      <c r="C571" s="44" t="s">
        <v>2689</v>
      </c>
      <c r="D571" s="44" t="s">
        <v>222</v>
      </c>
      <c r="E571" s="45" t="s">
        <v>2690</v>
      </c>
      <c r="F571" s="45" t="s">
        <v>2691</v>
      </c>
      <c r="G571" s="46" t="s">
        <v>38</v>
      </c>
      <c r="H571" s="48">
        <v>46195</v>
      </c>
      <c r="I571" s="48">
        <v>46217</v>
      </c>
      <c r="J571" s="44" t="s">
        <v>123</v>
      </c>
      <c r="K571" s="44" t="s">
        <v>100</v>
      </c>
      <c r="L571" s="50" t="s">
        <v>77</v>
      </c>
      <c r="M571" s="50"/>
      <c r="N571" s="50"/>
      <c r="O571" s="49"/>
      <c r="P571" s="50" t="str">
        <f t="shared" si="32"/>
        <v>ONAY</v>
      </c>
      <c r="R571" s="51" t="str">
        <f t="shared" si="33"/>
        <v/>
      </c>
      <c r="T571" s="41"/>
      <c r="U571" s="29">
        <f>IF($C571&lt;&gt;"",COUNTIF($C$2:C571,C571),"")</f>
        <v>1</v>
      </c>
      <c r="V571" s="29" t="str">
        <f t="shared" si="34"/>
        <v>Prof. Dr. B. Barış KUŞKONMAZ§1</v>
      </c>
      <c r="W571" s="29">
        <f>IF(U571=1,COUNTIF($U$2:U571,1),"")</f>
        <v>292</v>
      </c>
      <c r="X571" s="29">
        <f t="shared" si="35"/>
        <v>200</v>
      </c>
      <c r="Y571" s="29">
        <f>IF(AND(LEFT($B571,7)="SBA 26/",$D571&lt;&gt;"",$F571&lt;&gt;""),COUNTIFS($D$2:$D571,$D571,$B$2:$B571,"SBA 26/*",$F$2:$F571,"&lt;&gt;"),"")</f>
        <v>90</v>
      </c>
      <c r="Z571" s="29" t="str">
        <f>IF(Y571=1,COUNTIF($Y$2:Y571,1),"")</f>
        <v/>
      </c>
      <c r="AA571" s="29">
        <f>IF(AND(LEFT($B571,7)="SBA 26/",$C571&lt;&gt;"",$F571&lt;&gt;""),COUNTIFS($C$2:$C571,$C571,$B$2:$B571,"SBA 26/*",$F$2:$F571,"&lt;&gt;"),"")</f>
        <v>1</v>
      </c>
      <c r="AB571" s="29">
        <f>IF(AA571=1,COUNTIF($AA$2:AA571,1),"")</f>
        <v>292</v>
      </c>
    </row>
    <row r="572" spans="1:28" ht="63" customHeight="1" x14ac:dyDescent="0.2">
      <c r="A572" s="43" t="s">
        <v>2692</v>
      </c>
      <c r="B572" s="43" t="s">
        <v>2693</v>
      </c>
      <c r="C572" s="44" t="s">
        <v>1528</v>
      </c>
      <c r="D572" s="44" t="s">
        <v>234</v>
      </c>
      <c r="E572" s="45" t="s">
        <v>2694</v>
      </c>
      <c r="F572" s="45" t="s">
        <v>2695</v>
      </c>
      <c r="G572" s="46" t="s">
        <v>38</v>
      </c>
      <c r="H572" s="48">
        <v>46195</v>
      </c>
      <c r="I572" s="48">
        <v>46217</v>
      </c>
      <c r="J572" s="44" t="s">
        <v>91</v>
      </c>
      <c r="K572" s="44" t="s">
        <v>92</v>
      </c>
      <c r="L572" s="50" t="s">
        <v>101</v>
      </c>
      <c r="M572" s="50"/>
      <c r="N572" s="50"/>
      <c r="O572" s="49"/>
      <c r="P572" s="50" t="str">
        <f t="shared" si="32"/>
        <v>DÜZELTME</v>
      </c>
      <c r="R572" s="51" t="str">
        <f t="shared" si="33"/>
        <v/>
      </c>
      <c r="T572" s="41"/>
      <c r="U572" s="29">
        <f>IF($C572&lt;&gt;"",COUNTIF($C$2:C572,C572),"")</f>
        <v>6</v>
      </c>
      <c r="V572" s="29" t="str">
        <f t="shared" si="34"/>
        <v>Doç. Dr. Cem ÇÖTELİ§6</v>
      </c>
      <c r="W572" s="29" t="str">
        <f>IF(U572=1,COUNTIF($U$2:U572,1),"")</f>
        <v/>
      </c>
      <c r="X572" s="29" t="str">
        <f t="shared" si="35"/>
        <v/>
      </c>
      <c r="Y572" s="29">
        <f>IF(AND(LEFT($B572,7)="SBA 26/",$D572&lt;&gt;"",$F572&lt;&gt;""),COUNTIFS($D$2:$D572,$D572,$B$2:$B572,"SBA 26/*",$F$2:$F572,"&lt;&gt;"),"")</f>
        <v>18</v>
      </c>
      <c r="Z572" s="29" t="str">
        <f>IF(Y572=1,COUNTIF($Y$2:Y572,1),"")</f>
        <v/>
      </c>
      <c r="AA572" s="29">
        <f>IF(AND(LEFT($B572,7)="SBA 26/",$C572&lt;&gt;"",$F572&lt;&gt;""),COUNTIFS($C$2:$C572,$C572,$B$2:$B572,"SBA 26/*",$F$2:$F572,"&lt;&gt;"),"")</f>
        <v>6</v>
      </c>
      <c r="AB572" s="29" t="str">
        <f>IF(AA572=1,COUNTIF($AA$2:AA572,1),"")</f>
        <v/>
      </c>
    </row>
    <row r="573" spans="1:28" ht="79.5" customHeight="1" x14ac:dyDescent="0.2">
      <c r="A573" s="43" t="s">
        <v>2696</v>
      </c>
      <c r="B573" s="43" t="s">
        <v>2697</v>
      </c>
      <c r="C573" s="44" t="s">
        <v>396</v>
      </c>
      <c r="D573" s="44" t="s">
        <v>397</v>
      </c>
      <c r="E573" s="45" t="s">
        <v>2698</v>
      </c>
      <c r="F573" s="45" t="s">
        <v>2699</v>
      </c>
      <c r="G573" s="46" t="s">
        <v>38</v>
      </c>
      <c r="H573" s="48">
        <v>46195</v>
      </c>
      <c r="I573" s="48">
        <v>46217</v>
      </c>
      <c r="J573" s="44" t="s">
        <v>109</v>
      </c>
      <c r="K573" s="44" t="s">
        <v>76</v>
      </c>
      <c r="L573" s="50" t="s">
        <v>77</v>
      </c>
      <c r="M573" s="50"/>
      <c r="N573" s="50"/>
      <c r="O573" s="49"/>
      <c r="P573" s="50" t="str">
        <f t="shared" si="32"/>
        <v>ONAY</v>
      </c>
      <c r="R573" s="51" t="str">
        <f t="shared" si="33"/>
        <v/>
      </c>
      <c r="T573" s="41"/>
      <c r="U573" s="29">
        <f>IF($C573&lt;&gt;"",COUNTIF($C$2:C573,C573),"")</f>
        <v>6</v>
      </c>
      <c r="V573" s="29" t="str">
        <f t="shared" si="34"/>
        <v>Prof. Dr. Salih Kutay DEMİRKAN§6</v>
      </c>
      <c r="W573" s="29" t="str">
        <f>IF(U573=1,COUNTIF($U$2:U573,1),"")</f>
        <v/>
      </c>
      <c r="X573" s="29" t="str">
        <f t="shared" si="35"/>
        <v/>
      </c>
      <c r="Y573" s="29">
        <f>IF(AND(LEFT($B573,7)="SBA 26/",$D573&lt;&gt;"",$F573&lt;&gt;""),COUNTIFS($D$2:$D573,$D573,$B$2:$B573,"SBA 26/*",$F$2:$F573,"&lt;&gt;"),"")</f>
        <v>14</v>
      </c>
      <c r="Z573" s="29" t="str">
        <f>IF(Y573=1,COUNTIF($Y$2:Y573,1),"")</f>
        <v/>
      </c>
      <c r="AA573" s="29">
        <f>IF(AND(LEFT($B573,7)="SBA 26/",$C573&lt;&gt;"",$F573&lt;&gt;""),COUNTIFS($C$2:$C573,$C573,$B$2:$B573,"SBA 26/*",$F$2:$F573,"&lt;&gt;"),"")</f>
        <v>6</v>
      </c>
      <c r="AB573" s="29" t="str">
        <f>IF(AA573=1,COUNTIF($AA$2:AA573,1),"")</f>
        <v/>
      </c>
    </row>
    <row r="574" spans="1:28" ht="94.5" customHeight="1" x14ac:dyDescent="0.2">
      <c r="A574" s="43" t="s">
        <v>2700</v>
      </c>
      <c r="B574" s="43" t="s">
        <v>2701</v>
      </c>
      <c r="C574" s="44" t="s">
        <v>1374</v>
      </c>
      <c r="D574" s="44" t="s">
        <v>222</v>
      </c>
      <c r="E574" s="45" t="s">
        <v>2702</v>
      </c>
      <c r="F574" s="45" t="s">
        <v>2703</v>
      </c>
      <c r="G574" s="46" t="s">
        <v>38</v>
      </c>
      <c r="H574" s="48">
        <v>46195</v>
      </c>
      <c r="I574" s="48">
        <v>46217</v>
      </c>
      <c r="J574" s="44" t="s">
        <v>91</v>
      </c>
      <c r="K574" s="44" t="s">
        <v>109</v>
      </c>
      <c r="L574" s="50" t="s">
        <v>77</v>
      </c>
      <c r="M574" s="50"/>
      <c r="N574" s="50"/>
      <c r="O574" s="49"/>
      <c r="P574" s="50" t="str">
        <f t="shared" si="32"/>
        <v>ONAY</v>
      </c>
      <c r="R574" s="51" t="str">
        <f t="shared" si="33"/>
        <v/>
      </c>
      <c r="T574" s="41"/>
      <c r="U574" s="29">
        <f>IF($C574&lt;&gt;"",COUNTIF($C$2:C574,C574),"")</f>
        <v>2</v>
      </c>
      <c r="V574" s="29" t="str">
        <f t="shared" si="34"/>
        <v>Doç. Dr. Hayriye HIZARCIOĞLU GÜLŞEN§2</v>
      </c>
      <c r="W574" s="29" t="str">
        <f>IF(U574=1,COUNTIF($U$2:U574,1),"")</f>
        <v/>
      </c>
      <c r="X574" s="29" t="str">
        <f t="shared" si="35"/>
        <v/>
      </c>
      <c r="Y574" s="29">
        <f>IF(AND(LEFT($B574,7)="SBA 26/",$D574&lt;&gt;"",$F574&lt;&gt;""),COUNTIFS($D$2:$D574,$D574,$B$2:$B574,"SBA 26/*",$F$2:$F574,"&lt;&gt;"),"")</f>
        <v>91</v>
      </c>
      <c r="Z574" s="29" t="str">
        <f>IF(Y574=1,COUNTIF($Y$2:Y574,1),"")</f>
        <v/>
      </c>
      <c r="AA574" s="29">
        <f>IF(AND(LEFT($B574,7)="SBA 26/",$C574&lt;&gt;"",$F574&lt;&gt;""),COUNTIFS($C$2:$C574,$C574,$B$2:$B574,"SBA 26/*",$F$2:$F574,"&lt;&gt;"),"")</f>
        <v>2</v>
      </c>
      <c r="AB574" s="29" t="str">
        <f>IF(AA574=1,COUNTIF($AA$2:AA574,1),"")</f>
        <v/>
      </c>
    </row>
    <row r="575" spans="1:28" ht="78.75" customHeight="1" x14ac:dyDescent="0.2">
      <c r="A575" s="43" t="s">
        <v>2704</v>
      </c>
      <c r="B575" s="43" t="s">
        <v>2705</v>
      </c>
      <c r="C575" s="44" t="s">
        <v>2706</v>
      </c>
      <c r="D575" s="44" t="s">
        <v>222</v>
      </c>
      <c r="E575" s="45" t="s">
        <v>2707</v>
      </c>
      <c r="F575" s="45" t="s">
        <v>2708</v>
      </c>
      <c r="G575" s="46" t="s">
        <v>38</v>
      </c>
      <c r="H575" s="48">
        <v>46195</v>
      </c>
      <c r="I575" s="48">
        <v>46217</v>
      </c>
      <c r="J575" s="44" t="s">
        <v>99</v>
      </c>
      <c r="K575" s="44" t="s">
        <v>116</v>
      </c>
      <c r="L575" s="50" t="s">
        <v>77</v>
      </c>
      <c r="M575" s="50"/>
      <c r="N575" s="50"/>
      <c r="O575" s="49"/>
      <c r="P575" s="50" t="str">
        <f t="shared" si="32"/>
        <v>ONAY</v>
      </c>
      <c r="R575" s="51" t="str">
        <f t="shared" si="33"/>
        <v/>
      </c>
      <c r="T575" s="41"/>
      <c r="U575" s="29">
        <f>IF($C575&lt;&gt;"",COUNTIF($C$2:C575,C575),"")</f>
        <v>1</v>
      </c>
      <c r="V575" s="29" t="str">
        <f t="shared" si="34"/>
        <v>Prof. Dr. Yelda BİLGİNER§1</v>
      </c>
      <c r="W575" s="29">
        <f>IF(U575=1,COUNTIF($U$2:U575,1),"")</f>
        <v>293</v>
      </c>
      <c r="X575" s="29">
        <f t="shared" si="35"/>
        <v>346</v>
      </c>
      <c r="Y575" s="29">
        <f>IF(AND(LEFT($B575,7)="SBA 26/",$D575&lt;&gt;"",$F575&lt;&gt;""),COUNTIFS($D$2:$D575,$D575,$B$2:$B575,"SBA 26/*",$F$2:$F575,"&lt;&gt;"),"")</f>
        <v>92</v>
      </c>
      <c r="Z575" s="29" t="str">
        <f>IF(Y575=1,COUNTIF($Y$2:Y575,1),"")</f>
        <v/>
      </c>
      <c r="AA575" s="29">
        <f>IF(AND(LEFT($B575,7)="SBA 26/",$C575&lt;&gt;"",$F575&lt;&gt;""),COUNTIFS($C$2:$C575,$C575,$B$2:$B575,"SBA 26/*",$F$2:$F575,"&lt;&gt;"),"")</f>
        <v>1</v>
      </c>
      <c r="AB575" s="29">
        <f>IF(AA575=1,COUNTIF($AA$2:AA575,1),"")</f>
        <v>293</v>
      </c>
    </row>
    <row r="576" spans="1:28" ht="63" customHeight="1" x14ac:dyDescent="0.2">
      <c r="A576" s="43" t="s">
        <v>2709</v>
      </c>
      <c r="B576" s="43" t="s">
        <v>2710</v>
      </c>
      <c r="C576" s="44" t="s">
        <v>1432</v>
      </c>
      <c r="D576" s="44" t="s">
        <v>113</v>
      </c>
      <c r="E576" s="45" t="s">
        <v>2711</v>
      </c>
      <c r="F576" s="45" t="s">
        <v>2712</v>
      </c>
      <c r="G576" s="46" t="s">
        <v>38</v>
      </c>
      <c r="H576" s="48">
        <v>46195</v>
      </c>
      <c r="I576" s="48">
        <v>46217</v>
      </c>
      <c r="J576" s="44" t="s">
        <v>109</v>
      </c>
      <c r="K576" s="44" t="s">
        <v>76</v>
      </c>
      <c r="L576" s="50" t="s">
        <v>101</v>
      </c>
      <c r="M576" s="50"/>
      <c r="N576" s="50"/>
      <c r="O576" s="49"/>
      <c r="P576" s="50" t="str">
        <f t="shared" si="32"/>
        <v>DÜZELTME</v>
      </c>
      <c r="R576" s="51" t="str">
        <f t="shared" si="33"/>
        <v/>
      </c>
      <c r="T576" s="41"/>
      <c r="U576" s="29">
        <f>IF($C576&lt;&gt;"",COUNTIF($C$2:C576,C576),"")</f>
        <v>7</v>
      </c>
      <c r="V576" s="29" t="str">
        <f t="shared" si="34"/>
        <v>Prof. Dr. Taylan KAV§7</v>
      </c>
      <c r="W576" s="29" t="str">
        <f>IF(U576=1,COUNTIF($U$2:U576,1),"")</f>
        <v/>
      </c>
      <c r="X576" s="29" t="str">
        <f t="shared" si="35"/>
        <v/>
      </c>
      <c r="Y576" s="29">
        <f>IF(AND(LEFT($B576,7)="SBA 26/",$D576&lt;&gt;"",$F576&lt;&gt;""),COUNTIFS($D$2:$D576,$D576,$B$2:$B576,"SBA 26/*",$F$2:$F576,"&lt;&gt;"),"")</f>
        <v>97</v>
      </c>
      <c r="Z576" s="29" t="str">
        <f>IF(Y576=1,COUNTIF($Y$2:Y576,1),"")</f>
        <v/>
      </c>
      <c r="AA576" s="29">
        <f>IF(AND(LEFT($B576,7)="SBA 26/",$C576&lt;&gt;"",$F576&lt;&gt;""),COUNTIFS($C$2:$C576,$C576,$B$2:$B576,"SBA 26/*",$F$2:$F576,"&lt;&gt;"),"")</f>
        <v>7</v>
      </c>
      <c r="AB576" s="29" t="str">
        <f>IF(AA576=1,COUNTIF($AA$2:AA576,1),"")</f>
        <v/>
      </c>
    </row>
    <row r="577" spans="1:28" ht="78.75" customHeight="1" x14ac:dyDescent="0.2">
      <c r="A577" s="43" t="s">
        <v>2713</v>
      </c>
      <c r="B577" s="43" t="s">
        <v>2714</v>
      </c>
      <c r="C577" s="44" t="s">
        <v>711</v>
      </c>
      <c r="D577" s="44" t="s">
        <v>113</v>
      </c>
      <c r="E577" s="45" t="s">
        <v>2715</v>
      </c>
      <c r="F577" s="45" t="s">
        <v>2716</v>
      </c>
      <c r="G577" s="46" t="s">
        <v>39</v>
      </c>
      <c r="H577" s="48">
        <v>46195</v>
      </c>
      <c r="I577" s="48">
        <v>46217</v>
      </c>
      <c r="J577" s="44" t="s">
        <v>84</v>
      </c>
      <c r="K577" s="44" t="s">
        <v>100</v>
      </c>
      <c r="L577" s="50" t="s">
        <v>77</v>
      </c>
      <c r="M577" s="50"/>
      <c r="N577" s="50"/>
      <c r="O577" s="49"/>
      <c r="P577" s="50" t="str">
        <f t="shared" si="32"/>
        <v>ONAY</v>
      </c>
      <c r="R577" s="51" t="str">
        <f t="shared" si="33"/>
        <v/>
      </c>
      <c r="T577" s="41"/>
      <c r="U577" s="29">
        <f>IF($C577&lt;&gt;"",COUNTIF($C$2:C577,C577),"")</f>
        <v>6</v>
      </c>
      <c r="V577" s="29" t="str">
        <f t="shared" si="34"/>
        <v>Doç. Dr. Süleyman Nahit ŞENDUR§6</v>
      </c>
      <c r="W577" s="29" t="str">
        <f>IF(U577=1,COUNTIF($U$2:U577,1),"")</f>
        <v/>
      </c>
      <c r="X577" s="29" t="str">
        <f t="shared" si="35"/>
        <v/>
      </c>
      <c r="Y577" s="29">
        <f>IF(AND(LEFT($B577,7)="SBA 26/",$D577&lt;&gt;"",$F577&lt;&gt;""),COUNTIFS($D$2:$D577,$D577,$B$2:$B577,"SBA 26/*",$F$2:$F577,"&lt;&gt;"),"")</f>
        <v>98</v>
      </c>
      <c r="Z577" s="29" t="str">
        <f>IF(Y577=1,COUNTIF($Y$2:Y577,1),"")</f>
        <v/>
      </c>
      <c r="AA577" s="29">
        <f>IF(AND(LEFT($B577,7)="SBA 26/",$C577&lt;&gt;"",$F577&lt;&gt;""),COUNTIFS($C$2:$C577,$C577,$B$2:$B577,"SBA 26/*",$F$2:$F577,"&lt;&gt;"),"")</f>
        <v>6</v>
      </c>
      <c r="AB577" s="29" t="str">
        <f>IF(AA577=1,COUNTIF($AA$2:AA577,1),"")</f>
        <v/>
      </c>
    </row>
    <row r="578" spans="1:28" ht="63" customHeight="1" x14ac:dyDescent="0.2">
      <c r="A578" s="43" t="s">
        <v>2717</v>
      </c>
      <c r="B578" s="43" t="s">
        <v>2718</v>
      </c>
      <c r="C578" s="44" t="s">
        <v>2719</v>
      </c>
      <c r="D578" s="44" t="s">
        <v>892</v>
      </c>
      <c r="E578" s="45" t="s">
        <v>2720</v>
      </c>
      <c r="F578" s="45" t="s">
        <v>2721</v>
      </c>
      <c r="G578" s="46" t="s">
        <v>38</v>
      </c>
      <c r="H578" s="48">
        <v>46195</v>
      </c>
      <c r="I578" s="48">
        <v>46217</v>
      </c>
      <c r="J578" s="44" t="s">
        <v>109</v>
      </c>
      <c r="K578" s="44" t="s">
        <v>92</v>
      </c>
      <c r="L578" s="50" t="s">
        <v>101</v>
      </c>
      <c r="M578" s="50"/>
      <c r="N578" s="50"/>
      <c r="O578" s="49"/>
      <c r="P578" s="50" t="str">
        <f t="shared" ref="P578:P641" si="36">IF(O578&lt;&gt;"",O578, IF(N578&lt;&gt;"",N578, IF(M578&lt;&gt;"",M578, L578)))</f>
        <v>DÜZELTME</v>
      </c>
      <c r="R578" s="51" t="str">
        <f t="shared" ref="R578:R641" si="37">IF(AND($I578&lt;&gt;"",$I578&gt;=DATE(2026,6,23),COUNTIFS($C:$C,$C578,$I:$I,$I578)&gt;2),"⚠ "&amp;COUNTIFS($C:$C,$C578,$I:$I,$I578)&amp;" BAŞVURU!","")</f>
        <v/>
      </c>
      <c r="T578" s="41"/>
      <c r="U578" s="29">
        <f>IF($C578&lt;&gt;"",COUNTIF($C$2:C578,C578),"")</f>
        <v>1</v>
      </c>
      <c r="V578" s="29" t="str">
        <f t="shared" ref="V578:V641" si="38">IF($C578&lt;&gt;"",C578&amp;"§"&amp;U578,"")</f>
        <v>Dr. Öğr. Üyesi Aslı Şan DAĞLI GÜL§1</v>
      </c>
      <c r="W578" s="29">
        <f>IF(U578=1,COUNTIF($U$2:U578,1),"")</f>
        <v>294</v>
      </c>
      <c r="X578" s="29">
        <f t="shared" ref="X578:X641" si="39">IF(U578=1,SUMPRODUCT(($U$2:$U$1833=1)*($C$2:$C$1833&lt;C578))+1,"")</f>
        <v>117</v>
      </c>
      <c r="Y578" s="29">
        <f>IF(AND(LEFT($B578,7)="SBA 26/",$D578&lt;&gt;"",$F578&lt;&gt;""),COUNTIFS($D$2:$D578,$D578,$B$2:$B578,"SBA 26/*",$F$2:$F578,"&lt;&gt;"),"")</f>
        <v>2</v>
      </c>
      <c r="Z578" s="29" t="str">
        <f>IF(Y578=1,COUNTIF($Y$2:Y578,1),"")</f>
        <v/>
      </c>
      <c r="AA578" s="29">
        <f>IF(AND(LEFT($B578,7)="SBA 26/",$C578&lt;&gt;"",$F578&lt;&gt;""),COUNTIFS($C$2:$C578,$C578,$B$2:$B578,"SBA 26/*",$F$2:$F578,"&lt;&gt;"),"")</f>
        <v>1</v>
      </c>
      <c r="AB578" s="29">
        <f>IF(AA578=1,COUNTIF($AA$2:AA578,1),"")</f>
        <v>294</v>
      </c>
    </row>
    <row r="579" spans="1:28" ht="78.75" customHeight="1" x14ac:dyDescent="0.2">
      <c r="A579" s="43" t="s">
        <v>2722</v>
      </c>
      <c r="B579" s="43" t="s">
        <v>2723</v>
      </c>
      <c r="C579" s="44" t="s">
        <v>1374</v>
      </c>
      <c r="D579" s="44" t="s">
        <v>222</v>
      </c>
      <c r="E579" s="45" t="s">
        <v>2724</v>
      </c>
      <c r="F579" s="45" t="s">
        <v>2725</v>
      </c>
      <c r="G579" s="46" t="s">
        <v>38</v>
      </c>
      <c r="H579" s="48">
        <v>46191</v>
      </c>
      <c r="I579" s="48">
        <v>46217</v>
      </c>
      <c r="J579" s="44" t="s">
        <v>99</v>
      </c>
      <c r="K579" s="44" t="s">
        <v>116</v>
      </c>
      <c r="L579" s="50" t="s">
        <v>77</v>
      </c>
      <c r="M579" s="50"/>
      <c r="N579" s="50"/>
      <c r="O579" s="49"/>
      <c r="P579" s="50" t="str">
        <f t="shared" si="36"/>
        <v>ONAY</v>
      </c>
      <c r="R579" s="51" t="str">
        <f t="shared" si="37"/>
        <v/>
      </c>
      <c r="T579" s="41"/>
      <c r="U579" s="29">
        <f>IF($C579&lt;&gt;"",COUNTIF($C$2:C579,C579),"")</f>
        <v>3</v>
      </c>
      <c r="V579" s="29" t="str">
        <f t="shared" si="38"/>
        <v>Doç. Dr. Hayriye HIZARCIOĞLU GÜLŞEN§3</v>
      </c>
      <c r="W579" s="29" t="str">
        <f>IF(U579=1,COUNTIF($U$2:U579,1),"")</f>
        <v/>
      </c>
      <c r="X579" s="29" t="str">
        <f t="shared" si="39"/>
        <v/>
      </c>
      <c r="Y579" s="29">
        <f>IF(AND(LEFT($B579,7)="SBA 26/",$D579&lt;&gt;"",$F579&lt;&gt;""),COUNTIFS($D$2:$D579,$D579,$B$2:$B579,"SBA 26/*",$F$2:$F579,"&lt;&gt;"),"")</f>
        <v>93</v>
      </c>
      <c r="Z579" s="29" t="str">
        <f>IF(Y579=1,COUNTIF($Y$2:Y579,1),"")</f>
        <v/>
      </c>
      <c r="AA579" s="29">
        <f>IF(AND(LEFT($B579,7)="SBA 26/",$C579&lt;&gt;"",$F579&lt;&gt;""),COUNTIFS($C$2:$C579,$C579,$B$2:$B579,"SBA 26/*",$F$2:$F579,"&lt;&gt;"),"")</f>
        <v>3</v>
      </c>
      <c r="AB579" s="29" t="str">
        <f>IF(AA579=1,COUNTIF($AA$2:AA579,1),"")</f>
        <v/>
      </c>
    </row>
    <row r="580" spans="1:28" ht="94.5" customHeight="1" x14ac:dyDescent="0.2">
      <c r="A580" s="43" t="s">
        <v>2726</v>
      </c>
      <c r="B580" s="43" t="s">
        <v>2727</v>
      </c>
      <c r="C580" s="44" t="s">
        <v>1658</v>
      </c>
      <c r="D580" s="44" t="s">
        <v>364</v>
      </c>
      <c r="E580" s="45" t="s">
        <v>2728</v>
      </c>
      <c r="F580" s="45" t="s">
        <v>2729</v>
      </c>
      <c r="G580" s="46" t="s">
        <v>38</v>
      </c>
      <c r="H580" s="48">
        <v>46196</v>
      </c>
      <c r="I580" s="48">
        <v>46217</v>
      </c>
      <c r="J580" s="44" t="s">
        <v>92</v>
      </c>
      <c r="K580" s="44" t="s">
        <v>100</v>
      </c>
      <c r="L580" s="50" t="s">
        <v>77</v>
      </c>
      <c r="M580" s="50"/>
      <c r="N580" s="50"/>
      <c r="O580" s="49"/>
      <c r="P580" s="50" t="str">
        <f t="shared" si="36"/>
        <v>ONAY</v>
      </c>
      <c r="R580" s="51" t="str">
        <f t="shared" si="37"/>
        <v/>
      </c>
      <c r="T580" s="41"/>
      <c r="U580" s="29">
        <f>IF($C580&lt;&gt;"",COUNTIF($C$2:C580,C580),"")</f>
        <v>3</v>
      </c>
      <c r="V580" s="29" t="str">
        <f t="shared" si="38"/>
        <v>Prof. Dr. Meryem Aslı TUNCER§3</v>
      </c>
      <c r="W580" s="29" t="str">
        <f>IF(U580=1,COUNTIF($U$2:U580,1),"")</f>
        <v/>
      </c>
      <c r="X580" s="29" t="str">
        <f t="shared" si="39"/>
        <v/>
      </c>
      <c r="Y580" s="29">
        <f>IF(AND(LEFT($B580,7)="SBA 26/",$D580&lt;&gt;"",$F580&lt;&gt;""),COUNTIFS($D$2:$D580,$D580,$B$2:$B580,"SBA 26/*",$F$2:$F580,"&lt;&gt;"),"")</f>
        <v>21</v>
      </c>
      <c r="Z580" s="29" t="str">
        <f>IF(Y580=1,COUNTIF($Y$2:Y580,1),"")</f>
        <v/>
      </c>
      <c r="AA580" s="29">
        <f>IF(AND(LEFT($B580,7)="SBA 26/",$C580&lt;&gt;"",$F580&lt;&gt;""),COUNTIFS($C$2:$C580,$C580,$B$2:$B580,"SBA 26/*",$F$2:$F580,"&lt;&gt;"),"")</f>
        <v>3</v>
      </c>
      <c r="AB580" s="29" t="str">
        <f>IF(AA580=1,COUNTIF($AA$2:AA580,1),"")</f>
        <v/>
      </c>
    </row>
    <row r="581" spans="1:28" ht="96" customHeight="1" x14ac:dyDescent="0.2">
      <c r="A581" s="43" t="s">
        <v>2730</v>
      </c>
      <c r="B581" s="43" t="s">
        <v>2731</v>
      </c>
      <c r="C581" s="44" t="s">
        <v>1043</v>
      </c>
      <c r="D581" s="44" t="s">
        <v>88</v>
      </c>
      <c r="E581" s="45" t="s">
        <v>2732</v>
      </c>
      <c r="F581" s="45" t="s">
        <v>2733</v>
      </c>
      <c r="G581" s="46" t="s">
        <v>39</v>
      </c>
      <c r="H581" s="48">
        <v>46196</v>
      </c>
      <c r="I581" s="48">
        <v>46217</v>
      </c>
      <c r="J581" s="44" t="s">
        <v>92</v>
      </c>
      <c r="K581" s="44" t="s">
        <v>76</v>
      </c>
      <c r="L581" s="50" t="s">
        <v>77</v>
      </c>
      <c r="M581" s="50"/>
      <c r="N581" s="50"/>
      <c r="O581" s="49"/>
      <c r="P581" s="50" t="str">
        <f t="shared" si="36"/>
        <v>ONAY</v>
      </c>
      <c r="R581" s="51" t="str">
        <f t="shared" si="37"/>
        <v/>
      </c>
      <c r="T581" s="41"/>
      <c r="U581" s="29">
        <f>IF($C581&lt;&gt;"",COUNTIF($C$2:C581,C581),"")</f>
        <v>4</v>
      </c>
      <c r="V581" s="29" t="str">
        <f t="shared" si="38"/>
        <v>Dr. Öğr. Üyesi Aycan UYSAL§4</v>
      </c>
      <c r="W581" s="29" t="str">
        <f>IF(U581=1,COUNTIF($U$2:U581,1),"")</f>
        <v/>
      </c>
      <c r="X581" s="29" t="str">
        <f t="shared" si="39"/>
        <v/>
      </c>
      <c r="Y581" s="29">
        <f>IF(AND(LEFT($B581,7)="SBA 26/",$D581&lt;&gt;"",$F581&lt;&gt;""),COUNTIFS($D$2:$D581,$D581,$B$2:$B581,"SBA 26/*",$F$2:$F581,"&lt;&gt;"),"")</f>
        <v>19</v>
      </c>
      <c r="Z581" s="29" t="str">
        <f>IF(Y581=1,COUNTIF($Y$2:Y581,1),"")</f>
        <v/>
      </c>
      <c r="AA581" s="29">
        <f>IF(AND(LEFT($B581,7)="SBA 26/",$C581&lt;&gt;"",$F581&lt;&gt;""),COUNTIFS($C$2:$C581,$C581,$B$2:$B581,"SBA 26/*",$F$2:$F581,"&lt;&gt;"),"")</f>
        <v>4</v>
      </c>
      <c r="AB581" s="29" t="str">
        <f>IF(AA581=1,COUNTIF($AA$2:AA581,1),"")</f>
        <v/>
      </c>
    </row>
    <row r="582" spans="1:28" ht="78.75" customHeight="1" x14ac:dyDescent="0.2">
      <c r="A582" s="43" t="s">
        <v>2734</v>
      </c>
      <c r="B582" s="43" t="s">
        <v>2735</v>
      </c>
      <c r="C582" s="44" t="s">
        <v>1321</v>
      </c>
      <c r="D582" s="44" t="s">
        <v>215</v>
      </c>
      <c r="E582" s="45" t="s">
        <v>2736</v>
      </c>
      <c r="F582" s="45" t="s">
        <v>2737</v>
      </c>
      <c r="G582" s="46" t="s">
        <v>38</v>
      </c>
      <c r="H582" s="48">
        <v>46196</v>
      </c>
      <c r="I582" s="48">
        <v>46217</v>
      </c>
      <c r="J582" s="44" t="s">
        <v>123</v>
      </c>
      <c r="K582" s="44" t="s">
        <v>84</v>
      </c>
      <c r="L582" s="50" t="s">
        <v>77</v>
      </c>
      <c r="M582" s="50"/>
      <c r="N582" s="50"/>
      <c r="O582" s="49"/>
      <c r="P582" s="50" t="str">
        <f t="shared" si="36"/>
        <v>ONAY</v>
      </c>
      <c r="R582" s="51" t="str">
        <f t="shared" si="37"/>
        <v/>
      </c>
      <c r="T582" s="41"/>
      <c r="U582" s="29">
        <f>IF($C582&lt;&gt;"",COUNTIF($C$2:C582,C582),"")</f>
        <v>3</v>
      </c>
      <c r="V582" s="29" t="str">
        <f t="shared" si="38"/>
        <v>Dr. Öğr. Üyesi Selen ADİLOĞLU§3</v>
      </c>
      <c r="W582" s="29" t="str">
        <f>IF(U582=1,COUNTIF($U$2:U582,1),"")</f>
        <v/>
      </c>
      <c r="X582" s="29" t="str">
        <f t="shared" si="39"/>
        <v/>
      </c>
      <c r="Y582" s="29">
        <f>IF(AND(LEFT($B582,7)="SBA 26/",$D582&lt;&gt;"",$F582&lt;&gt;""),COUNTIFS($D$2:$D582,$D582,$B$2:$B582,"SBA 26/*",$F$2:$F582,"&lt;&gt;"),"")</f>
        <v>7</v>
      </c>
      <c r="Z582" s="29" t="str">
        <f>IF(Y582=1,COUNTIF($Y$2:Y582,1),"")</f>
        <v/>
      </c>
      <c r="AA582" s="29">
        <f>IF(AND(LEFT($B582,7)="SBA 26/",$C582&lt;&gt;"",$F582&lt;&gt;""),COUNTIFS($C$2:$C582,$C582,$B$2:$B582,"SBA 26/*",$F$2:$F582,"&lt;&gt;"),"")</f>
        <v>3</v>
      </c>
      <c r="AB582" s="29" t="str">
        <f>IF(AA582=1,COUNTIF($AA$2:AA582,1),"")</f>
        <v/>
      </c>
    </row>
    <row r="583" spans="1:28" ht="94.5" customHeight="1" x14ac:dyDescent="0.2">
      <c r="A583" s="43" t="s">
        <v>2738</v>
      </c>
      <c r="B583" s="43" t="s">
        <v>2739</v>
      </c>
      <c r="C583" s="44" t="s">
        <v>2142</v>
      </c>
      <c r="D583" s="44" t="s">
        <v>1168</v>
      </c>
      <c r="E583" s="45" t="s">
        <v>2740</v>
      </c>
      <c r="F583" s="45" t="s">
        <v>2741</v>
      </c>
      <c r="G583" s="46" t="s">
        <v>39</v>
      </c>
      <c r="H583" s="48">
        <v>46196</v>
      </c>
      <c r="I583" s="48">
        <v>46217</v>
      </c>
      <c r="J583" s="44" t="s">
        <v>91</v>
      </c>
      <c r="K583" s="44" t="s">
        <v>99</v>
      </c>
      <c r="L583" s="50" t="s">
        <v>77</v>
      </c>
      <c r="M583" s="50"/>
      <c r="N583" s="50"/>
      <c r="O583" s="49"/>
      <c r="P583" s="50" t="str">
        <f t="shared" si="36"/>
        <v>ONAY</v>
      </c>
      <c r="R583" s="51" t="str">
        <f t="shared" si="37"/>
        <v/>
      </c>
      <c r="T583" s="41"/>
      <c r="U583" s="29">
        <f>IF($C583&lt;&gt;"",COUNTIF($C$2:C583,C583),"")</f>
        <v>2</v>
      </c>
      <c r="V583" s="29" t="str">
        <f t="shared" si="38"/>
        <v>Doç. Dr. Gülçin TELLİ DİZMAN§2</v>
      </c>
      <c r="W583" s="29" t="str">
        <f>IF(U583=1,COUNTIF($U$2:U583,1),"")</f>
        <v/>
      </c>
      <c r="X583" s="29" t="str">
        <f t="shared" si="39"/>
        <v/>
      </c>
      <c r="Y583" s="29">
        <f>IF(AND(LEFT($B583,7)="SBA 26/",$D583&lt;&gt;"",$F583&lt;&gt;""),COUNTIFS($D$2:$D583,$D583,$B$2:$B583,"SBA 26/*",$F$2:$F583,"&lt;&gt;"),"")</f>
        <v>4</v>
      </c>
      <c r="Z583" s="29" t="str">
        <f>IF(Y583=1,COUNTIF($Y$2:Y583,1),"")</f>
        <v/>
      </c>
      <c r="AA583" s="29">
        <f>IF(AND(LEFT($B583,7)="SBA 26/",$C583&lt;&gt;"",$F583&lt;&gt;""),COUNTIFS($C$2:$C583,$C583,$B$2:$B583,"SBA 26/*",$F$2:$F583,"&lt;&gt;"),"")</f>
        <v>2</v>
      </c>
      <c r="AB583" s="29" t="str">
        <f>IF(AA583=1,COUNTIF($AA$2:AA583,1),"")</f>
        <v/>
      </c>
    </row>
    <row r="584" spans="1:28" ht="47.25" customHeight="1" x14ac:dyDescent="0.2">
      <c r="A584" s="43" t="s">
        <v>2742</v>
      </c>
      <c r="B584" s="43" t="s">
        <v>2743</v>
      </c>
      <c r="C584" s="44" t="s">
        <v>413</v>
      </c>
      <c r="D584" s="44" t="s">
        <v>414</v>
      </c>
      <c r="E584" s="45" t="s">
        <v>2744</v>
      </c>
      <c r="F584" s="45" t="s">
        <v>2745</v>
      </c>
      <c r="G584" s="46" t="s">
        <v>38</v>
      </c>
      <c r="H584" s="48">
        <v>46196</v>
      </c>
      <c r="I584" s="48">
        <v>46217</v>
      </c>
      <c r="J584" s="44" t="s">
        <v>123</v>
      </c>
      <c r="K584" s="44" t="s">
        <v>116</v>
      </c>
      <c r="L584" s="50" t="s">
        <v>77</v>
      </c>
      <c r="M584" s="50"/>
      <c r="N584" s="50"/>
      <c r="O584" s="49"/>
      <c r="P584" s="50" t="str">
        <f t="shared" si="36"/>
        <v>ONAY</v>
      </c>
      <c r="R584" s="51" t="str">
        <f t="shared" si="37"/>
        <v/>
      </c>
      <c r="T584" s="41"/>
      <c r="U584" s="29">
        <f>IF($C584&lt;&gt;"",COUNTIF($C$2:C584,C584),"")</f>
        <v>2</v>
      </c>
      <c r="V584" s="29" t="str">
        <f t="shared" si="38"/>
        <v>Prof. Dr. Kıvanç AKÇA§2</v>
      </c>
      <c r="W584" s="29" t="str">
        <f>IF(U584=1,COUNTIF($U$2:U584,1),"")</f>
        <v/>
      </c>
      <c r="X584" s="29" t="str">
        <f t="shared" si="39"/>
        <v/>
      </c>
      <c r="Y584" s="29">
        <f>IF(AND(LEFT($B584,7)="SBA 26/",$D584&lt;&gt;"",$F584&lt;&gt;""),COUNTIFS($D$2:$D584,$D584,$B$2:$B584,"SBA 26/*",$F$2:$F584,"&lt;&gt;"),"")</f>
        <v>6</v>
      </c>
      <c r="Z584" s="29" t="str">
        <f>IF(Y584=1,COUNTIF($Y$2:Y584,1),"")</f>
        <v/>
      </c>
      <c r="AA584" s="29">
        <f>IF(AND(LEFT($B584,7)="SBA 26/",$C584&lt;&gt;"",$F584&lt;&gt;""),COUNTIFS($C$2:$C584,$C584,$B$2:$B584,"SBA 26/*",$F$2:$F584,"&lt;&gt;"),"")</f>
        <v>2</v>
      </c>
      <c r="AB584" s="29" t="str">
        <f>IF(AA584=1,COUNTIF($AA$2:AA584,1),"")</f>
        <v/>
      </c>
    </row>
    <row r="585" spans="1:28" ht="111.75" customHeight="1" x14ac:dyDescent="0.2">
      <c r="A585" s="43" t="s">
        <v>2746</v>
      </c>
      <c r="B585" s="43" t="s">
        <v>2747</v>
      </c>
      <c r="C585" s="44" t="s">
        <v>2748</v>
      </c>
      <c r="D585" s="44" t="s">
        <v>1162</v>
      </c>
      <c r="E585" s="45" t="s">
        <v>2749</v>
      </c>
      <c r="F585" s="45" t="s">
        <v>2750</v>
      </c>
      <c r="G585" s="46" t="s">
        <v>40</v>
      </c>
      <c r="H585" s="48">
        <v>46196</v>
      </c>
      <c r="I585" s="48">
        <v>46217</v>
      </c>
      <c r="J585" s="44" t="s">
        <v>75</v>
      </c>
      <c r="K585" s="44" t="s">
        <v>76</v>
      </c>
      <c r="L585" s="50" t="s">
        <v>77</v>
      </c>
      <c r="M585" s="50"/>
      <c r="N585" s="50"/>
      <c r="O585" s="49"/>
      <c r="P585" s="50" t="str">
        <f t="shared" si="36"/>
        <v>ONAY</v>
      </c>
      <c r="R585" s="51" t="str">
        <f t="shared" si="37"/>
        <v/>
      </c>
      <c r="T585" s="41"/>
      <c r="U585" s="29">
        <f>IF($C585&lt;&gt;"",COUNTIF($C$2:C585,C585),"")</f>
        <v>1</v>
      </c>
      <c r="V585" s="29" t="str">
        <f t="shared" si="38"/>
        <v>Doç. Dr. Fatima AERTS KAYA§1</v>
      </c>
      <c r="W585" s="29">
        <f>IF(U585=1,COUNTIF($U$2:U585,1),"")</f>
        <v>295</v>
      </c>
      <c r="X585" s="29">
        <f t="shared" si="39"/>
        <v>55</v>
      </c>
      <c r="Y585" s="29">
        <f>IF(AND(LEFT($B585,7)="SBA 26/",$D585&lt;&gt;"",$F585&lt;&gt;""),COUNTIFS($D$2:$D585,$D585,$B$2:$B585,"SBA 26/*",$F$2:$F585,"&lt;&gt;"),"")</f>
        <v>3</v>
      </c>
      <c r="Z585" s="29" t="str">
        <f>IF(Y585=1,COUNTIF($Y$2:Y585,1),"")</f>
        <v/>
      </c>
      <c r="AA585" s="29">
        <f>IF(AND(LEFT($B585,7)="SBA 26/",$C585&lt;&gt;"",$F585&lt;&gt;""),COUNTIFS($C$2:$C585,$C585,$B$2:$B585,"SBA 26/*",$F$2:$F585,"&lt;&gt;"),"")</f>
        <v>1</v>
      </c>
      <c r="AB585" s="29">
        <f>IF(AA585=1,COUNTIF($AA$2:AA585,1),"")</f>
        <v>295</v>
      </c>
    </row>
    <row r="586" spans="1:28" ht="94.5" customHeight="1" x14ac:dyDescent="0.2">
      <c r="A586" s="43" t="s">
        <v>2751</v>
      </c>
      <c r="B586" s="43" t="s">
        <v>2752</v>
      </c>
      <c r="C586" s="44" t="s">
        <v>396</v>
      </c>
      <c r="D586" s="44" t="s">
        <v>397</v>
      </c>
      <c r="E586" s="45" t="s">
        <v>2753</v>
      </c>
      <c r="F586" s="45" t="s">
        <v>2754</v>
      </c>
      <c r="G586" s="46" t="s">
        <v>39</v>
      </c>
      <c r="H586" s="48">
        <v>46196</v>
      </c>
      <c r="I586" s="48">
        <v>46217</v>
      </c>
      <c r="J586" s="44" t="s">
        <v>109</v>
      </c>
      <c r="K586" s="44" t="s">
        <v>84</v>
      </c>
      <c r="L586" s="50" t="s">
        <v>77</v>
      </c>
      <c r="M586" s="50"/>
      <c r="N586" s="50"/>
      <c r="O586" s="49"/>
      <c r="P586" s="50" t="str">
        <f t="shared" si="36"/>
        <v>ONAY</v>
      </c>
      <c r="R586" s="51" t="str">
        <f t="shared" si="37"/>
        <v/>
      </c>
      <c r="T586" s="41"/>
      <c r="U586" s="29">
        <f>IF($C586&lt;&gt;"",COUNTIF($C$2:C586,C586),"")</f>
        <v>7</v>
      </c>
      <c r="V586" s="29" t="str">
        <f t="shared" si="38"/>
        <v>Prof. Dr. Salih Kutay DEMİRKAN§7</v>
      </c>
      <c r="W586" s="29" t="str">
        <f>IF(U586=1,COUNTIF($U$2:U586,1),"")</f>
        <v/>
      </c>
      <c r="X586" s="29" t="str">
        <f t="shared" si="39"/>
        <v/>
      </c>
      <c r="Y586" s="29">
        <f>IF(AND(LEFT($B586,7)="SBA 26/",$D586&lt;&gt;"",$F586&lt;&gt;""),COUNTIFS($D$2:$D586,$D586,$B$2:$B586,"SBA 26/*",$F$2:$F586,"&lt;&gt;"),"")</f>
        <v>15</v>
      </c>
      <c r="Z586" s="29" t="str">
        <f>IF(Y586=1,COUNTIF($Y$2:Y586,1),"")</f>
        <v/>
      </c>
      <c r="AA586" s="29">
        <f>IF(AND(LEFT($B586,7)="SBA 26/",$C586&lt;&gt;"",$F586&lt;&gt;""),COUNTIFS($C$2:$C586,$C586,$B$2:$B586,"SBA 26/*",$F$2:$F586,"&lt;&gt;"),"")</f>
        <v>7</v>
      </c>
      <c r="AB586" s="29" t="str">
        <f>IF(AA586=1,COUNTIF($AA$2:AA586,1),"")</f>
        <v/>
      </c>
    </row>
    <row r="587" spans="1:28" ht="63" customHeight="1" x14ac:dyDescent="0.2">
      <c r="A587" s="43" t="s">
        <v>2755</v>
      </c>
      <c r="B587" s="59" t="s">
        <v>2756</v>
      </c>
      <c r="C587" s="50" t="s">
        <v>243</v>
      </c>
      <c r="D587" s="50" t="s">
        <v>113</v>
      </c>
      <c r="E587" s="60" t="s">
        <v>2757</v>
      </c>
      <c r="F587" s="60" t="s">
        <v>2758</v>
      </c>
      <c r="G587" s="61" t="s">
        <v>38</v>
      </c>
      <c r="H587" s="62">
        <v>46197</v>
      </c>
      <c r="I587" s="62">
        <v>46217</v>
      </c>
      <c r="J587" s="44" t="s">
        <v>123</v>
      </c>
      <c r="K587" s="44" t="s">
        <v>100</v>
      </c>
      <c r="L587" s="50" t="s">
        <v>77</v>
      </c>
      <c r="M587" s="50"/>
      <c r="N587" s="50"/>
      <c r="O587" s="49"/>
      <c r="P587" s="50" t="str">
        <f t="shared" si="36"/>
        <v>ONAY</v>
      </c>
      <c r="R587" s="51" t="str">
        <f t="shared" si="37"/>
        <v/>
      </c>
      <c r="T587" s="41"/>
      <c r="U587" s="29">
        <f>IF($C587&lt;&gt;"",COUNTIF($C$2:C587,C587),"")</f>
        <v>4</v>
      </c>
      <c r="V587" s="29" t="str">
        <f t="shared" si="38"/>
        <v>Doç. Dr. Levent KILIÇ§4</v>
      </c>
      <c r="W587" s="29" t="str">
        <f>IF(U587=1,COUNTIF($U$2:U587,1),"")</f>
        <v/>
      </c>
      <c r="X587" s="29" t="str">
        <f t="shared" si="39"/>
        <v/>
      </c>
      <c r="Y587" s="29">
        <f>IF(AND(LEFT($B587,7)="SBA 26/",$D587&lt;&gt;"",$F587&lt;&gt;""),COUNTIFS($D$2:$D587,$D587,$B$2:$B587,"SBA 26/*",$F$2:$F587,"&lt;&gt;"),"")</f>
        <v>99</v>
      </c>
      <c r="Z587" s="29" t="str">
        <f>IF(Y587=1,COUNTIF($Y$2:Y587,1),"")</f>
        <v/>
      </c>
      <c r="AA587" s="29">
        <f>IF(AND(LEFT($B587,7)="SBA 26/",$C587&lt;&gt;"",$F587&lt;&gt;""),COUNTIFS($C$2:$C587,$C587,$B$2:$B587,"SBA 26/*",$F$2:$F587,"&lt;&gt;"),"")</f>
        <v>4</v>
      </c>
      <c r="AB587" s="29" t="str">
        <f>IF(AA587=1,COUNTIF($AA$2:AA587,1),"")</f>
        <v/>
      </c>
    </row>
    <row r="588" spans="1:28" ht="78.75" customHeight="1" x14ac:dyDescent="0.2">
      <c r="A588" s="43" t="s">
        <v>2759</v>
      </c>
      <c r="B588" s="43" t="s">
        <v>2760</v>
      </c>
      <c r="C588" s="44" t="s">
        <v>965</v>
      </c>
      <c r="D588" s="44" t="s">
        <v>966</v>
      </c>
      <c r="E588" s="45" t="s">
        <v>2761</v>
      </c>
      <c r="F588" s="45" t="s">
        <v>2762</v>
      </c>
      <c r="G588" s="46" t="s">
        <v>38</v>
      </c>
      <c r="H588" s="48">
        <v>46197</v>
      </c>
      <c r="I588" s="48">
        <v>46217</v>
      </c>
      <c r="J588" s="44" t="s">
        <v>91</v>
      </c>
      <c r="K588" s="44" t="s">
        <v>116</v>
      </c>
      <c r="L588" s="50" t="s">
        <v>101</v>
      </c>
      <c r="M588" s="50" t="s">
        <v>77</v>
      </c>
      <c r="N588" s="50"/>
      <c r="O588" s="49"/>
      <c r="P588" s="50" t="str">
        <f t="shared" si="36"/>
        <v>ONAY</v>
      </c>
      <c r="Q588" s="28" t="s">
        <v>91</v>
      </c>
      <c r="R588" s="51" t="str">
        <f t="shared" si="37"/>
        <v/>
      </c>
      <c r="T588" s="41"/>
      <c r="U588" s="29">
        <f>IF($C588&lt;&gt;"",COUNTIF($C$2:C588,C588),"")</f>
        <v>2</v>
      </c>
      <c r="V588" s="29" t="str">
        <f t="shared" si="38"/>
        <v>Doç. Dr. İzzet FİDANCI§2</v>
      </c>
      <c r="W588" s="29" t="str">
        <f>IF(U588=1,COUNTIF($U$2:U588,1),"")</f>
        <v/>
      </c>
      <c r="X588" s="29" t="str">
        <f t="shared" si="39"/>
        <v/>
      </c>
      <c r="Y588" s="29">
        <f>IF(AND(LEFT($B588,7)="SBA 26/",$D588&lt;&gt;"",$F588&lt;&gt;""),COUNTIFS($D$2:$D588,$D588,$B$2:$B588,"SBA 26/*",$F$2:$F588,"&lt;&gt;"),"")</f>
        <v>11</v>
      </c>
      <c r="Z588" s="29" t="str">
        <f>IF(Y588=1,COUNTIF($Y$2:Y588,1),"")</f>
        <v/>
      </c>
      <c r="AA588" s="29">
        <f>IF(AND(LEFT($B588,7)="SBA 26/",$C588&lt;&gt;"",$F588&lt;&gt;""),COUNTIFS($C$2:$C588,$C588,$B$2:$B588,"SBA 26/*",$F$2:$F588,"&lt;&gt;"),"")</f>
        <v>2</v>
      </c>
      <c r="AB588" s="29" t="str">
        <f>IF(AA588=1,COUNTIF($AA$2:AA588,1),"")</f>
        <v/>
      </c>
    </row>
    <row r="589" spans="1:28" ht="94.5" customHeight="1" x14ac:dyDescent="0.2">
      <c r="A589" s="43" t="s">
        <v>2763</v>
      </c>
      <c r="B589" s="43" t="s">
        <v>2764</v>
      </c>
      <c r="C589" s="44" t="s">
        <v>2748</v>
      </c>
      <c r="D589" s="44" t="s">
        <v>1162</v>
      </c>
      <c r="E589" s="45" t="s">
        <v>2765</v>
      </c>
      <c r="F589" s="45" t="s">
        <v>2766</v>
      </c>
      <c r="G589" s="46" t="s">
        <v>40</v>
      </c>
      <c r="H589" s="48">
        <v>46197</v>
      </c>
      <c r="I589" s="48">
        <v>46217</v>
      </c>
      <c r="J589" s="44" t="s">
        <v>75</v>
      </c>
      <c r="K589" s="44" t="s">
        <v>99</v>
      </c>
      <c r="L589" s="50" t="s">
        <v>77</v>
      </c>
      <c r="M589" s="50"/>
      <c r="N589" s="50"/>
      <c r="O589" s="49"/>
      <c r="P589" s="50" t="str">
        <f t="shared" si="36"/>
        <v>ONAY</v>
      </c>
      <c r="R589" s="51" t="str">
        <f t="shared" si="37"/>
        <v/>
      </c>
      <c r="T589" s="41"/>
      <c r="U589" s="29">
        <f>IF($C589&lt;&gt;"",COUNTIF($C$2:C589,C589),"")</f>
        <v>2</v>
      </c>
      <c r="V589" s="29" t="str">
        <f t="shared" si="38"/>
        <v>Doç. Dr. Fatima AERTS KAYA§2</v>
      </c>
      <c r="W589" s="29" t="str">
        <f>IF(U589=1,COUNTIF($U$2:U589,1),"")</f>
        <v/>
      </c>
      <c r="X589" s="29" t="str">
        <f t="shared" si="39"/>
        <v/>
      </c>
      <c r="Y589" s="29">
        <f>IF(AND(LEFT($B589,7)="SBA 26/",$D589&lt;&gt;"",$F589&lt;&gt;""),COUNTIFS($D$2:$D589,$D589,$B$2:$B589,"SBA 26/*",$F$2:$F589,"&lt;&gt;"),"")</f>
        <v>4</v>
      </c>
      <c r="Z589" s="29" t="str">
        <f>IF(Y589=1,COUNTIF($Y$2:Y589,1),"")</f>
        <v/>
      </c>
      <c r="AA589" s="29">
        <f>IF(AND(LEFT($B589,7)="SBA 26/",$C589&lt;&gt;"",$F589&lt;&gt;""),COUNTIFS($C$2:$C589,$C589,$B$2:$B589,"SBA 26/*",$F$2:$F589,"&lt;&gt;"),"")</f>
        <v>2</v>
      </c>
      <c r="AB589" s="29" t="str">
        <f>IF(AA589=1,COUNTIF($AA$2:AA589,1),"")</f>
        <v/>
      </c>
    </row>
    <row r="590" spans="1:28" ht="63" customHeight="1" x14ac:dyDescent="0.2">
      <c r="A590" s="43" t="s">
        <v>2767</v>
      </c>
      <c r="B590" s="43" t="s">
        <v>2768</v>
      </c>
      <c r="C590" s="44" t="s">
        <v>2672</v>
      </c>
      <c r="D590" s="44" t="s">
        <v>222</v>
      </c>
      <c r="E590" s="45" t="s">
        <v>2685</v>
      </c>
      <c r="F590" s="45" t="s">
        <v>2769</v>
      </c>
      <c r="G590" s="46" t="s">
        <v>38</v>
      </c>
      <c r="H590" s="48">
        <v>46216</v>
      </c>
      <c r="I590" s="48">
        <v>46224</v>
      </c>
      <c r="J590" s="44" t="s">
        <v>76</v>
      </c>
      <c r="K590" s="44" t="s">
        <v>84</v>
      </c>
      <c r="L590" s="50" t="s">
        <v>77</v>
      </c>
      <c r="M590" s="50"/>
      <c r="N590" s="50"/>
      <c r="O590" s="49"/>
      <c r="P590" s="50" t="str">
        <f t="shared" si="36"/>
        <v>ONAY</v>
      </c>
      <c r="R590" s="51" t="str">
        <f t="shared" si="37"/>
        <v/>
      </c>
      <c r="T590" s="41"/>
      <c r="U590" s="29">
        <f>IF($C590&lt;&gt;"",COUNTIF($C$2:C590,C590),"")</f>
        <v>3</v>
      </c>
      <c r="V590" s="29" t="str">
        <f t="shared" si="38"/>
        <v>Prof. Dr. Selin AYTAÇ EYÜPOĞLU§3</v>
      </c>
      <c r="W590" s="29" t="str">
        <f>IF(U590=1,COUNTIF($U$2:U590,1),"")</f>
        <v/>
      </c>
      <c r="X590" s="29" t="str">
        <f t="shared" si="39"/>
        <v/>
      </c>
      <c r="Y590" s="29">
        <f>IF(AND(LEFT($B590,7)="SBA 26/",$D590&lt;&gt;"",$F590&lt;&gt;""),COUNTIFS($D$2:$D590,$D590,$B$2:$B590,"SBA 26/*",$F$2:$F590,"&lt;&gt;"),"")</f>
        <v>94</v>
      </c>
      <c r="Z590" s="29" t="str">
        <f>IF(Y590=1,COUNTIF($Y$2:Y590,1),"")</f>
        <v/>
      </c>
      <c r="AA590" s="29">
        <f>IF(AND(LEFT($B590,7)="SBA 26/",$C590&lt;&gt;"",$F590&lt;&gt;""),COUNTIFS($C$2:$C590,$C590,$B$2:$B590,"SBA 26/*",$F$2:$F590,"&lt;&gt;"),"")</f>
        <v>3</v>
      </c>
      <c r="AB590" s="29" t="str">
        <f>IF(AA590=1,COUNTIF($AA$2:AA590,1),"")</f>
        <v/>
      </c>
    </row>
    <row r="591" spans="1:28" ht="63" customHeight="1" x14ac:dyDescent="0.2">
      <c r="A591" s="43" t="s">
        <v>2770</v>
      </c>
      <c r="B591" s="43" t="s">
        <v>2771</v>
      </c>
      <c r="C591" s="44" t="s">
        <v>2772</v>
      </c>
      <c r="D591" s="44" t="s">
        <v>222</v>
      </c>
      <c r="E591" s="45" t="s">
        <v>2773</v>
      </c>
      <c r="F591" s="45" t="s">
        <v>2774</v>
      </c>
      <c r="G591" s="46" t="s">
        <v>38</v>
      </c>
      <c r="H591" s="48">
        <v>46216</v>
      </c>
      <c r="I591" s="48">
        <v>46224</v>
      </c>
      <c r="J591" s="44" t="s">
        <v>92</v>
      </c>
      <c r="K591" s="44" t="s">
        <v>100</v>
      </c>
      <c r="L591" s="50" t="s">
        <v>77</v>
      </c>
      <c r="M591" s="50"/>
      <c r="N591" s="50"/>
      <c r="O591" s="49"/>
      <c r="P591" s="50" t="str">
        <f t="shared" si="36"/>
        <v>ONAY</v>
      </c>
      <c r="R591" s="51" t="str">
        <f t="shared" si="37"/>
        <v/>
      </c>
      <c r="T591" s="41"/>
      <c r="U591" s="29">
        <f>IF($C591&lt;&gt;"",COUNTIF($C$2:C591,C591),"")</f>
        <v>1</v>
      </c>
      <c r="V591" s="29" t="str">
        <f t="shared" si="38"/>
        <v>Prof. Dr. İlker ERTUĞRUL§1</v>
      </c>
      <c r="W591" s="29">
        <f>IF(U591=1,COUNTIF($U$2:U591,1),"")</f>
        <v>296</v>
      </c>
      <c r="X591" s="29">
        <f t="shared" si="39"/>
        <v>253</v>
      </c>
      <c r="Y591" s="29">
        <f>IF(AND(LEFT($B591,7)="SBA 26/",$D591&lt;&gt;"",$F591&lt;&gt;""),COUNTIFS($D$2:$D591,$D591,$B$2:$B591,"SBA 26/*",$F$2:$F591,"&lt;&gt;"),"")</f>
        <v>95</v>
      </c>
      <c r="Z591" s="29" t="str">
        <f>IF(Y591=1,COUNTIF($Y$2:Y591,1),"")</f>
        <v/>
      </c>
      <c r="AA591" s="29">
        <f>IF(AND(LEFT($B591,7)="SBA 26/",$C591&lt;&gt;"",$F591&lt;&gt;""),COUNTIFS($C$2:$C591,$C591,$B$2:$B591,"SBA 26/*",$F$2:$F591,"&lt;&gt;"),"")</f>
        <v>1</v>
      </c>
      <c r="AB591" s="29">
        <f>IF(AA591=1,COUNTIF($AA$2:AA591,1),"")</f>
        <v>296</v>
      </c>
    </row>
    <row r="592" spans="1:28" ht="78.75" customHeight="1" x14ac:dyDescent="0.2">
      <c r="A592" s="43" t="s">
        <v>2775</v>
      </c>
      <c r="B592" s="43" t="s">
        <v>2776</v>
      </c>
      <c r="C592" s="44" t="s">
        <v>1321</v>
      </c>
      <c r="D592" s="44" t="s">
        <v>215</v>
      </c>
      <c r="E592" s="45" t="s">
        <v>2777</v>
      </c>
      <c r="F592" s="45" t="s">
        <v>2778</v>
      </c>
      <c r="G592" s="46" t="s">
        <v>38</v>
      </c>
      <c r="H592" s="48">
        <v>46216</v>
      </c>
      <c r="I592" s="48">
        <v>46224</v>
      </c>
      <c r="J592" s="44" t="s">
        <v>91</v>
      </c>
      <c r="K592" s="44" t="s">
        <v>123</v>
      </c>
      <c r="L592" s="50" t="s">
        <v>101</v>
      </c>
      <c r="M592" s="50"/>
      <c r="N592" s="50"/>
      <c r="O592" s="49"/>
      <c r="P592" s="50" t="str">
        <f t="shared" si="36"/>
        <v>DÜZELTME</v>
      </c>
      <c r="R592" s="51" t="str">
        <f t="shared" si="37"/>
        <v/>
      </c>
      <c r="T592" s="41"/>
      <c r="U592" s="29">
        <f>IF($C592&lt;&gt;"",COUNTIF($C$2:C592,C592),"")</f>
        <v>4</v>
      </c>
      <c r="V592" s="29" t="str">
        <f t="shared" si="38"/>
        <v>Dr. Öğr. Üyesi Selen ADİLOĞLU§4</v>
      </c>
      <c r="W592" s="29" t="str">
        <f>IF(U592=1,COUNTIF($U$2:U592,1),"")</f>
        <v/>
      </c>
      <c r="X592" s="29" t="str">
        <f t="shared" si="39"/>
        <v/>
      </c>
      <c r="Y592" s="29">
        <f>IF(AND(LEFT($B592,7)="SBA 26/",$D592&lt;&gt;"",$F592&lt;&gt;""),COUNTIFS($D$2:$D592,$D592,$B$2:$B592,"SBA 26/*",$F$2:$F592,"&lt;&gt;"),"")</f>
        <v>8</v>
      </c>
      <c r="Z592" s="29" t="str">
        <f>IF(Y592=1,COUNTIF($Y$2:Y592,1),"")</f>
        <v/>
      </c>
      <c r="AA592" s="29">
        <f>IF(AND(LEFT($B592,7)="SBA 26/",$C592&lt;&gt;"",$F592&lt;&gt;""),COUNTIFS($C$2:$C592,$C592,$B$2:$B592,"SBA 26/*",$F$2:$F592,"&lt;&gt;"),"")</f>
        <v>4</v>
      </c>
      <c r="AB592" s="29" t="str">
        <f>IF(AA592=1,COUNTIF($AA$2:AA592,1),"")</f>
        <v/>
      </c>
    </row>
    <row r="593" spans="1:28" ht="78.75" customHeight="1" x14ac:dyDescent="0.2">
      <c r="A593" s="43" t="s">
        <v>2779</v>
      </c>
      <c r="B593" s="43" t="s">
        <v>2780</v>
      </c>
      <c r="C593" s="44" t="s">
        <v>2781</v>
      </c>
      <c r="D593" s="44" t="s">
        <v>991</v>
      </c>
      <c r="E593" s="45" t="s">
        <v>2782</v>
      </c>
      <c r="F593" s="45" t="s">
        <v>2783</v>
      </c>
      <c r="G593" s="46" t="s">
        <v>38</v>
      </c>
      <c r="H593" s="48">
        <v>46216</v>
      </c>
      <c r="I593" s="48">
        <v>46224</v>
      </c>
      <c r="J593" s="44" t="s">
        <v>123</v>
      </c>
      <c r="K593" s="44" t="s">
        <v>116</v>
      </c>
      <c r="L593" s="50" t="s">
        <v>77</v>
      </c>
      <c r="M593" s="50"/>
      <c r="N593" s="50"/>
      <c r="O593" s="49"/>
      <c r="P593" s="50" t="str">
        <f t="shared" si="36"/>
        <v>ONAY</v>
      </c>
      <c r="R593" s="51" t="str">
        <f t="shared" si="37"/>
        <v/>
      </c>
      <c r="T593" s="41"/>
      <c r="U593" s="29">
        <f>IF($C593&lt;&gt;"",COUNTIF($C$2:C593,C593),"")</f>
        <v>1</v>
      </c>
      <c r="V593" s="29" t="str">
        <f t="shared" si="38"/>
        <v>Prof. Dr. Uzay KOÇ VURAL§1</v>
      </c>
      <c r="W593" s="29">
        <f>IF(U593=1,COUNTIF($U$2:U593,1),"")</f>
        <v>297</v>
      </c>
      <c r="X593" s="29">
        <f t="shared" si="39"/>
        <v>337</v>
      </c>
      <c r="Y593" s="29">
        <f>IF(AND(LEFT($B593,7)="SBA 26/",$D593&lt;&gt;"",$F593&lt;&gt;""),COUNTIFS($D$2:$D593,$D593,$B$2:$B593,"SBA 26/*",$F$2:$F593,"&lt;&gt;"),"")</f>
        <v>3</v>
      </c>
      <c r="Z593" s="29" t="str">
        <f>IF(Y593=1,COUNTIF($Y$2:Y593,1),"")</f>
        <v/>
      </c>
      <c r="AA593" s="29">
        <f>IF(AND(LEFT($B593,7)="SBA 26/",$C593&lt;&gt;"",$F593&lt;&gt;""),COUNTIFS($C$2:$C593,$C593,$B$2:$B593,"SBA 26/*",$F$2:$F593,"&lt;&gt;"),"")</f>
        <v>1</v>
      </c>
      <c r="AB593" s="29">
        <f>IF(AA593=1,COUNTIF($AA$2:AA593,1),"")</f>
        <v>297</v>
      </c>
    </row>
    <row r="594" spans="1:28" ht="94.5" customHeight="1" x14ac:dyDescent="0.2">
      <c r="A594" s="43" t="s">
        <v>2784</v>
      </c>
      <c r="B594" s="43" t="s">
        <v>2785</v>
      </c>
      <c r="C594" s="44" t="s">
        <v>1528</v>
      </c>
      <c r="D594" s="44" t="s">
        <v>234</v>
      </c>
      <c r="E594" s="45" t="s">
        <v>2786</v>
      </c>
      <c r="F594" s="45" t="s">
        <v>2787</v>
      </c>
      <c r="G594" s="46" t="s">
        <v>38</v>
      </c>
      <c r="H594" s="48">
        <v>46216</v>
      </c>
      <c r="I594" s="48">
        <v>46224</v>
      </c>
      <c r="J594" s="44" t="s">
        <v>91</v>
      </c>
      <c r="K594" s="44" t="s">
        <v>129</v>
      </c>
      <c r="L594" s="50" t="s">
        <v>77</v>
      </c>
      <c r="M594" s="50"/>
      <c r="N594" s="50"/>
      <c r="O594" s="49"/>
      <c r="P594" s="50" t="str">
        <f t="shared" si="36"/>
        <v>ONAY</v>
      </c>
      <c r="R594" s="51" t="str">
        <f t="shared" si="37"/>
        <v/>
      </c>
      <c r="T594" s="41"/>
      <c r="U594" s="29">
        <f>IF($C594&lt;&gt;"",COUNTIF($C$2:C594,C594),"")</f>
        <v>7</v>
      </c>
      <c r="V594" s="29" t="str">
        <f t="shared" si="38"/>
        <v>Doç. Dr. Cem ÇÖTELİ§7</v>
      </c>
      <c r="W594" s="29" t="str">
        <f>IF(U594=1,COUNTIF($U$2:U594,1),"")</f>
        <v/>
      </c>
      <c r="X594" s="29" t="str">
        <f t="shared" si="39"/>
        <v/>
      </c>
      <c r="Y594" s="29">
        <f>IF(AND(LEFT($B594,7)="SBA 26/",$D594&lt;&gt;"",$F594&lt;&gt;""),COUNTIFS($D$2:$D594,$D594,$B$2:$B594,"SBA 26/*",$F$2:$F594,"&lt;&gt;"),"")</f>
        <v>19</v>
      </c>
      <c r="Z594" s="29" t="str">
        <f>IF(Y594=1,COUNTIF($Y$2:Y594,1),"")</f>
        <v/>
      </c>
      <c r="AA594" s="29">
        <f>IF(AND(LEFT($B594,7)="SBA 26/",$C594&lt;&gt;"",$F594&lt;&gt;""),COUNTIFS($C$2:$C594,$C594,$B$2:$B594,"SBA 26/*",$F$2:$F594,"&lt;&gt;"),"")</f>
        <v>7</v>
      </c>
      <c r="AB594" s="29" t="str">
        <f>IF(AA594=1,COUNTIF($AA$2:AA594,1),"")</f>
        <v/>
      </c>
    </row>
    <row r="595" spans="1:28" ht="78.75" customHeight="1" x14ac:dyDescent="0.2">
      <c r="A595" s="43" t="s">
        <v>2788</v>
      </c>
      <c r="B595" s="43" t="s">
        <v>2789</v>
      </c>
      <c r="C595" s="44" t="s">
        <v>2402</v>
      </c>
      <c r="D595" s="44" t="s">
        <v>113</v>
      </c>
      <c r="E595" s="45" t="s">
        <v>2790</v>
      </c>
      <c r="F595" s="45" t="s">
        <v>2791</v>
      </c>
      <c r="G595" s="46" t="s">
        <v>38</v>
      </c>
      <c r="H595" s="48">
        <v>46216</v>
      </c>
      <c r="I595" s="48">
        <v>46224</v>
      </c>
      <c r="J595" s="44" t="s">
        <v>109</v>
      </c>
      <c r="K595" s="44" t="s">
        <v>99</v>
      </c>
      <c r="L595" s="50" t="s">
        <v>101</v>
      </c>
      <c r="M595" s="50"/>
      <c r="N595" s="50"/>
      <c r="O595" s="49"/>
      <c r="P595" s="50" t="str">
        <f t="shared" si="36"/>
        <v>DÜZELTME</v>
      </c>
      <c r="R595" s="51" t="str">
        <f t="shared" si="37"/>
        <v/>
      </c>
      <c r="T595" s="41"/>
      <c r="U595" s="29">
        <f>IF($C595&lt;&gt;"",COUNTIF($C$2:C595,C595),"")</f>
        <v>2</v>
      </c>
      <c r="V595" s="29" t="str">
        <f t="shared" si="38"/>
        <v>Prof. Dr. Uğur ÜNLÜTÜRK§2</v>
      </c>
      <c r="W595" s="29" t="str">
        <f>IF(U595=1,COUNTIF($U$2:U595,1),"")</f>
        <v/>
      </c>
      <c r="X595" s="29" t="str">
        <f t="shared" si="39"/>
        <v/>
      </c>
      <c r="Y595" s="29">
        <f>IF(AND(LEFT($B595,7)="SBA 26/",$D595&lt;&gt;"",$F595&lt;&gt;""),COUNTIFS($D$2:$D595,$D595,$B$2:$B595,"SBA 26/*",$F$2:$F595,"&lt;&gt;"),"")</f>
        <v>100</v>
      </c>
      <c r="Z595" s="29" t="str">
        <f>IF(Y595=1,COUNTIF($Y$2:Y595,1),"")</f>
        <v/>
      </c>
      <c r="AA595" s="29">
        <f>IF(AND(LEFT($B595,7)="SBA 26/",$C595&lt;&gt;"",$F595&lt;&gt;""),COUNTIFS($C$2:$C595,$C595,$B$2:$B595,"SBA 26/*",$F$2:$F595,"&lt;&gt;"),"")</f>
        <v>2</v>
      </c>
      <c r="AB595" s="29" t="str">
        <f>IF(AA595=1,COUNTIF($AA$2:AA595,1),"")</f>
        <v/>
      </c>
    </row>
    <row r="596" spans="1:28" ht="94.5" customHeight="1" x14ac:dyDescent="0.2">
      <c r="A596" s="43" t="s">
        <v>2792</v>
      </c>
      <c r="B596" s="43" t="s">
        <v>2793</v>
      </c>
      <c r="C596" s="44" t="s">
        <v>175</v>
      </c>
      <c r="D596" s="44" t="s">
        <v>169</v>
      </c>
      <c r="E596" s="45" t="s">
        <v>2794</v>
      </c>
      <c r="F596" s="45" t="s">
        <v>2795</v>
      </c>
      <c r="G596" s="46" t="s">
        <v>38</v>
      </c>
      <c r="H596" s="48">
        <v>46216</v>
      </c>
      <c r="I596" s="48">
        <v>46224</v>
      </c>
      <c r="J596" s="44" t="s">
        <v>100</v>
      </c>
      <c r="K596" s="44" t="s">
        <v>129</v>
      </c>
      <c r="L596" s="50" t="s">
        <v>77</v>
      </c>
      <c r="M596" s="50"/>
      <c r="N596" s="50"/>
      <c r="O596" s="49"/>
      <c r="P596" s="50" t="str">
        <f t="shared" si="36"/>
        <v>ONAY</v>
      </c>
      <c r="R596" s="51" t="str">
        <f t="shared" si="37"/>
        <v/>
      </c>
      <c r="T596" s="41"/>
      <c r="U596" s="29">
        <f>IF($C596&lt;&gt;"",COUNTIF($C$2:C596,C596),"")</f>
        <v>5</v>
      </c>
      <c r="V596" s="29" t="str">
        <f t="shared" si="38"/>
        <v>Prof. Dr. Gül KARAKAYA§5</v>
      </c>
      <c r="W596" s="29" t="str">
        <f>IF(U596=1,COUNTIF($U$2:U596,1),"")</f>
        <v/>
      </c>
      <c r="X596" s="29" t="str">
        <f t="shared" si="39"/>
        <v/>
      </c>
      <c r="Y596" s="29">
        <f>IF(AND(LEFT($B596,7)="SBA 26/",$D596&lt;&gt;"",$F596&lt;&gt;""),COUNTIFS($D$2:$D596,$D596,$B$2:$B596,"SBA 26/*",$F$2:$F596,"&lt;&gt;"),"")</f>
        <v>16</v>
      </c>
      <c r="Z596" s="29" t="str">
        <f>IF(Y596=1,COUNTIF($Y$2:Y596,1),"")</f>
        <v/>
      </c>
      <c r="AA596" s="29">
        <f>IF(AND(LEFT($B596,7)="SBA 26/",$C596&lt;&gt;"",$F596&lt;&gt;""),COUNTIFS($C$2:$C596,$C596,$B$2:$B596,"SBA 26/*",$F$2:$F596,"&lt;&gt;"),"")</f>
        <v>5</v>
      </c>
      <c r="AB596" s="29" t="str">
        <f>IF(AA596=1,COUNTIF($AA$2:AA596,1),"")</f>
        <v/>
      </c>
    </row>
    <row r="597" spans="1:28" ht="63" customHeight="1" x14ac:dyDescent="0.2">
      <c r="A597" s="43" t="s">
        <v>2796</v>
      </c>
      <c r="B597" s="43" t="s">
        <v>2797</v>
      </c>
      <c r="C597" s="44" t="s">
        <v>2798</v>
      </c>
      <c r="D597" s="44" t="s">
        <v>584</v>
      </c>
      <c r="E597" s="45" t="s">
        <v>2799</v>
      </c>
      <c r="F597" s="45" t="s">
        <v>2800</v>
      </c>
      <c r="G597" s="46" t="s">
        <v>41</v>
      </c>
      <c r="H597" s="48">
        <v>46216</v>
      </c>
      <c r="I597" s="48">
        <v>46224</v>
      </c>
      <c r="J597" s="44" t="s">
        <v>75</v>
      </c>
      <c r="K597" s="44" t="s">
        <v>91</v>
      </c>
      <c r="L597" s="50" t="s">
        <v>101</v>
      </c>
      <c r="M597" s="50"/>
      <c r="N597" s="50"/>
      <c r="O597" s="49"/>
      <c r="P597" s="50" t="str">
        <f t="shared" si="36"/>
        <v>DÜZELTME</v>
      </c>
      <c r="R597" s="51" t="str">
        <f t="shared" si="37"/>
        <v/>
      </c>
      <c r="T597" s="41"/>
      <c r="U597" s="29">
        <f>IF($C597&lt;&gt;"",COUNTIF($C$2:C597,C597),"")</f>
        <v>1</v>
      </c>
      <c r="V597" s="29" t="str">
        <f t="shared" si="38"/>
        <v>Prof. Dr. Reyhan ATASÜ TOPÇUOĞLU§1</v>
      </c>
      <c r="W597" s="29">
        <f>IF(U597=1,COUNTIF($U$2:U597,1),"")</f>
        <v>298</v>
      </c>
      <c r="X597" s="29">
        <f t="shared" si="39"/>
        <v>305</v>
      </c>
      <c r="Y597" s="29">
        <f>IF(AND(LEFT($B597,7)="SBA 26/",$D597&lt;&gt;"",$F597&lt;&gt;""),COUNTIFS($D$2:$D597,$D597,$B$2:$B597,"SBA 26/*",$F$2:$F597,"&lt;&gt;"),"")</f>
        <v>6</v>
      </c>
      <c r="Z597" s="29" t="str">
        <f>IF(Y597=1,COUNTIF($Y$2:Y597,1),"")</f>
        <v/>
      </c>
      <c r="AA597" s="29">
        <f>IF(AND(LEFT($B597,7)="SBA 26/",$C597&lt;&gt;"",$F597&lt;&gt;""),COUNTIFS($C$2:$C597,$C597,$B$2:$B597,"SBA 26/*",$F$2:$F597,"&lt;&gt;"),"")</f>
        <v>1</v>
      </c>
      <c r="AB597" s="29">
        <f>IF(AA597=1,COUNTIF($AA$2:AA597,1),"")</f>
        <v>298</v>
      </c>
    </row>
    <row r="598" spans="1:28" ht="78.75" customHeight="1" x14ac:dyDescent="0.2">
      <c r="A598" s="43" t="s">
        <v>2801</v>
      </c>
      <c r="B598" s="43" t="s">
        <v>2802</v>
      </c>
      <c r="C598" s="44" t="s">
        <v>489</v>
      </c>
      <c r="D598" s="44" t="s">
        <v>297</v>
      </c>
      <c r="E598" s="45" t="s">
        <v>2803</v>
      </c>
      <c r="F598" s="45" t="s">
        <v>2804</v>
      </c>
      <c r="G598" s="46" t="s">
        <v>38</v>
      </c>
      <c r="H598" s="48">
        <v>46216</v>
      </c>
      <c r="I598" s="48">
        <v>46224</v>
      </c>
      <c r="J598" s="44" t="s">
        <v>123</v>
      </c>
      <c r="K598" s="44" t="s">
        <v>84</v>
      </c>
      <c r="L598" s="50" t="s">
        <v>77</v>
      </c>
      <c r="M598" s="50"/>
      <c r="N598" s="50"/>
      <c r="O598" s="49"/>
      <c r="P598" s="50" t="str">
        <f t="shared" si="36"/>
        <v>ONAY</v>
      </c>
      <c r="R598" s="51" t="str">
        <f t="shared" si="37"/>
        <v/>
      </c>
      <c r="T598" s="41"/>
      <c r="U598" s="29">
        <f>IF($C598&lt;&gt;"",COUNTIF($C$2:C598,C598),"")</f>
        <v>5</v>
      </c>
      <c r="V598" s="29" t="str">
        <f t="shared" si="38"/>
        <v>Doç. Dr. Ezgi ATİK§5</v>
      </c>
      <c r="W598" s="29" t="str">
        <f>IF(U598=1,COUNTIF($U$2:U598,1),"")</f>
        <v/>
      </c>
      <c r="X598" s="29" t="str">
        <f t="shared" si="39"/>
        <v/>
      </c>
      <c r="Y598" s="29">
        <f>IF(AND(LEFT($B598,7)="SBA 26/",$D598&lt;&gt;"",$F598&lt;&gt;""),COUNTIFS($D$2:$D598,$D598,$B$2:$B598,"SBA 26/*",$F$2:$F598,"&lt;&gt;"),"")</f>
        <v>10</v>
      </c>
      <c r="Z598" s="29" t="str">
        <f>IF(Y598=1,COUNTIF($Y$2:Y598,1),"")</f>
        <v/>
      </c>
      <c r="AA598" s="29">
        <f>IF(AND(LEFT($B598,7)="SBA 26/",$C598&lt;&gt;"",$F598&lt;&gt;""),COUNTIFS($C$2:$C598,$C598,$B$2:$B598,"SBA 26/*",$F$2:$F598,"&lt;&gt;"),"")</f>
        <v>5</v>
      </c>
      <c r="AB598" s="29" t="str">
        <f>IF(AA598=1,COUNTIF($AA$2:AA598,1),"")</f>
        <v/>
      </c>
    </row>
    <row r="599" spans="1:28" ht="65.25" customHeight="1" x14ac:dyDescent="0.2">
      <c r="A599" s="43" t="s">
        <v>2805</v>
      </c>
      <c r="B599" s="43" t="s">
        <v>2806</v>
      </c>
      <c r="C599" s="44" t="s">
        <v>2172</v>
      </c>
      <c r="D599" s="44" t="s">
        <v>157</v>
      </c>
      <c r="E599" s="45" t="s">
        <v>2807</v>
      </c>
      <c r="F599" s="45" t="s">
        <v>2808</v>
      </c>
      <c r="G599" s="46" t="s">
        <v>41</v>
      </c>
      <c r="H599" s="48">
        <v>46216</v>
      </c>
      <c r="I599" s="48">
        <v>46224</v>
      </c>
      <c r="J599" s="44" t="s">
        <v>91</v>
      </c>
      <c r="K599" s="44" t="s">
        <v>99</v>
      </c>
      <c r="L599" s="50" t="s">
        <v>77</v>
      </c>
      <c r="M599" s="50"/>
      <c r="N599" s="50"/>
      <c r="O599" s="49"/>
      <c r="P599" s="50" t="str">
        <f t="shared" si="36"/>
        <v>ONAY</v>
      </c>
      <c r="R599" s="51" t="str">
        <f t="shared" si="37"/>
        <v/>
      </c>
      <c r="T599" s="41"/>
      <c r="U599" s="29">
        <f>IF($C599&lt;&gt;"",COUNTIF($C$2:C599,C599),"")</f>
        <v>2</v>
      </c>
      <c r="V599" s="29" t="str">
        <f t="shared" si="38"/>
        <v>Doç. Dr. Barış SEZER§2</v>
      </c>
      <c r="W599" s="29" t="str">
        <f>IF(U599=1,COUNTIF($U$2:U599,1),"")</f>
        <v/>
      </c>
      <c r="X599" s="29" t="str">
        <f t="shared" si="39"/>
        <v/>
      </c>
      <c r="Y599" s="29">
        <f>IF(AND(LEFT($B599,7)="SBA 26/",$D599&lt;&gt;"",$F599&lt;&gt;""),COUNTIFS($D$2:$D599,$D599,$B$2:$B599,"SBA 26/*",$F$2:$F599,"&lt;&gt;"),"")</f>
        <v>3</v>
      </c>
      <c r="Z599" s="29" t="str">
        <f>IF(Y599=1,COUNTIF($Y$2:Y599,1),"")</f>
        <v/>
      </c>
      <c r="AA599" s="29">
        <f>IF(AND(LEFT($B599,7)="SBA 26/",$C599&lt;&gt;"",$F599&lt;&gt;""),COUNTIFS($C$2:$C599,$C599,$B$2:$B599,"SBA 26/*",$F$2:$F599,"&lt;&gt;"),"")</f>
        <v>2</v>
      </c>
      <c r="AB599" s="29" t="str">
        <f>IF(AA599=1,COUNTIF($AA$2:AA599,1),"")</f>
        <v/>
      </c>
    </row>
    <row r="600" spans="1:28" ht="63" customHeight="1" x14ac:dyDescent="0.2">
      <c r="A600" s="43" t="s">
        <v>2809</v>
      </c>
      <c r="B600" s="43" t="s">
        <v>2810</v>
      </c>
      <c r="C600" s="44" t="s">
        <v>2811</v>
      </c>
      <c r="D600" s="44" t="s">
        <v>193</v>
      </c>
      <c r="E600" s="45" t="s">
        <v>2812</v>
      </c>
      <c r="F600" s="45" t="s">
        <v>2813</v>
      </c>
      <c r="G600" s="46" t="s">
        <v>38</v>
      </c>
      <c r="H600" s="48">
        <v>46216</v>
      </c>
      <c r="I600" s="48">
        <v>46224</v>
      </c>
      <c r="J600" s="44" t="s">
        <v>109</v>
      </c>
      <c r="K600" s="44" t="s">
        <v>76</v>
      </c>
      <c r="L600" s="50" t="s">
        <v>172</v>
      </c>
      <c r="M600" s="50"/>
      <c r="N600" s="50"/>
      <c r="O600" s="49"/>
      <c r="P600" s="50" t="str">
        <f t="shared" si="36"/>
        <v>RET</v>
      </c>
      <c r="R600" s="51" t="str">
        <f t="shared" si="37"/>
        <v/>
      </c>
      <c r="T600" s="41"/>
      <c r="U600" s="29">
        <f>IF($C600&lt;&gt;"",COUNTIF($C$2:C600,C600),"")</f>
        <v>1</v>
      </c>
      <c r="V600" s="29" t="str">
        <f t="shared" si="38"/>
        <v>Dr. Öğr. Üyesi Yavuz Kemal ARIBAŞ§1</v>
      </c>
      <c r="W600" s="29">
        <f>IF(U600=1,COUNTIF($U$2:U600,1),"")</f>
        <v>299</v>
      </c>
      <c r="X600" s="29">
        <f t="shared" si="39"/>
        <v>172</v>
      </c>
      <c r="Y600" s="29">
        <f>IF(AND(LEFT($B600,7)="SBA 26/",$D600&lt;&gt;"",$F600&lt;&gt;""),COUNTIFS($D$2:$D600,$D600,$B$2:$B600,"SBA 26/*",$F$2:$F600,"&lt;&gt;"),"")</f>
        <v>16</v>
      </c>
      <c r="Z600" s="29" t="str">
        <f>IF(Y600=1,COUNTIF($Y$2:Y600,1),"")</f>
        <v/>
      </c>
      <c r="AA600" s="29">
        <f>IF(AND(LEFT($B600,7)="SBA 26/",$C600&lt;&gt;"",$F600&lt;&gt;""),COUNTIFS($C$2:$C600,$C600,$B$2:$B600,"SBA 26/*",$F$2:$F600,"&lt;&gt;"),"")</f>
        <v>1</v>
      </c>
      <c r="AB600" s="29">
        <f>IF(AA600=1,COUNTIF($AA$2:AA600,1),"")</f>
        <v>299</v>
      </c>
    </row>
    <row r="601" spans="1:28" ht="63" customHeight="1" x14ac:dyDescent="0.2">
      <c r="A601" s="43" t="s">
        <v>2814</v>
      </c>
      <c r="B601" s="43" t="s">
        <v>2815</v>
      </c>
      <c r="C601" s="44" t="s">
        <v>2816</v>
      </c>
      <c r="D601" s="44" t="s">
        <v>215</v>
      </c>
      <c r="E601" s="45" t="s">
        <v>2817</v>
      </c>
      <c r="F601" s="45" t="s">
        <v>2818</v>
      </c>
      <c r="G601" s="46" t="s">
        <v>38</v>
      </c>
      <c r="H601" s="48">
        <v>46216</v>
      </c>
      <c r="I601" s="48">
        <v>46224</v>
      </c>
      <c r="J601" s="44" t="s">
        <v>123</v>
      </c>
      <c r="K601" s="44" t="s">
        <v>116</v>
      </c>
      <c r="L601" s="50" t="s">
        <v>77</v>
      </c>
      <c r="M601" s="50"/>
      <c r="N601" s="50"/>
      <c r="O601" s="49"/>
      <c r="P601" s="50" t="str">
        <f t="shared" si="36"/>
        <v>ONAY</v>
      </c>
      <c r="R601" s="51" t="str">
        <f t="shared" si="37"/>
        <v/>
      </c>
      <c r="T601" s="41"/>
      <c r="U601" s="29">
        <f>IF($C601&lt;&gt;"",COUNTIF($C$2:C601,C601),"")</f>
        <v>1</v>
      </c>
      <c r="V601" s="29" t="str">
        <f t="shared" si="38"/>
        <v>Dr. Öğr. Üyesi Aydın Onur GERÇEK§1</v>
      </c>
      <c r="W601" s="29">
        <f>IF(U601=1,COUNTIF($U$2:U601,1),"")</f>
        <v>300</v>
      </c>
      <c r="X601" s="29">
        <f t="shared" si="39"/>
        <v>120</v>
      </c>
      <c r="Y601" s="29">
        <f>IF(AND(LEFT($B601,7)="SBA 26/",$D601&lt;&gt;"",$F601&lt;&gt;""),COUNTIFS($D$2:$D601,$D601,$B$2:$B601,"SBA 26/*",$F$2:$F601,"&lt;&gt;"),"")</f>
        <v>9</v>
      </c>
      <c r="Z601" s="29" t="str">
        <f>IF(Y601=1,COUNTIF($Y$2:Y601,1),"")</f>
        <v/>
      </c>
      <c r="AA601" s="29">
        <f>IF(AND(LEFT($B601,7)="SBA 26/",$C601&lt;&gt;"",$F601&lt;&gt;""),COUNTIFS($C$2:$C601,$C601,$B$2:$B601,"SBA 26/*",$F$2:$F601,"&lt;&gt;"),"")</f>
        <v>1</v>
      </c>
      <c r="AB601" s="29">
        <f>IF(AA601=1,COUNTIF($AA$2:AA601,1),"")</f>
        <v>300</v>
      </c>
    </row>
    <row r="602" spans="1:28" ht="63" customHeight="1" x14ac:dyDescent="0.2">
      <c r="A602" s="43" t="s">
        <v>2819</v>
      </c>
      <c r="B602" s="43" t="s">
        <v>2820</v>
      </c>
      <c r="C602" s="44" t="s">
        <v>2821</v>
      </c>
      <c r="D602" s="44" t="s">
        <v>2822</v>
      </c>
      <c r="E602" s="45" t="s">
        <v>2823</v>
      </c>
      <c r="F602" s="45" t="s">
        <v>2824</v>
      </c>
      <c r="G602" s="46" t="s">
        <v>41</v>
      </c>
      <c r="H602" s="48">
        <v>46216</v>
      </c>
      <c r="I602" s="48">
        <v>46224</v>
      </c>
      <c r="J602" s="44" t="s">
        <v>108</v>
      </c>
      <c r="K602" s="44" t="s">
        <v>75</v>
      </c>
      <c r="L602" s="50" t="s">
        <v>101</v>
      </c>
      <c r="M602" s="50"/>
      <c r="N602" s="50"/>
      <c r="O602" s="49"/>
      <c r="P602" s="50" t="str">
        <f t="shared" si="36"/>
        <v>DÜZELTME</v>
      </c>
      <c r="R602" s="51" t="str">
        <f t="shared" si="37"/>
        <v/>
      </c>
      <c r="T602" s="41"/>
      <c r="U602" s="29">
        <f>IF($C602&lt;&gt;"",COUNTIF($C$2:C602,C602),"")</f>
        <v>1</v>
      </c>
      <c r="V602" s="29" t="str">
        <f t="shared" si="38"/>
        <v>Prof. Dr. Selis ÖNEL KAYRAN§1</v>
      </c>
      <c r="W602" s="29">
        <f>IF(U602=1,COUNTIF($U$2:U602,1),"")</f>
        <v>301</v>
      </c>
      <c r="X602" s="29">
        <f t="shared" si="39"/>
        <v>314</v>
      </c>
      <c r="Y602" s="29">
        <f>IF(AND(LEFT($B602,7)="SBA 26/",$D602&lt;&gt;"",$F602&lt;&gt;""),COUNTIFS($D$2:$D602,$D602,$B$2:$B602,"SBA 26/*",$F$2:$F602,"&lt;&gt;"),"")</f>
        <v>1</v>
      </c>
      <c r="Z602" s="29">
        <f>IF(Y602=1,COUNTIF($Y$2:Y602,1),"")</f>
        <v>76</v>
      </c>
      <c r="AA602" s="29">
        <f>IF(AND(LEFT($B602,7)="SBA 26/",$C602&lt;&gt;"",$F602&lt;&gt;""),COUNTIFS($C$2:$C602,$C602,$B$2:$B602,"SBA 26/*",$F$2:$F602,"&lt;&gt;"),"")</f>
        <v>1</v>
      </c>
      <c r="AB602" s="29">
        <f>IF(AA602=1,COUNTIF($AA$2:AA602,1),"")</f>
        <v>301</v>
      </c>
    </row>
    <row r="603" spans="1:28" ht="110.25" customHeight="1" x14ac:dyDescent="0.2">
      <c r="A603" s="43" t="s">
        <v>2825</v>
      </c>
      <c r="B603" s="43" t="s">
        <v>2826</v>
      </c>
      <c r="C603" s="44" t="s">
        <v>2827</v>
      </c>
      <c r="D603" s="44" t="s">
        <v>222</v>
      </c>
      <c r="E603" s="45" t="s">
        <v>2828</v>
      </c>
      <c r="F603" s="45" t="s">
        <v>2829</v>
      </c>
      <c r="G603" s="46" t="s">
        <v>38</v>
      </c>
      <c r="H603" s="48">
        <v>46216</v>
      </c>
      <c r="I603" s="48">
        <v>46224</v>
      </c>
      <c r="J603" s="44" t="s">
        <v>108</v>
      </c>
      <c r="K603" s="44" t="s">
        <v>100</v>
      </c>
      <c r="L603" s="50" t="s">
        <v>77</v>
      </c>
      <c r="M603" s="50"/>
      <c r="N603" s="50"/>
      <c r="O603" s="49"/>
      <c r="P603" s="50" t="str">
        <f t="shared" si="36"/>
        <v>ONAY</v>
      </c>
      <c r="R603" s="51" t="str">
        <f t="shared" si="37"/>
        <v/>
      </c>
      <c r="T603" s="41"/>
      <c r="U603" s="29">
        <f>IF($C603&lt;&gt;"",COUNTIF($C$2:C603,C603),"")</f>
        <v>1</v>
      </c>
      <c r="V603" s="29" t="str">
        <f t="shared" si="38"/>
        <v>Doç. Dr. Ülkühan ÖZTOPRAK§1</v>
      </c>
      <c r="W603" s="29">
        <f>IF(U603=1,COUNTIF($U$2:U603,1),"")</f>
        <v>302</v>
      </c>
      <c r="X603" s="29">
        <f t="shared" si="39"/>
        <v>107</v>
      </c>
      <c r="Y603" s="29">
        <f>IF(AND(LEFT($B603,7)="SBA 26/",$D603&lt;&gt;"",$F603&lt;&gt;""),COUNTIFS($D$2:$D603,$D603,$B$2:$B603,"SBA 26/*",$F$2:$F603,"&lt;&gt;"),"")</f>
        <v>96</v>
      </c>
      <c r="Z603" s="29" t="str">
        <f>IF(Y603=1,COUNTIF($Y$2:Y603,1),"")</f>
        <v/>
      </c>
      <c r="AA603" s="29">
        <f>IF(AND(LEFT($B603,7)="SBA 26/",$C603&lt;&gt;"",$F603&lt;&gt;""),COUNTIFS($C$2:$C603,$C603,$B$2:$B603,"SBA 26/*",$F$2:$F603,"&lt;&gt;"),"")</f>
        <v>1</v>
      </c>
      <c r="AB603" s="29">
        <f>IF(AA603=1,COUNTIF($AA$2:AA603,1),"")</f>
        <v>302</v>
      </c>
    </row>
    <row r="604" spans="1:28" ht="78.75" customHeight="1" x14ac:dyDescent="0.2">
      <c r="A604" s="43" t="s">
        <v>2830</v>
      </c>
      <c r="B604" s="43" t="s">
        <v>2831</v>
      </c>
      <c r="C604" s="44" t="s">
        <v>2535</v>
      </c>
      <c r="D604" s="44" t="s">
        <v>222</v>
      </c>
      <c r="E604" s="45" t="s">
        <v>2832</v>
      </c>
      <c r="F604" s="45" t="s">
        <v>2833</v>
      </c>
      <c r="G604" s="46" t="s">
        <v>38</v>
      </c>
      <c r="H604" s="48">
        <v>46216</v>
      </c>
      <c r="I604" s="48">
        <v>46224</v>
      </c>
      <c r="J604" s="44" t="s">
        <v>100</v>
      </c>
      <c r="K604" s="44" t="s">
        <v>99</v>
      </c>
      <c r="L604" s="50" t="s">
        <v>77</v>
      </c>
      <c r="M604" s="50"/>
      <c r="N604" s="50"/>
      <c r="O604" s="49"/>
      <c r="P604" s="50" t="str">
        <f t="shared" si="36"/>
        <v>ONAY</v>
      </c>
      <c r="R604" s="51" t="str">
        <f t="shared" si="37"/>
        <v/>
      </c>
      <c r="T604" s="41"/>
      <c r="U604" s="29">
        <f>IF($C604&lt;&gt;"",COUNTIF($C$2:C604,C604),"")</f>
        <v>2</v>
      </c>
      <c r="V604" s="29" t="str">
        <f t="shared" si="38"/>
        <v>Arş. Gör. Dr. Eymen YILMAZ§2</v>
      </c>
      <c r="W604" s="29" t="str">
        <f>IF(U604=1,COUNTIF($U$2:U604,1),"")</f>
        <v/>
      </c>
      <c r="X604" s="29" t="str">
        <f t="shared" si="39"/>
        <v/>
      </c>
      <c r="Y604" s="29">
        <f>IF(AND(LEFT($B604,7)="SBA 26/",$D604&lt;&gt;"",$F604&lt;&gt;""),COUNTIFS($D$2:$D604,$D604,$B$2:$B604,"SBA 26/*",$F$2:$F604,"&lt;&gt;"),"")</f>
        <v>97</v>
      </c>
      <c r="Z604" s="29" t="str">
        <f>IF(Y604=1,COUNTIF($Y$2:Y604,1),"")</f>
        <v/>
      </c>
      <c r="AA604" s="29">
        <f>IF(AND(LEFT($B604,7)="SBA 26/",$C604&lt;&gt;"",$F604&lt;&gt;""),COUNTIFS($C$2:$C604,$C604,$B$2:$B604,"SBA 26/*",$F$2:$F604,"&lt;&gt;"),"")</f>
        <v>2</v>
      </c>
      <c r="AB604" s="29" t="str">
        <f>IF(AA604=1,COUNTIF($AA$2:AA604,1),"")</f>
        <v/>
      </c>
    </row>
    <row r="605" spans="1:28" ht="78.75" customHeight="1" x14ac:dyDescent="0.2">
      <c r="A605" s="43" t="s">
        <v>2834</v>
      </c>
      <c r="B605" s="43" t="s">
        <v>2835</v>
      </c>
      <c r="C605" s="44" t="s">
        <v>116</v>
      </c>
      <c r="D605" s="44" t="s">
        <v>662</v>
      </c>
      <c r="E605" s="45" t="s">
        <v>2836</v>
      </c>
      <c r="F605" s="45" t="s">
        <v>2837</v>
      </c>
      <c r="G605" s="46" t="s">
        <v>40</v>
      </c>
      <c r="H605" s="48">
        <v>46216</v>
      </c>
      <c r="I605" s="48">
        <v>46224</v>
      </c>
      <c r="J605" s="44" t="s">
        <v>99</v>
      </c>
      <c r="K605" s="44" t="s">
        <v>92</v>
      </c>
      <c r="L605" s="50" t="s">
        <v>77</v>
      </c>
      <c r="M605" s="50"/>
      <c r="N605" s="50"/>
      <c r="O605" s="49"/>
      <c r="P605" s="50" t="str">
        <f t="shared" si="36"/>
        <v>ONAY</v>
      </c>
      <c r="R605" s="51" t="str">
        <f t="shared" si="37"/>
        <v/>
      </c>
      <c r="T605" s="41"/>
      <c r="U605" s="29">
        <f>IF($C605&lt;&gt;"",COUNTIF($C$2:C605,C605),"")</f>
        <v>3</v>
      </c>
      <c r="V605" s="29" t="str">
        <f t="shared" si="38"/>
        <v>Prof. Dr. Ayşe KİN İŞLER§3</v>
      </c>
      <c r="W605" s="29" t="str">
        <f>IF(U605=1,COUNTIF($U$2:U605,1),"")</f>
        <v/>
      </c>
      <c r="X605" s="29" t="str">
        <f t="shared" si="39"/>
        <v/>
      </c>
      <c r="Y605" s="29">
        <f>IF(AND(LEFT($B605,7)="SBA 26/",$D605&lt;&gt;"",$F605&lt;&gt;""),COUNTIFS($D$2:$D605,$D605,$B$2:$B605,"SBA 26/*",$F$2:$F605,"&lt;&gt;"),"")</f>
        <v>4</v>
      </c>
      <c r="Z605" s="29" t="str">
        <f>IF(Y605=1,COUNTIF($Y$2:Y605,1),"")</f>
        <v/>
      </c>
      <c r="AA605" s="29">
        <f>IF(AND(LEFT($B605,7)="SBA 26/",$C605&lt;&gt;"",$F605&lt;&gt;""),COUNTIFS($C$2:$C605,$C605,$B$2:$B605,"SBA 26/*",$F$2:$F605,"&lt;&gt;"),"")</f>
        <v>3</v>
      </c>
      <c r="AB605" s="29" t="str">
        <f>IF(AA605=1,COUNTIF($AA$2:AA605,1),"")</f>
        <v/>
      </c>
    </row>
    <row r="606" spans="1:28" ht="78.75" customHeight="1" x14ac:dyDescent="0.2">
      <c r="A606" s="43" t="s">
        <v>2838</v>
      </c>
      <c r="B606" s="43" t="s">
        <v>2839</v>
      </c>
      <c r="C606" s="44" t="s">
        <v>116</v>
      </c>
      <c r="D606" s="44" t="s">
        <v>662</v>
      </c>
      <c r="E606" s="45" t="s">
        <v>2840</v>
      </c>
      <c r="F606" s="45" t="s">
        <v>2841</v>
      </c>
      <c r="G606" s="46" t="s">
        <v>40</v>
      </c>
      <c r="H606" s="48">
        <v>46216</v>
      </c>
      <c r="I606" s="48">
        <v>46224</v>
      </c>
      <c r="J606" s="44" t="s">
        <v>99</v>
      </c>
      <c r="K606" s="44" t="s">
        <v>92</v>
      </c>
      <c r="L606" s="50" t="s">
        <v>77</v>
      </c>
      <c r="M606" s="50"/>
      <c r="N606" s="50"/>
      <c r="O606" s="49"/>
      <c r="P606" s="50" t="str">
        <f t="shared" si="36"/>
        <v>ONAY</v>
      </c>
      <c r="R606" s="51" t="str">
        <f t="shared" si="37"/>
        <v/>
      </c>
      <c r="T606" s="41"/>
      <c r="U606" s="29">
        <f>IF($C606&lt;&gt;"",COUNTIF($C$2:C606,C606),"")</f>
        <v>4</v>
      </c>
      <c r="V606" s="29" t="str">
        <f t="shared" si="38"/>
        <v>Prof. Dr. Ayşe KİN İŞLER§4</v>
      </c>
      <c r="W606" s="29" t="str">
        <f>IF(U606=1,COUNTIF($U$2:U606,1),"")</f>
        <v/>
      </c>
      <c r="X606" s="29" t="str">
        <f t="shared" si="39"/>
        <v/>
      </c>
      <c r="Y606" s="29">
        <f>IF(AND(LEFT($B606,7)="SBA 26/",$D606&lt;&gt;"",$F606&lt;&gt;""),COUNTIFS($D$2:$D606,$D606,$B$2:$B606,"SBA 26/*",$F$2:$F606,"&lt;&gt;"),"")</f>
        <v>5</v>
      </c>
      <c r="Z606" s="29" t="str">
        <f>IF(Y606=1,COUNTIF($Y$2:Y606,1),"")</f>
        <v/>
      </c>
      <c r="AA606" s="29">
        <f>IF(AND(LEFT($B606,7)="SBA 26/",$C606&lt;&gt;"",$F606&lt;&gt;""),COUNTIFS($C$2:$C606,$C606,$B$2:$B606,"SBA 26/*",$F$2:$F606,"&lt;&gt;"),"")</f>
        <v>4</v>
      </c>
      <c r="AB606" s="29" t="str">
        <f>IF(AA606=1,COUNTIF($AA$2:AA606,1),"")</f>
        <v/>
      </c>
    </row>
    <row r="607" spans="1:28" ht="63" customHeight="1" x14ac:dyDescent="0.2">
      <c r="A607" s="43" t="s">
        <v>2842</v>
      </c>
      <c r="B607" s="43" t="s">
        <v>2843</v>
      </c>
      <c r="C607" s="44" t="s">
        <v>439</v>
      </c>
      <c r="D607" s="44" t="s">
        <v>187</v>
      </c>
      <c r="E607" s="45" t="s">
        <v>2844</v>
      </c>
      <c r="F607" s="45" t="s">
        <v>2845</v>
      </c>
      <c r="G607" s="46" t="s">
        <v>38</v>
      </c>
      <c r="H607" s="48">
        <v>46216</v>
      </c>
      <c r="I607" s="48">
        <v>46224</v>
      </c>
      <c r="J607" s="44" t="s">
        <v>108</v>
      </c>
      <c r="K607" s="44" t="s">
        <v>129</v>
      </c>
      <c r="L607" s="50" t="s">
        <v>77</v>
      </c>
      <c r="M607" s="50"/>
      <c r="N607" s="50"/>
      <c r="O607" s="49"/>
      <c r="P607" s="50" t="str">
        <f t="shared" si="36"/>
        <v>ONAY</v>
      </c>
      <c r="R607" s="51" t="str">
        <f t="shared" si="37"/>
        <v/>
      </c>
      <c r="T607" s="41"/>
      <c r="U607" s="29">
        <f>IF($C607&lt;&gt;"",COUNTIF($C$2:C607,C607),"")</f>
        <v>3</v>
      </c>
      <c r="V607" s="29" t="str">
        <f t="shared" si="38"/>
        <v>Dr. Öğr. Üyesi Serkan UYSAL§3</v>
      </c>
      <c r="W607" s="29" t="str">
        <f>IF(U607=1,COUNTIF($U$2:U607,1),"")</f>
        <v/>
      </c>
      <c r="X607" s="29" t="str">
        <f t="shared" si="39"/>
        <v/>
      </c>
      <c r="Y607" s="29">
        <f>IF(AND(LEFT($B607,7)="SBA 26/",$D607&lt;&gt;"",$F607&lt;&gt;""),COUNTIFS($D$2:$D607,$D607,$B$2:$B607,"SBA 26/*",$F$2:$F607,"&lt;&gt;"),"")</f>
        <v>4</v>
      </c>
      <c r="Z607" s="29" t="str">
        <f>IF(Y607=1,COUNTIF($Y$2:Y607,1),"")</f>
        <v/>
      </c>
      <c r="AA607" s="29">
        <f>IF(AND(LEFT($B607,7)="SBA 26/",$C607&lt;&gt;"",$F607&lt;&gt;""),COUNTIFS($C$2:$C607,$C607,$B$2:$B607,"SBA 26/*",$F$2:$F607,"&lt;&gt;"),"")</f>
        <v>3</v>
      </c>
      <c r="AB607" s="29" t="str">
        <f>IF(AA607=1,COUNTIF($AA$2:AA607,1),"")</f>
        <v/>
      </c>
    </row>
    <row r="608" spans="1:28" ht="63" customHeight="1" x14ac:dyDescent="0.2">
      <c r="A608" s="43" t="s">
        <v>2846</v>
      </c>
      <c r="B608" s="43" t="s">
        <v>2847</v>
      </c>
      <c r="C608" s="44" t="s">
        <v>439</v>
      </c>
      <c r="D608" s="44" t="s">
        <v>187</v>
      </c>
      <c r="E608" s="45" t="s">
        <v>2844</v>
      </c>
      <c r="F608" s="45" t="s">
        <v>2848</v>
      </c>
      <c r="G608" s="46" t="s">
        <v>38</v>
      </c>
      <c r="H608" s="48">
        <v>46216</v>
      </c>
      <c r="I608" s="48">
        <v>46224</v>
      </c>
      <c r="J608" s="44" t="s">
        <v>91</v>
      </c>
      <c r="K608" s="44" t="s">
        <v>100</v>
      </c>
      <c r="L608" s="50" t="s">
        <v>77</v>
      </c>
      <c r="M608" s="50"/>
      <c r="N608" s="50"/>
      <c r="O608" s="49"/>
      <c r="P608" s="50" t="str">
        <f t="shared" si="36"/>
        <v>ONAY</v>
      </c>
      <c r="R608" s="51" t="str">
        <f t="shared" si="37"/>
        <v/>
      </c>
      <c r="T608" s="41"/>
      <c r="U608" s="29">
        <f>IF($C608&lt;&gt;"",COUNTIF($C$2:C608,C608),"")</f>
        <v>4</v>
      </c>
      <c r="V608" s="29" t="str">
        <f t="shared" si="38"/>
        <v>Dr. Öğr. Üyesi Serkan UYSAL§4</v>
      </c>
      <c r="W608" s="29" t="str">
        <f>IF(U608=1,COUNTIF($U$2:U608,1),"")</f>
        <v/>
      </c>
      <c r="X608" s="29" t="str">
        <f t="shared" si="39"/>
        <v/>
      </c>
      <c r="Y608" s="29">
        <f>IF(AND(LEFT($B608,7)="SBA 26/",$D608&lt;&gt;"",$F608&lt;&gt;""),COUNTIFS($D$2:$D608,$D608,$B$2:$B608,"SBA 26/*",$F$2:$F608,"&lt;&gt;"),"")</f>
        <v>5</v>
      </c>
      <c r="Z608" s="29" t="str">
        <f>IF(Y608=1,COUNTIF($Y$2:Y608,1),"")</f>
        <v/>
      </c>
      <c r="AA608" s="29">
        <f>IF(AND(LEFT($B608,7)="SBA 26/",$C608&lt;&gt;"",$F608&lt;&gt;""),COUNTIFS($C$2:$C608,$C608,$B$2:$B608,"SBA 26/*",$F$2:$F608,"&lt;&gt;"),"")</f>
        <v>4</v>
      </c>
      <c r="AB608" s="29" t="str">
        <f>IF(AA608=1,COUNTIF($AA$2:AA608,1),"")</f>
        <v/>
      </c>
    </row>
    <row r="609" spans="1:28" ht="78.75" customHeight="1" x14ac:dyDescent="0.2">
      <c r="A609" s="43" t="s">
        <v>2849</v>
      </c>
      <c r="B609" s="43" t="s">
        <v>2850</v>
      </c>
      <c r="C609" s="44" t="s">
        <v>697</v>
      </c>
      <c r="D609" s="44" t="s">
        <v>698</v>
      </c>
      <c r="E609" s="45" t="s">
        <v>2851</v>
      </c>
      <c r="F609" s="45" t="s">
        <v>2852</v>
      </c>
      <c r="G609" s="46" t="s">
        <v>40</v>
      </c>
      <c r="H609" s="48">
        <v>46216</v>
      </c>
      <c r="I609" s="48">
        <v>46224</v>
      </c>
      <c r="J609" s="44" t="s">
        <v>75</v>
      </c>
      <c r="K609" s="44" t="s">
        <v>76</v>
      </c>
      <c r="L609" s="50" t="s">
        <v>101</v>
      </c>
      <c r="M609" s="50"/>
      <c r="N609" s="50"/>
      <c r="O609" s="49"/>
      <c r="P609" s="50" t="str">
        <f t="shared" si="36"/>
        <v>DÜZELTME</v>
      </c>
      <c r="R609" s="51" t="str">
        <f t="shared" si="37"/>
        <v/>
      </c>
      <c r="T609" s="41"/>
      <c r="U609" s="29">
        <f>IF($C609&lt;&gt;"",COUNTIF($C$2:C609,C609),"")</f>
        <v>2</v>
      </c>
      <c r="V609" s="29" t="str">
        <f t="shared" si="38"/>
        <v>Prof. Dr. Rıza Köksal ÖZGÜL§2</v>
      </c>
      <c r="W609" s="29" t="str">
        <f>IF(U609=1,COUNTIF($U$2:U609,1),"")</f>
        <v/>
      </c>
      <c r="X609" s="29" t="str">
        <f t="shared" si="39"/>
        <v/>
      </c>
      <c r="Y609" s="29">
        <f>IF(AND(LEFT($B609,7)="SBA 26/",$D609&lt;&gt;"",$F609&lt;&gt;""),COUNTIFS($D$2:$D609,$D609,$B$2:$B609,"SBA 26/*",$F$2:$F609,"&lt;&gt;"),"")</f>
        <v>3</v>
      </c>
      <c r="Z609" s="29" t="str">
        <f>IF(Y609=1,COUNTIF($Y$2:Y609,1),"")</f>
        <v/>
      </c>
      <c r="AA609" s="29">
        <f>IF(AND(LEFT($B609,7)="SBA 26/",$C609&lt;&gt;"",$F609&lt;&gt;""),COUNTIFS($C$2:$C609,$C609,$B$2:$B609,"SBA 26/*",$F$2:$F609,"&lt;&gt;"),"")</f>
        <v>2</v>
      </c>
      <c r="AB609" s="29" t="str">
        <f>IF(AA609=1,COUNTIF($AA$2:AA609,1),"")</f>
        <v/>
      </c>
    </row>
    <row r="610" spans="1:28" ht="78.75" customHeight="1" x14ac:dyDescent="0.2">
      <c r="A610" s="43" t="s">
        <v>2853</v>
      </c>
      <c r="B610" s="43" t="s">
        <v>2854</v>
      </c>
      <c r="C610" s="44" t="s">
        <v>2855</v>
      </c>
      <c r="D610" s="44" t="s">
        <v>222</v>
      </c>
      <c r="E610" s="45" t="s">
        <v>2856</v>
      </c>
      <c r="F610" s="45" t="s">
        <v>2857</v>
      </c>
      <c r="G610" s="46" t="s">
        <v>38</v>
      </c>
      <c r="H610" s="48">
        <v>46217</v>
      </c>
      <c r="I610" s="48">
        <v>46224</v>
      </c>
      <c r="J610" s="44" t="s">
        <v>76</v>
      </c>
      <c r="K610" s="44" t="s">
        <v>116</v>
      </c>
      <c r="L610" s="50" t="s">
        <v>77</v>
      </c>
      <c r="M610" s="50"/>
      <c r="N610" s="50"/>
      <c r="O610" s="49"/>
      <c r="P610" s="50" t="str">
        <f t="shared" si="36"/>
        <v>ONAY</v>
      </c>
      <c r="R610" s="51" t="str">
        <f t="shared" si="37"/>
        <v/>
      </c>
      <c r="T610" s="41"/>
      <c r="U610" s="29">
        <f>IF($C610&lt;&gt;"",COUNTIF($C$2:C610,C610),"")</f>
        <v>1</v>
      </c>
      <c r="V610" s="29" t="str">
        <f t="shared" si="38"/>
        <v>Dr. Öğr. Üyesi Eylem Şerife KALKAN§1</v>
      </c>
      <c r="W610" s="29">
        <f>IF(U610=1,COUNTIF($U$2:U610,1),"")</f>
        <v>303</v>
      </c>
      <c r="X610" s="29">
        <f t="shared" si="39"/>
        <v>135</v>
      </c>
      <c r="Y610" s="29">
        <f>IF(AND(LEFT($B610,7)="SBA 26/",$D610&lt;&gt;"",$F610&lt;&gt;""),COUNTIFS($D$2:$D610,$D610,$B$2:$B610,"SBA 26/*",$F$2:$F610,"&lt;&gt;"),"")</f>
        <v>98</v>
      </c>
      <c r="Z610" s="29" t="str">
        <f>IF(Y610=1,COUNTIF($Y$2:Y610,1),"")</f>
        <v/>
      </c>
      <c r="AA610" s="29">
        <f>IF(AND(LEFT($B610,7)="SBA 26/",$C610&lt;&gt;"",$F610&lt;&gt;""),COUNTIFS($C$2:$C610,$C610,$B$2:$B610,"SBA 26/*",$F$2:$F610,"&lt;&gt;"),"")</f>
        <v>1</v>
      </c>
      <c r="AB610" s="29">
        <f>IF(AA610=1,COUNTIF($AA$2:AA610,1),"")</f>
        <v>303</v>
      </c>
    </row>
    <row r="611" spans="1:28" ht="63" customHeight="1" x14ac:dyDescent="0.2">
      <c r="A611" s="43" t="s">
        <v>2858</v>
      </c>
      <c r="B611" s="43" t="s">
        <v>2859</v>
      </c>
      <c r="C611" s="44" t="s">
        <v>144</v>
      </c>
      <c r="D611" s="44" t="s">
        <v>113</v>
      </c>
      <c r="E611" s="45" t="s">
        <v>2860</v>
      </c>
      <c r="F611" s="45" t="s">
        <v>2861</v>
      </c>
      <c r="G611" s="46" t="s">
        <v>38</v>
      </c>
      <c r="H611" s="48">
        <v>46217</v>
      </c>
      <c r="I611" s="48">
        <v>46224</v>
      </c>
      <c r="J611" s="44" t="s">
        <v>84</v>
      </c>
      <c r="K611" s="44" t="s">
        <v>129</v>
      </c>
      <c r="L611" s="50" t="s">
        <v>101</v>
      </c>
      <c r="M611" s="50"/>
      <c r="N611" s="50"/>
      <c r="O611" s="49"/>
      <c r="P611" s="50" t="str">
        <f t="shared" si="36"/>
        <v>DÜZELTME</v>
      </c>
      <c r="R611" s="51" t="str">
        <f t="shared" si="37"/>
        <v/>
      </c>
      <c r="T611" s="41"/>
      <c r="U611" s="29">
        <f>IF($C611&lt;&gt;"",COUNTIF($C$2:C611,C611),"")</f>
        <v>4</v>
      </c>
      <c r="V611" s="29" t="str">
        <f t="shared" si="38"/>
        <v>Prof. Dr. Ömer KARADAĞ§4</v>
      </c>
      <c r="W611" s="29" t="str">
        <f>IF(U611=1,COUNTIF($U$2:U611,1),"")</f>
        <v/>
      </c>
      <c r="X611" s="29" t="str">
        <f t="shared" si="39"/>
        <v/>
      </c>
      <c r="Y611" s="29">
        <f>IF(AND(LEFT($B611,7)="SBA 26/",$D611&lt;&gt;"",$F611&lt;&gt;""),COUNTIFS($D$2:$D611,$D611,$B$2:$B611,"SBA 26/*",$F$2:$F611,"&lt;&gt;"),"")</f>
        <v>101</v>
      </c>
      <c r="Z611" s="29" t="str">
        <f>IF(Y611=1,COUNTIF($Y$2:Y611,1),"")</f>
        <v/>
      </c>
      <c r="AA611" s="29">
        <f>IF(AND(LEFT($B611,7)="SBA 26/",$C611&lt;&gt;"",$F611&lt;&gt;""),COUNTIFS($C$2:$C611,$C611,$B$2:$B611,"SBA 26/*",$F$2:$F611,"&lt;&gt;"),"")</f>
        <v>4</v>
      </c>
      <c r="AB611" s="29" t="str">
        <f>IF(AA611=1,COUNTIF($AA$2:AA611,1),"")</f>
        <v/>
      </c>
    </row>
    <row r="612" spans="1:28" ht="63" customHeight="1" x14ac:dyDescent="0.2">
      <c r="A612" s="43" t="s">
        <v>2862</v>
      </c>
      <c r="B612" s="43" t="s">
        <v>2863</v>
      </c>
      <c r="C612" s="44" t="s">
        <v>1795</v>
      </c>
      <c r="D612" s="44" t="s">
        <v>113</v>
      </c>
      <c r="E612" s="45" t="s">
        <v>2864</v>
      </c>
      <c r="F612" s="45" t="s">
        <v>2865</v>
      </c>
      <c r="G612" s="46" t="s">
        <v>38</v>
      </c>
      <c r="H612" s="48">
        <v>46217</v>
      </c>
      <c r="I612" s="48">
        <v>46224</v>
      </c>
      <c r="J612" s="44" t="s">
        <v>84</v>
      </c>
      <c r="K612" s="44" t="s">
        <v>129</v>
      </c>
      <c r="L612" s="50" t="s">
        <v>101</v>
      </c>
      <c r="M612" s="50"/>
      <c r="N612" s="50"/>
      <c r="O612" s="49"/>
      <c r="P612" s="50" t="str">
        <f t="shared" si="36"/>
        <v>DÜZELTME</v>
      </c>
      <c r="R612" s="51" t="str">
        <f t="shared" si="37"/>
        <v/>
      </c>
      <c r="T612" s="41"/>
      <c r="U612" s="29">
        <f>IF($C612&lt;&gt;"",COUNTIF($C$2:C612,C612),"")</f>
        <v>4</v>
      </c>
      <c r="V612" s="29" t="str">
        <f t="shared" si="38"/>
        <v>Prof. Dr. Umut KALYONCU§4</v>
      </c>
      <c r="W612" s="29" t="str">
        <f>IF(U612=1,COUNTIF($U$2:U612,1),"")</f>
        <v/>
      </c>
      <c r="X612" s="29" t="str">
        <f t="shared" si="39"/>
        <v/>
      </c>
      <c r="Y612" s="29">
        <f>IF(AND(LEFT($B612,7)="SBA 26/",$D612&lt;&gt;"",$F612&lt;&gt;""),COUNTIFS($D$2:$D612,$D612,$B$2:$B612,"SBA 26/*",$F$2:$F612,"&lt;&gt;"),"")</f>
        <v>102</v>
      </c>
      <c r="Z612" s="29" t="str">
        <f>IF(Y612=1,COUNTIF($Y$2:Y612,1),"")</f>
        <v/>
      </c>
      <c r="AA612" s="29">
        <f>IF(AND(LEFT($B612,7)="SBA 26/",$C612&lt;&gt;"",$F612&lt;&gt;""),COUNTIFS($C$2:$C612,$C612,$B$2:$B612,"SBA 26/*",$F$2:$F612,"&lt;&gt;"),"")</f>
        <v>4</v>
      </c>
      <c r="AB612" s="29" t="str">
        <f>IF(AA612=1,COUNTIF($AA$2:AA612,1),"")</f>
        <v/>
      </c>
    </row>
    <row r="613" spans="1:28" ht="78.75" customHeight="1" x14ac:dyDescent="0.2">
      <c r="A613" s="43" t="s">
        <v>2866</v>
      </c>
      <c r="B613" s="43" t="s">
        <v>2867</v>
      </c>
      <c r="C613" s="44" t="s">
        <v>2868</v>
      </c>
      <c r="D613" s="44" t="s">
        <v>2869</v>
      </c>
      <c r="E613" s="45" t="s">
        <v>2870</v>
      </c>
      <c r="F613" s="45" t="s">
        <v>2871</v>
      </c>
      <c r="G613" s="46" t="s">
        <v>38</v>
      </c>
      <c r="H613" s="48">
        <v>46217</v>
      </c>
      <c r="I613" s="48">
        <v>46224</v>
      </c>
      <c r="J613" s="44" t="s">
        <v>109</v>
      </c>
      <c r="K613" s="44" t="s">
        <v>75</v>
      </c>
      <c r="L613" s="50" t="s">
        <v>153</v>
      </c>
      <c r="M613" s="50"/>
      <c r="N613" s="50"/>
      <c r="O613" s="49"/>
      <c r="P613" s="50" t="str">
        <f t="shared" si="36"/>
        <v>KAPSAM DIŞI</v>
      </c>
      <c r="R613" s="51" t="str">
        <f t="shared" si="37"/>
        <v/>
      </c>
      <c r="T613" s="41"/>
      <c r="U613" s="29">
        <f>IF($C613&lt;&gt;"",COUNTIF($C$2:C613,C613),"")</f>
        <v>1</v>
      </c>
      <c r="V613" s="29" t="str">
        <f t="shared" si="38"/>
        <v>Dr. Öğr. Üyesi Gülden OLGUN§1</v>
      </c>
      <c r="W613" s="29">
        <f>IF(U613=1,COUNTIF($U$2:U613,1),"")</f>
        <v>304</v>
      </c>
      <c r="X613" s="29">
        <f t="shared" si="39"/>
        <v>143</v>
      </c>
      <c r="Y613" s="29">
        <f>IF(AND(LEFT($B613,7)="SBA 26/",$D613&lt;&gt;"",$F613&lt;&gt;""),COUNTIFS($D$2:$D613,$D613,$B$2:$B613,"SBA 26/*",$F$2:$F613,"&lt;&gt;"),"")</f>
        <v>1</v>
      </c>
      <c r="Z613" s="29">
        <f>IF(Y613=1,COUNTIF($Y$2:Y613,1),"")</f>
        <v>77</v>
      </c>
      <c r="AA613" s="29">
        <f>IF(AND(LEFT($B613,7)="SBA 26/",$C613&lt;&gt;"",$F613&lt;&gt;""),COUNTIFS($C$2:$C613,$C613,$B$2:$B613,"SBA 26/*",$F$2:$F613,"&lt;&gt;"),"")</f>
        <v>1</v>
      </c>
      <c r="AB613" s="29">
        <f>IF(AA613=1,COUNTIF($AA$2:AA613,1),"")</f>
        <v>304</v>
      </c>
    </row>
    <row r="614" spans="1:28" ht="78.75" customHeight="1" x14ac:dyDescent="0.2">
      <c r="A614" s="43" t="s">
        <v>2872</v>
      </c>
      <c r="B614" s="43" t="s">
        <v>2873</v>
      </c>
      <c r="C614" s="44" t="s">
        <v>379</v>
      </c>
      <c r="D614" s="44" t="s">
        <v>222</v>
      </c>
      <c r="E614" s="45" t="s">
        <v>2874</v>
      </c>
      <c r="F614" s="45" t="s">
        <v>2875</v>
      </c>
      <c r="G614" s="46" t="s">
        <v>38</v>
      </c>
      <c r="H614" s="48">
        <v>46217</v>
      </c>
      <c r="I614" s="48">
        <v>46224</v>
      </c>
      <c r="J614" s="44" t="s">
        <v>76</v>
      </c>
      <c r="K614" s="44" t="s">
        <v>116</v>
      </c>
      <c r="L614" s="50" t="s">
        <v>77</v>
      </c>
      <c r="M614" s="50"/>
      <c r="N614" s="50"/>
      <c r="O614" s="49"/>
      <c r="P614" s="50" t="str">
        <f t="shared" si="36"/>
        <v>ONAY</v>
      </c>
      <c r="R614" s="51" t="str">
        <f t="shared" si="37"/>
        <v/>
      </c>
      <c r="T614" s="41"/>
      <c r="U614" s="29">
        <f>IF($C614&lt;&gt;"",COUNTIF($C$2:C614,C614),"")</f>
        <v>8</v>
      </c>
      <c r="V614" s="29" t="str">
        <f t="shared" si="38"/>
        <v>Prof. Dr. Deniz ÇAĞDAŞ AYVAZ§8</v>
      </c>
      <c r="W614" s="29" t="str">
        <f>IF(U614=1,COUNTIF($U$2:U614,1),"")</f>
        <v/>
      </c>
      <c r="X614" s="29" t="str">
        <f t="shared" si="39"/>
        <v/>
      </c>
      <c r="Y614" s="29">
        <f>IF(AND(LEFT($B614,7)="SBA 26/",$D614&lt;&gt;"",$F614&lt;&gt;""),COUNTIFS($D$2:$D614,$D614,$B$2:$B614,"SBA 26/*",$F$2:$F614,"&lt;&gt;"),"")</f>
        <v>99</v>
      </c>
      <c r="Z614" s="29" t="str">
        <f>IF(Y614=1,COUNTIF($Y$2:Y614,1),"")</f>
        <v/>
      </c>
      <c r="AA614" s="29">
        <f>IF(AND(LEFT($B614,7)="SBA 26/",$C614&lt;&gt;"",$F614&lt;&gt;""),COUNTIFS($C$2:$C614,$C614,$B$2:$B614,"SBA 26/*",$F$2:$F614,"&lt;&gt;"),"")</f>
        <v>8</v>
      </c>
      <c r="AB614" s="29" t="str">
        <f>IF(AA614=1,COUNTIF($AA$2:AA614,1),"")</f>
        <v/>
      </c>
    </row>
    <row r="615" spans="1:28" ht="63" customHeight="1" x14ac:dyDescent="0.2">
      <c r="A615" s="43" t="s">
        <v>2876</v>
      </c>
      <c r="B615" s="43" t="s">
        <v>2877</v>
      </c>
      <c r="C615" s="44" t="s">
        <v>2878</v>
      </c>
      <c r="D615" s="44" t="s">
        <v>113</v>
      </c>
      <c r="E615" s="45" t="s">
        <v>2879</v>
      </c>
      <c r="F615" s="45" t="s">
        <v>2880</v>
      </c>
      <c r="G615" s="46" t="s">
        <v>38</v>
      </c>
      <c r="H615" s="48">
        <v>46217</v>
      </c>
      <c r="I615" s="48">
        <v>46224</v>
      </c>
      <c r="J615" s="44" t="s">
        <v>129</v>
      </c>
      <c r="K615" s="44" t="s">
        <v>84</v>
      </c>
      <c r="L615" s="50" t="s">
        <v>77</v>
      </c>
      <c r="M615" s="50"/>
      <c r="N615" s="50"/>
      <c r="O615" s="49"/>
      <c r="P615" s="50" t="str">
        <f t="shared" si="36"/>
        <v>ONAY</v>
      </c>
      <c r="R615" s="51" t="str">
        <f t="shared" si="37"/>
        <v/>
      </c>
      <c r="T615" s="41"/>
      <c r="U615" s="29">
        <f>IF($C615&lt;&gt;"",COUNTIF($C$2:C615,C615),"")</f>
        <v>1</v>
      </c>
      <c r="V615" s="29" t="str">
        <f t="shared" si="38"/>
        <v>Arş. Gör. Dr. Kadir İNTAŞ§1</v>
      </c>
      <c r="W615" s="29">
        <f>IF(U615=1,COUNTIF($U$2:U615,1),"")</f>
        <v>305</v>
      </c>
      <c r="X615" s="29">
        <f t="shared" si="39"/>
        <v>5</v>
      </c>
      <c r="Y615" s="29">
        <f>IF(AND(LEFT($B615,7)="SBA 26/",$D615&lt;&gt;"",$F615&lt;&gt;""),COUNTIFS($D$2:$D615,$D615,$B$2:$B615,"SBA 26/*",$F$2:$F615,"&lt;&gt;"),"")</f>
        <v>103</v>
      </c>
      <c r="Z615" s="29" t="str">
        <f>IF(Y615=1,COUNTIF($Y$2:Y615,1),"")</f>
        <v/>
      </c>
      <c r="AA615" s="29">
        <f>IF(AND(LEFT($B615,7)="SBA 26/",$C615&lt;&gt;"",$F615&lt;&gt;""),COUNTIFS($C$2:$C615,$C615,$B$2:$B615,"SBA 26/*",$F$2:$F615,"&lt;&gt;"),"")</f>
        <v>1</v>
      </c>
      <c r="AB615" s="29">
        <f>IF(AA615=1,COUNTIF($AA$2:AA615,1),"")</f>
        <v>305</v>
      </c>
    </row>
    <row r="616" spans="1:28" ht="78.75" customHeight="1" x14ac:dyDescent="0.2">
      <c r="A616" s="43" t="s">
        <v>2881</v>
      </c>
      <c r="B616" s="43" t="s">
        <v>2882</v>
      </c>
      <c r="C616" s="44" t="s">
        <v>2883</v>
      </c>
      <c r="D616" s="44" t="s">
        <v>662</v>
      </c>
      <c r="E616" s="45" t="s">
        <v>2884</v>
      </c>
      <c r="F616" s="45" t="s">
        <v>2885</v>
      </c>
      <c r="G616" s="46" t="s">
        <v>40</v>
      </c>
      <c r="H616" s="48">
        <v>46217</v>
      </c>
      <c r="I616" s="48">
        <v>46224</v>
      </c>
      <c r="J616" s="44" t="s">
        <v>116</v>
      </c>
      <c r="K616" s="44" t="s">
        <v>99</v>
      </c>
      <c r="L616" s="50" t="s">
        <v>77</v>
      </c>
      <c r="M616" s="50"/>
      <c r="N616" s="50"/>
      <c r="O616" s="49"/>
      <c r="P616" s="50" t="str">
        <f t="shared" si="36"/>
        <v>ONAY</v>
      </c>
      <c r="R616" s="51" t="str">
        <f t="shared" si="37"/>
        <v/>
      </c>
      <c r="T616" s="41"/>
      <c r="U616" s="29">
        <f>IF($C616&lt;&gt;"",COUNTIF($C$2:C616,C616),"")</f>
        <v>1</v>
      </c>
      <c r="V616" s="29" t="str">
        <f t="shared" si="38"/>
        <v>Prof. Dr. Şükrü Alpan CİNEMRE§1</v>
      </c>
      <c r="W616" s="29">
        <f>IF(U616=1,COUNTIF($U$2:U616,1),"")</f>
        <v>306</v>
      </c>
      <c r="X616" s="29">
        <f t="shared" si="39"/>
        <v>328</v>
      </c>
      <c r="Y616" s="29">
        <f>IF(AND(LEFT($B616,7)="SBA 26/",$D616&lt;&gt;"",$F616&lt;&gt;""),COUNTIFS($D$2:$D616,$D616,$B$2:$B616,"SBA 26/*",$F$2:$F616,"&lt;&gt;"),"")</f>
        <v>6</v>
      </c>
      <c r="Z616" s="29" t="str">
        <f>IF(Y616=1,COUNTIF($Y$2:Y616,1),"")</f>
        <v/>
      </c>
      <c r="AA616" s="29">
        <f>IF(AND(LEFT($B616,7)="SBA 26/",$C616&lt;&gt;"",$F616&lt;&gt;""),COUNTIFS($C$2:$C616,$C616,$B$2:$B616,"SBA 26/*",$F$2:$F616,"&lt;&gt;"),"")</f>
        <v>1</v>
      </c>
      <c r="AB616" s="29">
        <f>IF(AA616=1,COUNTIF($AA$2:AA616,1),"")</f>
        <v>306</v>
      </c>
    </row>
    <row r="617" spans="1:28" ht="78.75" customHeight="1" x14ac:dyDescent="0.2">
      <c r="A617" s="43" t="s">
        <v>2886</v>
      </c>
      <c r="B617" s="43" t="s">
        <v>2887</v>
      </c>
      <c r="C617" s="44" t="s">
        <v>757</v>
      </c>
      <c r="D617" s="44" t="s">
        <v>397</v>
      </c>
      <c r="E617" s="45" t="s">
        <v>2888</v>
      </c>
      <c r="F617" s="45" t="s">
        <v>2889</v>
      </c>
      <c r="G617" s="46" t="s">
        <v>39</v>
      </c>
      <c r="H617" s="48">
        <v>46217</v>
      </c>
      <c r="I617" s="48">
        <v>46224</v>
      </c>
      <c r="J617" s="44" t="s">
        <v>109</v>
      </c>
      <c r="K617" s="44" t="s">
        <v>100</v>
      </c>
      <c r="L617" s="50" t="s">
        <v>206</v>
      </c>
      <c r="M617" s="50" t="s">
        <v>218</v>
      </c>
      <c r="N617" s="50"/>
      <c r="O617" s="49"/>
      <c r="P617" s="50" t="str">
        <f t="shared" si="36"/>
        <v>KAEK</v>
      </c>
      <c r="R617" s="51" t="str">
        <f t="shared" si="37"/>
        <v/>
      </c>
      <c r="T617" s="41"/>
      <c r="U617" s="29">
        <f>IF($C617&lt;&gt;"",COUNTIF($C$2:C617,C617),"")</f>
        <v>2</v>
      </c>
      <c r="V617" s="29" t="str">
        <f t="shared" si="38"/>
        <v>Prof. Dr. Aygin EKİNCİOĞLU§2</v>
      </c>
      <c r="W617" s="29" t="str">
        <f>IF(U617=1,COUNTIF($U$2:U617,1),"")</f>
        <v/>
      </c>
      <c r="X617" s="29" t="str">
        <f t="shared" si="39"/>
        <v/>
      </c>
      <c r="Y617" s="29">
        <f>IF(AND(LEFT($B617,7)="SBA 26/",$D617&lt;&gt;"",$F617&lt;&gt;""),COUNTIFS($D$2:$D617,$D617,$B$2:$B617,"SBA 26/*",$F$2:$F617,"&lt;&gt;"),"")</f>
        <v>16</v>
      </c>
      <c r="Z617" s="29" t="str">
        <f>IF(Y617=1,COUNTIF($Y$2:Y617,1),"")</f>
        <v/>
      </c>
      <c r="AA617" s="29">
        <f>IF(AND(LEFT($B617,7)="SBA 26/",$C617&lt;&gt;"",$F617&lt;&gt;""),COUNTIFS($C$2:$C617,$C617,$B$2:$B617,"SBA 26/*",$F$2:$F617,"&lt;&gt;"),"")</f>
        <v>2</v>
      </c>
      <c r="AB617" s="29" t="str">
        <f>IF(AA617=1,COUNTIF($AA$2:AA617,1),"")</f>
        <v/>
      </c>
    </row>
    <row r="618" spans="1:28" ht="78.75" customHeight="1" x14ac:dyDescent="0.2">
      <c r="A618" s="43" t="s">
        <v>2890</v>
      </c>
      <c r="B618" s="43" t="s">
        <v>2891</v>
      </c>
      <c r="C618" s="44" t="s">
        <v>396</v>
      </c>
      <c r="D618" s="44" t="s">
        <v>397</v>
      </c>
      <c r="E618" s="45" t="s">
        <v>2892</v>
      </c>
      <c r="F618" s="45" t="s">
        <v>2893</v>
      </c>
      <c r="G618" s="46" t="s">
        <v>39</v>
      </c>
      <c r="H618" s="48">
        <v>46217</v>
      </c>
      <c r="I618" s="48">
        <v>46224</v>
      </c>
      <c r="J618" s="44" t="s">
        <v>109</v>
      </c>
      <c r="K618" s="44" t="s">
        <v>100</v>
      </c>
      <c r="L618" s="50" t="s">
        <v>101</v>
      </c>
      <c r="M618" s="50" t="s">
        <v>77</v>
      </c>
      <c r="N618" s="50"/>
      <c r="O618" s="49"/>
      <c r="P618" s="50" t="str">
        <f t="shared" si="36"/>
        <v>ONAY</v>
      </c>
      <c r="Q618" s="28" t="s">
        <v>109</v>
      </c>
      <c r="R618" s="51" t="str">
        <f t="shared" si="37"/>
        <v/>
      </c>
      <c r="T618" s="41"/>
      <c r="U618" s="29">
        <f>IF($C618&lt;&gt;"",COUNTIF($C$2:C618,C618),"")</f>
        <v>8</v>
      </c>
      <c r="V618" s="29" t="str">
        <f t="shared" si="38"/>
        <v>Prof. Dr. Salih Kutay DEMİRKAN§8</v>
      </c>
      <c r="W618" s="29" t="str">
        <f>IF(U618=1,COUNTIF($U$2:U618,1),"")</f>
        <v/>
      </c>
      <c r="X618" s="29" t="str">
        <f t="shared" si="39"/>
        <v/>
      </c>
      <c r="Y618" s="29">
        <f>IF(AND(LEFT($B618,7)="SBA 26/",$D618&lt;&gt;"",$F618&lt;&gt;""),COUNTIFS($D$2:$D618,$D618,$B$2:$B618,"SBA 26/*",$F$2:$F618,"&lt;&gt;"),"")</f>
        <v>17</v>
      </c>
      <c r="Z618" s="29" t="str">
        <f>IF(Y618=1,COUNTIF($Y$2:Y618,1),"")</f>
        <v/>
      </c>
      <c r="AA618" s="29">
        <f>IF(AND(LEFT($B618,7)="SBA 26/",$C618&lt;&gt;"",$F618&lt;&gt;""),COUNTIFS($C$2:$C618,$C618,$B$2:$B618,"SBA 26/*",$F$2:$F618,"&lt;&gt;"),"")</f>
        <v>8</v>
      </c>
      <c r="AB618" s="29" t="str">
        <f>IF(AA618=1,COUNTIF($AA$2:AA618,1),"")</f>
        <v/>
      </c>
    </row>
    <row r="619" spans="1:28" ht="78.75" customHeight="1" x14ac:dyDescent="0.2">
      <c r="A619" s="43" t="s">
        <v>2894</v>
      </c>
      <c r="B619" s="43" t="s">
        <v>2895</v>
      </c>
      <c r="C619" s="44" t="s">
        <v>2586</v>
      </c>
      <c r="D619" s="44" t="s">
        <v>222</v>
      </c>
      <c r="E619" s="45" t="s">
        <v>2896</v>
      </c>
      <c r="F619" s="45" t="s">
        <v>2897</v>
      </c>
      <c r="G619" s="46" t="s">
        <v>38</v>
      </c>
      <c r="H619" s="48">
        <v>46217</v>
      </c>
      <c r="I619" s="48">
        <v>46224</v>
      </c>
      <c r="J619" s="44" t="s">
        <v>92</v>
      </c>
      <c r="K619" s="44" t="s">
        <v>76</v>
      </c>
      <c r="L619" s="50" t="s">
        <v>77</v>
      </c>
      <c r="M619" s="50"/>
      <c r="N619" s="50"/>
      <c r="O619" s="49"/>
      <c r="P619" s="50" t="str">
        <f t="shared" si="36"/>
        <v>ONAY</v>
      </c>
      <c r="R619" s="51" t="str">
        <f t="shared" si="37"/>
        <v/>
      </c>
      <c r="T619" s="41"/>
      <c r="U619" s="29">
        <f>IF($C619&lt;&gt;"",COUNTIF($C$2:C619,C619),"")</f>
        <v>3</v>
      </c>
      <c r="V619" s="29" t="str">
        <f t="shared" si="38"/>
        <v>Doç. Dr. Melike OCAK§3</v>
      </c>
      <c r="W619" s="29" t="str">
        <f>IF(U619=1,COUNTIF($U$2:U619,1),"")</f>
        <v/>
      </c>
      <c r="X619" s="29" t="str">
        <f t="shared" si="39"/>
        <v/>
      </c>
      <c r="Y619" s="29">
        <f>IF(AND(LEFT($B619,7)="SBA 26/",$D619&lt;&gt;"",$F619&lt;&gt;""),COUNTIFS($D$2:$D619,$D619,$B$2:$B619,"SBA 26/*",$F$2:$F619,"&lt;&gt;"),"")</f>
        <v>100</v>
      </c>
      <c r="Z619" s="29" t="str">
        <f>IF(Y619=1,COUNTIF($Y$2:Y619,1),"")</f>
        <v/>
      </c>
      <c r="AA619" s="29">
        <f>IF(AND(LEFT($B619,7)="SBA 26/",$C619&lt;&gt;"",$F619&lt;&gt;""),COUNTIFS($C$2:$C619,$C619,$B$2:$B619,"SBA 26/*",$F$2:$F619,"&lt;&gt;"),"")</f>
        <v>3</v>
      </c>
      <c r="AB619" s="29" t="str">
        <f>IF(AA619=1,COUNTIF($AA$2:AA619,1),"")</f>
        <v/>
      </c>
    </row>
    <row r="620" spans="1:28" ht="78.75" customHeight="1" x14ac:dyDescent="0.2">
      <c r="A620" s="43" t="s">
        <v>2898</v>
      </c>
      <c r="B620" s="43" t="s">
        <v>2899</v>
      </c>
      <c r="C620" s="44" t="s">
        <v>419</v>
      </c>
      <c r="D620" s="44" t="s">
        <v>397</v>
      </c>
      <c r="E620" s="45" t="s">
        <v>2900</v>
      </c>
      <c r="F620" s="45" t="s">
        <v>2901</v>
      </c>
      <c r="G620" s="46" t="s">
        <v>40</v>
      </c>
      <c r="H620" s="48">
        <v>46217</v>
      </c>
      <c r="I620" s="48">
        <v>46224</v>
      </c>
      <c r="J620" s="44" t="s">
        <v>109</v>
      </c>
      <c r="K620" s="44" t="s">
        <v>84</v>
      </c>
      <c r="L620" s="50" t="s">
        <v>101</v>
      </c>
      <c r="M620" s="50"/>
      <c r="N620" s="50"/>
      <c r="O620" s="49"/>
      <c r="P620" s="50" t="str">
        <f t="shared" si="36"/>
        <v>DÜZELTME</v>
      </c>
      <c r="R620" s="51" t="str">
        <f t="shared" si="37"/>
        <v/>
      </c>
      <c r="T620" s="41"/>
      <c r="U620" s="29">
        <f>IF($C620&lt;&gt;"",COUNTIF($C$2:C620,C620),"")</f>
        <v>5</v>
      </c>
      <c r="V620" s="29" t="str">
        <f t="shared" si="38"/>
        <v>Dr. Öğr. Üyesi Burcu KELLECİ ÇAKIR§5</v>
      </c>
      <c r="W620" s="29" t="str">
        <f>IF(U620=1,COUNTIF($U$2:U620,1),"")</f>
        <v/>
      </c>
      <c r="X620" s="29" t="str">
        <f t="shared" si="39"/>
        <v/>
      </c>
      <c r="Y620" s="29">
        <f>IF(AND(LEFT($B620,7)="SBA 26/",$D620&lt;&gt;"",$F620&lt;&gt;""),COUNTIFS($D$2:$D620,$D620,$B$2:$B620,"SBA 26/*",$F$2:$F620,"&lt;&gt;"),"")</f>
        <v>18</v>
      </c>
      <c r="Z620" s="29" t="str">
        <f>IF(Y620=1,COUNTIF($Y$2:Y620,1),"")</f>
        <v/>
      </c>
      <c r="AA620" s="29">
        <f>IF(AND(LEFT($B620,7)="SBA 26/",$C620&lt;&gt;"",$F620&lt;&gt;""),COUNTIFS($C$2:$C620,$C620,$B$2:$B620,"SBA 26/*",$F$2:$F620,"&lt;&gt;"),"")</f>
        <v>5</v>
      </c>
      <c r="AB620" s="29" t="str">
        <f>IF(AA620=1,COUNTIF($AA$2:AA620,1),"")</f>
        <v/>
      </c>
    </row>
    <row r="621" spans="1:28" ht="78.75" customHeight="1" x14ac:dyDescent="0.2">
      <c r="A621" s="43" t="s">
        <v>2902</v>
      </c>
      <c r="B621" s="43" t="s">
        <v>2903</v>
      </c>
      <c r="C621" s="44" t="s">
        <v>379</v>
      </c>
      <c r="D621" s="44" t="s">
        <v>222</v>
      </c>
      <c r="E621" s="45" t="s">
        <v>2904</v>
      </c>
      <c r="F621" s="45" t="s">
        <v>2905</v>
      </c>
      <c r="G621" s="46" t="s">
        <v>38</v>
      </c>
      <c r="H621" s="48">
        <v>46217</v>
      </c>
      <c r="I621" s="48">
        <v>46224</v>
      </c>
      <c r="J621" s="44" t="s">
        <v>109</v>
      </c>
      <c r="K621" s="44" t="s">
        <v>99</v>
      </c>
      <c r="L621" s="50" t="s">
        <v>77</v>
      </c>
      <c r="M621" s="50"/>
      <c r="N621" s="50"/>
      <c r="O621" s="49"/>
      <c r="P621" s="50" t="str">
        <f t="shared" si="36"/>
        <v>ONAY</v>
      </c>
      <c r="R621" s="51" t="str">
        <f t="shared" si="37"/>
        <v/>
      </c>
      <c r="T621" s="41"/>
      <c r="U621" s="29">
        <f>IF($C621&lt;&gt;"",COUNTIF($C$2:C621,C621),"")</f>
        <v>9</v>
      </c>
      <c r="V621" s="29" t="str">
        <f t="shared" si="38"/>
        <v>Prof. Dr. Deniz ÇAĞDAŞ AYVAZ§9</v>
      </c>
      <c r="W621" s="29" t="str">
        <f>IF(U621=1,COUNTIF($U$2:U621,1),"")</f>
        <v/>
      </c>
      <c r="X621" s="29" t="str">
        <f t="shared" si="39"/>
        <v/>
      </c>
      <c r="Y621" s="29">
        <f>IF(AND(LEFT($B621,7)="SBA 26/",$D621&lt;&gt;"",$F621&lt;&gt;""),COUNTIFS($D$2:$D621,$D621,$B$2:$B621,"SBA 26/*",$F$2:$F621,"&lt;&gt;"),"")</f>
        <v>101</v>
      </c>
      <c r="Z621" s="29" t="str">
        <f>IF(Y621=1,COUNTIF($Y$2:Y621,1),"")</f>
        <v/>
      </c>
      <c r="AA621" s="29">
        <f>IF(AND(LEFT($B621,7)="SBA 26/",$C621&lt;&gt;"",$F621&lt;&gt;""),COUNTIFS($C$2:$C621,$C621,$B$2:$B621,"SBA 26/*",$F$2:$F621,"&lt;&gt;"),"")</f>
        <v>9</v>
      </c>
      <c r="AB621" s="29" t="str">
        <f>IF(AA621=1,COUNTIF($AA$2:AA621,1),"")</f>
        <v/>
      </c>
    </row>
    <row r="622" spans="1:28" ht="78.75" customHeight="1" x14ac:dyDescent="0.2">
      <c r="A622" s="43" t="s">
        <v>2906</v>
      </c>
      <c r="B622" s="43" t="s">
        <v>2907</v>
      </c>
      <c r="C622" s="44" t="s">
        <v>776</v>
      </c>
      <c r="D622" s="44" t="s">
        <v>291</v>
      </c>
      <c r="E622" s="45" t="s">
        <v>2908</v>
      </c>
      <c r="F622" s="45" t="s">
        <v>2909</v>
      </c>
      <c r="G622" s="46" t="s">
        <v>38</v>
      </c>
      <c r="H622" s="48">
        <v>46217</v>
      </c>
      <c r="I622" s="48">
        <v>46224</v>
      </c>
      <c r="J622" s="44" t="s">
        <v>91</v>
      </c>
      <c r="K622" s="44" t="s">
        <v>108</v>
      </c>
      <c r="L622" s="50" t="s">
        <v>101</v>
      </c>
      <c r="M622" s="50" t="s">
        <v>77</v>
      </c>
      <c r="N622" s="50"/>
      <c r="O622" s="49"/>
      <c r="P622" s="50" t="str">
        <f t="shared" si="36"/>
        <v>ONAY</v>
      </c>
      <c r="Q622" s="28" t="s">
        <v>108</v>
      </c>
      <c r="R622" s="51" t="str">
        <f t="shared" si="37"/>
        <v/>
      </c>
      <c r="T622" s="41"/>
      <c r="U622" s="29">
        <f>IF($C622&lt;&gt;"",COUNTIF($C$2:C622,C622),"")</f>
        <v>2</v>
      </c>
      <c r="V622" s="29" t="str">
        <f t="shared" si="38"/>
        <v>Dr. Öğr. Üyesi Ergin EROĞLU§2</v>
      </c>
      <c r="W622" s="29" t="str">
        <f>IF(U622=1,COUNTIF($U$2:U622,1),"")</f>
        <v/>
      </c>
      <c r="X622" s="29" t="str">
        <f t="shared" si="39"/>
        <v/>
      </c>
      <c r="Y622" s="29">
        <f>IF(AND(LEFT($B622,7)="SBA 26/",$D622&lt;&gt;"",$F622&lt;&gt;""),COUNTIFS($D$2:$D622,$D622,$B$2:$B622,"SBA 26/*",$F$2:$F622,"&lt;&gt;"),"")</f>
        <v>12</v>
      </c>
      <c r="Z622" s="29" t="str">
        <f>IF(Y622=1,COUNTIF($Y$2:Y622,1),"")</f>
        <v/>
      </c>
      <c r="AA622" s="29">
        <f>IF(AND(LEFT($B622,7)="SBA 26/",$C622&lt;&gt;"",$F622&lt;&gt;""),COUNTIFS($C$2:$C622,$C622,$B$2:$B622,"SBA 26/*",$F$2:$F622,"&lt;&gt;"),"")</f>
        <v>2</v>
      </c>
      <c r="AB622" s="29" t="str">
        <f>IF(AA622=1,COUNTIF($AA$2:AA622,1),"")</f>
        <v/>
      </c>
    </row>
    <row r="623" spans="1:28" ht="94.5" customHeight="1" x14ac:dyDescent="0.2">
      <c r="A623" s="43" t="s">
        <v>2910</v>
      </c>
      <c r="B623" s="43" t="s">
        <v>2911</v>
      </c>
      <c r="C623" s="44" t="s">
        <v>1260</v>
      </c>
      <c r="D623" s="44" t="s">
        <v>181</v>
      </c>
      <c r="E623" s="45" t="s">
        <v>2912</v>
      </c>
      <c r="F623" s="45" t="s">
        <v>2913</v>
      </c>
      <c r="G623" s="46" t="s">
        <v>38</v>
      </c>
      <c r="H623" s="48">
        <v>46217</v>
      </c>
      <c r="I623" s="48">
        <v>46224</v>
      </c>
      <c r="J623" s="44" t="s">
        <v>129</v>
      </c>
      <c r="K623" s="44" t="s">
        <v>108</v>
      </c>
      <c r="L623" s="50" t="s">
        <v>77</v>
      </c>
      <c r="M623" s="50"/>
      <c r="N623" s="50"/>
      <c r="O623" s="49"/>
      <c r="P623" s="50" t="str">
        <f t="shared" si="36"/>
        <v>ONAY</v>
      </c>
      <c r="R623" s="51" t="str">
        <f t="shared" si="37"/>
        <v/>
      </c>
      <c r="T623" s="41"/>
      <c r="U623" s="29">
        <f>IF($C623&lt;&gt;"",COUNTIF($C$2:C623,C623),"")</f>
        <v>2</v>
      </c>
      <c r="V623" s="29" t="str">
        <f t="shared" si="38"/>
        <v>Prof. Dr. Seda Banu AKINCI§2</v>
      </c>
      <c r="W623" s="29" t="str">
        <f>IF(U623=1,COUNTIF($U$2:U623,1),"")</f>
        <v/>
      </c>
      <c r="X623" s="29" t="str">
        <f t="shared" si="39"/>
        <v/>
      </c>
      <c r="Y623" s="29">
        <f>IF(AND(LEFT($B623,7)="SBA 26/",$D623&lt;&gt;"",$F623&lt;&gt;""),COUNTIFS($D$2:$D623,$D623,$B$2:$B623,"SBA 26/*",$F$2:$F623,"&lt;&gt;"),"")</f>
        <v>10</v>
      </c>
      <c r="Z623" s="29" t="str">
        <f>IF(Y623=1,COUNTIF($Y$2:Y623,1),"")</f>
        <v/>
      </c>
      <c r="AA623" s="29">
        <f>IF(AND(LEFT($B623,7)="SBA 26/",$C623&lt;&gt;"",$F623&lt;&gt;""),COUNTIFS($C$2:$C623,$C623,$B$2:$B623,"SBA 26/*",$F$2:$F623,"&lt;&gt;"),"")</f>
        <v>2</v>
      </c>
      <c r="AB623" s="29" t="str">
        <f>IF(AA623=1,COUNTIF($AA$2:AA623,1),"")</f>
        <v/>
      </c>
    </row>
    <row r="624" spans="1:28" ht="78.75" customHeight="1" x14ac:dyDescent="0.2">
      <c r="A624" s="43" t="s">
        <v>2914</v>
      </c>
      <c r="B624" s="43" t="s">
        <v>2915</v>
      </c>
      <c r="C624" s="44" t="s">
        <v>2916</v>
      </c>
      <c r="D624" s="44" t="s">
        <v>88</v>
      </c>
      <c r="E624" s="45" t="s">
        <v>2917</v>
      </c>
      <c r="F624" s="45" t="s">
        <v>2918</v>
      </c>
      <c r="G624" s="46" t="s">
        <v>38</v>
      </c>
      <c r="H624" s="48">
        <v>46217</v>
      </c>
      <c r="I624" s="48">
        <v>46224</v>
      </c>
      <c r="J624" s="44" t="s">
        <v>75</v>
      </c>
      <c r="K624" s="44" t="s">
        <v>92</v>
      </c>
      <c r="L624" s="50" t="s">
        <v>101</v>
      </c>
      <c r="M624" s="50" t="s">
        <v>77</v>
      </c>
      <c r="N624" s="50"/>
      <c r="O624" s="49"/>
      <c r="P624" s="50" t="str">
        <f t="shared" si="36"/>
        <v>ONAY</v>
      </c>
      <c r="Q624" s="28" t="s">
        <v>75</v>
      </c>
      <c r="R624" s="51" t="str">
        <f t="shared" si="37"/>
        <v/>
      </c>
      <c r="T624" s="41"/>
      <c r="U624" s="29">
        <f>IF($C624&lt;&gt;"",COUNTIF($C$2:C624,C624),"")</f>
        <v>1</v>
      </c>
      <c r="V624" s="29" t="str">
        <f t="shared" si="38"/>
        <v>Doç. Dr. Ferdi ÇAY§1</v>
      </c>
      <c r="W624" s="29">
        <f>IF(U624=1,COUNTIF($U$2:U624,1),"")</f>
        <v>307</v>
      </c>
      <c r="X624" s="29">
        <f t="shared" si="39"/>
        <v>57</v>
      </c>
      <c r="Y624" s="29">
        <f>IF(AND(LEFT($B624,7)="SBA 26/",$D624&lt;&gt;"",$F624&lt;&gt;""),COUNTIFS($D$2:$D624,$D624,$B$2:$B624,"SBA 26/*",$F$2:$F624,"&lt;&gt;"),"")</f>
        <v>20</v>
      </c>
      <c r="Z624" s="29" t="str">
        <f>IF(Y624=1,COUNTIF($Y$2:Y624,1),"")</f>
        <v/>
      </c>
      <c r="AA624" s="29">
        <f>IF(AND(LEFT($B624,7)="SBA 26/",$C624&lt;&gt;"",$F624&lt;&gt;""),COUNTIFS($C$2:$C624,$C624,$B$2:$B624,"SBA 26/*",$F$2:$F624,"&lt;&gt;"),"")</f>
        <v>1</v>
      </c>
      <c r="AB624" s="29">
        <f>IF(AA624=1,COUNTIF($AA$2:AA624,1),"")</f>
        <v>307</v>
      </c>
    </row>
    <row r="625" spans="1:28" ht="63" customHeight="1" x14ac:dyDescent="0.2">
      <c r="A625" s="43" t="s">
        <v>2919</v>
      </c>
      <c r="B625" s="43" t="s">
        <v>2920</v>
      </c>
      <c r="C625" s="44" t="s">
        <v>2921</v>
      </c>
      <c r="D625" s="44" t="s">
        <v>291</v>
      </c>
      <c r="E625" s="45" t="s">
        <v>2922</v>
      </c>
      <c r="F625" s="45" t="s">
        <v>2923</v>
      </c>
      <c r="G625" s="46" t="s">
        <v>38</v>
      </c>
      <c r="H625" s="48">
        <v>46217</v>
      </c>
      <c r="I625" s="48">
        <v>46224</v>
      </c>
      <c r="J625" s="44" t="s">
        <v>91</v>
      </c>
      <c r="K625" s="44" t="s">
        <v>99</v>
      </c>
      <c r="L625" s="50" t="s">
        <v>101</v>
      </c>
      <c r="M625" s="50" t="s">
        <v>77</v>
      </c>
      <c r="N625" s="50"/>
      <c r="O625" s="49"/>
      <c r="P625" s="50" t="str">
        <f t="shared" si="36"/>
        <v>ONAY</v>
      </c>
      <c r="Q625" s="28" t="s">
        <v>99</v>
      </c>
      <c r="R625" s="51" t="str">
        <f t="shared" si="37"/>
        <v/>
      </c>
      <c r="T625" s="41"/>
      <c r="U625" s="29">
        <f>IF($C625&lt;&gt;"",COUNTIF($C$2:C625,C625),"")</f>
        <v>1</v>
      </c>
      <c r="V625" s="29" t="str">
        <f t="shared" si="38"/>
        <v>Doç. Dr. Ahmet Erim PAMUK§1</v>
      </c>
      <c r="W625" s="29">
        <f>IF(U625=1,COUNTIF($U$2:U625,1),"")</f>
        <v>308</v>
      </c>
      <c r="X625" s="29">
        <f t="shared" si="39"/>
        <v>16</v>
      </c>
      <c r="Y625" s="29">
        <f>IF(AND(LEFT($B625,7)="SBA 26/",$D625&lt;&gt;"",$F625&lt;&gt;""),COUNTIFS($D$2:$D625,$D625,$B$2:$B625,"SBA 26/*",$F$2:$F625,"&lt;&gt;"),"")</f>
        <v>13</v>
      </c>
      <c r="Z625" s="29" t="str">
        <f>IF(Y625=1,COUNTIF($Y$2:Y625,1),"")</f>
        <v/>
      </c>
      <c r="AA625" s="29">
        <f>IF(AND(LEFT($B625,7)="SBA 26/",$C625&lt;&gt;"",$F625&lt;&gt;""),COUNTIFS($C$2:$C625,$C625,$B$2:$B625,"SBA 26/*",$F$2:$F625,"&lt;&gt;"),"")</f>
        <v>1</v>
      </c>
      <c r="AB625" s="29">
        <f>IF(AA625=1,COUNTIF($AA$2:AA625,1),"")</f>
        <v>308</v>
      </c>
    </row>
    <row r="626" spans="1:28" ht="80.25" customHeight="1" x14ac:dyDescent="0.2">
      <c r="A626" s="43" t="s">
        <v>2924</v>
      </c>
      <c r="B626" s="43" t="s">
        <v>2925</v>
      </c>
      <c r="C626" s="44" t="s">
        <v>2341</v>
      </c>
      <c r="D626" s="44" t="s">
        <v>385</v>
      </c>
      <c r="E626" s="45" t="s">
        <v>2926</v>
      </c>
      <c r="F626" s="45" t="s">
        <v>2927</v>
      </c>
      <c r="G626" s="46" t="s">
        <v>38</v>
      </c>
      <c r="H626" s="48">
        <v>46217</v>
      </c>
      <c r="I626" s="48">
        <v>46224</v>
      </c>
      <c r="J626" s="44" t="s">
        <v>109</v>
      </c>
      <c r="K626" s="44" t="s">
        <v>76</v>
      </c>
      <c r="L626" s="50" t="s">
        <v>101</v>
      </c>
      <c r="M626" s="50"/>
      <c r="N626" s="50"/>
      <c r="O626" s="49"/>
      <c r="P626" s="50" t="str">
        <f t="shared" si="36"/>
        <v>DÜZELTME</v>
      </c>
      <c r="R626" s="51" t="str">
        <f t="shared" si="37"/>
        <v/>
      </c>
      <c r="T626" s="41"/>
      <c r="U626" s="29">
        <f>IF($C626&lt;&gt;"",COUNTIF($C$2:C626,C626),"")</f>
        <v>2</v>
      </c>
      <c r="V626" s="29" t="str">
        <f t="shared" si="38"/>
        <v>Prof. Dr. Saniye EKİNCİ§2</v>
      </c>
      <c r="W626" s="29" t="str">
        <f>IF(U626=1,COUNTIF($U$2:U626,1),"")</f>
        <v/>
      </c>
      <c r="X626" s="29" t="str">
        <f t="shared" si="39"/>
        <v/>
      </c>
      <c r="Y626" s="29">
        <f>IF(AND(LEFT($B626,7)="SBA 26/",$D626&lt;&gt;"",$F626&lt;&gt;""),COUNTIFS($D$2:$D626,$D626,$B$2:$B626,"SBA 26/*",$F$2:$F626,"&lt;&gt;"),"")</f>
        <v>13</v>
      </c>
      <c r="Z626" s="29" t="str">
        <f>IF(Y626=1,COUNTIF($Y$2:Y626,1),"")</f>
        <v/>
      </c>
      <c r="AA626" s="29">
        <f>IF(AND(LEFT($B626,7)="SBA 26/",$C626&lt;&gt;"",$F626&lt;&gt;""),COUNTIFS($C$2:$C626,$C626,$B$2:$B626,"SBA 26/*",$F$2:$F626,"&lt;&gt;"),"")</f>
        <v>2</v>
      </c>
      <c r="AB626" s="29" t="str">
        <f>IF(AA626=1,COUNTIF($AA$2:AA626,1),"")</f>
        <v/>
      </c>
    </row>
    <row r="627" spans="1:28" ht="78.75" customHeight="1" x14ac:dyDescent="0.2">
      <c r="A627" s="43" t="s">
        <v>2928</v>
      </c>
      <c r="B627" s="43" t="s">
        <v>2929</v>
      </c>
      <c r="C627" s="44" t="s">
        <v>112</v>
      </c>
      <c r="D627" s="44" t="s">
        <v>113</v>
      </c>
      <c r="E627" s="45" t="s">
        <v>2930</v>
      </c>
      <c r="F627" s="45" t="s">
        <v>2931</v>
      </c>
      <c r="G627" s="46" t="s">
        <v>38</v>
      </c>
      <c r="H627" s="48">
        <v>46217</v>
      </c>
      <c r="I627" s="48">
        <v>46224</v>
      </c>
      <c r="J627" s="44" t="s">
        <v>109</v>
      </c>
      <c r="K627" s="44" t="s">
        <v>116</v>
      </c>
      <c r="L627" s="50" t="s">
        <v>101</v>
      </c>
      <c r="M627" s="50" t="s">
        <v>77</v>
      </c>
      <c r="N627" s="50"/>
      <c r="O627" s="49"/>
      <c r="P627" s="50" t="str">
        <f t="shared" si="36"/>
        <v>ONAY</v>
      </c>
      <c r="Q627" s="28" t="s">
        <v>109</v>
      </c>
      <c r="R627" s="51" t="str">
        <f t="shared" si="37"/>
        <v/>
      </c>
      <c r="T627" s="41"/>
      <c r="U627" s="29">
        <f>IF($C627&lt;&gt;"",COUNTIF($C$2:C627,C627),"")</f>
        <v>17</v>
      </c>
      <c r="V627" s="29" t="str">
        <f t="shared" si="38"/>
        <v>Prof. Dr. Meltem Gülhan HALİL§17</v>
      </c>
      <c r="W627" s="29" t="str">
        <f>IF(U627=1,COUNTIF($U$2:U627,1),"")</f>
        <v/>
      </c>
      <c r="X627" s="29" t="str">
        <f t="shared" si="39"/>
        <v/>
      </c>
      <c r="Y627" s="29">
        <f>IF(AND(LEFT($B627,7)="SBA 26/",$D627&lt;&gt;"",$F627&lt;&gt;""),COUNTIFS($D$2:$D627,$D627,$B$2:$B627,"SBA 26/*",$F$2:$F627,"&lt;&gt;"),"")</f>
        <v>104</v>
      </c>
      <c r="Z627" s="29" t="str">
        <f>IF(Y627=1,COUNTIF($Y$2:Y627,1),"")</f>
        <v/>
      </c>
      <c r="AA627" s="29">
        <f>IF(AND(LEFT($B627,7)="SBA 26/",$C627&lt;&gt;"",$F627&lt;&gt;""),COUNTIFS($C$2:$C627,$C627,$B$2:$B627,"SBA 26/*",$F$2:$F627,"&lt;&gt;"),"")</f>
        <v>17</v>
      </c>
      <c r="AB627" s="29" t="str">
        <f>IF(AA627=1,COUNTIF($AA$2:AA627,1),"")</f>
        <v/>
      </c>
    </row>
    <row r="628" spans="1:28" ht="63" customHeight="1" x14ac:dyDescent="0.2">
      <c r="A628" s="43" t="s">
        <v>2932</v>
      </c>
      <c r="B628" s="43" t="s">
        <v>2933</v>
      </c>
      <c r="C628" s="44" t="s">
        <v>2934</v>
      </c>
      <c r="D628" s="44" t="s">
        <v>1894</v>
      </c>
      <c r="E628" s="45" t="s">
        <v>2935</v>
      </c>
      <c r="F628" s="45" t="s">
        <v>2936</v>
      </c>
      <c r="G628" s="46" t="s">
        <v>38</v>
      </c>
      <c r="H628" s="48">
        <v>46217</v>
      </c>
      <c r="I628" s="48">
        <v>46224</v>
      </c>
      <c r="J628" s="44" t="s">
        <v>116</v>
      </c>
      <c r="K628" s="44" t="s">
        <v>84</v>
      </c>
      <c r="L628" s="50" t="s">
        <v>77</v>
      </c>
      <c r="M628" s="50"/>
      <c r="N628" s="50"/>
      <c r="O628" s="49"/>
      <c r="P628" s="50" t="str">
        <f t="shared" si="36"/>
        <v>ONAY</v>
      </c>
      <c r="R628" s="51" t="str">
        <f t="shared" si="37"/>
        <v/>
      </c>
      <c r="T628" s="41"/>
      <c r="U628" s="29">
        <f>IF($C628&lt;&gt;"",COUNTIF($C$2:C628,C628),"")</f>
        <v>1</v>
      </c>
      <c r="V628" s="29" t="str">
        <f t="shared" si="38"/>
        <v>Doç. Dr. Yasemin GÜZEL§1</v>
      </c>
      <c r="W628" s="29">
        <f>IF(U628=1,COUNTIF($U$2:U628,1),"")</f>
        <v>309</v>
      </c>
      <c r="X628" s="29">
        <f t="shared" si="39"/>
        <v>108</v>
      </c>
      <c r="Y628" s="29">
        <f>IF(AND(LEFT($B628,7)="SBA 26/",$D628&lt;&gt;"",$F628&lt;&gt;""),COUNTIFS($D$2:$D628,$D628,$B$2:$B628,"SBA 26/*",$F$2:$F628,"&lt;&gt;"),"")</f>
        <v>2</v>
      </c>
      <c r="Z628" s="29" t="str">
        <f>IF(Y628=1,COUNTIF($Y$2:Y628,1),"")</f>
        <v/>
      </c>
      <c r="AA628" s="29">
        <f>IF(AND(LEFT($B628,7)="SBA 26/",$C628&lt;&gt;"",$F628&lt;&gt;""),COUNTIFS($C$2:$C628,$C628,$B$2:$B628,"SBA 26/*",$F$2:$F628,"&lt;&gt;"),"")</f>
        <v>1</v>
      </c>
      <c r="AB628" s="29">
        <f>IF(AA628=1,COUNTIF($AA$2:AA628,1),"")</f>
        <v>309</v>
      </c>
    </row>
    <row r="629" spans="1:28" ht="63" customHeight="1" x14ac:dyDescent="0.2">
      <c r="A629" s="43" t="s">
        <v>2937</v>
      </c>
      <c r="B629" s="43" t="s">
        <v>2938</v>
      </c>
      <c r="C629" s="44" t="s">
        <v>2939</v>
      </c>
      <c r="D629" s="44" t="s">
        <v>88</v>
      </c>
      <c r="E629" s="45" t="s">
        <v>2940</v>
      </c>
      <c r="F629" s="45" t="s">
        <v>2941</v>
      </c>
      <c r="G629" s="46" t="s">
        <v>38</v>
      </c>
      <c r="H629" s="48">
        <v>46217</v>
      </c>
      <c r="I629" s="48">
        <v>46224</v>
      </c>
      <c r="J629" s="44" t="s">
        <v>91</v>
      </c>
      <c r="K629" s="44" t="s">
        <v>76</v>
      </c>
      <c r="L629" s="50" t="s">
        <v>77</v>
      </c>
      <c r="M629" s="50"/>
      <c r="N629" s="50"/>
      <c r="O629" s="49"/>
      <c r="P629" s="50" t="str">
        <f t="shared" si="36"/>
        <v>ONAY</v>
      </c>
      <c r="R629" s="51" t="str">
        <f t="shared" si="37"/>
        <v/>
      </c>
      <c r="T629" s="41"/>
      <c r="U629" s="29">
        <f>IF($C629&lt;&gt;"",COUNTIF($C$2:C629,C629),"")</f>
        <v>1</v>
      </c>
      <c r="V629" s="29" t="str">
        <f t="shared" si="38"/>
        <v>Dr. Öğr. Üyesi Sinan BALCI§1</v>
      </c>
      <c r="W629" s="29">
        <f>IF(U629=1,COUNTIF($U$2:U629,1),"")</f>
        <v>310</v>
      </c>
      <c r="X629" s="29">
        <f t="shared" si="39"/>
        <v>167</v>
      </c>
      <c r="Y629" s="29">
        <f>IF(AND(LEFT($B629,7)="SBA 26/",$D629&lt;&gt;"",$F629&lt;&gt;""),COUNTIFS($D$2:$D629,$D629,$B$2:$B629,"SBA 26/*",$F$2:$F629,"&lt;&gt;"),"")</f>
        <v>21</v>
      </c>
      <c r="Z629" s="29" t="str">
        <f>IF(Y629=1,COUNTIF($Y$2:Y629,1),"")</f>
        <v/>
      </c>
      <c r="AA629" s="29">
        <f>IF(AND(LEFT($B629,7)="SBA 26/",$C629&lt;&gt;"",$F629&lt;&gt;""),COUNTIFS($C$2:$C629,$C629,$B$2:$B629,"SBA 26/*",$F$2:$F629,"&lt;&gt;"),"")</f>
        <v>1</v>
      </c>
      <c r="AB629" s="29">
        <f>IF(AA629=1,COUNTIF($AA$2:AA629,1),"")</f>
        <v>310</v>
      </c>
    </row>
    <row r="630" spans="1:28" ht="94.5" customHeight="1" x14ac:dyDescent="0.2">
      <c r="A630" s="43" t="s">
        <v>2942</v>
      </c>
      <c r="B630" s="43" t="s">
        <v>2943</v>
      </c>
      <c r="C630" s="44" t="s">
        <v>2944</v>
      </c>
      <c r="D630" s="44" t="s">
        <v>222</v>
      </c>
      <c r="E630" s="45" t="s">
        <v>2945</v>
      </c>
      <c r="F630" s="45" t="s">
        <v>2946</v>
      </c>
      <c r="G630" s="46" t="s">
        <v>38</v>
      </c>
      <c r="H630" s="48">
        <v>46217</v>
      </c>
      <c r="I630" s="48">
        <v>46224</v>
      </c>
      <c r="J630" s="44" t="s">
        <v>100</v>
      </c>
      <c r="K630" s="44" t="s">
        <v>92</v>
      </c>
      <c r="L630" s="50" t="s">
        <v>77</v>
      </c>
      <c r="M630" s="50"/>
      <c r="N630" s="50"/>
      <c r="O630" s="49"/>
      <c r="P630" s="50" t="str">
        <f t="shared" si="36"/>
        <v>ONAY</v>
      </c>
      <c r="R630" s="51" t="str">
        <f t="shared" si="37"/>
        <v/>
      </c>
      <c r="T630" s="41"/>
      <c r="U630" s="29">
        <f>IF($C630&lt;&gt;"",COUNTIF($C$2:C630,C630),"")</f>
        <v>1</v>
      </c>
      <c r="V630" s="29" t="str">
        <f t="shared" si="38"/>
        <v>Arş. Gör. Dr. Oğuzhan SERİN§1</v>
      </c>
      <c r="W630" s="29">
        <f>IF(U630=1,COUNTIF($U$2:U630,1),"")</f>
        <v>311</v>
      </c>
      <c r="X630" s="29">
        <f t="shared" si="39"/>
        <v>6</v>
      </c>
      <c r="Y630" s="29">
        <f>IF(AND(LEFT($B630,7)="SBA 26/",$D630&lt;&gt;"",$F630&lt;&gt;""),COUNTIFS($D$2:$D630,$D630,$B$2:$B630,"SBA 26/*",$F$2:$F630,"&lt;&gt;"),"")</f>
        <v>102</v>
      </c>
      <c r="Z630" s="29" t="str">
        <f>IF(Y630=1,COUNTIF($Y$2:Y630,1),"")</f>
        <v/>
      </c>
      <c r="AA630" s="29">
        <f>IF(AND(LEFT($B630,7)="SBA 26/",$C630&lt;&gt;"",$F630&lt;&gt;""),COUNTIFS($C$2:$C630,$C630,$B$2:$B630,"SBA 26/*",$F$2:$F630,"&lt;&gt;"),"")</f>
        <v>1</v>
      </c>
      <c r="AB630" s="29">
        <f>IF(AA630=1,COUNTIF($AA$2:AA630,1),"")</f>
        <v>311</v>
      </c>
    </row>
    <row r="631" spans="1:28" ht="63" customHeight="1" x14ac:dyDescent="0.2">
      <c r="A631" s="43" t="s">
        <v>2947</v>
      </c>
      <c r="B631" s="43" t="s">
        <v>2948</v>
      </c>
      <c r="C631" s="44" t="s">
        <v>2878</v>
      </c>
      <c r="D631" s="44" t="s">
        <v>113</v>
      </c>
      <c r="E631" s="45" t="s">
        <v>2879</v>
      </c>
      <c r="F631" s="45" t="s">
        <v>2949</v>
      </c>
      <c r="G631" s="46" t="s">
        <v>38</v>
      </c>
      <c r="H631" s="48">
        <v>46217</v>
      </c>
      <c r="I631" s="48">
        <v>46224</v>
      </c>
      <c r="J631" s="44" t="s">
        <v>108</v>
      </c>
      <c r="K631" s="44" t="s">
        <v>123</v>
      </c>
      <c r="L631" s="50" t="s">
        <v>77</v>
      </c>
      <c r="M631" s="50"/>
      <c r="N631" s="50"/>
      <c r="O631" s="49"/>
      <c r="P631" s="50" t="str">
        <f t="shared" si="36"/>
        <v>ONAY</v>
      </c>
      <c r="R631" s="51" t="str">
        <f t="shared" si="37"/>
        <v/>
      </c>
      <c r="T631" s="41"/>
      <c r="U631" s="29">
        <f>IF($C631&lt;&gt;"",COUNTIF($C$2:C631,C631),"")</f>
        <v>2</v>
      </c>
      <c r="V631" s="29" t="str">
        <f t="shared" si="38"/>
        <v>Arş. Gör. Dr. Kadir İNTAŞ§2</v>
      </c>
      <c r="W631" s="29" t="str">
        <f>IF(U631=1,COUNTIF($U$2:U631,1),"")</f>
        <v/>
      </c>
      <c r="X631" s="29" t="str">
        <f t="shared" si="39"/>
        <v/>
      </c>
      <c r="Y631" s="29">
        <f>IF(AND(LEFT($B631,7)="SBA 26/",$D631&lt;&gt;"",$F631&lt;&gt;""),COUNTIFS($D$2:$D631,$D631,$B$2:$B631,"SBA 26/*",$F$2:$F631,"&lt;&gt;"),"")</f>
        <v>105</v>
      </c>
      <c r="Z631" s="29" t="str">
        <f>IF(Y631=1,COUNTIF($Y$2:Y631,1),"")</f>
        <v/>
      </c>
      <c r="AA631" s="29">
        <f>IF(AND(LEFT($B631,7)="SBA 26/",$C631&lt;&gt;"",$F631&lt;&gt;""),COUNTIFS($C$2:$C631,$C631,$B$2:$B631,"SBA 26/*",$F$2:$F631,"&lt;&gt;"),"")</f>
        <v>2</v>
      </c>
      <c r="AB631" s="29" t="str">
        <f>IF(AA631=1,COUNTIF($AA$2:AA631,1),"")</f>
        <v/>
      </c>
    </row>
    <row r="632" spans="1:28" ht="110.25" customHeight="1" x14ac:dyDescent="0.2">
      <c r="A632" s="43" t="s">
        <v>2950</v>
      </c>
      <c r="B632" s="43" t="s">
        <v>2951</v>
      </c>
      <c r="C632" s="44" t="s">
        <v>1503</v>
      </c>
      <c r="D632" s="44" t="s">
        <v>222</v>
      </c>
      <c r="E632" s="45" t="s">
        <v>2952</v>
      </c>
      <c r="F632" s="45" t="s">
        <v>2953</v>
      </c>
      <c r="G632" s="46" t="s">
        <v>38</v>
      </c>
      <c r="H632" s="48">
        <v>46217</v>
      </c>
      <c r="I632" s="48">
        <v>46224</v>
      </c>
      <c r="J632" s="44" t="s">
        <v>100</v>
      </c>
      <c r="K632" s="44" t="s">
        <v>123</v>
      </c>
      <c r="L632" s="50" t="s">
        <v>218</v>
      </c>
      <c r="M632" s="50"/>
      <c r="N632" s="50"/>
      <c r="O632" s="49"/>
      <c r="P632" s="50" t="str">
        <f t="shared" si="36"/>
        <v>KAEK</v>
      </c>
      <c r="R632" s="51" t="str">
        <f t="shared" si="37"/>
        <v/>
      </c>
      <c r="T632" s="41"/>
      <c r="U632" s="29">
        <f>IF($C632&lt;&gt;"",COUNTIF($C$2:C632,C632),"")</f>
        <v>3</v>
      </c>
      <c r="V632" s="29" t="str">
        <f t="shared" si="38"/>
        <v>Prof. Dr. Sinem AKGÜL§3</v>
      </c>
      <c r="W632" s="29" t="str">
        <f>IF(U632=1,COUNTIF($U$2:U632,1),"")</f>
        <v/>
      </c>
      <c r="X632" s="29" t="str">
        <f t="shared" si="39"/>
        <v/>
      </c>
      <c r="Y632" s="29">
        <f>IF(AND(LEFT($B632,7)="SBA 26/",$D632&lt;&gt;"",$F632&lt;&gt;""),COUNTIFS($D$2:$D632,$D632,$B$2:$B632,"SBA 26/*",$F$2:$F632,"&lt;&gt;"),"")</f>
        <v>103</v>
      </c>
      <c r="Z632" s="29" t="str">
        <f>IF(Y632=1,COUNTIF($Y$2:Y632,1),"")</f>
        <v/>
      </c>
      <c r="AA632" s="29">
        <f>IF(AND(LEFT($B632,7)="SBA 26/",$C632&lt;&gt;"",$F632&lt;&gt;""),COUNTIFS($C$2:$C632,$C632,$B$2:$B632,"SBA 26/*",$F$2:$F632,"&lt;&gt;"),"")</f>
        <v>3</v>
      </c>
      <c r="AB632" s="29" t="str">
        <f>IF(AA632=1,COUNTIF($AA$2:AA632,1),"")</f>
        <v/>
      </c>
    </row>
    <row r="633" spans="1:28" ht="78.75" customHeight="1" x14ac:dyDescent="0.2">
      <c r="A633" s="43" t="s">
        <v>2954</v>
      </c>
      <c r="B633" s="43" t="s">
        <v>2955</v>
      </c>
      <c r="C633" s="44" t="s">
        <v>604</v>
      </c>
      <c r="D633" s="44" t="s">
        <v>215</v>
      </c>
      <c r="E633" s="45" t="s">
        <v>2956</v>
      </c>
      <c r="F633" s="45" t="s">
        <v>2957</v>
      </c>
      <c r="G633" s="46" t="s">
        <v>38</v>
      </c>
      <c r="H633" s="48">
        <v>46217</v>
      </c>
      <c r="I633" s="48">
        <v>46224</v>
      </c>
      <c r="J633" s="44" t="s">
        <v>123</v>
      </c>
      <c r="K633" s="44" t="s">
        <v>116</v>
      </c>
      <c r="L633" s="50" t="s">
        <v>77</v>
      </c>
      <c r="M633" s="50"/>
      <c r="N633" s="50"/>
      <c r="O633" s="49"/>
      <c r="P633" s="50" t="str">
        <f t="shared" si="36"/>
        <v>ONAY</v>
      </c>
      <c r="R633" s="51" t="str">
        <f t="shared" si="37"/>
        <v/>
      </c>
      <c r="T633" s="41"/>
      <c r="U633" s="29">
        <f>IF($C633&lt;&gt;"",COUNTIF($C$2:C633,C633),"")</f>
        <v>2</v>
      </c>
      <c r="V633" s="29" t="str">
        <f t="shared" si="38"/>
        <v>Prof. Dr. Hakan Hıfzı TÜZ§2</v>
      </c>
      <c r="W633" s="29" t="str">
        <f>IF(U633=1,COUNTIF($U$2:U633,1),"")</f>
        <v/>
      </c>
      <c r="X633" s="29" t="str">
        <f t="shared" si="39"/>
        <v/>
      </c>
      <c r="Y633" s="29">
        <f>IF(AND(LEFT($B633,7)="SBA 26/",$D633&lt;&gt;"",$F633&lt;&gt;""),COUNTIFS($D$2:$D633,$D633,$B$2:$B633,"SBA 26/*",$F$2:$F633,"&lt;&gt;"),"")</f>
        <v>10</v>
      </c>
      <c r="Z633" s="29" t="str">
        <f>IF(Y633=1,COUNTIF($Y$2:Y633,1),"")</f>
        <v/>
      </c>
      <c r="AA633" s="29">
        <f>IF(AND(LEFT($B633,7)="SBA 26/",$C633&lt;&gt;"",$F633&lt;&gt;""),COUNTIFS($C$2:$C633,$C633,$B$2:$B633,"SBA 26/*",$F$2:$F633,"&lt;&gt;"),"")</f>
        <v>2</v>
      </c>
      <c r="AB633" s="29" t="str">
        <f>IF(AA633=1,COUNTIF($AA$2:AA633,1),"")</f>
        <v/>
      </c>
    </row>
    <row r="634" spans="1:28" ht="94.5" customHeight="1" x14ac:dyDescent="0.2">
      <c r="A634" s="43" t="s">
        <v>2958</v>
      </c>
      <c r="B634" s="43" t="s">
        <v>2959</v>
      </c>
      <c r="C634" s="44" t="s">
        <v>2960</v>
      </c>
      <c r="D634" s="44" t="s">
        <v>120</v>
      </c>
      <c r="E634" s="45" t="s">
        <v>2961</v>
      </c>
      <c r="F634" s="45" t="s">
        <v>2962</v>
      </c>
      <c r="G634" s="46" t="s">
        <v>39</v>
      </c>
      <c r="H634" s="48">
        <v>46217</v>
      </c>
      <c r="I634" s="48">
        <v>46224</v>
      </c>
      <c r="J634" s="44" t="s">
        <v>123</v>
      </c>
      <c r="K634" s="44" t="s">
        <v>99</v>
      </c>
      <c r="L634" s="50" t="s">
        <v>77</v>
      </c>
      <c r="M634" s="50"/>
      <c r="N634" s="50"/>
      <c r="O634" s="49"/>
      <c r="P634" s="50" t="str">
        <f t="shared" si="36"/>
        <v>ONAY</v>
      </c>
      <c r="R634" s="51" t="str">
        <f t="shared" si="37"/>
        <v/>
      </c>
      <c r="T634" s="41"/>
      <c r="U634" s="29">
        <f>IF($C634&lt;&gt;"",COUNTIF($C$2:C634,C634),"")</f>
        <v>1</v>
      </c>
      <c r="V634" s="29" t="str">
        <f t="shared" si="38"/>
        <v>Dr. Öğr. Üyesi Sevinç ASKERBEYLİ ÖRS§1</v>
      </c>
      <c r="W634" s="29">
        <f>IF(U634=1,COUNTIF($U$2:U634,1),"")</f>
        <v>312</v>
      </c>
      <c r="X634" s="29">
        <f t="shared" si="39"/>
        <v>166</v>
      </c>
      <c r="Y634" s="29">
        <f>IF(AND(LEFT($B634,7)="SBA 26/",$D634&lt;&gt;"",$F634&lt;&gt;""),COUNTIFS($D$2:$D634,$D634,$B$2:$B634,"SBA 26/*",$F$2:$F634,"&lt;&gt;"),"")</f>
        <v>8</v>
      </c>
      <c r="Z634" s="29" t="str">
        <f>IF(Y634=1,COUNTIF($Y$2:Y634,1),"")</f>
        <v/>
      </c>
      <c r="AA634" s="29">
        <f>IF(AND(LEFT($B634,7)="SBA 26/",$C634&lt;&gt;"",$F634&lt;&gt;""),COUNTIFS($C$2:$C634,$C634,$B$2:$B634,"SBA 26/*",$F$2:$F634,"&lt;&gt;"),"")</f>
        <v>1</v>
      </c>
      <c r="AB634" s="29">
        <f>IF(AA634=1,COUNTIF($AA$2:AA634,1),"")</f>
        <v>312</v>
      </c>
    </row>
    <row r="635" spans="1:28" ht="63" customHeight="1" x14ac:dyDescent="0.2">
      <c r="A635" s="43" t="s">
        <v>2963</v>
      </c>
      <c r="B635" s="43" t="s">
        <v>2964</v>
      </c>
      <c r="C635" s="44" t="s">
        <v>1432</v>
      </c>
      <c r="D635" s="44" t="s">
        <v>113</v>
      </c>
      <c r="E635" s="45" t="s">
        <v>2965</v>
      </c>
      <c r="F635" s="45" t="s">
        <v>2966</v>
      </c>
      <c r="G635" s="46" t="s">
        <v>38</v>
      </c>
      <c r="H635" s="48">
        <v>46217</v>
      </c>
      <c r="I635" s="48">
        <v>46224</v>
      </c>
      <c r="J635" s="44" t="s">
        <v>108</v>
      </c>
      <c r="K635" s="44" t="s">
        <v>129</v>
      </c>
      <c r="L635" s="50"/>
      <c r="M635" s="50"/>
      <c r="N635" s="50"/>
      <c r="O635" s="49"/>
      <c r="P635" s="50">
        <f t="shared" si="36"/>
        <v>0</v>
      </c>
      <c r="R635" s="51" t="str">
        <f t="shared" si="37"/>
        <v/>
      </c>
      <c r="T635" s="41"/>
      <c r="U635" s="29">
        <f>IF($C635&lt;&gt;"",COUNTIF($C$2:C635,C635),"")</f>
        <v>8</v>
      </c>
      <c r="V635" s="29" t="str">
        <f t="shared" si="38"/>
        <v>Prof. Dr. Taylan KAV§8</v>
      </c>
      <c r="W635" s="29" t="str">
        <f>IF(U635=1,COUNTIF($U$2:U635,1),"")</f>
        <v/>
      </c>
      <c r="X635" s="29" t="str">
        <f t="shared" si="39"/>
        <v/>
      </c>
      <c r="Y635" s="29">
        <f>IF(AND(LEFT($B635,7)="SBA 26/",$D635&lt;&gt;"",$F635&lt;&gt;""),COUNTIFS($D$2:$D635,$D635,$B$2:$B635,"SBA 26/*",$F$2:$F635,"&lt;&gt;"),"")</f>
        <v>106</v>
      </c>
      <c r="Z635" s="29" t="str">
        <f>IF(Y635=1,COUNTIF($Y$2:Y635,1),"")</f>
        <v/>
      </c>
      <c r="AA635" s="29">
        <f>IF(AND(LEFT($B635,7)="SBA 26/",$C635&lt;&gt;"",$F635&lt;&gt;""),COUNTIFS($C$2:$C635,$C635,$B$2:$B635,"SBA 26/*",$F$2:$F635,"&lt;&gt;"),"")</f>
        <v>8</v>
      </c>
      <c r="AB635" s="29" t="str">
        <f>IF(AA635=1,COUNTIF($AA$2:AA635,1),"")</f>
        <v/>
      </c>
    </row>
    <row r="636" spans="1:28" ht="110.25" customHeight="1" x14ac:dyDescent="0.2">
      <c r="A636" s="43" t="s">
        <v>2967</v>
      </c>
      <c r="B636" s="43" t="s">
        <v>2968</v>
      </c>
      <c r="C636" s="44" t="s">
        <v>681</v>
      </c>
      <c r="D636" s="44" t="s">
        <v>113</v>
      </c>
      <c r="E636" s="45" t="s">
        <v>2969</v>
      </c>
      <c r="F636" s="45" t="s">
        <v>2970</v>
      </c>
      <c r="G636" s="46" t="s">
        <v>38</v>
      </c>
      <c r="H636" s="48">
        <v>46217</v>
      </c>
      <c r="I636" s="48">
        <v>46224</v>
      </c>
      <c r="J636" s="44" t="s">
        <v>91</v>
      </c>
      <c r="K636" s="44" t="s">
        <v>92</v>
      </c>
      <c r="L636" s="50" t="s">
        <v>153</v>
      </c>
      <c r="M636" s="50"/>
      <c r="N636" s="50"/>
      <c r="O636" s="49"/>
      <c r="P636" s="50" t="str">
        <f t="shared" si="36"/>
        <v>KAPSAM DIŞI</v>
      </c>
      <c r="R636" s="51" t="str">
        <f t="shared" si="37"/>
        <v/>
      </c>
      <c r="T636" s="41"/>
      <c r="U636" s="29">
        <f>IF($C636&lt;&gt;"",COUNTIF($C$2:C636,C636),"")</f>
        <v>3</v>
      </c>
      <c r="V636" s="29" t="str">
        <f t="shared" si="38"/>
        <v>Prof. Dr. Hatice Yasemin BALABAN§3</v>
      </c>
      <c r="W636" s="29" t="str">
        <f>IF(U636=1,COUNTIF($U$2:U636,1),"")</f>
        <v/>
      </c>
      <c r="X636" s="29" t="str">
        <f t="shared" si="39"/>
        <v/>
      </c>
      <c r="Y636" s="29">
        <f>IF(AND(LEFT($B636,7)="SBA 26/",$D636&lt;&gt;"",$F636&lt;&gt;""),COUNTIFS($D$2:$D636,$D636,$B$2:$B636,"SBA 26/*",$F$2:$F636,"&lt;&gt;"),"")</f>
        <v>107</v>
      </c>
      <c r="Z636" s="29" t="str">
        <f>IF(Y636=1,COUNTIF($Y$2:Y636,1),"")</f>
        <v/>
      </c>
      <c r="AA636" s="29">
        <f>IF(AND(LEFT($B636,7)="SBA 26/",$C636&lt;&gt;"",$F636&lt;&gt;""),COUNTIFS($C$2:$C636,$C636,$B$2:$B636,"SBA 26/*",$F$2:$F636,"&lt;&gt;"),"")</f>
        <v>3</v>
      </c>
      <c r="AB636" s="29" t="str">
        <f>IF(AA636=1,COUNTIF($AA$2:AA636,1),"")</f>
        <v/>
      </c>
    </row>
    <row r="637" spans="1:28" ht="80.25" customHeight="1" x14ac:dyDescent="0.2">
      <c r="A637" s="43" t="s">
        <v>2971</v>
      </c>
      <c r="B637" s="43" t="s">
        <v>2972</v>
      </c>
      <c r="C637" s="44" t="s">
        <v>1432</v>
      </c>
      <c r="D637" s="44" t="s">
        <v>113</v>
      </c>
      <c r="E637" s="45" t="s">
        <v>2973</v>
      </c>
      <c r="F637" s="45" t="s">
        <v>2974</v>
      </c>
      <c r="G637" s="46" t="s">
        <v>38</v>
      </c>
      <c r="H637" s="48">
        <v>46217</v>
      </c>
      <c r="I637" s="48">
        <v>46224</v>
      </c>
      <c r="J637" s="44" t="s">
        <v>84</v>
      </c>
      <c r="K637" s="44" t="s">
        <v>92</v>
      </c>
      <c r="L637" s="50" t="s">
        <v>77</v>
      </c>
      <c r="M637" s="50"/>
      <c r="N637" s="50"/>
      <c r="O637" s="49"/>
      <c r="P637" s="50" t="str">
        <f t="shared" si="36"/>
        <v>ONAY</v>
      </c>
      <c r="R637" s="51" t="str">
        <f t="shared" si="37"/>
        <v/>
      </c>
      <c r="T637" s="41"/>
      <c r="U637" s="29">
        <f>IF($C637&lt;&gt;"",COUNTIF($C$2:C637,C637),"")</f>
        <v>9</v>
      </c>
      <c r="V637" s="29" t="str">
        <f t="shared" si="38"/>
        <v>Prof. Dr. Taylan KAV§9</v>
      </c>
      <c r="W637" s="29" t="str">
        <f>IF(U637=1,COUNTIF($U$2:U637,1),"")</f>
        <v/>
      </c>
      <c r="X637" s="29" t="str">
        <f t="shared" si="39"/>
        <v/>
      </c>
      <c r="Y637" s="29">
        <f>IF(AND(LEFT($B637,7)="SBA 26/",$D637&lt;&gt;"",$F637&lt;&gt;""),COUNTIFS($D$2:$D637,$D637,$B$2:$B637,"SBA 26/*",$F$2:$F637,"&lt;&gt;"),"")</f>
        <v>108</v>
      </c>
      <c r="Z637" s="29" t="str">
        <f>IF(Y637=1,COUNTIF($Y$2:Y637,1),"")</f>
        <v/>
      </c>
      <c r="AA637" s="29">
        <f>IF(AND(LEFT($B637,7)="SBA 26/",$C637&lt;&gt;"",$F637&lt;&gt;""),COUNTIFS($C$2:$C637,$C637,$B$2:$B637,"SBA 26/*",$F$2:$F637,"&lt;&gt;"),"")</f>
        <v>9</v>
      </c>
      <c r="AB637" s="29" t="str">
        <f>IF(AA637=1,COUNTIF($AA$2:AA637,1),"")</f>
        <v/>
      </c>
    </row>
    <row r="638" spans="1:28" ht="78.75" customHeight="1" x14ac:dyDescent="0.2">
      <c r="A638" s="43" t="s">
        <v>2975</v>
      </c>
      <c r="B638" s="43" t="s">
        <v>2976</v>
      </c>
      <c r="C638" s="44" t="s">
        <v>2977</v>
      </c>
      <c r="D638" s="44" t="s">
        <v>88</v>
      </c>
      <c r="E638" s="45" t="s">
        <v>2978</v>
      </c>
      <c r="F638" s="45" t="s">
        <v>2979</v>
      </c>
      <c r="G638" s="46" t="s">
        <v>38</v>
      </c>
      <c r="H638" s="48">
        <v>46217</v>
      </c>
      <c r="I638" s="48">
        <v>46224</v>
      </c>
      <c r="J638" s="44" t="s">
        <v>92</v>
      </c>
      <c r="K638" s="44" t="s">
        <v>108</v>
      </c>
      <c r="L638" s="50" t="s">
        <v>77</v>
      </c>
      <c r="M638" s="50"/>
      <c r="N638" s="50"/>
      <c r="O638" s="49"/>
      <c r="P638" s="50" t="str">
        <f t="shared" si="36"/>
        <v>ONAY</v>
      </c>
      <c r="R638" s="51" t="str">
        <f t="shared" si="37"/>
        <v/>
      </c>
      <c r="T638" s="41"/>
      <c r="U638" s="29">
        <f>IF($C638&lt;&gt;"",COUNTIF($C$2:C638,C638),"")</f>
        <v>1</v>
      </c>
      <c r="V638" s="29" t="str">
        <f t="shared" si="38"/>
        <v>Dr. Öğr. Üyesi Yasin SARIKAYA§1</v>
      </c>
      <c r="W638" s="29">
        <f>IF(U638=1,COUNTIF($U$2:U638,1),"")</f>
        <v>313</v>
      </c>
      <c r="X638" s="29">
        <f t="shared" si="39"/>
        <v>171</v>
      </c>
      <c r="Y638" s="29">
        <f>IF(AND(LEFT($B638,7)="SBA 26/",$D638&lt;&gt;"",$F638&lt;&gt;""),COUNTIFS($D$2:$D638,$D638,$B$2:$B638,"SBA 26/*",$F$2:$F638,"&lt;&gt;"),"")</f>
        <v>22</v>
      </c>
      <c r="Z638" s="29" t="str">
        <f>IF(Y638=1,COUNTIF($Y$2:Y638,1),"")</f>
        <v/>
      </c>
      <c r="AA638" s="29">
        <f>IF(AND(LEFT($B638,7)="SBA 26/",$C638&lt;&gt;"",$F638&lt;&gt;""),COUNTIFS($C$2:$C638,$C638,$B$2:$B638,"SBA 26/*",$F$2:$F638,"&lt;&gt;"),"")</f>
        <v>1</v>
      </c>
      <c r="AB638" s="29">
        <f>IF(AA638=1,COUNTIF($AA$2:AA638,1),"")</f>
        <v>313</v>
      </c>
    </row>
    <row r="639" spans="1:28" ht="94.5" customHeight="1" x14ac:dyDescent="0.2">
      <c r="A639" s="43" t="s">
        <v>2980</v>
      </c>
      <c r="B639" s="43" t="s">
        <v>2981</v>
      </c>
      <c r="C639" s="44" t="s">
        <v>2982</v>
      </c>
      <c r="D639" s="44" t="s">
        <v>222</v>
      </c>
      <c r="E639" s="45" t="s">
        <v>2983</v>
      </c>
      <c r="F639" s="45" t="s">
        <v>2984</v>
      </c>
      <c r="G639" s="46" t="s">
        <v>38</v>
      </c>
      <c r="H639" s="48">
        <v>46217</v>
      </c>
      <c r="I639" s="48">
        <v>46224</v>
      </c>
      <c r="J639" s="44" t="s">
        <v>76</v>
      </c>
      <c r="K639" s="44" t="s">
        <v>84</v>
      </c>
      <c r="L639" s="50" t="s">
        <v>77</v>
      </c>
      <c r="M639" s="50"/>
      <c r="N639" s="50"/>
      <c r="O639" s="49"/>
      <c r="P639" s="50" t="str">
        <f t="shared" si="36"/>
        <v>ONAY</v>
      </c>
      <c r="R639" s="51" t="str">
        <f t="shared" si="37"/>
        <v/>
      </c>
      <c r="T639" s="41"/>
      <c r="U639" s="29">
        <f>IF($C639&lt;&gt;"",COUNTIF($C$2:C639,C639),"")</f>
        <v>1</v>
      </c>
      <c r="V639" s="29" t="str">
        <f t="shared" si="38"/>
        <v>Doç. Dr. Halide Özge BAŞARAN§1</v>
      </c>
      <c r="W639" s="29">
        <f>IF(U639=1,COUNTIF($U$2:U639,1),"")</f>
        <v>314</v>
      </c>
      <c r="X639" s="29">
        <f t="shared" si="39"/>
        <v>65</v>
      </c>
      <c r="Y639" s="29">
        <f>IF(AND(LEFT($B639,7)="SBA 26/",$D639&lt;&gt;"",$F639&lt;&gt;""),COUNTIFS($D$2:$D639,$D639,$B$2:$B639,"SBA 26/*",$F$2:$F639,"&lt;&gt;"),"")</f>
        <v>104</v>
      </c>
      <c r="Z639" s="29" t="str">
        <f>IF(Y639=1,COUNTIF($Y$2:Y639,1),"")</f>
        <v/>
      </c>
      <c r="AA639" s="29">
        <f>IF(AND(LEFT($B639,7)="SBA 26/",$C639&lt;&gt;"",$F639&lt;&gt;""),COUNTIFS($C$2:$C639,$C639,$B$2:$B639,"SBA 26/*",$F$2:$F639,"&lt;&gt;"),"")</f>
        <v>1</v>
      </c>
      <c r="AB639" s="29">
        <f>IF(AA639=1,COUNTIF($AA$2:AA639,1),"")</f>
        <v>314</v>
      </c>
    </row>
    <row r="640" spans="1:28" ht="47.25" customHeight="1" x14ac:dyDescent="0.2">
      <c r="A640" s="43" t="s">
        <v>2985</v>
      </c>
      <c r="B640" s="43" t="s">
        <v>2986</v>
      </c>
      <c r="C640" s="44" t="s">
        <v>2987</v>
      </c>
      <c r="D640" s="44" t="s">
        <v>1942</v>
      </c>
      <c r="E640" s="45" t="s">
        <v>2988</v>
      </c>
      <c r="F640" s="45" t="s">
        <v>2989</v>
      </c>
      <c r="G640" s="46" t="s">
        <v>38</v>
      </c>
      <c r="H640" s="48">
        <v>46217</v>
      </c>
      <c r="I640" s="48">
        <v>46224</v>
      </c>
      <c r="J640" s="44" t="s">
        <v>75</v>
      </c>
      <c r="K640" s="44" t="s">
        <v>108</v>
      </c>
      <c r="L640" s="50" t="s">
        <v>77</v>
      </c>
      <c r="M640" s="50"/>
      <c r="N640" s="50"/>
      <c r="O640" s="49"/>
      <c r="P640" s="50" t="str">
        <f t="shared" si="36"/>
        <v>ONAY</v>
      </c>
      <c r="R640" s="51" t="str">
        <f t="shared" si="37"/>
        <v/>
      </c>
      <c r="T640" s="41"/>
      <c r="U640" s="29">
        <f>IF($C640&lt;&gt;"",COUNTIF($C$2:C640,C640),"")</f>
        <v>1</v>
      </c>
      <c r="V640" s="29" t="str">
        <f t="shared" si="38"/>
        <v>Prof. Dr. Serap AYDIN§1</v>
      </c>
      <c r="W640" s="29">
        <f>IF(U640=1,COUNTIF($U$2:U640,1),"")</f>
        <v>315</v>
      </c>
      <c r="X640" s="29">
        <f t="shared" si="39"/>
        <v>315</v>
      </c>
      <c r="Y640" s="29">
        <f>IF(AND(LEFT($B640,7)="SBA 26/",$D640&lt;&gt;"",$F640&lt;&gt;""),COUNTIFS($D$2:$D640,$D640,$B$2:$B640,"SBA 26/*",$F$2:$F640,"&lt;&gt;"),"")</f>
        <v>2</v>
      </c>
      <c r="Z640" s="29" t="str">
        <f>IF(Y640=1,COUNTIF($Y$2:Y640,1),"")</f>
        <v/>
      </c>
      <c r="AA640" s="29">
        <f>IF(AND(LEFT($B640,7)="SBA 26/",$C640&lt;&gt;"",$F640&lt;&gt;""),COUNTIFS($C$2:$C640,$C640,$B$2:$B640,"SBA 26/*",$F$2:$F640,"&lt;&gt;"),"")</f>
        <v>1</v>
      </c>
      <c r="AB640" s="29">
        <f>IF(AA640=1,COUNTIF($AA$2:AA640,1),"")</f>
        <v>315</v>
      </c>
    </row>
    <row r="641" spans="1:28" ht="94.5" customHeight="1" x14ac:dyDescent="0.2">
      <c r="A641" s="43" t="s">
        <v>2990</v>
      </c>
      <c r="B641" s="43" t="s">
        <v>2991</v>
      </c>
      <c r="C641" s="44" t="s">
        <v>379</v>
      </c>
      <c r="D641" s="44" t="s">
        <v>222</v>
      </c>
      <c r="E641" s="45" t="s">
        <v>2992</v>
      </c>
      <c r="F641" s="45" t="s">
        <v>2993</v>
      </c>
      <c r="G641" s="46" t="s">
        <v>38</v>
      </c>
      <c r="H641" s="48">
        <v>46217</v>
      </c>
      <c r="I641" s="48">
        <v>46231</v>
      </c>
      <c r="J641" s="44" t="s">
        <v>76</v>
      </c>
      <c r="K641" s="44" t="s">
        <v>116</v>
      </c>
      <c r="L641" s="50" t="s">
        <v>77</v>
      </c>
      <c r="M641" s="50"/>
      <c r="N641" s="50"/>
      <c r="O641" s="49"/>
      <c r="P641" s="50" t="str">
        <f t="shared" si="36"/>
        <v>ONAY</v>
      </c>
      <c r="R641" s="51" t="str">
        <f t="shared" si="37"/>
        <v/>
      </c>
      <c r="T641" s="41"/>
      <c r="U641" s="29">
        <f>IF($C641&lt;&gt;"",COUNTIF($C$2:C641,C641),"")</f>
        <v>10</v>
      </c>
      <c r="V641" s="29" t="str">
        <f t="shared" si="38"/>
        <v>Prof. Dr. Deniz ÇAĞDAŞ AYVAZ§10</v>
      </c>
      <c r="W641" s="29" t="str">
        <f>IF(U641=1,COUNTIF($U$2:U641,1),"")</f>
        <v/>
      </c>
      <c r="X641" s="29" t="str">
        <f t="shared" si="39"/>
        <v/>
      </c>
      <c r="Y641" s="29">
        <f>IF(AND(LEFT($B641,7)="SBA 26/",$D641&lt;&gt;"",$F641&lt;&gt;""),COUNTIFS($D$2:$D641,$D641,$B$2:$B641,"SBA 26/*",$F$2:$F641,"&lt;&gt;"),"")</f>
        <v>105</v>
      </c>
      <c r="Z641" s="29" t="str">
        <f>IF(Y641=1,COUNTIF($Y$2:Y641,1),"")</f>
        <v/>
      </c>
      <c r="AA641" s="29">
        <f>IF(AND(LEFT($B641,7)="SBA 26/",$C641&lt;&gt;"",$F641&lt;&gt;""),COUNTIFS($C$2:$C641,$C641,$B$2:$B641,"SBA 26/*",$F$2:$F641,"&lt;&gt;"),"")</f>
        <v>10</v>
      </c>
      <c r="AB641" s="29" t="str">
        <f>IF(AA641=1,COUNTIF($AA$2:AA641,1),"")</f>
        <v/>
      </c>
    </row>
    <row r="642" spans="1:28" ht="78.75" customHeight="1" x14ac:dyDescent="0.2">
      <c r="A642" s="43" t="s">
        <v>2994</v>
      </c>
      <c r="B642" s="43" t="s">
        <v>2995</v>
      </c>
      <c r="C642" s="44" t="s">
        <v>379</v>
      </c>
      <c r="D642" s="44" t="s">
        <v>222</v>
      </c>
      <c r="E642" s="45" t="s">
        <v>2996</v>
      </c>
      <c r="F642" s="45" t="s">
        <v>2997</v>
      </c>
      <c r="G642" s="46" t="s">
        <v>38</v>
      </c>
      <c r="H642" s="48">
        <v>46217</v>
      </c>
      <c r="I642" s="48">
        <v>46231</v>
      </c>
      <c r="J642" s="44" t="s">
        <v>76</v>
      </c>
      <c r="K642" s="44" t="s">
        <v>116</v>
      </c>
      <c r="L642" s="50" t="s">
        <v>77</v>
      </c>
      <c r="M642" s="50"/>
      <c r="N642" s="50"/>
      <c r="O642" s="49"/>
      <c r="P642" s="50" t="str">
        <f t="shared" ref="P642:P701" si="40">IF(O642&lt;&gt;"",O642, IF(N642&lt;&gt;"",N642, IF(M642&lt;&gt;"",M642, L642)))</f>
        <v>ONAY</v>
      </c>
      <c r="R642" s="51" t="str">
        <f t="shared" ref="R642:R705" si="41">IF(AND($I642&lt;&gt;"",$I642&gt;=DATE(2026,6,23),COUNTIFS($C:$C,$C642,$I:$I,$I642)&gt;2),"⚠ "&amp;COUNTIFS($C:$C,$C642,$I:$I,$I642)&amp;" BAŞVURU!","")</f>
        <v/>
      </c>
      <c r="T642" s="41"/>
      <c r="U642" s="29">
        <f>IF($C642&lt;&gt;"",COUNTIF($C$2:C642,C642),"")</f>
        <v>11</v>
      </c>
      <c r="V642" s="29" t="str">
        <f t="shared" ref="V642:V705" si="42">IF($C642&lt;&gt;"",C642&amp;"§"&amp;U642,"")</f>
        <v>Prof. Dr. Deniz ÇAĞDAŞ AYVAZ§11</v>
      </c>
      <c r="W642" s="29" t="str">
        <f>IF(U642=1,COUNTIF($U$2:U642,1),"")</f>
        <v/>
      </c>
      <c r="X642" s="29" t="str">
        <f t="shared" ref="X642:X705" si="43">IF(U642=1,SUMPRODUCT(($U$2:$U$1833=1)*($C$2:$C$1833&lt;C642))+1,"")</f>
        <v/>
      </c>
      <c r="Y642" s="29">
        <f>IF(AND(LEFT($B642,7)="SBA 26/",$D642&lt;&gt;"",$F642&lt;&gt;""),COUNTIFS($D$2:$D642,$D642,$B$2:$B642,"SBA 26/*",$F$2:$F642,"&lt;&gt;"),"")</f>
        <v>106</v>
      </c>
      <c r="Z642" s="29" t="str">
        <f>IF(Y642=1,COUNTIF($Y$2:Y642,1),"")</f>
        <v/>
      </c>
      <c r="AA642" s="29">
        <f>IF(AND(LEFT($B642,7)="SBA 26/",$C642&lt;&gt;"",$F642&lt;&gt;""),COUNTIFS($C$2:$C642,$C642,$B$2:$B642,"SBA 26/*",$F$2:$F642,"&lt;&gt;"),"")</f>
        <v>11</v>
      </c>
      <c r="AB642" s="29" t="str">
        <f>IF(AA642=1,COUNTIF($AA$2:AA642,1),"")</f>
        <v/>
      </c>
    </row>
    <row r="643" spans="1:28" ht="63" customHeight="1" x14ac:dyDescent="0.2">
      <c r="A643" s="43" t="s">
        <v>2998</v>
      </c>
      <c r="B643" s="43" t="s">
        <v>2999</v>
      </c>
      <c r="C643" s="44" t="s">
        <v>1432</v>
      </c>
      <c r="D643" s="44" t="s">
        <v>113</v>
      </c>
      <c r="E643" s="45" t="s">
        <v>3000</v>
      </c>
      <c r="F643" s="45" t="s">
        <v>3001</v>
      </c>
      <c r="G643" s="46" t="s">
        <v>38</v>
      </c>
      <c r="H643" s="48">
        <v>46217</v>
      </c>
      <c r="I643" s="48">
        <v>46231</v>
      </c>
      <c r="J643" s="44" t="s">
        <v>108</v>
      </c>
      <c r="K643" s="44" t="s">
        <v>99</v>
      </c>
      <c r="L643" s="50" t="s">
        <v>77</v>
      </c>
      <c r="M643" s="50"/>
      <c r="N643" s="50"/>
      <c r="O643" s="49"/>
      <c r="P643" s="50" t="str">
        <f t="shared" si="40"/>
        <v>ONAY</v>
      </c>
      <c r="R643" s="51" t="str">
        <f t="shared" si="41"/>
        <v/>
      </c>
      <c r="T643" s="41"/>
      <c r="U643" s="29">
        <f>IF($C643&lt;&gt;"",COUNTIF($C$2:C643,C643),"")</f>
        <v>10</v>
      </c>
      <c r="V643" s="29" t="str">
        <f t="shared" si="42"/>
        <v>Prof. Dr. Taylan KAV§10</v>
      </c>
      <c r="W643" s="29" t="str">
        <f>IF(U643=1,COUNTIF($U$2:U643,1),"")</f>
        <v/>
      </c>
      <c r="X643" s="29" t="str">
        <f t="shared" si="43"/>
        <v/>
      </c>
      <c r="Y643" s="29">
        <f>IF(AND(LEFT($B643,7)="SBA 26/",$D643&lt;&gt;"",$F643&lt;&gt;""),COUNTIFS($D$2:$D643,$D643,$B$2:$B643,"SBA 26/*",$F$2:$F643,"&lt;&gt;"),"")</f>
        <v>109</v>
      </c>
      <c r="Z643" s="29" t="str">
        <f>IF(Y643=1,COUNTIF($Y$2:Y643,1),"")</f>
        <v/>
      </c>
      <c r="AA643" s="29">
        <f>IF(AND(LEFT($B643,7)="SBA 26/",$C643&lt;&gt;"",$F643&lt;&gt;""),COUNTIFS($C$2:$C643,$C643,$B$2:$B643,"SBA 26/*",$F$2:$F643,"&lt;&gt;"),"")</f>
        <v>10</v>
      </c>
      <c r="AB643" s="29" t="str">
        <f>IF(AA643=1,COUNTIF($AA$2:AA643,1),"")</f>
        <v/>
      </c>
    </row>
    <row r="644" spans="1:28" ht="94.5" customHeight="1" x14ac:dyDescent="0.2">
      <c r="A644" s="43" t="s">
        <v>3002</v>
      </c>
      <c r="B644" s="43" t="s">
        <v>3003</v>
      </c>
      <c r="C644" s="44" t="s">
        <v>671</v>
      </c>
      <c r="D644" s="44" t="s">
        <v>347</v>
      </c>
      <c r="E644" s="45" t="s">
        <v>3004</v>
      </c>
      <c r="F644" s="45" t="s">
        <v>3005</v>
      </c>
      <c r="G644" s="46" t="s">
        <v>38</v>
      </c>
      <c r="H644" s="48">
        <v>46217</v>
      </c>
      <c r="I644" s="48">
        <v>46231</v>
      </c>
      <c r="J644" s="44" t="s">
        <v>108</v>
      </c>
      <c r="K644" s="44" t="s">
        <v>100</v>
      </c>
      <c r="L644" s="50"/>
      <c r="M644" s="50"/>
      <c r="N644" s="50"/>
      <c r="O644" s="49"/>
      <c r="P644" s="50">
        <f t="shared" si="40"/>
        <v>0</v>
      </c>
      <c r="R644" s="51" t="str">
        <f t="shared" si="41"/>
        <v/>
      </c>
      <c r="T644" s="41"/>
      <c r="U644" s="29">
        <f>IF($C644&lt;&gt;"",COUNTIF($C$2:C644,C644),"")</f>
        <v>5</v>
      </c>
      <c r="V644" s="29" t="str">
        <f t="shared" si="42"/>
        <v>Prof. Dr. Alp ÇETİN§5</v>
      </c>
      <c r="W644" s="29" t="str">
        <f>IF(U644=1,COUNTIF($U$2:U644,1),"")</f>
        <v/>
      </c>
      <c r="X644" s="29" t="str">
        <f t="shared" si="43"/>
        <v/>
      </c>
      <c r="Y644" s="29">
        <f>IF(AND(LEFT($B644,7)="SBA 26/",$D644&lt;&gt;"",$F644&lt;&gt;""),COUNTIFS($D$2:$D644,$D644,$B$2:$B644,"SBA 26/*",$F$2:$F644,"&lt;&gt;"),"")</f>
        <v>7</v>
      </c>
      <c r="Z644" s="29" t="str">
        <f>IF(Y644=1,COUNTIF($Y$2:Y644,1),"")</f>
        <v/>
      </c>
      <c r="AA644" s="29">
        <f>IF(AND(LEFT($B644,7)="SBA 26/",$C644&lt;&gt;"",$F644&lt;&gt;""),COUNTIFS($C$2:$C644,$C644,$B$2:$B644,"SBA 26/*",$F$2:$F644,"&lt;&gt;"),"")</f>
        <v>5</v>
      </c>
      <c r="AB644" s="29" t="str">
        <f>IF(AA644=1,COUNTIF($AA$2:AA644,1),"")</f>
        <v/>
      </c>
    </row>
    <row r="645" spans="1:28" ht="63" customHeight="1" x14ac:dyDescent="0.2">
      <c r="A645" s="43" t="s">
        <v>3006</v>
      </c>
      <c r="B645" s="43" t="s">
        <v>3007</v>
      </c>
      <c r="C645" s="44" t="s">
        <v>1207</v>
      </c>
      <c r="D645" s="44" t="s">
        <v>222</v>
      </c>
      <c r="E645" s="45" t="s">
        <v>3008</v>
      </c>
      <c r="F645" s="45" t="s">
        <v>3009</v>
      </c>
      <c r="G645" s="46" t="s">
        <v>38</v>
      </c>
      <c r="H645" s="48">
        <v>46217</v>
      </c>
      <c r="I645" s="48">
        <v>46231</v>
      </c>
      <c r="J645" s="44" t="s">
        <v>84</v>
      </c>
      <c r="K645" s="44" t="s">
        <v>92</v>
      </c>
      <c r="L645" s="50" t="s">
        <v>77</v>
      </c>
      <c r="M645" s="50"/>
      <c r="N645" s="50"/>
      <c r="O645" s="49"/>
      <c r="P645" s="50" t="str">
        <f t="shared" si="40"/>
        <v>ONAY</v>
      </c>
      <c r="R645" s="51" t="str">
        <f t="shared" si="41"/>
        <v/>
      </c>
      <c r="T645" s="41"/>
      <c r="U645" s="29">
        <f>IF($C645&lt;&gt;"",COUNTIF($C$2:C645,C645),"")</f>
        <v>5</v>
      </c>
      <c r="V645" s="29" t="str">
        <f t="shared" si="42"/>
        <v>Prof. Dr. Özlem TEKŞAM§5</v>
      </c>
      <c r="W645" s="29" t="str">
        <f>IF(U645=1,COUNTIF($U$2:U645,1),"")</f>
        <v/>
      </c>
      <c r="X645" s="29" t="str">
        <f t="shared" si="43"/>
        <v/>
      </c>
      <c r="Y645" s="29">
        <f>IF(AND(LEFT($B645,7)="SBA 26/",$D645&lt;&gt;"",$F645&lt;&gt;""),COUNTIFS($D$2:$D645,$D645,$B$2:$B645,"SBA 26/*",$F$2:$F645,"&lt;&gt;"),"")</f>
        <v>107</v>
      </c>
      <c r="Z645" s="29" t="str">
        <f>IF(Y645=1,COUNTIF($Y$2:Y645,1),"")</f>
        <v/>
      </c>
      <c r="AA645" s="29">
        <f>IF(AND(LEFT($B645,7)="SBA 26/",$C645&lt;&gt;"",$F645&lt;&gt;""),COUNTIFS($C$2:$C645,$C645,$B$2:$B645,"SBA 26/*",$F$2:$F645,"&lt;&gt;"),"")</f>
        <v>5</v>
      </c>
      <c r="AB645" s="29" t="str">
        <f>IF(AA645=1,COUNTIF($AA$2:AA645,1),"")</f>
        <v/>
      </c>
    </row>
    <row r="646" spans="1:28" ht="63" customHeight="1" x14ac:dyDescent="0.2">
      <c r="A646" s="43" t="s">
        <v>3010</v>
      </c>
      <c r="B646" s="43" t="s">
        <v>3011</v>
      </c>
      <c r="C646" s="44" t="s">
        <v>1207</v>
      </c>
      <c r="D646" s="44" t="s">
        <v>222</v>
      </c>
      <c r="E646" s="45" t="s">
        <v>3012</v>
      </c>
      <c r="F646" s="45" t="s">
        <v>3013</v>
      </c>
      <c r="G646" s="46" t="s">
        <v>39</v>
      </c>
      <c r="H646" s="48">
        <v>46217</v>
      </c>
      <c r="I646" s="48">
        <v>46231</v>
      </c>
      <c r="J646" s="44" t="s">
        <v>84</v>
      </c>
      <c r="K646" s="44" t="s">
        <v>92</v>
      </c>
      <c r="L646" s="50"/>
      <c r="M646" s="50"/>
      <c r="N646" s="50"/>
      <c r="O646" s="49"/>
      <c r="P646" s="50">
        <f t="shared" si="40"/>
        <v>0</v>
      </c>
      <c r="R646" s="51" t="str">
        <f t="shared" si="41"/>
        <v/>
      </c>
      <c r="T646" s="41"/>
      <c r="U646" s="29">
        <f>IF($C646&lt;&gt;"",COUNTIF($C$2:C646,C646),"")</f>
        <v>6</v>
      </c>
      <c r="V646" s="29" t="str">
        <f t="shared" si="42"/>
        <v>Prof. Dr. Özlem TEKŞAM§6</v>
      </c>
      <c r="W646" s="29" t="str">
        <f>IF(U646=1,COUNTIF($U$2:U646,1),"")</f>
        <v/>
      </c>
      <c r="X646" s="29" t="str">
        <f t="shared" si="43"/>
        <v/>
      </c>
      <c r="Y646" s="29">
        <f>IF(AND(LEFT($B646,7)="SBA 26/",$D646&lt;&gt;"",$F646&lt;&gt;""),COUNTIFS($D$2:$D646,$D646,$B$2:$B646,"SBA 26/*",$F$2:$F646,"&lt;&gt;"),"")</f>
        <v>108</v>
      </c>
      <c r="Z646" s="29" t="str">
        <f>IF(Y646=1,COUNTIF($Y$2:Y646,1),"")</f>
        <v/>
      </c>
      <c r="AA646" s="29">
        <f>IF(AND(LEFT($B646,7)="SBA 26/",$C646&lt;&gt;"",$F646&lt;&gt;""),COUNTIFS($C$2:$C646,$C646,$B$2:$B646,"SBA 26/*",$F$2:$F646,"&lt;&gt;"),"")</f>
        <v>6</v>
      </c>
      <c r="AB646" s="29" t="str">
        <f>IF(AA646=1,COUNTIF($AA$2:AA646,1),"")</f>
        <v/>
      </c>
    </row>
    <row r="647" spans="1:28" ht="157.5" customHeight="1" x14ac:dyDescent="0.2">
      <c r="A647" s="43" t="s">
        <v>3014</v>
      </c>
      <c r="B647" s="43" t="s">
        <v>3015</v>
      </c>
      <c r="C647" s="44" t="s">
        <v>3016</v>
      </c>
      <c r="D647" s="44" t="s">
        <v>222</v>
      </c>
      <c r="E647" s="45" t="s">
        <v>3017</v>
      </c>
      <c r="F647" s="45" t="s">
        <v>3018</v>
      </c>
      <c r="G647" s="46" t="s">
        <v>38</v>
      </c>
      <c r="H647" s="48">
        <v>46217</v>
      </c>
      <c r="I647" s="48">
        <v>46231</v>
      </c>
      <c r="J647" s="44" t="s">
        <v>99</v>
      </c>
      <c r="K647" s="44" t="s">
        <v>129</v>
      </c>
      <c r="L647" s="50"/>
      <c r="M647" s="50"/>
      <c r="N647" s="50"/>
      <c r="O647" s="49"/>
      <c r="P647" s="50">
        <f t="shared" si="40"/>
        <v>0</v>
      </c>
      <c r="R647" s="51" t="str">
        <f t="shared" si="41"/>
        <v/>
      </c>
      <c r="T647" s="41"/>
      <c r="U647" s="29">
        <f>IF($C647&lt;&gt;"",COUNTIF($C$2:C647,C647),"")</f>
        <v>1</v>
      </c>
      <c r="V647" s="29" t="str">
        <f t="shared" si="42"/>
        <v>Prof. Dr. Göknur HALİLOĞLU§1</v>
      </c>
      <c r="W647" s="29">
        <f>IF(U647=1,COUNTIF($U$2:U647,1),"")</f>
        <v>316</v>
      </c>
      <c r="X647" s="29">
        <f t="shared" si="43"/>
        <v>236</v>
      </c>
      <c r="Y647" s="29">
        <f>IF(AND(LEFT($B647,7)="SBA 26/",$D647&lt;&gt;"",$F647&lt;&gt;""),COUNTIFS($D$2:$D647,$D647,$B$2:$B647,"SBA 26/*",$F$2:$F647,"&lt;&gt;"),"")</f>
        <v>109</v>
      </c>
      <c r="Z647" s="29" t="str">
        <f>IF(Y647=1,COUNTIF($Y$2:Y647,1),"")</f>
        <v/>
      </c>
      <c r="AA647" s="29">
        <f>IF(AND(LEFT($B647,7)="SBA 26/",$C647&lt;&gt;"",$F647&lt;&gt;""),COUNTIFS($C$2:$C647,$C647,$B$2:$B647,"SBA 26/*",$F$2:$F647,"&lt;&gt;"),"")</f>
        <v>1</v>
      </c>
      <c r="AB647" s="29">
        <f>IF(AA647=1,COUNTIF($AA$2:AA647,1),"")</f>
        <v>316</v>
      </c>
    </row>
    <row r="648" spans="1:28" ht="65.25" customHeight="1" x14ac:dyDescent="0.2">
      <c r="A648" s="43" t="s">
        <v>3019</v>
      </c>
      <c r="B648" s="43" t="s">
        <v>3020</v>
      </c>
      <c r="C648" s="44" t="s">
        <v>91</v>
      </c>
      <c r="D648" s="44" t="s">
        <v>3021</v>
      </c>
      <c r="E648" s="45" t="s">
        <v>3022</v>
      </c>
      <c r="F648" s="45" t="s">
        <v>3023</v>
      </c>
      <c r="G648" s="46" t="s">
        <v>41</v>
      </c>
      <c r="H648" s="48">
        <v>46217</v>
      </c>
      <c r="I648" s="48">
        <v>46231</v>
      </c>
      <c r="J648" s="44" t="s">
        <v>75</v>
      </c>
      <c r="K648" s="44" t="s">
        <v>99</v>
      </c>
      <c r="L648" s="50" t="s">
        <v>77</v>
      </c>
      <c r="M648" s="50"/>
      <c r="N648" s="50"/>
      <c r="O648" s="49"/>
      <c r="P648" s="50" t="str">
        <f t="shared" si="40"/>
        <v>ONAY</v>
      </c>
      <c r="R648" s="51" t="str">
        <f t="shared" si="41"/>
        <v/>
      </c>
      <c r="T648" s="41"/>
      <c r="U648" s="29">
        <f>IF($C648&lt;&gt;"",COUNTIF($C$2:C648,C648),"")</f>
        <v>1</v>
      </c>
      <c r="V648" s="29" t="str">
        <f t="shared" si="42"/>
        <v>Dr. Öğr. Üyesi Müge DEMİR§1</v>
      </c>
      <c r="W648" s="29">
        <f>IF(U648=1,COUNTIF($U$2:U648,1),"")</f>
        <v>317</v>
      </c>
      <c r="X648" s="29">
        <f t="shared" si="43"/>
        <v>154</v>
      </c>
      <c r="Y648" s="29">
        <f>IF(AND(LEFT($B648,7)="SBA 26/",$D648&lt;&gt;"",$F648&lt;&gt;""),COUNTIFS($D$2:$D648,$D648,$B$2:$B648,"SBA 26/*",$F$2:$F648,"&lt;&gt;"),"")</f>
        <v>1</v>
      </c>
      <c r="Z648" s="29">
        <f>IF(Y648=1,COUNTIF($Y$2:Y648,1),"")</f>
        <v>78</v>
      </c>
      <c r="AA648" s="29">
        <f>IF(AND(LEFT($B648,7)="SBA 26/",$C648&lt;&gt;"",$F648&lt;&gt;""),COUNTIFS($C$2:$C648,$C648,$B$2:$B648,"SBA 26/*",$F$2:$F648,"&lt;&gt;"),"")</f>
        <v>1</v>
      </c>
      <c r="AB648" s="29">
        <f>IF(AA648=1,COUNTIF($AA$2:AA648,1),"")</f>
        <v>317</v>
      </c>
    </row>
    <row r="649" spans="1:28" ht="63" customHeight="1" x14ac:dyDescent="0.2">
      <c r="A649" s="43" t="s">
        <v>3024</v>
      </c>
      <c r="B649" s="43" t="s">
        <v>3025</v>
      </c>
      <c r="C649" s="44" t="s">
        <v>1533</v>
      </c>
      <c r="D649" s="44" t="s">
        <v>113</v>
      </c>
      <c r="E649" s="45" t="s">
        <v>3026</v>
      </c>
      <c r="F649" s="45" t="s">
        <v>3027</v>
      </c>
      <c r="G649" s="46" t="s">
        <v>38</v>
      </c>
      <c r="H649" s="48">
        <v>46217</v>
      </c>
      <c r="I649" s="48">
        <v>46231</v>
      </c>
      <c r="J649" s="44" t="s">
        <v>129</v>
      </c>
      <c r="K649" s="44" t="s">
        <v>84</v>
      </c>
      <c r="L649" s="50" t="s">
        <v>77</v>
      </c>
      <c r="M649" s="50"/>
      <c r="N649" s="50"/>
      <c r="O649" s="49"/>
      <c r="P649" s="50" t="str">
        <f t="shared" si="40"/>
        <v>ONAY</v>
      </c>
      <c r="R649" s="51" t="str">
        <f t="shared" si="41"/>
        <v/>
      </c>
      <c r="T649" s="41"/>
      <c r="U649" s="29">
        <f>IF($C649&lt;&gt;"",COUNTIF($C$2:C649,C649),"")</f>
        <v>2</v>
      </c>
      <c r="V649" s="29" t="str">
        <f t="shared" si="42"/>
        <v>Doç. Dr. Oğuz Abdullah UYAROĞLU§2</v>
      </c>
      <c r="W649" s="29" t="str">
        <f>IF(U649=1,COUNTIF($U$2:U649,1),"")</f>
        <v/>
      </c>
      <c r="X649" s="29" t="str">
        <f t="shared" si="43"/>
        <v/>
      </c>
      <c r="Y649" s="29">
        <f>IF(AND(LEFT($B649,7)="SBA 26/",$D649&lt;&gt;"",$F649&lt;&gt;""),COUNTIFS($D$2:$D649,$D649,$B$2:$B649,"SBA 26/*",$F$2:$F649,"&lt;&gt;"),"")</f>
        <v>110</v>
      </c>
      <c r="Z649" s="29" t="str">
        <f>IF(Y649=1,COUNTIF($Y$2:Y649,1),"")</f>
        <v/>
      </c>
      <c r="AA649" s="29">
        <f>IF(AND(LEFT($B649,7)="SBA 26/",$C649&lt;&gt;"",$F649&lt;&gt;""),COUNTIFS($C$2:$C649,$C649,$B$2:$B649,"SBA 26/*",$F$2:$F649,"&lt;&gt;"),"")</f>
        <v>2</v>
      </c>
      <c r="AB649" s="29" t="str">
        <f>IF(AA649=1,COUNTIF($AA$2:AA649,1),"")</f>
        <v/>
      </c>
    </row>
    <row r="650" spans="1:28" ht="64.5" customHeight="1" x14ac:dyDescent="0.2">
      <c r="A650" s="43" t="s">
        <v>3028</v>
      </c>
      <c r="B650" s="43" t="s">
        <v>3029</v>
      </c>
      <c r="C650" s="44" t="s">
        <v>560</v>
      </c>
      <c r="D650" s="44" t="s">
        <v>113</v>
      </c>
      <c r="E650" s="45" t="s">
        <v>3030</v>
      </c>
      <c r="F650" s="45" t="s">
        <v>3031</v>
      </c>
      <c r="G650" s="46" t="s">
        <v>38</v>
      </c>
      <c r="H650" s="48">
        <v>46217</v>
      </c>
      <c r="I650" s="48">
        <v>46231</v>
      </c>
      <c r="J650" s="44" t="s">
        <v>108</v>
      </c>
      <c r="K650" s="44" t="s">
        <v>84</v>
      </c>
      <c r="L650" s="50" t="s">
        <v>77</v>
      </c>
      <c r="M650" s="50"/>
      <c r="N650" s="50"/>
      <c r="O650" s="49"/>
      <c r="P650" s="50" t="str">
        <f t="shared" si="40"/>
        <v>ONAY</v>
      </c>
      <c r="R650" s="51" t="str">
        <f t="shared" si="41"/>
        <v/>
      </c>
      <c r="T650" s="41"/>
      <c r="U650" s="29">
        <f>IF($C650&lt;&gt;"",COUNTIF($C$2:C650,C650),"")</f>
        <v>2</v>
      </c>
      <c r="V650" s="29" t="str">
        <f t="shared" si="42"/>
        <v>Doç. Dr. Hacı Hasan YETER§2</v>
      </c>
      <c r="W650" s="29" t="str">
        <f>IF(U650=1,COUNTIF($U$2:U650,1),"")</f>
        <v/>
      </c>
      <c r="X650" s="29" t="str">
        <f t="shared" si="43"/>
        <v/>
      </c>
      <c r="Y650" s="29">
        <f>IF(AND(LEFT($B650,7)="SBA 26/",$D650&lt;&gt;"",$F650&lt;&gt;""),COUNTIFS($D$2:$D650,$D650,$B$2:$B650,"SBA 26/*",$F$2:$F650,"&lt;&gt;"),"")</f>
        <v>111</v>
      </c>
      <c r="Z650" s="29" t="str">
        <f>IF(Y650=1,COUNTIF($Y$2:Y650,1),"")</f>
        <v/>
      </c>
      <c r="AA650" s="29">
        <f>IF(AND(LEFT($B650,7)="SBA 26/",$C650&lt;&gt;"",$F650&lt;&gt;""),COUNTIFS($C$2:$C650,$C650,$B$2:$B650,"SBA 26/*",$F$2:$F650,"&lt;&gt;"),"")</f>
        <v>2</v>
      </c>
      <c r="AB650" s="29" t="str">
        <f>IF(AA650=1,COUNTIF($AA$2:AA650,1),"")</f>
        <v/>
      </c>
    </row>
    <row r="651" spans="1:28" ht="64.5" customHeight="1" x14ac:dyDescent="0.2">
      <c r="A651" s="43" t="s">
        <v>3032</v>
      </c>
      <c r="B651" s="43" t="s">
        <v>3033</v>
      </c>
      <c r="C651" s="44" t="s">
        <v>560</v>
      </c>
      <c r="D651" s="44" t="s">
        <v>113</v>
      </c>
      <c r="E651" s="45" t="s">
        <v>3030</v>
      </c>
      <c r="F651" s="45" t="s">
        <v>3034</v>
      </c>
      <c r="G651" s="46" t="s">
        <v>38</v>
      </c>
      <c r="H651" s="48">
        <v>46217</v>
      </c>
      <c r="I651" s="48">
        <v>46231</v>
      </c>
      <c r="J651" s="44" t="s">
        <v>84</v>
      </c>
      <c r="K651" s="44" t="s">
        <v>108</v>
      </c>
      <c r="L651" s="50" t="s">
        <v>77</v>
      </c>
      <c r="M651" s="50"/>
      <c r="N651" s="50"/>
      <c r="O651" s="49"/>
      <c r="P651" s="50" t="str">
        <f t="shared" si="40"/>
        <v>ONAY</v>
      </c>
      <c r="R651" s="51" t="str">
        <f t="shared" si="41"/>
        <v/>
      </c>
      <c r="T651" s="41"/>
      <c r="U651" s="29">
        <f>IF($C651&lt;&gt;"",COUNTIF($C$2:C651,C651),"")</f>
        <v>3</v>
      </c>
      <c r="V651" s="29" t="str">
        <f t="shared" si="42"/>
        <v>Doç. Dr. Hacı Hasan YETER§3</v>
      </c>
      <c r="W651" s="29" t="str">
        <f>IF(U651=1,COUNTIF($U$2:U651,1),"")</f>
        <v/>
      </c>
      <c r="X651" s="29" t="str">
        <f t="shared" si="43"/>
        <v/>
      </c>
      <c r="Y651" s="29">
        <f>IF(AND(LEFT($B651,7)="SBA 26/",$D651&lt;&gt;"",$F651&lt;&gt;""),COUNTIFS($D$2:$D651,$D651,$B$2:$B651,"SBA 26/*",$F$2:$F651,"&lt;&gt;"),"")</f>
        <v>112</v>
      </c>
      <c r="Z651" s="29" t="str">
        <f>IF(Y651=1,COUNTIF($Y$2:Y651,1),"")</f>
        <v/>
      </c>
      <c r="AA651" s="29">
        <f>IF(AND(LEFT($B651,7)="SBA 26/",$C651&lt;&gt;"",$F651&lt;&gt;""),COUNTIFS($C$2:$C651,$C651,$B$2:$B651,"SBA 26/*",$F$2:$F651,"&lt;&gt;"),"")</f>
        <v>3</v>
      </c>
      <c r="AB651" s="29" t="str">
        <f>IF(AA651=1,COUNTIF($AA$2:AA651,1),"")</f>
        <v/>
      </c>
    </row>
    <row r="652" spans="1:28" ht="96" customHeight="1" x14ac:dyDescent="0.2">
      <c r="A652" s="43" t="s">
        <v>3035</v>
      </c>
      <c r="B652" s="43" t="s">
        <v>3036</v>
      </c>
      <c r="C652" s="44" t="s">
        <v>2468</v>
      </c>
      <c r="D652" s="44" t="s">
        <v>2469</v>
      </c>
      <c r="E652" s="45" t="s">
        <v>3037</v>
      </c>
      <c r="F652" s="45" t="s">
        <v>3038</v>
      </c>
      <c r="G652" s="46" t="s">
        <v>39</v>
      </c>
      <c r="H652" s="48">
        <v>46219</v>
      </c>
      <c r="I652" s="48">
        <v>46231</v>
      </c>
      <c r="J652" s="44" t="s">
        <v>75</v>
      </c>
      <c r="K652" s="44" t="s">
        <v>76</v>
      </c>
      <c r="L652" s="50" t="s">
        <v>77</v>
      </c>
      <c r="M652" s="50"/>
      <c r="N652" s="50"/>
      <c r="O652" s="49"/>
      <c r="P652" s="50" t="str">
        <f t="shared" si="40"/>
        <v>ONAY</v>
      </c>
      <c r="R652" s="51" t="str">
        <f t="shared" si="41"/>
        <v/>
      </c>
      <c r="T652" s="41"/>
      <c r="U652" s="29">
        <f>IF($C652&lt;&gt;"",COUNTIF($C$2:C652,C652),"")</f>
        <v>2</v>
      </c>
      <c r="V652" s="29" t="str">
        <f t="shared" si="42"/>
        <v>Doç. Dr. Şahin HANALİOĞLU§2</v>
      </c>
      <c r="W652" s="29" t="str">
        <f>IF(U652=1,COUNTIF($U$2:U652,1),"")</f>
        <v/>
      </c>
      <c r="X652" s="29" t="str">
        <f t="shared" si="43"/>
        <v/>
      </c>
      <c r="Y652" s="29">
        <f>IF(AND(LEFT($B652,7)="SBA 26/",$D652&lt;&gt;"",$F652&lt;&gt;""),COUNTIFS($D$2:$D652,$D652,$B$2:$B652,"SBA 26/*",$F$2:$F652,"&lt;&gt;"),"")</f>
        <v>3</v>
      </c>
      <c r="Z652" s="29" t="str">
        <f>IF(Y652=1,COUNTIF($Y$2:Y652,1),"")</f>
        <v/>
      </c>
      <c r="AA652" s="29">
        <f>IF(AND(LEFT($B652,7)="SBA 26/",$C652&lt;&gt;"",$F652&lt;&gt;""),COUNTIFS($C$2:$C652,$C652,$B$2:$B652,"SBA 26/*",$F$2:$F652,"&lt;&gt;"),"")</f>
        <v>2</v>
      </c>
      <c r="AB652" s="29" t="str">
        <f>IF(AA652=1,COUNTIF($AA$2:AA652,1),"")</f>
        <v/>
      </c>
    </row>
    <row r="653" spans="1:28" ht="63" customHeight="1" x14ac:dyDescent="0.2">
      <c r="A653" s="43" t="s">
        <v>3039</v>
      </c>
      <c r="B653" s="43" t="s">
        <v>3040</v>
      </c>
      <c r="C653" s="44" t="s">
        <v>3041</v>
      </c>
      <c r="D653" s="44" t="s">
        <v>113</v>
      </c>
      <c r="E653" s="45" t="s">
        <v>3042</v>
      </c>
      <c r="F653" s="45" t="s">
        <v>3043</v>
      </c>
      <c r="G653" s="46" t="s">
        <v>38</v>
      </c>
      <c r="H653" s="48">
        <v>46220</v>
      </c>
      <c r="I653" s="48">
        <v>46231</v>
      </c>
      <c r="J653" s="44" t="s">
        <v>75</v>
      </c>
      <c r="K653" s="44" t="s">
        <v>92</v>
      </c>
      <c r="L653" s="50"/>
      <c r="M653" s="50"/>
      <c r="N653" s="50"/>
      <c r="O653" s="49"/>
      <c r="P653" s="50">
        <f t="shared" si="40"/>
        <v>0</v>
      </c>
      <c r="R653" s="51" t="str">
        <f t="shared" si="41"/>
        <v/>
      </c>
      <c r="T653" s="41"/>
      <c r="U653" s="29">
        <f>IF($C653&lt;&gt;"",COUNTIF($C$2:C653,C653),"")</f>
        <v>1</v>
      </c>
      <c r="V653" s="29" t="str">
        <f t="shared" si="42"/>
        <v>Prof. Dr. Arzu TOPELİ İSKİT§1</v>
      </c>
      <c r="W653" s="29">
        <f>IF(U653=1,COUNTIF($U$2:U653,1),"")</f>
        <v>318</v>
      </c>
      <c r="X653" s="29">
        <f t="shared" si="43"/>
        <v>196</v>
      </c>
      <c r="Y653" s="29">
        <f>IF(AND(LEFT($B653,7)="SBA 26/",$D653&lt;&gt;"",$F653&lt;&gt;""),COUNTIFS($D$2:$D653,$D653,$B$2:$B653,"SBA 26/*",$F$2:$F653,"&lt;&gt;"),"")</f>
        <v>113</v>
      </c>
      <c r="Z653" s="29" t="str">
        <f>IF(Y653=1,COUNTIF($Y$2:Y653,1),"")</f>
        <v/>
      </c>
      <c r="AA653" s="29">
        <f>IF(AND(LEFT($B653,7)="SBA 26/",$C653&lt;&gt;"",$F653&lt;&gt;""),COUNTIFS($C$2:$C653,$C653,$B$2:$B653,"SBA 26/*",$F$2:$F653,"&lt;&gt;"),"")</f>
        <v>1</v>
      </c>
      <c r="AB653" s="29">
        <f>IF(AA653=1,COUNTIF($AA$2:AA653,1),"")</f>
        <v>318</v>
      </c>
    </row>
    <row r="654" spans="1:28" ht="94.5" customHeight="1" x14ac:dyDescent="0.2">
      <c r="A654" s="43" t="s">
        <v>3044</v>
      </c>
      <c r="B654" s="43" t="s">
        <v>3045</v>
      </c>
      <c r="C654" s="44" t="s">
        <v>3046</v>
      </c>
      <c r="D654" s="44" t="s">
        <v>222</v>
      </c>
      <c r="E654" s="45" t="s">
        <v>3047</v>
      </c>
      <c r="F654" s="45" t="s">
        <v>3048</v>
      </c>
      <c r="G654" s="46" t="s">
        <v>38</v>
      </c>
      <c r="H654" s="48">
        <v>46220</v>
      </c>
      <c r="I654" s="48">
        <v>46231</v>
      </c>
      <c r="J654" s="44" t="s">
        <v>76</v>
      </c>
      <c r="K654" s="44" t="s">
        <v>123</v>
      </c>
      <c r="L654" s="50" t="s">
        <v>77</v>
      </c>
      <c r="M654" s="50"/>
      <c r="N654" s="50"/>
      <c r="O654" s="49"/>
      <c r="P654" s="50" t="str">
        <f t="shared" si="40"/>
        <v>ONAY</v>
      </c>
      <c r="R654" s="51" t="str">
        <f t="shared" si="41"/>
        <v/>
      </c>
      <c r="T654" s="41"/>
      <c r="U654" s="29">
        <f>IF($C654&lt;&gt;"",COUNTIF($C$2:C654,C654),"")</f>
        <v>1</v>
      </c>
      <c r="V654" s="29" t="str">
        <f t="shared" si="42"/>
        <v>Prof. Dr. Ümit Murat ŞAHİNER§1</v>
      </c>
      <c r="W654" s="29">
        <f>IF(U654=1,COUNTIF($U$2:U654,1),"")</f>
        <v>319</v>
      </c>
      <c r="X654" s="29">
        <f t="shared" si="43"/>
        <v>340</v>
      </c>
      <c r="Y654" s="29">
        <f>IF(AND(LEFT($B654,7)="SBA 26/",$D654&lt;&gt;"",$F654&lt;&gt;""),COUNTIFS($D$2:$D654,$D654,$B$2:$B654,"SBA 26/*",$F$2:$F654,"&lt;&gt;"),"")</f>
        <v>110</v>
      </c>
      <c r="Z654" s="29" t="str">
        <f>IF(Y654=1,COUNTIF($Y$2:Y654,1),"")</f>
        <v/>
      </c>
      <c r="AA654" s="29">
        <f>IF(AND(LEFT($B654,7)="SBA 26/",$C654&lt;&gt;"",$F654&lt;&gt;""),COUNTIFS($C$2:$C654,$C654,$B$2:$B654,"SBA 26/*",$F$2:$F654,"&lt;&gt;"),"")</f>
        <v>1</v>
      </c>
      <c r="AB654" s="29">
        <f>IF(AA654=1,COUNTIF($AA$2:AA654,1),"")</f>
        <v>319</v>
      </c>
    </row>
    <row r="655" spans="1:28" ht="63" customHeight="1" x14ac:dyDescent="0.2">
      <c r="A655" s="43" t="s">
        <v>3049</v>
      </c>
      <c r="B655" s="43" t="s">
        <v>3050</v>
      </c>
      <c r="C655" s="44" t="s">
        <v>243</v>
      </c>
      <c r="D655" s="44" t="s">
        <v>113</v>
      </c>
      <c r="E655" s="45" t="s">
        <v>3051</v>
      </c>
      <c r="F655" s="45" t="s">
        <v>3052</v>
      </c>
      <c r="G655" s="46" t="s">
        <v>38</v>
      </c>
      <c r="H655" s="48">
        <v>46220</v>
      </c>
      <c r="I655" s="48">
        <v>46231</v>
      </c>
      <c r="J655" s="44" t="s">
        <v>109</v>
      </c>
      <c r="K655" s="44" t="s">
        <v>100</v>
      </c>
      <c r="L655" s="50"/>
      <c r="M655" s="50"/>
      <c r="N655" s="50"/>
      <c r="O655" s="49"/>
      <c r="P655" s="50">
        <f t="shared" si="40"/>
        <v>0</v>
      </c>
      <c r="R655" s="51" t="str">
        <f t="shared" si="41"/>
        <v/>
      </c>
      <c r="T655" s="41"/>
      <c r="U655" s="29">
        <f>IF($C655&lt;&gt;"",COUNTIF($C$2:C655,C655),"")</f>
        <v>5</v>
      </c>
      <c r="V655" s="29" t="str">
        <f t="shared" si="42"/>
        <v>Doç. Dr. Levent KILIÇ§5</v>
      </c>
      <c r="W655" s="29" t="str">
        <f>IF(U655=1,COUNTIF($U$2:U655,1),"")</f>
        <v/>
      </c>
      <c r="X655" s="29" t="str">
        <f t="shared" si="43"/>
        <v/>
      </c>
      <c r="Y655" s="29">
        <f>IF(AND(LEFT($B655,7)="SBA 26/",$D655&lt;&gt;"",$F655&lt;&gt;""),COUNTIFS($D$2:$D655,$D655,$B$2:$B655,"SBA 26/*",$F$2:$F655,"&lt;&gt;"),"")</f>
        <v>114</v>
      </c>
      <c r="Z655" s="29" t="str">
        <f>IF(Y655=1,COUNTIF($Y$2:Y655,1),"")</f>
        <v/>
      </c>
      <c r="AA655" s="29">
        <f>IF(AND(LEFT($B655,7)="SBA 26/",$C655&lt;&gt;"",$F655&lt;&gt;""),COUNTIFS($C$2:$C655,$C655,$B$2:$B655,"SBA 26/*",$F$2:$F655,"&lt;&gt;"),"")</f>
        <v>5</v>
      </c>
      <c r="AB655" s="29" t="str">
        <f>IF(AA655=1,COUNTIF($AA$2:AA655,1),"")</f>
        <v/>
      </c>
    </row>
    <row r="656" spans="1:28" ht="63" customHeight="1" x14ac:dyDescent="0.2">
      <c r="A656" s="43" t="s">
        <v>3053</v>
      </c>
      <c r="B656" s="43" t="s">
        <v>3054</v>
      </c>
      <c r="C656" s="44" t="s">
        <v>3055</v>
      </c>
      <c r="D656" s="44" t="s">
        <v>113</v>
      </c>
      <c r="E656" s="45" t="s">
        <v>3056</v>
      </c>
      <c r="F656" s="45" t="s">
        <v>3057</v>
      </c>
      <c r="G656" s="46" t="s">
        <v>38</v>
      </c>
      <c r="H656" s="48">
        <v>46220</v>
      </c>
      <c r="I656" s="48">
        <v>46231</v>
      </c>
      <c r="J656" s="44" t="s">
        <v>92</v>
      </c>
      <c r="K656" s="44" t="s">
        <v>129</v>
      </c>
      <c r="L656" s="50"/>
      <c r="M656" s="50"/>
      <c r="N656" s="50"/>
      <c r="O656" s="49"/>
      <c r="P656" s="50">
        <f t="shared" si="40"/>
        <v>0</v>
      </c>
      <c r="R656" s="51" t="str">
        <f t="shared" si="41"/>
        <v/>
      </c>
      <c r="T656" s="41"/>
      <c r="U656" s="29">
        <f>IF($C656&lt;&gt;"",COUNTIF($C$2:C656,C656),"")</f>
        <v>1</v>
      </c>
      <c r="V656" s="29" t="str">
        <f t="shared" si="42"/>
        <v>Prof. Dr. Ali AKDOĞAN§1</v>
      </c>
      <c r="W656" s="29">
        <f>IF(U656=1,COUNTIF($U$2:U656,1),"")</f>
        <v>320</v>
      </c>
      <c r="X656" s="29">
        <f t="shared" si="43"/>
        <v>188</v>
      </c>
      <c r="Y656" s="29">
        <f>IF(AND(LEFT($B656,7)="SBA 26/",$D656&lt;&gt;"",$F656&lt;&gt;""),COUNTIFS($D$2:$D656,$D656,$B$2:$B656,"SBA 26/*",$F$2:$F656,"&lt;&gt;"),"")</f>
        <v>115</v>
      </c>
      <c r="Z656" s="29" t="str">
        <f>IF(Y656=1,COUNTIF($Y$2:Y656,1),"")</f>
        <v/>
      </c>
      <c r="AA656" s="29">
        <f>IF(AND(LEFT($B656,7)="SBA 26/",$C656&lt;&gt;"",$F656&lt;&gt;""),COUNTIFS($C$2:$C656,$C656,$B$2:$B656,"SBA 26/*",$F$2:$F656,"&lt;&gt;"),"")</f>
        <v>1</v>
      </c>
      <c r="AB656" s="29">
        <f>IF(AA656=1,COUNTIF($AA$2:AA656,1),"")</f>
        <v>320</v>
      </c>
    </row>
    <row r="657" spans="1:28" ht="78.75" customHeight="1" x14ac:dyDescent="0.2">
      <c r="A657" s="43" t="s">
        <v>3058</v>
      </c>
      <c r="B657" s="43" t="s">
        <v>3059</v>
      </c>
      <c r="C657" s="44" t="s">
        <v>2229</v>
      </c>
      <c r="D657" s="44" t="s">
        <v>484</v>
      </c>
      <c r="E657" s="45" t="s">
        <v>3060</v>
      </c>
      <c r="F657" s="45" t="s">
        <v>3061</v>
      </c>
      <c r="G657" s="46" t="s">
        <v>39</v>
      </c>
      <c r="H657" s="48">
        <v>46220</v>
      </c>
      <c r="I657" s="48">
        <v>46231</v>
      </c>
      <c r="J657" s="44" t="s">
        <v>92</v>
      </c>
      <c r="K657" s="44" t="s">
        <v>100</v>
      </c>
      <c r="L657" s="50" t="s">
        <v>77</v>
      </c>
      <c r="M657" s="50"/>
      <c r="N657" s="50"/>
      <c r="O657" s="49"/>
      <c r="P657" s="50" t="str">
        <f t="shared" si="40"/>
        <v>ONAY</v>
      </c>
      <c r="R657" s="51" t="str">
        <f t="shared" si="41"/>
        <v/>
      </c>
      <c r="T657" s="41"/>
      <c r="U657" s="29">
        <f>IF($C657&lt;&gt;"",COUNTIF($C$2:C657,C657),"")</f>
        <v>2</v>
      </c>
      <c r="V657" s="29" t="str">
        <f t="shared" si="42"/>
        <v>Prof. Dr. Şevket Murat ÖZBEK§2</v>
      </c>
      <c r="W657" s="29" t="str">
        <f>IF(U657=1,COUNTIF($U$2:U657,1),"")</f>
        <v/>
      </c>
      <c r="X657" s="29" t="str">
        <f t="shared" si="43"/>
        <v/>
      </c>
      <c r="Y657" s="29">
        <f>IF(AND(LEFT($B657,7)="SBA 26/",$D657&lt;&gt;"",$F657&lt;&gt;""),COUNTIFS($D$2:$D657,$D657,$B$2:$B657,"SBA 26/*",$F$2:$F657,"&lt;&gt;"),"")</f>
        <v>7</v>
      </c>
      <c r="Z657" s="29" t="str">
        <f>IF(Y657=1,COUNTIF($Y$2:Y657,1),"")</f>
        <v/>
      </c>
      <c r="AA657" s="29">
        <f>IF(AND(LEFT($B657,7)="SBA 26/",$C657&lt;&gt;"",$F657&lt;&gt;""),COUNTIFS($C$2:$C657,$C657,$B$2:$B657,"SBA 26/*",$F$2:$F657,"&lt;&gt;"),"")</f>
        <v>2</v>
      </c>
      <c r="AB657" s="29" t="str">
        <f>IF(AA657=1,COUNTIF($AA$2:AA657,1),"")</f>
        <v/>
      </c>
    </row>
    <row r="658" spans="1:28" ht="94.5" customHeight="1" x14ac:dyDescent="0.2">
      <c r="A658" s="43" t="s">
        <v>3062</v>
      </c>
      <c r="B658" s="43" t="s">
        <v>3063</v>
      </c>
      <c r="C658" s="44" t="s">
        <v>3064</v>
      </c>
      <c r="D658" s="44" t="s">
        <v>1595</v>
      </c>
      <c r="E658" s="45" t="s">
        <v>3065</v>
      </c>
      <c r="F658" s="45" t="s">
        <v>3066</v>
      </c>
      <c r="G658" s="46" t="s">
        <v>39</v>
      </c>
      <c r="H658" s="48">
        <v>46223</v>
      </c>
      <c r="I658" s="48">
        <v>46231</v>
      </c>
      <c r="J658" s="44" t="s">
        <v>123</v>
      </c>
      <c r="K658" s="44" t="s">
        <v>116</v>
      </c>
      <c r="L658" s="50" t="s">
        <v>77</v>
      </c>
      <c r="M658" s="50"/>
      <c r="N658" s="50"/>
      <c r="O658" s="49"/>
      <c r="P658" s="50" t="str">
        <f t="shared" si="40"/>
        <v>ONAY</v>
      </c>
      <c r="R658" s="51" t="str">
        <f t="shared" si="41"/>
        <v/>
      </c>
      <c r="T658" s="41"/>
      <c r="U658" s="29">
        <f>IF($C658&lt;&gt;"",COUNTIF($C$2:C658,C658),"")</f>
        <v>1</v>
      </c>
      <c r="V658" s="29" t="str">
        <f t="shared" si="42"/>
        <v>Prof. Dr. Meryem UZAMIŞ TEKÇİÇEK§1</v>
      </c>
      <c r="W658" s="29">
        <f>IF(U658=1,COUNTIF($U$2:U658,1),"")</f>
        <v>321</v>
      </c>
      <c r="X658" s="29">
        <f t="shared" si="43"/>
        <v>273</v>
      </c>
      <c r="Y658" s="29">
        <f>IF(AND(LEFT($B658,7)="SBA 26/",$D658&lt;&gt;"",$F658&lt;&gt;""),COUNTIFS($D$2:$D658,$D658,$B$2:$B658,"SBA 26/*",$F$2:$F658,"&lt;&gt;"),"")</f>
        <v>3</v>
      </c>
      <c r="Z658" s="29" t="str">
        <f>IF(Y658=1,COUNTIF($Y$2:Y658,1),"")</f>
        <v/>
      </c>
      <c r="AA658" s="29">
        <f>IF(AND(LEFT($B658,7)="SBA 26/",$C658&lt;&gt;"",$F658&lt;&gt;""),COUNTIFS($C$2:$C658,$C658,$B$2:$B658,"SBA 26/*",$F$2:$F658,"&lt;&gt;"),"")</f>
        <v>1</v>
      </c>
      <c r="AB658" s="29">
        <f>IF(AA658=1,COUNTIF($AA$2:AA658,1),"")</f>
        <v>321</v>
      </c>
    </row>
    <row r="659" spans="1:28" ht="78.75" customHeight="1" x14ac:dyDescent="0.2">
      <c r="A659" s="43" t="s">
        <v>3067</v>
      </c>
      <c r="B659" s="43" t="s">
        <v>3068</v>
      </c>
      <c r="C659" s="44" t="s">
        <v>1063</v>
      </c>
      <c r="D659" s="44" t="s">
        <v>484</v>
      </c>
      <c r="E659" s="45" t="s">
        <v>3069</v>
      </c>
      <c r="F659" s="45" t="s">
        <v>3070</v>
      </c>
      <c r="G659" s="46" t="s">
        <v>39</v>
      </c>
      <c r="H659" s="48">
        <v>46223</v>
      </c>
      <c r="I659" s="48">
        <v>46231</v>
      </c>
      <c r="J659" s="44" t="s">
        <v>123</v>
      </c>
      <c r="K659" s="44" t="s">
        <v>116</v>
      </c>
      <c r="L659" s="50"/>
      <c r="M659" s="50"/>
      <c r="N659" s="50"/>
      <c r="O659" s="49"/>
      <c r="P659" s="50">
        <f t="shared" si="40"/>
        <v>0</v>
      </c>
      <c r="R659" s="51" t="str">
        <f t="shared" si="41"/>
        <v/>
      </c>
      <c r="T659" s="41"/>
      <c r="U659" s="29">
        <f>IF($C659&lt;&gt;"",COUNTIF($C$2:C659,C659),"")</f>
        <v>2</v>
      </c>
      <c r="V659" s="29" t="str">
        <f t="shared" si="42"/>
        <v>Dr. Öğr. Üyesi Hatice BOYACIOĞLU ERDEN§2</v>
      </c>
      <c r="W659" s="29" t="str">
        <f>IF(U659=1,COUNTIF($U$2:U659,1),"")</f>
        <v/>
      </c>
      <c r="X659" s="29" t="str">
        <f t="shared" si="43"/>
        <v/>
      </c>
      <c r="Y659" s="29">
        <f>IF(AND(LEFT($B659,7)="SBA 26/",$D659&lt;&gt;"",$F659&lt;&gt;""),COUNTIFS($D$2:$D659,$D659,$B$2:$B659,"SBA 26/*",$F$2:$F659,"&lt;&gt;"),"")</f>
        <v>8</v>
      </c>
      <c r="Z659" s="29" t="str">
        <f>IF(Y659=1,COUNTIF($Y$2:Y659,1),"")</f>
        <v/>
      </c>
      <c r="AA659" s="29">
        <f>IF(AND(LEFT($B659,7)="SBA 26/",$C659&lt;&gt;"",$F659&lt;&gt;""),COUNTIFS($C$2:$C659,$C659,$B$2:$B659,"SBA 26/*",$F$2:$F659,"&lt;&gt;"),"")</f>
        <v>2</v>
      </c>
      <c r="AB659" s="29" t="str">
        <f>IF(AA659=1,COUNTIF($AA$2:AA659,1),"")</f>
        <v/>
      </c>
    </row>
    <row r="660" spans="1:28" ht="94.5" customHeight="1" x14ac:dyDescent="0.2">
      <c r="A660" s="43" t="s">
        <v>3071</v>
      </c>
      <c r="B660" s="43" t="s">
        <v>3072</v>
      </c>
      <c r="C660" s="44" t="s">
        <v>3073</v>
      </c>
      <c r="D660" s="44" t="s">
        <v>222</v>
      </c>
      <c r="E660" s="45" t="s">
        <v>3074</v>
      </c>
      <c r="F660" s="45" t="s">
        <v>3075</v>
      </c>
      <c r="G660" s="46" t="s">
        <v>38</v>
      </c>
      <c r="H660" s="48">
        <v>46223</v>
      </c>
      <c r="I660" s="48">
        <v>46231</v>
      </c>
      <c r="J660" s="44" t="s">
        <v>99</v>
      </c>
      <c r="K660" s="44" t="s">
        <v>100</v>
      </c>
      <c r="L660" s="50"/>
      <c r="M660" s="50"/>
      <c r="N660" s="50"/>
      <c r="O660" s="49"/>
      <c r="P660" s="50">
        <f t="shared" si="40"/>
        <v>0</v>
      </c>
      <c r="R660" s="51" t="str">
        <f t="shared" si="41"/>
        <v/>
      </c>
      <c r="T660" s="41"/>
      <c r="U660" s="29">
        <f>IF($C660&lt;&gt;"",COUNTIF($C$2:C660,C660),"")</f>
        <v>1</v>
      </c>
      <c r="V660" s="29" t="str">
        <f t="shared" si="42"/>
        <v>Prof. Dr. Özge UYSAL SOYER§1</v>
      </c>
      <c r="W660" s="29">
        <f>IF(U660=1,COUNTIF($U$2:U660,1),"")</f>
        <v>322</v>
      </c>
      <c r="X660" s="29">
        <f t="shared" si="43"/>
        <v>298</v>
      </c>
      <c r="Y660" s="29">
        <f>IF(AND(LEFT($B660,7)="SBA 26/",$D660&lt;&gt;"",$F660&lt;&gt;""),COUNTIFS($D$2:$D660,$D660,$B$2:$B660,"SBA 26/*",$F$2:$F660,"&lt;&gt;"),"")</f>
        <v>111</v>
      </c>
      <c r="Z660" s="29" t="str">
        <f>IF(Y660=1,COUNTIF($Y$2:Y660,1),"")</f>
        <v/>
      </c>
      <c r="AA660" s="29">
        <f>IF(AND(LEFT($B660,7)="SBA 26/",$C660&lt;&gt;"",$F660&lt;&gt;""),COUNTIFS($C$2:$C660,$C660,$B$2:$B660,"SBA 26/*",$F$2:$F660,"&lt;&gt;"),"")</f>
        <v>1</v>
      </c>
      <c r="AB660" s="29">
        <f>IF(AA660=1,COUNTIF($AA$2:AA660,1),"")</f>
        <v>322</v>
      </c>
    </row>
    <row r="661" spans="1:28" ht="111.75" customHeight="1" x14ac:dyDescent="0.2">
      <c r="A661" s="43" t="s">
        <v>3076</v>
      </c>
      <c r="B661" s="43" t="s">
        <v>3077</v>
      </c>
      <c r="C661" s="44" t="s">
        <v>3073</v>
      </c>
      <c r="D661" s="44" t="s">
        <v>222</v>
      </c>
      <c r="E661" s="45" t="s">
        <v>3078</v>
      </c>
      <c r="F661" s="45" t="s">
        <v>3079</v>
      </c>
      <c r="G661" s="46" t="s">
        <v>38</v>
      </c>
      <c r="H661" s="48">
        <v>46223</v>
      </c>
      <c r="I661" s="48">
        <v>46231</v>
      </c>
      <c r="J661" s="44" t="s">
        <v>99</v>
      </c>
      <c r="K661" s="44" t="s">
        <v>100</v>
      </c>
      <c r="L661" s="50" t="s">
        <v>172</v>
      </c>
      <c r="M661" s="50"/>
      <c r="N661" s="50"/>
      <c r="O661" s="49"/>
      <c r="P661" s="50" t="str">
        <f t="shared" si="40"/>
        <v>RET</v>
      </c>
      <c r="R661" s="51" t="str">
        <f t="shared" si="41"/>
        <v/>
      </c>
      <c r="T661" s="41"/>
      <c r="U661" s="29">
        <f>IF($C661&lt;&gt;"",COUNTIF($C$2:C661,C661),"")</f>
        <v>2</v>
      </c>
      <c r="V661" s="29" t="str">
        <f t="shared" si="42"/>
        <v>Prof. Dr. Özge UYSAL SOYER§2</v>
      </c>
      <c r="W661" s="29" t="str">
        <f>IF(U661=1,COUNTIF($U$2:U661,1),"")</f>
        <v/>
      </c>
      <c r="X661" s="29" t="str">
        <f t="shared" si="43"/>
        <v/>
      </c>
      <c r="Y661" s="29">
        <f>IF(AND(LEFT($B661,7)="SBA 26/",$D661&lt;&gt;"",$F661&lt;&gt;""),COUNTIFS($D$2:$D661,$D661,$B$2:$B661,"SBA 26/*",$F$2:$F661,"&lt;&gt;"),"")</f>
        <v>112</v>
      </c>
      <c r="Z661" s="29" t="str">
        <f>IF(Y661=1,COUNTIF($Y$2:Y661,1),"")</f>
        <v/>
      </c>
      <c r="AA661" s="29">
        <f>IF(AND(LEFT($B661,7)="SBA 26/",$C661&lt;&gt;"",$F661&lt;&gt;""),COUNTIFS($C$2:$C661,$C661,$B$2:$B661,"SBA 26/*",$F$2:$F661,"&lt;&gt;"),"")</f>
        <v>2</v>
      </c>
      <c r="AB661" s="29" t="str">
        <f>IF(AA661=1,COUNTIF($AA$2:AA661,1),"")</f>
        <v/>
      </c>
    </row>
    <row r="662" spans="1:28" ht="78.75" customHeight="1" x14ac:dyDescent="0.2">
      <c r="A662" s="43" t="s">
        <v>3080</v>
      </c>
      <c r="B662" s="43" t="s">
        <v>3081</v>
      </c>
      <c r="C662" s="44" t="s">
        <v>162</v>
      </c>
      <c r="D662" s="44" t="s">
        <v>163</v>
      </c>
      <c r="E662" s="45" t="s">
        <v>239</v>
      </c>
      <c r="F662" s="45" t="s">
        <v>3082</v>
      </c>
      <c r="G662" s="46" t="s">
        <v>38</v>
      </c>
      <c r="H662" s="48">
        <v>46223</v>
      </c>
      <c r="I662" s="48">
        <v>46231</v>
      </c>
      <c r="J662" s="44" t="s">
        <v>116</v>
      </c>
      <c r="K662" s="44" t="s">
        <v>129</v>
      </c>
      <c r="L662" s="50" t="s">
        <v>77</v>
      </c>
      <c r="M662" s="50"/>
      <c r="N662" s="50"/>
      <c r="O662" s="49"/>
      <c r="P662" s="50" t="str">
        <f t="shared" si="40"/>
        <v>ONAY</v>
      </c>
      <c r="R662" s="51" t="str">
        <f t="shared" si="41"/>
        <v/>
      </c>
      <c r="T662" s="41"/>
      <c r="U662" s="29">
        <f>IF($C662&lt;&gt;"",COUNTIF($C$2:C662,C662),"")</f>
        <v>3</v>
      </c>
      <c r="V662" s="29" t="str">
        <f t="shared" si="42"/>
        <v>Dr. Öğr. Üyesi Yiğitcan KARANFİL§3</v>
      </c>
      <c r="W662" s="29" t="str">
        <f>IF(U662=1,COUNTIF($U$2:U662,1),"")</f>
        <v/>
      </c>
      <c r="X662" s="29" t="str">
        <f t="shared" si="43"/>
        <v/>
      </c>
      <c r="Y662" s="29">
        <f>IF(AND(LEFT($B662,7)="SBA 26/",$D662&lt;&gt;"",$F662&lt;&gt;""),COUNTIFS($D$2:$D662,$D662,$B$2:$B662,"SBA 26/*",$F$2:$F662,"&lt;&gt;"),"")</f>
        <v>4</v>
      </c>
      <c r="Z662" s="29" t="str">
        <f>IF(Y662=1,COUNTIF($Y$2:Y662,1),"")</f>
        <v/>
      </c>
      <c r="AA662" s="29">
        <f>IF(AND(LEFT($B662,7)="SBA 26/",$C662&lt;&gt;"",$F662&lt;&gt;""),COUNTIFS($C$2:$C662,$C662,$B$2:$B662,"SBA 26/*",$F$2:$F662,"&lt;&gt;"),"")</f>
        <v>3</v>
      </c>
      <c r="AB662" s="29" t="str">
        <f>IF(AA662=1,COUNTIF($AA$2:AA662,1),"")</f>
        <v/>
      </c>
    </row>
    <row r="663" spans="1:28" ht="110.25" customHeight="1" x14ac:dyDescent="0.2">
      <c r="A663" s="43" t="s">
        <v>3083</v>
      </c>
      <c r="B663" s="43" t="s">
        <v>3084</v>
      </c>
      <c r="C663" s="44" t="s">
        <v>681</v>
      </c>
      <c r="D663" s="44" t="s">
        <v>113</v>
      </c>
      <c r="E663" s="45" t="s">
        <v>3085</v>
      </c>
      <c r="F663" s="45" t="s">
        <v>3086</v>
      </c>
      <c r="G663" s="46" t="s">
        <v>38</v>
      </c>
      <c r="H663" s="48">
        <v>46223</v>
      </c>
      <c r="I663" s="48">
        <v>46231</v>
      </c>
      <c r="J663" s="44" t="s">
        <v>129</v>
      </c>
      <c r="K663" s="44" t="s">
        <v>99</v>
      </c>
      <c r="L663" s="50" t="s">
        <v>172</v>
      </c>
      <c r="M663" s="50"/>
      <c r="N663" s="50"/>
      <c r="O663" s="49"/>
      <c r="P663" s="50" t="str">
        <f t="shared" si="40"/>
        <v>RET</v>
      </c>
      <c r="R663" s="51" t="str">
        <f t="shared" si="41"/>
        <v/>
      </c>
      <c r="T663" s="41"/>
      <c r="U663" s="29">
        <f>IF($C663&lt;&gt;"",COUNTIF($C$2:C663,C663),"")</f>
        <v>4</v>
      </c>
      <c r="V663" s="29" t="str">
        <f t="shared" si="42"/>
        <v>Prof. Dr. Hatice Yasemin BALABAN§4</v>
      </c>
      <c r="W663" s="29" t="str">
        <f>IF(U663=1,COUNTIF($U$2:U663,1),"")</f>
        <v/>
      </c>
      <c r="X663" s="29" t="str">
        <f t="shared" si="43"/>
        <v/>
      </c>
      <c r="Y663" s="29">
        <f>IF(AND(LEFT($B663,7)="SBA 26/",$D663&lt;&gt;"",$F663&lt;&gt;""),COUNTIFS($D$2:$D663,$D663,$B$2:$B663,"SBA 26/*",$F$2:$F663,"&lt;&gt;"),"")</f>
        <v>116</v>
      </c>
      <c r="Z663" s="29" t="str">
        <f>IF(Y663=1,COUNTIF($Y$2:Y663,1),"")</f>
        <v/>
      </c>
      <c r="AA663" s="29">
        <f>IF(AND(LEFT($B663,7)="SBA 26/",$C663&lt;&gt;"",$F663&lt;&gt;""),COUNTIFS($C$2:$C663,$C663,$B$2:$B663,"SBA 26/*",$F$2:$F663,"&lt;&gt;"),"")</f>
        <v>4</v>
      </c>
      <c r="AB663" s="29" t="str">
        <f>IF(AA663=1,COUNTIF($AA$2:AA663,1),"")</f>
        <v/>
      </c>
    </row>
    <row r="664" spans="1:28" ht="63" customHeight="1" x14ac:dyDescent="0.2">
      <c r="A664" s="43" t="s">
        <v>3087</v>
      </c>
      <c r="B664" s="43" t="s">
        <v>3088</v>
      </c>
      <c r="C664" s="44" t="s">
        <v>957</v>
      </c>
      <c r="D664" s="44" t="s">
        <v>404</v>
      </c>
      <c r="E664" s="45" t="s">
        <v>3089</v>
      </c>
      <c r="F664" s="45" t="s">
        <v>3090</v>
      </c>
      <c r="G664" s="46" t="s">
        <v>38</v>
      </c>
      <c r="H664" s="48">
        <v>46223</v>
      </c>
      <c r="I664" s="48">
        <v>46231</v>
      </c>
      <c r="J664" s="44" t="s">
        <v>108</v>
      </c>
      <c r="K664" s="44" t="s">
        <v>76</v>
      </c>
      <c r="L664" s="50" t="s">
        <v>77</v>
      </c>
      <c r="M664" s="50"/>
      <c r="N664" s="50"/>
      <c r="O664" s="49"/>
      <c r="P664" s="50" t="str">
        <f t="shared" si="40"/>
        <v>ONAY</v>
      </c>
      <c r="R664" s="51" t="str">
        <f t="shared" si="41"/>
        <v/>
      </c>
      <c r="T664" s="41"/>
      <c r="U664" s="29">
        <f>IF($C664&lt;&gt;"",COUNTIF($C$2:C664,C664),"")</f>
        <v>4</v>
      </c>
      <c r="V664" s="29" t="str">
        <f t="shared" si="42"/>
        <v>Doç. Dr. Mesut ALTAN§4</v>
      </c>
      <c r="W664" s="29" t="str">
        <f>IF(U664=1,COUNTIF($U$2:U664,1),"")</f>
        <v/>
      </c>
      <c r="X664" s="29" t="str">
        <f t="shared" si="43"/>
        <v/>
      </c>
      <c r="Y664" s="29">
        <f>IF(AND(LEFT($B664,7)="SBA 26/",$D664&lt;&gt;"",$F664&lt;&gt;""),COUNTIFS($D$2:$D664,$D664,$B$2:$B664,"SBA 26/*",$F$2:$F664,"&lt;&gt;"),"")</f>
        <v>8</v>
      </c>
      <c r="Z664" s="29" t="str">
        <f>IF(Y664=1,COUNTIF($Y$2:Y664,1),"")</f>
        <v/>
      </c>
      <c r="AA664" s="29">
        <f>IF(AND(LEFT($B664,7)="SBA 26/",$C664&lt;&gt;"",$F664&lt;&gt;""),COUNTIFS($C$2:$C664,$C664,$B$2:$B664,"SBA 26/*",$F$2:$F664,"&lt;&gt;"),"")</f>
        <v>4</v>
      </c>
      <c r="AB664" s="29" t="str">
        <f>IF(AA664=1,COUNTIF($AA$2:AA664,1),"")</f>
        <v/>
      </c>
    </row>
    <row r="665" spans="1:28" ht="110.25" customHeight="1" x14ac:dyDescent="0.2">
      <c r="A665" s="43" t="s">
        <v>3091</v>
      </c>
      <c r="B665" s="43" t="s">
        <v>3092</v>
      </c>
      <c r="C665" s="44" t="s">
        <v>3093</v>
      </c>
      <c r="D665" s="44" t="s">
        <v>222</v>
      </c>
      <c r="E665" s="45" t="s">
        <v>3094</v>
      </c>
      <c r="F665" s="45" t="s">
        <v>3095</v>
      </c>
      <c r="G665" s="46" t="s">
        <v>38</v>
      </c>
      <c r="H665" s="48">
        <v>46224</v>
      </c>
      <c r="I665" s="48">
        <v>46231</v>
      </c>
      <c r="J665" s="44" t="s">
        <v>100</v>
      </c>
      <c r="K665" s="44" t="s">
        <v>76</v>
      </c>
      <c r="L665" s="50" t="s">
        <v>77</v>
      </c>
      <c r="M665" s="50"/>
      <c r="N665" s="50"/>
      <c r="O665" s="49"/>
      <c r="P665" s="50" t="str">
        <f t="shared" si="40"/>
        <v>ONAY</v>
      </c>
      <c r="R665" s="51" t="str">
        <f t="shared" si="41"/>
        <v/>
      </c>
      <c r="T665" s="41"/>
      <c r="U665" s="29">
        <f>IF($C665&lt;&gt;"",COUNTIF($C$2:C665,C665),"")</f>
        <v>1</v>
      </c>
      <c r="V665" s="29" t="str">
        <f t="shared" si="42"/>
        <v>Arş. Gör. Dr. İsmail Çağrı ÖZÜTOK§1</v>
      </c>
      <c r="W665" s="29">
        <f>IF(U665=1,COUNTIF($U$2:U665,1),"")</f>
        <v>323</v>
      </c>
      <c r="X665" s="29">
        <f t="shared" si="43"/>
        <v>3</v>
      </c>
      <c r="Y665" s="29">
        <f>IF(AND(LEFT($B665,7)="SBA 26/",$D665&lt;&gt;"",$F665&lt;&gt;""),COUNTIFS($D$2:$D665,$D665,$B$2:$B665,"SBA 26/*",$F$2:$F665,"&lt;&gt;"),"")</f>
        <v>113</v>
      </c>
      <c r="Z665" s="29" t="str">
        <f>IF(Y665=1,COUNTIF($Y$2:Y665,1),"")</f>
        <v/>
      </c>
      <c r="AA665" s="29">
        <f>IF(AND(LEFT($B665,7)="SBA 26/",$C665&lt;&gt;"",$F665&lt;&gt;""),COUNTIFS($C$2:$C665,$C665,$B$2:$B665,"SBA 26/*",$F$2:$F665,"&lt;&gt;"),"")</f>
        <v>1</v>
      </c>
      <c r="AB665" s="29">
        <f>IF(AA665=1,COUNTIF($AA$2:AA665,1),"")</f>
        <v>323</v>
      </c>
    </row>
    <row r="666" spans="1:28" ht="80.25" customHeight="1" x14ac:dyDescent="0.2">
      <c r="A666" s="43" t="s">
        <v>3096</v>
      </c>
      <c r="B666" s="43" t="s">
        <v>3097</v>
      </c>
      <c r="C666" s="44" t="s">
        <v>3098</v>
      </c>
      <c r="D666" s="44" t="s">
        <v>113</v>
      </c>
      <c r="E666" s="45" t="s">
        <v>3099</v>
      </c>
      <c r="F666" s="45" t="s">
        <v>3100</v>
      </c>
      <c r="G666" s="46" t="s">
        <v>38</v>
      </c>
      <c r="H666" s="48">
        <v>46224</v>
      </c>
      <c r="I666" s="48">
        <v>46231</v>
      </c>
      <c r="J666" s="44" t="s">
        <v>75</v>
      </c>
      <c r="K666" s="44" t="s">
        <v>129</v>
      </c>
      <c r="L666" s="50" t="s">
        <v>77</v>
      </c>
      <c r="M666" s="50"/>
      <c r="N666" s="50"/>
      <c r="O666" s="49"/>
      <c r="P666" s="50" t="str">
        <f t="shared" si="40"/>
        <v>ONAY</v>
      </c>
      <c r="R666" s="51" t="str">
        <f t="shared" si="41"/>
        <v/>
      </c>
      <c r="T666" s="41"/>
      <c r="U666" s="29">
        <f>IF($C666&lt;&gt;"",COUNTIF($C$2:C666,C666),"")</f>
        <v>1</v>
      </c>
      <c r="V666" s="29" t="str">
        <f t="shared" si="42"/>
        <v>Dr. Öğr. Üyesi Bengi ÖZTÜRK§1</v>
      </c>
      <c r="W666" s="29">
        <f>IF(U666=1,COUNTIF($U$2:U666,1),"")</f>
        <v>324</v>
      </c>
      <c r="X666" s="29">
        <f t="shared" si="43"/>
        <v>124</v>
      </c>
      <c r="Y666" s="29">
        <f>IF(AND(LEFT($B666,7)="SBA 26/",$D666&lt;&gt;"",$F666&lt;&gt;""),COUNTIFS($D$2:$D666,$D666,$B$2:$B666,"SBA 26/*",$F$2:$F666,"&lt;&gt;"),"")</f>
        <v>117</v>
      </c>
      <c r="Z666" s="29" t="str">
        <f>IF(Y666=1,COUNTIF($Y$2:Y666,1),"")</f>
        <v/>
      </c>
      <c r="AA666" s="29">
        <f>IF(AND(LEFT($B666,7)="SBA 26/",$C666&lt;&gt;"",$F666&lt;&gt;""),COUNTIFS($C$2:$C666,$C666,$B$2:$B666,"SBA 26/*",$F$2:$F666,"&lt;&gt;"),"")</f>
        <v>1</v>
      </c>
      <c r="AB666" s="29">
        <f>IF(AA666=1,COUNTIF($AA$2:AA666,1),"")</f>
        <v>324</v>
      </c>
    </row>
    <row r="667" spans="1:28" ht="78.75" customHeight="1" x14ac:dyDescent="0.2">
      <c r="A667" s="43" t="s">
        <v>3101</v>
      </c>
      <c r="B667" s="43" t="s">
        <v>3102</v>
      </c>
      <c r="C667" s="44" t="s">
        <v>2367</v>
      </c>
      <c r="D667" s="44" t="s">
        <v>291</v>
      </c>
      <c r="E667" s="45" t="s">
        <v>3103</v>
      </c>
      <c r="F667" s="45" t="s">
        <v>3104</v>
      </c>
      <c r="G667" s="46" t="s">
        <v>38</v>
      </c>
      <c r="H667" s="48">
        <v>46225</v>
      </c>
      <c r="I667" s="48">
        <v>46231</v>
      </c>
      <c r="J667" s="44" t="s">
        <v>75</v>
      </c>
      <c r="K667" s="44" t="s">
        <v>84</v>
      </c>
      <c r="L667" s="50" t="s">
        <v>77</v>
      </c>
      <c r="M667" s="50"/>
      <c r="N667" s="50"/>
      <c r="O667" s="49"/>
      <c r="P667" s="50" t="str">
        <f t="shared" si="40"/>
        <v>ONAY</v>
      </c>
      <c r="R667" s="51" t="str">
        <f t="shared" si="41"/>
        <v/>
      </c>
      <c r="T667" s="41"/>
      <c r="U667" s="29">
        <f>IF($C667&lt;&gt;"",COUNTIF($C$2:C667,C667),"")</f>
        <v>2</v>
      </c>
      <c r="V667" s="29" t="str">
        <f t="shared" si="42"/>
        <v>Prof. Dr. Levent SENNAROĞLU§2</v>
      </c>
      <c r="W667" s="29" t="str">
        <f>IF(U667=1,COUNTIF($U$2:U667,1),"")</f>
        <v/>
      </c>
      <c r="X667" s="29" t="str">
        <f t="shared" si="43"/>
        <v/>
      </c>
      <c r="Y667" s="29">
        <f>IF(AND(LEFT($B667,7)="SBA 26/",$D667&lt;&gt;"",$F667&lt;&gt;""),COUNTIFS($D$2:$D667,$D667,$B$2:$B667,"SBA 26/*",$F$2:$F667,"&lt;&gt;"),"")</f>
        <v>14</v>
      </c>
      <c r="Z667" s="29" t="str">
        <f>IF(Y667=1,COUNTIF($Y$2:Y667,1),"")</f>
        <v/>
      </c>
      <c r="AA667" s="29">
        <f>IF(AND(LEFT($B667,7)="SBA 26/",$C667&lt;&gt;"",$F667&lt;&gt;""),COUNTIFS($C$2:$C667,$C667,$B$2:$B667,"SBA 26/*",$F$2:$F667,"&lt;&gt;"),"")</f>
        <v>2</v>
      </c>
      <c r="AB667" s="29" t="str">
        <f>IF(AA667=1,COUNTIF($AA$2:AA667,1),"")</f>
        <v/>
      </c>
    </row>
    <row r="668" spans="1:28" ht="143.25" customHeight="1" x14ac:dyDescent="0.2">
      <c r="A668" s="43" t="s">
        <v>3105</v>
      </c>
      <c r="B668" s="43" t="s">
        <v>3106</v>
      </c>
      <c r="C668" s="44" t="s">
        <v>3107</v>
      </c>
      <c r="D668" s="44" t="s">
        <v>3108</v>
      </c>
      <c r="E668" s="45" t="s">
        <v>3109</v>
      </c>
      <c r="F668" s="45" t="s">
        <v>3110</v>
      </c>
      <c r="G668" s="46" t="s">
        <v>38</v>
      </c>
      <c r="H668" s="48">
        <v>46225</v>
      </c>
      <c r="I668" s="48">
        <v>46231</v>
      </c>
      <c r="J668" s="44" t="s">
        <v>109</v>
      </c>
      <c r="K668" s="44" t="s">
        <v>92</v>
      </c>
      <c r="L668" s="50"/>
      <c r="M668" s="50"/>
      <c r="N668" s="50"/>
      <c r="O668" s="49"/>
      <c r="P668" s="50">
        <f t="shared" si="40"/>
        <v>0</v>
      </c>
      <c r="R668" s="51" t="str">
        <f t="shared" si="41"/>
        <v/>
      </c>
      <c r="T668" s="41"/>
      <c r="U668" s="29">
        <f>IF($C668&lt;&gt;"",COUNTIF($C$2:C668,C668),"")</f>
        <v>1</v>
      </c>
      <c r="V668" s="29" t="str">
        <f t="shared" si="42"/>
        <v>Prof. Dr. Turgut Emrah BOZKURT§1</v>
      </c>
      <c r="W668" s="29">
        <f>IF(U668=1,COUNTIF($U$2:U668,1),"")</f>
        <v>325</v>
      </c>
      <c r="X668" s="29">
        <f t="shared" si="43"/>
        <v>332</v>
      </c>
      <c r="Y668" s="29">
        <f>IF(AND(LEFT($B668,7)="SBA 26/",$D668&lt;&gt;"",$F668&lt;&gt;""),COUNTIFS($D$2:$D668,$D668,$B$2:$B668,"SBA 26/*",$F$2:$F668,"&lt;&gt;"),"")</f>
        <v>1</v>
      </c>
      <c r="Z668" s="29">
        <f>IF(Y668=1,COUNTIF($Y$2:Y668,1),"")</f>
        <v>79</v>
      </c>
      <c r="AA668" s="29">
        <f>IF(AND(LEFT($B668,7)="SBA 26/",$C668&lt;&gt;"",$F668&lt;&gt;""),COUNTIFS($C$2:$C668,$C668,$B$2:$B668,"SBA 26/*",$F$2:$F668,"&lt;&gt;"),"")</f>
        <v>1</v>
      </c>
      <c r="AB668" s="29">
        <f>IF(AA668=1,COUNTIF($AA$2:AA668,1),"")</f>
        <v>325</v>
      </c>
    </row>
    <row r="669" spans="1:28" ht="63" customHeight="1" x14ac:dyDescent="0.2">
      <c r="A669" s="43" t="s">
        <v>3111</v>
      </c>
      <c r="B669" s="43" t="s">
        <v>3112</v>
      </c>
      <c r="C669" s="44" t="s">
        <v>1498</v>
      </c>
      <c r="D669" s="44" t="s">
        <v>113</v>
      </c>
      <c r="E669" s="45" t="s">
        <v>3113</v>
      </c>
      <c r="F669" s="45" t="s">
        <v>3114</v>
      </c>
      <c r="G669" s="46" t="s">
        <v>38</v>
      </c>
      <c r="H669" s="48">
        <v>46225</v>
      </c>
      <c r="I669" s="48">
        <v>46231</v>
      </c>
      <c r="J669" s="44" t="s">
        <v>75</v>
      </c>
      <c r="K669" s="44" t="s">
        <v>123</v>
      </c>
      <c r="L669" s="50" t="s">
        <v>77</v>
      </c>
      <c r="M669" s="50"/>
      <c r="N669" s="50"/>
      <c r="O669" s="49"/>
      <c r="P669" s="50" t="str">
        <f t="shared" si="40"/>
        <v>ONAY</v>
      </c>
      <c r="R669" s="51" t="str">
        <f t="shared" si="41"/>
        <v/>
      </c>
      <c r="T669" s="41"/>
      <c r="U669" s="29">
        <f>IF($C669&lt;&gt;"",COUNTIF($C$2:C669,C669),"")</f>
        <v>3</v>
      </c>
      <c r="V669" s="29" t="str">
        <f t="shared" si="42"/>
        <v>Prof. Dr. Hakan GÖKER§3</v>
      </c>
      <c r="W669" s="29" t="str">
        <f>IF(U669=1,COUNTIF($U$2:U669,1),"")</f>
        <v/>
      </c>
      <c r="X669" s="29" t="str">
        <f t="shared" si="43"/>
        <v/>
      </c>
      <c r="Y669" s="29">
        <f>IF(AND(LEFT($B669,7)="SBA 26/",$D669&lt;&gt;"",$F669&lt;&gt;""),COUNTIFS($D$2:$D669,$D669,$B$2:$B669,"SBA 26/*",$F$2:$F669,"&lt;&gt;"),"")</f>
        <v>118</v>
      </c>
      <c r="Z669" s="29" t="str">
        <f>IF(Y669=1,COUNTIF($Y$2:Y669,1),"")</f>
        <v/>
      </c>
      <c r="AA669" s="29">
        <f>IF(AND(LEFT($B669,7)="SBA 26/",$C669&lt;&gt;"",$F669&lt;&gt;""),COUNTIFS($C$2:$C669,$C669,$B$2:$B669,"SBA 26/*",$F$2:$F669,"&lt;&gt;"),"")</f>
        <v>3</v>
      </c>
      <c r="AB669" s="29" t="str">
        <f>IF(AA669=1,COUNTIF($AA$2:AA669,1),"")</f>
        <v/>
      </c>
    </row>
    <row r="670" spans="1:28" ht="64.5" customHeight="1" x14ac:dyDescent="0.2">
      <c r="A670" s="43" t="s">
        <v>3115</v>
      </c>
      <c r="B670" s="43" t="s">
        <v>3116</v>
      </c>
      <c r="C670" s="44" t="s">
        <v>1584</v>
      </c>
      <c r="D670" s="44" t="s">
        <v>113</v>
      </c>
      <c r="E670" s="45" t="s">
        <v>3117</v>
      </c>
      <c r="F670" s="45" t="s">
        <v>3118</v>
      </c>
      <c r="G670" s="46" t="s">
        <v>38</v>
      </c>
      <c r="H670" s="48">
        <v>46225</v>
      </c>
      <c r="I670" s="48">
        <v>46231</v>
      </c>
      <c r="J670" s="44" t="s">
        <v>108</v>
      </c>
      <c r="K670" s="44" t="s">
        <v>123</v>
      </c>
      <c r="L670" s="50" t="s">
        <v>77</v>
      </c>
      <c r="M670" s="50"/>
      <c r="N670" s="50"/>
      <c r="O670" s="49"/>
      <c r="P670" s="50" t="str">
        <f t="shared" si="40"/>
        <v>ONAY</v>
      </c>
      <c r="R670" s="51" t="str">
        <f t="shared" si="41"/>
        <v/>
      </c>
      <c r="T670" s="41"/>
      <c r="U670" s="29">
        <f>IF($C670&lt;&gt;"",COUNTIF($C$2:C670,C670),"")</f>
        <v>7</v>
      </c>
      <c r="V670" s="29" t="str">
        <f t="shared" si="42"/>
        <v>Doç. Dr. Cafer BALCI§7</v>
      </c>
      <c r="W670" s="29" t="str">
        <f>IF(U670=1,COUNTIF($U$2:U670,1),"")</f>
        <v/>
      </c>
      <c r="X670" s="29" t="str">
        <f t="shared" si="43"/>
        <v/>
      </c>
      <c r="Y670" s="29">
        <f>IF(AND(LEFT($B670,7)="SBA 26/",$D670&lt;&gt;"",$F670&lt;&gt;""),COUNTIFS($D$2:$D670,$D670,$B$2:$B670,"SBA 26/*",$F$2:$F670,"&lt;&gt;"),"")</f>
        <v>119</v>
      </c>
      <c r="Z670" s="29" t="str">
        <f>IF(Y670=1,COUNTIF($Y$2:Y670,1),"")</f>
        <v/>
      </c>
      <c r="AA670" s="29">
        <f>IF(AND(LEFT($B670,7)="SBA 26/",$C670&lt;&gt;"",$F670&lt;&gt;""),COUNTIFS($C$2:$C670,$C670,$B$2:$B670,"SBA 26/*",$F$2:$F670,"&lt;&gt;"),"")</f>
        <v>7</v>
      </c>
      <c r="AB670" s="29" t="str">
        <f>IF(AA670=1,COUNTIF($AA$2:AA670,1),"")</f>
        <v/>
      </c>
    </row>
    <row r="671" spans="1:28" ht="78.75" customHeight="1" x14ac:dyDescent="0.2">
      <c r="A671" s="43" t="s">
        <v>3119</v>
      </c>
      <c r="B671" s="43" t="s">
        <v>3120</v>
      </c>
      <c r="C671" s="44" t="s">
        <v>3121</v>
      </c>
      <c r="D671" s="44" t="s">
        <v>1143</v>
      </c>
      <c r="E671" s="45" t="s">
        <v>3122</v>
      </c>
      <c r="F671" s="45" t="s">
        <v>3123</v>
      </c>
      <c r="G671" s="46" t="s">
        <v>39</v>
      </c>
      <c r="H671" s="48">
        <v>46225</v>
      </c>
      <c r="I671" s="48">
        <v>46231</v>
      </c>
      <c r="J671" s="44" t="s">
        <v>75</v>
      </c>
      <c r="K671" s="44" t="s">
        <v>116</v>
      </c>
      <c r="L671" s="50" t="s">
        <v>77</v>
      </c>
      <c r="M671" s="50"/>
      <c r="N671" s="50"/>
      <c r="O671" s="49"/>
      <c r="P671" s="50" t="str">
        <f t="shared" si="40"/>
        <v>ONAY</v>
      </c>
      <c r="R671" s="51" t="str">
        <f t="shared" si="41"/>
        <v/>
      </c>
      <c r="T671" s="41"/>
      <c r="U671" s="29">
        <f>IF($C671&lt;&gt;"",COUNTIF($C$2:C671,C671),"")</f>
        <v>1</v>
      </c>
      <c r="V671" s="29" t="str">
        <f t="shared" si="42"/>
        <v>Doç. Dr. Murat KARA§1</v>
      </c>
      <c r="W671" s="29">
        <f>IF(U671=1,COUNTIF($U$2:U671,1),"")</f>
        <v>326</v>
      </c>
      <c r="X671" s="29">
        <f t="shared" si="43"/>
        <v>85</v>
      </c>
      <c r="Y671" s="29">
        <f>IF(AND(LEFT($B671,7)="SBA 26/",$D671&lt;&gt;"",$F671&lt;&gt;""),COUNTIFS($D$2:$D671,$D671,$B$2:$B671,"SBA 26/*",$F$2:$F671,"&lt;&gt;"),"")</f>
        <v>6</v>
      </c>
      <c r="Z671" s="29" t="str">
        <f>IF(Y671=1,COUNTIF($Y$2:Y671,1),"")</f>
        <v/>
      </c>
      <c r="AA671" s="29">
        <f>IF(AND(LEFT($B671,7)="SBA 26/",$C671&lt;&gt;"",$F671&lt;&gt;""),COUNTIFS($C$2:$C671,$C671,$B$2:$B671,"SBA 26/*",$F$2:$F671,"&lt;&gt;"),"")</f>
        <v>1</v>
      </c>
      <c r="AB671" s="29">
        <f>IF(AA671=1,COUNTIF($AA$2:AA671,1),"")</f>
        <v>326</v>
      </c>
    </row>
    <row r="672" spans="1:28" ht="63" customHeight="1" x14ac:dyDescent="0.2">
      <c r="A672" s="43" t="s">
        <v>3124</v>
      </c>
      <c r="B672" s="43" t="s">
        <v>3125</v>
      </c>
      <c r="C672" s="44" t="s">
        <v>3126</v>
      </c>
      <c r="D672" s="44" t="s">
        <v>3127</v>
      </c>
      <c r="E672" s="45" t="s">
        <v>3128</v>
      </c>
      <c r="F672" s="45" t="s">
        <v>3129</v>
      </c>
      <c r="G672" s="46" t="s">
        <v>38</v>
      </c>
      <c r="H672" s="48">
        <v>46226</v>
      </c>
      <c r="I672" s="48">
        <v>46231</v>
      </c>
      <c r="J672" s="44" t="s">
        <v>75</v>
      </c>
      <c r="K672" s="44" t="s">
        <v>123</v>
      </c>
      <c r="L672" s="50"/>
      <c r="M672" s="50"/>
      <c r="N672" s="50"/>
      <c r="O672" s="49"/>
      <c r="P672" s="50">
        <f t="shared" si="40"/>
        <v>0</v>
      </c>
      <c r="R672" s="51" t="str">
        <f t="shared" si="41"/>
        <v/>
      </c>
      <c r="T672" s="41"/>
      <c r="U672" s="29">
        <f>IF($C672&lt;&gt;"",COUNTIF($C$2:C672,C672),"")</f>
        <v>1</v>
      </c>
      <c r="V672" s="29" t="str">
        <f t="shared" si="42"/>
        <v>Prof. Dr. Esra Burcu SAĞLAM§1</v>
      </c>
      <c r="W672" s="29">
        <f>IF(U672=1,COUNTIF($U$2:U672,1),"")</f>
        <v>327</v>
      </c>
      <c r="X672" s="29">
        <f t="shared" si="43"/>
        <v>228</v>
      </c>
      <c r="Y672" s="29">
        <f>IF(AND(LEFT($B672,7)="SBA 26/",$D672&lt;&gt;"",$F672&lt;&gt;""),COUNTIFS($D$2:$D672,$D672,$B$2:$B672,"SBA 26/*",$F$2:$F672,"&lt;&gt;"),"")</f>
        <v>1</v>
      </c>
      <c r="Z672" s="29">
        <f>IF(Y672=1,COUNTIF($Y$2:Y672,1),"")</f>
        <v>80</v>
      </c>
      <c r="AA672" s="29">
        <f>IF(AND(LEFT($B672,7)="SBA 26/",$C672&lt;&gt;"",$F672&lt;&gt;""),COUNTIFS($C$2:$C672,$C672,$B$2:$B672,"SBA 26/*",$F$2:$F672,"&lt;&gt;"),"")</f>
        <v>1</v>
      </c>
      <c r="AB672" s="29">
        <f>IF(AA672=1,COUNTIF($AA$2:AA672,1),"")</f>
        <v>327</v>
      </c>
    </row>
    <row r="673" spans="1:28" ht="126" customHeight="1" x14ac:dyDescent="0.2">
      <c r="A673" s="43" t="s">
        <v>3130</v>
      </c>
      <c r="B673" s="43" t="s">
        <v>3131</v>
      </c>
      <c r="C673" s="44" t="s">
        <v>3132</v>
      </c>
      <c r="D673" s="44" t="s">
        <v>1143</v>
      </c>
      <c r="E673" s="45" t="s">
        <v>3133</v>
      </c>
      <c r="F673" s="45" t="s">
        <v>3134</v>
      </c>
      <c r="G673" s="46" t="s">
        <v>39</v>
      </c>
      <c r="H673" s="48">
        <v>46227</v>
      </c>
      <c r="I673" s="48">
        <v>46231</v>
      </c>
      <c r="J673" s="44" t="s">
        <v>75</v>
      </c>
      <c r="K673" s="44" t="s">
        <v>84</v>
      </c>
      <c r="L673" s="50" t="s">
        <v>77</v>
      </c>
      <c r="M673" s="50"/>
      <c r="N673" s="50"/>
      <c r="O673" s="49"/>
      <c r="P673" s="50" t="str">
        <f t="shared" si="40"/>
        <v>ONAY</v>
      </c>
      <c r="R673" s="51" t="str">
        <f t="shared" si="41"/>
        <v/>
      </c>
      <c r="T673" s="41"/>
      <c r="U673" s="29">
        <f>IF($C673&lt;&gt;"",COUNTIF($C$2:C673,C673),"")</f>
        <v>1</v>
      </c>
      <c r="V673" s="29" t="str">
        <f t="shared" si="42"/>
        <v>Prof. Dr. Münip Gökhan TUNÇBİLEK§1</v>
      </c>
      <c r="W673" s="29">
        <f>IF(U673=1,COUNTIF($U$2:U673,1),"")</f>
        <v>328</v>
      </c>
      <c r="X673" s="29">
        <f t="shared" si="43"/>
        <v>281</v>
      </c>
      <c r="Y673" s="29">
        <f>IF(AND(LEFT($B673,7)="SBA 26/",$D673&lt;&gt;"",$F673&lt;&gt;""),COUNTIFS($D$2:$D673,$D673,$B$2:$B673,"SBA 26/*",$F$2:$F673,"&lt;&gt;"),"")</f>
        <v>7</v>
      </c>
      <c r="Z673" s="29" t="str">
        <f>IF(Y673=1,COUNTIF($Y$2:Y673,1),"")</f>
        <v/>
      </c>
      <c r="AA673" s="29">
        <f>IF(AND(LEFT($B673,7)="SBA 26/",$C673&lt;&gt;"",$F673&lt;&gt;""),COUNTIFS($C$2:$C673,$C673,$B$2:$B673,"SBA 26/*",$F$2:$F673,"&lt;&gt;"),"")</f>
        <v>1</v>
      </c>
      <c r="AB673" s="29">
        <f>IF(AA673=1,COUNTIF($AA$2:AA673,1),"")</f>
        <v>328</v>
      </c>
    </row>
    <row r="674" spans="1:28" ht="96.75" customHeight="1" x14ac:dyDescent="0.2">
      <c r="A674" s="43" t="s">
        <v>3135</v>
      </c>
      <c r="B674" s="43" t="s">
        <v>3136</v>
      </c>
      <c r="C674" s="44" t="s">
        <v>2653</v>
      </c>
      <c r="D674" s="44" t="s">
        <v>120</v>
      </c>
      <c r="E674" s="45" t="s">
        <v>3137</v>
      </c>
      <c r="F674" s="45" t="s">
        <v>2655</v>
      </c>
      <c r="G674" s="46" t="s">
        <v>39</v>
      </c>
      <c r="H674" s="48">
        <v>46231</v>
      </c>
      <c r="I674" s="48">
        <v>46231</v>
      </c>
      <c r="J674" s="44" t="s">
        <v>75</v>
      </c>
      <c r="K674" s="44" t="s">
        <v>123</v>
      </c>
      <c r="L674" s="50" t="s">
        <v>153</v>
      </c>
      <c r="M674" s="50"/>
      <c r="N674" s="50"/>
      <c r="O674" s="49"/>
      <c r="P674" s="50" t="str">
        <f t="shared" si="40"/>
        <v>KAPSAM DIŞI</v>
      </c>
      <c r="Q674" s="28" t="s">
        <v>3138</v>
      </c>
      <c r="R674" s="51" t="str">
        <f t="shared" si="41"/>
        <v/>
      </c>
      <c r="T674" s="41"/>
      <c r="U674" s="29">
        <f>IF($C674&lt;&gt;"",COUNTIF($C$2:C674,C674),"")</f>
        <v>2</v>
      </c>
      <c r="V674" s="29" t="str">
        <f t="shared" si="42"/>
        <v>Prof. Dr. Ahmet SERPER§2</v>
      </c>
      <c r="W674" s="29" t="str">
        <f>IF(U674=1,COUNTIF($U$2:U674,1),"")</f>
        <v/>
      </c>
      <c r="X674" s="29" t="str">
        <f t="shared" si="43"/>
        <v/>
      </c>
      <c r="Y674" s="29">
        <f>IF(AND(LEFT($B674,7)="SBA 26/",$D674&lt;&gt;"",$F674&lt;&gt;""),COUNTIFS($D$2:$D674,$D674,$B$2:$B674,"SBA 26/*",$F$2:$F674,"&lt;&gt;"),"")</f>
        <v>9</v>
      </c>
      <c r="Z674" s="29" t="str">
        <f>IF(Y674=1,COUNTIF($Y$2:Y674,1),"")</f>
        <v/>
      </c>
      <c r="AA674" s="29">
        <f>IF(AND(LEFT($B674,7)="SBA 26/",$C674&lt;&gt;"",$F674&lt;&gt;""),COUNTIFS($C$2:$C674,$C674,$B$2:$B674,"SBA 26/*",$F$2:$F674,"&lt;&gt;"),"")</f>
        <v>2</v>
      </c>
      <c r="AB674" s="29" t="str">
        <f>IF(AA674=1,COUNTIF($AA$2:AA674,1),"")</f>
        <v/>
      </c>
    </row>
    <row r="675" spans="1:28" ht="78.75" customHeight="1" x14ac:dyDescent="0.2">
      <c r="A675" s="43" t="s">
        <v>3139</v>
      </c>
      <c r="B675" s="43" t="s">
        <v>3140</v>
      </c>
      <c r="C675" s="44" t="s">
        <v>379</v>
      </c>
      <c r="D675" s="44" t="s">
        <v>222</v>
      </c>
      <c r="E675" s="45" t="s">
        <v>3141</v>
      </c>
      <c r="F675" s="45" t="s">
        <v>3142</v>
      </c>
      <c r="G675" s="46" t="s">
        <v>38</v>
      </c>
      <c r="H675" s="48">
        <v>46233</v>
      </c>
      <c r="I675" s="48">
        <v>46259</v>
      </c>
      <c r="J675" s="44" t="s">
        <v>123</v>
      </c>
      <c r="K675" s="44" t="s">
        <v>116</v>
      </c>
      <c r="L675" s="50"/>
      <c r="M675" s="50"/>
      <c r="N675" s="50"/>
      <c r="O675" s="49"/>
      <c r="P675" s="50">
        <f t="shared" si="40"/>
        <v>0</v>
      </c>
      <c r="R675" s="51" t="str">
        <f t="shared" si="41"/>
        <v/>
      </c>
      <c r="T675" s="41"/>
      <c r="U675" s="29">
        <f>IF($C675&lt;&gt;"",COUNTIF($C$2:C675,C675),"")</f>
        <v>12</v>
      </c>
      <c r="V675" s="29" t="str">
        <f t="shared" si="42"/>
        <v>Prof. Dr. Deniz ÇAĞDAŞ AYVAZ§12</v>
      </c>
      <c r="W675" s="29" t="str">
        <f>IF(U675=1,COUNTIF($U$2:U675,1),"")</f>
        <v/>
      </c>
      <c r="X675" s="29" t="str">
        <f t="shared" si="43"/>
        <v/>
      </c>
      <c r="Y675" s="29">
        <f>IF(AND(LEFT($B675,7)="SBA 26/",$D675&lt;&gt;"",$F675&lt;&gt;""),COUNTIFS($D$2:$D675,$D675,$B$2:$B675,"SBA 26/*",$F$2:$F675,"&lt;&gt;"),"")</f>
        <v>114</v>
      </c>
      <c r="Z675" s="29" t="str">
        <f>IF(Y675=1,COUNTIF($Y$2:Y675,1),"")</f>
        <v/>
      </c>
      <c r="AA675" s="29">
        <f>IF(AND(LEFT($B675,7)="SBA 26/",$C675&lt;&gt;"",$F675&lt;&gt;""),COUNTIFS($C$2:$C675,$C675,$B$2:$B675,"SBA 26/*",$F$2:$F675,"&lt;&gt;"),"")</f>
        <v>12</v>
      </c>
      <c r="AB675" s="29" t="str">
        <f>IF(AA675=1,COUNTIF($AA$2:AA675,1),"")</f>
        <v/>
      </c>
    </row>
    <row r="676" spans="1:28" ht="78.75" customHeight="1" x14ac:dyDescent="0.2">
      <c r="A676" s="43" t="s">
        <v>3143</v>
      </c>
      <c r="B676" s="43" t="s">
        <v>3144</v>
      </c>
      <c r="C676" s="44" t="s">
        <v>379</v>
      </c>
      <c r="D676" s="44" t="s">
        <v>222</v>
      </c>
      <c r="E676" s="45" t="s">
        <v>2904</v>
      </c>
      <c r="F676" s="45" t="s">
        <v>3145</v>
      </c>
      <c r="G676" s="46" t="s">
        <v>38</v>
      </c>
      <c r="H676" s="48">
        <v>46233</v>
      </c>
      <c r="I676" s="48">
        <v>46259</v>
      </c>
      <c r="J676" s="44" t="s">
        <v>123</v>
      </c>
      <c r="K676" s="44" t="s">
        <v>116</v>
      </c>
      <c r="L676" s="50"/>
      <c r="M676" s="50"/>
      <c r="N676" s="50"/>
      <c r="O676" s="49"/>
      <c r="P676" s="50">
        <f t="shared" si="40"/>
        <v>0</v>
      </c>
      <c r="R676" s="51" t="str">
        <f t="shared" si="41"/>
        <v/>
      </c>
      <c r="T676" s="41"/>
      <c r="U676" s="29">
        <f>IF($C676&lt;&gt;"",COUNTIF($C$2:C676,C676),"")</f>
        <v>13</v>
      </c>
      <c r="V676" s="29" t="str">
        <f t="shared" si="42"/>
        <v>Prof. Dr. Deniz ÇAĞDAŞ AYVAZ§13</v>
      </c>
      <c r="W676" s="29" t="str">
        <f>IF(U676=1,COUNTIF($U$2:U676,1),"")</f>
        <v/>
      </c>
      <c r="X676" s="29" t="str">
        <f t="shared" si="43"/>
        <v/>
      </c>
      <c r="Y676" s="29">
        <f>IF(AND(LEFT($B676,7)="SBA 26/",$D676&lt;&gt;"",$F676&lt;&gt;""),COUNTIFS($D$2:$D676,$D676,$B$2:$B676,"SBA 26/*",$F$2:$F676,"&lt;&gt;"),"")</f>
        <v>115</v>
      </c>
      <c r="Z676" s="29" t="str">
        <f>IF(Y676=1,COUNTIF($Y$2:Y676,1),"")</f>
        <v/>
      </c>
      <c r="AA676" s="29">
        <f>IF(AND(LEFT($B676,7)="SBA 26/",$C676&lt;&gt;"",$F676&lt;&gt;""),COUNTIFS($C$2:$C676,$C676,$B$2:$B676,"SBA 26/*",$F$2:$F676,"&lt;&gt;"),"")</f>
        <v>13</v>
      </c>
      <c r="AB676" s="29" t="str">
        <f>IF(AA676=1,COUNTIF($AA$2:AA676,1),"")</f>
        <v/>
      </c>
    </row>
    <row r="677" spans="1:28" ht="110.25" customHeight="1" x14ac:dyDescent="0.2">
      <c r="A677" s="43" t="s">
        <v>3146</v>
      </c>
      <c r="B677" s="43" t="s">
        <v>3147</v>
      </c>
      <c r="C677" s="44" t="s">
        <v>2411</v>
      </c>
      <c r="D677" s="44" t="s">
        <v>222</v>
      </c>
      <c r="E677" s="45" t="s">
        <v>3148</v>
      </c>
      <c r="F677" s="45" t="s">
        <v>3149</v>
      </c>
      <c r="G677" s="46" t="s">
        <v>38</v>
      </c>
      <c r="H677" s="48">
        <v>46233</v>
      </c>
      <c r="I677" s="48">
        <v>46259</v>
      </c>
      <c r="J677" s="44" t="s">
        <v>100</v>
      </c>
      <c r="K677" s="44" t="s">
        <v>75</v>
      </c>
      <c r="L677" s="50"/>
      <c r="M677" s="50"/>
      <c r="N677" s="50"/>
      <c r="O677" s="49"/>
      <c r="P677" s="50">
        <f t="shared" si="40"/>
        <v>0</v>
      </c>
      <c r="R677" s="51" t="str">
        <f t="shared" si="41"/>
        <v/>
      </c>
      <c r="T677" s="41"/>
      <c r="U677" s="29">
        <f>IF($C677&lt;&gt;"",COUNTIF($C$2:C677,C677),"")</f>
        <v>3</v>
      </c>
      <c r="V677" s="29" t="str">
        <f t="shared" si="42"/>
        <v>Doç. Dr. Melis PEHLİVANTÜRK KIZILKAN§3</v>
      </c>
      <c r="W677" s="29" t="str">
        <f>IF(U677=1,COUNTIF($U$2:U677,1),"")</f>
        <v/>
      </c>
      <c r="X677" s="29" t="str">
        <f t="shared" si="43"/>
        <v/>
      </c>
      <c r="Y677" s="29">
        <f>IF(AND(LEFT($B677,7)="SBA 26/",$D677&lt;&gt;"",$F677&lt;&gt;""),COUNTIFS($D$2:$D677,$D677,$B$2:$B677,"SBA 26/*",$F$2:$F677,"&lt;&gt;"),"")</f>
        <v>116</v>
      </c>
      <c r="Z677" s="29" t="str">
        <f>IF(Y677=1,COUNTIF($Y$2:Y677,1),"")</f>
        <v/>
      </c>
      <c r="AA677" s="29">
        <f>IF(AND(LEFT($B677,7)="SBA 26/",$C677&lt;&gt;"",$F677&lt;&gt;""),COUNTIFS($C$2:$C677,$C677,$B$2:$B677,"SBA 26/*",$F$2:$F677,"&lt;&gt;"),"")</f>
        <v>3</v>
      </c>
      <c r="AB677" s="29" t="str">
        <f>IF(AA677=1,COUNTIF($AA$2:AA677,1),"")</f>
        <v/>
      </c>
    </row>
    <row r="678" spans="1:28" ht="78.75" customHeight="1" x14ac:dyDescent="0.2">
      <c r="A678" s="43" t="s">
        <v>3150</v>
      </c>
      <c r="B678" s="43" t="s">
        <v>3151</v>
      </c>
      <c r="C678" s="44" t="s">
        <v>1009</v>
      </c>
      <c r="D678" s="44" t="s">
        <v>222</v>
      </c>
      <c r="E678" s="45" t="s">
        <v>3152</v>
      </c>
      <c r="F678" s="45" t="s">
        <v>3153</v>
      </c>
      <c r="G678" s="46" t="s">
        <v>38</v>
      </c>
      <c r="H678" s="48">
        <v>46233</v>
      </c>
      <c r="I678" s="48">
        <v>46259</v>
      </c>
      <c r="J678" s="44" t="s">
        <v>75</v>
      </c>
      <c r="K678" s="44" t="s">
        <v>92</v>
      </c>
      <c r="L678" s="50"/>
      <c r="M678" s="50"/>
      <c r="N678" s="50"/>
      <c r="O678" s="49"/>
      <c r="P678" s="50">
        <f t="shared" si="40"/>
        <v>0</v>
      </c>
      <c r="R678" s="51" t="str">
        <f t="shared" si="41"/>
        <v/>
      </c>
      <c r="T678" s="41"/>
      <c r="U678" s="29">
        <f>IF($C678&lt;&gt;"",COUNTIF($C$2:C678,C678),"")</f>
        <v>3</v>
      </c>
      <c r="V678" s="29" t="str">
        <f t="shared" si="42"/>
        <v>Doç. Dr. Tekin AKSU§3</v>
      </c>
      <c r="W678" s="29" t="str">
        <f>IF(U678=1,COUNTIF($U$2:U678,1),"")</f>
        <v/>
      </c>
      <c r="X678" s="29" t="str">
        <f t="shared" si="43"/>
        <v/>
      </c>
      <c r="Y678" s="29">
        <f>IF(AND(LEFT($B678,7)="SBA 26/",$D678&lt;&gt;"",$F678&lt;&gt;""),COUNTIFS($D$2:$D678,$D678,$B$2:$B678,"SBA 26/*",$F$2:$F678,"&lt;&gt;"),"")</f>
        <v>117</v>
      </c>
      <c r="Z678" s="29" t="str">
        <f>IF(Y678=1,COUNTIF($Y$2:Y678,1),"")</f>
        <v/>
      </c>
      <c r="AA678" s="29">
        <f>IF(AND(LEFT($B678,7)="SBA 26/",$C678&lt;&gt;"",$F678&lt;&gt;""),COUNTIFS($C$2:$C678,$C678,$B$2:$B678,"SBA 26/*",$F$2:$F678,"&lt;&gt;"),"")</f>
        <v>3</v>
      </c>
      <c r="AB678" s="29" t="str">
        <f>IF(AA678=1,COUNTIF($AA$2:AA678,1),"")</f>
        <v/>
      </c>
    </row>
    <row r="679" spans="1:28" ht="63" customHeight="1" x14ac:dyDescent="0.2">
      <c r="A679" s="43" t="s">
        <v>3154</v>
      </c>
      <c r="B679" s="43" t="s">
        <v>3155</v>
      </c>
      <c r="C679" s="44" t="s">
        <v>3156</v>
      </c>
      <c r="D679" s="44" t="s">
        <v>222</v>
      </c>
      <c r="E679" s="45" t="s">
        <v>3157</v>
      </c>
      <c r="F679" s="45" t="s">
        <v>3158</v>
      </c>
      <c r="G679" s="46" t="s">
        <v>38</v>
      </c>
      <c r="H679" s="48">
        <v>46233</v>
      </c>
      <c r="I679" s="48">
        <v>46259</v>
      </c>
      <c r="J679" s="44" t="s">
        <v>108</v>
      </c>
      <c r="K679" s="44" t="s">
        <v>100</v>
      </c>
      <c r="L679" s="50"/>
      <c r="M679" s="50"/>
      <c r="N679" s="50"/>
      <c r="O679" s="49"/>
      <c r="P679" s="50">
        <f t="shared" si="40"/>
        <v>0</v>
      </c>
      <c r="R679" s="51" t="str">
        <f t="shared" si="41"/>
        <v/>
      </c>
      <c r="T679" s="41"/>
      <c r="U679" s="29">
        <f>IF($C679&lt;&gt;"",COUNTIF($C$2:C679,C679),"")</f>
        <v>1</v>
      </c>
      <c r="V679" s="29" t="str">
        <f t="shared" si="42"/>
        <v>Arş. Gör. Dr. İzzet Türkalp AKBAŞLI§1</v>
      </c>
      <c r="W679" s="29">
        <f>IF(U679=1,COUNTIF($U$2:U679,1),"")</f>
        <v>329</v>
      </c>
      <c r="X679" s="29">
        <f t="shared" si="43"/>
        <v>4</v>
      </c>
      <c r="Y679" s="29">
        <f>IF(AND(LEFT($B679,7)="SBA 26/",$D679&lt;&gt;"",$F679&lt;&gt;""),COUNTIFS($D$2:$D679,$D679,$B$2:$B679,"SBA 26/*",$F$2:$F679,"&lt;&gt;"),"")</f>
        <v>118</v>
      </c>
      <c r="Z679" s="29" t="str">
        <f>IF(Y679=1,COUNTIF($Y$2:Y679,1),"")</f>
        <v/>
      </c>
      <c r="AA679" s="29">
        <f>IF(AND(LEFT($B679,7)="SBA 26/",$C679&lt;&gt;"",$F679&lt;&gt;""),COUNTIFS($C$2:$C679,$C679,$B$2:$B679,"SBA 26/*",$F$2:$F679,"&lt;&gt;"),"")</f>
        <v>1</v>
      </c>
      <c r="AB679" s="29">
        <f>IF(AA679=1,COUNTIF($AA$2:AA679,1),"")</f>
        <v>329</v>
      </c>
    </row>
    <row r="680" spans="1:28" ht="63" customHeight="1" x14ac:dyDescent="0.2">
      <c r="A680" s="43" t="s">
        <v>3159</v>
      </c>
      <c r="B680" s="43" t="s">
        <v>3160</v>
      </c>
      <c r="C680" s="44" t="s">
        <v>358</v>
      </c>
      <c r="D680" s="44" t="s">
        <v>228</v>
      </c>
      <c r="E680" s="45" t="s">
        <v>3161</v>
      </c>
      <c r="F680" s="45" t="s">
        <v>3162</v>
      </c>
      <c r="G680" s="46" t="s">
        <v>38</v>
      </c>
      <c r="H680" s="48">
        <v>46233</v>
      </c>
      <c r="I680" s="48">
        <v>46259</v>
      </c>
      <c r="J680" s="44" t="s">
        <v>91</v>
      </c>
      <c r="K680" s="44" t="s">
        <v>123</v>
      </c>
      <c r="L680" s="50"/>
      <c r="M680" s="50"/>
      <c r="N680" s="50"/>
      <c r="O680" s="49"/>
      <c r="P680" s="50">
        <f t="shared" si="40"/>
        <v>0</v>
      </c>
      <c r="R680" s="51" t="str">
        <f t="shared" si="41"/>
        <v/>
      </c>
      <c r="T680" s="41"/>
      <c r="U680" s="29">
        <f>IF($C680&lt;&gt;"",COUNTIF($C$2:C680,C680),"")</f>
        <v>5</v>
      </c>
      <c r="V680" s="29" t="str">
        <f t="shared" si="42"/>
        <v>Doç. Dr. Erdem FADILOĞLU§5</v>
      </c>
      <c r="W680" s="29" t="str">
        <f>IF(U680=1,COUNTIF($U$2:U680,1),"")</f>
        <v/>
      </c>
      <c r="X680" s="29" t="str">
        <f t="shared" si="43"/>
        <v/>
      </c>
      <c r="Y680" s="29">
        <f>IF(AND(LEFT($B680,7)="SBA 26/",$D680&lt;&gt;"",$F680&lt;&gt;""),COUNTIFS($D$2:$D680,$D680,$B$2:$B680,"SBA 26/*",$F$2:$F680,"&lt;&gt;"),"")</f>
        <v>31</v>
      </c>
      <c r="Z680" s="29" t="str">
        <f>IF(Y680=1,COUNTIF($Y$2:Y680,1),"")</f>
        <v/>
      </c>
      <c r="AA680" s="29">
        <f>IF(AND(LEFT($B680,7)="SBA 26/",$C680&lt;&gt;"",$F680&lt;&gt;""),COUNTIFS($C$2:$C680,$C680,$B$2:$B680,"SBA 26/*",$F$2:$F680,"&lt;&gt;"),"")</f>
        <v>5</v>
      </c>
      <c r="AB680" s="29" t="str">
        <f>IF(AA680=1,COUNTIF($AA$2:AA680,1),"")</f>
        <v/>
      </c>
    </row>
    <row r="681" spans="1:28" ht="63" customHeight="1" x14ac:dyDescent="0.2">
      <c r="A681" s="43" t="s">
        <v>3163</v>
      </c>
      <c r="B681" s="43" t="s">
        <v>3164</v>
      </c>
      <c r="C681" s="44" t="s">
        <v>3055</v>
      </c>
      <c r="D681" s="44" t="s">
        <v>113</v>
      </c>
      <c r="E681" s="45" t="s">
        <v>3165</v>
      </c>
      <c r="F681" s="45" t="s">
        <v>3166</v>
      </c>
      <c r="G681" s="46" t="s">
        <v>38</v>
      </c>
      <c r="H681" s="48">
        <v>46233</v>
      </c>
      <c r="I681" s="48">
        <v>46259</v>
      </c>
      <c r="J681" s="44" t="s">
        <v>92</v>
      </c>
      <c r="K681" s="44" t="s">
        <v>91</v>
      </c>
      <c r="L681" s="50"/>
      <c r="M681" s="50"/>
      <c r="N681" s="50"/>
      <c r="O681" s="49"/>
      <c r="P681" s="50">
        <f t="shared" si="40"/>
        <v>0</v>
      </c>
      <c r="R681" s="51" t="str">
        <f t="shared" si="41"/>
        <v/>
      </c>
      <c r="T681" s="41"/>
      <c r="U681" s="29">
        <f>IF($C681&lt;&gt;"",COUNTIF($C$2:C681,C681),"")</f>
        <v>2</v>
      </c>
      <c r="V681" s="29" t="str">
        <f t="shared" si="42"/>
        <v>Prof. Dr. Ali AKDOĞAN§2</v>
      </c>
      <c r="W681" s="29" t="str">
        <f>IF(U681=1,COUNTIF($U$2:U681,1),"")</f>
        <v/>
      </c>
      <c r="X681" s="29" t="str">
        <f t="shared" si="43"/>
        <v/>
      </c>
      <c r="Y681" s="29">
        <f>IF(AND(LEFT($B681,7)="SBA 26/",$D681&lt;&gt;"",$F681&lt;&gt;""),COUNTIFS($D$2:$D681,$D681,$B$2:$B681,"SBA 26/*",$F$2:$F681,"&lt;&gt;"),"")</f>
        <v>120</v>
      </c>
      <c r="Z681" s="29" t="str">
        <f>IF(Y681=1,COUNTIF($Y$2:Y681,1),"")</f>
        <v/>
      </c>
      <c r="AA681" s="29">
        <f>IF(AND(LEFT($B681,7)="SBA 26/",$C681&lt;&gt;"",$F681&lt;&gt;""),COUNTIFS($C$2:$C681,$C681,$B$2:$B681,"SBA 26/*",$F$2:$F681,"&lt;&gt;"),"")</f>
        <v>2</v>
      </c>
      <c r="AB681" s="29" t="str">
        <f>IF(AA681=1,COUNTIF($AA$2:AA681,1),"")</f>
        <v/>
      </c>
    </row>
    <row r="682" spans="1:28" ht="63" customHeight="1" x14ac:dyDescent="0.2">
      <c r="A682" s="43" t="s">
        <v>3167</v>
      </c>
      <c r="B682" s="43" t="s">
        <v>3168</v>
      </c>
      <c r="C682" s="44" t="s">
        <v>87</v>
      </c>
      <c r="D682" s="44" t="s">
        <v>88</v>
      </c>
      <c r="E682" s="45" t="s">
        <v>3169</v>
      </c>
      <c r="F682" s="45" t="s">
        <v>3170</v>
      </c>
      <c r="G682" s="46" t="s">
        <v>38</v>
      </c>
      <c r="H682" s="48">
        <v>46233</v>
      </c>
      <c r="I682" s="48">
        <v>46259</v>
      </c>
      <c r="J682" s="44" t="s">
        <v>92</v>
      </c>
      <c r="K682" s="44" t="s">
        <v>91</v>
      </c>
      <c r="L682" s="50"/>
      <c r="M682" s="50"/>
      <c r="N682" s="50"/>
      <c r="O682" s="49"/>
      <c r="P682" s="50">
        <f t="shared" si="40"/>
        <v>0</v>
      </c>
      <c r="R682" s="51" t="str">
        <f t="shared" si="41"/>
        <v/>
      </c>
      <c r="T682" s="41"/>
      <c r="U682" s="29">
        <f>IF($C682&lt;&gt;"",COUNTIF($C$2:C682,C682),"")</f>
        <v>4</v>
      </c>
      <c r="V682" s="29" t="str">
        <f t="shared" si="42"/>
        <v>Doç. Dr. Gamze DURHAN§4</v>
      </c>
      <c r="W682" s="29" t="str">
        <f>IF(U682=1,COUNTIF($U$2:U682,1),"")</f>
        <v/>
      </c>
      <c r="X682" s="29" t="str">
        <f t="shared" si="43"/>
        <v/>
      </c>
      <c r="Y682" s="29">
        <f>IF(AND(LEFT($B682,7)="SBA 26/",$D682&lt;&gt;"",$F682&lt;&gt;""),COUNTIFS($D$2:$D682,$D682,$B$2:$B682,"SBA 26/*",$F$2:$F682,"&lt;&gt;"),"")</f>
        <v>23</v>
      </c>
      <c r="Z682" s="29" t="str">
        <f>IF(Y682=1,COUNTIF($Y$2:Y682,1),"")</f>
        <v/>
      </c>
      <c r="AA682" s="29">
        <f>IF(AND(LEFT($B682,7)="SBA 26/",$C682&lt;&gt;"",$F682&lt;&gt;""),COUNTIFS($C$2:$C682,$C682,$B$2:$B682,"SBA 26/*",$F$2:$F682,"&lt;&gt;"),"")</f>
        <v>4</v>
      </c>
      <c r="AB682" s="29" t="str">
        <f>IF(AA682=1,COUNTIF($AA$2:AA682,1),"")</f>
        <v/>
      </c>
    </row>
    <row r="683" spans="1:28" ht="78.75" customHeight="1" x14ac:dyDescent="0.2">
      <c r="A683" s="43" t="s">
        <v>3171</v>
      </c>
      <c r="B683" s="43" t="s">
        <v>3172</v>
      </c>
      <c r="C683" s="44" t="s">
        <v>1795</v>
      </c>
      <c r="D683" s="44" t="s">
        <v>113</v>
      </c>
      <c r="E683" s="45" t="s">
        <v>3173</v>
      </c>
      <c r="F683" s="45" t="s">
        <v>3174</v>
      </c>
      <c r="G683" s="46" t="s">
        <v>39</v>
      </c>
      <c r="H683" s="48">
        <v>46233</v>
      </c>
      <c r="I683" s="48">
        <v>46259</v>
      </c>
      <c r="J683" s="44" t="s">
        <v>116</v>
      </c>
      <c r="K683" s="44" t="s">
        <v>100</v>
      </c>
      <c r="L683" s="50"/>
      <c r="M683" s="50"/>
      <c r="N683" s="50"/>
      <c r="O683" s="49"/>
      <c r="P683" s="50">
        <f t="shared" si="40"/>
        <v>0</v>
      </c>
      <c r="R683" s="51" t="str">
        <f t="shared" si="41"/>
        <v/>
      </c>
      <c r="T683" s="41"/>
      <c r="U683" s="29">
        <f>IF($C683&lt;&gt;"",COUNTIF($C$2:C683,C683),"")</f>
        <v>5</v>
      </c>
      <c r="V683" s="29" t="str">
        <f t="shared" si="42"/>
        <v>Prof. Dr. Umut KALYONCU§5</v>
      </c>
      <c r="W683" s="29" t="str">
        <f>IF(U683=1,COUNTIF($U$2:U683,1),"")</f>
        <v/>
      </c>
      <c r="X683" s="29" t="str">
        <f t="shared" si="43"/>
        <v/>
      </c>
      <c r="Y683" s="29">
        <f>IF(AND(LEFT($B683,7)="SBA 26/",$D683&lt;&gt;"",$F683&lt;&gt;""),COUNTIFS($D$2:$D683,$D683,$B$2:$B683,"SBA 26/*",$F$2:$F683,"&lt;&gt;"),"")</f>
        <v>121</v>
      </c>
      <c r="Z683" s="29" t="str">
        <f>IF(Y683=1,COUNTIF($Y$2:Y683,1),"")</f>
        <v/>
      </c>
      <c r="AA683" s="29">
        <f>IF(AND(LEFT($B683,7)="SBA 26/",$C683&lt;&gt;"",$F683&lt;&gt;""),COUNTIFS($C$2:$C683,$C683,$B$2:$B683,"SBA 26/*",$F$2:$F683,"&lt;&gt;"),"")</f>
        <v>5</v>
      </c>
      <c r="AB683" s="29" t="str">
        <f>IF(AA683=1,COUNTIF($AA$2:AA683,1),"")</f>
        <v/>
      </c>
    </row>
    <row r="684" spans="1:28" ht="63" customHeight="1" x14ac:dyDescent="0.2">
      <c r="A684" s="43" t="s">
        <v>3175</v>
      </c>
      <c r="B684" s="43" t="s">
        <v>3176</v>
      </c>
      <c r="C684" s="44" t="s">
        <v>781</v>
      </c>
      <c r="D684" s="44" t="s">
        <v>222</v>
      </c>
      <c r="E684" s="45" t="s">
        <v>3177</v>
      </c>
      <c r="F684" s="45" t="s">
        <v>3178</v>
      </c>
      <c r="G684" s="46" t="s">
        <v>38</v>
      </c>
      <c r="H684" s="48">
        <v>46233</v>
      </c>
      <c r="I684" s="48">
        <v>46259</v>
      </c>
      <c r="J684" s="44" t="s">
        <v>91</v>
      </c>
      <c r="K684" s="44" t="s">
        <v>123</v>
      </c>
      <c r="L684" s="50"/>
      <c r="M684" s="50"/>
      <c r="N684" s="50"/>
      <c r="O684" s="49"/>
      <c r="P684" s="50">
        <f t="shared" si="40"/>
        <v>0</v>
      </c>
      <c r="R684" s="51" t="str">
        <f t="shared" si="41"/>
        <v/>
      </c>
      <c r="T684" s="41"/>
      <c r="U684" s="29">
        <f>IF($C684&lt;&gt;"",COUNTIF($C$2:C684,C684),"")</f>
        <v>2</v>
      </c>
      <c r="V684" s="29" t="str">
        <f t="shared" si="42"/>
        <v>Prof. Dr. Hülya DEMİR§2</v>
      </c>
      <c r="W684" s="29" t="str">
        <f>IF(U684=1,COUNTIF($U$2:U684,1),"")</f>
        <v/>
      </c>
      <c r="X684" s="29" t="str">
        <f t="shared" si="43"/>
        <v/>
      </c>
      <c r="Y684" s="29">
        <f>IF(AND(LEFT($B684,7)="SBA 26/",$D684&lt;&gt;"",$F684&lt;&gt;""),COUNTIFS($D$2:$D684,$D684,$B$2:$B684,"SBA 26/*",$F$2:$F684,"&lt;&gt;"),"")</f>
        <v>119</v>
      </c>
      <c r="Z684" s="29" t="str">
        <f>IF(Y684=1,COUNTIF($Y$2:Y684,1),"")</f>
        <v/>
      </c>
      <c r="AA684" s="29">
        <f>IF(AND(LEFT($B684,7)="SBA 26/",$C684&lt;&gt;"",$F684&lt;&gt;""),COUNTIFS($C$2:$C684,$C684,$B$2:$B684,"SBA 26/*",$F$2:$F684,"&lt;&gt;"),"")</f>
        <v>2</v>
      </c>
      <c r="AB684" s="29" t="str">
        <f>IF(AA684=1,COUNTIF($AA$2:AA684,1),"")</f>
        <v/>
      </c>
    </row>
    <row r="685" spans="1:28" ht="63" customHeight="1" x14ac:dyDescent="0.2">
      <c r="A685" s="43" t="s">
        <v>3179</v>
      </c>
      <c r="B685" s="43" t="s">
        <v>3180</v>
      </c>
      <c r="C685" s="44" t="s">
        <v>781</v>
      </c>
      <c r="D685" s="44" t="s">
        <v>222</v>
      </c>
      <c r="E685" s="45" t="s">
        <v>3181</v>
      </c>
      <c r="F685" s="45" t="s">
        <v>3182</v>
      </c>
      <c r="G685" s="46" t="s">
        <v>38</v>
      </c>
      <c r="H685" s="48">
        <v>46233</v>
      </c>
      <c r="I685" s="48">
        <v>46259</v>
      </c>
      <c r="J685" s="44" t="s">
        <v>91</v>
      </c>
      <c r="K685" s="44" t="s">
        <v>123</v>
      </c>
      <c r="L685" s="50"/>
      <c r="M685" s="50"/>
      <c r="N685" s="50"/>
      <c r="O685" s="49"/>
      <c r="P685" s="50">
        <f t="shared" si="40"/>
        <v>0</v>
      </c>
      <c r="R685" s="51" t="str">
        <f t="shared" si="41"/>
        <v/>
      </c>
      <c r="T685" s="41"/>
      <c r="U685" s="29">
        <f>IF($C685&lt;&gt;"",COUNTIF($C$2:C685,C685),"")</f>
        <v>3</v>
      </c>
      <c r="V685" s="29" t="str">
        <f t="shared" si="42"/>
        <v>Prof. Dr. Hülya DEMİR§3</v>
      </c>
      <c r="W685" s="29" t="str">
        <f>IF(U685=1,COUNTIF($U$2:U685,1),"")</f>
        <v/>
      </c>
      <c r="X685" s="29" t="str">
        <f t="shared" si="43"/>
        <v/>
      </c>
      <c r="Y685" s="29">
        <f>IF(AND(LEFT($B685,7)="SBA 26/",$D685&lt;&gt;"",$F685&lt;&gt;""),COUNTIFS($D$2:$D685,$D685,$B$2:$B685,"SBA 26/*",$F$2:$F685,"&lt;&gt;"),"")</f>
        <v>120</v>
      </c>
      <c r="Z685" s="29" t="str">
        <f>IF(Y685=1,COUNTIF($Y$2:Y685,1),"")</f>
        <v/>
      </c>
      <c r="AA685" s="29">
        <f>IF(AND(LEFT($B685,7)="SBA 26/",$C685&lt;&gt;"",$F685&lt;&gt;""),COUNTIFS($C$2:$C685,$C685,$B$2:$B685,"SBA 26/*",$F$2:$F685,"&lt;&gt;"),"")</f>
        <v>3</v>
      </c>
      <c r="AB685" s="29" t="str">
        <f>IF(AA685=1,COUNTIF($AA$2:AA685,1),"")</f>
        <v/>
      </c>
    </row>
    <row r="686" spans="1:28" ht="47.25" customHeight="1" x14ac:dyDescent="0.2">
      <c r="A686" s="43" t="s">
        <v>3183</v>
      </c>
      <c r="B686" s="43" t="s">
        <v>3184</v>
      </c>
      <c r="C686" s="44" t="s">
        <v>1584</v>
      </c>
      <c r="D686" s="44" t="s">
        <v>113</v>
      </c>
      <c r="E686" s="45" t="s">
        <v>3185</v>
      </c>
      <c r="F686" s="45" t="s">
        <v>3186</v>
      </c>
      <c r="G686" s="46" t="s">
        <v>38</v>
      </c>
      <c r="H686" s="48">
        <v>46233</v>
      </c>
      <c r="I686" s="48">
        <v>46259</v>
      </c>
      <c r="J686" s="44" t="s">
        <v>75</v>
      </c>
      <c r="K686" s="44" t="s">
        <v>100</v>
      </c>
      <c r="L686" s="50"/>
      <c r="M686" s="50"/>
      <c r="N686" s="50"/>
      <c r="O686" s="49"/>
      <c r="P686" s="50">
        <f t="shared" si="40"/>
        <v>0</v>
      </c>
      <c r="R686" s="51" t="str">
        <f t="shared" si="41"/>
        <v/>
      </c>
      <c r="T686" s="41"/>
      <c r="U686" s="29">
        <f>IF($C686&lt;&gt;"",COUNTIF($C$2:C686,C686),"")</f>
        <v>8</v>
      </c>
      <c r="V686" s="29" t="str">
        <f t="shared" si="42"/>
        <v>Doç. Dr. Cafer BALCI§8</v>
      </c>
      <c r="W686" s="29" t="str">
        <f>IF(U686=1,COUNTIF($U$2:U686,1),"")</f>
        <v/>
      </c>
      <c r="X686" s="29" t="str">
        <f t="shared" si="43"/>
        <v/>
      </c>
      <c r="Y686" s="29">
        <f>IF(AND(LEFT($B686,7)="SBA 26/",$D686&lt;&gt;"",$F686&lt;&gt;""),COUNTIFS($D$2:$D686,$D686,$B$2:$B686,"SBA 26/*",$F$2:$F686,"&lt;&gt;"),"")</f>
        <v>122</v>
      </c>
      <c r="Z686" s="29" t="str">
        <f>IF(Y686=1,COUNTIF($Y$2:Y686,1),"")</f>
        <v/>
      </c>
      <c r="AA686" s="29">
        <f>IF(AND(LEFT($B686,7)="SBA 26/",$C686&lt;&gt;"",$F686&lt;&gt;""),COUNTIFS($C$2:$C686,$C686,$B$2:$B686,"SBA 26/*",$F$2:$F686,"&lt;&gt;"),"")</f>
        <v>8</v>
      </c>
      <c r="AB686" s="29" t="str">
        <f>IF(AA686=1,COUNTIF($AA$2:AA686,1),"")</f>
        <v/>
      </c>
    </row>
    <row r="687" spans="1:28" ht="47.25" customHeight="1" x14ac:dyDescent="0.2">
      <c r="A687" s="43" t="s">
        <v>3187</v>
      </c>
      <c r="B687" s="43" t="s">
        <v>3188</v>
      </c>
      <c r="C687" s="44" t="s">
        <v>2939</v>
      </c>
      <c r="D687" s="44" t="s">
        <v>88</v>
      </c>
      <c r="E687" s="45" t="s">
        <v>3189</v>
      </c>
      <c r="F687" s="45" t="s">
        <v>3190</v>
      </c>
      <c r="G687" s="46" t="s">
        <v>38</v>
      </c>
      <c r="H687" s="48">
        <v>46233</v>
      </c>
      <c r="I687" s="48">
        <v>46259</v>
      </c>
      <c r="J687" s="44" t="s">
        <v>92</v>
      </c>
      <c r="K687" s="44" t="s">
        <v>116</v>
      </c>
      <c r="L687" s="50"/>
      <c r="M687" s="50"/>
      <c r="N687" s="50"/>
      <c r="O687" s="49"/>
      <c r="P687" s="50">
        <f t="shared" si="40"/>
        <v>0</v>
      </c>
      <c r="R687" s="51" t="str">
        <f t="shared" si="41"/>
        <v/>
      </c>
      <c r="T687" s="41"/>
      <c r="U687" s="29">
        <f>IF($C687&lt;&gt;"",COUNTIF($C$2:C687,C687),"")</f>
        <v>2</v>
      </c>
      <c r="V687" s="29" t="str">
        <f t="shared" si="42"/>
        <v>Dr. Öğr. Üyesi Sinan BALCI§2</v>
      </c>
      <c r="W687" s="29" t="str">
        <f>IF(U687=1,COUNTIF($U$2:U687,1),"")</f>
        <v/>
      </c>
      <c r="X687" s="29" t="str">
        <f t="shared" si="43"/>
        <v/>
      </c>
      <c r="Y687" s="29">
        <f>IF(AND(LEFT($B687,7)="SBA 26/",$D687&lt;&gt;"",$F687&lt;&gt;""),COUNTIFS($D$2:$D687,$D687,$B$2:$B687,"SBA 26/*",$F$2:$F687,"&lt;&gt;"),"")</f>
        <v>24</v>
      </c>
      <c r="Z687" s="29" t="str">
        <f>IF(Y687=1,COUNTIF($Y$2:Y687,1),"")</f>
        <v/>
      </c>
      <c r="AA687" s="29">
        <f>IF(AND(LEFT($B687,7)="SBA 26/",$C687&lt;&gt;"",$F687&lt;&gt;""),COUNTIFS($C$2:$C687,$C687,$B$2:$B687,"SBA 26/*",$F$2:$F687,"&lt;&gt;"),"")</f>
        <v>2</v>
      </c>
      <c r="AB687" s="29" t="str">
        <f>IF(AA687=1,COUNTIF($AA$2:AA687,1),"")</f>
        <v/>
      </c>
    </row>
    <row r="688" spans="1:28" ht="94.5" customHeight="1" x14ac:dyDescent="0.2">
      <c r="A688" s="43" t="s">
        <v>3191</v>
      </c>
      <c r="B688" s="43" t="s">
        <v>3192</v>
      </c>
      <c r="C688" s="44" t="s">
        <v>3073</v>
      </c>
      <c r="D688" s="44" t="s">
        <v>222</v>
      </c>
      <c r="E688" s="45" t="s">
        <v>3193</v>
      </c>
      <c r="F688" s="45" t="s">
        <v>3194</v>
      </c>
      <c r="G688" s="46" t="s">
        <v>38</v>
      </c>
      <c r="H688" s="48">
        <v>46233</v>
      </c>
      <c r="I688" s="48">
        <v>46259</v>
      </c>
      <c r="J688" s="44" t="s">
        <v>116</v>
      </c>
      <c r="K688" s="44" t="s">
        <v>75</v>
      </c>
      <c r="L688" s="50"/>
      <c r="M688" s="50"/>
      <c r="N688" s="50"/>
      <c r="O688" s="49"/>
      <c r="P688" s="50">
        <f t="shared" si="40"/>
        <v>0</v>
      </c>
      <c r="R688" s="51" t="str">
        <f t="shared" si="41"/>
        <v/>
      </c>
      <c r="T688" s="41"/>
      <c r="U688" s="29">
        <f>IF($C688&lt;&gt;"",COUNTIF($C$2:C688,C688),"")</f>
        <v>3</v>
      </c>
      <c r="V688" s="29" t="str">
        <f t="shared" si="42"/>
        <v>Prof. Dr. Özge UYSAL SOYER§3</v>
      </c>
      <c r="W688" s="29" t="str">
        <f>IF(U688=1,COUNTIF($U$2:U688,1),"")</f>
        <v/>
      </c>
      <c r="X688" s="29" t="str">
        <f t="shared" si="43"/>
        <v/>
      </c>
      <c r="Y688" s="29">
        <f>IF(AND(LEFT($B688,7)="SBA 26/",$D688&lt;&gt;"",$F688&lt;&gt;""),COUNTIFS($D$2:$D688,$D688,$B$2:$B688,"SBA 26/*",$F$2:$F688,"&lt;&gt;"),"")</f>
        <v>121</v>
      </c>
      <c r="Z688" s="29" t="str">
        <f>IF(Y688=1,COUNTIF($Y$2:Y688,1),"")</f>
        <v/>
      </c>
      <c r="AA688" s="29">
        <f>IF(AND(LEFT($B688,7)="SBA 26/",$C688&lt;&gt;"",$F688&lt;&gt;""),COUNTIFS($C$2:$C688,$C688,$B$2:$B688,"SBA 26/*",$F$2:$F688,"&lt;&gt;"),"")</f>
        <v>3</v>
      </c>
      <c r="AB688" s="29" t="str">
        <f>IF(AA688=1,COUNTIF($AA$2:AA688,1),"")</f>
        <v/>
      </c>
    </row>
    <row r="689" spans="1:28" ht="63" customHeight="1" x14ac:dyDescent="0.2">
      <c r="A689" s="43" t="s">
        <v>3195</v>
      </c>
      <c r="B689" s="43" t="s">
        <v>3196</v>
      </c>
      <c r="C689" s="44" t="s">
        <v>3197</v>
      </c>
      <c r="D689" s="44" t="s">
        <v>291</v>
      </c>
      <c r="E689" s="45" t="s">
        <v>3198</v>
      </c>
      <c r="F689" s="45" t="s">
        <v>3199</v>
      </c>
      <c r="G689" s="46" t="s">
        <v>38</v>
      </c>
      <c r="H689" s="48">
        <v>46233</v>
      </c>
      <c r="I689" s="48">
        <v>46259</v>
      </c>
      <c r="J689" s="44" t="s">
        <v>91</v>
      </c>
      <c r="K689" s="44" t="s">
        <v>92</v>
      </c>
      <c r="L689" s="50"/>
      <c r="M689" s="50"/>
      <c r="N689" s="50"/>
      <c r="O689" s="49"/>
      <c r="P689" s="50">
        <f t="shared" si="40"/>
        <v>0</v>
      </c>
      <c r="R689" s="51" t="str">
        <f t="shared" si="41"/>
        <v/>
      </c>
      <c r="T689" s="41"/>
      <c r="U689" s="29">
        <f>IF($C689&lt;&gt;"",COUNTIF($C$2:C689,C689),"")</f>
        <v>1</v>
      </c>
      <c r="V689" s="29" t="str">
        <f t="shared" si="42"/>
        <v>Prof. Dr. Oğuz KUŞCU§1</v>
      </c>
      <c r="W689" s="29">
        <f>IF(U689=1,COUNTIF($U$2:U689,1),"")</f>
        <v>330</v>
      </c>
      <c r="X689" s="29">
        <f t="shared" si="43"/>
        <v>287</v>
      </c>
      <c r="Y689" s="29">
        <f>IF(AND(LEFT($B689,7)="SBA 26/",$D689&lt;&gt;"",$F689&lt;&gt;""),COUNTIFS($D$2:$D689,$D689,$B$2:$B689,"SBA 26/*",$F$2:$F689,"&lt;&gt;"),"")</f>
        <v>15</v>
      </c>
      <c r="Z689" s="29" t="str">
        <f>IF(Y689=1,COUNTIF($Y$2:Y689,1),"")</f>
        <v/>
      </c>
      <c r="AA689" s="29">
        <f>IF(AND(LEFT($B689,7)="SBA 26/",$C689&lt;&gt;"",$F689&lt;&gt;""),COUNTIFS($C$2:$C689,$C689,$B$2:$B689,"SBA 26/*",$F$2:$F689,"&lt;&gt;"),"")</f>
        <v>1</v>
      </c>
      <c r="AB689" s="29">
        <f>IF(AA689=1,COUNTIF($AA$2:AA689,1),"")</f>
        <v>330</v>
      </c>
    </row>
    <row r="690" spans="1:28" ht="94.5" customHeight="1" x14ac:dyDescent="0.2">
      <c r="A690" s="43" t="s">
        <v>3200</v>
      </c>
      <c r="B690" s="43" t="s">
        <v>3201</v>
      </c>
      <c r="C690" s="44" t="s">
        <v>3202</v>
      </c>
      <c r="D690" s="44" t="s">
        <v>3203</v>
      </c>
      <c r="E690" s="45" t="s">
        <v>3204</v>
      </c>
      <c r="F690" s="45" t="s">
        <v>3205</v>
      </c>
      <c r="G690" s="46" t="s">
        <v>39</v>
      </c>
      <c r="H690" s="48">
        <v>46233</v>
      </c>
      <c r="I690" s="48">
        <v>46259</v>
      </c>
      <c r="J690" s="44" t="s">
        <v>91</v>
      </c>
      <c r="K690" s="44" t="s">
        <v>116</v>
      </c>
      <c r="L690" s="50"/>
      <c r="M690" s="50"/>
      <c r="N690" s="50"/>
      <c r="O690" s="49"/>
      <c r="P690" s="50">
        <f t="shared" si="40"/>
        <v>0</v>
      </c>
      <c r="R690" s="51" t="str">
        <f t="shared" si="41"/>
        <v/>
      </c>
      <c r="T690" s="41"/>
      <c r="U690" s="29">
        <f>IF($C690&lt;&gt;"",COUNTIF($C$2:C690,C690),"")</f>
        <v>1</v>
      </c>
      <c r="V690" s="29" t="str">
        <f t="shared" si="42"/>
        <v>Prof. Dr. Sadi KAPLAN§1</v>
      </c>
      <c r="W690" s="29">
        <f>IF(U690=1,COUNTIF($U$2:U690,1),"")</f>
        <v>331</v>
      </c>
      <c r="X690" s="29">
        <f t="shared" si="43"/>
        <v>307</v>
      </c>
      <c r="Y690" s="29">
        <f>IF(AND(LEFT($B690,7)="SBA 26/",$D690&lt;&gt;"",$F690&lt;&gt;""),COUNTIFS($D$2:$D690,$D690,$B$2:$B690,"SBA 26/*",$F$2:$F690,"&lt;&gt;"),"")</f>
        <v>1</v>
      </c>
      <c r="Z690" s="29">
        <f>IF(Y690=1,COUNTIF($Y$2:Y690,1),"")</f>
        <v>81</v>
      </c>
      <c r="AA690" s="29">
        <f>IF(AND(LEFT($B690,7)="SBA 26/",$C690&lt;&gt;"",$F690&lt;&gt;""),COUNTIFS($C$2:$C690,$C690,$B$2:$B690,"SBA 26/*",$F$2:$F690,"&lt;&gt;"),"")</f>
        <v>1</v>
      </c>
      <c r="AB690" s="29">
        <f>IF(AA690=1,COUNTIF($AA$2:AA690,1),"")</f>
        <v>331</v>
      </c>
    </row>
    <row r="691" spans="1:28" ht="63" customHeight="1" x14ac:dyDescent="0.2">
      <c r="A691" s="43" t="s">
        <v>3206</v>
      </c>
      <c r="B691" s="43" t="s">
        <v>3207</v>
      </c>
      <c r="C691" s="44" t="s">
        <v>3208</v>
      </c>
      <c r="D691" s="44" t="s">
        <v>397</v>
      </c>
      <c r="E691" s="45" t="s">
        <v>3209</v>
      </c>
      <c r="F691" s="45" t="s">
        <v>3210</v>
      </c>
      <c r="G691" s="46" t="s">
        <v>38</v>
      </c>
      <c r="H691" s="48">
        <v>46233</v>
      </c>
      <c r="I691" s="48">
        <v>46259</v>
      </c>
      <c r="J691" s="44" t="s">
        <v>91</v>
      </c>
      <c r="K691" s="44" t="s">
        <v>100</v>
      </c>
      <c r="L691" s="50"/>
      <c r="M691" s="50"/>
      <c r="N691" s="50"/>
      <c r="O691" s="49"/>
      <c r="P691" s="50">
        <f t="shared" si="40"/>
        <v>0</v>
      </c>
      <c r="R691" s="51" t="str">
        <f t="shared" si="41"/>
        <v/>
      </c>
      <c r="T691" s="41"/>
      <c r="U691" s="29">
        <f>IF($C691&lt;&gt;"",COUNTIF($C$2:C691,C691),"")</f>
        <v>1</v>
      </c>
      <c r="V691" s="29" t="str">
        <f t="shared" si="42"/>
        <v>Doç. Dr. Nadir YALÇIN§1</v>
      </c>
      <c r="W691" s="29">
        <f>IF(U691=1,COUNTIF($U$2:U691,1),"")</f>
        <v>332</v>
      </c>
      <c r="X691" s="29">
        <f t="shared" si="43"/>
        <v>86</v>
      </c>
      <c r="Y691" s="29">
        <f>IF(AND(LEFT($B691,7)="SBA 26/",$D691&lt;&gt;"",$F691&lt;&gt;""),COUNTIFS($D$2:$D691,$D691,$B$2:$B691,"SBA 26/*",$F$2:$F691,"&lt;&gt;"),"")</f>
        <v>19</v>
      </c>
      <c r="Z691" s="29" t="str">
        <f>IF(Y691=1,COUNTIF($Y$2:Y691,1),"")</f>
        <v/>
      </c>
      <c r="AA691" s="29">
        <f>IF(AND(LEFT($B691,7)="SBA 26/",$C691&lt;&gt;"",$F691&lt;&gt;""),COUNTIFS($C$2:$C691,$C691,$B$2:$B691,"SBA 26/*",$F$2:$F691,"&lt;&gt;"),"")</f>
        <v>1</v>
      </c>
      <c r="AB691" s="29">
        <f>IF(AA691=1,COUNTIF($AA$2:AA691,1),"")</f>
        <v>332</v>
      </c>
    </row>
    <row r="692" spans="1:28" ht="94.5" customHeight="1" x14ac:dyDescent="0.2">
      <c r="A692" s="43" t="s">
        <v>3211</v>
      </c>
      <c r="B692" s="43" t="s">
        <v>3212</v>
      </c>
      <c r="C692" s="44" t="s">
        <v>3213</v>
      </c>
      <c r="D692" s="44" t="s">
        <v>3203</v>
      </c>
      <c r="E692" s="45" t="s">
        <v>3214</v>
      </c>
      <c r="F692" s="45" t="s">
        <v>3215</v>
      </c>
      <c r="G692" s="46" t="s">
        <v>39</v>
      </c>
      <c r="H692" s="48">
        <v>46233</v>
      </c>
      <c r="I692" s="48">
        <v>46259</v>
      </c>
      <c r="J692" s="44" t="s">
        <v>123</v>
      </c>
      <c r="K692" s="44" t="s">
        <v>108</v>
      </c>
      <c r="L692" s="50"/>
      <c r="M692" s="50"/>
      <c r="N692" s="50"/>
      <c r="O692" s="49"/>
      <c r="P692" s="50">
        <f t="shared" si="40"/>
        <v>0</v>
      </c>
      <c r="R692" s="51" t="str">
        <f t="shared" si="41"/>
        <v/>
      </c>
      <c r="T692" s="41"/>
      <c r="U692" s="29">
        <f>IF($C692&lt;&gt;"",COUNTIF($C$2:C692,C692),"")</f>
        <v>1</v>
      </c>
      <c r="V692" s="29" t="str">
        <f t="shared" si="42"/>
        <v>Prof. Dr. Mustafa Kerem VURAL§1</v>
      </c>
      <c r="W692" s="29">
        <f>IF(U692=1,COUNTIF($U$2:U692,1),"")</f>
        <v>333</v>
      </c>
      <c r="X692" s="29">
        <f t="shared" si="43"/>
        <v>279</v>
      </c>
      <c r="Y692" s="29">
        <f>IF(AND(LEFT($B692,7)="SBA 26/",$D692&lt;&gt;"",$F692&lt;&gt;""),COUNTIFS($D$2:$D692,$D692,$B$2:$B692,"SBA 26/*",$F$2:$F692,"&lt;&gt;"),"")</f>
        <v>2</v>
      </c>
      <c r="Z692" s="29" t="str">
        <f>IF(Y692=1,COUNTIF($Y$2:Y692,1),"")</f>
        <v/>
      </c>
      <c r="AA692" s="29">
        <f>IF(AND(LEFT($B692,7)="SBA 26/",$C692&lt;&gt;"",$F692&lt;&gt;""),COUNTIFS($C$2:$C692,$C692,$B$2:$B692,"SBA 26/*",$F$2:$F692,"&lt;&gt;"),"")</f>
        <v>1</v>
      </c>
      <c r="AB692" s="29">
        <f>IF(AA692=1,COUNTIF($AA$2:AA692,1),"")</f>
        <v>333</v>
      </c>
    </row>
    <row r="693" spans="1:28" ht="78.75" customHeight="1" x14ac:dyDescent="0.2">
      <c r="A693" s="43" t="s">
        <v>3216</v>
      </c>
      <c r="B693" s="43" t="s">
        <v>3217</v>
      </c>
      <c r="C693" s="44" t="s">
        <v>175</v>
      </c>
      <c r="D693" s="44" t="s">
        <v>169</v>
      </c>
      <c r="E693" s="45" t="s">
        <v>3218</v>
      </c>
      <c r="F693" s="45" t="s">
        <v>3219</v>
      </c>
      <c r="G693" s="46" t="s">
        <v>38</v>
      </c>
      <c r="H693" s="48">
        <v>46233</v>
      </c>
      <c r="I693" s="48">
        <v>46259</v>
      </c>
      <c r="J693" s="44" t="s">
        <v>75</v>
      </c>
      <c r="K693" s="44" t="s">
        <v>100</v>
      </c>
      <c r="L693" s="50"/>
      <c r="M693" s="50"/>
      <c r="N693" s="50"/>
      <c r="O693" s="49"/>
      <c r="P693" s="50">
        <f t="shared" si="40"/>
        <v>0</v>
      </c>
      <c r="R693" s="51" t="str">
        <f t="shared" si="41"/>
        <v/>
      </c>
      <c r="T693" s="41"/>
      <c r="U693" s="29">
        <f>IF($C693&lt;&gt;"",COUNTIF($C$2:C693,C693),"")</f>
        <v>6</v>
      </c>
      <c r="V693" s="29" t="str">
        <f t="shared" si="42"/>
        <v>Prof. Dr. Gül KARAKAYA§6</v>
      </c>
      <c r="W693" s="29" t="str">
        <f>IF(U693=1,COUNTIF($U$2:U693,1),"")</f>
        <v/>
      </c>
      <c r="X693" s="29" t="str">
        <f t="shared" si="43"/>
        <v/>
      </c>
      <c r="Y693" s="29">
        <f>IF(AND(LEFT($B693,7)="SBA 26/",$D693&lt;&gt;"",$F693&lt;&gt;""),COUNTIFS($D$2:$D693,$D693,$B$2:$B693,"SBA 26/*",$F$2:$F693,"&lt;&gt;"),"")</f>
        <v>17</v>
      </c>
      <c r="Z693" s="29" t="str">
        <f>IF(Y693=1,COUNTIF($Y$2:Y693,1),"")</f>
        <v/>
      </c>
      <c r="AA693" s="29">
        <f>IF(AND(LEFT($B693,7)="SBA 26/",$C693&lt;&gt;"",$F693&lt;&gt;""),COUNTIFS($C$2:$C693,$C693,$B$2:$B693,"SBA 26/*",$F$2:$F693,"&lt;&gt;"),"")</f>
        <v>6</v>
      </c>
      <c r="AB693" s="29" t="str">
        <f>IF(AA693=1,COUNTIF($AA$2:AA693,1),"")</f>
        <v/>
      </c>
    </row>
    <row r="694" spans="1:28" ht="78.75" customHeight="1" x14ac:dyDescent="0.2">
      <c r="A694" s="43" t="s">
        <v>3220</v>
      </c>
      <c r="B694" s="43" t="s">
        <v>3221</v>
      </c>
      <c r="C694" s="44" t="s">
        <v>396</v>
      </c>
      <c r="D694" s="44" t="s">
        <v>397</v>
      </c>
      <c r="E694" s="45" t="s">
        <v>3222</v>
      </c>
      <c r="F694" s="45" t="s">
        <v>3223</v>
      </c>
      <c r="G694" s="46" t="s">
        <v>38</v>
      </c>
      <c r="H694" s="48">
        <v>46233</v>
      </c>
      <c r="I694" s="48">
        <v>46259</v>
      </c>
      <c r="J694" s="44" t="s">
        <v>75</v>
      </c>
      <c r="K694" s="44" t="s">
        <v>100</v>
      </c>
      <c r="L694" s="50"/>
      <c r="M694" s="50"/>
      <c r="N694" s="50"/>
      <c r="O694" s="49"/>
      <c r="P694" s="50">
        <f t="shared" si="40"/>
        <v>0</v>
      </c>
      <c r="R694" s="51" t="str">
        <f t="shared" si="41"/>
        <v/>
      </c>
      <c r="T694" s="41"/>
      <c r="U694" s="29">
        <f>IF($C694&lt;&gt;"",COUNTIF($C$2:C694,C694),"")</f>
        <v>9</v>
      </c>
      <c r="V694" s="29" t="str">
        <f t="shared" si="42"/>
        <v>Prof. Dr. Salih Kutay DEMİRKAN§9</v>
      </c>
      <c r="W694" s="29" t="str">
        <f>IF(U694=1,COUNTIF($U$2:U694,1),"")</f>
        <v/>
      </c>
      <c r="X694" s="29" t="str">
        <f t="shared" si="43"/>
        <v/>
      </c>
      <c r="Y694" s="29">
        <f>IF(AND(LEFT($B694,7)="SBA 26/",$D694&lt;&gt;"",$F694&lt;&gt;""),COUNTIFS($D$2:$D694,$D694,$B$2:$B694,"SBA 26/*",$F$2:$F694,"&lt;&gt;"),"")</f>
        <v>20</v>
      </c>
      <c r="Z694" s="29" t="str">
        <f>IF(Y694=1,COUNTIF($Y$2:Y694,1),"")</f>
        <v/>
      </c>
      <c r="AA694" s="29">
        <f>IF(AND(LEFT($B694,7)="SBA 26/",$C694&lt;&gt;"",$F694&lt;&gt;""),COUNTIFS($C$2:$C694,$C694,$B$2:$B694,"SBA 26/*",$F$2:$F694,"&lt;&gt;"),"")</f>
        <v>9</v>
      </c>
      <c r="AB694" s="29" t="str">
        <f>IF(AA694=1,COUNTIF($AA$2:AA694,1),"")</f>
        <v/>
      </c>
    </row>
    <row r="695" spans="1:28" ht="63" customHeight="1" x14ac:dyDescent="0.2">
      <c r="A695" s="43" t="s">
        <v>3224</v>
      </c>
      <c r="B695" s="43" t="s">
        <v>3225</v>
      </c>
      <c r="C695" s="44" t="s">
        <v>1052</v>
      </c>
      <c r="D695" s="44" t="s">
        <v>113</v>
      </c>
      <c r="E695" s="45" t="s">
        <v>1642</v>
      </c>
      <c r="F695" s="45" t="s">
        <v>3226</v>
      </c>
      <c r="G695" s="46" t="s">
        <v>38</v>
      </c>
      <c r="H695" s="48">
        <v>46233</v>
      </c>
      <c r="I695" s="48">
        <v>46259</v>
      </c>
      <c r="J695" s="44" t="s">
        <v>108</v>
      </c>
      <c r="K695" s="44" t="s">
        <v>116</v>
      </c>
      <c r="L695" s="50"/>
      <c r="M695" s="50"/>
      <c r="N695" s="50"/>
      <c r="O695" s="49"/>
      <c r="P695" s="50">
        <f t="shared" si="40"/>
        <v>0</v>
      </c>
      <c r="R695" s="51" t="str">
        <f t="shared" si="41"/>
        <v/>
      </c>
      <c r="T695" s="41"/>
      <c r="U695" s="29">
        <f>IF($C695&lt;&gt;"",COUNTIF($C$2:C695,C695),"")</f>
        <v>8</v>
      </c>
      <c r="V695" s="29" t="str">
        <f t="shared" si="42"/>
        <v>Prof. Dr. Mustafa CANKURTARAN§8</v>
      </c>
      <c r="W695" s="29" t="str">
        <f>IF(U695=1,COUNTIF($U$2:U695,1),"")</f>
        <v/>
      </c>
      <c r="X695" s="29" t="str">
        <f t="shared" si="43"/>
        <v/>
      </c>
      <c r="Y695" s="29">
        <f>IF(AND(LEFT($B695,7)="SBA 26/",$D695&lt;&gt;"",$F695&lt;&gt;""),COUNTIFS($D$2:$D695,$D695,$B$2:$B695,"SBA 26/*",$F$2:$F695,"&lt;&gt;"),"")</f>
        <v>123</v>
      </c>
      <c r="Z695" s="29" t="str">
        <f>IF(Y695=1,COUNTIF($Y$2:Y695,1),"")</f>
        <v/>
      </c>
      <c r="AA695" s="29">
        <f>IF(AND(LEFT($B695,7)="SBA 26/",$C695&lt;&gt;"",$F695&lt;&gt;""),COUNTIFS($C$2:$C695,$C695,$B$2:$B695,"SBA 26/*",$F$2:$F695,"&lt;&gt;"),"")</f>
        <v>8</v>
      </c>
      <c r="AB695" s="29" t="str">
        <f>IF(AA695=1,COUNTIF($AA$2:AA695,1),"")</f>
        <v/>
      </c>
    </row>
    <row r="696" spans="1:28" ht="48.75" customHeight="1" x14ac:dyDescent="0.2">
      <c r="A696" s="43" t="s">
        <v>3227</v>
      </c>
      <c r="B696" s="43" t="s">
        <v>3228</v>
      </c>
      <c r="C696" s="44" t="s">
        <v>403</v>
      </c>
      <c r="D696" s="44" t="s">
        <v>404</v>
      </c>
      <c r="E696" s="45" t="s">
        <v>3229</v>
      </c>
      <c r="F696" s="45" t="s">
        <v>3230</v>
      </c>
      <c r="G696" s="46" t="s">
        <v>39</v>
      </c>
      <c r="H696" s="48">
        <v>46233</v>
      </c>
      <c r="I696" s="48">
        <v>46259</v>
      </c>
      <c r="J696" s="44" t="s">
        <v>92</v>
      </c>
      <c r="K696" s="44" t="s">
        <v>91</v>
      </c>
      <c r="L696" s="50"/>
      <c r="M696" s="50"/>
      <c r="N696" s="50"/>
      <c r="O696" s="49"/>
      <c r="P696" s="50">
        <f t="shared" si="40"/>
        <v>0</v>
      </c>
      <c r="R696" s="51" t="str">
        <f t="shared" si="41"/>
        <v/>
      </c>
      <c r="T696" s="41"/>
      <c r="U696" s="29">
        <f>IF($C696&lt;&gt;"",COUNTIF($C$2:C696,C696),"")</f>
        <v>3</v>
      </c>
      <c r="V696" s="29" t="str">
        <f t="shared" si="42"/>
        <v>Prof. Dr. Hasan Serkan DOĞAN§3</v>
      </c>
      <c r="W696" s="29" t="str">
        <f>IF(U696=1,COUNTIF($U$2:U696,1),"")</f>
        <v/>
      </c>
      <c r="X696" s="29" t="str">
        <f t="shared" si="43"/>
        <v/>
      </c>
      <c r="Y696" s="29">
        <f>IF(AND(LEFT($B696,7)="SBA 26/",$D696&lt;&gt;"",$F696&lt;&gt;""),COUNTIFS($D$2:$D696,$D696,$B$2:$B696,"SBA 26/*",$F$2:$F696,"&lt;&gt;"),"")</f>
        <v>9</v>
      </c>
      <c r="Z696" s="29" t="str">
        <f>IF(Y696=1,COUNTIF($Y$2:Y696,1),"")</f>
        <v/>
      </c>
      <c r="AA696" s="29">
        <f>IF(AND(LEFT($B696,7)="SBA 26/",$C696&lt;&gt;"",$F696&lt;&gt;""),COUNTIFS($C$2:$C696,$C696,$B$2:$B696,"SBA 26/*",$F$2:$F696,"&lt;&gt;"),"")</f>
        <v>3</v>
      </c>
      <c r="AB696" s="29" t="str">
        <f>IF(AA696=1,COUNTIF($AA$2:AA696,1),"")</f>
        <v/>
      </c>
    </row>
    <row r="697" spans="1:28" ht="78.75" customHeight="1" x14ac:dyDescent="0.2">
      <c r="A697" s="43" t="s">
        <v>3231</v>
      </c>
      <c r="B697" s="43" t="s">
        <v>3232</v>
      </c>
      <c r="C697" s="44" t="s">
        <v>3233</v>
      </c>
      <c r="D697" s="44" t="s">
        <v>222</v>
      </c>
      <c r="E697" s="45" t="s">
        <v>3234</v>
      </c>
      <c r="F697" s="45" t="s">
        <v>3235</v>
      </c>
      <c r="G697" s="46" t="s">
        <v>39</v>
      </c>
      <c r="H697" s="48">
        <v>46233</v>
      </c>
      <c r="I697" s="48">
        <v>46259</v>
      </c>
      <c r="J697" s="44" t="s">
        <v>100</v>
      </c>
      <c r="K697" s="44" t="s">
        <v>123</v>
      </c>
      <c r="L697" s="50"/>
      <c r="M697" s="50"/>
      <c r="N697" s="50"/>
      <c r="O697" s="49"/>
      <c r="P697" s="50">
        <f t="shared" si="40"/>
        <v>0</v>
      </c>
      <c r="R697" s="51" t="str">
        <f t="shared" si="41"/>
        <v/>
      </c>
      <c r="T697" s="41"/>
      <c r="U697" s="29">
        <f>IF($C697&lt;&gt;"",COUNTIF($C$2:C697,C697),"")</f>
        <v>1</v>
      </c>
      <c r="V697" s="29" t="str">
        <f t="shared" si="42"/>
        <v>Doç. Dr. Elif SOYAK AYTEKİN§1</v>
      </c>
      <c r="W697" s="29">
        <f>IF(U697=1,COUNTIF($U$2:U697,1),"")</f>
        <v>334</v>
      </c>
      <c r="X697" s="29">
        <f t="shared" si="43"/>
        <v>47</v>
      </c>
      <c r="Y697" s="29">
        <f>IF(AND(LEFT($B697,7)="SBA 26/",$D697&lt;&gt;"",$F697&lt;&gt;""),COUNTIFS($D$2:$D697,$D697,$B$2:$B697,"SBA 26/*",$F$2:$F697,"&lt;&gt;"),"")</f>
        <v>122</v>
      </c>
      <c r="Z697" s="29" t="str">
        <f>IF(Y697=1,COUNTIF($Y$2:Y697,1),"")</f>
        <v/>
      </c>
      <c r="AA697" s="29">
        <f>IF(AND(LEFT($B697,7)="SBA 26/",$C697&lt;&gt;"",$F697&lt;&gt;""),COUNTIFS($C$2:$C697,$C697,$B$2:$B697,"SBA 26/*",$F$2:$F697,"&lt;&gt;"),"")</f>
        <v>1</v>
      </c>
      <c r="AB697" s="29">
        <f>IF(AA697=1,COUNTIF($AA$2:AA697,1),"")</f>
        <v>334</v>
      </c>
    </row>
    <row r="698" spans="1:28" ht="63" customHeight="1" x14ac:dyDescent="0.2">
      <c r="A698" s="43" t="s">
        <v>3236</v>
      </c>
      <c r="B698" s="43" t="s">
        <v>3237</v>
      </c>
      <c r="C698" s="44" t="s">
        <v>1432</v>
      </c>
      <c r="D698" s="44" t="s">
        <v>113</v>
      </c>
      <c r="E698" s="45" t="s">
        <v>3238</v>
      </c>
      <c r="F698" s="45" t="s">
        <v>3239</v>
      </c>
      <c r="G698" s="46" t="s">
        <v>38</v>
      </c>
      <c r="H698" s="48">
        <v>46233</v>
      </c>
      <c r="I698" s="48">
        <v>46259</v>
      </c>
      <c r="J698" s="44" t="s">
        <v>91</v>
      </c>
      <c r="K698" s="44" t="s">
        <v>92</v>
      </c>
      <c r="L698" s="50"/>
      <c r="M698" s="50"/>
      <c r="N698" s="50"/>
      <c r="O698" s="49"/>
      <c r="P698" s="50">
        <f t="shared" si="40"/>
        <v>0</v>
      </c>
      <c r="R698" s="51" t="str">
        <f t="shared" si="41"/>
        <v/>
      </c>
      <c r="T698" s="41"/>
      <c r="U698" s="29">
        <f>IF($C698&lt;&gt;"",COUNTIF($C$2:C698,C698),"")</f>
        <v>11</v>
      </c>
      <c r="V698" s="29" t="str">
        <f t="shared" si="42"/>
        <v>Prof. Dr. Taylan KAV§11</v>
      </c>
      <c r="W698" s="29" t="str">
        <f>IF(U698=1,COUNTIF($U$2:U698,1),"")</f>
        <v/>
      </c>
      <c r="X698" s="29" t="str">
        <f t="shared" si="43"/>
        <v/>
      </c>
      <c r="Y698" s="29">
        <f>IF(AND(LEFT($B698,7)="SBA 26/",$D698&lt;&gt;"",$F698&lt;&gt;""),COUNTIFS($D$2:$D698,$D698,$B$2:$B698,"SBA 26/*",$F$2:$F698,"&lt;&gt;"),"")</f>
        <v>124</v>
      </c>
      <c r="Z698" s="29" t="str">
        <f>IF(Y698=1,COUNTIF($Y$2:Y698,1),"")</f>
        <v/>
      </c>
      <c r="AA698" s="29">
        <f>IF(AND(LEFT($B698,7)="SBA 26/",$C698&lt;&gt;"",$F698&lt;&gt;""),COUNTIFS($C$2:$C698,$C698,$B$2:$B698,"SBA 26/*",$F$2:$F698,"&lt;&gt;"),"")</f>
        <v>11</v>
      </c>
      <c r="AB698" s="29" t="str">
        <f>IF(AA698=1,COUNTIF($AA$2:AA698,1),"")</f>
        <v/>
      </c>
    </row>
    <row r="699" spans="1:28" ht="81.75" customHeight="1" x14ac:dyDescent="0.2">
      <c r="A699" s="43" t="s">
        <v>3240</v>
      </c>
      <c r="B699" s="43" t="s">
        <v>3241</v>
      </c>
      <c r="C699" s="44" t="s">
        <v>3242</v>
      </c>
      <c r="D699" s="54" t="s">
        <v>3243</v>
      </c>
      <c r="E699" s="45" t="s">
        <v>3244</v>
      </c>
      <c r="F699" s="45" t="s">
        <v>3245</v>
      </c>
      <c r="G699" s="46" t="s">
        <v>38</v>
      </c>
      <c r="H699" s="48">
        <v>46233</v>
      </c>
      <c r="I699" s="48">
        <v>46259</v>
      </c>
      <c r="J699" s="44" t="s">
        <v>75</v>
      </c>
      <c r="K699" s="44" t="s">
        <v>100</v>
      </c>
      <c r="L699" s="50"/>
      <c r="M699" s="50"/>
      <c r="N699" s="50"/>
      <c r="O699" s="49"/>
      <c r="P699" s="50">
        <f t="shared" si="40"/>
        <v>0</v>
      </c>
      <c r="R699" s="51" t="str">
        <f t="shared" si="41"/>
        <v/>
      </c>
      <c r="T699" s="41"/>
      <c r="U699" s="29">
        <f>IF($C699&lt;&gt;"",COUNTIF($C$2:C699,C699),"")</f>
        <v>1</v>
      </c>
      <c r="V699" s="29" t="str">
        <f t="shared" si="42"/>
        <v>Doç. Dr. Gözde HONDUR§1</v>
      </c>
      <c r="W699" s="29">
        <f>IF(U699=1,COUNTIF($U$2:U699,1),"")</f>
        <v>335</v>
      </c>
      <c r="X699" s="29">
        <f t="shared" si="43"/>
        <v>62</v>
      </c>
      <c r="Y699" s="29">
        <f>IF(AND(LEFT($B699,7)="SBA 26/",$D699&lt;&gt;"",$F699&lt;&gt;""),COUNTIFS($D$2:$D699,$D699,$B$2:$B699,"SBA 26/*",$F$2:$F699,"&lt;&gt;"),"")</f>
        <v>1</v>
      </c>
      <c r="Z699" s="29">
        <f>IF(Y699=1,COUNTIF($Y$2:Y699,1),"")</f>
        <v>82</v>
      </c>
      <c r="AA699" s="29">
        <f>IF(AND(LEFT($B699,7)="SBA 26/",$C699&lt;&gt;"",$F699&lt;&gt;""),COUNTIFS($C$2:$C699,$C699,$B$2:$B699,"SBA 26/*",$F$2:$F699,"&lt;&gt;"),"")</f>
        <v>1</v>
      </c>
      <c r="AB699" s="29">
        <f>IF(AA699=1,COUNTIF($AA$2:AA699,1),"")</f>
        <v>335</v>
      </c>
    </row>
    <row r="700" spans="1:28" ht="78.75" customHeight="1" x14ac:dyDescent="0.2">
      <c r="A700" s="43" t="s">
        <v>3246</v>
      </c>
      <c r="B700" s="43" t="s">
        <v>3247</v>
      </c>
      <c r="C700" s="44" t="s">
        <v>3248</v>
      </c>
      <c r="D700" s="44" t="s">
        <v>193</v>
      </c>
      <c r="E700" s="45" t="s">
        <v>3249</v>
      </c>
      <c r="F700" s="45" t="s">
        <v>3250</v>
      </c>
      <c r="G700" s="46" t="s">
        <v>39</v>
      </c>
      <c r="H700" s="48">
        <v>46234</v>
      </c>
      <c r="I700" s="48">
        <v>46259</v>
      </c>
      <c r="J700" s="44" t="s">
        <v>91</v>
      </c>
      <c r="K700" s="44" t="s">
        <v>116</v>
      </c>
      <c r="L700" s="50"/>
      <c r="M700" s="50"/>
      <c r="N700" s="50"/>
      <c r="O700" s="49"/>
      <c r="P700" s="50">
        <f t="shared" si="40"/>
        <v>0</v>
      </c>
      <c r="R700" s="51" t="str">
        <f t="shared" si="41"/>
        <v/>
      </c>
      <c r="T700" s="41"/>
      <c r="U700" s="29">
        <f>IF($C700&lt;&gt;"",COUNTIF($C$2:C700,C700),"")</f>
        <v>1</v>
      </c>
      <c r="V700" s="29" t="str">
        <f t="shared" si="42"/>
        <v>Prof. Dr. Faruk ÖZTÜRK§1</v>
      </c>
      <c r="W700" s="29">
        <f>IF(U700=1,COUNTIF($U$2:U700,1),"")</f>
        <v>336</v>
      </c>
      <c r="X700" s="29">
        <f t="shared" si="43"/>
        <v>230</v>
      </c>
      <c r="Y700" s="29">
        <f>IF(AND(LEFT($B700,7)="SBA 26/",$D700&lt;&gt;"",$F700&lt;&gt;""),COUNTIFS($D$2:$D700,$D700,$B$2:$B700,"SBA 26/*",$F$2:$F700,"&lt;&gt;"),"")</f>
        <v>17</v>
      </c>
      <c r="Z700" s="29" t="str">
        <f>IF(Y700=1,COUNTIF($Y$2:Y700,1),"")</f>
        <v/>
      </c>
      <c r="AA700" s="29">
        <f>IF(AND(LEFT($B700,7)="SBA 26/",$C700&lt;&gt;"",$F700&lt;&gt;""),COUNTIFS($C$2:$C700,$C700,$B$2:$B700,"SBA 26/*",$F$2:$F700,"&lt;&gt;"),"")</f>
        <v>1</v>
      </c>
      <c r="AB700" s="29">
        <f>IF(AA700=1,COUNTIF($AA$2:AA700,1),"")</f>
        <v>336</v>
      </c>
    </row>
    <row r="701" spans="1:28" ht="63" customHeight="1" x14ac:dyDescent="0.2">
      <c r="A701" s="43" t="s">
        <v>3251</v>
      </c>
      <c r="B701" s="43" t="s">
        <v>3252</v>
      </c>
      <c r="C701" s="44" t="s">
        <v>990</v>
      </c>
      <c r="D701" s="44" t="s">
        <v>991</v>
      </c>
      <c r="E701" s="45" t="s">
        <v>3253</v>
      </c>
      <c r="F701" s="45" t="s">
        <v>3254</v>
      </c>
      <c r="G701" s="46" t="s">
        <v>38</v>
      </c>
      <c r="H701" s="48">
        <v>46234</v>
      </c>
      <c r="I701" s="48">
        <v>46259</v>
      </c>
      <c r="J701" s="44" t="s">
        <v>123</v>
      </c>
      <c r="K701" s="44" t="s">
        <v>91</v>
      </c>
      <c r="L701" s="50"/>
      <c r="M701" s="50"/>
      <c r="N701" s="50"/>
      <c r="O701" s="49"/>
      <c r="P701" s="50">
        <f t="shared" si="40"/>
        <v>0</v>
      </c>
      <c r="R701" s="51" t="str">
        <f t="shared" si="41"/>
        <v/>
      </c>
      <c r="T701" s="41"/>
      <c r="U701" s="29">
        <f>IF($C701&lt;&gt;"",COUNTIF($C$2:C701,C701),"")</f>
        <v>2</v>
      </c>
      <c r="V701" s="29" t="str">
        <f t="shared" si="42"/>
        <v>Dr. Öğr. Üyesi Aybüke USLU TEKCE§2</v>
      </c>
      <c r="W701" s="29" t="str">
        <f>IF(U701=1,COUNTIF($U$2:U701,1),"")</f>
        <v/>
      </c>
      <c r="X701" s="29" t="str">
        <f t="shared" si="43"/>
        <v/>
      </c>
      <c r="Y701" s="29">
        <f>IF(AND(LEFT($B701,7)="SBA 26/",$D701&lt;&gt;"",$F701&lt;&gt;""),COUNTIFS($D$2:$D701,$D701,$B$2:$B701,"SBA 26/*",$F$2:$F701,"&lt;&gt;"),"")</f>
        <v>4</v>
      </c>
      <c r="Z701" s="29" t="str">
        <f>IF(Y701=1,COUNTIF($Y$2:Y701,1),"")</f>
        <v/>
      </c>
      <c r="AA701" s="29">
        <f>IF(AND(LEFT($B701,7)="SBA 26/",$C701&lt;&gt;"",$F701&lt;&gt;""),COUNTIFS($C$2:$C701,$C701,$B$2:$B701,"SBA 26/*",$F$2:$F701,"&lt;&gt;"),"")</f>
        <v>2</v>
      </c>
      <c r="AB701" s="29" t="str">
        <f>IF(AA701=1,COUNTIF($AA$2:AA701,1),"")</f>
        <v/>
      </c>
    </row>
    <row r="702" spans="1:28" ht="78.75" customHeight="1" x14ac:dyDescent="0.2">
      <c r="A702" s="43" t="s">
        <v>3255</v>
      </c>
      <c r="B702" s="43" t="s">
        <v>3256</v>
      </c>
      <c r="C702" s="44" t="s">
        <v>604</v>
      </c>
      <c r="D702" s="44" t="s">
        <v>484</v>
      </c>
      <c r="E702" s="45" t="s">
        <v>3257</v>
      </c>
      <c r="F702" s="45" t="s">
        <v>3258</v>
      </c>
      <c r="G702" s="46" t="s">
        <v>38</v>
      </c>
      <c r="H702" s="48">
        <v>46244</v>
      </c>
      <c r="I702" s="48">
        <v>46259</v>
      </c>
      <c r="J702" s="44" t="s">
        <v>123</v>
      </c>
      <c r="K702" s="44" t="s">
        <v>91</v>
      </c>
      <c r="L702" s="50"/>
      <c r="M702" s="50"/>
      <c r="N702" s="50"/>
      <c r="O702" s="49"/>
      <c r="P702" s="50"/>
      <c r="R702" s="51" t="str">
        <f t="shared" si="41"/>
        <v/>
      </c>
      <c r="T702" s="41"/>
      <c r="U702" s="29">
        <f>IF($C702&lt;&gt;"",COUNTIF($C$2:C702,C702),"")</f>
        <v>3</v>
      </c>
      <c r="V702" s="29" t="str">
        <f t="shared" si="42"/>
        <v>Prof. Dr. Hakan Hıfzı TÜZ§3</v>
      </c>
      <c r="W702" s="29" t="str">
        <f>IF(U702=1,COUNTIF($U$2:U702,1),"")</f>
        <v/>
      </c>
      <c r="X702" s="29" t="str">
        <f t="shared" si="43"/>
        <v/>
      </c>
      <c r="Y702" s="29">
        <f>IF(AND(LEFT($B702,7)="SBA 26/",$D702&lt;&gt;"",$F702&lt;&gt;""),COUNTIFS($D$2:$D702,$D702,$B$2:$B702,"SBA 26/*",$F$2:$F702,"&lt;&gt;"),"")</f>
        <v>9</v>
      </c>
      <c r="Z702" s="29" t="str">
        <f>IF(Y702=1,COUNTIF($Y$2:Y702,1),"")</f>
        <v/>
      </c>
      <c r="AA702" s="29">
        <f>IF(AND(LEFT($B702,7)="SBA 26/",$C702&lt;&gt;"",$F702&lt;&gt;""),COUNTIFS($C$2:$C702,$C702,$B$2:$B702,"SBA 26/*",$F$2:$F702,"&lt;&gt;"),"")</f>
        <v>3</v>
      </c>
      <c r="AB702" s="29" t="str">
        <f>IF(AA702=1,COUNTIF($AA$2:AA702,1),"")</f>
        <v/>
      </c>
    </row>
    <row r="703" spans="1:28" ht="78.75" customHeight="1" x14ac:dyDescent="0.2">
      <c r="A703" s="43" t="s">
        <v>3259</v>
      </c>
      <c r="B703" s="43" t="s">
        <v>3260</v>
      </c>
      <c r="C703" s="44" t="s">
        <v>604</v>
      </c>
      <c r="D703" s="44" t="s">
        <v>484</v>
      </c>
      <c r="E703" s="45" t="s">
        <v>3257</v>
      </c>
      <c r="F703" s="45" t="s">
        <v>3261</v>
      </c>
      <c r="G703" s="46" t="s">
        <v>38</v>
      </c>
      <c r="H703" s="48">
        <v>46244</v>
      </c>
      <c r="I703" s="48">
        <v>46259</v>
      </c>
      <c r="J703" s="44" t="s">
        <v>123</v>
      </c>
      <c r="K703" s="44" t="s">
        <v>75</v>
      </c>
      <c r="L703" s="50"/>
      <c r="M703" s="50"/>
      <c r="N703" s="50"/>
      <c r="O703" s="49"/>
      <c r="P703" s="50"/>
      <c r="R703" s="51" t="str">
        <f t="shared" si="41"/>
        <v/>
      </c>
      <c r="T703" s="41"/>
      <c r="U703" s="29">
        <f>IF($C703&lt;&gt;"",COUNTIF($C$2:C703,C703),"")</f>
        <v>4</v>
      </c>
      <c r="V703" s="29" t="str">
        <f t="shared" si="42"/>
        <v>Prof. Dr. Hakan Hıfzı TÜZ§4</v>
      </c>
      <c r="W703" s="29" t="str">
        <f>IF(U703=1,COUNTIF($U$2:U703,1),"")</f>
        <v/>
      </c>
      <c r="X703" s="29" t="str">
        <f t="shared" si="43"/>
        <v/>
      </c>
      <c r="Y703" s="29">
        <f>IF(AND(LEFT($B703,7)="SBA 26/",$D703&lt;&gt;"",$F703&lt;&gt;""),COUNTIFS($D$2:$D703,$D703,$B$2:$B703,"SBA 26/*",$F$2:$F703,"&lt;&gt;"),"")</f>
        <v>10</v>
      </c>
      <c r="Z703" s="29" t="str">
        <f>IF(Y703=1,COUNTIF($Y$2:Y703,1),"")</f>
        <v/>
      </c>
      <c r="AA703" s="29">
        <f>IF(AND(LEFT($B703,7)="SBA 26/",$C703&lt;&gt;"",$F703&lt;&gt;""),COUNTIFS($C$2:$C703,$C703,$B$2:$B703,"SBA 26/*",$F$2:$F703,"&lt;&gt;"),"")</f>
        <v>4</v>
      </c>
      <c r="AB703" s="29" t="str">
        <f>IF(AA703=1,COUNTIF($AA$2:AA703,1),"")</f>
        <v/>
      </c>
    </row>
    <row r="704" spans="1:28" ht="78.75" customHeight="1" x14ac:dyDescent="0.2">
      <c r="A704" s="43" t="s">
        <v>3262</v>
      </c>
      <c r="B704" s="43" t="s">
        <v>3263</v>
      </c>
      <c r="C704" s="44" t="s">
        <v>3264</v>
      </c>
      <c r="D704" s="44" t="s">
        <v>169</v>
      </c>
      <c r="E704" s="45" t="s">
        <v>3265</v>
      </c>
      <c r="F704" s="45" t="s">
        <v>3266</v>
      </c>
      <c r="G704" s="46" t="s">
        <v>38</v>
      </c>
      <c r="H704" s="48">
        <v>46244</v>
      </c>
      <c r="I704" s="48">
        <v>46259</v>
      </c>
      <c r="J704" s="44" t="s">
        <v>100</v>
      </c>
      <c r="K704" s="44" t="s">
        <v>75</v>
      </c>
      <c r="L704" s="50"/>
      <c r="M704" s="50"/>
      <c r="N704" s="50"/>
      <c r="O704" s="49"/>
      <c r="P704" s="50"/>
      <c r="R704" s="51" t="str">
        <f t="shared" si="41"/>
        <v/>
      </c>
      <c r="T704" s="41"/>
      <c r="U704" s="29">
        <f>IF($C704&lt;&gt;"",COUNTIF($C$2:C704,C704),"")</f>
        <v>1</v>
      </c>
      <c r="V704" s="29" t="str">
        <f t="shared" si="42"/>
        <v>Dr. Öğr. Gör. Özge ÖZTÜRK AKTAŞ§1</v>
      </c>
      <c r="W704" s="29">
        <f>IF(U704=1,COUNTIF($U$2:U704,1),"")</f>
        <v>337</v>
      </c>
      <c r="X704" s="29">
        <f t="shared" si="43"/>
        <v>111</v>
      </c>
      <c r="Y704" s="29">
        <f>IF(AND(LEFT($B704,7)="SBA 26/",$D704&lt;&gt;"",$F704&lt;&gt;""),COUNTIFS($D$2:$D704,$D704,$B$2:$B704,"SBA 26/*",$F$2:$F704,"&lt;&gt;"),"")</f>
        <v>18</v>
      </c>
      <c r="Z704" s="29" t="str">
        <f>IF(Y704=1,COUNTIF($Y$2:Y704,1),"")</f>
        <v/>
      </c>
      <c r="AA704" s="29">
        <f>IF(AND(LEFT($B704,7)="SBA 26/",$C704&lt;&gt;"",$F704&lt;&gt;""),COUNTIFS($C$2:$C704,$C704,$B$2:$B704,"SBA 26/*",$F$2:$F704,"&lt;&gt;"),"")</f>
        <v>1</v>
      </c>
      <c r="AB704" s="29">
        <f>IF(AA704=1,COUNTIF($AA$2:AA704,1),"")</f>
        <v>337</v>
      </c>
    </row>
    <row r="705" spans="1:28" ht="47.25" customHeight="1" x14ac:dyDescent="0.2">
      <c r="A705" s="43" t="s">
        <v>3267</v>
      </c>
      <c r="B705" s="43" t="s">
        <v>3268</v>
      </c>
      <c r="C705" s="44" t="s">
        <v>1087</v>
      </c>
      <c r="D705" s="44" t="s">
        <v>280</v>
      </c>
      <c r="E705" s="45" t="s">
        <v>3269</v>
      </c>
      <c r="F705" s="45" t="s">
        <v>3270</v>
      </c>
      <c r="G705" s="46" t="s">
        <v>38</v>
      </c>
      <c r="H705" s="48">
        <v>46244</v>
      </c>
      <c r="I705" s="48">
        <v>46259</v>
      </c>
      <c r="J705" s="44" t="s">
        <v>92</v>
      </c>
      <c r="K705" s="44" t="s">
        <v>108</v>
      </c>
      <c r="L705" s="50"/>
      <c r="M705" s="50"/>
      <c r="N705" s="50"/>
      <c r="O705" s="49"/>
      <c r="P705" s="50"/>
      <c r="R705" s="51" t="str">
        <f t="shared" si="41"/>
        <v/>
      </c>
      <c r="T705" s="41"/>
      <c r="U705" s="29">
        <f>IF($C705&lt;&gt;"",COUNTIF($C$2:C705,C705),"")</f>
        <v>3</v>
      </c>
      <c r="V705" s="29" t="str">
        <f t="shared" si="42"/>
        <v>Prof. Dr. Murat TUNCEL§3</v>
      </c>
      <c r="W705" s="29" t="str">
        <f>IF(U705=1,COUNTIF($U$2:U705,1),"")</f>
        <v/>
      </c>
      <c r="X705" s="29" t="str">
        <f t="shared" si="43"/>
        <v/>
      </c>
      <c r="Y705" s="29">
        <f>IF(AND(LEFT($B705,7)="SBA 26/",$D705&lt;&gt;"",$F705&lt;&gt;""),COUNTIFS($D$2:$D705,$D705,$B$2:$B705,"SBA 26/*",$F$2:$F705,"&lt;&gt;"),"")</f>
        <v>7</v>
      </c>
      <c r="Z705" s="29" t="str">
        <f>IF(Y705=1,COUNTIF($Y$2:Y705,1),"")</f>
        <v/>
      </c>
      <c r="AA705" s="29">
        <f>IF(AND(LEFT($B705,7)="SBA 26/",$C705&lt;&gt;"",$F705&lt;&gt;""),COUNTIFS($C$2:$C705,$C705,$B$2:$B705,"SBA 26/*",$F$2:$F705,"&lt;&gt;"),"")</f>
        <v>3</v>
      </c>
      <c r="AB705" s="29" t="str">
        <f>IF(AA705=1,COUNTIF($AA$2:AA705,1),"")</f>
        <v/>
      </c>
    </row>
    <row r="706" spans="1:28" ht="63" customHeight="1" x14ac:dyDescent="0.2">
      <c r="A706" s="43" t="s">
        <v>3271</v>
      </c>
      <c r="B706" s="43" t="s">
        <v>3272</v>
      </c>
      <c r="C706" s="44" t="s">
        <v>1087</v>
      </c>
      <c r="D706" s="44" t="s">
        <v>280</v>
      </c>
      <c r="E706" s="45" t="s">
        <v>3269</v>
      </c>
      <c r="F706" s="45" t="s">
        <v>3273</v>
      </c>
      <c r="G706" s="46" t="s">
        <v>38</v>
      </c>
      <c r="H706" s="48">
        <v>46244</v>
      </c>
      <c r="I706" s="48">
        <v>46259</v>
      </c>
      <c r="J706" s="44" t="s">
        <v>92</v>
      </c>
      <c r="K706" s="44" t="s">
        <v>108</v>
      </c>
      <c r="L706" s="50"/>
      <c r="M706" s="50"/>
      <c r="N706" s="50"/>
      <c r="O706" s="49"/>
      <c r="P706" s="50"/>
      <c r="R706" s="51" t="str">
        <f t="shared" ref="R706:R737" si="44">IF(AND($I706&lt;&gt;"",$I706&gt;=DATE(2026,6,23),COUNTIFS($C:$C,$C706,$I:$I,$I706)&gt;2),"⚠ "&amp;COUNTIFS($C:$C,$C706,$I:$I,$I706)&amp;" BAŞVURU!","")</f>
        <v/>
      </c>
      <c r="T706" s="41"/>
      <c r="U706" s="29">
        <f>IF($C706&lt;&gt;"",COUNTIF($C$2:C706,C706),"")</f>
        <v>4</v>
      </c>
      <c r="V706" s="29" t="str">
        <f t="shared" ref="V706:V769" si="45">IF($C706&lt;&gt;"",C706&amp;"§"&amp;U706,"")</f>
        <v>Prof. Dr. Murat TUNCEL§4</v>
      </c>
      <c r="W706" s="29" t="str">
        <f>IF(U706=1,COUNTIF($U$2:U706,1),"")</f>
        <v/>
      </c>
      <c r="X706" s="29" t="str">
        <f t="shared" ref="X706:X738" si="46">IF(U706=1,SUMPRODUCT(($U$2:$U$1833=1)*($C$2:$C$1833&lt;C706))+1,"")</f>
        <v/>
      </c>
      <c r="Y706" s="29">
        <f>IF(AND(LEFT($B706,7)="SBA 26/",$D706&lt;&gt;"",$F706&lt;&gt;""),COUNTIFS($D$2:$D706,$D706,$B$2:$B706,"SBA 26/*",$F$2:$F706,"&lt;&gt;"),"")</f>
        <v>8</v>
      </c>
      <c r="Z706" s="29" t="str">
        <f>IF(Y706=1,COUNTIF($Y$2:Y706,1),"")</f>
        <v/>
      </c>
      <c r="AA706" s="29">
        <f>IF(AND(LEFT($B706,7)="SBA 26/",$C706&lt;&gt;"",$F706&lt;&gt;""),COUNTIFS($C$2:$C706,$C706,$B$2:$B706,"SBA 26/*",$F$2:$F706,"&lt;&gt;"),"")</f>
        <v>4</v>
      </c>
      <c r="AB706" s="29" t="str">
        <f>IF(AA706=1,COUNTIF($AA$2:AA706,1),"")</f>
        <v/>
      </c>
    </row>
    <row r="707" spans="1:28" ht="63" customHeight="1" x14ac:dyDescent="0.2">
      <c r="A707" s="43" t="s">
        <v>3274</v>
      </c>
      <c r="B707" s="43" t="s">
        <v>3275</v>
      </c>
      <c r="C707" s="44" t="s">
        <v>3276</v>
      </c>
      <c r="D707" s="44" t="s">
        <v>404</v>
      </c>
      <c r="E707" s="45" t="s">
        <v>3277</v>
      </c>
      <c r="F707" s="45" t="s">
        <v>3278</v>
      </c>
      <c r="G707" s="46" t="s">
        <v>38</v>
      </c>
      <c r="H707" s="48">
        <v>46244</v>
      </c>
      <c r="I707" s="48">
        <v>46259</v>
      </c>
      <c r="J707" s="44" t="s">
        <v>91</v>
      </c>
      <c r="K707" s="44" t="s">
        <v>116</v>
      </c>
      <c r="L707" s="50"/>
      <c r="M707" s="50"/>
      <c r="N707" s="50"/>
      <c r="O707" s="49"/>
      <c r="P707" s="50"/>
      <c r="R707" s="51" t="str">
        <f t="shared" si="44"/>
        <v/>
      </c>
      <c r="T707" s="41"/>
      <c r="U707" s="29">
        <f>IF($C707&lt;&gt;"",COUNTIF($C$2:C707,C707),"")</f>
        <v>1</v>
      </c>
      <c r="V707" s="29" t="str">
        <f t="shared" si="45"/>
        <v>Doç. Dr. Ahmet GÜDELOĞLU§1</v>
      </c>
      <c r="W707" s="29">
        <f>IF(U707=1,COUNTIF($U$2:U707,1),"")</f>
        <v>338</v>
      </c>
      <c r="X707" s="29">
        <f t="shared" si="46"/>
        <v>17</v>
      </c>
      <c r="Y707" s="29">
        <f>IF(AND(LEFT($B707,7)="SBA 26/",$D707&lt;&gt;"",$F707&lt;&gt;""),COUNTIFS($D$2:$D707,$D707,$B$2:$B707,"SBA 26/*",$F$2:$F707,"&lt;&gt;"),"")</f>
        <v>10</v>
      </c>
      <c r="Z707" s="29" t="str">
        <f>IF(Y707=1,COUNTIF($Y$2:Y707,1),"")</f>
        <v/>
      </c>
      <c r="AA707" s="29">
        <f>IF(AND(LEFT($B707,7)="SBA 26/",$C707&lt;&gt;"",$F707&lt;&gt;""),COUNTIFS($C$2:$C707,$C707,$B$2:$B707,"SBA 26/*",$F$2:$F707,"&lt;&gt;"),"")</f>
        <v>1</v>
      </c>
      <c r="AB707" s="29">
        <f>IF(AA707=1,COUNTIF($AA$2:AA707,1),"")</f>
        <v>338</v>
      </c>
    </row>
    <row r="708" spans="1:28" ht="63" customHeight="1" x14ac:dyDescent="0.2">
      <c r="A708" s="43" t="s">
        <v>3279</v>
      </c>
      <c r="B708" s="43" t="s">
        <v>3280</v>
      </c>
      <c r="C708" s="44" t="s">
        <v>3281</v>
      </c>
      <c r="D708" s="44" t="s">
        <v>404</v>
      </c>
      <c r="E708" s="45" t="s">
        <v>3282</v>
      </c>
      <c r="F708" s="45" t="s">
        <v>3283</v>
      </c>
      <c r="G708" s="46" t="s">
        <v>38</v>
      </c>
      <c r="H708" s="48">
        <v>46244</v>
      </c>
      <c r="I708" s="48">
        <v>46259</v>
      </c>
      <c r="J708" s="44" t="s">
        <v>108</v>
      </c>
      <c r="K708" s="44" t="s">
        <v>92</v>
      </c>
      <c r="L708" s="50"/>
      <c r="M708" s="50"/>
      <c r="N708" s="50"/>
      <c r="O708" s="49"/>
      <c r="P708" s="50"/>
      <c r="R708" s="51" t="str">
        <f t="shared" si="44"/>
        <v/>
      </c>
      <c r="T708" s="41"/>
      <c r="U708" s="29">
        <f>IF($C708&lt;&gt;"",COUNTIF($C$2:C708,C708),"")</f>
        <v>1</v>
      </c>
      <c r="V708" s="29" t="str">
        <f t="shared" si="45"/>
        <v>Prof. Dr. Mustafa Sertaç YAZICI§1</v>
      </c>
      <c r="W708" s="29">
        <f>IF(U708=1,COUNTIF($U$2:U708,1),"")</f>
        <v>339</v>
      </c>
      <c r="X708" s="29">
        <f t="shared" si="46"/>
        <v>280</v>
      </c>
      <c r="Y708" s="29">
        <f>IF(AND(LEFT($B708,7)="SBA 26/",$D708&lt;&gt;"",$F708&lt;&gt;""),COUNTIFS($D$2:$D708,$D708,$B$2:$B708,"SBA 26/*",$F$2:$F708,"&lt;&gt;"),"")</f>
        <v>11</v>
      </c>
      <c r="Z708" s="29" t="str">
        <f>IF(Y708=1,COUNTIF($Y$2:Y708,1),"")</f>
        <v/>
      </c>
      <c r="AA708" s="29">
        <f>IF(AND(LEFT($B708,7)="SBA 26/",$C708&lt;&gt;"",$F708&lt;&gt;""),COUNTIFS($C$2:$C708,$C708,$B$2:$B708,"SBA 26/*",$F$2:$F708,"&lt;&gt;"),"")</f>
        <v>1</v>
      </c>
      <c r="AB708" s="29">
        <f>IF(AA708=1,COUNTIF($AA$2:AA708,1),"")</f>
        <v>339</v>
      </c>
    </row>
    <row r="709" spans="1:28" ht="63" customHeight="1" x14ac:dyDescent="0.2">
      <c r="A709" s="43" t="s">
        <v>3284</v>
      </c>
      <c r="B709" s="43" t="s">
        <v>3285</v>
      </c>
      <c r="C709" s="44" t="s">
        <v>3281</v>
      </c>
      <c r="D709" s="44" t="s">
        <v>404</v>
      </c>
      <c r="E709" s="45" t="s">
        <v>3282</v>
      </c>
      <c r="F709" s="45" t="s">
        <v>3286</v>
      </c>
      <c r="G709" s="46" t="s">
        <v>38</v>
      </c>
      <c r="H709" s="48">
        <v>46244</v>
      </c>
      <c r="I709" s="48">
        <v>46259</v>
      </c>
      <c r="J709" s="44" t="s">
        <v>108</v>
      </c>
      <c r="K709" s="44" t="s">
        <v>92</v>
      </c>
      <c r="L709" s="50"/>
      <c r="M709" s="50"/>
      <c r="N709" s="50"/>
      <c r="O709" s="49"/>
      <c r="P709" s="50"/>
      <c r="R709" s="51" t="str">
        <f t="shared" si="44"/>
        <v/>
      </c>
      <c r="T709" s="41"/>
      <c r="U709" s="29">
        <f>IF($C709&lt;&gt;"",COUNTIF($C$2:C709,C709),"")</f>
        <v>2</v>
      </c>
      <c r="V709" s="29" t="str">
        <f t="shared" si="45"/>
        <v>Prof. Dr. Mustafa Sertaç YAZICI§2</v>
      </c>
      <c r="W709" s="29" t="str">
        <f>IF(U709=1,COUNTIF($U$2:U709,1),"")</f>
        <v/>
      </c>
      <c r="X709" s="29" t="str">
        <f t="shared" si="46"/>
        <v/>
      </c>
      <c r="Y709" s="29">
        <f>IF(AND(LEFT($B709,7)="SBA 26/",$D709&lt;&gt;"",$F709&lt;&gt;""),COUNTIFS($D$2:$D709,$D709,$B$2:$B709,"SBA 26/*",$F$2:$F709,"&lt;&gt;"),"")</f>
        <v>12</v>
      </c>
      <c r="Z709" s="29" t="str">
        <f>IF(Y709=1,COUNTIF($Y$2:Y709,1),"")</f>
        <v/>
      </c>
      <c r="AA709" s="29">
        <f>IF(AND(LEFT($B709,7)="SBA 26/",$C709&lt;&gt;"",$F709&lt;&gt;""),COUNTIFS($C$2:$C709,$C709,$B$2:$B709,"SBA 26/*",$F$2:$F709,"&lt;&gt;"),"")</f>
        <v>2</v>
      </c>
      <c r="AB709" s="29" t="str">
        <f>IF(AA709=1,COUNTIF($AA$2:AA709,1),"")</f>
        <v/>
      </c>
    </row>
    <row r="710" spans="1:28" ht="78.75" customHeight="1" x14ac:dyDescent="0.2">
      <c r="A710" s="43" t="s">
        <v>3287</v>
      </c>
      <c r="B710" s="43" t="s">
        <v>3288</v>
      </c>
      <c r="C710" s="44" t="s">
        <v>524</v>
      </c>
      <c r="D710" s="44" t="s">
        <v>113</v>
      </c>
      <c r="E710" s="45" t="s">
        <v>3289</v>
      </c>
      <c r="F710" s="45" t="s">
        <v>3290</v>
      </c>
      <c r="G710" s="46" t="s">
        <v>39</v>
      </c>
      <c r="H710" s="48">
        <v>46244</v>
      </c>
      <c r="I710" s="48">
        <v>46259</v>
      </c>
      <c r="J710" s="44" t="s">
        <v>75</v>
      </c>
      <c r="K710" s="44" t="s">
        <v>116</v>
      </c>
      <c r="L710" s="50"/>
      <c r="M710" s="50"/>
      <c r="N710" s="50"/>
      <c r="O710" s="49"/>
      <c r="P710" s="50"/>
      <c r="R710" s="51" t="str">
        <f t="shared" si="44"/>
        <v/>
      </c>
      <c r="T710" s="41"/>
      <c r="U710" s="29">
        <f>IF($C710&lt;&gt;"",COUNTIF($C$2:C710,C710),"")</f>
        <v>11</v>
      </c>
      <c r="V710" s="29" t="str">
        <f t="shared" si="45"/>
        <v>Doç. Dr. Mert EŞME§11</v>
      </c>
      <c r="W710" s="29" t="str">
        <f>IF(U710=1,COUNTIF($U$2:U710,1),"")</f>
        <v/>
      </c>
      <c r="X710" s="29" t="str">
        <f t="shared" si="46"/>
        <v/>
      </c>
      <c r="Y710" s="29">
        <f>IF(AND(LEFT($B710,7)="SBA 26/",$D710&lt;&gt;"",$F710&lt;&gt;""),COUNTIFS($D$2:$D710,$D710,$B$2:$B710,"SBA 26/*",$F$2:$F710,"&lt;&gt;"),"")</f>
        <v>125</v>
      </c>
      <c r="Z710" s="29" t="str">
        <f>IF(Y710=1,COUNTIF($Y$2:Y710,1),"")</f>
        <v/>
      </c>
      <c r="AA710" s="29">
        <f>IF(AND(LEFT($B710,7)="SBA 26/",$C710&lt;&gt;"",$F710&lt;&gt;""),COUNTIFS($C$2:$C710,$C710,$B$2:$B710,"SBA 26/*",$F$2:$F710,"&lt;&gt;"),"")</f>
        <v>11</v>
      </c>
      <c r="AB710" s="29" t="str">
        <f>IF(AA710=1,COUNTIF($AA$2:AA710,1),"")</f>
        <v/>
      </c>
    </row>
    <row r="711" spans="1:28" ht="110.25" customHeight="1" x14ac:dyDescent="0.2">
      <c r="A711" s="43" t="s">
        <v>3291</v>
      </c>
      <c r="B711" s="43" t="s">
        <v>3292</v>
      </c>
      <c r="C711" s="44" t="s">
        <v>1142</v>
      </c>
      <c r="D711" s="44" t="s">
        <v>1143</v>
      </c>
      <c r="E711" s="45" t="s">
        <v>3293</v>
      </c>
      <c r="F711" s="45" t="s">
        <v>3294</v>
      </c>
      <c r="G711" s="46" t="s">
        <v>38</v>
      </c>
      <c r="H711" s="48">
        <v>46244</v>
      </c>
      <c r="I711" s="48">
        <v>46259</v>
      </c>
      <c r="J711" s="44" t="s">
        <v>92</v>
      </c>
      <c r="K711" s="44" t="s">
        <v>91</v>
      </c>
      <c r="L711" s="50"/>
      <c r="M711" s="50"/>
      <c r="N711" s="50"/>
      <c r="O711" s="49"/>
      <c r="P711" s="50"/>
      <c r="R711" s="51" t="str">
        <f t="shared" si="44"/>
        <v/>
      </c>
      <c r="T711" s="41"/>
      <c r="U711" s="29">
        <f>IF($C711&lt;&gt;"",COUNTIF($C$2:C711,C711),"")</f>
        <v>2</v>
      </c>
      <c r="V711" s="29" t="str">
        <f t="shared" si="45"/>
        <v>Prof. Dr. Mert ÇALIŞ§2</v>
      </c>
      <c r="W711" s="29" t="str">
        <f>IF(U711=1,COUNTIF($U$2:U711,1),"")</f>
        <v/>
      </c>
      <c r="X711" s="29" t="str">
        <f t="shared" si="46"/>
        <v/>
      </c>
      <c r="Y711" s="29">
        <f>IF(AND(LEFT($B711,7)="SBA 26/",$D711&lt;&gt;"",$F711&lt;&gt;""),COUNTIFS($D$2:$D711,$D711,$B$2:$B711,"SBA 26/*",$F$2:$F711,"&lt;&gt;"),"")</f>
        <v>8</v>
      </c>
      <c r="Z711" s="29" t="str">
        <f>IF(Y711=1,COUNTIF($Y$2:Y711,1),"")</f>
        <v/>
      </c>
      <c r="AA711" s="29">
        <f>IF(AND(LEFT($B711,7)="SBA 26/",$C711&lt;&gt;"",$F711&lt;&gt;""),COUNTIFS($C$2:$C711,$C711,$B$2:$B711,"SBA 26/*",$F$2:$F711,"&lt;&gt;"),"")</f>
        <v>2</v>
      </c>
      <c r="AB711" s="29" t="str">
        <f>IF(AA711=1,COUNTIF($AA$2:AA711,1),"")</f>
        <v/>
      </c>
    </row>
    <row r="712" spans="1:28" ht="94.5" customHeight="1" x14ac:dyDescent="0.2">
      <c r="A712" s="43" t="s">
        <v>3295</v>
      </c>
      <c r="B712" s="43" t="s">
        <v>3296</v>
      </c>
      <c r="C712" s="44" t="s">
        <v>3297</v>
      </c>
      <c r="D712" s="44" t="s">
        <v>150</v>
      </c>
      <c r="E712" s="45" t="s">
        <v>3298</v>
      </c>
      <c r="F712" s="45" t="s">
        <v>3299</v>
      </c>
      <c r="G712" s="46" t="s">
        <v>38</v>
      </c>
      <c r="H712" s="48">
        <v>46244</v>
      </c>
      <c r="I712" s="48">
        <v>46259</v>
      </c>
      <c r="J712" s="44" t="s">
        <v>75</v>
      </c>
      <c r="K712" s="44" t="s">
        <v>123</v>
      </c>
      <c r="L712" s="50"/>
      <c r="M712" s="50"/>
      <c r="N712" s="50"/>
      <c r="O712" s="49"/>
      <c r="P712" s="50"/>
      <c r="R712" s="51" t="str">
        <f t="shared" si="44"/>
        <v/>
      </c>
      <c r="T712" s="41"/>
      <c r="U712" s="29">
        <f>IF($C712&lt;&gt;"",COUNTIF($C$2:C712,C712),"")</f>
        <v>1</v>
      </c>
      <c r="V712" s="29" t="str">
        <f t="shared" si="45"/>
        <v>Dr. Öğr. Üyesi Elif KARAKOÇ§1</v>
      </c>
      <c r="W712" s="29">
        <f>IF(U712=1,COUNTIF($U$2:U712,1),"")</f>
        <v>340</v>
      </c>
      <c r="X712" s="29">
        <f t="shared" si="46"/>
        <v>130</v>
      </c>
      <c r="Y712" s="29">
        <f>IF(AND(LEFT($B712,7)="SBA 26/",$D712&lt;&gt;"",$F712&lt;&gt;""),COUNTIFS($D$2:$D712,$D712,$B$2:$B712,"SBA 26/*",$F$2:$F712,"&lt;&gt;"),"")</f>
        <v>6</v>
      </c>
      <c r="Z712" s="29" t="str">
        <f>IF(Y712=1,COUNTIF($Y$2:Y712,1),"")</f>
        <v/>
      </c>
      <c r="AA712" s="29">
        <f>IF(AND(LEFT($B712,7)="SBA 26/",$C712&lt;&gt;"",$F712&lt;&gt;""),COUNTIFS($C$2:$C712,$C712,$B$2:$B712,"SBA 26/*",$F$2:$F712,"&lt;&gt;"),"")</f>
        <v>1</v>
      </c>
      <c r="AB712" s="29">
        <f>IF(AA712=1,COUNTIF($AA$2:AA712,1),"")</f>
        <v>340</v>
      </c>
    </row>
    <row r="713" spans="1:28" ht="78.75" customHeight="1" x14ac:dyDescent="0.2">
      <c r="A713" s="43" t="s">
        <v>3300</v>
      </c>
      <c r="B713" s="43" t="s">
        <v>3301</v>
      </c>
      <c r="C713" s="44" t="s">
        <v>1260</v>
      </c>
      <c r="D713" s="44" t="s">
        <v>181</v>
      </c>
      <c r="E713" s="45" t="s">
        <v>3302</v>
      </c>
      <c r="F713" s="45" t="s">
        <v>3303</v>
      </c>
      <c r="G713" s="46" t="s">
        <v>38</v>
      </c>
      <c r="H713" s="48">
        <v>46244</v>
      </c>
      <c r="I713" s="48">
        <v>46259</v>
      </c>
      <c r="J713" s="44" t="s">
        <v>108</v>
      </c>
      <c r="K713" s="44" t="s">
        <v>116</v>
      </c>
      <c r="L713" s="50"/>
      <c r="M713" s="50"/>
      <c r="N713" s="50"/>
      <c r="O713" s="49"/>
      <c r="P713" s="50"/>
      <c r="R713" s="51" t="str">
        <f t="shared" si="44"/>
        <v/>
      </c>
      <c r="T713" s="41"/>
      <c r="U713" s="29">
        <f>IF($C713&lt;&gt;"",COUNTIF($C$2:C713,C713),"")</f>
        <v>3</v>
      </c>
      <c r="V713" s="29" t="str">
        <f t="shared" si="45"/>
        <v>Prof. Dr. Seda Banu AKINCI§3</v>
      </c>
      <c r="W713" s="29" t="str">
        <f>IF(U713=1,COUNTIF($U$2:U713,1),"")</f>
        <v/>
      </c>
      <c r="X713" s="29" t="str">
        <f t="shared" si="46"/>
        <v/>
      </c>
      <c r="Y713" s="29">
        <f>IF(AND(LEFT($B713,7)="SBA 26/",$D713&lt;&gt;"",$F713&lt;&gt;""),COUNTIFS($D$2:$D713,$D713,$B$2:$B713,"SBA 26/*",$F$2:$F713,"&lt;&gt;"),"")</f>
        <v>11</v>
      </c>
      <c r="Z713" s="29" t="str">
        <f>IF(Y713=1,COUNTIF($Y$2:Y713,1),"")</f>
        <v/>
      </c>
      <c r="AA713" s="29">
        <f>IF(AND(LEFT($B713,7)="SBA 26/",$C713&lt;&gt;"",$F713&lt;&gt;""),COUNTIFS($C$2:$C713,$C713,$B$2:$B713,"SBA 26/*",$F$2:$F713,"&lt;&gt;"),"")</f>
        <v>3</v>
      </c>
      <c r="AB713" s="29" t="str">
        <f>IF(AA713=1,COUNTIF($AA$2:AA713,1),"")</f>
        <v/>
      </c>
    </row>
    <row r="714" spans="1:28" ht="78.75" customHeight="1" x14ac:dyDescent="0.2">
      <c r="A714" s="43" t="s">
        <v>3304</v>
      </c>
      <c r="B714" s="43" t="s">
        <v>3305</v>
      </c>
      <c r="C714" s="44" t="s">
        <v>477</v>
      </c>
      <c r="D714" s="44" t="s">
        <v>222</v>
      </c>
      <c r="E714" s="45" t="s">
        <v>3306</v>
      </c>
      <c r="F714" s="45" t="s">
        <v>3307</v>
      </c>
      <c r="G714" s="46" t="s">
        <v>38</v>
      </c>
      <c r="H714" s="48">
        <v>46245</v>
      </c>
      <c r="I714" s="48">
        <v>46259</v>
      </c>
      <c r="J714" s="44" t="s">
        <v>100</v>
      </c>
      <c r="K714" s="44" t="s">
        <v>75</v>
      </c>
      <c r="L714" s="50"/>
      <c r="M714" s="50"/>
      <c r="N714" s="50"/>
      <c r="O714" s="49"/>
      <c r="P714" s="50"/>
      <c r="R714" s="51" t="str">
        <f t="shared" si="44"/>
        <v/>
      </c>
      <c r="T714" s="41"/>
      <c r="U714" s="29">
        <f>IF($C714&lt;&gt;"",COUNTIF($C$2:C714,C714),"")</f>
        <v>4</v>
      </c>
      <c r="V714" s="29" t="str">
        <f t="shared" si="45"/>
        <v>Prof. Dr. Sıddika Songül YALÇIN§4</v>
      </c>
      <c r="W714" s="29" t="str">
        <f>IF(U714=1,COUNTIF($U$2:U714,1),"")</f>
        <v/>
      </c>
      <c r="X714" s="29" t="str">
        <f t="shared" si="46"/>
        <v/>
      </c>
      <c r="Y714" s="29">
        <f>IF(AND(LEFT($B714,7)="SBA 26/",$D714&lt;&gt;"",$F714&lt;&gt;""),COUNTIFS($D$2:$D714,$D714,$B$2:$B714,"SBA 26/*",$F$2:$F714,"&lt;&gt;"),"")</f>
        <v>123</v>
      </c>
      <c r="Z714" s="29" t="str">
        <f>IF(Y714=1,COUNTIF($Y$2:Y714,1),"")</f>
        <v/>
      </c>
      <c r="AA714" s="29">
        <f>IF(AND(LEFT($B714,7)="SBA 26/",$C714&lt;&gt;"",$F714&lt;&gt;""),COUNTIFS($C$2:$C714,$C714,$B$2:$B714,"SBA 26/*",$F$2:$F714,"&lt;&gt;"),"")</f>
        <v>4</v>
      </c>
      <c r="AB714" s="29" t="str">
        <f>IF(AA714=1,COUNTIF($AA$2:AA714,1),"")</f>
        <v/>
      </c>
    </row>
    <row r="715" spans="1:28" ht="78.75" customHeight="1" x14ac:dyDescent="0.2">
      <c r="A715" s="43" t="s">
        <v>3308</v>
      </c>
      <c r="B715" s="43" t="s">
        <v>3309</v>
      </c>
      <c r="C715" s="44" t="s">
        <v>3310</v>
      </c>
      <c r="D715" s="44" t="s">
        <v>1595</v>
      </c>
      <c r="E715" s="45" t="s">
        <v>3311</v>
      </c>
      <c r="F715" s="45" t="s">
        <v>3312</v>
      </c>
      <c r="G715" s="46" t="s">
        <v>39</v>
      </c>
      <c r="H715" s="48">
        <v>46245</v>
      </c>
      <c r="I715" s="48">
        <v>46259</v>
      </c>
      <c r="J715" s="44" t="s">
        <v>123</v>
      </c>
      <c r="K715" s="44" t="s">
        <v>116</v>
      </c>
      <c r="L715" s="50"/>
      <c r="M715" s="50"/>
      <c r="N715" s="50"/>
      <c r="O715" s="49"/>
      <c r="P715" s="50"/>
      <c r="R715" s="51" t="str">
        <f t="shared" si="44"/>
        <v/>
      </c>
      <c r="T715" s="41"/>
      <c r="U715" s="29">
        <f>IF($C715&lt;&gt;"",COUNTIF($C$2:C715,C715),"")</f>
        <v>1</v>
      </c>
      <c r="V715" s="29" t="str">
        <f t="shared" si="45"/>
        <v>Dr. Öğr. Üyesi Tülin İLERİ§1</v>
      </c>
      <c r="W715" s="29">
        <f>IF(U715=1,COUNTIF($U$2:U715,1),"")</f>
        <v>341</v>
      </c>
      <c r="X715" s="29">
        <f t="shared" si="46"/>
        <v>169</v>
      </c>
      <c r="Y715" s="29">
        <f>IF(AND(LEFT($B715,7)="SBA 26/",$D715&lt;&gt;"",$F715&lt;&gt;""),COUNTIFS($D$2:$D715,$D715,$B$2:$B715,"SBA 26/*",$F$2:$F715,"&lt;&gt;"),"")</f>
        <v>4</v>
      </c>
      <c r="Z715" s="29" t="str">
        <f>IF(Y715=1,COUNTIF($Y$2:Y715,1),"")</f>
        <v/>
      </c>
      <c r="AA715" s="29">
        <f>IF(AND(LEFT($B715,7)="SBA 26/",$C715&lt;&gt;"",$F715&lt;&gt;""),COUNTIFS($C$2:$C715,$C715,$B$2:$B715,"SBA 26/*",$F$2:$F715,"&lt;&gt;"),"")</f>
        <v>1</v>
      </c>
      <c r="AB715" s="29">
        <f>IF(AA715=1,COUNTIF($AA$2:AA715,1),"")</f>
        <v>341</v>
      </c>
    </row>
    <row r="716" spans="1:28" ht="63" customHeight="1" x14ac:dyDescent="0.2">
      <c r="A716" s="43" t="s">
        <v>3313</v>
      </c>
      <c r="B716" s="43" t="s">
        <v>3314</v>
      </c>
      <c r="C716" s="44" t="s">
        <v>2282</v>
      </c>
      <c r="D716" s="44" t="s">
        <v>391</v>
      </c>
      <c r="E716" s="45" t="s">
        <v>3315</v>
      </c>
      <c r="F716" s="45" t="s">
        <v>3316</v>
      </c>
      <c r="G716" s="46" t="s">
        <v>39</v>
      </c>
      <c r="H716" s="48">
        <v>46245</v>
      </c>
      <c r="I716" s="48">
        <v>46259</v>
      </c>
      <c r="J716" s="44" t="s">
        <v>92</v>
      </c>
      <c r="K716" s="44" t="s">
        <v>108</v>
      </c>
      <c r="L716" s="50"/>
      <c r="M716" s="50"/>
      <c r="N716" s="50"/>
      <c r="O716" s="49"/>
      <c r="P716" s="50"/>
      <c r="R716" s="51" t="str">
        <f t="shared" si="44"/>
        <v/>
      </c>
      <c r="T716" s="41"/>
      <c r="U716" s="29">
        <f>IF($C716&lt;&gt;"",COUNTIF($C$2:C716,C716),"")</f>
        <v>2</v>
      </c>
      <c r="V716" s="29" t="str">
        <f t="shared" si="45"/>
        <v>Prof. Dr. Bülent ATİLLA§2</v>
      </c>
      <c r="W716" s="29" t="str">
        <f>IF(U716=1,COUNTIF($U$2:U716,1),"")</f>
        <v/>
      </c>
      <c r="X716" s="29" t="str">
        <f t="shared" si="46"/>
        <v/>
      </c>
      <c r="Y716" s="29">
        <f>IF(AND(LEFT($B716,7)="SBA 26/",$D716&lt;&gt;"",$F716&lt;&gt;""),COUNTIFS($D$2:$D716,$D716,$B$2:$B716,"SBA 26/*",$F$2:$F716,"&lt;&gt;"),"")</f>
        <v>17</v>
      </c>
      <c r="Z716" s="29" t="str">
        <f>IF(Y716=1,COUNTIF($Y$2:Y716,1),"")</f>
        <v/>
      </c>
      <c r="AA716" s="29">
        <f>IF(AND(LEFT($B716,7)="SBA 26/",$C716&lt;&gt;"",$F716&lt;&gt;""),COUNTIFS($C$2:$C716,$C716,$B$2:$B716,"SBA 26/*",$F$2:$F716,"&lt;&gt;"),"")</f>
        <v>2</v>
      </c>
      <c r="AB716" s="29" t="str">
        <f>IF(AA716=1,COUNTIF($AA$2:AA716,1),"")</f>
        <v/>
      </c>
    </row>
    <row r="717" spans="1:28" ht="78.75" customHeight="1" x14ac:dyDescent="0.2">
      <c r="A717" s="43" t="s">
        <v>3317</v>
      </c>
      <c r="B717" s="43" t="s">
        <v>3318</v>
      </c>
      <c r="C717" s="44" t="s">
        <v>2987</v>
      </c>
      <c r="D717" s="44" t="s">
        <v>1942</v>
      </c>
      <c r="E717" s="45" t="s">
        <v>3319</v>
      </c>
      <c r="F717" s="45" t="s">
        <v>3320</v>
      </c>
      <c r="G717" s="46" t="s">
        <v>38</v>
      </c>
      <c r="H717" s="48">
        <v>46245</v>
      </c>
      <c r="I717" s="48">
        <v>46259</v>
      </c>
      <c r="J717" s="44" t="s">
        <v>108</v>
      </c>
      <c r="K717" s="44" t="s">
        <v>100</v>
      </c>
      <c r="L717" s="50"/>
      <c r="M717" s="50"/>
      <c r="N717" s="50"/>
      <c r="O717" s="49"/>
      <c r="P717" s="50"/>
      <c r="R717" s="51" t="str">
        <f t="shared" si="44"/>
        <v/>
      </c>
      <c r="T717" s="41"/>
      <c r="U717" s="29">
        <f>IF($C717&lt;&gt;"",COUNTIF($C$2:C717,C717),"")</f>
        <v>2</v>
      </c>
      <c r="V717" s="29" t="str">
        <f t="shared" si="45"/>
        <v>Prof. Dr. Serap AYDIN§2</v>
      </c>
      <c r="W717" s="29" t="str">
        <f>IF(U717=1,COUNTIF($U$2:U717,1),"")</f>
        <v/>
      </c>
      <c r="X717" s="29" t="str">
        <f t="shared" si="46"/>
        <v/>
      </c>
      <c r="Y717" s="29">
        <f>IF(AND(LEFT($B717,7)="SBA 26/",$D717&lt;&gt;"",$F717&lt;&gt;""),COUNTIFS($D$2:$D717,$D717,$B$2:$B717,"SBA 26/*",$F$2:$F717,"&lt;&gt;"),"")</f>
        <v>3</v>
      </c>
      <c r="Z717" s="29" t="str">
        <f>IF(Y717=1,COUNTIF($Y$2:Y717,1),"")</f>
        <v/>
      </c>
      <c r="AA717" s="29">
        <f>IF(AND(LEFT($B717,7)="SBA 26/",$C717&lt;&gt;"",$F717&lt;&gt;""),COUNTIFS($C$2:$C717,$C717,$B$2:$B717,"SBA 26/*",$F$2:$F717,"&lt;&gt;"),"")</f>
        <v>2</v>
      </c>
      <c r="AB717" s="29" t="str">
        <f>IF(AA717=1,COUNTIF($AA$2:AA717,1),"")</f>
        <v/>
      </c>
    </row>
    <row r="718" spans="1:28" ht="63" customHeight="1" x14ac:dyDescent="0.2">
      <c r="A718" s="43" t="s">
        <v>3321</v>
      </c>
      <c r="B718" s="43" t="s">
        <v>3322</v>
      </c>
      <c r="C718" s="44" t="s">
        <v>1197</v>
      </c>
      <c r="D718" s="44" t="s">
        <v>364</v>
      </c>
      <c r="E718" s="45" t="s">
        <v>3323</v>
      </c>
      <c r="F718" s="45" t="s">
        <v>3324</v>
      </c>
      <c r="G718" s="46" t="s">
        <v>38</v>
      </c>
      <c r="H718" s="48">
        <v>46245</v>
      </c>
      <c r="I718" s="48">
        <v>46259</v>
      </c>
      <c r="J718" s="44" t="s">
        <v>108</v>
      </c>
      <c r="K718" s="44" t="s">
        <v>100</v>
      </c>
      <c r="L718" s="50"/>
      <c r="M718" s="50"/>
      <c r="N718" s="50"/>
      <c r="O718" s="49"/>
      <c r="P718" s="50"/>
      <c r="R718" s="51" t="str">
        <f t="shared" si="44"/>
        <v/>
      </c>
      <c r="T718" s="41"/>
      <c r="U718" s="29">
        <f>IF($C718&lt;&gt;"",COUNTIF($C$2:C718,C718),"")</f>
        <v>4</v>
      </c>
      <c r="V718" s="29" t="str">
        <f t="shared" si="45"/>
        <v>Prof. Dr. Fadime İrsel TEZER FİLİK§4</v>
      </c>
      <c r="W718" s="29" t="str">
        <f>IF(U718=1,COUNTIF($U$2:U718,1),"")</f>
        <v/>
      </c>
      <c r="X718" s="29" t="str">
        <f t="shared" si="46"/>
        <v/>
      </c>
      <c r="Y718" s="29">
        <f>IF(AND(LEFT($B718,7)="SBA 26/",$D718&lt;&gt;"",$F718&lt;&gt;""),COUNTIFS($D$2:$D718,$D718,$B$2:$B718,"SBA 26/*",$F$2:$F718,"&lt;&gt;"),"")</f>
        <v>22</v>
      </c>
      <c r="Z718" s="29" t="str">
        <f>IF(Y718=1,COUNTIF($Y$2:Y718,1),"")</f>
        <v/>
      </c>
      <c r="AA718" s="29">
        <f>IF(AND(LEFT($B718,7)="SBA 26/",$C718&lt;&gt;"",$F718&lt;&gt;""),COUNTIFS($C$2:$C718,$C718,$B$2:$B718,"SBA 26/*",$F$2:$F718,"&lt;&gt;"),"")</f>
        <v>4</v>
      </c>
      <c r="AB718" s="29" t="str">
        <f>IF(AA718=1,COUNTIF($AA$2:AA718,1),"")</f>
        <v/>
      </c>
    </row>
    <row r="719" spans="1:28" ht="78.75" customHeight="1" x14ac:dyDescent="0.2">
      <c r="A719" s="43" t="s">
        <v>3325</v>
      </c>
      <c r="B719" s="43" t="s">
        <v>3326</v>
      </c>
      <c r="C719" s="44" t="s">
        <v>260</v>
      </c>
      <c r="D719" s="44" t="s">
        <v>169</v>
      </c>
      <c r="E719" s="45" t="s">
        <v>3327</v>
      </c>
      <c r="F719" s="45" t="s">
        <v>3328</v>
      </c>
      <c r="G719" s="46" t="s">
        <v>38</v>
      </c>
      <c r="H719" s="48">
        <v>46245</v>
      </c>
      <c r="I719" s="48">
        <v>46259</v>
      </c>
      <c r="J719" s="44" t="s">
        <v>75</v>
      </c>
      <c r="K719" s="44" t="s">
        <v>123</v>
      </c>
      <c r="L719" s="50"/>
      <c r="M719" s="50"/>
      <c r="N719" s="50"/>
      <c r="O719" s="49"/>
      <c r="P719" s="50"/>
      <c r="R719" s="51" t="str">
        <f t="shared" si="44"/>
        <v/>
      </c>
      <c r="T719" s="41"/>
      <c r="U719" s="29">
        <f>IF($C719&lt;&gt;"",COUNTIF($C$2:C719,C719),"")</f>
        <v>4</v>
      </c>
      <c r="V719" s="29" t="str">
        <f t="shared" si="45"/>
        <v>Prof. Dr. Ebru DAMADOĞLU§4</v>
      </c>
      <c r="W719" s="29" t="str">
        <f>IF(U719=1,COUNTIF($U$2:U719,1),"")</f>
        <v/>
      </c>
      <c r="X719" s="29" t="str">
        <f t="shared" si="46"/>
        <v/>
      </c>
      <c r="Y719" s="29">
        <f>IF(AND(LEFT($B719,7)="SBA 26/",$D719&lt;&gt;"",$F719&lt;&gt;""),COUNTIFS($D$2:$D719,$D719,$B$2:$B719,"SBA 26/*",$F$2:$F719,"&lt;&gt;"),"")</f>
        <v>19</v>
      </c>
      <c r="Z719" s="29" t="str">
        <f>IF(Y719=1,COUNTIF($Y$2:Y719,1),"")</f>
        <v/>
      </c>
      <c r="AA719" s="29">
        <f>IF(AND(LEFT($B719,7)="SBA 26/",$C719&lt;&gt;"",$F719&lt;&gt;""),COUNTIFS($C$2:$C719,$C719,$B$2:$B719,"SBA 26/*",$F$2:$F719,"&lt;&gt;"),"")</f>
        <v>4</v>
      </c>
      <c r="AB719" s="29" t="str">
        <f>IF(AA719=1,COUNTIF($AA$2:AA719,1),"")</f>
        <v/>
      </c>
    </row>
    <row r="720" spans="1:28" ht="63" customHeight="1" x14ac:dyDescent="0.2">
      <c r="A720" s="43" t="s">
        <v>3329</v>
      </c>
      <c r="B720" s="43" t="s">
        <v>3330</v>
      </c>
      <c r="C720" s="44" t="s">
        <v>374</v>
      </c>
      <c r="D720" s="44" t="s">
        <v>341</v>
      </c>
      <c r="E720" s="45" t="s">
        <v>3331</v>
      </c>
      <c r="F720" s="45" t="s">
        <v>3332</v>
      </c>
      <c r="G720" s="46" t="s">
        <v>38</v>
      </c>
      <c r="H720" s="48">
        <v>46245</v>
      </c>
      <c r="I720" s="48">
        <v>46259</v>
      </c>
      <c r="J720" s="44" t="s">
        <v>116</v>
      </c>
      <c r="K720" s="44" t="s">
        <v>92</v>
      </c>
      <c r="L720" s="50"/>
      <c r="M720" s="50"/>
      <c r="N720" s="50"/>
      <c r="O720" s="49"/>
      <c r="P720" s="50"/>
      <c r="R720" s="51" t="str">
        <f t="shared" si="44"/>
        <v/>
      </c>
      <c r="T720" s="41"/>
      <c r="U720" s="29">
        <f>IF($C720&lt;&gt;"",COUNTIF($C$2:C720,C720),"")</f>
        <v>2</v>
      </c>
      <c r="V720" s="29" t="str">
        <f t="shared" si="45"/>
        <v>Doç. Dr. Neslihan AKDOĞAN§2</v>
      </c>
      <c r="W720" s="29" t="str">
        <f>IF(U720=1,COUNTIF($U$2:U720,1),"")</f>
        <v/>
      </c>
      <c r="X720" s="29" t="str">
        <f t="shared" si="46"/>
        <v/>
      </c>
      <c r="Y720" s="29">
        <f>IF(AND(LEFT($B720,7)="SBA 26/",$D720&lt;&gt;"",$F720&lt;&gt;""),COUNTIFS($D$2:$D720,$D720,$B$2:$B720,"SBA 26/*",$F$2:$F720,"&lt;&gt;"),"")</f>
        <v>12</v>
      </c>
      <c r="Z720" s="29" t="str">
        <f>IF(Y720=1,COUNTIF($Y$2:Y720,1),"")</f>
        <v/>
      </c>
      <c r="AA720" s="29">
        <f>IF(AND(LEFT($B720,7)="SBA 26/",$C720&lt;&gt;"",$F720&lt;&gt;""),COUNTIFS($C$2:$C720,$C720,$B$2:$B720,"SBA 26/*",$F$2:$F720,"&lt;&gt;"),"")</f>
        <v>2</v>
      </c>
      <c r="AB720" s="29" t="str">
        <f>IF(AA720=1,COUNTIF($AA$2:AA720,1),"")</f>
        <v/>
      </c>
    </row>
    <row r="721" spans="1:28" ht="78.75" customHeight="1" x14ac:dyDescent="0.2">
      <c r="A721" s="43" t="s">
        <v>3333</v>
      </c>
      <c r="B721" s="43" t="s">
        <v>3334</v>
      </c>
      <c r="C721" s="44" t="s">
        <v>3335</v>
      </c>
      <c r="D721" s="44" t="s">
        <v>222</v>
      </c>
      <c r="E721" s="45" t="s">
        <v>3336</v>
      </c>
      <c r="F721" s="45" t="s">
        <v>3337</v>
      </c>
      <c r="G721" s="46" t="s">
        <v>38</v>
      </c>
      <c r="H721" s="48">
        <v>46245</v>
      </c>
      <c r="I721" s="48">
        <v>46259</v>
      </c>
      <c r="J721" s="44" t="s">
        <v>100</v>
      </c>
      <c r="K721" s="44" t="s">
        <v>108</v>
      </c>
      <c r="L721" s="50"/>
      <c r="M721" s="50"/>
      <c r="N721" s="50"/>
      <c r="O721" s="49"/>
      <c r="P721" s="50"/>
      <c r="R721" s="51" t="str">
        <f t="shared" si="44"/>
        <v/>
      </c>
      <c r="T721" s="41"/>
      <c r="U721" s="29">
        <f>IF($C721&lt;&gt;"",COUNTIF($C$2:C721,C721),"")</f>
        <v>1</v>
      </c>
      <c r="V721" s="29" t="str">
        <f t="shared" si="45"/>
        <v>Doç. Dr. Ceren GÜNBEY§1</v>
      </c>
      <c r="W721" s="29">
        <f>IF(U721=1,COUNTIF($U$2:U721,1),"")</f>
        <v>342</v>
      </c>
      <c r="X721" s="29">
        <f t="shared" si="46"/>
        <v>35</v>
      </c>
      <c r="Y721" s="29">
        <f>IF(AND(LEFT($B721,7)="SBA 26/",$D721&lt;&gt;"",$F721&lt;&gt;""),COUNTIFS($D$2:$D721,$D721,$B$2:$B721,"SBA 26/*",$F$2:$F721,"&lt;&gt;"),"")</f>
        <v>124</v>
      </c>
      <c r="Z721" s="29" t="str">
        <f>IF(Y721=1,COUNTIF($Y$2:Y721,1),"")</f>
        <v/>
      </c>
      <c r="AA721" s="29">
        <f>IF(AND(LEFT($B721,7)="SBA 26/",$C721&lt;&gt;"",$F721&lt;&gt;""),COUNTIFS($C$2:$C721,$C721,$B$2:$B721,"SBA 26/*",$F$2:$F721,"&lt;&gt;"),"")</f>
        <v>1</v>
      </c>
      <c r="AB721" s="29">
        <f>IF(AA721=1,COUNTIF($AA$2:AA721,1),"")</f>
        <v>342</v>
      </c>
    </row>
    <row r="722" spans="1:28" ht="63" customHeight="1" x14ac:dyDescent="0.2">
      <c r="A722" s="43" t="s">
        <v>3338</v>
      </c>
      <c r="B722" s="43" t="s">
        <v>3339</v>
      </c>
      <c r="C722" s="44" t="s">
        <v>519</v>
      </c>
      <c r="D722" s="44" t="s">
        <v>364</v>
      </c>
      <c r="E722" s="45" t="s">
        <v>3340</v>
      </c>
      <c r="F722" s="45" t="s">
        <v>3341</v>
      </c>
      <c r="G722" s="46" t="s">
        <v>38</v>
      </c>
      <c r="H722" s="48">
        <v>46245</v>
      </c>
      <c r="I722" s="48">
        <v>46259</v>
      </c>
      <c r="J722" s="44" t="s">
        <v>108</v>
      </c>
      <c r="K722" s="44" t="s">
        <v>75</v>
      </c>
      <c r="L722" s="50"/>
      <c r="M722" s="50"/>
      <c r="N722" s="50"/>
      <c r="O722" s="49"/>
      <c r="P722" s="50"/>
      <c r="R722" s="51" t="str">
        <f t="shared" si="44"/>
        <v/>
      </c>
      <c r="T722" s="41"/>
      <c r="U722" s="29">
        <f>IF($C722&lt;&gt;"",COUNTIF($C$2:C722,C722),"")</f>
        <v>7</v>
      </c>
      <c r="V722" s="29" t="str">
        <f t="shared" si="45"/>
        <v>Prof. Dr. Neşe DERİCİOĞLU§7</v>
      </c>
      <c r="W722" s="29" t="str">
        <f>IF(U722=1,COUNTIF($U$2:U722,1),"")</f>
        <v/>
      </c>
      <c r="X722" s="29" t="str">
        <f t="shared" si="46"/>
        <v/>
      </c>
      <c r="Y722" s="29">
        <f>IF(AND(LEFT($B722,7)="SBA 26/",$D722&lt;&gt;"",$F722&lt;&gt;""),COUNTIFS($D$2:$D722,$D722,$B$2:$B722,"SBA 26/*",$F$2:$F722,"&lt;&gt;"),"")</f>
        <v>23</v>
      </c>
      <c r="Z722" s="29" t="str">
        <f>IF(Y722=1,COUNTIF($Y$2:Y722,1),"")</f>
        <v/>
      </c>
      <c r="AA722" s="29">
        <f>IF(AND(LEFT($B722,7)="SBA 26/",$C722&lt;&gt;"",$F722&lt;&gt;""),COUNTIFS($C$2:$C722,$C722,$B$2:$B722,"SBA 26/*",$F$2:$F722,"&lt;&gt;"),"")</f>
        <v>7</v>
      </c>
      <c r="AB722" s="29" t="str">
        <f>IF(AA722=1,COUNTIF($AA$2:AA722,1),"")</f>
        <v/>
      </c>
    </row>
    <row r="723" spans="1:28" ht="126" customHeight="1" x14ac:dyDescent="0.2">
      <c r="A723" s="43" t="s">
        <v>3342</v>
      </c>
      <c r="B723" s="43" t="s">
        <v>3343</v>
      </c>
      <c r="C723" s="44" t="s">
        <v>809</v>
      </c>
      <c r="D723" s="44" t="s">
        <v>222</v>
      </c>
      <c r="E723" s="45" t="s">
        <v>3344</v>
      </c>
      <c r="F723" s="45" t="s">
        <v>3345</v>
      </c>
      <c r="G723" s="46" t="s">
        <v>38</v>
      </c>
      <c r="H723" s="48">
        <v>46245</v>
      </c>
      <c r="I723" s="48">
        <v>46259</v>
      </c>
      <c r="J723" s="44" t="s">
        <v>91</v>
      </c>
      <c r="K723" s="44" t="s">
        <v>123</v>
      </c>
      <c r="L723" s="50"/>
      <c r="M723" s="50"/>
      <c r="N723" s="50"/>
      <c r="O723" s="49"/>
      <c r="P723" s="50"/>
      <c r="R723" s="51" t="str">
        <f t="shared" si="44"/>
        <v/>
      </c>
      <c r="T723" s="41"/>
      <c r="U723" s="29">
        <f>IF($C723&lt;&gt;"",COUNTIF($C$2:C723,C723),"")</f>
        <v>3</v>
      </c>
      <c r="V723" s="29" t="str">
        <f t="shared" si="45"/>
        <v>Prof. Dr. Nagehan EMİRALİOĞLU ORDUKAYA§3</v>
      </c>
      <c r="W723" s="29" t="str">
        <f>IF(U723=1,COUNTIF($U$2:U723,1),"")</f>
        <v/>
      </c>
      <c r="X723" s="29" t="str">
        <f t="shared" si="46"/>
        <v/>
      </c>
      <c r="Y723" s="29">
        <f>IF(AND(LEFT($B723,7)="SBA 26/",$D723&lt;&gt;"",$F723&lt;&gt;""),COUNTIFS($D$2:$D723,$D723,$B$2:$B723,"SBA 26/*",$F$2:$F723,"&lt;&gt;"),"")</f>
        <v>125</v>
      </c>
      <c r="Z723" s="29" t="str">
        <f>IF(Y723=1,COUNTIF($Y$2:Y723,1),"")</f>
        <v/>
      </c>
      <c r="AA723" s="29">
        <f>IF(AND(LEFT($B723,7)="SBA 26/",$C723&lt;&gt;"",$F723&lt;&gt;""),COUNTIFS($C$2:$C723,$C723,$B$2:$B723,"SBA 26/*",$F$2:$F723,"&lt;&gt;"),"")</f>
        <v>3</v>
      </c>
      <c r="AB723" s="29" t="str">
        <f>IF(AA723=1,COUNTIF($AA$2:AA723,1),"")</f>
        <v/>
      </c>
    </row>
    <row r="724" spans="1:28" ht="78.75" customHeight="1" x14ac:dyDescent="0.2">
      <c r="A724" s="43" t="s">
        <v>3346</v>
      </c>
      <c r="B724" s="43" t="s">
        <v>3347</v>
      </c>
      <c r="C724" s="44" t="s">
        <v>519</v>
      </c>
      <c r="D724" s="44" t="s">
        <v>364</v>
      </c>
      <c r="E724" s="45" t="s">
        <v>3348</v>
      </c>
      <c r="F724" s="45" t="s">
        <v>3349</v>
      </c>
      <c r="G724" s="46" t="s">
        <v>39</v>
      </c>
      <c r="H724" s="48">
        <v>46245</v>
      </c>
      <c r="I724" s="48">
        <v>46259</v>
      </c>
      <c r="J724" s="44" t="s">
        <v>92</v>
      </c>
      <c r="K724" s="44" t="s">
        <v>116</v>
      </c>
      <c r="L724" s="50"/>
      <c r="M724" s="50"/>
      <c r="N724" s="50"/>
      <c r="O724" s="49"/>
      <c r="P724" s="50"/>
      <c r="R724" s="51" t="str">
        <f t="shared" si="44"/>
        <v/>
      </c>
      <c r="T724" s="41"/>
      <c r="U724" s="29">
        <f>IF($C724&lt;&gt;"",COUNTIF($C$2:C724,C724),"")</f>
        <v>8</v>
      </c>
      <c r="V724" s="29" t="str">
        <f t="shared" si="45"/>
        <v>Prof. Dr. Neşe DERİCİOĞLU§8</v>
      </c>
      <c r="W724" s="29" t="str">
        <f>IF(U724=1,COUNTIF($U$2:U724,1),"")</f>
        <v/>
      </c>
      <c r="X724" s="29" t="str">
        <f t="shared" si="46"/>
        <v/>
      </c>
      <c r="Y724" s="29">
        <f>IF(AND(LEFT($B724,7)="SBA 26/",$D724&lt;&gt;"",$F724&lt;&gt;""),COUNTIFS($D$2:$D724,$D724,$B$2:$B724,"SBA 26/*",$F$2:$F724,"&lt;&gt;"),"")</f>
        <v>24</v>
      </c>
      <c r="Z724" s="29" t="str">
        <f>IF(Y724=1,COUNTIF($Y$2:Y724,1),"")</f>
        <v/>
      </c>
      <c r="AA724" s="29">
        <f>IF(AND(LEFT($B724,7)="SBA 26/",$C724&lt;&gt;"",$F724&lt;&gt;""),COUNTIFS($C$2:$C724,$C724,$B$2:$B724,"SBA 26/*",$F$2:$F724,"&lt;&gt;"),"")</f>
        <v>8</v>
      </c>
      <c r="AB724" s="29" t="str">
        <f>IF(AA724=1,COUNTIF($AA$2:AA724,1),"")</f>
        <v/>
      </c>
    </row>
    <row r="725" spans="1:28" ht="94.5" customHeight="1" x14ac:dyDescent="0.2">
      <c r="A725" s="43" t="s">
        <v>3350</v>
      </c>
      <c r="B725" s="43" t="s">
        <v>3351</v>
      </c>
      <c r="C725" s="44" t="s">
        <v>379</v>
      </c>
      <c r="D725" s="44" t="s">
        <v>222</v>
      </c>
      <c r="E725" s="45" t="s">
        <v>3352</v>
      </c>
      <c r="F725" s="45" t="s">
        <v>3353</v>
      </c>
      <c r="G725" s="46" t="s">
        <v>38</v>
      </c>
      <c r="H725" s="48">
        <v>46245</v>
      </c>
      <c r="I725" s="48">
        <v>46273</v>
      </c>
      <c r="J725" s="44"/>
      <c r="K725" s="44"/>
      <c r="L725" s="50"/>
      <c r="M725" s="50"/>
      <c r="N725" s="50"/>
      <c r="O725" s="49"/>
      <c r="P725" s="50"/>
      <c r="R725" s="51" t="str">
        <f t="shared" si="44"/>
        <v/>
      </c>
      <c r="T725" s="41"/>
      <c r="U725" s="29">
        <f>IF($C725&lt;&gt;"",COUNTIF($C$2:C725,C725),"")</f>
        <v>14</v>
      </c>
      <c r="V725" s="29" t="str">
        <f t="shared" si="45"/>
        <v>Prof. Dr. Deniz ÇAĞDAŞ AYVAZ§14</v>
      </c>
      <c r="W725" s="29" t="str">
        <f>IF(U725=1,COUNTIF($U$2:U725,1),"")</f>
        <v/>
      </c>
      <c r="X725" s="29" t="str">
        <f t="shared" si="46"/>
        <v/>
      </c>
      <c r="Y725" s="29">
        <f>IF(AND(LEFT($B725,7)="SBA 26/",$D725&lt;&gt;"",$F725&lt;&gt;""),COUNTIFS($D$2:$D725,$D725,$B$2:$B725,"SBA 26/*",$F$2:$F725,"&lt;&gt;"),"")</f>
        <v>126</v>
      </c>
      <c r="Z725" s="29" t="str">
        <f>IF(Y725=1,COUNTIF($Y$2:Y725,1),"")</f>
        <v/>
      </c>
      <c r="AA725" s="29">
        <f>IF(AND(LEFT($B725,7)="SBA 26/",$C725&lt;&gt;"",$F725&lt;&gt;""),COUNTIFS($C$2:$C725,$C725,$B$2:$B725,"SBA 26/*",$F$2:$F725,"&lt;&gt;"),"")</f>
        <v>14</v>
      </c>
      <c r="AB725" s="29" t="str">
        <f>IF(AA725=1,COUNTIF($AA$2:AA725,1),"")</f>
        <v/>
      </c>
    </row>
    <row r="726" spans="1:28" ht="78.75" customHeight="1" x14ac:dyDescent="0.2">
      <c r="A726" s="43" t="s">
        <v>3354</v>
      </c>
      <c r="B726" s="43" t="s">
        <v>3355</v>
      </c>
      <c r="C726" s="44" t="s">
        <v>379</v>
      </c>
      <c r="D726" s="44" t="s">
        <v>222</v>
      </c>
      <c r="E726" s="45" t="s">
        <v>2904</v>
      </c>
      <c r="F726" s="45" t="s">
        <v>3356</v>
      </c>
      <c r="G726" s="46" t="s">
        <v>38</v>
      </c>
      <c r="H726" s="48">
        <v>46245</v>
      </c>
      <c r="I726" s="48">
        <v>46273</v>
      </c>
      <c r="J726" s="44"/>
      <c r="K726" s="44"/>
      <c r="L726" s="50"/>
      <c r="M726" s="50"/>
      <c r="N726" s="50"/>
      <c r="O726" s="49"/>
      <c r="P726" s="50"/>
      <c r="R726" s="51" t="str">
        <f t="shared" si="44"/>
        <v/>
      </c>
      <c r="T726" s="41"/>
      <c r="U726" s="29">
        <f>IF($C726&lt;&gt;"",COUNTIF($C$2:C726,C726),"")</f>
        <v>15</v>
      </c>
      <c r="V726" s="29" t="str">
        <f t="shared" si="45"/>
        <v>Prof. Dr. Deniz ÇAĞDAŞ AYVAZ§15</v>
      </c>
      <c r="W726" s="29" t="str">
        <f>IF(U726=1,COUNTIF($U$2:U726,1),"")</f>
        <v/>
      </c>
      <c r="X726" s="29" t="str">
        <f t="shared" si="46"/>
        <v/>
      </c>
      <c r="Y726" s="29">
        <f>IF(AND(LEFT($B726,7)="SBA 26/",$D726&lt;&gt;"",$F726&lt;&gt;""),COUNTIFS($D$2:$D726,$D726,$B$2:$B726,"SBA 26/*",$F$2:$F726,"&lt;&gt;"),"")</f>
        <v>127</v>
      </c>
      <c r="Z726" s="29" t="str">
        <f>IF(Y726=1,COUNTIF($Y$2:Y726,1),"")</f>
        <v/>
      </c>
      <c r="AA726" s="29">
        <f>IF(AND(LEFT($B726,7)="SBA 26/",$C726&lt;&gt;"",$F726&lt;&gt;""),COUNTIFS($C$2:$C726,$C726,$B$2:$B726,"SBA 26/*",$F$2:$F726,"&lt;&gt;"),"")</f>
        <v>15</v>
      </c>
      <c r="AB726" s="29" t="str">
        <f>IF(AA726=1,COUNTIF($AA$2:AA726,1),"")</f>
        <v/>
      </c>
    </row>
    <row r="727" spans="1:28" ht="78.75" customHeight="1" x14ac:dyDescent="0.2">
      <c r="A727" s="43" t="s">
        <v>3357</v>
      </c>
      <c r="B727" s="43" t="s">
        <v>3358</v>
      </c>
      <c r="C727" s="44" t="s">
        <v>1432</v>
      </c>
      <c r="D727" s="44" t="s">
        <v>113</v>
      </c>
      <c r="E727" s="45" t="s">
        <v>3359</v>
      </c>
      <c r="F727" s="45" t="s">
        <v>3360</v>
      </c>
      <c r="G727" s="46" t="s">
        <v>38</v>
      </c>
      <c r="H727" s="48">
        <v>46245</v>
      </c>
      <c r="I727" s="48">
        <v>46273</v>
      </c>
      <c r="J727" s="44"/>
      <c r="K727" s="44"/>
      <c r="L727" s="50"/>
      <c r="M727" s="50"/>
      <c r="N727" s="50"/>
      <c r="O727" s="49"/>
      <c r="P727" s="50"/>
      <c r="R727" s="51" t="str">
        <f t="shared" si="44"/>
        <v/>
      </c>
      <c r="T727" s="41"/>
      <c r="U727" s="29">
        <f>IF($C727&lt;&gt;"",COUNTIF($C$2:C727,C727),"")</f>
        <v>12</v>
      </c>
      <c r="V727" s="29" t="str">
        <f t="shared" si="45"/>
        <v>Prof. Dr. Taylan KAV§12</v>
      </c>
      <c r="W727" s="29" t="str">
        <f>IF(U727=1,COUNTIF($U$2:U727,1),"")</f>
        <v/>
      </c>
      <c r="X727" s="29" t="str">
        <f t="shared" si="46"/>
        <v/>
      </c>
      <c r="Y727" s="29">
        <f>IF(AND(LEFT($B727,7)="SBA 26/",$D727&lt;&gt;"",$F727&lt;&gt;""),COUNTIFS($D$2:$D727,$D727,$B$2:$B727,"SBA 26/*",$F$2:$F727,"&lt;&gt;"),"")</f>
        <v>126</v>
      </c>
      <c r="Z727" s="29" t="str">
        <f>IF(Y727=1,COUNTIF($Y$2:Y727,1),"")</f>
        <v/>
      </c>
      <c r="AA727" s="29">
        <f>IF(AND(LEFT($B727,7)="SBA 26/",$C727&lt;&gt;"",$F727&lt;&gt;""),COUNTIFS($C$2:$C727,$C727,$B$2:$B727,"SBA 26/*",$F$2:$F727,"&lt;&gt;"),"")</f>
        <v>12</v>
      </c>
      <c r="AB727" s="29" t="str">
        <f>IF(AA727=1,COUNTIF($AA$2:AA727,1),"")</f>
        <v/>
      </c>
    </row>
    <row r="728" spans="1:28" ht="78.75" customHeight="1" x14ac:dyDescent="0.2">
      <c r="A728" s="43" t="s">
        <v>3361</v>
      </c>
      <c r="B728" s="43" t="s">
        <v>3362</v>
      </c>
      <c r="C728" s="44" t="s">
        <v>1432</v>
      </c>
      <c r="D728" s="44" t="s">
        <v>113</v>
      </c>
      <c r="E728" s="45" t="s">
        <v>3363</v>
      </c>
      <c r="F728" s="45" t="s">
        <v>3364</v>
      </c>
      <c r="G728" s="46" t="s">
        <v>38</v>
      </c>
      <c r="H728" s="48">
        <v>46245</v>
      </c>
      <c r="I728" s="48">
        <v>46273</v>
      </c>
      <c r="J728" s="44"/>
      <c r="K728" s="44"/>
      <c r="L728" s="50"/>
      <c r="M728" s="50"/>
      <c r="N728" s="50"/>
      <c r="O728" s="49"/>
      <c r="P728" s="50"/>
      <c r="R728" s="51" t="str">
        <f t="shared" si="44"/>
        <v/>
      </c>
      <c r="T728" s="41"/>
      <c r="U728" s="29">
        <f>IF($C728&lt;&gt;"",COUNTIF($C$2:C728,C728),"")</f>
        <v>13</v>
      </c>
      <c r="V728" s="29" t="str">
        <f t="shared" si="45"/>
        <v>Prof. Dr. Taylan KAV§13</v>
      </c>
      <c r="W728" s="29" t="str">
        <f>IF(U728=1,COUNTIF($U$2:U728,1),"")</f>
        <v/>
      </c>
      <c r="X728" s="29" t="str">
        <f t="shared" si="46"/>
        <v/>
      </c>
      <c r="Y728" s="29">
        <f>IF(AND(LEFT($B728,7)="SBA 26/",$D728&lt;&gt;"",$F728&lt;&gt;""),COUNTIFS($D$2:$D728,$D728,$B$2:$B728,"SBA 26/*",$F$2:$F728,"&lt;&gt;"),"")</f>
        <v>127</v>
      </c>
      <c r="Z728" s="29" t="str">
        <f>IF(Y728=1,COUNTIF($Y$2:Y728,1),"")</f>
        <v/>
      </c>
      <c r="AA728" s="29">
        <f>IF(AND(LEFT($B728,7)="SBA 26/",$C728&lt;&gt;"",$F728&lt;&gt;""),COUNTIFS($C$2:$C728,$C728,$B$2:$B728,"SBA 26/*",$F$2:$F728,"&lt;&gt;"),"")</f>
        <v>13</v>
      </c>
      <c r="AB728" s="29" t="str">
        <f>IF(AA728=1,COUNTIF($AA$2:AA728,1),"")</f>
        <v/>
      </c>
    </row>
    <row r="729" spans="1:28" ht="63" customHeight="1" x14ac:dyDescent="0.2">
      <c r="A729" s="43" t="s">
        <v>3365</v>
      </c>
      <c r="B729" s="43" t="s">
        <v>3366</v>
      </c>
      <c r="C729" s="44" t="s">
        <v>2219</v>
      </c>
      <c r="D729" s="44" t="s">
        <v>430</v>
      </c>
      <c r="E729" s="45" t="s">
        <v>3367</v>
      </c>
      <c r="F729" s="45" t="s">
        <v>3368</v>
      </c>
      <c r="G729" s="46" t="s">
        <v>39</v>
      </c>
      <c r="H729" s="48">
        <v>46245</v>
      </c>
      <c r="I729" s="48">
        <v>46273</v>
      </c>
      <c r="J729" s="44"/>
      <c r="K729" s="44"/>
      <c r="L729" s="50"/>
      <c r="M729" s="50"/>
      <c r="N729" s="50"/>
      <c r="O729" s="49"/>
      <c r="P729" s="50"/>
      <c r="R729" s="51" t="str">
        <f t="shared" si="44"/>
        <v/>
      </c>
      <c r="T729" s="41"/>
      <c r="U729" s="29">
        <f>IF($C729&lt;&gt;"",COUNTIF($C$2:C729,C729),"")</f>
        <v>2</v>
      </c>
      <c r="V729" s="29" t="str">
        <f t="shared" si="45"/>
        <v>Dr. Öğr. Üyesi Emre MUTLU§2</v>
      </c>
      <c r="W729" s="29" t="str">
        <f>IF(U729=1,COUNTIF($U$2:U729,1),"")</f>
        <v/>
      </c>
      <c r="X729" s="29" t="str">
        <f t="shared" si="46"/>
        <v/>
      </c>
      <c r="Y729" s="29">
        <f>IF(AND(LEFT($B729,7)="SBA 26/",$D729&lt;&gt;"",$F729&lt;&gt;""),COUNTIFS($D$2:$D729,$D729,$B$2:$B729,"SBA 26/*",$F$2:$F729,"&lt;&gt;"),"")</f>
        <v>7</v>
      </c>
      <c r="Z729" s="29" t="str">
        <f>IF(Y729=1,COUNTIF($Y$2:Y729,1),"")</f>
        <v/>
      </c>
      <c r="AA729" s="29">
        <f>IF(AND(LEFT($B729,7)="SBA 26/",$C729&lt;&gt;"",$F729&lt;&gt;""),COUNTIFS($C$2:$C729,$C729,$B$2:$B729,"SBA 26/*",$F$2:$F729,"&lt;&gt;"),"")</f>
        <v>2</v>
      </c>
      <c r="AB729" s="29" t="str">
        <f>IF(AA729=1,COUNTIF($AA$2:AA729,1),"")</f>
        <v/>
      </c>
    </row>
    <row r="730" spans="1:28" ht="78.75" customHeight="1" x14ac:dyDescent="0.2">
      <c r="A730" s="43" t="s">
        <v>3369</v>
      </c>
      <c r="B730" s="43" t="s">
        <v>3370</v>
      </c>
      <c r="C730" s="44" t="s">
        <v>3371</v>
      </c>
      <c r="D730" s="44" t="s">
        <v>1143</v>
      </c>
      <c r="E730" s="45" t="s">
        <v>3372</v>
      </c>
      <c r="F730" s="45" t="s">
        <v>3373</v>
      </c>
      <c r="G730" s="46" t="s">
        <v>38</v>
      </c>
      <c r="H730" s="48">
        <v>46245</v>
      </c>
      <c r="I730" s="48">
        <v>46273</v>
      </c>
      <c r="J730" s="44"/>
      <c r="K730" s="44"/>
      <c r="L730" s="50"/>
      <c r="M730" s="50"/>
      <c r="N730" s="50"/>
      <c r="O730" s="49"/>
      <c r="P730" s="50"/>
      <c r="R730" s="51" t="str">
        <f t="shared" si="44"/>
        <v/>
      </c>
      <c r="T730" s="41"/>
      <c r="U730" s="29">
        <f>IF($C730&lt;&gt;"",COUNTIF($C$2:C730,C730),"")</f>
        <v>1</v>
      </c>
      <c r="V730" s="29" t="str">
        <f t="shared" si="45"/>
        <v>Dr. Öğr. Üyesi Güven Ozan KAPLAN§1</v>
      </c>
      <c r="W730" s="29">
        <f>IF(U730=1,COUNTIF($U$2:U730,1),"")</f>
        <v>343</v>
      </c>
      <c r="X730" s="29">
        <f t="shared" si="46"/>
        <v>144</v>
      </c>
      <c r="Y730" s="29">
        <f>IF(AND(LEFT($B730,7)="SBA 26/",$D730&lt;&gt;"",$F730&lt;&gt;""),COUNTIFS($D$2:$D730,$D730,$B$2:$B730,"SBA 26/*",$F$2:$F730,"&lt;&gt;"),"")</f>
        <v>9</v>
      </c>
      <c r="Z730" s="29" t="str">
        <f>IF(Y730=1,COUNTIF($Y$2:Y730,1),"")</f>
        <v/>
      </c>
      <c r="AA730" s="29">
        <f>IF(AND(LEFT($B730,7)="SBA 26/",$C730&lt;&gt;"",$F730&lt;&gt;""),COUNTIFS($C$2:$C730,$C730,$B$2:$B730,"SBA 26/*",$F$2:$F730,"&lt;&gt;"),"")</f>
        <v>1</v>
      </c>
      <c r="AB730" s="29">
        <f>IF(AA730=1,COUNTIF($AA$2:AA730,1),"")</f>
        <v>343</v>
      </c>
    </row>
    <row r="731" spans="1:28" ht="63" customHeight="1" x14ac:dyDescent="0.2">
      <c r="A731" s="43" t="s">
        <v>3374</v>
      </c>
      <c r="B731" s="43" t="s">
        <v>3375</v>
      </c>
      <c r="C731" s="44" t="s">
        <v>3376</v>
      </c>
      <c r="D731" s="44" t="s">
        <v>1821</v>
      </c>
      <c r="E731" s="45" t="s">
        <v>3377</v>
      </c>
      <c r="F731" s="45" t="s">
        <v>3378</v>
      </c>
      <c r="G731" s="46" t="s">
        <v>38</v>
      </c>
      <c r="H731" s="48">
        <v>46245</v>
      </c>
      <c r="I731" s="48">
        <v>46273</v>
      </c>
      <c r="J731" s="44"/>
      <c r="K731" s="44"/>
      <c r="L731" s="50"/>
      <c r="M731" s="50"/>
      <c r="N731" s="50"/>
      <c r="O731" s="49"/>
      <c r="P731" s="50"/>
      <c r="R731" s="51" t="str">
        <f t="shared" si="44"/>
        <v/>
      </c>
      <c r="T731" s="41"/>
      <c r="U731" s="29">
        <f>IF($C731&lt;&gt;"",COUNTIF($C$2:C731,C731),"")</f>
        <v>1</v>
      </c>
      <c r="V731" s="29" t="str">
        <f t="shared" si="45"/>
        <v>Arş. Gör. Dr. Sinan Efe YAZICI§1</v>
      </c>
      <c r="W731" s="29">
        <f>IF(U731=1,COUNTIF($U$2:U731,1),"")</f>
        <v>344</v>
      </c>
      <c r="X731" s="29">
        <f t="shared" si="46"/>
        <v>10</v>
      </c>
      <c r="Y731" s="29">
        <f>IF(AND(LEFT($B731,7)="SBA 26/",$D731&lt;&gt;"",$F731&lt;&gt;""),COUNTIFS($D$2:$D731,$D731,$B$2:$B731,"SBA 26/*",$F$2:$F731,"&lt;&gt;"),"")</f>
        <v>2</v>
      </c>
      <c r="Z731" s="29" t="str">
        <f>IF(Y731=1,COUNTIF($Y$2:Y731,1),"")</f>
        <v/>
      </c>
      <c r="AA731" s="29">
        <f>IF(AND(LEFT($B731,7)="SBA 26/",$C731&lt;&gt;"",$F731&lt;&gt;""),COUNTIFS($C$2:$C731,$C731,$B$2:$B731,"SBA 26/*",$F$2:$F731,"&lt;&gt;"),"")</f>
        <v>1</v>
      </c>
      <c r="AB731" s="29">
        <f>IF(AA731=1,COUNTIF($AA$2:AA731,1),"")</f>
        <v>344</v>
      </c>
    </row>
    <row r="732" spans="1:28" ht="78.75" customHeight="1" x14ac:dyDescent="0.2">
      <c r="A732" s="43" t="s">
        <v>3379</v>
      </c>
      <c r="B732" s="43" t="s">
        <v>3380</v>
      </c>
      <c r="C732" s="44" t="s">
        <v>3381</v>
      </c>
      <c r="D732" s="44" t="s">
        <v>991</v>
      </c>
      <c r="E732" s="45" t="s">
        <v>3382</v>
      </c>
      <c r="F732" s="45" t="s">
        <v>3383</v>
      </c>
      <c r="G732" s="46" t="s">
        <v>38</v>
      </c>
      <c r="H732" s="48">
        <v>46245</v>
      </c>
      <c r="I732" s="48">
        <v>46273</v>
      </c>
      <c r="J732" s="44"/>
      <c r="K732" s="44"/>
      <c r="L732" s="50"/>
      <c r="M732" s="50"/>
      <c r="N732" s="50"/>
      <c r="O732" s="49"/>
      <c r="P732" s="50"/>
      <c r="R732" s="51" t="str">
        <f t="shared" si="44"/>
        <v/>
      </c>
      <c r="T732" s="41"/>
      <c r="U732" s="29">
        <f>IF($C732&lt;&gt;"",COUNTIF($C$2:C732,C732),"")</f>
        <v>2</v>
      </c>
      <c r="V732" s="29" t="str">
        <f t="shared" si="45"/>
        <v>Prof. Dr. Filiz YALÇIN ÇAKIR§2</v>
      </c>
      <c r="W732" s="29" t="str">
        <f>IF(U732=1,COUNTIF($U$2:U732,1),"")</f>
        <v/>
      </c>
      <c r="X732" s="29" t="str">
        <f t="shared" si="46"/>
        <v/>
      </c>
      <c r="Y732" s="29">
        <f>IF(AND(LEFT($B732,7)="SBA 26/",$D732&lt;&gt;"",$F732&lt;&gt;""),COUNTIFS($D$2:$D732,$D732,$B$2:$B732,"SBA 26/*",$F$2:$F732,"&lt;&gt;"),"")</f>
        <v>5</v>
      </c>
      <c r="Z732" s="29" t="str">
        <f>IF(Y732=1,COUNTIF($Y$2:Y732,1),"")</f>
        <v/>
      </c>
      <c r="AA732" s="29">
        <f>IF(AND(LEFT($B732,7)="SBA 26/",$C732&lt;&gt;"",$F732&lt;&gt;""),COUNTIFS($C$2:$C732,$C732,$B$2:$B732,"SBA 26/*",$F$2:$F732,"&lt;&gt;"),"")</f>
        <v>2</v>
      </c>
      <c r="AB732" s="29" t="str">
        <f>IF(AA732=1,COUNTIF($AA$2:AA732,1),"")</f>
        <v/>
      </c>
    </row>
    <row r="733" spans="1:28" ht="78.75" customHeight="1" x14ac:dyDescent="0.2">
      <c r="A733" s="43" t="s">
        <v>3384</v>
      </c>
      <c r="B733" s="43" t="s">
        <v>3385</v>
      </c>
      <c r="C733" s="44" t="s">
        <v>3276</v>
      </c>
      <c r="D733" s="44" t="s">
        <v>404</v>
      </c>
      <c r="E733" s="45" t="s">
        <v>3386</v>
      </c>
      <c r="F733" s="45" t="s">
        <v>3387</v>
      </c>
      <c r="G733" s="46" t="s">
        <v>38</v>
      </c>
      <c r="H733" s="48">
        <v>46245</v>
      </c>
      <c r="I733" s="48">
        <v>46273</v>
      </c>
      <c r="J733" s="44"/>
      <c r="K733" s="44"/>
      <c r="L733" s="50"/>
      <c r="M733" s="50"/>
      <c r="N733" s="50"/>
      <c r="O733" s="49"/>
      <c r="P733" s="50"/>
      <c r="R733" s="51" t="str">
        <f t="shared" si="44"/>
        <v/>
      </c>
      <c r="T733" s="41"/>
      <c r="U733" s="29">
        <f>IF($C733&lt;&gt;"",COUNTIF($C$2:C733,C733),"")</f>
        <v>2</v>
      </c>
      <c r="V733" s="29" t="str">
        <f t="shared" si="45"/>
        <v>Doç. Dr. Ahmet GÜDELOĞLU§2</v>
      </c>
      <c r="W733" s="29" t="str">
        <f>IF(U733=1,COUNTIF($U$2:U733,1),"")</f>
        <v/>
      </c>
      <c r="X733" s="29" t="str">
        <f t="shared" si="46"/>
        <v/>
      </c>
      <c r="Y733" s="29">
        <f>IF(AND(LEFT($B733,7)="SBA 26/",$D733&lt;&gt;"",$F733&lt;&gt;""),COUNTIFS($D$2:$D733,$D733,$B$2:$B733,"SBA 26/*",$F$2:$F733,"&lt;&gt;"),"")</f>
        <v>13</v>
      </c>
      <c r="Z733" s="29" t="str">
        <f>IF(Y733=1,COUNTIF($Y$2:Y733,1),"")</f>
        <v/>
      </c>
      <c r="AA733" s="29">
        <f>IF(AND(LEFT($B733,7)="SBA 26/",$C733&lt;&gt;"",$F733&lt;&gt;""),COUNTIFS($C$2:$C733,$C733,$B$2:$B733,"SBA 26/*",$F$2:$F733,"&lt;&gt;"),"")</f>
        <v>2</v>
      </c>
      <c r="AB733" s="29" t="str">
        <f>IF(AA733=1,COUNTIF($AA$2:AA733,1),"")</f>
        <v/>
      </c>
    </row>
    <row r="734" spans="1:28" ht="63.75" customHeight="1" x14ac:dyDescent="0.2">
      <c r="A734" s="43" t="s">
        <v>3388</v>
      </c>
      <c r="B734" s="43" t="s">
        <v>3389</v>
      </c>
      <c r="C734" s="44" t="s">
        <v>112</v>
      </c>
      <c r="D734" s="44" t="s">
        <v>113</v>
      </c>
      <c r="E734" s="45" t="s">
        <v>2252</v>
      </c>
      <c r="F734" s="45" t="s">
        <v>3390</v>
      </c>
      <c r="G734" s="46" t="s">
        <v>38</v>
      </c>
      <c r="H734" s="48">
        <v>46246</v>
      </c>
      <c r="I734" s="48">
        <v>46273</v>
      </c>
      <c r="J734" s="44"/>
      <c r="K734" s="44"/>
      <c r="L734" s="50"/>
      <c r="M734" s="50"/>
      <c r="N734" s="50"/>
      <c r="O734" s="49"/>
      <c r="P734" s="50"/>
      <c r="R734" s="51" t="str">
        <f t="shared" si="44"/>
        <v/>
      </c>
      <c r="T734" s="41"/>
      <c r="U734" s="29">
        <f>IF($C734&lt;&gt;"",COUNTIF($C$2:C734,C734),"")</f>
        <v>18</v>
      </c>
      <c r="V734" s="29" t="str">
        <f t="shared" si="45"/>
        <v>Prof. Dr. Meltem Gülhan HALİL§18</v>
      </c>
      <c r="W734" s="29" t="str">
        <f>IF(U734=1,COUNTIF($U$2:U734,1),"")</f>
        <v/>
      </c>
      <c r="X734" s="29" t="str">
        <f t="shared" si="46"/>
        <v/>
      </c>
      <c r="Y734" s="29">
        <f>IF(AND(LEFT($B734,7)="SBA 26/",$D734&lt;&gt;"",$F734&lt;&gt;""),COUNTIFS($D$2:$D734,$D734,$B$2:$B734,"SBA 26/*",$F$2:$F734,"&lt;&gt;"),"")</f>
        <v>128</v>
      </c>
      <c r="Z734" s="29" t="str">
        <f>IF(Y734=1,COUNTIF($Y$2:Y734,1),"")</f>
        <v/>
      </c>
      <c r="AA734" s="29">
        <f>IF(AND(LEFT($B734,7)="SBA 26/",$C734&lt;&gt;"",$F734&lt;&gt;""),COUNTIFS($C$2:$C734,$C734,$B$2:$B734,"SBA 26/*",$F$2:$F734,"&lt;&gt;"),"")</f>
        <v>18</v>
      </c>
      <c r="AB734" s="29" t="str">
        <f>IF(AA734=1,COUNTIF($AA$2:AA734,1),"")</f>
        <v/>
      </c>
    </row>
    <row r="735" spans="1:28" ht="63" customHeight="1" x14ac:dyDescent="0.2">
      <c r="A735" s="43" t="s">
        <v>3391</v>
      </c>
      <c r="B735" s="43" t="s">
        <v>3392</v>
      </c>
      <c r="C735" s="44" t="s">
        <v>3393</v>
      </c>
      <c r="D735" s="44" t="s">
        <v>113</v>
      </c>
      <c r="E735" s="45" t="s">
        <v>3394</v>
      </c>
      <c r="F735" s="45" t="s">
        <v>3395</v>
      </c>
      <c r="G735" s="46" t="s">
        <v>38</v>
      </c>
      <c r="H735" s="48">
        <v>46246</v>
      </c>
      <c r="I735" s="48">
        <v>46273</v>
      </c>
      <c r="J735" s="44"/>
      <c r="K735" s="44"/>
      <c r="L735" s="50"/>
      <c r="M735" s="50"/>
      <c r="N735" s="50"/>
      <c r="O735" s="49"/>
      <c r="P735" s="50"/>
      <c r="R735" s="51" t="str">
        <f t="shared" si="44"/>
        <v/>
      </c>
      <c r="T735" s="41"/>
      <c r="U735" s="29">
        <f>IF($C735&lt;&gt;"",COUNTIF($C$2:C735,C735),"")</f>
        <v>1</v>
      </c>
      <c r="V735" s="29" t="str">
        <f t="shared" si="45"/>
        <v>Prof. Dr. Onur KESKİN§1</v>
      </c>
      <c r="W735" s="29">
        <f>IF(U735=1,COUNTIF($U$2:U735,1),"")</f>
        <v>345</v>
      </c>
      <c r="X735" s="29">
        <f t="shared" si="46"/>
        <v>289</v>
      </c>
      <c r="Y735" s="29">
        <f>IF(AND(LEFT($B735,7)="SBA 26/",$D735&lt;&gt;"",$F735&lt;&gt;""),COUNTIFS($D$2:$D735,$D735,$B$2:$B735,"SBA 26/*",$F$2:$F735,"&lt;&gt;"),"")</f>
        <v>129</v>
      </c>
      <c r="Z735" s="29" t="str">
        <f>IF(Y735=1,COUNTIF($Y$2:Y735,1),"")</f>
        <v/>
      </c>
      <c r="AA735" s="29">
        <f>IF(AND(LEFT($B735,7)="SBA 26/",$C735&lt;&gt;"",$F735&lt;&gt;""),COUNTIFS($C$2:$C735,$C735,$B$2:$B735,"SBA 26/*",$F$2:$F735,"&lt;&gt;"),"")</f>
        <v>1</v>
      </c>
      <c r="AB735" s="29">
        <f>IF(AA735=1,COUNTIF($AA$2:AA735,1),"")</f>
        <v>345</v>
      </c>
    </row>
    <row r="736" spans="1:28" ht="63" customHeight="1" x14ac:dyDescent="0.2">
      <c r="A736" s="43" t="s">
        <v>3396</v>
      </c>
      <c r="B736" s="43" t="s">
        <v>3397</v>
      </c>
      <c r="C736" s="44" t="s">
        <v>3398</v>
      </c>
      <c r="D736" s="44" t="s">
        <v>120</v>
      </c>
      <c r="E736" s="45" t="s">
        <v>3399</v>
      </c>
      <c r="F736" s="45" t="s">
        <v>3400</v>
      </c>
      <c r="G736" s="46" t="s">
        <v>39</v>
      </c>
      <c r="H736" s="48">
        <v>46246</v>
      </c>
      <c r="I736" s="48">
        <v>46273</v>
      </c>
      <c r="J736" s="44"/>
      <c r="K736" s="44"/>
      <c r="L736" s="50"/>
      <c r="M736" s="50"/>
      <c r="N736" s="50"/>
      <c r="O736" s="49"/>
      <c r="P736" s="50"/>
      <c r="R736" s="51" t="str">
        <f t="shared" si="44"/>
        <v/>
      </c>
      <c r="T736" s="41"/>
      <c r="U736" s="29">
        <f>IF($C736&lt;&gt;"",COUNTIF($C$2:C736,C736),"")</f>
        <v>1</v>
      </c>
      <c r="V736" s="29" t="str">
        <f t="shared" si="45"/>
        <v>Doç. Dr. Derya DENİZ SUNGUR§1</v>
      </c>
      <c r="W736" s="29">
        <f>IF(U736=1,COUNTIF($U$2:U736,1),"")</f>
        <v>346</v>
      </c>
      <c r="X736" s="29">
        <f t="shared" si="46"/>
        <v>39</v>
      </c>
      <c r="Y736" s="29">
        <f>IF(AND(LEFT($B736,7)="SBA 26/",$D736&lt;&gt;"",$F736&lt;&gt;""),COUNTIFS($D$2:$D736,$D736,$B$2:$B736,"SBA 26/*",$F$2:$F736,"&lt;&gt;"),"")</f>
        <v>10</v>
      </c>
      <c r="Z736" s="29" t="str">
        <f>IF(Y736=1,COUNTIF($Y$2:Y736,1),"")</f>
        <v/>
      </c>
      <c r="AA736" s="29">
        <f>IF(AND(LEFT($B736,7)="SBA 26/",$C736&lt;&gt;"",$F736&lt;&gt;""),COUNTIFS($C$2:$C736,$C736,$B$2:$B736,"SBA 26/*",$F$2:$F736,"&lt;&gt;"),"")</f>
        <v>1</v>
      </c>
      <c r="AB736" s="29">
        <f>IF(AA736=1,COUNTIF($AA$2:AA736,1),"")</f>
        <v>346</v>
      </c>
    </row>
    <row r="737" spans="1:28" ht="77.25" customHeight="1" x14ac:dyDescent="0.2">
      <c r="A737" s="43" t="s">
        <v>3401</v>
      </c>
      <c r="B737" s="43" t="s">
        <v>3402</v>
      </c>
      <c r="C737" s="44" t="s">
        <v>3073</v>
      </c>
      <c r="D737" s="44" t="s">
        <v>222</v>
      </c>
      <c r="E737" s="45" t="s">
        <v>3403</v>
      </c>
      <c r="F737" s="45" t="s">
        <v>3404</v>
      </c>
      <c r="G737" s="46" t="s">
        <v>38</v>
      </c>
      <c r="H737" s="48">
        <v>46246</v>
      </c>
      <c r="I737" s="48">
        <v>46273</v>
      </c>
      <c r="J737" s="44"/>
      <c r="K737" s="44"/>
      <c r="L737" s="50"/>
      <c r="M737" s="50"/>
      <c r="N737" s="50"/>
      <c r="O737" s="49"/>
      <c r="P737" s="50"/>
      <c r="R737" s="51" t="str">
        <f t="shared" si="44"/>
        <v/>
      </c>
      <c r="T737" s="41"/>
      <c r="U737" s="29">
        <f>IF($C737&lt;&gt;"",COUNTIF($C$2:C737,C737),"")</f>
        <v>4</v>
      </c>
      <c r="V737" s="29" t="str">
        <f t="shared" si="45"/>
        <v>Prof. Dr. Özge UYSAL SOYER§4</v>
      </c>
      <c r="W737" s="29" t="str">
        <f>IF(U737=1,COUNTIF($U$2:U737,1),"")</f>
        <v/>
      </c>
      <c r="X737" s="29" t="str">
        <f t="shared" si="46"/>
        <v/>
      </c>
      <c r="Y737" s="29">
        <f>IF(AND(LEFT($B737,7)="SBA 26/",$D737&lt;&gt;"",$F737&lt;&gt;""),COUNTIFS($D$2:$D737,$D737,$B$2:$B737,"SBA 26/*",$F$2:$F737,"&lt;&gt;"),"")</f>
        <v>128</v>
      </c>
      <c r="Z737" s="29" t="str">
        <f>IF(Y737=1,COUNTIF($Y$2:Y737,1),"")</f>
        <v/>
      </c>
      <c r="AA737" s="29">
        <f>IF(AND(LEFT($B737,7)="SBA 26/",$C737&lt;&gt;"",$F737&lt;&gt;""),COUNTIFS($C$2:$C737,$C737,$B$2:$B737,"SBA 26/*",$F$2:$F737,"&lt;&gt;"),"")</f>
        <v>4</v>
      </c>
      <c r="AB737" s="29" t="str">
        <f>IF(AA737=1,COUNTIF($AA$2:AA737,1),"")</f>
        <v/>
      </c>
    </row>
    <row r="738" spans="1:28" ht="63" x14ac:dyDescent="0.2">
      <c r="A738" s="43" t="s">
        <v>3405</v>
      </c>
      <c r="B738" s="43" t="s">
        <v>3406</v>
      </c>
      <c r="C738" s="44" t="s">
        <v>5097</v>
      </c>
      <c r="D738" s="44" t="s">
        <v>234</v>
      </c>
      <c r="E738" s="45" t="s">
        <v>6172</v>
      </c>
      <c r="F738" s="45" t="s">
        <v>6173</v>
      </c>
      <c r="G738" s="46" t="s">
        <v>38</v>
      </c>
      <c r="H738" s="48">
        <v>46246</v>
      </c>
      <c r="I738" s="48">
        <v>46273</v>
      </c>
      <c r="J738" s="44"/>
      <c r="K738" s="44"/>
      <c r="L738" s="50"/>
      <c r="M738" s="50"/>
      <c r="N738" s="50"/>
      <c r="O738" s="49"/>
      <c r="P738" s="50"/>
      <c r="R738" s="51" t="str">
        <f t="shared" ref="R738:R748" si="47">IF(AND($I738&lt;&gt;"",$I738&gt;=DATE(2026,6,23),COUNTIFS($C:$C,$C738,$I:$I,$I738)&gt;2),"⚠ "&amp;COUNTIFS($C:$C,$C738,$I:$I,$I738)&amp;" BAŞVURU!","")</f>
        <v/>
      </c>
      <c r="T738" s="41"/>
      <c r="U738" s="29">
        <f>IF($C738&lt;&gt;"",COUNTIF($C$2:C738,C738),"")</f>
        <v>1</v>
      </c>
      <c r="V738" s="29" t="str">
        <f t="shared" ref="V738" si="48">IF($C738&lt;&gt;"",C738&amp;"§"&amp;U738,"")</f>
        <v>Prof. Dr. Uğur CANPOLAT§1</v>
      </c>
      <c r="W738" s="29">
        <f>IF(U738=1,COUNTIF($U$2:U738,1),"")</f>
        <v>347</v>
      </c>
      <c r="X738" s="29">
        <f t="shared" si="46"/>
        <v>334</v>
      </c>
      <c r="Y738" s="29">
        <f>IF(AND(LEFT($B738,7)="SBA 26/",$D738&lt;&gt;"",$F738&lt;&gt;""),COUNTIFS($D$2:$D738,$D738,$B$2:$B738,"SBA 26/*",$F$2:$F738,"&lt;&gt;"),"")</f>
        <v>20</v>
      </c>
      <c r="Z738" s="29" t="str">
        <f>IF(Y738=1,COUNTIF($Y$2:Y738,1),"")</f>
        <v/>
      </c>
      <c r="AA738" s="29">
        <f>IF(AND(LEFT($B738,7)="SBA 26/",$C738&lt;&gt;"",$F738&lt;&gt;""),COUNTIFS($C$2:$C738,$C738,$B$2:$B738,"SBA 26/*",$F$2:$F738,"&lt;&gt;"),"")</f>
        <v>1</v>
      </c>
      <c r="AB738" s="29">
        <f>IF(AA738=1,COUNTIF($AA$2:AA738,1),"")</f>
        <v>347</v>
      </c>
    </row>
    <row r="739" spans="1:28" ht="63" x14ac:dyDescent="0.2">
      <c r="A739" s="43" t="s">
        <v>3407</v>
      </c>
      <c r="B739" s="43" t="s">
        <v>3408</v>
      </c>
      <c r="C739" s="44" t="s">
        <v>1177</v>
      </c>
      <c r="D739" s="44" t="s">
        <v>222</v>
      </c>
      <c r="E739" s="45" t="s">
        <v>6174</v>
      </c>
      <c r="F739" s="45" t="s">
        <v>6175</v>
      </c>
      <c r="G739" s="46" t="s">
        <v>38</v>
      </c>
      <c r="H739" s="48">
        <v>46246</v>
      </c>
      <c r="I739" s="48">
        <v>46273</v>
      </c>
      <c r="J739" s="44"/>
      <c r="K739" s="44"/>
      <c r="L739" s="50"/>
      <c r="M739" s="50"/>
      <c r="N739" s="50"/>
      <c r="O739" s="49"/>
      <c r="P739" s="50"/>
      <c r="R739" s="51" t="str">
        <f t="shared" si="47"/>
        <v/>
      </c>
      <c r="T739" s="41"/>
      <c r="U739" s="29">
        <f>IF($C739&lt;&gt;"",COUNTIF($C$2:C739,C739),"")</f>
        <v>2</v>
      </c>
      <c r="V739" s="29" t="str">
        <f t="shared" ref="V739:V748" si="49">IF($C739&lt;&gt;"",C739&amp;"§"&amp;U739,"")</f>
        <v>Prof. Dr. Bora GÜLHAN§2</v>
      </c>
      <c r="W739" s="29" t="str">
        <f>IF(U739=1,COUNTIF($U$2:U739,1),"")</f>
        <v/>
      </c>
      <c r="X739" s="29" t="str">
        <f t="shared" ref="X739:X748" si="50">IF(U739=1,SUMPRODUCT(($U$2:$U$1833=1)*($C$2:$C$1833&lt;C739))+1,"")</f>
        <v/>
      </c>
      <c r="Y739" s="29">
        <f>IF(AND(LEFT($B739,7)="SBA 26/",$D739&lt;&gt;"",$F739&lt;&gt;""),COUNTIFS($D$2:$D739,$D739,$B$2:$B739,"SBA 26/*",$F$2:$F739,"&lt;&gt;"),"")</f>
        <v>129</v>
      </c>
      <c r="Z739" s="29" t="str">
        <f>IF(Y739=1,COUNTIF($Y$2:Y739,1),"")</f>
        <v/>
      </c>
      <c r="AA739" s="29">
        <f>IF(AND(LEFT($B739,7)="SBA 26/",$C739&lt;&gt;"",$F739&lt;&gt;""),COUNTIFS($C$2:$C739,$C739,$B$2:$B739,"SBA 26/*",$F$2:$F739,"&lt;&gt;"),"")</f>
        <v>2</v>
      </c>
      <c r="AB739" s="29" t="str">
        <f>IF(AA739=1,COUNTIF($AA$2:AA739,1),"")</f>
        <v/>
      </c>
    </row>
    <row r="740" spans="1:28" ht="47.25" x14ac:dyDescent="0.2">
      <c r="A740" s="43" t="s">
        <v>3409</v>
      </c>
      <c r="B740" s="43" t="s">
        <v>3410</v>
      </c>
      <c r="C740" s="44" t="s">
        <v>132</v>
      </c>
      <c r="D740" s="44" t="s">
        <v>133</v>
      </c>
      <c r="E740" s="45" t="s">
        <v>6177</v>
      </c>
      <c r="F740" s="45" t="s">
        <v>6176</v>
      </c>
      <c r="G740" s="46" t="s">
        <v>38</v>
      </c>
      <c r="H740" s="48">
        <v>46246</v>
      </c>
      <c r="I740" s="48">
        <v>46273</v>
      </c>
      <c r="J740" s="44"/>
      <c r="K740" s="44"/>
      <c r="L740" s="50"/>
      <c r="M740" s="50"/>
      <c r="N740" s="50"/>
      <c r="O740" s="49"/>
      <c r="P740" s="50"/>
      <c r="R740" s="51" t="str">
        <f t="shared" si="47"/>
        <v/>
      </c>
      <c r="T740" s="41"/>
      <c r="U740" s="29">
        <f>IF($C740&lt;&gt;"",COUNTIF($C$2:C740,C740),"")</f>
        <v>4</v>
      </c>
      <c r="V740" s="29" t="str">
        <f t="shared" si="49"/>
        <v>Öğr. Gör. Dr. Buket KILIÇ§4</v>
      </c>
      <c r="W740" s="29" t="str">
        <f>IF(U740=1,COUNTIF($U$2:U740,1),"")</f>
        <v/>
      </c>
      <c r="X740" s="29" t="str">
        <f t="shared" si="50"/>
        <v/>
      </c>
      <c r="Y740" s="29">
        <f>IF(AND(LEFT($B740,7)="SBA 26/",$D740&lt;&gt;"",$F740&lt;&gt;""),COUNTIFS($D$2:$D740,$D740,$B$2:$B740,"SBA 26/*",$F$2:$F740,"&lt;&gt;"),"")</f>
        <v>15</v>
      </c>
      <c r="Z740" s="29" t="str">
        <f>IF(Y740=1,COUNTIF($Y$2:Y740,1),"")</f>
        <v/>
      </c>
      <c r="AA740" s="29">
        <f>IF(AND(LEFT($B740,7)="SBA 26/",$C740&lt;&gt;"",$F740&lt;&gt;""),COUNTIFS($C$2:$C740,$C740,$B$2:$B740,"SBA 26/*",$F$2:$F740,"&lt;&gt;"),"")</f>
        <v>4</v>
      </c>
      <c r="AB740" s="29" t="str">
        <f>IF(AA740=1,COUNTIF($AA$2:AA740,1),"")</f>
        <v/>
      </c>
    </row>
    <row r="741" spans="1:28" ht="78.75" x14ac:dyDescent="0.2">
      <c r="A741" s="43" t="s">
        <v>3411</v>
      </c>
      <c r="B741" s="43" t="s">
        <v>3412</v>
      </c>
      <c r="C741" s="44" t="s">
        <v>1683</v>
      </c>
      <c r="D741" s="44" t="s">
        <v>430</v>
      </c>
      <c r="E741" s="45" t="s">
        <v>6179</v>
      </c>
      <c r="F741" s="45" t="s">
        <v>6180</v>
      </c>
      <c r="G741" s="46" t="s">
        <v>38</v>
      </c>
      <c r="H741" s="48">
        <v>46246</v>
      </c>
      <c r="I741" s="48">
        <v>46273</v>
      </c>
      <c r="J741" s="44"/>
      <c r="K741" s="44"/>
      <c r="L741" s="50"/>
      <c r="M741" s="50"/>
      <c r="N741" s="50"/>
      <c r="O741" s="49"/>
      <c r="P741" s="50"/>
      <c r="R741" s="51" t="str">
        <f t="shared" si="47"/>
        <v/>
      </c>
      <c r="T741" s="41"/>
      <c r="U741" s="29">
        <f>IF($C741&lt;&gt;"",COUNTIF($C$2:C741,C741),"")</f>
        <v>3</v>
      </c>
      <c r="V741" s="29" t="str">
        <f t="shared" si="49"/>
        <v>Dr. Öğr. Üyesi Hayri Can ÖZDEN§3</v>
      </c>
      <c r="W741" s="29" t="str">
        <f>IF(U741=1,COUNTIF($U$2:U741,1),"")</f>
        <v/>
      </c>
      <c r="X741" s="29" t="str">
        <f t="shared" si="50"/>
        <v/>
      </c>
      <c r="Y741" s="29">
        <f>IF(AND(LEFT($B741,7)="SBA 26/",$D741&lt;&gt;"",$F741&lt;&gt;""),COUNTIFS($D$2:$D741,$D741,$B$2:$B741,"SBA 26/*",$F$2:$F741,"&lt;&gt;"),"")</f>
        <v>8</v>
      </c>
      <c r="Z741" s="29" t="str">
        <f>IF(Y741=1,COUNTIF($Y$2:Y741,1),"")</f>
        <v/>
      </c>
      <c r="AA741" s="29">
        <f>IF(AND(LEFT($B741,7)="SBA 26/",$C741&lt;&gt;"",$F741&lt;&gt;""),COUNTIFS($C$2:$C741,$C741,$B$2:$B741,"SBA 26/*",$F$2:$F741,"&lt;&gt;"),"")</f>
        <v>3</v>
      </c>
      <c r="AB741" s="29" t="str">
        <f>IF(AA741=1,COUNTIF($AA$2:AA741,1),"")</f>
        <v/>
      </c>
    </row>
    <row r="742" spans="1:28" ht="78.75" x14ac:dyDescent="0.2">
      <c r="A742" s="43" t="s">
        <v>3413</v>
      </c>
      <c r="B742" s="43" t="s">
        <v>3414</v>
      </c>
      <c r="C742" s="44" t="s">
        <v>3381</v>
      </c>
      <c r="D742" s="44" t="s">
        <v>991</v>
      </c>
      <c r="E742" s="45" t="s">
        <v>6181</v>
      </c>
      <c r="F742" s="45" t="s">
        <v>6182</v>
      </c>
      <c r="G742" s="46" t="s">
        <v>38</v>
      </c>
      <c r="H742" s="48">
        <v>46247</v>
      </c>
      <c r="I742" s="48">
        <v>46273</v>
      </c>
      <c r="J742" s="44"/>
      <c r="K742" s="44"/>
      <c r="L742" s="50"/>
      <c r="M742" s="50"/>
      <c r="N742" s="50"/>
      <c r="O742" s="49"/>
      <c r="P742" s="50"/>
      <c r="R742" s="51" t="str">
        <f t="shared" si="47"/>
        <v/>
      </c>
      <c r="T742" s="41"/>
      <c r="U742" s="29">
        <f>IF($C742&lt;&gt;"",COUNTIF($C$2:C742,C742),"")</f>
        <v>3</v>
      </c>
      <c r="V742" s="29" t="str">
        <f t="shared" ref="V742:V748" si="51">IF($C742&lt;&gt;"",C742&amp;"§"&amp;U742,"")</f>
        <v>Prof. Dr. Filiz YALÇIN ÇAKIR§3</v>
      </c>
      <c r="W742" s="29" t="str">
        <f>IF(U742=1,COUNTIF($U$2:U742,1),"")</f>
        <v/>
      </c>
      <c r="X742" s="29" t="str">
        <f t="shared" ref="X742:X748" si="52">IF(U742=1,SUMPRODUCT(($U$2:$U$1833=1)*($C$2:$C$1833&lt;C742))+1,"")</f>
        <v/>
      </c>
      <c r="Y742" s="29">
        <f>IF(AND(LEFT($B742,7)="SBA 26/",$D742&lt;&gt;"",$F742&lt;&gt;""),COUNTIFS($D$2:$D742,$D742,$B$2:$B742,"SBA 26/*",$F$2:$F742,"&lt;&gt;"),"")</f>
        <v>6</v>
      </c>
      <c r="Z742" s="29" t="str">
        <f>IF(Y742=1,COUNTIF($Y$2:Y742,1),"")</f>
        <v/>
      </c>
      <c r="AA742" s="29">
        <f>IF(AND(LEFT($B742,7)="SBA 26/",$C742&lt;&gt;"",$F742&lt;&gt;""),COUNTIFS($C$2:$C742,$C742,$B$2:$B742,"SBA 26/*",$F$2:$F742,"&lt;&gt;"),"")</f>
        <v>3</v>
      </c>
      <c r="AB742" s="29" t="str">
        <f>IF(AA742=1,COUNTIF($AA$2:AA742,1),"")</f>
        <v/>
      </c>
    </row>
    <row r="743" spans="1:28" ht="15.75" x14ac:dyDescent="0.2">
      <c r="A743" s="43" t="s">
        <v>3415</v>
      </c>
      <c r="B743" s="43" t="s">
        <v>3416</v>
      </c>
      <c r="C743" s="44"/>
      <c r="D743" s="44"/>
      <c r="E743" s="45"/>
      <c r="F743" s="45"/>
      <c r="G743" s="46"/>
      <c r="H743" s="48"/>
      <c r="I743" s="48"/>
      <c r="J743" s="44"/>
      <c r="K743" s="44"/>
      <c r="L743" s="50"/>
      <c r="M743" s="50"/>
      <c r="N743" s="50"/>
      <c r="O743" s="49"/>
      <c r="P743" s="50"/>
      <c r="R743" s="51" t="str">
        <f t="shared" si="47"/>
        <v/>
      </c>
      <c r="T743" s="41"/>
      <c r="U743" s="29" t="str">
        <f>IF($C743&lt;&gt;"",COUNTIF($C$2:C743,C743),"")</f>
        <v/>
      </c>
      <c r="V743" s="29" t="str">
        <f t="shared" si="51"/>
        <v/>
      </c>
      <c r="W743" s="29" t="str">
        <f>IF(U743=1,COUNTIF($U$2:U743,1),"")</f>
        <v/>
      </c>
      <c r="X743" s="29" t="str">
        <f t="shared" si="52"/>
        <v/>
      </c>
      <c r="Y743" s="29" t="str">
        <f>IF(AND(LEFT($B743,7)="SBA 26/",$D743&lt;&gt;"",$F743&lt;&gt;""),COUNTIFS($D$2:$D743,$D743,$B$2:$B743,"SBA 26/*",$F$2:$F743,"&lt;&gt;"),"")</f>
        <v/>
      </c>
      <c r="Z743" s="29" t="str">
        <f>IF(Y743=1,COUNTIF($Y$2:Y743,1),"")</f>
        <v/>
      </c>
      <c r="AA743" s="29" t="str">
        <f>IF(AND(LEFT($B743,7)="SBA 26/",$C743&lt;&gt;"",$F743&lt;&gt;""),COUNTIFS($C$2:$C743,$C743,$B$2:$B743,"SBA 26/*",$F$2:$F743,"&lt;&gt;"),"")</f>
        <v/>
      </c>
      <c r="AB743" s="29" t="str">
        <f>IF(AA743=1,COUNTIF($AA$2:AA743,1),"")</f>
        <v/>
      </c>
    </row>
    <row r="744" spans="1:28" ht="15.75" x14ac:dyDescent="0.2">
      <c r="A744" s="43" t="s">
        <v>3417</v>
      </c>
      <c r="B744" s="43" t="s">
        <v>3418</v>
      </c>
      <c r="C744" s="44"/>
      <c r="D744" s="44"/>
      <c r="E744" s="45"/>
      <c r="F744" s="45"/>
      <c r="G744" s="46"/>
      <c r="H744" s="48"/>
      <c r="I744" s="48"/>
      <c r="J744" s="44"/>
      <c r="K744" s="44"/>
      <c r="L744" s="50"/>
      <c r="M744" s="50"/>
      <c r="N744" s="50"/>
      <c r="O744" s="49"/>
      <c r="P744" s="50"/>
      <c r="R744" s="51" t="str">
        <f t="shared" si="47"/>
        <v/>
      </c>
      <c r="T744" s="41"/>
      <c r="U744" s="29" t="str">
        <f>IF($C744&lt;&gt;"",COUNTIF($C$2:C744,C744),"")</f>
        <v/>
      </c>
      <c r="V744" s="29" t="str">
        <f t="shared" si="51"/>
        <v/>
      </c>
      <c r="W744" s="29" t="str">
        <f>IF(U744=1,COUNTIF($U$2:U744,1),"")</f>
        <v/>
      </c>
      <c r="X744" s="29" t="str">
        <f t="shared" si="52"/>
        <v/>
      </c>
      <c r="Y744" s="29" t="str">
        <f>IF(AND(LEFT($B744,7)="SBA 26/",$D744&lt;&gt;"",$F744&lt;&gt;""),COUNTIFS($D$2:$D744,$D744,$B$2:$B744,"SBA 26/*",$F$2:$F744,"&lt;&gt;"),"")</f>
        <v/>
      </c>
      <c r="Z744" s="29" t="str">
        <f>IF(Y744=1,COUNTIF($Y$2:Y744,1),"")</f>
        <v/>
      </c>
      <c r="AA744" s="29" t="str">
        <f>IF(AND(LEFT($B744,7)="SBA 26/",$C744&lt;&gt;"",$F744&lt;&gt;""),COUNTIFS($C$2:$C744,$C744,$B$2:$B744,"SBA 26/*",$F$2:$F744,"&lt;&gt;"),"")</f>
        <v/>
      </c>
      <c r="AB744" s="29" t="str">
        <f>IF(AA744=1,COUNTIF($AA$2:AA744,1),"")</f>
        <v/>
      </c>
    </row>
    <row r="745" spans="1:28" ht="15.75" x14ac:dyDescent="0.2">
      <c r="A745" s="43" t="s">
        <v>3419</v>
      </c>
      <c r="B745" s="43" t="s">
        <v>3420</v>
      </c>
      <c r="C745" s="44"/>
      <c r="D745" s="44"/>
      <c r="E745" s="45"/>
      <c r="F745" s="45"/>
      <c r="G745" s="46"/>
      <c r="H745" s="48"/>
      <c r="I745" s="48"/>
      <c r="J745" s="44"/>
      <c r="K745" s="44"/>
      <c r="L745" s="50"/>
      <c r="M745" s="50"/>
      <c r="N745" s="50"/>
      <c r="O745" s="49"/>
      <c r="P745" s="50"/>
      <c r="R745" s="51" t="str">
        <f t="shared" si="47"/>
        <v/>
      </c>
      <c r="T745" s="41"/>
      <c r="U745" s="29" t="str">
        <f>IF($C745&lt;&gt;"",COUNTIF($C$2:C745,C745),"")</f>
        <v/>
      </c>
      <c r="V745" s="29" t="str">
        <f t="shared" si="51"/>
        <v/>
      </c>
      <c r="W745" s="29" t="str">
        <f>IF(U745=1,COUNTIF($U$2:U745,1),"")</f>
        <v/>
      </c>
      <c r="X745" s="29" t="str">
        <f t="shared" si="52"/>
        <v/>
      </c>
      <c r="Y745" s="29" t="str">
        <f>IF(AND(LEFT($B745,7)="SBA 26/",$D745&lt;&gt;"",$F745&lt;&gt;""),COUNTIFS($D$2:$D745,$D745,$B$2:$B745,"SBA 26/*",$F$2:$F745,"&lt;&gt;"),"")</f>
        <v/>
      </c>
      <c r="Z745" s="29" t="str">
        <f>IF(Y745=1,COUNTIF($Y$2:Y745,1),"")</f>
        <v/>
      </c>
      <c r="AA745" s="29" t="str">
        <f>IF(AND(LEFT($B745,7)="SBA 26/",$C745&lt;&gt;"",$F745&lt;&gt;""),COUNTIFS($C$2:$C745,$C745,$B$2:$B745,"SBA 26/*",$F$2:$F745,"&lt;&gt;"),"")</f>
        <v/>
      </c>
      <c r="AB745" s="29" t="str">
        <f>IF(AA745=1,COUNTIF($AA$2:AA745,1),"")</f>
        <v/>
      </c>
    </row>
    <row r="746" spans="1:28" ht="15.75" x14ac:dyDescent="0.2">
      <c r="A746" s="43" t="s">
        <v>3421</v>
      </c>
      <c r="B746" s="43" t="s">
        <v>3422</v>
      </c>
      <c r="C746" s="44"/>
      <c r="D746" s="44"/>
      <c r="E746" s="45"/>
      <c r="F746" s="45"/>
      <c r="G746" s="46"/>
      <c r="H746" s="48"/>
      <c r="I746" s="48"/>
      <c r="J746" s="44"/>
      <c r="K746" s="44"/>
      <c r="L746" s="50"/>
      <c r="M746" s="50"/>
      <c r="N746" s="50"/>
      <c r="O746" s="49"/>
      <c r="P746" s="50"/>
      <c r="R746" s="51" t="str">
        <f t="shared" si="47"/>
        <v/>
      </c>
      <c r="T746" s="41"/>
      <c r="U746" s="29" t="str">
        <f>IF($C746&lt;&gt;"",COUNTIF($C$2:C746,C746),"")</f>
        <v/>
      </c>
      <c r="V746" s="29" t="str">
        <f t="shared" si="51"/>
        <v/>
      </c>
      <c r="W746" s="29" t="str">
        <f>IF(U746=1,COUNTIF($U$2:U746,1),"")</f>
        <v/>
      </c>
      <c r="X746" s="29" t="str">
        <f t="shared" si="52"/>
        <v/>
      </c>
      <c r="Y746" s="29" t="str">
        <f>IF(AND(LEFT($B746,7)="SBA 26/",$D746&lt;&gt;"",$F746&lt;&gt;""),COUNTIFS($D$2:$D746,$D746,$B$2:$B746,"SBA 26/*",$F$2:$F746,"&lt;&gt;"),"")</f>
        <v/>
      </c>
      <c r="Z746" s="29" t="str">
        <f>IF(Y746=1,COUNTIF($Y$2:Y746,1),"")</f>
        <v/>
      </c>
      <c r="AA746" s="29" t="str">
        <f>IF(AND(LEFT($B746,7)="SBA 26/",$C746&lt;&gt;"",$F746&lt;&gt;""),COUNTIFS($C$2:$C746,$C746,$B$2:$B746,"SBA 26/*",$F$2:$F746,"&lt;&gt;"),"")</f>
        <v/>
      </c>
      <c r="AB746" s="29" t="str">
        <f>IF(AA746=1,COUNTIF($AA$2:AA746,1),"")</f>
        <v/>
      </c>
    </row>
    <row r="747" spans="1:28" ht="15.75" x14ac:dyDescent="0.2">
      <c r="A747" s="43" t="s">
        <v>3423</v>
      </c>
      <c r="B747" s="43" t="s">
        <v>3424</v>
      </c>
      <c r="C747" s="44"/>
      <c r="D747" s="44"/>
      <c r="E747" s="45"/>
      <c r="F747" s="45"/>
      <c r="G747" s="46"/>
      <c r="H747" s="48"/>
      <c r="I747" s="48"/>
      <c r="J747" s="44"/>
      <c r="K747" s="44"/>
      <c r="L747" s="50"/>
      <c r="M747" s="50"/>
      <c r="N747" s="50"/>
      <c r="O747" s="49"/>
      <c r="P747" s="50"/>
      <c r="R747" s="51" t="str">
        <f t="shared" si="47"/>
        <v/>
      </c>
      <c r="T747" s="41"/>
      <c r="U747" s="29" t="str">
        <f>IF($C747&lt;&gt;"",COUNTIF($C$2:C747,C747),"")</f>
        <v/>
      </c>
      <c r="V747" s="29" t="str">
        <f t="shared" si="51"/>
        <v/>
      </c>
      <c r="W747" s="29" t="str">
        <f>IF(U747=1,COUNTIF($U$2:U747,1),"")</f>
        <v/>
      </c>
      <c r="X747" s="29" t="str">
        <f t="shared" si="52"/>
        <v/>
      </c>
      <c r="Y747" s="29" t="str">
        <f>IF(AND(LEFT($B747,7)="SBA 26/",$D747&lt;&gt;"",$F747&lt;&gt;""),COUNTIFS($D$2:$D747,$D747,$B$2:$B747,"SBA 26/*",$F$2:$F747,"&lt;&gt;"),"")</f>
        <v/>
      </c>
      <c r="Z747" s="29" t="str">
        <f>IF(Y747=1,COUNTIF($Y$2:Y747,1),"")</f>
        <v/>
      </c>
      <c r="AA747" s="29" t="str">
        <f>IF(AND(LEFT($B747,7)="SBA 26/",$C747&lt;&gt;"",$F747&lt;&gt;""),COUNTIFS($C$2:$C747,$C747,$B$2:$B747,"SBA 26/*",$F$2:$F747,"&lt;&gt;"),"")</f>
        <v/>
      </c>
      <c r="AB747" s="29" t="str">
        <f>IF(AA747=1,COUNTIF($AA$2:AA747,1),"")</f>
        <v/>
      </c>
    </row>
    <row r="748" spans="1:28" ht="15.75" x14ac:dyDescent="0.2">
      <c r="A748" s="43" t="s">
        <v>3425</v>
      </c>
      <c r="B748" s="43" t="s">
        <v>3426</v>
      </c>
      <c r="C748" s="44"/>
      <c r="D748" s="44"/>
      <c r="E748" s="45"/>
      <c r="F748" s="45"/>
      <c r="G748" s="46"/>
      <c r="H748" s="48"/>
      <c r="I748" s="48"/>
      <c r="J748" s="44"/>
      <c r="K748" s="44"/>
      <c r="L748" s="50"/>
      <c r="M748" s="50"/>
      <c r="N748" s="50"/>
      <c r="O748" s="49"/>
      <c r="P748" s="50"/>
      <c r="R748" s="51" t="str">
        <f t="shared" si="47"/>
        <v/>
      </c>
      <c r="T748" s="41"/>
      <c r="U748" s="29" t="str">
        <f>IF($C748&lt;&gt;"",COUNTIF($C$2:C748,C748),"")</f>
        <v/>
      </c>
      <c r="V748" s="29" t="str">
        <f t="shared" si="51"/>
        <v/>
      </c>
      <c r="W748" s="29" t="str">
        <f>IF(U748=1,COUNTIF($U$2:U748,1),"")</f>
        <v/>
      </c>
      <c r="X748" s="29" t="str">
        <f t="shared" si="52"/>
        <v/>
      </c>
      <c r="Y748" s="29" t="str">
        <f>IF(AND(LEFT($B748,7)="SBA 26/",$D748&lt;&gt;"",$F748&lt;&gt;""),COUNTIFS($D$2:$D748,$D748,$B$2:$B748,"SBA 26/*",$F$2:$F748,"&lt;&gt;"),"")</f>
        <v/>
      </c>
      <c r="Z748" s="29" t="str">
        <f>IF(Y748=1,COUNTIF($Y$2:Y748,1),"")</f>
        <v/>
      </c>
      <c r="AA748" s="29" t="str">
        <f>IF(AND(LEFT($B748,7)="SBA 26/",$C748&lt;&gt;"",$F748&lt;&gt;""),COUNTIFS($C$2:$C748,$C748,$B$2:$B748,"SBA 26/*",$F$2:$F748,"&lt;&gt;"),"")</f>
        <v/>
      </c>
      <c r="AB748" s="29" t="str">
        <f>IF(AA748=1,COUNTIF($AA$2:AA748,1),"")</f>
        <v/>
      </c>
    </row>
    <row r="749" spans="1:28" ht="15.75" customHeight="1" x14ac:dyDescent="0.2">
      <c r="C749" s="28"/>
      <c r="D749" s="28"/>
      <c r="E749" s="57"/>
      <c r="F749" s="57"/>
      <c r="G749" s="29"/>
      <c r="H749" s="63"/>
      <c r="I749" s="64"/>
      <c r="J749" s="28"/>
      <c r="K749" s="28"/>
      <c r="L749" s="32"/>
      <c r="M749" s="32"/>
      <c r="N749" s="32"/>
      <c r="O749" s="32"/>
      <c r="R749" s="51" t="str">
        <f t="shared" ref="R749:R780" si="53">IF(AND($I749&lt;&gt;"",$I749&gt;=DATE(2026,6,23),COUNTIFS($C:$C,$C749,$I:$I,$I749)&gt;2),"⚠ "&amp;COUNTIFS($C:$C,$C749,$I:$I,$I749)&amp;" BAŞVURU!","")</f>
        <v/>
      </c>
      <c r="T749" s="41"/>
      <c r="U749" s="29" t="str">
        <f>IF($C749&lt;&gt;"",COUNTIF($C$2:C749,C749),"")</f>
        <v/>
      </c>
      <c r="V749" s="29" t="str">
        <f t="shared" si="45"/>
        <v/>
      </c>
      <c r="W749" s="29" t="str">
        <f>IF(U749=1,COUNTIF($U$2:U749,1),"")</f>
        <v/>
      </c>
      <c r="X749" s="29" t="str">
        <f t="shared" ref="X749:X812" si="54">IF(U749=1,SUMPRODUCT(($U$2:$U$1833=1)*($C$2:$C$1833&lt;C749))+1,"")</f>
        <v/>
      </c>
      <c r="Y749" s="29" t="str">
        <f>IF(AND(LEFT($B749,7)="SBA 26/",$D749&lt;&gt;"",$F749&lt;&gt;""),COUNTIFS($D$2:$D749,$D749,$B$2:$B749,"SBA 26/*",$F$2:$F749,"&lt;&gt;"),"")</f>
        <v/>
      </c>
      <c r="Z749" s="29" t="str">
        <f>IF(Y749=1,COUNTIF($Y$2:Y749,1),"")</f>
        <v/>
      </c>
      <c r="AA749" s="29" t="str">
        <f>IF(AND(LEFT($B749,7)="SBA 26/",$C749&lt;&gt;"",$F749&lt;&gt;""),COUNTIFS($C$2:$C749,$C749,$B$2:$B749,"SBA 26/*",$F$2:$F749,"&lt;&gt;"),"")</f>
        <v/>
      </c>
      <c r="AB749" s="29" t="str">
        <f>IF(AA749=1,COUNTIF($AA$2:AA749,1),"")</f>
        <v/>
      </c>
    </row>
    <row r="750" spans="1:28" ht="15.75" customHeight="1" x14ac:dyDescent="0.2">
      <c r="C750" s="28"/>
      <c r="D750" s="28"/>
      <c r="E750" s="57"/>
      <c r="F750" s="57"/>
      <c r="G750" s="29"/>
      <c r="H750" s="63"/>
      <c r="I750" s="64"/>
      <c r="K750" s="28"/>
      <c r="L750" s="32"/>
      <c r="M750" s="32"/>
      <c r="N750" s="32"/>
      <c r="O750" s="32"/>
      <c r="R750" s="51" t="str">
        <f t="shared" si="53"/>
        <v/>
      </c>
      <c r="T750" s="41"/>
      <c r="U750" s="29" t="str">
        <f>IF($C750&lt;&gt;"",COUNTIF($C$2:C750,C750),"")</f>
        <v/>
      </c>
      <c r="V750" s="29" t="str">
        <f t="shared" si="45"/>
        <v/>
      </c>
      <c r="W750" s="29" t="str">
        <f>IF(U750=1,COUNTIF($U$2:U750,1),"")</f>
        <v/>
      </c>
      <c r="X750" s="29" t="str">
        <f t="shared" si="54"/>
        <v/>
      </c>
      <c r="Y750" s="29" t="str">
        <f>IF(AND(LEFT($B750,7)="SBA 26/",$D750&lt;&gt;"",$F750&lt;&gt;""),COUNTIFS($D$2:$D750,$D750,$B$2:$B750,"SBA 26/*",$F$2:$F750,"&lt;&gt;"),"")</f>
        <v/>
      </c>
      <c r="Z750" s="29" t="str">
        <f>IF(Y750=1,COUNTIF($Y$2:Y750,1),"")</f>
        <v/>
      </c>
      <c r="AA750" s="29" t="str">
        <f>IF(AND(LEFT($B750,7)="SBA 26/",$C750&lt;&gt;"",$F750&lt;&gt;""),COUNTIFS($C$2:$C750,$C750,$B$2:$B750,"SBA 26/*",$F$2:$F750,"&lt;&gt;"),"")</f>
        <v/>
      </c>
      <c r="AB750" s="29" t="str">
        <f>IF(AA750=1,COUNTIF($AA$2:AA750,1),"")</f>
        <v/>
      </c>
    </row>
    <row r="751" spans="1:28" ht="15.75" customHeight="1" x14ac:dyDescent="0.2">
      <c r="C751" s="28"/>
      <c r="D751" s="28"/>
      <c r="E751" s="57"/>
      <c r="F751" s="57"/>
      <c r="G751" s="29"/>
      <c r="H751" s="63"/>
      <c r="I751" s="64"/>
      <c r="J751" s="28"/>
      <c r="K751" s="28"/>
      <c r="L751" s="32"/>
      <c r="M751" s="32"/>
      <c r="N751" s="32"/>
      <c r="O751" s="32"/>
      <c r="R751" s="51" t="str">
        <f t="shared" si="53"/>
        <v/>
      </c>
      <c r="T751" s="41"/>
      <c r="U751" s="29" t="str">
        <f>IF($C751&lt;&gt;"",COUNTIF($C$2:C751,C751),"")</f>
        <v/>
      </c>
      <c r="V751" s="29" t="str">
        <f t="shared" si="45"/>
        <v/>
      </c>
      <c r="W751" s="29" t="str">
        <f>IF(U751=1,COUNTIF($U$2:U751,1),"")</f>
        <v/>
      </c>
      <c r="X751" s="29" t="str">
        <f t="shared" si="54"/>
        <v/>
      </c>
      <c r="Y751" s="29" t="str">
        <f>IF(AND(LEFT($B751,7)="SBA 26/",$D751&lt;&gt;"",$F751&lt;&gt;""),COUNTIFS($D$2:$D751,$D751,$B$2:$B751,"SBA 26/*",$F$2:$F751,"&lt;&gt;"),"")</f>
        <v/>
      </c>
      <c r="Z751" s="29" t="str">
        <f>IF(Y751=1,COUNTIF($Y$2:Y751,1),"")</f>
        <v/>
      </c>
      <c r="AA751" s="29" t="str">
        <f>IF(AND(LEFT($B751,7)="SBA 26/",$C751&lt;&gt;"",$F751&lt;&gt;""),COUNTIFS($C$2:$C751,$C751,$B$2:$B751,"SBA 26/*",$F$2:$F751,"&lt;&gt;"),"")</f>
        <v/>
      </c>
      <c r="AB751" s="29" t="str">
        <f>IF(AA751=1,COUNTIF($AA$2:AA751,1),"")</f>
        <v/>
      </c>
    </row>
    <row r="752" spans="1:28" ht="15.75" customHeight="1" x14ac:dyDescent="0.2">
      <c r="R752" s="51" t="str">
        <f t="shared" si="53"/>
        <v/>
      </c>
      <c r="T752" s="41"/>
      <c r="U752" s="29" t="str">
        <f>IF($C752&lt;&gt;"",COUNTIF($C$2:C752,C752),"")</f>
        <v/>
      </c>
      <c r="V752" s="29" t="str">
        <f t="shared" si="45"/>
        <v/>
      </c>
      <c r="W752" s="29" t="str">
        <f>IF(U752=1,COUNTIF($U$2:U752,1),"")</f>
        <v/>
      </c>
      <c r="X752" s="29" t="str">
        <f t="shared" si="54"/>
        <v/>
      </c>
      <c r="Y752" s="29" t="str">
        <f>IF(AND(LEFT($B752,7)="SBA 26/",$D752&lt;&gt;"",$F752&lt;&gt;""),COUNTIFS($D$2:$D752,$D752,$B$2:$B752,"SBA 26/*",$F$2:$F752,"&lt;&gt;"),"")</f>
        <v/>
      </c>
      <c r="Z752" s="29" t="str">
        <f>IF(Y752=1,COUNTIF($Y$2:Y752,1),"")</f>
        <v/>
      </c>
      <c r="AA752" s="29" t="str">
        <f>IF(AND(LEFT($B752,7)="SBA 26/",$C752&lt;&gt;"",$F752&lt;&gt;""),COUNTIFS($C$2:$C752,$C752,$B$2:$B752,"SBA 26/*",$F$2:$F752,"&lt;&gt;"),"")</f>
        <v/>
      </c>
      <c r="AB752" s="29" t="str">
        <f>IF(AA752=1,COUNTIF($AA$2:AA752,1),"")</f>
        <v/>
      </c>
    </row>
    <row r="753" spans="6:28" ht="31.5" customHeight="1" x14ac:dyDescent="0.2">
      <c r="F753" s="65" t="s">
        <v>3427</v>
      </c>
      <c r="K753" s="66" t="s">
        <v>77</v>
      </c>
      <c r="L753" s="67">
        <f>COUNTIF(L2:L748,"ONAY")</f>
        <v>371</v>
      </c>
      <c r="M753" s="68">
        <f>COUNTIF(M2:M748,"ONAY")</f>
        <v>150</v>
      </c>
      <c r="N753" s="67">
        <f>COUNTIF(N2:N748,"ONAY")</f>
        <v>21</v>
      </c>
      <c r="O753" s="69">
        <f>COUNTIF(O2:O748,"ONAY")</f>
        <v>3</v>
      </c>
      <c r="P753" s="68">
        <f>COUNTIF(P2:P748,"ONAY")</f>
        <v>545</v>
      </c>
      <c r="R753" s="51" t="str">
        <f t="shared" si="53"/>
        <v/>
      </c>
      <c r="T753" s="41"/>
      <c r="U753" s="29" t="str">
        <f>IF($C753&lt;&gt;"",COUNTIF($C$2:C753,C753),"")</f>
        <v/>
      </c>
      <c r="V753" s="29" t="str">
        <f t="shared" si="45"/>
        <v/>
      </c>
      <c r="W753" s="29" t="str">
        <f>IF(U753=1,COUNTIF($U$2:U753,1),"")</f>
        <v/>
      </c>
      <c r="X753" s="29" t="str">
        <f t="shared" si="54"/>
        <v/>
      </c>
      <c r="Y753" s="29" t="str">
        <f>IF(AND(LEFT($B753,7)="SBA 26/",$D753&lt;&gt;"",$F753&lt;&gt;""),COUNTIFS($D$2:$D753,$D753,$B$2:$B753,"SBA 26/*",$F$2:$F753,"&lt;&gt;"),"")</f>
        <v/>
      </c>
      <c r="Z753" s="29" t="str">
        <f>IF(Y753=1,COUNTIF($Y$2:Y753,1),"")</f>
        <v/>
      </c>
      <c r="AA753" s="29" t="str">
        <f>IF(AND(LEFT($B753,7)="SBA 26/",$C753&lt;&gt;"",$F753&lt;&gt;""),COUNTIFS($C$2:$C753,$C753,$B$2:$B753,"SBA 26/*",$F$2:$F753,"&lt;&gt;"),"")</f>
        <v/>
      </c>
      <c r="AB753" s="29" t="str">
        <f>IF(AA753=1,COUNTIF($AA$2:AA753,1),"")</f>
        <v/>
      </c>
    </row>
    <row r="754" spans="6:28" ht="31.5" customHeight="1" x14ac:dyDescent="0.2">
      <c r="F754" s="65" t="s">
        <v>3428</v>
      </c>
      <c r="K754" s="70" t="s">
        <v>101</v>
      </c>
      <c r="L754" s="71">
        <f>COUNTIF(L2:L748,"DÜZELTME")</f>
        <v>208</v>
      </c>
      <c r="M754" s="72">
        <f>COUNTIF(M2:M748,"DÜZELTME")</f>
        <v>27</v>
      </c>
      <c r="N754" s="71">
        <f>COUNTIF(N2:N748,"DÜZELTME")</f>
        <v>4</v>
      </c>
      <c r="O754" s="72">
        <f>COUNTIF(O2:O748,"DÜZELTME")</f>
        <v>0</v>
      </c>
      <c r="P754" s="73">
        <f>COUNTIF(P2:P748,"DÜZELTME")</f>
        <v>53</v>
      </c>
      <c r="R754" s="51" t="str">
        <f t="shared" si="53"/>
        <v/>
      </c>
      <c r="T754" s="41"/>
      <c r="U754" s="29" t="str">
        <f>IF($C754&lt;&gt;"",COUNTIF($C$2:C754,C754),"")</f>
        <v/>
      </c>
      <c r="V754" s="29" t="str">
        <f t="shared" si="45"/>
        <v/>
      </c>
      <c r="W754" s="29" t="str">
        <f>IF(U754=1,COUNTIF($U$2:U754,1),"")</f>
        <v/>
      </c>
      <c r="X754" s="29" t="str">
        <f t="shared" si="54"/>
        <v/>
      </c>
      <c r="Y754" s="29" t="str">
        <f>IF(AND(LEFT($B754,7)="SBA 26/",$D754&lt;&gt;"",$F754&lt;&gt;""),COUNTIFS($D$2:$D754,$D754,$B$2:$B754,"SBA 26/*",$F$2:$F754,"&lt;&gt;"),"")</f>
        <v/>
      </c>
      <c r="Z754" s="29" t="str">
        <f>IF(Y754=1,COUNTIF($Y$2:Y754,1),"")</f>
        <v/>
      </c>
      <c r="AA754" s="29" t="str">
        <f>IF(AND(LEFT($B754,7)="SBA 26/",$C754&lt;&gt;"",$F754&lt;&gt;""),COUNTIFS($C$2:$C754,$C754,$B$2:$B754,"SBA 26/*",$F$2:$F754,"&lt;&gt;"),"")</f>
        <v/>
      </c>
      <c r="AB754" s="29" t="str">
        <f>IF(AA754=1,COUNTIF($AA$2:AA754,1),"")</f>
        <v/>
      </c>
    </row>
    <row r="755" spans="6:28" ht="47.25" customHeight="1" x14ac:dyDescent="0.2">
      <c r="F755" s="65" t="s">
        <v>3429</v>
      </c>
      <c r="K755" s="74" t="s">
        <v>218</v>
      </c>
      <c r="L755" s="75">
        <f>COUNTIF(L2:L748,"KAEK")</f>
        <v>17</v>
      </c>
      <c r="M755" s="76">
        <f>COUNTIF(M2:M748,"KAEK")</f>
        <v>3</v>
      </c>
      <c r="N755" s="75">
        <f>COUNTIF(N2:N748,"KAEK")</f>
        <v>0</v>
      </c>
      <c r="O755" s="76">
        <f>COUNTIF(O2:O748,"KAEK")</f>
        <v>0</v>
      </c>
      <c r="P755" s="76">
        <f>COUNTIF(P2:P748,"KAEK")</f>
        <v>20</v>
      </c>
      <c r="R755" s="51" t="str">
        <f t="shared" si="53"/>
        <v/>
      </c>
      <c r="T755" s="41"/>
      <c r="U755" s="29" t="str">
        <f>IF($C755&lt;&gt;"",COUNTIF($C$2:C755,C755),"")</f>
        <v/>
      </c>
      <c r="V755" s="29" t="str">
        <f t="shared" si="45"/>
        <v/>
      </c>
      <c r="W755" s="29" t="str">
        <f>IF(U755=1,COUNTIF($U$2:U755,1),"")</f>
        <v/>
      </c>
      <c r="X755" s="29" t="str">
        <f t="shared" si="54"/>
        <v/>
      </c>
      <c r="Y755" s="29" t="str">
        <f>IF(AND(LEFT($B755,7)="SBA 26/",$D755&lt;&gt;"",$F755&lt;&gt;""),COUNTIFS($D$2:$D755,$D755,$B$2:$B755,"SBA 26/*",$F$2:$F755,"&lt;&gt;"),"")</f>
        <v/>
      </c>
      <c r="Z755" s="29" t="str">
        <f>IF(Y755=1,COUNTIF($Y$2:Y755,1),"")</f>
        <v/>
      </c>
      <c r="AA755" s="29" t="str">
        <f>IF(AND(LEFT($B755,7)="SBA 26/",$C755&lt;&gt;"",$F755&lt;&gt;""),COUNTIFS($C$2:$C755,$C755,$B$2:$B755,"SBA 26/*",$F$2:$F755,"&lt;&gt;"),"")</f>
        <v/>
      </c>
      <c r="AB755" s="29" t="str">
        <f>IF(AA755=1,COUNTIF($AA$2:AA755,1),"")</f>
        <v/>
      </c>
    </row>
    <row r="756" spans="6:28" ht="63" customHeight="1" x14ac:dyDescent="0.2">
      <c r="F756" s="65" t="s">
        <v>3430</v>
      </c>
      <c r="K756" s="77" t="s">
        <v>206</v>
      </c>
      <c r="L756" s="78">
        <f>COUNTIF(L2:L748,"GÖRÜŞ")</f>
        <v>25</v>
      </c>
      <c r="M756" s="79">
        <f>COUNTIF(M2:M748,"GÖRÜŞ")</f>
        <v>6</v>
      </c>
      <c r="N756" s="78">
        <f>COUNTIF(N2:N748,"GÖRÜŞ")</f>
        <v>0</v>
      </c>
      <c r="O756" s="79">
        <f>COUNTIF(O2:O748,"GÖRÜŞ")</f>
        <v>0</v>
      </c>
      <c r="P756" s="79">
        <f>COUNTIF(P2:P748,"GÖRÜŞ")</f>
        <v>2</v>
      </c>
      <c r="R756" s="51" t="str">
        <f t="shared" si="53"/>
        <v/>
      </c>
      <c r="T756" s="41"/>
      <c r="U756" s="29" t="str">
        <f>IF($C756&lt;&gt;"",COUNTIF($C$2:C756,C756),"")</f>
        <v/>
      </c>
      <c r="V756" s="29" t="str">
        <f t="shared" si="45"/>
        <v/>
      </c>
      <c r="W756" s="29" t="str">
        <f>IF(U756=1,COUNTIF($U$2:U756,1),"")</f>
        <v/>
      </c>
      <c r="X756" s="29" t="str">
        <f t="shared" si="54"/>
        <v/>
      </c>
      <c r="Y756" s="29" t="str">
        <f>IF(AND(LEFT($B756,7)="SBA 26/",$D756&lt;&gt;"",$F756&lt;&gt;""),COUNTIFS($D$2:$D756,$D756,$B$2:$B756,"SBA 26/*",$F$2:$F756,"&lt;&gt;"),"")</f>
        <v/>
      </c>
      <c r="Z756" s="29" t="str">
        <f>IF(Y756=1,COUNTIF($Y$2:Y756,1),"")</f>
        <v/>
      </c>
      <c r="AA756" s="29" t="str">
        <f>IF(AND(LEFT($B756,7)="SBA 26/",$C756&lt;&gt;"",$F756&lt;&gt;""),COUNTIFS($C$2:$C756,$C756,$B$2:$B756,"SBA 26/*",$F$2:$F756,"&lt;&gt;"),"")</f>
        <v/>
      </c>
      <c r="AB756" s="29" t="str">
        <f>IF(AA756=1,COUNTIF($AA$2:AA756,1),"")</f>
        <v/>
      </c>
    </row>
    <row r="757" spans="6:28" ht="47.25" customHeight="1" x14ac:dyDescent="0.2">
      <c r="F757" s="65" t="s">
        <v>3431</v>
      </c>
      <c r="K757" s="80" t="s">
        <v>153</v>
      </c>
      <c r="L757" s="81">
        <f>COUNTIF(L2:L748,"KAPSAM DIŞI")</f>
        <v>14</v>
      </c>
      <c r="M757" s="82">
        <f>COUNTIF(M2:M748,"KAPSAM DIŞI")</f>
        <v>1</v>
      </c>
      <c r="N757" s="81">
        <f>COUNTIF(N2:N748,"KAPSAM DIŞI")</f>
        <v>0</v>
      </c>
      <c r="O757" s="82">
        <f>COUNTIF(O2:O748,"KAPSAM DIŞI")</f>
        <v>0</v>
      </c>
      <c r="P757" s="82">
        <f>COUNTIF(P2:P748,"KAPSAM DIŞI")</f>
        <v>15</v>
      </c>
      <c r="R757" s="51" t="str">
        <f t="shared" si="53"/>
        <v/>
      </c>
      <c r="T757" s="41"/>
      <c r="U757" s="29" t="str">
        <f>IF($C757&lt;&gt;"",COUNTIF($C$2:C757,C757),"")</f>
        <v/>
      </c>
      <c r="V757" s="29" t="str">
        <f t="shared" si="45"/>
        <v/>
      </c>
      <c r="W757" s="29" t="str">
        <f>IF(U757=1,COUNTIF($U$2:U757,1),"")</f>
        <v/>
      </c>
      <c r="X757" s="29" t="str">
        <f t="shared" si="54"/>
        <v/>
      </c>
      <c r="Y757" s="29" t="str">
        <f>IF(AND(LEFT($B757,7)="SBA 26/",$D757&lt;&gt;"",$F757&lt;&gt;""),COUNTIFS($D$2:$D757,$D757,$B$2:$B757,"SBA 26/*",$F$2:$F757,"&lt;&gt;"),"")</f>
        <v/>
      </c>
      <c r="Z757" s="29" t="str">
        <f>IF(Y757=1,COUNTIF($Y$2:Y757,1),"")</f>
        <v/>
      </c>
      <c r="AA757" s="29" t="str">
        <f>IF(AND(LEFT($B757,7)="SBA 26/",$C757&lt;&gt;"",$F757&lt;&gt;""),COUNTIFS($C$2:$C757,$C757,$B$2:$B757,"SBA 26/*",$F$2:$F757,"&lt;&gt;"),"")</f>
        <v/>
      </c>
      <c r="AB757" s="29" t="str">
        <f>IF(AA757=1,COUNTIF($AA$2:AA757,1),"")</f>
        <v/>
      </c>
    </row>
    <row r="758" spans="6:28" ht="31.5" customHeight="1" x14ac:dyDescent="0.2">
      <c r="F758" s="65" t="s">
        <v>3432</v>
      </c>
      <c r="K758" s="83" t="s">
        <v>172</v>
      </c>
      <c r="L758" s="84">
        <f>COUNTIF(L2:L748,"RET")</f>
        <v>23</v>
      </c>
      <c r="M758" s="85">
        <f>COUNTIF(M2:M748,"RET")</f>
        <v>1</v>
      </c>
      <c r="N758" s="84">
        <f>COUNTIF(N2:N748,"RET")</f>
        <v>0</v>
      </c>
      <c r="O758" s="85">
        <f>COUNTIF(O2:O748,"RET")</f>
        <v>0</v>
      </c>
      <c r="P758" s="85">
        <f>COUNTIF(P2:P748,"RET")</f>
        <v>19</v>
      </c>
      <c r="R758" s="51" t="str">
        <f t="shared" si="53"/>
        <v/>
      </c>
      <c r="T758" s="41"/>
      <c r="U758" s="29" t="str">
        <f>IF($C758&lt;&gt;"",COUNTIF($C$2:C758,C758),"")</f>
        <v/>
      </c>
      <c r="V758" s="29" t="str">
        <f t="shared" si="45"/>
        <v/>
      </c>
      <c r="W758" s="29" t="str">
        <f>IF(U758=1,COUNTIF($U$2:U758,1),"")</f>
        <v/>
      </c>
      <c r="X758" s="29" t="str">
        <f t="shared" si="54"/>
        <v/>
      </c>
      <c r="Y758" s="29" t="str">
        <f>IF(AND(LEFT($B758,7)="SBA 26/",$D758&lt;&gt;"",$F758&lt;&gt;""),COUNTIFS($D$2:$D758,$D758,$B$2:$B758,"SBA 26/*",$F$2:$F758,"&lt;&gt;"),"")</f>
        <v/>
      </c>
      <c r="Z758" s="29" t="str">
        <f>IF(Y758=1,COUNTIF($Y$2:Y758,1),"")</f>
        <v/>
      </c>
      <c r="AA758" s="29" t="str">
        <f>IF(AND(LEFT($B758,7)="SBA 26/",$C758&lt;&gt;"",$F758&lt;&gt;""),COUNTIFS($C$2:$C758,$C758,$B$2:$B758,"SBA 26/*",$F$2:$F758,"&lt;&gt;"),"")</f>
        <v/>
      </c>
      <c r="AB758" s="29" t="str">
        <f>IF(AA758=1,COUNTIF($AA$2:AA758,1),"")</f>
        <v/>
      </c>
    </row>
    <row r="759" spans="6:28" ht="31.5" customHeight="1" x14ac:dyDescent="0.2">
      <c r="F759" s="65" t="s">
        <v>3433</v>
      </c>
      <c r="K759" s="86" t="s">
        <v>400</v>
      </c>
      <c r="L759" s="87">
        <f>COUNTIF(L2:L748,"GERİ ÇEKİLDİ")</f>
        <v>0</v>
      </c>
      <c r="M759" s="88">
        <f>COUNTIF(M2:M748,"GERİ ÇEKİLDİ")</f>
        <v>4</v>
      </c>
      <c r="N759" s="87">
        <f>COUNTIF(N2:N748,"GERİ ÇEKİLDİ")</f>
        <v>0</v>
      </c>
      <c r="O759" s="88">
        <f>COUNTIF(O2:O748,"GERİ ÇEKİLDİ")</f>
        <v>0</v>
      </c>
      <c r="P759" s="88">
        <f>COUNTIF(P2:P748,"GERİ ÇEKİLDİ")</f>
        <v>4</v>
      </c>
      <c r="R759" s="51" t="str">
        <f t="shared" si="53"/>
        <v/>
      </c>
      <c r="T759" s="41"/>
      <c r="U759" s="29" t="str">
        <f>IF($C759&lt;&gt;"",COUNTIF($C$2:C759,C759),"")</f>
        <v/>
      </c>
      <c r="V759" s="29" t="str">
        <f t="shared" si="45"/>
        <v/>
      </c>
      <c r="W759" s="29" t="str">
        <f>IF(U759=1,COUNTIF($U$2:U759,1),"")</f>
        <v/>
      </c>
      <c r="X759" s="29" t="str">
        <f t="shared" si="54"/>
        <v/>
      </c>
      <c r="Y759" s="29" t="str">
        <f>IF(AND(LEFT($B759,7)="SBA 26/",$D759&lt;&gt;"",$F759&lt;&gt;""),COUNTIFS($D$2:$D759,$D759,$B$2:$B759,"SBA 26/*",$F$2:$F759,"&lt;&gt;"),"")</f>
        <v/>
      </c>
      <c r="Z759" s="29" t="str">
        <f>IF(Y759=1,COUNTIF($Y$2:Y759,1),"")</f>
        <v/>
      </c>
      <c r="AA759" s="29" t="str">
        <f>IF(AND(LEFT($B759,7)="SBA 26/",$C759&lt;&gt;"",$F759&lt;&gt;""),COUNTIFS($C$2:$C759,$C759,$B$2:$B759,"SBA 26/*",$F$2:$F759,"&lt;&gt;"),"")</f>
        <v/>
      </c>
      <c r="AB759" s="29" t="str">
        <f>IF(AA759=1,COUNTIF($AA$2:AA759,1),"")</f>
        <v/>
      </c>
    </row>
    <row r="760" spans="6:28" ht="47.25" customHeight="1" x14ac:dyDescent="0.2">
      <c r="F760" s="65" t="s">
        <v>3434</v>
      </c>
      <c r="K760" s="89" t="s">
        <v>4</v>
      </c>
      <c r="L760" s="90">
        <f>SUM(L753:L759)</f>
        <v>658</v>
      </c>
      <c r="M760" s="91">
        <f>SUM(M753:M759)</f>
        <v>192</v>
      </c>
      <c r="N760" s="90">
        <f>SUM(N753:N759)</f>
        <v>25</v>
      </c>
      <c r="O760" s="91">
        <f>SUM(O753:O759)</f>
        <v>3</v>
      </c>
      <c r="P760" s="91">
        <f>SUM(P753:P759)</f>
        <v>658</v>
      </c>
      <c r="R760" s="51" t="str">
        <f t="shared" si="53"/>
        <v/>
      </c>
      <c r="T760" s="41"/>
      <c r="U760" s="29" t="str">
        <f>IF($C760&lt;&gt;"",COUNTIF($C$2:C760,C760),"")</f>
        <v/>
      </c>
      <c r="V760" s="29" t="str">
        <f t="shared" si="45"/>
        <v/>
      </c>
      <c r="W760" s="29" t="str">
        <f>IF(U760=1,COUNTIF($U$2:U760,1),"")</f>
        <v/>
      </c>
      <c r="X760" s="29" t="str">
        <f t="shared" si="54"/>
        <v/>
      </c>
      <c r="Y760" s="29" t="str">
        <f>IF(AND(LEFT($B760,7)="SBA 26/",$D760&lt;&gt;"",$F760&lt;&gt;""),COUNTIFS($D$2:$D760,$D760,$B$2:$B760,"SBA 26/*",$F$2:$F760,"&lt;&gt;"),"")</f>
        <v/>
      </c>
      <c r="Z760" s="29" t="str">
        <f>IF(Y760=1,COUNTIF($Y$2:Y760,1),"")</f>
        <v/>
      </c>
      <c r="AA760" s="29" t="str">
        <f>IF(AND(LEFT($B760,7)="SBA 26/",$C760&lt;&gt;"",$F760&lt;&gt;""),COUNTIFS($C$2:$C760,$C760,$B$2:$B760,"SBA 26/*",$F$2:$F760,"&lt;&gt;"),"")</f>
        <v/>
      </c>
      <c r="AB760" s="29" t="str">
        <f>IF(AA760=1,COUNTIF($AA$2:AA760,1),"")</f>
        <v/>
      </c>
    </row>
    <row r="761" spans="6:28" ht="31.5" customHeight="1" x14ac:dyDescent="0.2">
      <c r="F761" s="65" t="s">
        <v>3435</v>
      </c>
      <c r="R761" s="51" t="str">
        <f t="shared" si="53"/>
        <v/>
      </c>
      <c r="T761" s="41"/>
      <c r="U761" s="29" t="str">
        <f>IF($C761&lt;&gt;"",COUNTIF($C$2:C761,C761),"")</f>
        <v/>
      </c>
      <c r="V761" s="29" t="str">
        <f t="shared" si="45"/>
        <v/>
      </c>
      <c r="W761" s="29" t="str">
        <f>IF(U761=1,COUNTIF($U$2:U761,1),"")</f>
        <v/>
      </c>
      <c r="X761" s="29" t="str">
        <f t="shared" si="54"/>
        <v/>
      </c>
      <c r="Y761" s="29" t="str">
        <f>IF(AND(LEFT($B761,7)="SBA 26/",$D761&lt;&gt;"",$F761&lt;&gt;""),COUNTIFS($D$2:$D761,$D761,$B$2:$B761,"SBA 26/*",$F$2:$F761,"&lt;&gt;"),"")</f>
        <v/>
      </c>
      <c r="Z761" s="29" t="str">
        <f>IF(Y761=1,COUNTIF($Y$2:Y761,1),"")</f>
        <v/>
      </c>
      <c r="AA761" s="29" t="str">
        <f>IF(AND(LEFT($B761,7)="SBA 26/",$C761&lt;&gt;"",$F761&lt;&gt;""),COUNTIFS($C$2:$C761,$C761,$B$2:$B761,"SBA 26/*",$F$2:$F761,"&lt;&gt;"),"")</f>
        <v/>
      </c>
      <c r="AB761" s="29" t="str">
        <f>IF(AA761=1,COUNTIF($AA$2:AA761,1),"")</f>
        <v/>
      </c>
    </row>
    <row r="762" spans="6:28" ht="47.25" customHeight="1" x14ac:dyDescent="0.2">
      <c r="F762" s="65" t="s">
        <v>3436</v>
      </c>
      <c r="R762" s="51" t="str">
        <f t="shared" si="53"/>
        <v/>
      </c>
      <c r="T762" s="41"/>
      <c r="U762" s="29" t="str">
        <f>IF($C762&lt;&gt;"",COUNTIF($C$2:C762,C762),"")</f>
        <v/>
      </c>
      <c r="V762" s="29" t="str">
        <f t="shared" si="45"/>
        <v/>
      </c>
      <c r="W762" s="29" t="str">
        <f>IF(U762=1,COUNTIF($U$2:U762,1),"")</f>
        <v/>
      </c>
      <c r="X762" s="29" t="str">
        <f t="shared" si="54"/>
        <v/>
      </c>
      <c r="Y762" s="29" t="str">
        <f>IF(AND(LEFT($B762,7)="SBA 26/",$D762&lt;&gt;"",$F762&lt;&gt;""),COUNTIFS($D$2:$D762,$D762,$B$2:$B762,"SBA 26/*",$F$2:$F762,"&lt;&gt;"),"")</f>
        <v/>
      </c>
      <c r="Z762" s="29" t="str">
        <f>IF(Y762=1,COUNTIF($Y$2:Y762,1),"")</f>
        <v/>
      </c>
      <c r="AA762" s="29" t="str">
        <f>IF(AND(LEFT($B762,7)="SBA 26/",$C762&lt;&gt;"",$F762&lt;&gt;""),COUNTIFS($C$2:$C762,$C762,$B$2:$B762,"SBA 26/*",$F$2:$F762,"&lt;&gt;"),"")</f>
        <v/>
      </c>
      <c r="AB762" s="29" t="str">
        <f>IF(AA762=1,COUNTIF($AA$2:AA762,1),"")</f>
        <v/>
      </c>
    </row>
    <row r="763" spans="6:28" ht="63" customHeight="1" x14ac:dyDescent="0.2">
      <c r="F763" s="65" t="s">
        <v>3437</v>
      </c>
      <c r="L763" s="28">
        <f>COUNTIF(L2:L748,"")</f>
        <v>89</v>
      </c>
      <c r="R763" s="51" t="str">
        <f t="shared" si="53"/>
        <v/>
      </c>
      <c r="T763" s="41"/>
      <c r="U763" s="29" t="str">
        <f>IF($C763&lt;&gt;"",COUNTIF($C$2:C763,C763),"")</f>
        <v/>
      </c>
      <c r="V763" s="29" t="str">
        <f t="shared" si="45"/>
        <v/>
      </c>
      <c r="W763" s="29" t="str">
        <f>IF(U763=1,COUNTIF($U$2:U763,1),"")</f>
        <v/>
      </c>
      <c r="X763" s="29" t="str">
        <f t="shared" si="54"/>
        <v/>
      </c>
      <c r="Y763" s="29" t="str">
        <f>IF(AND(LEFT($B763,7)="SBA 26/",$D763&lt;&gt;"",$F763&lt;&gt;""),COUNTIFS($D$2:$D763,$D763,$B$2:$B763,"SBA 26/*",$F$2:$F763,"&lt;&gt;"),"")</f>
        <v/>
      </c>
      <c r="Z763" s="29" t="str">
        <f>IF(Y763=1,COUNTIF($Y$2:Y763,1),"")</f>
        <v/>
      </c>
      <c r="AA763" s="29" t="str">
        <f>IF(AND(LEFT($B763,7)="SBA 26/",$C763&lt;&gt;"",$F763&lt;&gt;""),COUNTIFS($C$2:$C763,$C763,$B$2:$B763,"SBA 26/*",$F$2:$F763,"&lt;&gt;"),"")</f>
        <v/>
      </c>
      <c r="AB763" s="29" t="str">
        <f>IF(AA763=1,COUNTIF($AA$2:AA763,1),"")</f>
        <v/>
      </c>
    </row>
    <row r="764" spans="6:28" ht="31.5" customHeight="1" x14ac:dyDescent="0.2">
      <c r="F764" s="65" t="s">
        <v>3438</v>
      </c>
      <c r="R764" s="51" t="str">
        <f t="shared" si="53"/>
        <v/>
      </c>
      <c r="T764" s="41"/>
      <c r="U764" s="29" t="str">
        <f>IF($C764&lt;&gt;"",COUNTIF($C$2:C764,C764),"")</f>
        <v/>
      </c>
      <c r="V764" s="29" t="str">
        <f t="shared" si="45"/>
        <v/>
      </c>
      <c r="W764" s="29" t="str">
        <f>IF(U764=1,COUNTIF($U$2:U764,1),"")</f>
        <v/>
      </c>
      <c r="X764" s="29" t="str">
        <f t="shared" si="54"/>
        <v/>
      </c>
      <c r="Y764" s="29" t="str">
        <f>IF(AND(LEFT($B764,7)="SBA 26/",$D764&lt;&gt;"",$F764&lt;&gt;""),COUNTIFS($D$2:$D764,$D764,$B$2:$B764,"SBA 26/*",$F$2:$F764,"&lt;&gt;"),"")</f>
        <v/>
      </c>
      <c r="Z764" s="29" t="str">
        <f>IF(Y764=1,COUNTIF($Y$2:Y764,1),"")</f>
        <v/>
      </c>
      <c r="AA764" s="29" t="str">
        <f>IF(AND(LEFT($B764,7)="SBA 26/",$C764&lt;&gt;"",$F764&lt;&gt;""),COUNTIFS($C$2:$C764,$C764,$B$2:$B764,"SBA 26/*",$F$2:$F764,"&lt;&gt;"),"")</f>
        <v/>
      </c>
      <c r="AB764" s="29" t="str">
        <f>IF(AA764=1,COUNTIF($AA$2:AA764,1),"")</f>
        <v/>
      </c>
    </row>
    <row r="765" spans="6:28" ht="31.5" customHeight="1" x14ac:dyDescent="0.2">
      <c r="F765" s="65" t="s">
        <v>3439</v>
      </c>
      <c r="L765" s="92" t="s">
        <v>3440</v>
      </c>
      <c r="M765" s="93" t="s">
        <v>3441</v>
      </c>
      <c r="R765" s="51" t="str">
        <f t="shared" si="53"/>
        <v/>
      </c>
      <c r="T765" s="41"/>
      <c r="U765" s="29" t="str">
        <f>IF($C765&lt;&gt;"",COUNTIF($C$2:C765,C765),"")</f>
        <v/>
      </c>
      <c r="V765" s="29" t="str">
        <f t="shared" si="45"/>
        <v/>
      </c>
      <c r="W765" s="29" t="str">
        <f>IF(U765=1,COUNTIF($U$2:U765,1),"")</f>
        <v/>
      </c>
      <c r="X765" s="29" t="str">
        <f t="shared" si="54"/>
        <v/>
      </c>
      <c r="Y765" s="29" t="str">
        <f>IF(AND(LEFT($B765,7)="SBA 26/",$D765&lt;&gt;"",$F765&lt;&gt;""),COUNTIFS($D$2:$D765,$D765,$B$2:$B765,"SBA 26/*",$F$2:$F765,"&lt;&gt;"),"")</f>
        <v/>
      </c>
      <c r="Z765" s="29" t="str">
        <f>IF(Y765=1,COUNTIF($Y$2:Y765,1),"")</f>
        <v/>
      </c>
      <c r="AA765" s="29" t="str">
        <f>IF(AND(LEFT($B765,7)="SBA 26/",$C765&lt;&gt;"",$F765&lt;&gt;""),COUNTIFS($C$2:$C765,$C765,$B$2:$B765,"SBA 26/*",$F$2:$F765,"&lt;&gt;"),"")</f>
        <v/>
      </c>
      <c r="AB765" s="29" t="str">
        <f>IF(AA765=1,COUNTIF($AA$2:AA765,1),"")</f>
        <v/>
      </c>
    </row>
    <row r="766" spans="6:28" ht="31.5" customHeight="1" x14ac:dyDescent="0.2">
      <c r="F766" s="65" t="s">
        <v>3442</v>
      </c>
      <c r="L766" s="94">
        <f>COUNTIFS(I2:I748,"&lt;&gt;",L2:L748,"")</f>
        <v>83</v>
      </c>
      <c r="M766" s="95" t="s">
        <v>3443</v>
      </c>
      <c r="R766" s="51" t="str">
        <f t="shared" si="53"/>
        <v/>
      </c>
      <c r="T766" s="41"/>
      <c r="U766" s="29" t="str">
        <f>IF($C766&lt;&gt;"",COUNTIF($C$2:C766,C766),"")</f>
        <v/>
      </c>
      <c r="V766" s="29" t="str">
        <f t="shared" si="45"/>
        <v/>
      </c>
      <c r="W766" s="29" t="str">
        <f>IF(U766=1,COUNTIF($U$2:U766,1),"")</f>
        <v/>
      </c>
      <c r="X766" s="29" t="str">
        <f t="shared" si="54"/>
        <v/>
      </c>
      <c r="Y766" s="29" t="str">
        <f>IF(AND(LEFT($B766,7)="SBA 26/",$D766&lt;&gt;"",$F766&lt;&gt;""),COUNTIFS($D$2:$D766,$D766,$B$2:$B766,"SBA 26/*",$F$2:$F766,"&lt;&gt;"),"")</f>
        <v/>
      </c>
      <c r="Z766" s="29" t="str">
        <f>IF(Y766=1,COUNTIF($Y$2:Y766,1),"")</f>
        <v/>
      </c>
      <c r="AA766" s="29" t="str">
        <f>IF(AND(LEFT($B766,7)="SBA 26/",$C766&lt;&gt;"",$F766&lt;&gt;""),COUNTIFS($C$2:$C766,$C766,$B$2:$B766,"SBA 26/*",$F$2:$F766,"&lt;&gt;"),"")</f>
        <v/>
      </c>
      <c r="AB766" s="29" t="str">
        <f>IF(AA766=1,COUNTIF($AA$2:AA766,1),"")</f>
        <v/>
      </c>
    </row>
    <row r="767" spans="6:28" ht="18" customHeight="1" x14ac:dyDescent="0.2">
      <c r="F767" s="65" t="s">
        <v>3444</v>
      </c>
      <c r="L767" s="96" t="str">
        <f>IF(AND($I$373&lt;&gt;"",$L$373=""),$B$373&amp;"  →  satır 373","")</f>
        <v>SBA 26/372  →  satır 373</v>
      </c>
      <c r="R767" s="51" t="str">
        <f t="shared" si="53"/>
        <v/>
      </c>
      <c r="T767" s="41"/>
      <c r="U767" s="29" t="str">
        <f>IF($C767&lt;&gt;"",COUNTIF($C$2:C767,C767),"")</f>
        <v/>
      </c>
      <c r="V767" s="29" t="str">
        <f t="shared" si="45"/>
        <v/>
      </c>
      <c r="W767" s="29" t="str">
        <f>IF(U767=1,COUNTIF($U$2:U767,1),"")</f>
        <v/>
      </c>
      <c r="X767" s="29" t="str">
        <f t="shared" si="54"/>
        <v/>
      </c>
      <c r="Y767" s="29" t="str">
        <f>IF(AND(LEFT($B767,7)="SBA 26/",$D767&lt;&gt;"",$F767&lt;&gt;""),COUNTIFS($D$2:$D767,$D767,$B$2:$B767,"SBA 26/*",$F$2:$F767,"&lt;&gt;"),"")</f>
        <v/>
      </c>
      <c r="Z767" s="29" t="str">
        <f>IF(Y767=1,COUNTIF($Y$2:Y767,1),"")</f>
        <v/>
      </c>
      <c r="AA767" s="29" t="str">
        <f>IF(AND(LEFT($B767,7)="SBA 26/",$C767&lt;&gt;"",$F767&lt;&gt;""),COUNTIFS($C$2:$C767,$C767,$B$2:$B767,"SBA 26/*",$F$2:$F767,"&lt;&gt;"),"")</f>
        <v/>
      </c>
      <c r="AB767" s="29" t="str">
        <f>IF(AA767=1,COUNTIF($AA$2:AA767,1),"")</f>
        <v/>
      </c>
    </row>
    <row r="768" spans="6:28" ht="18" customHeight="1" x14ac:dyDescent="0.2">
      <c r="F768" s="65" t="s">
        <v>3445</v>
      </c>
      <c r="L768" s="96" t="str">
        <f>IF(AND($I$377&lt;&gt;"",$L$377=""),$B$377&amp;"  →  satır 377","")</f>
        <v>SBA 26/376  →  satır 377</v>
      </c>
      <c r="R768" s="51" t="str">
        <f t="shared" si="53"/>
        <v/>
      </c>
      <c r="T768" s="41"/>
      <c r="U768" s="29" t="str">
        <f>IF($C768&lt;&gt;"",COUNTIF($C$2:C768,C768),"")</f>
        <v/>
      </c>
      <c r="V768" s="29" t="str">
        <f t="shared" si="45"/>
        <v/>
      </c>
      <c r="W768" s="29" t="str">
        <f>IF(U768=1,COUNTIF($U$2:U768,1),"")</f>
        <v/>
      </c>
      <c r="X768" s="29" t="str">
        <f t="shared" si="54"/>
        <v/>
      </c>
      <c r="Y768" s="29" t="str">
        <f>IF(AND(LEFT($B768,7)="SBA 26/",$D768&lt;&gt;"",$F768&lt;&gt;""),COUNTIFS($D$2:$D768,$D768,$B$2:$B768,"SBA 26/*",$F$2:$F768,"&lt;&gt;"),"")</f>
        <v/>
      </c>
      <c r="Z768" s="29" t="str">
        <f>IF(Y768=1,COUNTIF($Y$2:Y768,1),"")</f>
        <v/>
      </c>
      <c r="AA768" s="29" t="str">
        <f>IF(AND(LEFT($B768,7)="SBA 26/",$C768&lt;&gt;"",$F768&lt;&gt;""),COUNTIFS($C$2:$C768,$C768,$B$2:$B768,"SBA 26/*",$F$2:$F768,"&lt;&gt;"),"")</f>
        <v/>
      </c>
      <c r="AB768" s="29" t="str">
        <f>IF(AA768=1,COUNTIF($AA$2:AA768,1),"")</f>
        <v/>
      </c>
    </row>
    <row r="769" spans="6:28" ht="18" customHeight="1" x14ac:dyDescent="0.2">
      <c r="F769" s="65" t="s">
        <v>3446</v>
      </c>
      <c r="L769" s="96" t="str">
        <f>IF(AND($I$403&lt;&gt;"",$L$403=""),$B$403&amp;"  →  satır 403","")</f>
        <v>SBA 26/402  →  satır 403</v>
      </c>
      <c r="R769" s="51" t="str">
        <f t="shared" si="53"/>
        <v/>
      </c>
      <c r="T769" s="41"/>
      <c r="U769" s="29" t="str">
        <f>IF($C769&lt;&gt;"",COUNTIF($C$2:C769,C769),"")</f>
        <v/>
      </c>
      <c r="V769" s="29" t="str">
        <f t="shared" si="45"/>
        <v/>
      </c>
      <c r="W769" s="29" t="str">
        <f>IF(U769=1,COUNTIF($U$2:U769,1),"")</f>
        <v/>
      </c>
      <c r="X769" s="29" t="str">
        <f t="shared" si="54"/>
        <v/>
      </c>
      <c r="Y769" s="29" t="str">
        <f>IF(AND(LEFT($B769,7)="SBA 26/",$D769&lt;&gt;"",$F769&lt;&gt;""),COUNTIFS($D$2:$D769,$D769,$B$2:$B769,"SBA 26/*",$F$2:$F769,"&lt;&gt;"),"")</f>
        <v/>
      </c>
      <c r="Z769" s="29" t="str">
        <f>IF(Y769=1,COUNTIF($Y$2:Y769,1),"")</f>
        <v/>
      </c>
      <c r="AA769" s="29" t="str">
        <f>IF(AND(LEFT($B769,7)="SBA 26/",$C769&lt;&gt;"",$F769&lt;&gt;""),COUNTIFS($C$2:$C769,$C769,$B$2:$B769,"SBA 26/*",$F$2:$F769,"&lt;&gt;"),"")</f>
        <v/>
      </c>
      <c r="AB769" s="29" t="str">
        <f>IF(AA769=1,COUNTIF($AA$2:AA769,1),"")</f>
        <v/>
      </c>
    </row>
    <row r="770" spans="6:28" ht="18" customHeight="1" x14ac:dyDescent="0.2">
      <c r="F770" s="65" t="s">
        <v>3447</v>
      </c>
      <c r="L770" s="96" t="str">
        <f>IF(AND($I$419&lt;&gt;"",$L$419=""),$B$419&amp;"  →  satır 419","")</f>
        <v>SBA 26/418  →  satır 419</v>
      </c>
      <c r="R770" s="51" t="str">
        <f t="shared" si="53"/>
        <v/>
      </c>
      <c r="T770" s="41"/>
      <c r="U770" s="29" t="str">
        <f>IF($C770&lt;&gt;"",COUNTIF($C$2:C770,C770),"")</f>
        <v/>
      </c>
      <c r="V770" s="29" t="str">
        <f t="shared" ref="V770:V833" si="55">IF($C770&lt;&gt;"",C770&amp;"§"&amp;U770,"")</f>
        <v/>
      </c>
      <c r="W770" s="29" t="str">
        <f>IF(U770=1,COUNTIF($U$2:U770,1),"")</f>
        <v/>
      </c>
      <c r="X770" s="29" t="str">
        <f t="shared" si="54"/>
        <v/>
      </c>
      <c r="Y770" s="29" t="str">
        <f>IF(AND(LEFT($B770,7)="SBA 26/",$D770&lt;&gt;"",$F770&lt;&gt;""),COUNTIFS($D$2:$D770,$D770,$B$2:$B770,"SBA 26/*",$F$2:$F770,"&lt;&gt;"),"")</f>
        <v/>
      </c>
      <c r="Z770" s="29" t="str">
        <f>IF(Y770=1,COUNTIF($Y$2:Y770,1),"")</f>
        <v/>
      </c>
      <c r="AA770" s="29" t="str">
        <f>IF(AND(LEFT($B770,7)="SBA 26/",$C770&lt;&gt;"",$F770&lt;&gt;""),COUNTIFS($C$2:$C770,$C770,$B$2:$B770,"SBA 26/*",$F$2:$F770,"&lt;&gt;"),"")</f>
        <v/>
      </c>
      <c r="AB770" s="29" t="str">
        <f>IF(AA770=1,COUNTIF($AA$2:AA770,1),"")</f>
        <v/>
      </c>
    </row>
    <row r="771" spans="6:28" ht="18" customHeight="1" x14ac:dyDescent="0.2">
      <c r="F771" s="65" t="s">
        <v>3448</v>
      </c>
      <c r="L771" s="96" t="str">
        <f>IF(AND($I$635&lt;&gt;"",$L$635=""),$B$635&amp;"  →  satır 635","")</f>
        <v>SBA 26/634  →  satır 635</v>
      </c>
      <c r="R771" s="51" t="str">
        <f t="shared" si="53"/>
        <v/>
      </c>
      <c r="T771" s="41"/>
      <c r="U771" s="29" t="str">
        <f>IF($C771&lt;&gt;"",COUNTIF($C$2:C771,C771),"")</f>
        <v/>
      </c>
      <c r="V771" s="29" t="str">
        <f t="shared" si="55"/>
        <v/>
      </c>
      <c r="W771" s="29" t="str">
        <f>IF(U771=1,COUNTIF($U$2:U771,1),"")</f>
        <v/>
      </c>
      <c r="X771" s="29" t="str">
        <f t="shared" si="54"/>
        <v/>
      </c>
      <c r="Y771" s="29" t="str">
        <f>IF(AND(LEFT($B771,7)="SBA 26/",$D771&lt;&gt;"",$F771&lt;&gt;""),COUNTIFS($D$2:$D771,$D771,$B$2:$B771,"SBA 26/*",$F$2:$F771,"&lt;&gt;"),"")</f>
        <v/>
      </c>
      <c r="Z771" s="29" t="str">
        <f>IF(Y771=1,COUNTIF($Y$2:Y771,1),"")</f>
        <v/>
      </c>
      <c r="AA771" s="29" t="str">
        <f>IF(AND(LEFT($B771,7)="SBA 26/",$C771&lt;&gt;"",$F771&lt;&gt;""),COUNTIFS($C$2:$C771,$C771,$B$2:$B771,"SBA 26/*",$F$2:$F771,"&lt;&gt;"),"")</f>
        <v/>
      </c>
      <c r="AB771" s="29" t="str">
        <f>IF(AA771=1,COUNTIF($AA$2:AA771,1),"")</f>
        <v/>
      </c>
    </row>
    <row r="772" spans="6:28" ht="18" customHeight="1" x14ac:dyDescent="0.2">
      <c r="F772" s="65" t="s">
        <v>3449</v>
      </c>
      <c r="L772" s="96" t="str">
        <f>IF(AND($I$641&lt;&gt;"",$L$641=""),$B$641&amp;"  →  satır 641","")</f>
        <v/>
      </c>
      <c r="R772" s="51" t="str">
        <f t="shared" si="53"/>
        <v/>
      </c>
      <c r="T772" s="41"/>
      <c r="U772" s="29" t="str">
        <f>IF($C772&lt;&gt;"",COUNTIF($C$2:C772,C772),"")</f>
        <v/>
      </c>
      <c r="V772" s="29" t="str">
        <f t="shared" si="55"/>
        <v/>
      </c>
      <c r="W772" s="29" t="str">
        <f>IF(U772=1,COUNTIF($U$2:U772,1),"")</f>
        <v/>
      </c>
      <c r="X772" s="29" t="str">
        <f t="shared" si="54"/>
        <v/>
      </c>
      <c r="Y772" s="29" t="str">
        <f>IF(AND(LEFT($B772,7)="SBA 26/",$D772&lt;&gt;"",$F772&lt;&gt;""),COUNTIFS($D$2:$D772,$D772,$B$2:$B772,"SBA 26/*",$F$2:$F772,"&lt;&gt;"),"")</f>
        <v/>
      </c>
      <c r="Z772" s="29" t="str">
        <f>IF(Y772=1,COUNTIF($Y$2:Y772,1),"")</f>
        <v/>
      </c>
      <c r="AA772" s="29" t="str">
        <f>IF(AND(LEFT($B772,7)="SBA 26/",$C772&lt;&gt;"",$F772&lt;&gt;""),COUNTIFS($C$2:$C772,$C772,$B$2:$B772,"SBA 26/*",$F$2:$F772,"&lt;&gt;"),"")</f>
        <v/>
      </c>
      <c r="AB772" s="29" t="str">
        <f>IF(AA772=1,COUNTIF($AA$2:AA772,1),"")</f>
        <v/>
      </c>
    </row>
    <row r="773" spans="6:28" ht="18" customHeight="1" x14ac:dyDescent="0.2">
      <c r="F773" s="65" t="s">
        <v>3450</v>
      </c>
      <c r="L773" s="96" t="str">
        <f>IF(AND($I$642&lt;&gt;"",$L$642=""),$B$642&amp;"  →  satır 642","")</f>
        <v/>
      </c>
      <c r="R773" s="51" t="str">
        <f t="shared" si="53"/>
        <v/>
      </c>
      <c r="T773" s="41"/>
      <c r="U773" s="29" t="str">
        <f>IF($C773&lt;&gt;"",COUNTIF($C$2:C773,C773),"")</f>
        <v/>
      </c>
      <c r="V773" s="29" t="str">
        <f t="shared" si="55"/>
        <v/>
      </c>
      <c r="W773" s="29" t="str">
        <f>IF(U773=1,COUNTIF($U$2:U773,1),"")</f>
        <v/>
      </c>
      <c r="X773" s="29" t="str">
        <f t="shared" si="54"/>
        <v/>
      </c>
      <c r="Y773" s="29" t="str">
        <f>IF(AND(LEFT($B773,7)="SBA 26/",$D773&lt;&gt;"",$F773&lt;&gt;""),COUNTIFS($D$2:$D773,$D773,$B$2:$B773,"SBA 26/*",$F$2:$F773,"&lt;&gt;"),"")</f>
        <v/>
      </c>
      <c r="Z773" s="29" t="str">
        <f>IF(Y773=1,COUNTIF($Y$2:Y773,1),"")</f>
        <v/>
      </c>
      <c r="AA773" s="29" t="str">
        <f>IF(AND(LEFT($B773,7)="SBA 26/",$C773&lt;&gt;"",$F773&lt;&gt;""),COUNTIFS($C$2:$C773,$C773,$B$2:$B773,"SBA 26/*",$F$2:$F773,"&lt;&gt;"),"")</f>
        <v/>
      </c>
      <c r="AB773" s="29" t="str">
        <f>IF(AA773=1,COUNTIF($AA$2:AA773,1),"")</f>
        <v/>
      </c>
    </row>
    <row r="774" spans="6:28" ht="18" customHeight="1" x14ac:dyDescent="0.2">
      <c r="F774" s="65" t="s">
        <v>3451</v>
      </c>
      <c r="L774" s="96" t="str">
        <f>IF(AND($I$643&lt;&gt;"",$L$643=""),$B$643&amp;"  →  satır 643","")</f>
        <v/>
      </c>
      <c r="R774" s="51" t="str">
        <f t="shared" si="53"/>
        <v/>
      </c>
      <c r="T774" s="41"/>
      <c r="U774" s="29" t="str">
        <f>IF($C774&lt;&gt;"",COUNTIF($C$2:C774,C774),"")</f>
        <v/>
      </c>
      <c r="V774" s="29" t="str">
        <f t="shared" si="55"/>
        <v/>
      </c>
      <c r="W774" s="29" t="str">
        <f>IF(U774=1,COUNTIF($U$2:U774,1),"")</f>
        <v/>
      </c>
      <c r="X774" s="29" t="str">
        <f t="shared" si="54"/>
        <v/>
      </c>
      <c r="Y774" s="29" t="str">
        <f>IF(AND(LEFT($B774,7)="SBA 26/",$D774&lt;&gt;"",$F774&lt;&gt;""),COUNTIFS($D$2:$D774,$D774,$B$2:$B774,"SBA 26/*",$F$2:$F774,"&lt;&gt;"),"")</f>
        <v/>
      </c>
      <c r="Z774" s="29" t="str">
        <f>IF(Y774=1,COUNTIF($Y$2:Y774,1),"")</f>
        <v/>
      </c>
      <c r="AA774" s="29" t="str">
        <f>IF(AND(LEFT($B774,7)="SBA 26/",$C774&lt;&gt;"",$F774&lt;&gt;""),COUNTIFS($C$2:$C774,$C774,$B$2:$B774,"SBA 26/*",$F$2:$F774,"&lt;&gt;"),"")</f>
        <v/>
      </c>
      <c r="AB774" s="29" t="str">
        <f>IF(AA774=1,COUNTIF($AA$2:AA774,1),"")</f>
        <v/>
      </c>
    </row>
    <row r="775" spans="6:28" ht="18" customHeight="1" x14ac:dyDescent="0.2">
      <c r="F775" s="65" t="s">
        <v>3452</v>
      </c>
      <c r="L775" s="96" t="str">
        <f>IF(AND($I$644&lt;&gt;"",$L$644=""),$B$644&amp;"  →  satır 644","")</f>
        <v>SBA 26/643  →  satır 644</v>
      </c>
      <c r="R775" s="51" t="str">
        <f t="shared" si="53"/>
        <v/>
      </c>
      <c r="T775" s="41"/>
      <c r="U775" s="29" t="str">
        <f>IF($C775&lt;&gt;"",COUNTIF($C$2:C775,C775),"")</f>
        <v/>
      </c>
      <c r="V775" s="29" t="str">
        <f t="shared" si="55"/>
        <v/>
      </c>
      <c r="W775" s="29" t="str">
        <f>IF(U775=1,COUNTIF($U$2:U775,1),"")</f>
        <v/>
      </c>
      <c r="X775" s="29" t="str">
        <f t="shared" si="54"/>
        <v/>
      </c>
      <c r="Y775" s="29" t="str">
        <f>IF(AND(LEFT($B775,7)="SBA 26/",$D775&lt;&gt;"",$F775&lt;&gt;""),COUNTIFS($D$2:$D775,$D775,$B$2:$B775,"SBA 26/*",$F$2:$F775,"&lt;&gt;"),"")</f>
        <v/>
      </c>
      <c r="Z775" s="29" t="str">
        <f>IF(Y775=1,COUNTIF($Y$2:Y775,1),"")</f>
        <v/>
      </c>
      <c r="AA775" s="29" t="str">
        <f>IF(AND(LEFT($B775,7)="SBA 26/",$C775&lt;&gt;"",$F775&lt;&gt;""),COUNTIFS($C$2:$C775,$C775,$B$2:$B775,"SBA 26/*",$F$2:$F775,"&lt;&gt;"),"")</f>
        <v/>
      </c>
      <c r="AB775" s="29" t="str">
        <f>IF(AA775=1,COUNTIF($AA$2:AA775,1),"")</f>
        <v/>
      </c>
    </row>
    <row r="776" spans="6:28" ht="18" customHeight="1" x14ac:dyDescent="0.2">
      <c r="F776" s="65" t="s">
        <v>3453</v>
      </c>
      <c r="L776" s="96" t="str">
        <f>IF(AND($I$645&lt;&gt;"",$L$645=""),$B$645&amp;"  →  satır 645","")</f>
        <v/>
      </c>
      <c r="R776" s="51" t="str">
        <f t="shared" si="53"/>
        <v/>
      </c>
      <c r="T776" s="41"/>
      <c r="U776" s="29" t="str">
        <f>IF($C776&lt;&gt;"",COUNTIF($C$2:C776,C776),"")</f>
        <v/>
      </c>
      <c r="V776" s="29" t="str">
        <f t="shared" si="55"/>
        <v/>
      </c>
      <c r="W776" s="29" t="str">
        <f>IF(U776=1,COUNTIF($U$2:U776,1),"")</f>
        <v/>
      </c>
      <c r="X776" s="29" t="str">
        <f t="shared" si="54"/>
        <v/>
      </c>
      <c r="Y776" s="29" t="str">
        <f>IF(AND(LEFT($B776,7)="SBA 26/",$D776&lt;&gt;"",$F776&lt;&gt;""),COUNTIFS($D$2:$D776,$D776,$B$2:$B776,"SBA 26/*",$F$2:$F776,"&lt;&gt;"),"")</f>
        <v/>
      </c>
      <c r="Z776" s="29" t="str">
        <f>IF(Y776=1,COUNTIF($Y$2:Y776,1),"")</f>
        <v/>
      </c>
      <c r="AA776" s="29" t="str">
        <f>IF(AND(LEFT($B776,7)="SBA 26/",$C776&lt;&gt;"",$F776&lt;&gt;""),COUNTIFS($C$2:$C776,$C776,$B$2:$B776,"SBA 26/*",$F$2:$F776,"&lt;&gt;"),"")</f>
        <v/>
      </c>
      <c r="AB776" s="29" t="str">
        <f>IF(AA776=1,COUNTIF($AA$2:AA776,1),"")</f>
        <v/>
      </c>
    </row>
    <row r="777" spans="6:28" ht="18" customHeight="1" x14ac:dyDescent="0.2">
      <c r="F777" s="65" t="s">
        <v>3454</v>
      </c>
      <c r="L777" s="96" t="str">
        <f>IF(AND($I$646&lt;&gt;"",$L$646=""),$B$646&amp;"  →  satır 646","")</f>
        <v>SBA 26/645  →  satır 646</v>
      </c>
      <c r="R777" s="51" t="str">
        <f t="shared" si="53"/>
        <v/>
      </c>
      <c r="T777" s="41"/>
      <c r="U777" s="29" t="str">
        <f>IF($C777&lt;&gt;"",COUNTIF($C$2:C777,C777),"")</f>
        <v/>
      </c>
      <c r="V777" s="29" t="str">
        <f t="shared" si="55"/>
        <v/>
      </c>
      <c r="W777" s="29" t="str">
        <f>IF(U777=1,COUNTIF($U$2:U777,1),"")</f>
        <v/>
      </c>
      <c r="X777" s="29" t="str">
        <f t="shared" si="54"/>
        <v/>
      </c>
      <c r="Y777" s="29" t="str">
        <f>IF(AND(LEFT($B777,7)="SBA 26/",$D777&lt;&gt;"",$F777&lt;&gt;""),COUNTIFS($D$2:$D777,$D777,$B$2:$B777,"SBA 26/*",$F$2:$F777,"&lt;&gt;"),"")</f>
        <v/>
      </c>
      <c r="Z777" s="29" t="str">
        <f>IF(Y777=1,COUNTIF($Y$2:Y777,1),"")</f>
        <v/>
      </c>
      <c r="AA777" s="29" t="str">
        <f>IF(AND(LEFT($B777,7)="SBA 26/",$C777&lt;&gt;"",$F777&lt;&gt;""),COUNTIFS($C$2:$C777,$C777,$B$2:$B777,"SBA 26/*",$F$2:$F777,"&lt;&gt;"),"")</f>
        <v/>
      </c>
      <c r="AB777" s="29" t="str">
        <f>IF(AA777=1,COUNTIF($AA$2:AA777,1),"")</f>
        <v/>
      </c>
    </row>
    <row r="778" spans="6:28" ht="18" customHeight="1" x14ac:dyDescent="0.2">
      <c r="F778" s="65" t="s">
        <v>3455</v>
      </c>
      <c r="L778" s="96" t="str">
        <f>IF(AND($I$647&lt;&gt;"",$L$647=""),$B$647&amp;"  →  satır 647","")</f>
        <v>SBA 26/646  →  satır 647</v>
      </c>
      <c r="R778" s="51" t="str">
        <f t="shared" si="53"/>
        <v/>
      </c>
      <c r="T778" s="41"/>
      <c r="U778" s="29" t="str">
        <f>IF($C778&lt;&gt;"",COUNTIF($C$2:C778,C778),"")</f>
        <v/>
      </c>
      <c r="V778" s="29" t="str">
        <f t="shared" si="55"/>
        <v/>
      </c>
      <c r="W778" s="29" t="str">
        <f>IF(U778=1,COUNTIF($U$2:U778,1),"")</f>
        <v/>
      </c>
      <c r="X778" s="29" t="str">
        <f t="shared" si="54"/>
        <v/>
      </c>
      <c r="Y778" s="29" t="str">
        <f>IF(AND(LEFT($B778,7)="SBA 26/",$D778&lt;&gt;"",$F778&lt;&gt;""),COUNTIFS($D$2:$D778,$D778,$B$2:$B778,"SBA 26/*",$F$2:$F778,"&lt;&gt;"),"")</f>
        <v/>
      </c>
      <c r="Z778" s="29" t="str">
        <f>IF(Y778=1,COUNTIF($Y$2:Y778,1),"")</f>
        <v/>
      </c>
      <c r="AA778" s="29" t="str">
        <f>IF(AND(LEFT($B778,7)="SBA 26/",$C778&lt;&gt;"",$F778&lt;&gt;""),COUNTIFS($C$2:$C778,$C778,$B$2:$B778,"SBA 26/*",$F$2:$F778,"&lt;&gt;"),"")</f>
        <v/>
      </c>
      <c r="AB778" s="29" t="str">
        <f>IF(AA778=1,COUNTIF($AA$2:AA778,1),"")</f>
        <v/>
      </c>
    </row>
    <row r="779" spans="6:28" ht="18" customHeight="1" x14ac:dyDescent="0.2">
      <c r="F779" s="65" t="s">
        <v>3456</v>
      </c>
      <c r="L779" s="96" t="str">
        <f>IF(AND($I$648&lt;&gt;"",$L$648=""),$B$648&amp;"  →  satır 648","")</f>
        <v/>
      </c>
      <c r="R779" s="51" t="str">
        <f t="shared" si="53"/>
        <v/>
      </c>
      <c r="T779" s="41"/>
      <c r="U779" s="29" t="str">
        <f>IF($C779&lt;&gt;"",COUNTIF($C$2:C779,C779),"")</f>
        <v/>
      </c>
      <c r="V779" s="29" t="str">
        <f t="shared" si="55"/>
        <v/>
      </c>
      <c r="W779" s="29" t="str">
        <f>IF(U779=1,COUNTIF($U$2:U779,1),"")</f>
        <v/>
      </c>
      <c r="X779" s="29" t="str">
        <f t="shared" si="54"/>
        <v/>
      </c>
      <c r="Y779" s="29" t="str">
        <f>IF(AND(LEFT($B779,7)="SBA 26/",$D779&lt;&gt;"",$F779&lt;&gt;""),COUNTIFS($D$2:$D779,$D779,$B$2:$B779,"SBA 26/*",$F$2:$F779,"&lt;&gt;"),"")</f>
        <v/>
      </c>
      <c r="Z779" s="29" t="str">
        <f>IF(Y779=1,COUNTIF($Y$2:Y779,1),"")</f>
        <v/>
      </c>
      <c r="AA779" s="29" t="str">
        <f>IF(AND(LEFT($B779,7)="SBA 26/",$C779&lt;&gt;"",$F779&lt;&gt;""),COUNTIFS($C$2:$C779,$C779,$B$2:$B779,"SBA 26/*",$F$2:$F779,"&lt;&gt;"),"")</f>
        <v/>
      </c>
      <c r="AB779" s="29" t="str">
        <f>IF(AA779=1,COUNTIF($AA$2:AA779,1),"")</f>
        <v/>
      </c>
    </row>
    <row r="780" spans="6:28" ht="18" customHeight="1" x14ac:dyDescent="0.2">
      <c r="F780" s="65" t="s">
        <v>3457</v>
      </c>
      <c r="L780" s="96" t="str">
        <f>IF(AND($I$649&lt;&gt;"",$L$649=""),$B$649&amp;"  →  satır 649","")</f>
        <v/>
      </c>
      <c r="R780" s="51" t="str">
        <f t="shared" si="53"/>
        <v/>
      </c>
      <c r="T780" s="41"/>
      <c r="U780" s="29" t="str">
        <f>IF($C780&lt;&gt;"",COUNTIF($C$2:C780,C780),"")</f>
        <v/>
      </c>
      <c r="V780" s="29" t="str">
        <f t="shared" si="55"/>
        <v/>
      </c>
      <c r="W780" s="29" t="str">
        <f>IF(U780=1,COUNTIF($U$2:U780,1),"")</f>
        <v/>
      </c>
      <c r="X780" s="29" t="str">
        <f t="shared" si="54"/>
        <v/>
      </c>
      <c r="Y780" s="29" t="str">
        <f>IF(AND(LEFT($B780,7)="SBA 26/",$D780&lt;&gt;"",$F780&lt;&gt;""),COUNTIFS($D$2:$D780,$D780,$B$2:$B780,"SBA 26/*",$F$2:$F780,"&lt;&gt;"),"")</f>
        <v/>
      </c>
      <c r="Z780" s="29" t="str">
        <f>IF(Y780=1,COUNTIF($Y$2:Y780,1),"")</f>
        <v/>
      </c>
      <c r="AA780" s="29" t="str">
        <f>IF(AND(LEFT($B780,7)="SBA 26/",$C780&lt;&gt;"",$F780&lt;&gt;""),COUNTIFS($C$2:$C780,$C780,$B$2:$B780,"SBA 26/*",$F$2:$F780,"&lt;&gt;"),"")</f>
        <v/>
      </c>
      <c r="AB780" s="29" t="str">
        <f>IF(AA780=1,COUNTIF($AA$2:AA780,1),"")</f>
        <v/>
      </c>
    </row>
    <row r="781" spans="6:28" ht="18" customHeight="1" x14ac:dyDescent="0.2">
      <c r="F781" s="65" t="s">
        <v>3458</v>
      </c>
      <c r="L781" s="96" t="str">
        <f>IF(AND($I$650&lt;&gt;"",$L$650=""),$B$650&amp;"  →  satır 650","")</f>
        <v/>
      </c>
      <c r="R781" s="51" t="str">
        <f t="shared" ref="R781:R798" si="56">IF(AND($I781&lt;&gt;"",$I781&gt;=DATE(2026,6,23),COUNTIFS($C:$C,$C781,$I:$I,$I781)&gt;2),"⚠ "&amp;COUNTIFS($C:$C,$C781,$I:$I,$I781)&amp;" BAŞVURU!","")</f>
        <v/>
      </c>
      <c r="T781" s="41"/>
      <c r="U781" s="29" t="str">
        <f>IF($C781&lt;&gt;"",COUNTIF($C$2:C781,C781),"")</f>
        <v/>
      </c>
      <c r="V781" s="29" t="str">
        <f t="shared" si="55"/>
        <v/>
      </c>
      <c r="W781" s="29" t="str">
        <f>IF(U781=1,COUNTIF($U$2:U781,1),"")</f>
        <v/>
      </c>
      <c r="X781" s="29" t="str">
        <f t="shared" si="54"/>
        <v/>
      </c>
      <c r="Y781" s="29" t="str">
        <f>IF(AND(LEFT($B781,7)="SBA 26/",$D781&lt;&gt;"",$F781&lt;&gt;""),COUNTIFS($D$2:$D781,$D781,$B$2:$B781,"SBA 26/*",$F$2:$F781,"&lt;&gt;"),"")</f>
        <v/>
      </c>
      <c r="Z781" s="29" t="str">
        <f>IF(Y781=1,COUNTIF($Y$2:Y781,1),"")</f>
        <v/>
      </c>
      <c r="AA781" s="29" t="str">
        <f>IF(AND(LEFT($B781,7)="SBA 26/",$C781&lt;&gt;"",$F781&lt;&gt;""),COUNTIFS($C$2:$C781,$C781,$B$2:$B781,"SBA 26/*",$F$2:$F781,"&lt;&gt;"),"")</f>
        <v/>
      </c>
      <c r="AB781" s="29" t="str">
        <f>IF(AA781=1,COUNTIF($AA$2:AA781,1),"")</f>
        <v/>
      </c>
    </row>
    <row r="782" spans="6:28" ht="18" customHeight="1" x14ac:dyDescent="0.2">
      <c r="F782" s="65" t="s">
        <v>3459</v>
      </c>
      <c r="L782" s="96" t="str">
        <f>IF(AND($I$651&lt;&gt;"",$L$651=""),$B$651&amp;"  →  satır 651","")</f>
        <v/>
      </c>
      <c r="R782" s="51" t="str">
        <f t="shared" si="56"/>
        <v/>
      </c>
      <c r="T782" s="41"/>
      <c r="U782" s="29" t="str">
        <f>IF($C782&lt;&gt;"",COUNTIF($C$2:C782,C782),"")</f>
        <v/>
      </c>
      <c r="V782" s="29" t="str">
        <f t="shared" si="55"/>
        <v/>
      </c>
      <c r="W782" s="29" t="str">
        <f>IF(U782=1,COUNTIF($U$2:U782,1),"")</f>
        <v/>
      </c>
      <c r="X782" s="29" t="str">
        <f t="shared" si="54"/>
        <v/>
      </c>
      <c r="Y782" s="29" t="str">
        <f>IF(AND(LEFT($B782,7)="SBA 26/",$D782&lt;&gt;"",$F782&lt;&gt;""),COUNTIFS($D$2:$D782,$D782,$B$2:$B782,"SBA 26/*",$F$2:$F782,"&lt;&gt;"),"")</f>
        <v/>
      </c>
      <c r="Z782" s="29" t="str">
        <f>IF(Y782=1,COUNTIF($Y$2:Y782,1),"")</f>
        <v/>
      </c>
      <c r="AA782" s="29" t="str">
        <f>IF(AND(LEFT($B782,7)="SBA 26/",$C782&lt;&gt;"",$F782&lt;&gt;""),COUNTIFS($C$2:$C782,$C782,$B$2:$B782,"SBA 26/*",$F$2:$F782,"&lt;&gt;"),"")</f>
        <v/>
      </c>
      <c r="AB782" s="29" t="str">
        <f>IF(AA782=1,COUNTIF($AA$2:AA782,1),"")</f>
        <v/>
      </c>
    </row>
    <row r="783" spans="6:28" ht="18" customHeight="1" x14ac:dyDescent="0.2">
      <c r="F783" s="65" t="s">
        <v>3460</v>
      </c>
      <c r="L783" s="96" t="str">
        <f>IF(AND($I$652&lt;&gt;"",$L$652=""),$B$652&amp;"  →  satır 652","")</f>
        <v/>
      </c>
      <c r="R783" s="51" t="str">
        <f t="shared" si="56"/>
        <v/>
      </c>
      <c r="T783" s="41"/>
      <c r="U783" s="29" t="str">
        <f>IF($C783&lt;&gt;"",COUNTIF($C$2:C783,C783),"")</f>
        <v/>
      </c>
      <c r="V783" s="29" t="str">
        <f t="shared" si="55"/>
        <v/>
      </c>
      <c r="W783" s="29" t="str">
        <f>IF(U783=1,COUNTIF($U$2:U783,1),"")</f>
        <v/>
      </c>
      <c r="X783" s="29" t="str">
        <f t="shared" si="54"/>
        <v/>
      </c>
      <c r="Y783" s="29" t="str">
        <f>IF(AND(LEFT($B783,7)="SBA 26/",$D783&lt;&gt;"",$F783&lt;&gt;""),COUNTIFS($D$2:$D783,$D783,$B$2:$B783,"SBA 26/*",$F$2:$F783,"&lt;&gt;"),"")</f>
        <v/>
      </c>
      <c r="Z783" s="29" t="str">
        <f>IF(Y783=1,COUNTIF($Y$2:Y783,1),"")</f>
        <v/>
      </c>
      <c r="AA783" s="29" t="str">
        <f>IF(AND(LEFT($B783,7)="SBA 26/",$C783&lt;&gt;"",$F783&lt;&gt;""),COUNTIFS($C$2:$C783,$C783,$B$2:$B783,"SBA 26/*",$F$2:$F783,"&lt;&gt;"),"")</f>
        <v/>
      </c>
      <c r="AB783" s="29" t="str">
        <f>IF(AA783=1,COUNTIF($AA$2:AA783,1),"")</f>
        <v/>
      </c>
    </row>
    <row r="784" spans="6:28" ht="18" customHeight="1" x14ac:dyDescent="0.2">
      <c r="F784" s="65" t="s">
        <v>3461</v>
      </c>
      <c r="L784" s="96" t="str">
        <f>IF(AND($I$653&lt;&gt;"",$L$653=""),$B$653&amp;"  →  satır 653","")</f>
        <v>SBA 26/652  →  satır 653</v>
      </c>
      <c r="R784" s="51" t="str">
        <f t="shared" si="56"/>
        <v/>
      </c>
      <c r="T784" s="41"/>
      <c r="U784" s="29" t="str">
        <f>IF($C784&lt;&gt;"",COUNTIF($C$2:C784,C784),"")</f>
        <v/>
      </c>
      <c r="V784" s="29" t="str">
        <f t="shared" si="55"/>
        <v/>
      </c>
      <c r="W784" s="29" t="str">
        <f>IF(U784=1,COUNTIF($U$2:U784,1),"")</f>
        <v/>
      </c>
      <c r="X784" s="29" t="str">
        <f t="shared" si="54"/>
        <v/>
      </c>
      <c r="Y784" s="29" t="str">
        <f>IF(AND(LEFT($B784,7)="SBA 26/",$D784&lt;&gt;"",$F784&lt;&gt;""),COUNTIFS($D$2:$D784,$D784,$B$2:$B784,"SBA 26/*",$F$2:$F784,"&lt;&gt;"),"")</f>
        <v/>
      </c>
      <c r="Z784" s="29" t="str">
        <f>IF(Y784=1,COUNTIF($Y$2:Y784,1),"")</f>
        <v/>
      </c>
      <c r="AA784" s="29" t="str">
        <f>IF(AND(LEFT($B784,7)="SBA 26/",$C784&lt;&gt;"",$F784&lt;&gt;""),COUNTIFS($C$2:$C784,$C784,$B$2:$B784,"SBA 26/*",$F$2:$F784,"&lt;&gt;"),"")</f>
        <v/>
      </c>
      <c r="AB784" s="29" t="str">
        <f>IF(AA784=1,COUNTIF($AA$2:AA784,1),"")</f>
        <v/>
      </c>
    </row>
    <row r="785" spans="6:28" ht="18" customHeight="1" x14ac:dyDescent="0.2">
      <c r="F785" s="65" t="s">
        <v>3462</v>
      </c>
      <c r="L785" s="96" t="str">
        <f>IF(AND($I$654&lt;&gt;"",$L$654=""),$B$654&amp;"  →  satır 654","")</f>
        <v/>
      </c>
      <c r="R785" s="51" t="str">
        <f t="shared" si="56"/>
        <v/>
      </c>
      <c r="T785" s="41"/>
      <c r="U785" s="29" t="str">
        <f>IF($C785&lt;&gt;"",COUNTIF($C$2:C785,C785),"")</f>
        <v/>
      </c>
      <c r="V785" s="29" t="str">
        <f t="shared" si="55"/>
        <v/>
      </c>
      <c r="W785" s="29" t="str">
        <f>IF(U785=1,COUNTIF($U$2:U785,1),"")</f>
        <v/>
      </c>
      <c r="X785" s="29" t="str">
        <f t="shared" si="54"/>
        <v/>
      </c>
      <c r="Y785" s="29" t="str">
        <f>IF(AND(LEFT($B785,7)="SBA 26/",$D785&lt;&gt;"",$F785&lt;&gt;""),COUNTIFS($D$2:$D785,$D785,$B$2:$B785,"SBA 26/*",$F$2:$F785,"&lt;&gt;"),"")</f>
        <v/>
      </c>
      <c r="Z785" s="29" t="str">
        <f>IF(Y785=1,COUNTIF($Y$2:Y785,1),"")</f>
        <v/>
      </c>
      <c r="AA785" s="29" t="str">
        <f>IF(AND(LEFT($B785,7)="SBA 26/",$C785&lt;&gt;"",$F785&lt;&gt;""),COUNTIFS($C$2:$C785,$C785,$B$2:$B785,"SBA 26/*",$F$2:$F785,"&lt;&gt;"),"")</f>
        <v/>
      </c>
      <c r="AB785" s="29" t="str">
        <f>IF(AA785=1,COUNTIF($AA$2:AA785,1),"")</f>
        <v/>
      </c>
    </row>
    <row r="786" spans="6:28" ht="18" customHeight="1" x14ac:dyDescent="0.2">
      <c r="F786" s="65" t="s">
        <v>3463</v>
      </c>
      <c r="L786" s="96" t="str">
        <f>IF(AND($I$655&lt;&gt;"",$L$655=""),$B$655&amp;"  →  satır 655","")</f>
        <v>SBA 26/654  →  satır 655</v>
      </c>
      <c r="R786" s="51" t="str">
        <f t="shared" si="56"/>
        <v/>
      </c>
      <c r="T786" s="41"/>
      <c r="U786" s="29" t="str">
        <f>IF($C786&lt;&gt;"",COUNTIF($C$2:C786,C786),"")</f>
        <v/>
      </c>
      <c r="V786" s="29" t="str">
        <f t="shared" si="55"/>
        <v/>
      </c>
      <c r="W786" s="29" t="str">
        <f>IF(U786=1,COUNTIF($U$2:U786,1),"")</f>
        <v/>
      </c>
      <c r="X786" s="29" t="str">
        <f t="shared" si="54"/>
        <v/>
      </c>
      <c r="Y786" s="29" t="str">
        <f>IF(AND(LEFT($B786,7)="SBA 26/",$D786&lt;&gt;"",$F786&lt;&gt;""),COUNTIFS($D$2:$D786,$D786,$B$2:$B786,"SBA 26/*",$F$2:$F786,"&lt;&gt;"),"")</f>
        <v/>
      </c>
      <c r="Z786" s="29" t="str">
        <f>IF(Y786=1,COUNTIF($Y$2:Y786,1),"")</f>
        <v/>
      </c>
      <c r="AA786" s="29" t="str">
        <f>IF(AND(LEFT($B786,7)="SBA 26/",$C786&lt;&gt;"",$F786&lt;&gt;""),COUNTIFS($C$2:$C786,$C786,$B$2:$B786,"SBA 26/*",$F$2:$F786,"&lt;&gt;"),"")</f>
        <v/>
      </c>
      <c r="AB786" s="29" t="str">
        <f>IF(AA786=1,COUNTIF($AA$2:AA786,1),"")</f>
        <v/>
      </c>
    </row>
    <row r="787" spans="6:28" ht="18" customHeight="1" x14ac:dyDescent="0.2">
      <c r="F787" s="65" t="s">
        <v>3464</v>
      </c>
      <c r="L787" s="96" t="str">
        <f>IF(AND($I$656&lt;&gt;"",$L$656=""),$B$656&amp;"  →  satır 656","")</f>
        <v>SBA 26/655  →  satır 656</v>
      </c>
      <c r="R787" s="51" t="str">
        <f t="shared" si="56"/>
        <v/>
      </c>
      <c r="T787" s="41"/>
      <c r="U787" s="29" t="str">
        <f>IF($C787&lt;&gt;"",COUNTIF($C$2:C787,C787),"")</f>
        <v/>
      </c>
      <c r="V787" s="29" t="str">
        <f t="shared" si="55"/>
        <v/>
      </c>
      <c r="W787" s="29" t="str">
        <f>IF(U787=1,COUNTIF($U$2:U787,1),"")</f>
        <v/>
      </c>
      <c r="X787" s="29" t="str">
        <f t="shared" si="54"/>
        <v/>
      </c>
      <c r="Y787" s="29" t="str">
        <f>IF(AND(LEFT($B787,7)="SBA 26/",$D787&lt;&gt;"",$F787&lt;&gt;""),COUNTIFS($D$2:$D787,$D787,$B$2:$B787,"SBA 26/*",$F$2:$F787,"&lt;&gt;"),"")</f>
        <v/>
      </c>
      <c r="Z787" s="29" t="str">
        <f>IF(Y787=1,COUNTIF($Y$2:Y787,1),"")</f>
        <v/>
      </c>
      <c r="AA787" s="29" t="str">
        <f>IF(AND(LEFT($B787,7)="SBA 26/",$C787&lt;&gt;"",$F787&lt;&gt;""),COUNTIFS($C$2:$C787,$C787,$B$2:$B787,"SBA 26/*",$F$2:$F787,"&lt;&gt;"),"")</f>
        <v/>
      </c>
      <c r="AB787" s="29" t="str">
        <f>IF(AA787=1,COUNTIF($AA$2:AA787,1),"")</f>
        <v/>
      </c>
    </row>
    <row r="788" spans="6:28" ht="18" customHeight="1" x14ac:dyDescent="0.2">
      <c r="F788" s="65" t="s">
        <v>3465</v>
      </c>
      <c r="L788" s="96" t="str">
        <f>IF(AND($I$657&lt;&gt;"",$L$657=""),$B$657&amp;"  →  satır 657","")</f>
        <v/>
      </c>
      <c r="R788" s="51" t="str">
        <f t="shared" si="56"/>
        <v/>
      </c>
      <c r="T788" s="41"/>
      <c r="U788" s="29" t="str">
        <f>IF($C788&lt;&gt;"",COUNTIF($C$2:C788,C788),"")</f>
        <v/>
      </c>
      <c r="V788" s="29" t="str">
        <f t="shared" si="55"/>
        <v/>
      </c>
      <c r="W788" s="29" t="str">
        <f>IF(U788=1,COUNTIF($U$2:U788,1),"")</f>
        <v/>
      </c>
      <c r="X788" s="29" t="str">
        <f t="shared" si="54"/>
        <v/>
      </c>
      <c r="Y788" s="29" t="str">
        <f>IF(AND(LEFT($B788,7)="SBA 26/",$D788&lt;&gt;"",$F788&lt;&gt;""),COUNTIFS($D$2:$D788,$D788,$B$2:$B788,"SBA 26/*",$F$2:$F788,"&lt;&gt;"),"")</f>
        <v/>
      </c>
      <c r="Z788" s="29" t="str">
        <f>IF(Y788=1,COUNTIF($Y$2:Y788,1),"")</f>
        <v/>
      </c>
      <c r="AA788" s="29" t="str">
        <f>IF(AND(LEFT($B788,7)="SBA 26/",$C788&lt;&gt;"",$F788&lt;&gt;""),COUNTIFS($C$2:$C788,$C788,$B$2:$B788,"SBA 26/*",$F$2:$F788,"&lt;&gt;"),"")</f>
        <v/>
      </c>
      <c r="AB788" s="29" t="str">
        <f>IF(AA788=1,COUNTIF($AA$2:AA788,1),"")</f>
        <v/>
      </c>
    </row>
    <row r="789" spans="6:28" ht="18" customHeight="1" x14ac:dyDescent="0.2">
      <c r="F789" s="65" t="s">
        <v>3466</v>
      </c>
      <c r="L789" s="96" t="str">
        <f>IF(AND($I$658&lt;&gt;"",$L$658=""),$B$658&amp;"  →  satır 658","")</f>
        <v/>
      </c>
      <c r="R789" s="51" t="str">
        <f t="shared" si="56"/>
        <v/>
      </c>
      <c r="T789" s="41"/>
      <c r="U789" s="29" t="str">
        <f>IF($C789&lt;&gt;"",COUNTIF($C$2:C789,C789),"")</f>
        <v/>
      </c>
      <c r="V789" s="29" t="str">
        <f t="shared" si="55"/>
        <v/>
      </c>
      <c r="W789" s="29" t="str">
        <f>IF(U789=1,COUNTIF($U$2:U789,1),"")</f>
        <v/>
      </c>
      <c r="X789" s="29" t="str">
        <f t="shared" si="54"/>
        <v/>
      </c>
      <c r="Y789" s="29" t="str">
        <f>IF(AND(LEFT($B789,7)="SBA 26/",$D789&lt;&gt;"",$F789&lt;&gt;""),COUNTIFS($D$2:$D789,$D789,$B$2:$B789,"SBA 26/*",$F$2:$F789,"&lt;&gt;"),"")</f>
        <v/>
      </c>
      <c r="Z789" s="29" t="str">
        <f>IF(Y789=1,COUNTIF($Y$2:Y789,1),"")</f>
        <v/>
      </c>
      <c r="AA789" s="29" t="str">
        <f>IF(AND(LEFT($B789,7)="SBA 26/",$C789&lt;&gt;"",$F789&lt;&gt;""),COUNTIFS($C$2:$C789,$C789,$B$2:$B789,"SBA 26/*",$F$2:$F789,"&lt;&gt;"),"")</f>
        <v/>
      </c>
      <c r="AB789" s="29" t="str">
        <f>IF(AA789=1,COUNTIF($AA$2:AA789,1),"")</f>
        <v/>
      </c>
    </row>
    <row r="790" spans="6:28" ht="18" customHeight="1" x14ac:dyDescent="0.2">
      <c r="F790" s="65" t="s">
        <v>3467</v>
      </c>
      <c r="L790" s="96" t="str">
        <f>IF(AND($I$659&lt;&gt;"",$L$659=""),$B$659&amp;"  →  satır 659","")</f>
        <v>SBA 26/658  →  satır 659</v>
      </c>
      <c r="R790" s="51" t="str">
        <f t="shared" si="56"/>
        <v/>
      </c>
      <c r="T790" s="41"/>
      <c r="U790" s="29" t="str">
        <f>IF($C790&lt;&gt;"",COUNTIF($C$2:C790,C790),"")</f>
        <v/>
      </c>
      <c r="V790" s="29" t="str">
        <f t="shared" si="55"/>
        <v/>
      </c>
      <c r="W790" s="29" t="str">
        <f>IF(U790=1,COUNTIF($U$2:U790,1),"")</f>
        <v/>
      </c>
      <c r="X790" s="29" t="str">
        <f t="shared" si="54"/>
        <v/>
      </c>
      <c r="Y790" s="29" t="str">
        <f>IF(AND(LEFT($B790,7)="SBA 26/",$D790&lt;&gt;"",$F790&lt;&gt;""),COUNTIFS($D$2:$D790,$D790,$B$2:$B790,"SBA 26/*",$F$2:$F790,"&lt;&gt;"),"")</f>
        <v/>
      </c>
      <c r="Z790" s="29" t="str">
        <f>IF(Y790=1,COUNTIF($Y$2:Y790,1),"")</f>
        <v/>
      </c>
      <c r="AA790" s="29" t="str">
        <f>IF(AND(LEFT($B790,7)="SBA 26/",$C790&lt;&gt;"",$F790&lt;&gt;""),COUNTIFS($C$2:$C790,$C790,$B$2:$B790,"SBA 26/*",$F$2:$F790,"&lt;&gt;"),"")</f>
        <v/>
      </c>
      <c r="AB790" s="29" t="str">
        <f>IF(AA790=1,COUNTIF($AA$2:AA790,1),"")</f>
        <v/>
      </c>
    </row>
    <row r="791" spans="6:28" ht="18" customHeight="1" x14ac:dyDescent="0.2">
      <c r="F791" s="65" t="s">
        <v>3468</v>
      </c>
      <c r="L791" s="96" t="str">
        <f>IF(AND($I$660&lt;&gt;"",$L$660=""),$B$660&amp;"  →  satır 660","")</f>
        <v>SBA 26/659  →  satır 660</v>
      </c>
      <c r="R791" s="51" t="str">
        <f t="shared" si="56"/>
        <v/>
      </c>
      <c r="T791" s="41"/>
      <c r="U791" s="29" t="str">
        <f>IF($C791&lt;&gt;"",COUNTIF($C$2:C791,C791),"")</f>
        <v/>
      </c>
      <c r="V791" s="29" t="str">
        <f t="shared" si="55"/>
        <v/>
      </c>
      <c r="W791" s="29" t="str">
        <f>IF(U791=1,COUNTIF($U$2:U791,1),"")</f>
        <v/>
      </c>
      <c r="X791" s="29" t="str">
        <f t="shared" si="54"/>
        <v/>
      </c>
      <c r="Y791" s="29" t="str">
        <f>IF(AND(LEFT($B791,7)="SBA 26/",$D791&lt;&gt;"",$F791&lt;&gt;""),COUNTIFS($D$2:$D791,$D791,$B$2:$B791,"SBA 26/*",$F$2:$F791,"&lt;&gt;"),"")</f>
        <v/>
      </c>
      <c r="Z791" s="29" t="str">
        <f>IF(Y791=1,COUNTIF($Y$2:Y791,1),"")</f>
        <v/>
      </c>
      <c r="AA791" s="29" t="str">
        <f>IF(AND(LEFT($B791,7)="SBA 26/",$C791&lt;&gt;"",$F791&lt;&gt;""),COUNTIFS($C$2:$C791,$C791,$B$2:$B791,"SBA 26/*",$F$2:$F791,"&lt;&gt;"),"")</f>
        <v/>
      </c>
      <c r="AB791" s="29" t="str">
        <f>IF(AA791=1,COUNTIF($AA$2:AA791,1),"")</f>
        <v/>
      </c>
    </row>
    <row r="792" spans="6:28" ht="18" customHeight="1" x14ac:dyDescent="0.2">
      <c r="F792" s="65" t="s">
        <v>3469</v>
      </c>
      <c r="L792" s="96" t="str">
        <f>IF(AND($I$661&lt;&gt;"",$L$661=""),$B$661&amp;"  →  satır 661","")</f>
        <v/>
      </c>
      <c r="R792" s="51" t="str">
        <f t="shared" si="56"/>
        <v/>
      </c>
      <c r="T792" s="41"/>
      <c r="U792" s="29" t="str">
        <f>IF($C792&lt;&gt;"",COUNTIF($C$2:C792,C792),"")</f>
        <v/>
      </c>
      <c r="V792" s="29" t="str">
        <f t="shared" si="55"/>
        <v/>
      </c>
      <c r="W792" s="29" t="str">
        <f>IF(U792=1,COUNTIF($U$2:U792,1),"")</f>
        <v/>
      </c>
      <c r="X792" s="29" t="str">
        <f t="shared" si="54"/>
        <v/>
      </c>
      <c r="Y792" s="29" t="str">
        <f>IF(AND(LEFT($B792,7)="SBA 26/",$D792&lt;&gt;"",$F792&lt;&gt;""),COUNTIFS($D$2:$D792,$D792,$B$2:$B792,"SBA 26/*",$F$2:$F792,"&lt;&gt;"),"")</f>
        <v/>
      </c>
      <c r="Z792" s="29" t="str">
        <f>IF(Y792=1,COUNTIF($Y$2:Y792,1),"")</f>
        <v/>
      </c>
      <c r="AA792" s="29" t="str">
        <f>IF(AND(LEFT($B792,7)="SBA 26/",$C792&lt;&gt;"",$F792&lt;&gt;""),COUNTIFS($C$2:$C792,$C792,$B$2:$B792,"SBA 26/*",$F$2:$F792,"&lt;&gt;"),"")</f>
        <v/>
      </c>
      <c r="AB792" s="29" t="str">
        <f>IF(AA792=1,COUNTIF($AA$2:AA792,1),"")</f>
        <v/>
      </c>
    </row>
    <row r="793" spans="6:28" ht="18" customHeight="1" x14ac:dyDescent="0.2">
      <c r="F793" s="65" t="s">
        <v>3470</v>
      </c>
      <c r="L793" s="96" t="str">
        <f>IF(AND($I$662&lt;&gt;"",$L$662=""),$B$662&amp;"  →  satır 662","")</f>
        <v/>
      </c>
      <c r="R793" s="51" t="str">
        <f t="shared" si="56"/>
        <v/>
      </c>
      <c r="T793" s="41"/>
      <c r="U793" s="29" t="str">
        <f>IF($C793&lt;&gt;"",COUNTIF($C$2:C793,C793),"")</f>
        <v/>
      </c>
      <c r="V793" s="29" t="str">
        <f t="shared" si="55"/>
        <v/>
      </c>
      <c r="W793" s="29" t="str">
        <f>IF(U793=1,COUNTIF($U$2:U793,1),"")</f>
        <v/>
      </c>
      <c r="X793" s="29" t="str">
        <f t="shared" si="54"/>
        <v/>
      </c>
      <c r="Y793" s="29" t="str">
        <f>IF(AND(LEFT($B793,7)="SBA 26/",$D793&lt;&gt;"",$F793&lt;&gt;""),COUNTIFS($D$2:$D793,$D793,$B$2:$B793,"SBA 26/*",$F$2:$F793,"&lt;&gt;"),"")</f>
        <v/>
      </c>
      <c r="Z793" s="29" t="str">
        <f>IF(Y793=1,COUNTIF($Y$2:Y793,1),"")</f>
        <v/>
      </c>
      <c r="AA793" s="29" t="str">
        <f>IF(AND(LEFT($B793,7)="SBA 26/",$C793&lt;&gt;"",$F793&lt;&gt;""),COUNTIFS($C$2:$C793,$C793,$B$2:$B793,"SBA 26/*",$F$2:$F793,"&lt;&gt;"),"")</f>
        <v/>
      </c>
      <c r="AB793" s="29" t="str">
        <f>IF(AA793=1,COUNTIF($AA$2:AA793,1),"")</f>
        <v/>
      </c>
    </row>
    <row r="794" spans="6:28" ht="18" customHeight="1" x14ac:dyDescent="0.2">
      <c r="F794" s="65" t="s">
        <v>3471</v>
      </c>
      <c r="L794" s="96" t="str">
        <f>IF(AND($I$663&lt;&gt;"",$L$663=""),$B$663&amp;"  →  satır 663","")</f>
        <v/>
      </c>
      <c r="R794" s="51" t="str">
        <f t="shared" si="56"/>
        <v/>
      </c>
      <c r="T794" s="41"/>
      <c r="U794" s="29" t="str">
        <f>IF($C794&lt;&gt;"",COUNTIF($C$2:C794,C794),"")</f>
        <v/>
      </c>
      <c r="V794" s="29" t="str">
        <f t="shared" si="55"/>
        <v/>
      </c>
      <c r="W794" s="29" t="str">
        <f>IF(U794=1,COUNTIF($U$2:U794,1),"")</f>
        <v/>
      </c>
      <c r="X794" s="29" t="str">
        <f t="shared" si="54"/>
        <v/>
      </c>
      <c r="Y794" s="29" t="str">
        <f>IF(AND(LEFT($B794,7)="SBA 26/",$D794&lt;&gt;"",$F794&lt;&gt;""),COUNTIFS($D$2:$D794,$D794,$B$2:$B794,"SBA 26/*",$F$2:$F794,"&lt;&gt;"),"")</f>
        <v/>
      </c>
      <c r="Z794" s="29" t="str">
        <f>IF(Y794=1,COUNTIF($Y$2:Y794,1),"")</f>
        <v/>
      </c>
      <c r="AA794" s="29" t="str">
        <f>IF(AND(LEFT($B794,7)="SBA 26/",$C794&lt;&gt;"",$F794&lt;&gt;""),COUNTIFS($C$2:$C794,$C794,$B$2:$B794,"SBA 26/*",$F$2:$F794,"&lt;&gt;"),"")</f>
        <v/>
      </c>
      <c r="AB794" s="29" t="str">
        <f>IF(AA794=1,COUNTIF($AA$2:AA794,1),"")</f>
        <v/>
      </c>
    </row>
    <row r="795" spans="6:28" ht="18" customHeight="1" x14ac:dyDescent="0.2">
      <c r="F795" s="65" t="s">
        <v>3472</v>
      </c>
      <c r="L795" s="96" t="str">
        <f>IF(AND($I$664&lt;&gt;"",$L$664=""),$B$664&amp;"  →  satır 664","")</f>
        <v/>
      </c>
      <c r="R795" s="51" t="str">
        <f t="shared" si="56"/>
        <v/>
      </c>
      <c r="T795" s="41"/>
      <c r="U795" s="29" t="str">
        <f>IF($C795&lt;&gt;"",COUNTIF($C$2:C795,C795),"")</f>
        <v/>
      </c>
      <c r="V795" s="29" t="str">
        <f t="shared" si="55"/>
        <v/>
      </c>
      <c r="W795" s="29" t="str">
        <f>IF(U795=1,COUNTIF($U$2:U795,1),"")</f>
        <v/>
      </c>
      <c r="X795" s="29" t="str">
        <f t="shared" si="54"/>
        <v/>
      </c>
      <c r="Y795" s="29" t="str">
        <f>IF(AND(LEFT($B795,7)="SBA 26/",$D795&lt;&gt;"",$F795&lt;&gt;""),COUNTIFS($D$2:$D795,$D795,$B$2:$B795,"SBA 26/*",$F$2:$F795,"&lt;&gt;"),"")</f>
        <v/>
      </c>
      <c r="Z795" s="29" t="str">
        <f>IF(Y795=1,COUNTIF($Y$2:Y795,1),"")</f>
        <v/>
      </c>
      <c r="AA795" s="29" t="str">
        <f>IF(AND(LEFT($B795,7)="SBA 26/",$C795&lt;&gt;"",$F795&lt;&gt;""),COUNTIFS($C$2:$C795,$C795,$B$2:$B795,"SBA 26/*",$F$2:$F795,"&lt;&gt;"),"")</f>
        <v/>
      </c>
      <c r="AB795" s="29" t="str">
        <f>IF(AA795=1,COUNTIF($AA$2:AA795,1),"")</f>
        <v/>
      </c>
    </row>
    <row r="796" spans="6:28" ht="18" customHeight="1" x14ac:dyDescent="0.2">
      <c r="F796" s="65" t="s">
        <v>3473</v>
      </c>
      <c r="L796" s="96" t="str">
        <f>IF(AND($I$665&lt;&gt;"",$L$665=""),$B$665&amp;"  →  satır 665","")</f>
        <v/>
      </c>
      <c r="R796" s="51" t="str">
        <f t="shared" si="56"/>
        <v/>
      </c>
      <c r="T796" s="41"/>
      <c r="U796" s="29" t="str">
        <f>IF($C796&lt;&gt;"",COUNTIF($C$2:C796,C796),"")</f>
        <v/>
      </c>
      <c r="V796" s="29" t="str">
        <f t="shared" si="55"/>
        <v/>
      </c>
      <c r="W796" s="29" t="str">
        <f>IF(U796=1,COUNTIF($U$2:U796,1),"")</f>
        <v/>
      </c>
      <c r="X796" s="29" t="str">
        <f t="shared" si="54"/>
        <v/>
      </c>
      <c r="Y796" s="29" t="str">
        <f>IF(AND(LEFT($B796,7)="SBA 26/",$D796&lt;&gt;"",$F796&lt;&gt;""),COUNTIFS($D$2:$D796,$D796,$B$2:$B796,"SBA 26/*",$F$2:$F796,"&lt;&gt;"),"")</f>
        <v/>
      </c>
      <c r="Z796" s="29" t="str">
        <f>IF(Y796=1,COUNTIF($Y$2:Y796,1),"")</f>
        <v/>
      </c>
      <c r="AA796" s="29" t="str">
        <f>IF(AND(LEFT($B796,7)="SBA 26/",$C796&lt;&gt;"",$F796&lt;&gt;""),COUNTIFS($C$2:$C796,$C796,$B$2:$B796,"SBA 26/*",$F$2:$F796,"&lt;&gt;"),"")</f>
        <v/>
      </c>
      <c r="AB796" s="29" t="str">
        <f>IF(AA796=1,COUNTIF($AA$2:AA796,1),"")</f>
        <v/>
      </c>
    </row>
    <row r="797" spans="6:28" ht="18" customHeight="1" x14ac:dyDescent="0.2">
      <c r="F797" s="65" t="s">
        <v>3474</v>
      </c>
      <c r="L797" s="96" t="str">
        <f>IF(AND($I$666&lt;&gt;"",$L$666=""),$B$666&amp;"  →  satır 666","")</f>
        <v/>
      </c>
      <c r="R797" s="51" t="str">
        <f t="shared" si="56"/>
        <v/>
      </c>
      <c r="T797" s="41"/>
      <c r="U797" s="29" t="str">
        <f>IF($C797&lt;&gt;"",COUNTIF($C$2:C797,C797),"")</f>
        <v/>
      </c>
      <c r="V797" s="29" t="str">
        <f t="shared" si="55"/>
        <v/>
      </c>
      <c r="W797" s="29" t="str">
        <f>IF(U797=1,COUNTIF($U$2:U797,1),"")</f>
        <v/>
      </c>
      <c r="X797" s="29" t="str">
        <f t="shared" si="54"/>
        <v/>
      </c>
      <c r="Y797" s="29" t="str">
        <f>IF(AND(LEFT($B797,7)="SBA 26/",$D797&lt;&gt;"",$F797&lt;&gt;""),COUNTIFS($D$2:$D797,$D797,$B$2:$B797,"SBA 26/*",$F$2:$F797,"&lt;&gt;"),"")</f>
        <v/>
      </c>
      <c r="Z797" s="29" t="str">
        <f>IF(Y797=1,COUNTIF($Y$2:Y797,1),"")</f>
        <v/>
      </c>
      <c r="AA797" s="29" t="str">
        <f>IF(AND(LEFT($B797,7)="SBA 26/",$C797&lt;&gt;"",$F797&lt;&gt;""),COUNTIFS($C$2:$C797,$C797,$B$2:$B797,"SBA 26/*",$F$2:$F797,"&lt;&gt;"),"")</f>
        <v/>
      </c>
      <c r="AB797" s="29" t="str">
        <f>IF(AA797=1,COUNTIF($AA$2:AA797,1),"")</f>
        <v/>
      </c>
    </row>
    <row r="798" spans="6:28" ht="18" customHeight="1" x14ac:dyDescent="0.2">
      <c r="F798" s="65" t="s">
        <v>3475</v>
      </c>
      <c r="L798" s="96" t="str">
        <f>IF(AND($I$667&lt;&gt;"",$L$667=""),$B$667&amp;"  →  satır 667","")</f>
        <v/>
      </c>
      <c r="R798" s="51" t="str">
        <f t="shared" si="56"/>
        <v/>
      </c>
      <c r="T798" s="41"/>
      <c r="U798" s="29" t="str">
        <f>IF($C798&lt;&gt;"",COUNTIF($C$2:C798,C798),"")</f>
        <v/>
      </c>
      <c r="V798" s="29" t="str">
        <f t="shared" si="55"/>
        <v/>
      </c>
      <c r="W798" s="29" t="str">
        <f>IF(U798=1,COUNTIF($U$2:U798,1),"")</f>
        <v/>
      </c>
      <c r="X798" s="29" t="str">
        <f t="shared" si="54"/>
        <v/>
      </c>
      <c r="Y798" s="29" t="str">
        <f>IF(AND(LEFT($B798,7)="SBA 26/",$D798&lt;&gt;"",$F798&lt;&gt;""),COUNTIFS($D$2:$D798,$D798,$B$2:$B798,"SBA 26/*",$F$2:$F798,"&lt;&gt;"),"")</f>
        <v/>
      </c>
      <c r="Z798" s="29" t="str">
        <f>IF(Y798=1,COUNTIF($Y$2:Y798,1),"")</f>
        <v/>
      </c>
      <c r="AA798" s="29" t="str">
        <f>IF(AND(LEFT($B798,7)="SBA 26/",$C798&lt;&gt;"",$F798&lt;&gt;""),COUNTIFS($C$2:$C798,$C798,$B$2:$B798,"SBA 26/*",$F$2:$F798,"&lt;&gt;"),"")</f>
        <v/>
      </c>
      <c r="AB798" s="29" t="str">
        <f>IF(AA798=1,COUNTIF($AA$2:AA798,1),"")</f>
        <v/>
      </c>
    </row>
    <row r="799" spans="6:28" ht="18" customHeight="1" x14ac:dyDescent="0.2">
      <c r="F799" s="65" t="s">
        <v>3476</v>
      </c>
      <c r="L799" s="96" t="str">
        <f>IF(AND($I$668&lt;&gt;"",$L$668=""),$B$668&amp;"  →  satır 668","")</f>
        <v>SBA 26/667  →  satır 668</v>
      </c>
      <c r="T799" s="41"/>
      <c r="U799" s="29" t="str">
        <f>IF($C799&lt;&gt;"",COUNTIF($C$2:C799,C799),"")</f>
        <v/>
      </c>
      <c r="V799" s="29" t="str">
        <f t="shared" si="55"/>
        <v/>
      </c>
      <c r="W799" s="29" t="str">
        <f>IF(U799=1,COUNTIF($U$2:U799,1),"")</f>
        <v/>
      </c>
      <c r="X799" s="29" t="str">
        <f t="shared" si="54"/>
        <v/>
      </c>
      <c r="Y799" s="29" t="str">
        <f>IF(AND(LEFT($B799,7)="SBA 26/",$D799&lt;&gt;"",$F799&lt;&gt;""),COUNTIFS($D$2:$D799,$D799,$B$2:$B799,"SBA 26/*",$F$2:$F799,"&lt;&gt;"),"")</f>
        <v/>
      </c>
      <c r="Z799" s="29" t="str">
        <f>IF(Y799=1,COUNTIF($Y$2:Y799,1),"")</f>
        <v/>
      </c>
      <c r="AA799" s="29" t="str">
        <f>IF(AND(LEFT($B799,7)="SBA 26/",$C799&lt;&gt;"",$F799&lt;&gt;""),COUNTIFS($C$2:$C799,$C799,$B$2:$B799,"SBA 26/*",$F$2:$F799,"&lt;&gt;"),"")</f>
        <v/>
      </c>
      <c r="AB799" s="29" t="str">
        <f>IF(AA799=1,COUNTIF($AA$2:AA799,1),"")</f>
        <v/>
      </c>
    </row>
    <row r="800" spans="6:28" ht="18" customHeight="1" x14ac:dyDescent="0.2">
      <c r="F800" s="65" t="s">
        <v>3477</v>
      </c>
      <c r="L800" s="96" t="str">
        <f>IF(AND($I$669&lt;&gt;"",$L$669=""),$B$669&amp;"  →  satır 669","")</f>
        <v/>
      </c>
      <c r="T800" s="41"/>
      <c r="U800" s="29" t="str">
        <f>IF($C800&lt;&gt;"",COUNTIF($C$2:C800,C800),"")</f>
        <v/>
      </c>
      <c r="V800" s="29" t="str">
        <f t="shared" si="55"/>
        <v/>
      </c>
      <c r="W800" s="29" t="str">
        <f>IF(U800=1,COUNTIF($U$2:U800,1),"")</f>
        <v/>
      </c>
      <c r="X800" s="29" t="str">
        <f t="shared" si="54"/>
        <v/>
      </c>
      <c r="Y800" s="29" t="str">
        <f>IF(AND(LEFT($B800,7)="SBA 26/",$D800&lt;&gt;"",$F800&lt;&gt;""),COUNTIFS($D$2:$D800,$D800,$B$2:$B800,"SBA 26/*",$F$2:$F800,"&lt;&gt;"),"")</f>
        <v/>
      </c>
      <c r="Z800" s="29" t="str">
        <f>IF(Y800=1,COUNTIF($Y$2:Y800,1),"")</f>
        <v/>
      </c>
      <c r="AA800" s="29" t="str">
        <f>IF(AND(LEFT($B800,7)="SBA 26/",$C800&lt;&gt;"",$F800&lt;&gt;""),COUNTIFS($C$2:$C800,$C800,$B$2:$B800,"SBA 26/*",$F$2:$F800,"&lt;&gt;"),"")</f>
        <v/>
      </c>
      <c r="AB800" s="29" t="str">
        <f>IF(AA800=1,COUNTIF($AA$2:AA800,1),"")</f>
        <v/>
      </c>
    </row>
    <row r="801" spans="6:28" ht="18" customHeight="1" x14ac:dyDescent="0.2">
      <c r="F801" s="65" t="s">
        <v>3478</v>
      </c>
      <c r="L801" s="96" t="str">
        <f>IF(AND($I$670&lt;&gt;"",$L$670=""),$B$670&amp;"  →  satır 670","")</f>
        <v/>
      </c>
      <c r="T801" s="41"/>
      <c r="U801" s="29" t="str">
        <f>IF($C801&lt;&gt;"",COUNTIF($C$2:C801,C801),"")</f>
        <v/>
      </c>
      <c r="V801" s="29" t="str">
        <f t="shared" si="55"/>
        <v/>
      </c>
      <c r="W801" s="29" t="str">
        <f>IF(U801=1,COUNTIF($U$2:U801,1),"")</f>
        <v/>
      </c>
      <c r="X801" s="29" t="str">
        <f t="shared" si="54"/>
        <v/>
      </c>
      <c r="Y801" s="29" t="str">
        <f>IF(AND(LEFT($B801,7)="SBA 26/",$D801&lt;&gt;"",$F801&lt;&gt;""),COUNTIFS($D$2:$D801,$D801,$B$2:$B801,"SBA 26/*",$F$2:$F801,"&lt;&gt;"),"")</f>
        <v/>
      </c>
      <c r="Z801" s="29" t="str">
        <f>IF(Y801=1,COUNTIF($Y$2:Y801,1),"")</f>
        <v/>
      </c>
      <c r="AA801" s="29" t="str">
        <f>IF(AND(LEFT($B801,7)="SBA 26/",$C801&lt;&gt;"",$F801&lt;&gt;""),COUNTIFS($C$2:$C801,$C801,$B$2:$B801,"SBA 26/*",$F$2:$F801,"&lt;&gt;"),"")</f>
        <v/>
      </c>
      <c r="AB801" s="29" t="str">
        <f>IF(AA801=1,COUNTIF($AA$2:AA801,1),"")</f>
        <v/>
      </c>
    </row>
    <row r="802" spans="6:28" ht="18" customHeight="1" x14ac:dyDescent="0.2">
      <c r="F802" s="65" t="s">
        <v>3479</v>
      </c>
      <c r="L802" s="96" t="str">
        <f>IF(AND($I$671&lt;&gt;"",$L$671=""),$B$671&amp;"  →  satır 671","")</f>
        <v/>
      </c>
      <c r="T802" s="41"/>
      <c r="U802" s="29" t="str">
        <f>IF($C802&lt;&gt;"",COUNTIF($C$2:C802,C802),"")</f>
        <v/>
      </c>
      <c r="V802" s="29" t="str">
        <f t="shared" si="55"/>
        <v/>
      </c>
      <c r="W802" s="29" t="str">
        <f>IF(U802=1,COUNTIF($U$2:U802,1),"")</f>
        <v/>
      </c>
      <c r="X802" s="29" t="str">
        <f t="shared" si="54"/>
        <v/>
      </c>
      <c r="Y802" s="29" t="str">
        <f>IF(AND(LEFT($B802,7)="SBA 26/",$D802&lt;&gt;"",$F802&lt;&gt;""),COUNTIFS($D$2:$D802,$D802,$B$2:$B802,"SBA 26/*",$F$2:$F802,"&lt;&gt;"),"")</f>
        <v/>
      </c>
      <c r="Z802" s="29" t="str">
        <f>IF(Y802=1,COUNTIF($Y$2:Y802,1),"")</f>
        <v/>
      </c>
      <c r="AA802" s="29" t="str">
        <f>IF(AND(LEFT($B802,7)="SBA 26/",$C802&lt;&gt;"",$F802&lt;&gt;""),COUNTIFS($C$2:$C802,$C802,$B$2:$B802,"SBA 26/*",$F$2:$F802,"&lt;&gt;"),"")</f>
        <v/>
      </c>
      <c r="AB802" s="29" t="str">
        <f>IF(AA802=1,COUNTIF($AA$2:AA802,1),"")</f>
        <v/>
      </c>
    </row>
    <row r="803" spans="6:28" ht="18" customHeight="1" x14ac:dyDescent="0.2">
      <c r="F803" s="65" t="s">
        <v>3480</v>
      </c>
      <c r="L803" s="96" t="str">
        <f>IF(AND($I$672&lt;&gt;"",$L$672=""),$B$672&amp;"  →  satır 672","")</f>
        <v>SBA 26/671  →  satır 672</v>
      </c>
      <c r="T803" s="41"/>
      <c r="U803" s="29" t="str">
        <f>IF($C803&lt;&gt;"",COUNTIF($C$2:C803,C803),"")</f>
        <v/>
      </c>
      <c r="V803" s="29" t="str">
        <f t="shared" si="55"/>
        <v/>
      </c>
      <c r="W803" s="29" t="str">
        <f>IF(U803=1,COUNTIF($U$2:U803,1),"")</f>
        <v/>
      </c>
      <c r="X803" s="29" t="str">
        <f t="shared" si="54"/>
        <v/>
      </c>
      <c r="Y803" s="29" t="str">
        <f>IF(AND(LEFT($B803,7)="SBA 26/",$D803&lt;&gt;"",$F803&lt;&gt;""),COUNTIFS($D$2:$D803,$D803,$B$2:$B803,"SBA 26/*",$F$2:$F803,"&lt;&gt;"),"")</f>
        <v/>
      </c>
      <c r="Z803" s="29" t="str">
        <f>IF(Y803=1,COUNTIF($Y$2:Y803,1),"")</f>
        <v/>
      </c>
      <c r="AA803" s="29" t="str">
        <f>IF(AND(LEFT($B803,7)="SBA 26/",$C803&lt;&gt;"",$F803&lt;&gt;""),COUNTIFS($C$2:$C803,$C803,$B$2:$B803,"SBA 26/*",$F$2:$F803,"&lt;&gt;"),"")</f>
        <v/>
      </c>
      <c r="AB803" s="29" t="str">
        <f>IF(AA803=1,COUNTIF($AA$2:AA803,1),"")</f>
        <v/>
      </c>
    </row>
    <row r="804" spans="6:28" ht="18" customHeight="1" x14ac:dyDescent="0.2">
      <c r="F804" s="65" t="s">
        <v>3481</v>
      </c>
      <c r="L804" s="96" t="str">
        <f>IF(AND($I$673&lt;&gt;"",$L$673=""),$B$673&amp;"  →  satır 673","")</f>
        <v/>
      </c>
      <c r="T804" s="41"/>
      <c r="U804" s="29" t="str">
        <f>IF($C804&lt;&gt;"",COUNTIF($C$2:C804,C804),"")</f>
        <v/>
      </c>
      <c r="V804" s="29" t="str">
        <f t="shared" si="55"/>
        <v/>
      </c>
      <c r="W804" s="29" t="str">
        <f>IF(U804=1,COUNTIF($U$2:U804,1),"")</f>
        <v/>
      </c>
      <c r="X804" s="29" t="str">
        <f t="shared" si="54"/>
        <v/>
      </c>
      <c r="Y804" s="29" t="str">
        <f>IF(AND(LEFT($B804,7)="SBA 26/",$D804&lt;&gt;"",$F804&lt;&gt;""),COUNTIFS($D$2:$D804,$D804,$B$2:$B804,"SBA 26/*",$F$2:$F804,"&lt;&gt;"),"")</f>
        <v/>
      </c>
      <c r="Z804" s="29" t="str">
        <f>IF(Y804=1,COUNTIF($Y$2:Y804,1),"")</f>
        <v/>
      </c>
      <c r="AA804" s="29" t="str">
        <f>IF(AND(LEFT($B804,7)="SBA 26/",$C804&lt;&gt;"",$F804&lt;&gt;""),COUNTIFS($C$2:$C804,$C804,$B$2:$B804,"SBA 26/*",$F$2:$F804,"&lt;&gt;"),"")</f>
        <v/>
      </c>
      <c r="AB804" s="29" t="str">
        <f>IF(AA804=1,COUNTIF($AA$2:AA804,1),"")</f>
        <v/>
      </c>
    </row>
    <row r="805" spans="6:28" ht="31.5" customHeight="1" x14ac:dyDescent="0.2">
      <c r="F805" s="65" t="s">
        <v>3482</v>
      </c>
      <c r="T805" s="41"/>
      <c r="U805" s="29" t="str">
        <f>IF($C805&lt;&gt;"",COUNTIF($C$2:C805,C805),"")</f>
        <v/>
      </c>
      <c r="V805" s="29" t="str">
        <f t="shared" si="55"/>
        <v/>
      </c>
      <c r="W805" s="29" t="str">
        <f>IF(U805=1,COUNTIF($U$2:U805,1),"")</f>
        <v/>
      </c>
      <c r="X805" s="29" t="str">
        <f t="shared" si="54"/>
        <v/>
      </c>
      <c r="Y805" s="29" t="str">
        <f>IF(AND(LEFT($B805,7)="SBA 26/",$D805&lt;&gt;"",$F805&lt;&gt;""),COUNTIFS($D$2:$D805,$D805,$B$2:$B805,"SBA 26/*",$F$2:$F805,"&lt;&gt;"),"")</f>
        <v/>
      </c>
      <c r="Z805" s="29" t="str">
        <f>IF(Y805=1,COUNTIF($Y$2:Y805,1),"")</f>
        <v/>
      </c>
      <c r="AA805" s="29" t="str">
        <f>IF(AND(LEFT($B805,7)="SBA 26/",$C805&lt;&gt;"",$F805&lt;&gt;""),COUNTIFS($C$2:$C805,$C805,$B$2:$B805,"SBA 26/*",$F$2:$F805,"&lt;&gt;"),"")</f>
        <v/>
      </c>
      <c r="AB805" s="29" t="str">
        <f>IF(AA805=1,COUNTIF($AA$2:AA805,1),"")</f>
        <v/>
      </c>
    </row>
    <row r="806" spans="6:28" ht="63" customHeight="1" x14ac:dyDescent="0.2">
      <c r="F806" s="65" t="s">
        <v>3483</v>
      </c>
      <c r="T806" s="41"/>
      <c r="U806" s="29" t="str">
        <f>IF($C806&lt;&gt;"",COUNTIF($C$2:C806,C806),"")</f>
        <v/>
      </c>
      <c r="V806" s="29" t="str">
        <f t="shared" si="55"/>
        <v/>
      </c>
      <c r="W806" s="29" t="str">
        <f>IF(U806=1,COUNTIF($U$2:U806,1),"")</f>
        <v/>
      </c>
      <c r="X806" s="29" t="str">
        <f t="shared" si="54"/>
        <v/>
      </c>
      <c r="Y806" s="29" t="str">
        <f>IF(AND(LEFT($B806,7)="SBA 26/",$D806&lt;&gt;"",$F806&lt;&gt;""),COUNTIFS($D$2:$D806,$D806,$B$2:$B806,"SBA 26/*",$F$2:$F806,"&lt;&gt;"),"")</f>
        <v/>
      </c>
      <c r="Z806" s="29" t="str">
        <f>IF(Y806=1,COUNTIF($Y$2:Y806,1),"")</f>
        <v/>
      </c>
      <c r="AA806" s="29" t="str">
        <f>IF(AND(LEFT($B806,7)="SBA 26/",$C806&lt;&gt;"",$F806&lt;&gt;""),COUNTIFS($C$2:$C806,$C806,$B$2:$B806,"SBA 26/*",$F$2:$F806,"&lt;&gt;"),"")</f>
        <v/>
      </c>
      <c r="AB806" s="29" t="str">
        <f>IF(AA806=1,COUNTIF($AA$2:AA806,1),"")</f>
        <v/>
      </c>
    </row>
    <row r="807" spans="6:28" ht="47.25" customHeight="1" x14ac:dyDescent="0.2">
      <c r="F807" s="65" t="s">
        <v>3484</v>
      </c>
      <c r="T807" s="41"/>
      <c r="U807" s="29" t="str">
        <f>IF($C807&lt;&gt;"",COUNTIF($C$2:C807,C807),"")</f>
        <v/>
      </c>
      <c r="V807" s="29" t="str">
        <f t="shared" si="55"/>
        <v/>
      </c>
      <c r="W807" s="29" t="str">
        <f>IF(U807=1,COUNTIF($U$2:U807,1),"")</f>
        <v/>
      </c>
      <c r="X807" s="29" t="str">
        <f t="shared" si="54"/>
        <v/>
      </c>
      <c r="Y807" s="29" t="str">
        <f>IF(AND(LEFT($B807,7)="SBA 26/",$D807&lt;&gt;"",$F807&lt;&gt;""),COUNTIFS($D$2:$D807,$D807,$B$2:$B807,"SBA 26/*",$F$2:$F807,"&lt;&gt;"),"")</f>
        <v/>
      </c>
      <c r="Z807" s="29" t="str">
        <f>IF(Y807=1,COUNTIF($Y$2:Y807,1),"")</f>
        <v/>
      </c>
      <c r="AA807" s="29" t="str">
        <f>IF(AND(LEFT($B807,7)="SBA 26/",$C807&lt;&gt;"",$F807&lt;&gt;""),COUNTIFS($C$2:$C807,$C807,$B$2:$B807,"SBA 26/*",$F$2:$F807,"&lt;&gt;"),"")</f>
        <v/>
      </c>
      <c r="AB807" s="29" t="str">
        <f>IF(AA807=1,COUNTIF($AA$2:AA807,1),"")</f>
        <v/>
      </c>
    </row>
    <row r="808" spans="6:28" ht="47.25" customHeight="1" x14ac:dyDescent="0.2">
      <c r="F808" s="65" t="s">
        <v>3485</v>
      </c>
      <c r="T808" s="41"/>
      <c r="U808" s="29" t="str">
        <f>IF($C808&lt;&gt;"",COUNTIF($C$2:C808,C808),"")</f>
        <v/>
      </c>
      <c r="V808" s="29" t="str">
        <f t="shared" si="55"/>
        <v/>
      </c>
      <c r="W808" s="29" t="str">
        <f>IF(U808=1,COUNTIF($U$2:U808,1),"")</f>
        <v/>
      </c>
      <c r="X808" s="29" t="str">
        <f t="shared" si="54"/>
        <v/>
      </c>
      <c r="Y808" s="29" t="str">
        <f>IF(AND(LEFT($B808,7)="SBA 26/",$D808&lt;&gt;"",$F808&lt;&gt;""),COUNTIFS($D$2:$D808,$D808,$B$2:$B808,"SBA 26/*",$F$2:$F808,"&lt;&gt;"),"")</f>
        <v/>
      </c>
      <c r="Z808" s="29" t="str">
        <f>IF(Y808=1,COUNTIF($Y$2:Y808,1),"")</f>
        <v/>
      </c>
      <c r="AA808" s="29" t="str">
        <f>IF(AND(LEFT($B808,7)="SBA 26/",$C808&lt;&gt;"",$F808&lt;&gt;""),COUNTIFS($C$2:$C808,$C808,$B$2:$B808,"SBA 26/*",$F$2:$F808,"&lt;&gt;"),"")</f>
        <v/>
      </c>
      <c r="AB808" s="29" t="str">
        <f>IF(AA808=1,COUNTIF($AA$2:AA808,1),"")</f>
        <v/>
      </c>
    </row>
    <row r="809" spans="6:28" ht="31.5" customHeight="1" x14ac:dyDescent="0.2">
      <c r="F809" s="65" t="s">
        <v>3486</v>
      </c>
      <c r="T809" s="41"/>
      <c r="U809" s="29" t="str">
        <f>IF($C809&lt;&gt;"",COUNTIF($C$2:C809,C809),"")</f>
        <v/>
      </c>
      <c r="V809" s="29" t="str">
        <f t="shared" si="55"/>
        <v/>
      </c>
      <c r="W809" s="29" t="str">
        <f>IF(U809=1,COUNTIF($U$2:U809,1),"")</f>
        <v/>
      </c>
      <c r="X809" s="29" t="str">
        <f t="shared" si="54"/>
        <v/>
      </c>
      <c r="Y809" s="29" t="str">
        <f>IF(AND(LEFT($B809,7)="SBA 26/",$D809&lt;&gt;"",$F809&lt;&gt;""),COUNTIFS($D$2:$D809,$D809,$B$2:$B809,"SBA 26/*",$F$2:$F809,"&lt;&gt;"),"")</f>
        <v/>
      </c>
      <c r="Z809" s="29" t="str">
        <f>IF(Y809=1,COUNTIF($Y$2:Y809,1),"")</f>
        <v/>
      </c>
      <c r="AA809" s="29" t="str">
        <f>IF(AND(LEFT($B809,7)="SBA 26/",$C809&lt;&gt;"",$F809&lt;&gt;""),COUNTIFS($C$2:$C809,$C809,$B$2:$B809,"SBA 26/*",$F$2:$F809,"&lt;&gt;"),"")</f>
        <v/>
      </c>
      <c r="AB809" s="29" t="str">
        <f>IF(AA809=1,COUNTIF($AA$2:AA809,1),"")</f>
        <v/>
      </c>
    </row>
    <row r="810" spans="6:28" ht="31.5" customHeight="1" x14ac:dyDescent="0.2">
      <c r="F810" s="65" t="s">
        <v>3487</v>
      </c>
      <c r="T810" s="41"/>
      <c r="U810" s="29" t="str">
        <f>IF($C810&lt;&gt;"",COUNTIF($C$2:C810,C810),"")</f>
        <v/>
      </c>
      <c r="V810" s="29" t="str">
        <f t="shared" si="55"/>
        <v/>
      </c>
      <c r="W810" s="29" t="str">
        <f>IF(U810=1,COUNTIF($U$2:U810,1),"")</f>
        <v/>
      </c>
      <c r="X810" s="29" t="str">
        <f t="shared" si="54"/>
        <v/>
      </c>
      <c r="Y810" s="29" t="str">
        <f>IF(AND(LEFT($B810,7)="SBA 26/",$D810&lt;&gt;"",$F810&lt;&gt;""),COUNTIFS($D$2:$D810,$D810,$B$2:$B810,"SBA 26/*",$F$2:$F810,"&lt;&gt;"),"")</f>
        <v/>
      </c>
      <c r="Z810" s="29" t="str">
        <f>IF(Y810=1,COUNTIF($Y$2:Y810,1),"")</f>
        <v/>
      </c>
      <c r="AA810" s="29" t="str">
        <f>IF(AND(LEFT($B810,7)="SBA 26/",$C810&lt;&gt;"",$F810&lt;&gt;""),COUNTIFS($C$2:$C810,$C810,$B$2:$B810,"SBA 26/*",$F$2:$F810,"&lt;&gt;"),"")</f>
        <v/>
      </c>
      <c r="AB810" s="29" t="str">
        <f>IF(AA810=1,COUNTIF($AA$2:AA810,1),"")</f>
        <v/>
      </c>
    </row>
    <row r="811" spans="6:28" ht="47.25" customHeight="1" x14ac:dyDescent="0.2">
      <c r="F811" s="65" t="s">
        <v>3488</v>
      </c>
      <c r="T811" s="41"/>
      <c r="U811" s="29" t="str">
        <f>IF($C811&lt;&gt;"",COUNTIF($C$2:C811,C811),"")</f>
        <v/>
      </c>
      <c r="V811" s="29" t="str">
        <f t="shared" si="55"/>
        <v/>
      </c>
      <c r="W811" s="29" t="str">
        <f>IF(U811=1,COUNTIF($U$2:U811,1),"")</f>
        <v/>
      </c>
      <c r="X811" s="29" t="str">
        <f t="shared" si="54"/>
        <v/>
      </c>
      <c r="Y811" s="29" t="str">
        <f>IF(AND(LEFT($B811,7)="SBA 26/",$D811&lt;&gt;"",$F811&lt;&gt;""),COUNTIFS($D$2:$D811,$D811,$B$2:$B811,"SBA 26/*",$F$2:$F811,"&lt;&gt;"),"")</f>
        <v/>
      </c>
      <c r="Z811" s="29" t="str">
        <f>IF(Y811=1,COUNTIF($Y$2:Y811,1),"")</f>
        <v/>
      </c>
      <c r="AA811" s="29" t="str">
        <f>IF(AND(LEFT($B811,7)="SBA 26/",$C811&lt;&gt;"",$F811&lt;&gt;""),COUNTIFS($C$2:$C811,$C811,$B$2:$B811,"SBA 26/*",$F$2:$F811,"&lt;&gt;"),"")</f>
        <v/>
      </c>
      <c r="AB811" s="29" t="str">
        <f>IF(AA811=1,COUNTIF($AA$2:AA811,1),"")</f>
        <v/>
      </c>
    </row>
    <row r="812" spans="6:28" ht="31.5" customHeight="1" x14ac:dyDescent="0.2">
      <c r="F812" s="65" t="s">
        <v>3489</v>
      </c>
      <c r="T812" s="41"/>
      <c r="U812" s="29" t="str">
        <f>IF($C812&lt;&gt;"",COUNTIF($C$2:C812,C812),"")</f>
        <v/>
      </c>
      <c r="V812" s="29" t="str">
        <f t="shared" si="55"/>
        <v/>
      </c>
      <c r="W812" s="29" t="str">
        <f>IF(U812=1,COUNTIF($U$2:U812,1),"")</f>
        <v/>
      </c>
      <c r="X812" s="29" t="str">
        <f t="shared" si="54"/>
        <v/>
      </c>
      <c r="Y812" s="29" t="str">
        <f>IF(AND(LEFT($B812,7)="SBA 26/",$D812&lt;&gt;"",$F812&lt;&gt;""),COUNTIFS($D$2:$D812,$D812,$B$2:$B812,"SBA 26/*",$F$2:$F812,"&lt;&gt;"),"")</f>
        <v/>
      </c>
      <c r="Z812" s="29" t="str">
        <f>IF(Y812=1,COUNTIF($Y$2:Y812,1),"")</f>
        <v/>
      </c>
      <c r="AA812" s="29" t="str">
        <f>IF(AND(LEFT($B812,7)="SBA 26/",$C812&lt;&gt;"",$F812&lt;&gt;""),COUNTIFS($C$2:$C812,$C812,$B$2:$B812,"SBA 26/*",$F$2:$F812,"&lt;&gt;"),"")</f>
        <v/>
      </c>
      <c r="AB812" s="29" t="str">
        <f>IF(AA812=1,COUNTIF($AA$2:AA812,1),"")</f>
        <v/>
      </c>
    </row>
    <row r="813" spans="6:28" ht="47.25" customHeight="1" x14ac:dyDescent="0.2">
      <c r="F813" s="65" t="s">
        <v>3490</v>
      </c>
      <c r="T813" s="41"/>
      <c r="U813" s="29" t="str">
        <f>IF($C813&lt;&gt;"",COUNTIF($C$2:C813,C813),"")</f>
        <v/>
      </c>
      <c r="V813" s="29" t="str">
        <f t="shared" si="55"/>
        <v/>
      </c>
      <c r="W813" s="29" t="str">
        <f>IF(U813=1,COUNTIF($U$2:U813,1),"")</f>
        <v/>
      </c>
      <c r="X813" s="29" t="str">
        <f t="shared" ref="X813:X876" si="57">IF(U813=1,SUMPRODUCT(($U$2:$U$1833=1)*($C$2:$C$1833&lt;C813))+1,"")</f>
        <v/>
      </c>
      <c r="Y813" s="29" t="str">
        <f>IF(AND(LEFT($B813,7)="SBA 26/",$D813&lt;&gt;"",$F813&lt;&gt;""),COUNTIFS($D$2:$D813,$D813,$B$2:$B813,"SBA 26/*",$F$2:$F813,"&lt;&gt;"),"")</f>
        <v/>
      </c>
      <c r="Z813" s="29" t="str">
        <f>IF(Y813=1,COUNTIF($Y$2:Y813,1),"")</f>
        <v/>
      </c>
      <c r="AA813" s="29" t="str">
        <f>IF(AND(LEFT($B813,7)="SBA 26/",$C813&lt;&gt;"",$F813&lt;&gt;""),COUNTIFS($C$2:$C813,$C813,$B$2:$B813,"SBA 26/*",$F$2:$F813,"&lt;&gt;"),"")</f>
        <v/>
      </c>
      <c r="AB813" s="29" t="str">
        <f>IF(AA813=1,COUNTIF($AA$2:AA813,1),"")</f>
        <v/>
      </c>
    </row>
    <row r="814" spans="6:28" ht="63" customHeight="1" x14ac:dyDescent="0.2">
      <c r="F814" s="65" t="s">
        <v>3491</v>
      </c>
      <c r="T814" s="41"/>
      <c r="U814" s="29" t="str">
        <f>IF($C814&lt;&gt;"",COUNTIF($C$2:C814,C814),"")</f>
        <v/>
      </c>
      <c r="V814" s="29" t="str">
        <f t="shared" si="55"/>
        <v/>
      </c>
      <c r="W814" s="29" t="str">
        <f>IF(U814=1,COUNTIF($U$2:U814,1),"")</f>
        <v/>
      </c>
      <c r="X814" s="29" t="str">
        <f t="shared" si="57"/>
        <v/>
      </c>
      <c r="Y814" s="29" t="str">
        <f>IF(AND(LEFT($B814,7)="SBA 26/",$D814&lt;&gt;"",$F814&lt;&gt;""),COUNTIFS($D$2:$D814,$D814,$B$2:$B814,"SBA 26/*",$F$2:$F814,"&lt;&gt;"),"")</f>
        <v/>
      </c>
      <c r="Z814" s="29" t="str">
        <f>IF(Y814=1,COUNTIF($Y$2:Y814,1),"")</f>
        <v/>
      </c>
      <c r="AA814" s="29" t="str">
        <f>IF(AND(LEFT($B814,7)="SBA 26/",$C814&lt;&gt;"",$F814&lt;&gt;""),COUNTIFS($C$2:$C814,$C814,$B$2:$B814,"SBA 26/*",$F$2:$F814,"&lt;&gt;"),"")</f>
        <v/>
      </c>
      <c r="AB814" s="29" t="str">
        <f>IF(AA814=1,COUNTIF($AA$2:AA814,1),"")</f>
        <v/>
      </c>
    </row>
    <row r="815" spans="6:28" ht="31.5" customHeight="1" x14ac:dyDescent="0.2">
      <c r="F815" s="65" t="s">
        <v>3492</v>
      </c>
      <c r="T815" s="41"/>
      <c r="U815" s="29" t="str">
        <f>IF($C815&lt;&gt;"",COUNTIF($C$2:C815,C815),"")</f>
        <v/>
      </c>
      <c r="V815" s="29" t="str">
        <f t="shared" si="55"/>
        <v/>
      </c>
      <c r="W815" s="29" t="str">
        <f>IF(U815=1,COUNTIF($U$2:U815,1),"")</f>
        <v/>
      </c>
      <c r="X815" s="29" t="str">
        <f t="shared" si="57"/>
        <v/>
      </c>
      <c r="Y815" s="29" t="str">
        <f>IF(AND(LEFT($B815,7)="SBA 26/",$D815&lt;&gt;"",$F815&lt;&gt;""),COUNTIFS($D$2:$D815,$D815,$B$2:$B815,"SBA 26/*",$F$2:$F815,"&lt;&gt;"),"")</f>
        <v/>
      </c>
      <c r="Z815" s="29" t="str">
        <f>IF(Y815=1,COUNTIF($Y$2:Y815,1),"")</f>
        <v/>
      </c>
      <c r="AA815" s="29" t="str">
        <f>IF(AND(LEFT($B815,7)="SBA 26/",$C815&lt;&gt;"",$F815&lt;&gt;""),COUNTIFS($C$2:$C815,$C815,$B$2:$B815,"SBA 26/*",$F$2:$F815,"&lt;&gt;"),"")</f>
        <v/>
      </c>
      <c r="AB815" s="29" t="str">
        <f>IF(AA815=1,COUNTIF($AA$2:AA815,1),"")</f>
        <v/>
      </c>
    </row>
    <row r="816" spans="6:28" ht="47.25" customHeight="1" x14ac:dyDescent="0.2">
      <c r="F816" s="65" t="s">
        <v>3493</v>
      </c>
      <c r="T816" s="41"/>
      <c r="U816" s="29" t="str">
        <f>IF($C816&lt;&gt;"",COUNTIF($C$2:C816,C816),"")</f>
        <v/>
      </c>
      <c r="V816" s="29" t="str">
        <f t="shared" si="55"/>
        <v/>
      </c>
      <c r="W816" s="29" t="str">
        <f>IF(U816=1,COUNTIF($U$2:U816,1),"")</f>
        <v/>
      </c>
      <c r="X816" s="29" t="str">
        <f t="shared" si="57"/>
        <v/>
      </c>
      <c r="Y816" s="29" t="str">
        <f>IF(AND(LEFT($B816,7)="SBA 26/",$D816&lt;&gt;"",$F816&lt;&gt;""),COUNTIFS($D$2:$D816,$D816,$B$2:$B816,"SBA 26/*",$F$2:$F816,"&lt;&gt;"),"")</f>
        <v/>
      </c>
      <c r="Z816" s="29" t="str">
        <f>IF(Y816=1,COUNTIF($Y$2:Y816,1),"")</f>
        <v/>
      </c>
      <c r="AA816" s="29" t="str">
        <f>IF(AND(LEFT($B816,7)="SBA 26/",$C816&lt;&gt;"",$F816&lt;&gt;""),COUNTIFS($C$2:$C816,$C816,$B$2:$B816,"SBA 26/*",$F$2:$F816,"&lt;&gt;"),"")</f>
        <v/>
      </c>
      <c r="AB816" s="29" t="str">
        <f>IF(AA816=1,COUNTIF($AA$2:AA816,1),"")</f>
        <v/>
      </c>
    </row>
    <row r="817" spans="6:28" ht="31.5" customHeight="1" x14ac:dyDescent="0.2">
      <c r="F817" s="65" t="s">
        <v>3494</v>
      </c>
      <c r="T817" s="41"/>
      <c r="U817" s="29" t="str">
        <f>IF($C817&lt;&gt;"",COUNTIF($C$2:C817,C817),"")</f>
        <v/>
      </c>
      <c r="V817" s="29" t="str">
        <f t="shared" si="55"/>
        <v/>
      </c>
      <c r="W817" s="29" t="str">
        <f>IF(U817=1,COUNTIF($U$2:U817,1),"")</f>
        <v/>
      </c>
      <c r="X817" s="29" t="str">
        <f t="shared" si="57"/>
        <v/>
      </c>
      <c r="Y817" s="29" t="str">
        <f>IF(AND(LEFT($B817,7)="SBA 26/",$D817&lt;&gt;"",$F817&lt;&gt;""),COUNTIFS($D$2:$D817,$D817,$B$2:$B817,"SBA 26/*",$F$2:$F817,"&lt;&gt;"),"")</f>
        <v/>
      </c>
      <c r="Z817" s="29" t="str">
        <f>IF(Y817=1,COUNTIF($Y$2:Y817,1),"")</f>
        <v/>
      </c>
      <c r="AA817" s="29" t="str">
        <f>IF(AND(LEFT($B817,7)="SBA 26/",$C817&lt;&gt;"",$F817&lt;&gt;""),COUNTIFS($C$2:$C817,$C817,$B$2:$B817,"SBA 26/*",$F$2:$F817,"&lt;&gt;"),"")</f>
        <v/>
      </c>
      <c r="AB817" s="29" t="str">
        <f>IF(AA817=1,COUNTIF($AA$2:AA817,1),"")</f>
        <v/>
      </c>
    </row>
    <row r="818" spans="6:28" ht="31.5" customHeight="1" x14ac:dyDescent="0.2">
      <c r="F818" s="65" t="s">
        <v>3495</v>
      </c>
      <c r="T818" s="41"/>
      <c r="U818" s="29" t="str">
        <f>IF($C818&lt;&gt;"",COUNTIF($C$2:C818,C818),"")</f>
        <v/>
      </c>
      <c r="V818" s="29" t="str">
        <f t="shared" si="55"/>
        <v/>
      </c>
      <c r="W818" s="29" t="str">
        <f>IF(U818=1,COUNTIF($U$2:U818,1),"")</f>
        <v/>
      </c>
      <c r="X818" s="29" t="str">
        <f t="shared" si="57"/>
        <v/>
      </c>
      <c r="Y818" s="29" t="str">
        <f>IF(AND(LEFT($B818,7)="SBA 26/",$D818&lt;&gt;"",$F818&lt;&gt;""),COUNTIFS($D$2:$D818,$D818,$B$2:$B818,"SBA 26/*",$F$2:$F818,"&lt;&gt;"),"")</f>
        <v/>
      </c>
      <c r="Z818" s="29" t="str">
        <f>IF(Y818=1,COUNTIF($Y$2:Y818,1),"")</f>
        <v/>
      </c>
      <c r="AA818" s="29" t="str">
        <f>IF(AND(LEFT($B818,7)="SBA 26/",$C818&lt;&gt;"",$F818&lt;&gt;""),COUNTIFS($C$2:$C818,$C818,$B$2:$B818,"SBA 26/*",$F$2:$F818,"&lt;&gt;"),"")</f>
        <v/>
      </c>
      <c r="AB818" s="29" t="str">
        <f>IF(AA818=1,COUNTIF($AA$2:AA818,1),"")</f>
        <v/>
      </c>
    </row>
    <row r="819" spans="6:28" ht="63" customHeight="1" x14ac:dyDescent="0.2">
      <c r="F819" s="65" t="s">
        <v>3496</v>
      </c>
      <c r="T819" s="41"/>
      <c r="U819" s="29" t="str">
        <f>IF($C819&lt;&gt;"",COUNTIF($C$2:C819,C819),"")</f>
        <v/>
      </c>
      <c r="V819" s="29" t="str">
        <f t="shared" si="55"/>
        <v/>
      </c>
      <c r="W819" s="29" t="str">
        <f>IF(U819=1,COUNTIF($U$2:U819,1),"")</f>
        <v/>
      </c>
      <c r="X819" s="29" t="str">
        <f t="shared" si="57"/>
        <v/>
      </c>
      <c r="Y819" s="29" t="str">
        <f>IF(AND(LEFT($B819,7)="SBA 26/",$D819&lt;&gt;"",$F819&lt;&gt;""),COUNTIFS($D$2:$D819,$D819,$B$2:$B819,"SBA 26/*",$F$2:$F819,"&lt;&gt;"),"")</f>
        <v/>
      </c>
      <c r="Z819" s="29" t="str">
        <f>IF(Y819=1,COUNTIF($Y$2:Y819,1),"")</f>
        <v/>
      </c>
      <c r="AA819" s="29" t="str">
        <f>IF(AND(LEFT($B819,7)="SBA 26/",$C819&lt;&gt;"",$F819&lt;&gt;""),COUNTIFS($C$2:$C819,$C819,$B$2:$B819,"SBA 26/*",$F$2:$F819,"&lt;&gt;"),"")</f>
        <v/>
      </c>
      <c r="AB819" s="29" t="str">
        <f>IF(AA819=1,COUNTIF($AA$2:AA819,1),"")</f>
        <v/>
      </c>
    </row>
    <row r="820" spans="6:28" ht="47.25" customHeight="1" x14ac:dyDescent="0.2">
      <c r="F820" s="65" t="s">
        <v>3497</v>
      </c>
      <c r="T820" s="41"/>
      <c r="U820" s="29" t="str">
        <f>IF($C820&lt;&gt;"",COUNTIF($C$2:C820,C820),"")</f>
        <v/>
      </c>
      <c r="V820" s="29" t="str">
        <f t="shared" si="55"/>
        <v/>
      </c>
      <c r="W820" s="29" t="str">
        <f>IF(U820=1,COUNTIF($U$2:U820,1),"")</f>
        <v/>
      </c>
      <c r="X820" s="29" t="str">
        <f t="shared" si="57"/>
        <v/>
      </c>
      <c r="Y820" s="29" t="str">
        <f>IF(AND(LEFT($B820,7)="SBA 26/",$D820&lt;&gt;"",$F820&lt;&gt;""),COUNTIFS($D$2:$D820,$D820,$B$2:$B820,"SBA 26/*",$F$2:$F820,"&lt;&gt;"),"")</f>
        <v/>
      </c>
      <c r="Z820" s="29" t="str">
        <f>IF(Y820=1,COUNTIF($Y$2:Y820,1),"")</f>
        <v/>
      </c>
      <c r="AA820" s="29" t="str">
        <f>IF(AND(LEFT($B820,7)="SBA 26/",$C820&lt;&gt;"",$F820&lt;&gt;""),COUNTIFS($C$2:$C820,$C820,$B$2:$B820,"SBA 26/*",$F$2:$F820,"&lt;&gt;"),"")</f>
        <v/>
      </c>
      <c r="AB820" s="29" t="str">
        <f>IF(AA820=1,COUNTIF($AA$2:AA820,1),"")</f>
        <v/>
      </c>
    </row>
    <row r="821" spans="6:28" ht="31.5" customHeight="1" x14ac:dyDescent="0.2">
      <c r="F821" s="65" t="s">
        <v>3498</v>
      </c>
      <c r="T821" s="41"/>
      <c r="U821" s="29" t="str">
        <f>IF($C821&lt;&gt;"",COUNTIF($C$2:C821,C821),"")</f>
        <v/>
      </c>
      <c r="V821" s="29" t="str">
        <f t="shared" si="55"/>
        <v/>
      </c>
      <c r="W821" s="29" t="str">
        <f>IF(U821=1,COUNTIF($U$2:U821,1),"")</f>
        <v/>
      </c>
      <c r="X821" s="29" t="str">
        <f t="shared" si="57"/>
        <v/>
      </c>
      <c r="Y821" s="29" t="str">
        <f>IF(AND(LEFT($B821,7)="SBA 26/",$D821&lt;&gt;"",$F821&lt;&gt;""),COUNTIFS($D$2:$D821,$D821,$B$2:$B821,"SBA 26/*",$F$2:$F821,"&lt;&gt;"),"")</f>
        <v/>
      </c>
      <c r="Z821" s="29" t="str">
        <f>IF(Y821=1,COUNTIF($Y$2:Y821,1),"")</f>
        <v/>
      </c>
      <c r="AA821" s="29" t="str">
        <f>IF(AND(LEFT($B821,7)="SBA 26/",$C821&lt;&gt;"",$F821&lt;&gt;""),COUNTIFS($C$2:$C821,$C821,$B$2:$B821,"SBA 26/*",$F$2:$F821,"&lt;&gt;"),"")</f>
        <v/>
      </c>
      <c r="AB821" s="29" t="str">
        <f>IF(AA821=1,COUNTIF($AA$2:AA821,1),"")</f>
        <v/>
      </c>
    </row>
    <row r="822" spans="6:28" ht="31.5" customHeight="1" x14ac:dyDescent="0.2">
      <c r="F822" s="65" t="s">
        <v>3499</v>
      </c>
      <c r="T822" s="41"/>
      <c r="U822" s="29" t="str">
        <f>IF($C822&lt;&gt;"",COUNTIF($C$2:C822,C822),"")</f>
        <v/>
      </c>
      <c r="V822" s="29" t="str">
        <f t="shared" si="55"/>
        <v/>
      </c>
      <c r="W822" s="29" t="str">
        <f>IF(U822=1,COUNTIF($U$2:U822,1),"")</f>
        <v/>
      </c>
      <c r="X822" s="29" t="str">
        <f t="shared" si="57"/>
        <v/>
      </c>
      <c r="Y822" s="29" t="str">
        <f>IF(AND(LEFT($B822,7)="SBA 26/",$D822&lt;&gt;"",$F822&lt;&gt;""),COUNTIFS($D$2:$D822,$D822,$B$2:$B822,"SBA 26/*",$F$2:$F822,"&lt;&gt;"),"")</f>
        <v/>
      </c>
      <c r="Z822" s="29" t="str">
        <f>IF(Y822=1,COUNTIF($Y$2:Y822,1),"")</f>
        <v/>
      </c>
      <c r="AA822" s="29" t="str">
        <f>IF(AND(LEFT($B822,7)="SBA 26/",$C822&lt;&gt;"",$F822&lt;&gt;""),COUNTIFS($C$2:$C822,$C822,$B$2:$B822,"SBA 26/*",$F$2:$F822,"&lt;&gt;"),"")</f>
        <v/>
      </c>
      <c r="AB822" s="29" t="str">
        <f>IF(AA822=1,COUNTIF($AA$2:AA822,1),"")</f>
        <v/>
      </c>
    </row>
    <row r="823" spans="6:28" ht="31.5" customHeight="1" x14ac:dyDescent="0.2">
      <c r="F823" s="65" t="s">
        <v>3500</v>
      </c>
      <c r="T823" s="41"/>
      <c r="U823" s="29" t="str">
        <f>IF($C823&lt;&gt;"",COUNTIF($C$2:C823,C823),"")</f>
        <v/>
      </c>
      <c r="V823" s="29" t="str">
        <f t="shared" si="55"/>
        <v/>
      </c>
      <c r="W823" s="29" t="str">
        <f>IF(U823=1,COUNTIF($U$2:U823,1),"")</f>
        <v/>
      </c>
      <c r="X823" s="29" t="str">
        <f t="shared" si="57"/>
        <v/>
      </c>
      <c r="Y823" s="29" t="str">
        <f>IF(AND(LEFT($B823,7)="SBA 26/",$D823&lt;&gt;"",$F823&lt;&gt;""),COUNTIFS($D$2:$D823,$D823,$B$2:$B823,"SBA 26/*",$F$2:$F823,"&lt;&gt;"),"")</f>
        <v/>
      </c>
      <c r="Z823" s="29" t="str">
        <f>IF(Y823=1,COUNTIF($Y$2:Y823,1),"")</f>
        <v/>
      </c>
      <c r="AA823" s="29" t="str">
        <f>IF(AND(LEFT($B823,7)="SBA 26/",$C823&lt;&gt;"",$F823&lt;&gt;""),COUNTIFS($C$2:$C823,$C823,$B$2:$B823,"SBA 26/*",$F$2:$F823,"&lt;&gt;"),"")</f>
        <v/>
      </c>
      <c r="AB823" s="29" t="str">
        <f>IF(AA823=1,COUNTIF($AA$2:AA823,1),"")</f>
        <v/>
      </c>
    </row>
    <row r="824" spans="6:28" ht="31.5" customHeight="1" x14ac:dyDescent="0.2">
      <c r="F824" s="45" t="s">
        <v>3501</v>
      </c>
      <c r="T824" s="41"/>
      <c r="U824" s="29" t="str">
        <f>IF($C824&lt;&gt;"",COUNTIF($C$2:C824,C824),"")</f>
        <v/>
      </c>
      <c r="V824" s="29" t="str">
        <f t="shared" si="55"/>
        <v/>
      </c>
      <c r="W824" s="29" t="str">
        <f>IF(U824=1,COUNTIF($U$2:U824,1),"")</f>
        <v/>
      </c>
      <c r="X824" s="29" t="str">
        <f t="shared" si="57"/>
        <v/>
      </c>
      <c r="Y824" s="29" t="str">
        <f>IF(AND(LEFT($B824,7)="SBA 26/",$D824&lt;&gt;"",$F824&lt;&gt;""),COUNTIFS($D$2:$D824,$D824,$B$2:$B824,"SBA 26/*",$F$2:$F824,"&lt;&gt;"),"")</f>
        <v/>
      </c>
      <c r="Z824" s="29" t="str">
        <f>IF(Y824=1,COUNTIF($Y$2:Y824,1),"")</f>
        <v/>
      </c>
      <c r="AA824" s="29" t="str">
        <f>IF(AND(LEFT($B824,7)="SBA 26/",$C824&lt;&gt;"",$F824&lt;&gt;""),COUNTIFS($C$2:$C824,$C824,$B$2:$B824,"SBA 26/*",$F$2:$F824,"&lt;&gt;"),"")</f>
        <v/>
      </c>
      <c r="AB824" s="29" t="str">
        <f>IF(AA824=1,COUNTIF($AA$2:AA824,1),"")</f>
        <v/>
      </c>
    </row>
    <row r="825" spans="6:28" ht="63" customHeight="1" x14ac:dyDescent="0.2">
      <c r="F825" s="45" t="s">
        <v>3502</v>
      </c>
      <c r="T825" s="41"/>
      <c r="U825" s="29" t="str">
        <f>IF($C825&lt;&gt;"",COUNTIF($C$2:C825,C825),"")</f>
        <v/>
      </c>
      <c r="V825" s="29" t="str">
        <f t="shared" si="55"/>
        <v/>
      </c>
      <c r="W825" s="29" t="str">
        <f>IF(U825=1,COUNTIF($U$2:U825,1),"")</f>
        <v/>
      </c>
      <c r="X825" s="29" t="str">
        <f t="shared" si="57"/>
        <v/>
      </c>
      <c r="Y825" s="29" t="str">
        <f>IF(AND(LEFT($B825,7)="SBA 26/",$D825&lt;&gt;"",$F825&lt;&gt;""),COUNTIFS($D$2:$D825,$D825,$B$2:$B825,"SBA 26/*",$F$2:$F825,"&lt;&gt;"),"")</f>
        <v/>
      </c>
      <c r="Z825" s="29" t="str">
        <f>IF(Y825=1,COUNTIF($Y$2:Y825,1),"")</f>
        <v/>
      </c>
      <c r="AA825" s="29" t="str">
        <f>IF(AND(LEFT($B825,7)="SBA 26/",$C825&lt;&gt;"",$F825&lt;&gt;""),COUNTIFS($C$2:$C825,$C825,$B$2:$B825,"SBA 26/*",$F$2:$F825,"&lt;&gt;"),"")</f>
        <v/>
      </c>
      <c r="AB825" s="29" t="str">
        <f>IF(AA825=1,COUNTIF($AA$2:AA825,1),"")</f>
        <v/>
      </c>
    </row>
    <row r="826" spans="6:28" ht="63" customHeight="1" x14ac:dyDescent="0.2">
      <c r="F826" s="45" t="s">
        <v>3503</v>
      </c>
      <c r="T826" s="41"/>
      <c r="U826" s="29" t="str">
        <f>IF($C826&lt;&gt;"",COUNTIF($C$2:C826,C826),"")</f>
        <v/>
      </c>
      <c r="V826" s="29" t="str">
        <f t="shared" si="55"/>
        <v/>
      </c>
      <c r="W826" s="29" t="str">
        <f>IF(U826=1,COUNTIF($U$2:U826,1),"")</f>
        <v/>
      </c>
      <c r="X826" s="29" t="str">
        <f t="shared" si="57"/>
        <v/>
      </c>
      <c r="Y826" s="29" t="str">
        <f>IF(AND(LEFT($B826,7)="SBA 26/",$D826&lt;&gt;"",$F826&lt;&gt;""),COUNTIFS($D$2:$D826,$D826,$B$2:$B826,"SBA 26/*",$F$2:$F826,"&lt;&gt;"),"")</f>
        <v/>
      </c>
      <c r="Z826" s="29" t="str">
        <f>IF(Y826=1,COUNTIF($Y$2:Y826,1),"")</f>
        <v/>
      </c>
      <c r="AA826" s="29" t="str">
        <f>IF(AND(LEFT($B826,7)="SBA 26/",$C826&lt;&gt;"",$F826&lt;&gt;""),COUNTIFS($C$2:$C826,$C826,$B$2:$B826,"SBA 26/*",$F$2:$F826,"&lt;&gt;"),"")</f>
        <v/>
      </c>
      <c r="AB826" s="29" t="str">
        <f>IF(AA826=1,COUNTIF($AA$2:AA826,1),"")</f>
        <v/>
      </c>
    </row>
    <row r="827" spans="6:28" ht="31.5" customHeight="1" x14ac:dyDescent="0.2">
      <c r="F827" s="45" t="s">
        <v>3504</v>
      </c>
      <c r="T827" s="41"/>
      <c r="U827" s="29" t="str">
        <f>IF($C827&lt;&gt;"",COUNTIF($C$2:C827,C827),"")</f>
        <v/>
      </c>
      <c r="V827" s="29" t="str">
        <f t="shared" si="55"/>
        <v/>
      </c>
      <c r="W827" s="29" t="str">
        <f>IF(U827=1,COUNTIF($U$2:U827,1),"")</f>
        <v/>
      </c>
      <c r="X827" s="29" t="str">
        <f t="shared" si="57"/>
        <v/>
      </c>
      <c r="Y827" s="29" t="str">
        <f>IF(AND(LEFT($B827,7)="SBA 26/",$D827&lt;&gt;"",$F827&lt;&gt;""),COUNTIFS($D$2:$D827,$D827,$B$2:$B827,"SBA 26/*",$F$2:$F827,"&lt;&gt;"),"")</f>
        <v/>
      </c>
      <c r="Z827" s="29" t="str">
        <f>IF(Y827=1,COUNTIF($Y$2:Y827,1),"")</f>
        <v/>
      </c>
      <c r="AA827" s="29" t="str">
        <f>IF(AND(LEFT($B827,7)="SBA 26/",$C827&lt;&gt;"",$F827&lt;&gt;""),COUNTIFS($C$2:$C827,$C827,$B$2:$B827,"SBA 26/*",$F$2:$F827,"&lt;&gt;"),"")</f>
        <v/>
      </c>
      <c r="AB827" s="29" t="str">
        <f>IF(AA827=1,COUNTIF($AA$2:AA827,1),"")</f>
        <v/>
      </c>
    </row>
    <row r="828" spans="6:28" ht="47.25" customHeight="1" x14ac:dyDescent="0.2">
      <c r="F828" s="45" t="s">
        <v>3505</v>
      </c>
      <c r="T828" s="41"/>
      <c r="U828" s="29" t="str">
        <f>IF($C828&lt;&gt;"",COUNTIF($C$2:C828,C828),"")</f>
        <v/>
      </c>
      <c r="V828" s="29" t="str">
        <f t="shared" si="55"/>
        <v/>
      </c>
      <c r="W828" s="29" t="str">
        <f>IF(U828=1,COUNTIF($U$2:U828,1),"")</f>
        <v/>
      </c>
      <c r="X828" s="29" t="str">
        <f t="shared" si="57"/>
        <v/>
      </c>
      <c r="Y828" s="29" t="str">
        <f>IF(AND(LEFT($B828,7)="SBA 26/",$D828&lt;&gt;"",$F828&lt;&gt;""),COUNTIFS($D$2:$D828,$D828,$B$2:$B828,"SBA 26/*",$F$2:$F828,"&lt;&gt;"),"")</f>
        <v/>
      </c>
      <c r="Z828" s="29" t="str">
        <f>IF(Y828=1,COUNTIF($Y$2:Y828,1),"")</f>
        <v/>
      </c>
      <c r="AA828" s="29" t="str">
        <f>IF(AND(LEFT($B828,7)="SBA 26/",$C828&lt;&gt;"",$F828&lt;&gt;""),COUNTIFS($C$2:$C828,$C828,$B$2:$B828,"SBA 26/*",$F$2:$F828,"&lt;&gt;"),"")</f>
        <v/>
      </c>
      <c r="AB828" s="29" t="str">
        <f>IF(AA828=1,COUNTIF($AA$2:AA828,1),"")</f>
        <v/>
      </c>
    </row>
    <row r="829" spans="6:28" ht="31.5" customHeight="1" x14ac:dyDescent="0.2">
      <c r="F829" s="45" t="s">
        <v>3506</v>
      </c>
      <c r="T829" s="41"/>
      <c r="U829" s="29" t="str">
        <f>IF($C829&lt;&gt;"",COUNTIF($C$2:C829,C829),"")</f>
        <v/>
      </c>
      <c r="V829" s="29" t="str">
        <f t="shared" si="55"/>
        <v/>
      </c>
      <c r="W829" s="29" t="str">
        <f>IF(U829=1,COUNTIF($U$2:U829,1),"")</f>
        <v/>
      </c>
      <c r="X829" s="29" t="str">
        <f t="shared" si="57"/>
        <v/>
      </c>
      <c r="Y829" s="29" t="str">
        <f>IF(AND(LEFT($B829,7)="SBA 26/",$D829&lt;&gt;"",$F829&lt;&gt;""),COUNTIFS($D$2:$D829,$D829,$B$2:$B829,"SBA 26/*",$F$2:$F829,"&lt;&gt;"),"")</f>
        <v/>
      </c>
      <c r="Z829" s="29" t="str">
        <f>IF(Y829=1,COUNTIF($Y$2:Y829,1),"")</f>
        <v/>
      </c>
      <c r="AA829" s="29" t="str">
        <f>IF(AND(LEFT($B829,7)="SBA 26/",$C829&lt;&gt;"",$F829&lt;&gt;""),COUNTIFS($C$2:$C829,$C829,$B$2:$B829,"SBA 26/*",$F$2:$F829,"&lt;&gt;"),"")</f>
        <v/>
      </c>
      <c r="AB829" s="29" t="str">
        <f>IF(AA829=1,COUNTIF($AA$2:AA829,1),"")</f>
        <v/>
      </c>
    </row>
    <row r="830" spans="6:28" ht="31.5" customHeight="1" x14ac:dyDescent="0.2">
      <c r="F830" s="45" t="s">
        <v>3507</v>
      </c>
      <c r="T830" s="41"/>
      <c r="U830" s="29" t="str">
        <f>IF($C830&lt;&gt;"",COUNTIF($C$2:C830,C830),"")</f>
        <v/>
      </c>
      <c r="V830" s="29" t="str">
        <f t="shared" si="55"/>
        <v/>
      </c>
      <c r="W830" s="29" t="str">
        <f>IF(U830=1,COUNTIF($U$2:U830,1),"")</f>
        <v/>
      </c>
      <c r="X830" s="29" t="str">
        <f t="shared" si="57"/>
        <v/>
      </c>
      <c r="Y830" s="29" t="str">
        <f>IF(AND(LEFT($B830,7)="SBA 26/",$D830&lt;&gt;"",$F830&lt;&gt;""),COUNTIFS($D$2:$D830,$D830,$B$2:$B830,"SBA 26/*",$F$2:$F830,"&lt;&gt;"),"")</f>
        <v/>
      </c>
      <c r="Z830" s="29" t="str">
        <f>IF(Y830=1,COUNTIF($Y$2:Y830,1),"")</f>
        <v/>
      </c>
      <c r="AA830" s="29" t="str">
        <f>IF(AND(LEFT($B830,7)="SBA 26/",$C830&lt;&gt;"",$F830&lt;&gt;""),COUNTIFS($C$2:$C830,$C830,$B$2:$B830,"SBA 26/*",$F$2:$F830,"&lt;&gt;"),"")</f>
        <v/>
      </c>
      <c r="AB830" s="29" t="str">
        <f>IF(AA830=1,COUNTIF($AA$2:AA830,1),"")</f>
        <v/>
      </c>
    </row>
    <row r="831" spans="6:28" ht="63" customHeight="1" x14ac:dyDescent="0.2">
      <c r="F831" s="45" t="s">
        <v>3508</v>
      </c>
      <c r="T831" s="41"/>
      <c r="U831" s="29" t="str">
        <f>IF($C831&lt;&gt;"",COUNTIF($C$2:C831,C831),"")</f>
        <v/>
      </c>
      <c r="V831" s="29" t="str">
        <f t="shared" si="55"/>
        <v/>
      </c>
      <c r="W831" s="29" t="str">
        <f>IF(U831=1,COUNTIF($U$2:U831,1),"")</f>
        <v/>
      </c>
      <c r="X831" s="29" t="str">
        <f t="shared" si="57"/>
        <v/>
      </c>
      <c r="Y831" s="29" t="str">
        <f>IF(AND(LEFT($B831,7)="SBA 26/",$D831&lt;&gt;"",$F831&lt;&gt;""),COUNTIFS($D$2:$D831,$D831,$B$2:$B831,"SBA 26/*",$F$2:$F831,"&lt;&gt;"),"")</f>
        <v/>
      </c>
      <c r="Z831" s="29" t="str">
        <f>IF(Y831=1,COUNTIF($Y$2:Y831,1),"")</f>
        <v/>
      </c>
      <c r="AA831" s="29" t="str">
        <f>IF(AND(LEFT($B831,7)="SBA 26/",$C831&lt;&gt;"",$F831&lt;&gt;""),COUNTIFS($C$2:$C831,$C831,$B$2:$B831,"SBA 26/*",$F$2:$F831,"&lt;&gt;"),"")</f>
        <v/>
      </c>
      <c r="AB831" s="29" t="str">
        <f>IF(AA831=1,COUNTIF($AA$2:AA831,1),"")</f>
        <v/>
      </c>
    </row>
    <row r="832" spans="6:28" ht="31.5" customHeight="1" x14ac:dyDescent="0.2">
      <c r="F832" s="45" t="s">
        <v>3509</v>
      </c>
      <c r="T832" s="41"/>
      <c r="U832" s="29" t="str">
        <f>IF($C832&lt;&gt;"",COUNTIF($C$2:C832,C832),"")</f>
        <v/>
      </c>
      <c r="V832" s="29" t="str">
        <f t="shared" si="55"/>
        <v/>
      </c>
      <c r="W832" s="29" t="str">
        <f>IF(U832=1,COUNTIF($U$2:U832,1),"")</f>
        <v/>
      </c>
      <c r="X832" s="29" t="str">
        <f t="shared" si="57"/>
        <v/>
      </c>
      <c r="Y832" s="29" t="str">
        <f>IF(AND(LEFT($B832,7)="SBA 26/",$D832&lt;&gt;"",$F832&lt;&gt;""),COUNTIFS($D$2:$D832,$D832,$B$2:$B832,"SBA 26/*",$F$2:$F832,"&lt;&gt;"),"")</f>
        <v/>
      </c>
      <c r="Z832" s="29" t="str">
        <f>IF(Y832=1,COUNTIF($Y$2:Y832,1),"")</f>
        <v/>
      </c>
      <c r="AA832" s="29" t="str">
        <f>IF(AND(LEFT($B832,7)="SBA 26/",$C832&lt;&gt;"",$F832&lt;&gt;""),COUNTIFS($C$2:$C832,$C832,$B$2:$B832,"SBA 26/*",$F$2:$F832,"&lt;&gt;"),"")</f>
        <v/>
      </c>
      <c r="AB832" s="29" t="str">
        <f>IF(AA832=1,COUNTIF($AA$2:AA832,1),"")</f>
        <v/>
      </c>
    </row>
    <row r="833" spans="6:28" ht="47.25" customHeight="1" x14ac:dyDescent="0.2">
      <c r="F833" s="45" t="s">
        <v>3510</v>
      </c>
      <c r="T833" s="41"/>
      <c r="U833" s="29" t="str">
        <f>IF($C833&lt;&gt;"",COUNTIF($C$2:C833,C833),"")</f>
        <v/>
      </c>
      <c r="V833" s="29" t="str">
        <f t="shared" si="55"/>
        <v/>
      </c>
      <c r="W833" s="29" t="str">
        <f>IF(U833=1,COUNTIF($U$2:U833,1),"")</f>
        <v/>
      </c>
      <c r="X833" s="29" t="str">
        <f t="shared" si="57"/>
        <v/>
      </c>
      <c r="Y833" s="29" t="str">
        <f>IF(AND(LEFT($B833,7)="SBA 26/",$D833&lt;&gt;"",$F833&lt;&gt;""),COUNTIFS($D$2:$D833,$D833,$B$2:$B833,"SBA 26/*",$F$2:$F833,"&lt;&gt;"),"")</f>
        <v/>
      </c>
      <c r="Z833" s="29" t="str">
        <f>IF(Y833=1,COUNTIF($Y$2:Y833,1),"")</f>
        <v/>
      </c>
      <c r="AA833" s="29" t="str">
        <f>IF(AND(LEFT($B833,7)="SBA 26/",$C833&lt;&gt;"",$F833&lt;&gt;""),COUNTIFS($C$2:$C833,$C833,$B$2:$B833,"SBA 26/*",$F$2:$F833,"&lt;&gt;"),"")</f>
        <v/>
      </c>
      <c r="AB833" s="29" t="str">
        <f>IF(AA833=1,COUNTIF($AA$2:AA833,1),"")</f>
        <v/>
      </c>
    </row>
    <row r="834" spans="6:28" ht="47.25" customHeight="1" x14ac:dyDescent="0.2">
      <c r="F834" s="45" t="s">
        <v>3511</v>
      </c>
      <c r="T834" s="41"/>
      <c r="U834" s="29" t="str">
        <f>IF($C834&lt;&gt;"",COUNTIF($C$2:C834,C834),"")</f>
        <v/>
      </c>
      <c r="V834" s="29" t="str">
        <f t="shared" ref="V834:V897" si="58">IF($C834&lt;&gt;"",C834&amp;"§"&amp;U834,"")</f>
        <v/>
      </c>
      <c r="W834" s="29" t="str">
        <f>IF(U834=1,COUNTIF($U$2:U834,1),"")</f>
        <v/>
      </c>
      <c r="X834" s="29" t="str">
        <f t="shared" si="57"/>
        <v/>
      </c>
      <c r="Y834" s="29" t="str">
        <f>IF(AND(LEFT($B834,7)="SBA 26/",$D834&lt;&gt;"",$F834&lt;&gt;""),COUNTIFS($D$2:$D834,$D834,$B$2:$B834,"SBA 26/*",$F$2:$F834,"&lt;&gt;"),"")</f>
        <v/>
      </c>
      <c r="Z834" s="29" t="str">
        <f>IF(Y834=1,COUNTIF($Y$2:Y834,1),"")</f>
        <v/>
      </c>
      <c r="AA834" s="29" t="str">
        <f>IF(AND(LEFT($B834,7)="SBA 26/",$C834&lt;&gt;"",$F834&lt;&gt;""),COUNTIFS($C$2:$C834,$C834,$B$2:$B834,"SBA 26/*",$F$2:$F834,"&lt;&gt;"),"")</f>
        <v/>
      </c>
      <c r="AB834" s="29" t="str">
        <f>IF(AA834=1,COUNTIF($AA$2:AA834,1),"")</f>
        <v/>
      </c>
    </row>
    <row r="835" spans="6:28" ht="47.25" customHeight="1" x14ac:dyDescent="0.2">
      <c r="F835" s="45" t="s">
        <v>3512</v>
      </c>
      <c r="T835" s="41"/>
      <c r="U835" s="29" t="str">
        <f>IF($C835&lt;&gt;"",COUNTIF($C$2:C835,C835),"")</f>
        <v/>
      </c>
      <c r="V835" s="29" t="str">
        <f t="shared" si="58"/>
        <v/>
      </c>
      <c r="W835" s="29" t="str">
        <f>IF(U835=1,COUNTIF($U$2:U835,1),"")</f>
        <v/>
      </c>
      <c r="X835" s="29" t="str">
        <f t="shared" si="57"/>
        <v/>
      </c>
      <c r="Y835" s="29" t="str">
        <f>IF(AND(LEFT($B835,7)="SBA 26/",$D835&lt;&gt;"",$F835&lt;&gt;""),COUNTIFS($D$2:$D835,$D835,$B$2:$B835,"SBA 26/*",$F$2:$F835,"&lt;&gt;"),"")</f>
        <v/>
      </c>
      <c r="Z835" s="29" t="str">
        <f>IF(Y835=1,COUNTIF($Y$2:Y835,1),"")</f>
        <v/>
      </c>
      <c r="AA835" s="29" t="str">
        <f>IF(AND(LEFT($B835,7)="SBA 26/",$C835&lt;&gt;"",$F835&lt;&gt;""),COUNTIFS($C$2:$C835,$C835,$B$2:$B835,"SBA 26/*",$F$2:$F835,"&lt;&gt;"),"")</f>
        <v/>
      </c>
      <c r="AB835" s="29" t="str">
        <f>IF(AA835=1,COUNTIF($AA$2:AA835,1),"")</f>
        <v/>
      </c>
    </row>
    <row r="836" spans="6:28" ht="47.25" customHeight="1" x14ac:dyDescent="0.2">
      <c r="F836" s="45" t="s">
        <v>3513</v>
      </c>
      <c r="T836" s="41"/>
      <c r="U836" s="29" t="str">
        <f>IF($C836&lt;&gt;"",COUNTIF($C$2:C836,C836),"")</f>
        <v/>
      </c>
      <c r="V836" s="29" t="str">
        <f t="shared" si="58"/>
        <v/>
      </c>
      <c r="W836" s="29" t="str">
        <f>IF(U836=1,COUNTIF($U$2:U836,1),"")</f>
        <v/>
      </c>
      <c r="X836" s="29" t="str">
        <f t="shared" si="57"/>
        <v/>
      </c>
      <c r="Y836" s="29" t="str">
        <f>IF(AND(LEFT($B836,7)="SBA 26/",$D836&lt;&gt;"",$F836&lt;&gt;""),COUNTIFS($D$2:$D836,$D836,$B$2:$B836,"SBA 26/*",$F$2:$F836,"&lt;&gt;"),"")</f>
        <v/>
      </c>
      <c r="Z836" s="29" t="str">
        <f>IF(Y836=1,COUNTIF($Y$2:Y836,1),"")</f>
        <v/>
      </c>
      <c r="AA836" s="29" t="str">
        <f>IF(AND(LEFT($B836,7)="SBA 26/",$C836&lt;&gt;"",$F836&lt;&gt;""),COUNTIFS($C$2:$C836,$C836,$B$2:$B836,"SBA 26/*",$F$2:$F836,"&lt;&gt;"),"")</f>
        <v/>
      </c>
      <c r="AB836" s="29" t="str">
        <f>IF(AA836=1,COUNTIF($AA$2:AA836,1),"")</f>
        <v/>
      </c>
    </row>
    <row r="837" spans="6:28" ht="31.5" customHeight="1" x14ac:dyDescent="0.2">
      <c r="F837" s="45" t="s">
        <v>3514</v>
      </c>
      <c r="T837" s="41"/>
      <c r="U837" s="29" t="str">
        <f>IF($C837&lt;&gt;"",COUNTIF($C$2:C837,C837),"")</f>
        <v/>
      </c>
      <c r="V837" s="29" t="str">
        <f t="shared" si="58"/>
        <v/>
      </c>
      <c r="W837" s="29" t="str">
        <f>IF(U837=1,COUNTIF($U$2:U837,1),"")</f>
        <v/>
      </c>
      <c r="X837" s="29" t="str">
        <f t="shared" si="57"/>
        <v/>
      </c>
      <c r="Y837" s="29" t="str">
        <f>IF(AND(LEFT($B837,7)="SBA 26/",$D837&lt;&gt;"",$F837&lt;&gt;""),COUNTIFS($D$2:$D837,$D837,$B$2:$B837,"SBA 26/*",$F$2:$F837,"&lt;&gt;"),"")</f>
        <v/>
      </c>
      <c r="Z837" s="29" t="str">
        <f>IF(Y837=1,COUNTIF($Y$2:Y837,1),"")</f>
        <v/>
      </c>
      <c r="AA837" s="29" t="str">
        <f>IF(AND(LEFT($B837,7)="SBA 26/",$C837&lt;&gt;"",$F837&lt;&gt;""),COUNTIFS($C$2:$C837,$C837,$B$2:$B837,"SBA 26/*",$F$2:$F837,"&lt;&gt;"),"")</f>
        <v/>
      </c>
      <c r="AB837" s="29" t="str">
        <f>IF(AA837=1,COUNTIF($AA$2:AA837,1),"")</f>
        <v/>
      </c>
    </row>
    <row r="838" spans="6:28" ht="47.25" customHeight="1" x14ac:dyDescent="0.2">
      <c r="F838" s="45" t="s">
        <v>3515</v>
      </c>
      <c r="T838" s="41"/>
      <c r="U838" s="29" t="str">
        <f>IF($C838&lt;&gt;"",COUNTIF($C$2:C838,C838),"")</f>
        <v/>
      </c>
      <c r="V838" s="29" t="str">
        <f t="shared" si="58"/>
        <v/>
      </c>
      <c r="W838" s="29" t="str">
        <f>IF(U838=1,COUNTIF($U$2:U838,1),"")</f>
        <v/>
      </c>
      <c r="X838" s="29" t="str">
        <f t="shared" si="57"/>
        <v/>
      </c>
      <c r="Y838" s="29" t="str">
        <f>IF(AND(LEFT($B838,7)="SBA 26/",$D838&lt;&gt;"",$F838&lt;&gt;""),COUNTIFS($D$2:$D838,$D838,$B$2:$B838,"SBA 26/*",$F$2:$F838,"&lt;&gt;"),"")</f>
        <v/>
      </c>
      <c r="Z838" s="29" t="str">
        <f>IF(Y838=1,COUNTIF($Y$2:Y838,1),"")</f>
        <v/>
      </c>
      <c r="AA838" s="29" t="str">
        <f>IF(AND(LEFT($B838,7)="SBA 26/",$C838&lt;&gt;"",$F838&lt;&gt;""),COUNTIFS($C$2:$C838,$C838,$B$2:$B838,"SBA 26/*",$F$2:$F838,"&lt;&gt;"),"")</f>
        <v/>
      </c>
      <c r="AB838" s="29" t="str">
        <f>IF(AA838=1,COUNTIF($AA$2:AA838,1),"")</f>
        <v/>
      </c>
    </row>
    <row r="839" spans="6:28" ht="31.5" customHeight="1" x14ac:dyDescent="0.2">
      <c r="F839" s="45" t="s">
        <v>3516</v>
      </c>
      <c r="T839" s="41"/>
      <c r="U839" s="29" t="str">
        <f>IF($C839&lt;&gt;"",COUNTIF($C$2:C839,C839),"")</f>
        <v/>
      </c>
      <c r="V839" s="29" t="str">
        <f t="shared" si="58"/>
        <v/>
      </c>
      <c r="W839" s="29" t="str">
        <f>IF(U839=1,COUNTIF($U$2:U839,1),"")</f>
        <v/>
      </c>
      <c r="X839" s="29" t="str">
        <f t="shared" si="57"/>
        <v/>
      </c>
      <c r="Y839" s="29" t="str">
        <f>IF(AND(LEFT($B839,7)="SBA 26/",$D839&lt;&gt;"",$F839&lt;&gt;""),COUNTIFS($D$2:$D839,$D839,$B$2:$B839,"SBA 26/*",$F$2:$F839,"&lt;&gt;"),"")</f>
        <v/>
      </c>
      <c r="Z839" s="29" t="str">
        <f>IF(Y839=1,COUNTIF($Y$2:Y839,1),"")</f>
        <v/>
      </c>
      <c r="AA839" s="29" t="str">
        <f>IF(AND(LEFT($B839,7)="SBA 26/",$C839&lt;&gt;"",$F839&lt;&gt;""),COUNTIFS($C$2:$C839,$C839,$B$2:$B839,"SBA 26/*",$F$2:$F839,"&lt;&gt;"),"")</f>
        <v/>
      </c>
      <c r="AB839" s="29" t="str">
        <f>IF(AA839=1,COUNTIF($AA$2:AA839,1),"")</f>
        <v/>
      </c>
    </row>
    <row r="840" spans="6:28" ht="47.25" customHeight="1" x14ac:dyDescent="0.2">
      <c r="F840" s="45" t="s">
        <v>3517</v>
      </c>
      <c r="T840" s="41"/>
      <c r="U840" s="29" t="str">
        <f>IF($C840&lt;&gt;"",COUNTIF($C$2:C840,C840),"")</f>
        <v/>
      </c>
      <c r="V840" s="29" t="str">
        <f t="shared" si="58"/>
        <v/>
      </c>
      <c r="W840" s="29" t="str">
        <f>IF(U840=1,COUNTIF($U$2:U840,1),"")</f>
        <v/>
      </c>
      <c r="X840" s="29" t="str">
        <f t="shared" si="57"/>
        <v/>
      </c>
      <c r="Y840" s="29" t="str">
        <f>IF(AND(LEFT($B840,7)="SBA 26/",$D840&lt;&gt;"",$F840&lt;&gt;""),COUNTIFS($D$2:$D840,$D840,$B$2:$B840,"SBA 26/*",$F$2:$F840,"&lt;&gt;"),"")</f>
        <v/>
      </c>
      <c r="Z840" s="29" t="str">
        <f>IF(Y840=1,COUNTIF($Y$2:Y840,1),"")</f>
        <v/>
      </c>
      <c r="AA840" s="29" t="str">
        <f>IF(AND(LEFT($B840,7)="SBA 26/",$C840&lt;&gt;"",$F840&lt;&gt;""),COUNTIFS($C$2:$C840,$C840,$B$2:$B840,"SBA 26/*",$F$2:$F840,"&lt;&gt;"),"")</f>
        <v/>
      </c>
      <c r="AB840" s="29" t="str">
        <f>IF(AA840=1,COUNTIF($AA$2:AA840,1),"")</f>
        <v/>
      </c>
    </row>
    <row r="841" spans="6:28" ht="47.25" customHeight="1" x14ac:dyDescent="0.2">
      <c r="F841" s="45" t="s">
        <v>3518</v>
      </c>
      <c r="T841" s="41"/>
      <c r="U841" s="29" t="str">
        <f>IF($C841&lt;&gt;"",COUNTIF($C$2:C841,C841),"")</f>
        <v/>
      </c>
      <c r="V841" s="29" t="str">
        <f t="shared" si="58"/>
        <v/>
      </c>
      <c r="W841" s="29" t="str">
        <f>IF(U841=1,COUNTIF($U$2:U841,1),"")</f>
        <v/>
      </c>
      <c r="X841" s="29" t="str">
        <f t="shared" si="57"/>
        <v/>
      </c>
      <c r="Y841" s="29" t="str">
        <f>IF(AND(LEFT($B841,7)="SBA 26/",$D841&lt;&gt;"",$F841&lt;&gt;""),COUNTIFS($D$2:$D841,$D841,$B$2:$B841,"SBA 26/*",$F$2:$F841,"&lt;&gt;"),"")</f>
        <v/>
      </c>
      <c r="Z841" s="29" t="str">
        <f>IF(Y841=1,COUNTIF($Y$2:Y841,1),"")</f>
        <v/>
      </c>
      <c r="AA841" s="29" t="str">
        <f>IF(AND(LEFT($B841,7)="SBA 26/",$C841&lt;&gt;"",$F841&lt;&gt;""),COUNTIFS($C$2:$C841,$C841,$B$2:$B841,"SBA 26/*",$F$2:$F841,"&lt;&gt;"),"")</f>
        <v/>
      </c>
      <c r="AB841" s="29" t="str">
        <f>IF(AA841=1,COUNTIF($AA$2:AA841,1),"")</f>
        <v/>
      </c>
    </row>
    <row r="842" spans="6:28" ht="47.25" customHeight="1" x14ac:dyDescent="0.2">
      <c r="F842" s="45" t="s">
        <v>3519</v>
      </c>
      <c r="T842" s="41"/>
      <c r="U842" s="29" t="str">
        <f>IF($C842&lt;&gt;"",COUNTIF($C$2:C842,C842),"")</f>
        <v/>
      </c>
      <c r="V842" s="29" t="str">
        <f t="shared" si="58"/>
        <v/>
      </c>
      <c r="W842" s="29" t="str">
        <f>IF(U842=1,COUNTIF($U$2:U842,1),"")</f>
        <v/>
      </c>
      <c r="X842" s="29" t="str">
        <f t="shared" si="57"/>
        <v/>
      </c>
      <c r="Y842" s="29" t="str">
        <f>IF(AND(LEFT($B842,7)="SBA 26/",$D842&lt;&gt;"",$F842&lt;&gt;""),COUNTIFS($D$2:$D842,$D842,$B$2:$B842,"SBA 26/*",$F$2:$F842,"&lt;&gt;"),"")</f>
        <v/>
      </c>
      <c r="Z842" s="29" t="str">
        <f>IF(Y842=1,COUNTIF($Y$2:Y842,1),"")</f>
        <v/>
      </c>
      <c r="AA842" s="29" t="str">
        <f>IF(AND(LEFT($B842,7)="SBA 26/",$C842&lt;&gt;"",$F842&lt;&gt;""),COUNTIFS($C$2:$C842,$C842,$B$2:$B842,"SBA 26/*",$F$2:$F842,"&lt;&gt;"),"")</f>
        <v/>
      </c>
      <c r="AB842" s="29" t="str">
        <f>IF(AA842=1,COUNTIF($AA$2:AA842,1),"")</f>
        <v/>
      </c>
    </row>
    <row r="843" spans="6:28" ht="47.25" customHeight="1" x14ac:dyDescent="0.2">
      <c r="F843" s="45" t="s">
        <v>3520</v>
      </c>
      <c r="T843" s="41"/>
      <c r="U843" s="29" t="str">
        <f>IF($C843&lt;&gt;"",COUNTIF($C$2:C843,C843),"")</f>
        <v/>
      </c>
      <c r="V843" s="29" t="str">
        <f t="shared" si="58"/>
        <v/>
      </c>
      <c r="W843" s="29" t="str">
        <f>IF(U843=1,COUNTIF($U$2:U843,1),"")</f>
        <v/>
      </c>
      <c r="X843" s="29" t="str">
        <f t="shared" si="57"/>
        <v/>
      </c>
      <c r="Y843" s="29" t="str">
        <f>IF(AND(LEFT($B843,7)="SBA 26/",$D843&lt;&gt;"",$F843&lt;&gt;""),COUNTIFS($D$2:$D843,$D843,$B$2:$B843,"SBA 26/*",$F$2:$F843,"&lt;&gt;"),"")</f>
        <v/>
      </c>
      <c r="Z843" s="29" t="str">
        <f>IF(Y843=1,COUNTIF($Y$2:Y843,1),"")</f>
        <v/>
      </c>
      <c r="AA843" s="29" t="str">
        <f>IF(AND(LEFT($B843,7)="SBA 26/",$C843&lt;&gt;"",$F843&lt;&gt;""),COUNTIFS($C$2:$C843,$C843,$B$2:$B843,"SBA 26/*",$F$2:$F843,"&lt;&gt;"),"")</f>
        <v/>
      </c>
      <c r="AB843" s="29" t="str">
        <f>IF(AA843=1,COUNTIF($AA$2:AA843,1),"")</f>
        <v/>
      </c>
    </row>
    <row r="844" spans="6:28" ht="47.25" customHeight="1" x14ac:dyDescent="0.2">
      <c r="F844" s="45" t="s">
        <v>3521</v>
      </c>
      <c r="T844" s="41"/>
      <c r="U844" s="29" t="str">
        <f>IF($C844&lt;&gt;"",COUNTIF($C$2:C844,C844),"")</f>
        <v/>
      </c>
      <c r="V844" s="29" t="str">
        <f t="shared" si="58"/>
        <v/>
      </c>
      <c r="W844" s="29" t="str">
        <f>IF(U844=1,COUNTIF($U$2:U844,1),"")</f>
        <v/>
      </c>
      <c r="X844" s="29" t="str">
        <f t="shared" si="57"/>
        <v/>
      </c>
      <c r="Y844" s="29" t="str">
        <f>IF(AND(LEFT($B844,7)="SBA 26/",$D844&lt;&gt;"",$F844&lt;&gt;""),COUNTIFS($D$2:$D844,$D844,$B$2:$B844,"SBA 26/*",$F$2:$F844,"&lt;&gt;"),"")</f>
        <v/>
      </c>
      <c r="Z844" s="29" t="str">
        <f>IF(Y844=1,COUNTIF($Y$2:Y844,1),"")</f>
        <v/>
      </c>
      <c r="AA844" s="29" t="str">
        <f>IF(AND(LEFT($B844,7)="SBA 26/",$C844&lt;&gt;"",$F844&lt;&gt;""),COUNTIFS($C$2:$C844,$C844,$B$2:$B844,"SBA 26/*",$F$2:$F844,"&lt;&gt;"),"")</f>
        <v/>
      </c>
      <c r="AB844" s="29" t="str">
        <f>IF(AA844=1,COUNTIF($AA$2:AA844,1),"")</f>
        <v/>
      </c>
    </row>
    <row r="845" spans="6:28" ht="78.75" customHeight="1" x14ac:dyDescent="0.2">
      <c r="F845" s="45" t="s">
        <v>3522</v>
      </c>
      <c r="T845" s="41"/>
      <c r="U845" s="29" t="str">
        <f>IF($C845&lt;&gt;"",COUNTIF($C$2:C845,C845),"")</f>
        <v/>
      </c>
      <c r="V845" s="29" t="str">
        <f t="shared" si="58"/>
        <v/>
      </c>
      <c r="W845" s="29" t="str">
        <f>IF(U845=1,COUNTIF($U$2:U845,1),"")</f>
        <v/>
      </c>
      <c r="X845" s="29" t="str">
        <f t="shared" si="57"/>
        <v/>
      </c>
      <c r="Y845" s="29" t="str">
        <f>IF(AND(LEFT($B845,7)="SBA 26/",$D845&lt;&gt;"",$F845&lt;&gt;""),COUNTIFS($D$2:$D845,$D845,$B$2:$B845,"SBA 26/*",$F$2:$F845,"&lt;&gt;"),"")</f>
        <v/>
      </c>
      <c r="Z845" s="29" t="str">
        <f>IF(Y845=1,COUNTIF($Y$2:Y845,1),"")</f>
        <v/>
      </c>
      <c r="AA845" s="29" t="str">
        <f>IF(AND(LEFT($B845,7)="SBA 26/",$C845&lt;&gt;"",$F845&lt;&gt;""),COUNTIFS($C$2:$C845,$C845,$B$2:$B845,"SBA 26/*",$F$2:$F845,"&lt;&gt;"),"")</f>
        <v/>
      </c>
      <c r="AB845" s="29" t="str">
        <f>IF(AA845=1,COUNTIF($AA$2:AA845,1),"")</f>
        <v/>
      </c>
    </row>
    <row r="846" spans="6:28" ht="78.75" customHeight="1" x14ac:dyDescent="0.2">
      <c r="F846" s="45" t="s">
        <v>3523</v>
      </c>
      <c r="T846" s="41"/>
      <c r="U846" s="29" t="str">
        <f>IF($C846&lt;&gt;"",COUNTIF($C$2:C846,C846),"")</f>
        <v/>
      </c>
      <c r="V846" s="29" t="str">
        <f t="shared" si="58"/>
        <v/>
      </c>
      <c r="W846" s="29" t="str">
        <f>IF(U846=1,COUNTIF($U$2:U846,1),"")</f>
        <v/>
      </c>
      <c r="X846" s="29" t="str">
        <f t="shared" si="57"/>
        <v/>
      </c>
      <c r="Y846" s="29" t="str">
        <f>IF(AND(LEFT($B846,7)="SBA 26/",$D846&lt;&gt;"",$F846&lt;&gt;""),COUNTIFS($D$2:$D846,$D846,$B$2:$B846,"SBA 26/*",$F$2:$F846,"&lt;&gt;"),"")</f>
        <v/>
      </c>
      <c r="Z846" s="29" t="str">
        <f>IF(Y846=1,COUNTIF($Y$2:Y846,1),"")</f>
        <v/>
      </c>
      <c r="AA846" s="29" t="str">
        <f>IF(AND(LEFT($B846,7)="SBA 26/",$C846&lt;&gt;"",$F846&lt;&gt;""),COUNTIFS($C$2:$C846,$C846,$B$2:$B846,"SBA 26/*",$F$2:$F846,"&lt;&gt;"),"")</f>
        <v/>
      </c>
      <c r="AB846" s="29" t="str">
        <f>IF(AA846=1,COUNTIF($AA$2:AA846,1),"")</f>
        <v/>
      </c>
    </row>
    <row r="847" spans="6:28" ht="31.5" customHeight="1" x14ac:dyDescent="0.2">
      <c r="F847" s="45" t="s">
        <v>3524</v>
      </c>
      <c r="T847" s="41"/>
      <c r="U847" s="29" t="str">
        <f>IF($C847&lt;&gt;"",COUNTIF($C$2:C847,C847),"")</f>
        <v/>
      </c>
      <c r="V847" s="29" t="str">
        <f t="shared" si="58"/>
        <v/>
      </c>
      <c r="W847" s="29" t="str">
        <f>IF(U847=1,COUNTIF($U$2:U847,1),"")</f>
        <v/>
      </c>
      <c r="X847" s="29" t="str">
        <f t="shared" si="57"/>
        <v/>
      </c>
      <c r="Y847" s="29" t="str">
        <f>IF(AND(LEFT($B847,7)="SBA 26/",$D847&lt;&gt;"",$F847&lt;&gt;""),COUNTIFS($D$2:$D847,$D847,$B$2:$B847,"SBA 26/*",$F$2:$F847,"&lt;&gt;"),"")</f>
        <v/>
      </c>
      <c r="Z847" s="29" t="str">
        <f>IF(Y847=1,COUNTIF($Y$2:Y847,1),"")</f>
        <v/>
      </c>
      <c r="AA847" s="29" t="str">
        <f>IF(AND(LEFT($B847,7)="SBA 26/",$C847&lt;&gt;"",$F847&lt;&gt;""),COUNTIFS($C$2:$C847,$C847,$B$2:$B847,"SBA 26/*",$F$2:$F847,"&lt;&gt;"),"")</f>
        <v/>
      </c>
      <c r="AB847" s="29" t="str">
        <f>IF(AA847=1,COUNTIF($AA$2:AA847,1),"")</f>
        <v/>
      </c>
    </row>
    <row r="848" spans="6:28" ht="31.5" customHeight="1" x14ac:dyDescent="0.2">
      <c r="F848" s="45" t="s">
        <v>3525</v>
      </c>
      <c r="T848" s="41"/>
      <c r="U848" s="29" t="str">
        <f>IF($C848&lt;&gt;"",COUNTIF($C$2:C848,C848),"")</f>
        <v/>
      </c>
      <c r="V848" s="29" t="str">
        <f t="shared" si="58"/>
        <v/>
      </c>
      <c r="W848" s="29" t="str">
        <f>IF(U848=1,COUNTIF($U$2:U848,1),"")</f>
        <v/>
      </c>
      <c r="X848" s="29" t="str">
        <f t="shared" si="57"/>
        <v/>
      </c>
      <c r="Y848" s="29" t="str">
        <f>IF(AND(LEFT($B848,7)="SBA 26/",$D848&lt;&gt;"",$F848&lt;&gt;""),COUNTIFS($D$2:$D848,$D848,$B$2:$B848,"SBA 26/*",$F$2:$F848,"&lt;&gt;"),"")</f>
        <v/>
      </c>
      <c r="Z848" s="29" t="str">
        <f>IF(Y848=1,COUNTIF($Y$2:Y848,1),"")</f>
        <v/>
      </c>
      <c r="AA848" s="29" t="str">
        <f>IF(AND(LEFT($B848,7)="SBA 26/",$C848&lt;&gt;"",$F848&lt;&gt;""),COUNTIFS($C$2:$C848,$C848,$B$2:$B848,"SBA 26/*",$F$2:$F848,"&lt;&gt;"),"")</f>
        <v/>
      </c>
      <c r="AB848" s="29" t="str">
        <f>IF(AA848=1,COUNTIF($AA$2:AA848,1),"")</f>
        <v/>
      </c>
    </row>
    <row r="849" spans="6:28" ht="63" customHeight="1" x14ac:dyDescent="0.2">
      <c r="F849" s="45" t="s">
        <v>3526</v>
      </c>
      <c r="T849" s="41"/>
      <c r="U849" s="29" t="str">
        <f>IF($C849&lt;&gt;"",COUNTIF($C$2:C849,C849),"")</f>
        <v/>
      </c>
      <c r="V849" s="29" t="str">
        <f t="shared" si="58"/>
        <v/>
      </c>
      <c r="W849" s="29" t="str">
        <f>IF(U849=1,COUNTIF($U$2:U849,1),"")</f>
        <v/>
      </c>
      <c r="X849" s="29" t="str">
        <f t="shared" si="57"/>
        <v/>
      </c>
      <c r="Y849" s="29" t="str">
        <f>IF(AND(LEFT($B849,7)="SBA 26/",$D849&lt;&gt;"",$F849&lt;&gt;""),COUNTIFS($D$2:$D849,$D849,$B$2:$B849,"SBA 26/*",$F$2:$F849,"&lt;&gt;"),"")</f>
        <v/>
      </c>
      <c r="Z849" s="29" t="str">
        <f>IF(Y849=1,COUNTIF($Y$2:Y849,1),"")</f>
        <v/>
      </c>
      <c r="AA849" s="29" t="str">
        <f>IF(AND(LEFT($B849,7)="SBA 26/",$C849&lt;&gt;"",$F849&lt;&gt;""),COUNTIFS($C$2:$C849,$C849,$B$2:$B849,"SBA 26/*",$F$2:$F849,"&lt;&gt;"),"")</f>
        <v/>
      </c>
      <c r="AB849" s="29" t="str">
        <f>IF(AA849=1,COUNTIF($AA$2:AA849,1),"")</f>
        <v/>
      </c>
    </row>
    <row r="850" spans="6:28" ht="31.5" customHeight="1" x14ac:dyDescent="0.2">
      <c r="F850" s="45" t="s">
        <v>3527</v>
      </c>
      <c r="T850" s="41"/>
      <c r="U850" s="29" t="str">
        <f>IF($C850&lt;&gt;"",COUNTIF($C$2:C850,C850),"")</f>
        <v/>
      </c>
      <c r="V850" s="29" t="str">
        <f t="shared" si="58"/>
        <v/>
      </c>
      <c r="W850" s="29" t="str">
        <f>IF(U850=1,COUNTIF($U$2:U850,1),"")</f>
        <v/>
      </c>
      <c r="X850" s="29" t="str">
        <f t="shared" si="57"/>
        <v/>
      </c>
      <c r="Y850" s="29" t="str">
        <f>IF(AND(LEFT($B850,7)="SBA 26/",$D850&lt;&gt;"",$F850&lt;&gt;""),COUNTIFS($D$2:$D850,$D850,$B$2:$B850,"SBA 26/*",$F$2:$F850,"&lt;&gt;"),"")</f>
        <v/>
      </c>
      <c r="Z850" s="29" t="str">
        <f>IF(Y850=1,COUNTIF($Y$2:Y850,1),"")</f>
        <v/>
      </c>
      <c r="AA850" s="29" t="str">
        <f>IF(AND(LEFT($B850,7)="SBA 26/",$C850&lt;&gt;"",$F850&lt;&gt;""),COUNTIFS($C$2:$C850,$C850,$B$2:$B850,"SBA 26/*",$F$2:$F850,"&lt;&gt;"),"")</f>
        <v/>
      </c>
      <c r="AB850" s="29" t="str">
        <f>IF(AA850=1,COUNTIF($AA$2:AA850,1),"")</f>
        <v/>
      </c>
    </row>
    <row r="851" spans="6:28" ht="47.25" customHeight="1" x14ac:dyDescent="0.2">
      <c r="F851" s="45" t="s">
        <v>3528</v>
      </c>
      <c r="T851" s="41"/>
      <c r="U851" s="29" t="str">
        <f>IF($C851&lt;&gt;"",COUNTIF($C$2:C851,C851),"")</f>
        <v/>
      </c>
      <c r="V851" s="29" t="str">
        <f t="shared" si="58"/>
        <v/>
      </c>
      <c r="W851" s="29" t="str">
        <f>IF(U851=1,COUNTIF($U$2:U851,1),"")</f>
        <v/>
      </c>
      <c r="X851" s="29" t="str">
        <f t="shared" si="57"/>
        <v/>
      </c>
      <c r="Y851" s="29" t="str">
        <f>IF(AND(LEFT($B851,7)="SBA 26/",$D851&lt;&gt;"",$F851&lt;&gt;""),COUNTIFS($D$2:$D851,$D851,$B$2:$B851,"SBA 26/*",$F$2:$F851,"&lt;&gt;"),"")</f>
        <v/>
      </c>
      <c r="Z851" s="29" t="str">
        <f>IF(Y851=1,COUNTIF($Y$2:Y851,1),"")</f>
        <v/>
      </c>
      <c r="AA851" s="29" t="str">
        <f>IF(AND(LEFT($B851,7)="SBA 26/",$C851&lt;&gt;"",$F851&lt;&gt;""),COUNTIFS($C$2:$C851,$C851,$B$2:$B851,"SBA 26/*",$F$2:$F851,"&lt;&gt;"),"")</f>
        <v/>
      </c>
      <c r="AB851" s="29" t="str">
        <f>IF(AA851=1,COUNTIF($AA$2:AA851,1),"")</f>
        <v/>
      </c>
    </row>
    <row r="852" spans="6:28" ht="47.25" customHeight="1" x14ac:dyDescent="0.2">
      <c r="F852" s="45" t="s">
        <v>3529</v>
      </c>
      <c r="T852" s="41"/>
      <c r="U852" s="29" t="str">
        <f>IF($C852&lt;&gt;"",COUNTIF($C$2:C852,C852),"")</f>
        <v/>
      </c>
      <c r="V852" s="29" t="str">
        <f t="shared" si="58"/>
        <v/>
      </c>
      <c r="W852" s="29" t="str">
        <f>IF(U852=1,COUNTIF($U$2:U852,1),"")</f>
        <v/>
      </c>
      <c r="X852" s="29" t="str">
        <f t="shared" si="57"/>
        <v/>
      </c>
      <c r="Y852" s="29" t="str">
        <f>IF(AND(LEFT($B852,7)="SBA 26/",$D852&lt;&gt;"",$F852&lt;&gt;""),COUNTIFS($D$2:$D852,$D852,$B$2:$B852,"SBA 26/*",$F$2:$F852,"&lt;&gt;"),"")</f>
        <v/>
      </c>
      <c r="Z852" s="29" t="str">
        <f>IF(Y852=1,COUNTIF($Y$2:Y852,1),"")</f>
        <v/>
      </c>
      <c r="AA852" s="29" t="str">
        <f>IF(AND(LEFT($B852,7)="SBA 26/",$C852&lt;&gt;"",$F852&lt;&gt;""),COUNTIFS($C$2:$C852,$C852,$B$2:$B852,"SBA 26/*",$F$2:$F852,"&lt;&gt;"),"")</f>
        <v/>
      </c>
      <c r="AB852" s="29" t="str">
        <f>IF(AA852=1,COUNTIF($AA$2:AA852,1),"")</f>
        <v/>
      </c>
    </row>
    <row r="853" spans="6:28" ht="63" customHeight="1" x14ac:dyDescent="0.2">
      <c r="F853" s="45" t="s">
        <v>3530</v>
      </c>
      <c r="T853" s="41"/>
      <c r="U853" s="29" t="str">
        <f>IF($C853&lt;&gt;"",COUNTIF($C$2:C853,C853),"")</f>
        <v/>
      </c>
      <c r="V853" s="29" t="str">
        <f t="shared" si="58"/>
        <v/>
      </c>
      <c r="W853" s="29" t="str">
        <f>IF(U853=1,COUNTIF($U$2:U853,1),"")</f>
        <v/>
      </c>
      <c r="X853" s="29" t="str">
        <f t="shared" si="57"/>
        <v/>
      </c>
      <c r="Y853" s="29" t="str">
        <f>IF(AND(LEFT($B853,7)="SBA 26/",$D853&lt;&gt;"",$F853&lt;&gt;""),COUNTIFS($D$2:$D853,$D853,$B$2:$B853,"SBA 26/*",$F$2:$F853,"&lt;&gt;"),"")</f>
        <v/>
      </c>
      <c r="Z853" s="29" t="str">
        <f>IF(Y853=1,COUNTIF($Y$2:Y853,1),"")</f>
        <v/>
      </c>
      <c r="AA853" s="29" t="str">
        <f>IF(AND(LEFT($B853,7)="SBA 26/",$C853&lt;&gt;"",$F853&lt;&gt;""),COUNTIFS($C$2:$C853,$C853,$B$2:$B853,"SBA 26/*",$F$2:$F853,"&lt;&gt;"),"")</f>
        <v/>
      </c>
      <c r="AB853" s="29" t="str">
        <f>IF(AA853=1,COUNTIF($AA$2:AA853,1),"")</f>
        <v/>
      </c>
    </row>
    <row r="854" spans="6:28" ht="31.5" customHeight="1" x14ac:dyDescent="0.2">
      <c r="F854" s="45" t="s">
        <v>3531</v>
      </c>
      <c r="T854" s="41"/>
      <c r="U854" s="29" t="str">
        <f>IF($C854&lt;&gt;"",COUNTIF($C$2:C854,C854),"")</f>
        <v/>
      </c>
      <c r="V854" s="29" t="str">
        <f t="shared" si="58"/>
        <v/>
      </c>
      <c r="W854" s="29" t="str">
        <f>IF(U854=1,COUNTIF($U$2:U854,1),"")</f>
        <v/>
      </c>
      <c r="X854" s="29" t="str">
        <f t="shared" si="57"/>
        <v/>
      </c>
      <c r="Y854" s="29" t="str">
        <f>IF(AND(LEFT($B854,7)="SBA 26/",$D854&lt;&gt;"",$F854&lt;&gt;""),COUNTIFS($D$2:$D854,$D854,$B$2:$B854,"SBA 26/*",$F$2:$F854,"&lt;&gt;"),"")</f>
        <v/>
      </c>
      <c r="Z854" s="29" t="str">
        <f>IF(Y854=1,COUNTIF($Y$2:Y854,1),"")</f>
        <v/>
      </c>
      <c r="AA854" s="29" t="str">
        <f>IF(AND(LEFT($B854,7)="SBA 26/",$C854&lt;&gt;"",$F854&lt;&gt;""),COUNTIFS($C$2:$C854,$C854,$B$2:$B854,"SBA 26/*",$F$2:$F854,"&lt;&gt;"),"")</f>
        <v/>
      </c>
      <c r="AB854" s="29" t="str">
        <f>IF(AA854=1,COUNTIF($AA$2:AA854,1),"")</f>
        <v/>
      </c>
    </row>
    <row r="855" spans="6:28" ht="47.25" customHeight="1" x14ac:dyDescent="0.2">
      <c r="F855" s="45" t="s">
        <v>3532</v>
      </c>
      <c r="T855" s="41"/>
      <c r="U855" s="29" t="str">
        <f>IF($C855&lt;&gt;"",COUNTIF($C$2:C855,C855),"")</f>
        <v/>
      </c>
      <c r="V855" s="29" t="str">
        <f t="shared" si="58"/>
        <v/>
      </c>
      <c r="W855" s="29" t="str">
        <f>IF(U855=1,COUNTIF($U$2:U855,1),"")</f>
        <v/>
      </c>
      <c r="X855" s="29" t="str">
        <f t="shared" si="57"/>
        <v/>
      </c>
      <c r="Y855" s="29" t="str">
        <f>IF(AND(LEFT($B855,7)="SBA 26/",$D855&lt;&gt;"",$F855&lt;&gt;""),COUNTIFS($D$2:$D855,$D855,$B$2:$B855,"SBA 26/*",$F$2:$F855,"&lt;&gt;"),"")</f>
        <v/>
      </c>
      <c r="Z855" s="29" t="str">
        <f>IF(Y855=1,COUNTIF($Y$2:Y855,1),"")</f>
        <v/>
      </c>
      <c r="AA855" s="29" t="str">
        <f>IF(AND(LEFT($B855,7)="SBA 26/",$C855&lt;&gt;"",$F855&lt;&gt;""),COUNTIFS($C$2:$C855,$C855,$B$2:$B855,"SBA 26/*",$F$2:$F855,"&lt;&gt;"),"")</f>
        <v/>
      </c>
      <c r="AB855" s="29" t="str">
        <f>IF(AA855=1,COUNTIF($AA$2:AA855,1),"")</f>
        <v/>
      </c>
    </row>
    <row r="856" spans="6:28" ht="63" customHeight="1" x14ac:dyDescent="0.2">
      <c r="F856" s="45" t="s">
        <v>3533</v>
      </c>
      <c r="T856" s="41"/>
      <c r="U856" s="29" t="str">
        <f>IF($C856&lt;&gt;"",COUNTIF($C$2:C856,C856),"")</f>
        <v/>
      </c>
      <c r="V856" s="29" t="str">
        <f t="shared" si="58"/>
        <v/>
      </c>
      <c r="W856" s="29" t="str">
        <f>IF(U856=1,COUNTIF($U$2:U856,1),"")</f>
        <v/>
      </c>
      <c r="X856" s="29" t="str">
        <f t="shared" si="57"/>
        <v/>
      </c>
      <c r="Y856" s="29" t="str">
        <f>IF(AND(LEFT($B856,7)="SBA 26/",$D856&lt;&gt;"",$F856&lt;&gt;""),COUNTIFS($D$2:$D856,$D856,$B$2:$B856,"SBA 26/*",$F$2:$F856,"&lt;&gt;"),"")</f>
        <v/>
      </c>
      <c r="Z856" s="29" t="str">
        <f>IF(Y856=1,COUNTIF($Y$2:Y856,1),"")</f>
        <v/>
      </c>
      <c r="AA856" s="29" t="str">
        <f>IF(AND(LEFT($B856,7)="SBA 26/",$C856&lt;&gt;"",$F856&lt;&gt;""),COUNTIFS($C$2:$C856,$C856,$B$2:$B856,"SBA 26/*",$F$2:$F856,"&lt;&gt;"),"")</f>
        <v/>
      </c>
      <c r="AB856" s="29" t="str">
        <f>IF(AA856=1,COUNTIF($AA$2:AA856,1),"")</f>
        <v/>
      </c>
    </row>
    <row r="857" spans="6:28" ht="47.25" customHeight="1" x14ac:dyDescent="0.2">
      <c r="F857" s="45" t="s">
        <v>3534</v>
      </c>
      <c r="T857" s="41"/>
      <c r="U857" s="29" t="str">
        <f>IF($C857&lt;&gt;"",COUNTIF($C$2:C857,C857),"")</f>
        <v/>
      </c>
      <c r="V857" s="29" t="str">
        <f t="shared" si="58"/>
        <v/>
      </c>
      <c r="W857" s="29" t="str">
        <f>IF(U857=1,COUNTIF($U$2:U857,1),"")</f>
        <v/>
      </c>
      <c r="X857" s="29" t="str">
        <f t="shared" si="57"/>
        <v/>
      </c>
      <c r="Y857" s="29" t="str">
        <f>IF(AND(LEFT($B857,7)="SBA 26/",$D857&lt;&gt;"",$F857&lt;&gt;""),COUNTIFS($D$2:$D857,$D857,$B$2:$B857,"SBA 26/*",$F$2:$F857,"&lt;&gt;"),"")</f>
        <v/>
      </c>
      <c r="Z857" s="29" t="str">
        <f>IF(Y857=1,COUNTIF($Y$2:Y857,1),"")</f>
        <v/>
      </c>
      <c r="AA857" s="29" t="str">
        <f>IF(AND(LEFT($B857,7)="SBA 26/",$C857&lt;&gt;"",$F857&lt;&gt;""),COUNTIFS($C$2:$C857,$C857,$B$2:$B857,"SBA 26/*",$F$2:$F857,"&lt;&gt;"),"")</f>
        <v/>
      </c>
      <c r="AB857" s="29" t="str">
        <f>IF(AA857=1,COUNTIF($AA$2:AA857,1),"")</f>
        <v/>
      </c>
    </row>
    <row r="858" spans="6:28" ht="47.25" customHeight="1" x14ac:dyDescent="0.2">
      <c r="F858" s="45" t="s">
        <v>3535</v>
      </c>
      <c r="T858" s="41"/>
      <c r="U858" s="29" t="str">
        <f>IF($C858&lt;&gt;"",COUNTIF($C$2:C858,C858),"")</f>
        <v/>
      </c>
      <c r="V858" s="29" t="str">
        <f t="shared" si="58"/>
        <v/>
      </c>
      <c r="W858" s="29" t="str">
        <f>IF(U858=1,COUNTIF($U$2:U858,1),"")</f>
        <v/>
      </c>
      <c r="X858" s="29" t="str">
        <f t="shared" si="57"/>
        <v/>
      </c>
      <c r="Y858" s="29" t="str">
        <f>IF(AND(LEFT($B858,7)="SBA 26/",$D858&lt;&gt;"",$F858&lt;&gt;""),COUNTIFS($D$2:$D858,$D858,$B$2:$B858,"SBA 26/*",$F$2:$F858,"&lt;&gt;"),"")</f>
        <v/>
      </c>
      <c r="Z858" s="29" t="str">
        <f>IF(Y858=1,COUNTIF($Y$2:Y858,1),"")</f>
        <v/>
      </c>
      <c r="AA858" s="29" t="str">
        <f>IF(AND(LEFT($B858,7)="SBA 26/",$C858&lt;&gt;"",$F858&lt;&gt;""),COUNTIFS($C$2:$C858,$C858,$B$2:$B858,"SBA 26/*",$F$2:$F858,"&lt;&gt;"),"")</f>
        <v/>
      </c>
      <c r="AB858" s="29" t="str">
        <f>IF(AA858=1,COUNTIF($AA$2:AA858,1),"")</f>
        <v/>
      </c>
    </row>
    <row r="859" spans="6:28" ht="47.25" customHeight="1" x14ac:dyDescent="0.2">
      <c r="F859" s="45" t="s">
        <v>3536</v>
      </c>
      <c r="T859" s="41"/>
      <c r="U859" s="29" t="str">
        <f>IF($C859&lt;&gt;"",COUNTIF($C$2:C859,C859),"")</f>
        <v/>
      </c>
      <c r="V859" s="29" t="str">
        <f t="shared" si="58"/>
        <v/>
      </c>
      <c r="W859" s="29" t="str">
        <f>IF(U859=1,COUNTIF($U$2:U859,1),"")</f>
        <v/>
      </c>
      <c r="X859" s="29" t="str">
        <f t="shared" si="57"/>
        <v/>
      </c>
      <c r="Y859" s="29" t="str">
        <f>IF(AND(LEFT($B859,7)="SBA 26/",$D859&lt;&gt;"",$F859&lt;&gt;""),COUNTIFS($D$2:$D859,$D859,$B$2:$B859,"SBA 26/*",$F$2:$F859,"&lt;&gt;"),"")</f>
        <v/>
      </c>
      <c r="Z859" s="29" t="str">
        <f>IF(Y859=1,COUNTIF($Y$2:Y859,1),"")</f>
        <v/>
      </c>
      <c r="AA859" s="29" t="str">
        <f>IF(AND(LEFT($B859,7)="SBA 26/",$C859&lt;&gt;"",$F859&lt;&gt;""),COUNTIFS($C$2:$C859,$C859,$B$2:$B859,"SBA 26/*",$F$2:$F859,"&lt;&gt;"),"")</f>
        <v/>
      </c>
      <c r="AB859" s="29" t="str">
        <f>IF(AA859=1,COUNTIF($AA$2:AA859,1),"")</f>
        <v/>
      </c>
    </row>
    <row r="860" spans="6:28" ht="47.25" customHeight="1" x14ac:dyDescent="0.2">
      <c r="F860" s="45" t="s">
        <v>3537</v>
      </c>
      <c r="T860" s="41"/>
      <c r="U860" s="29" t="str">
        <f>IF($C860&lt;&gt;"",COUNTIF($C$2:C860,C860),"")</f>
        <v/>
      </c>
      <c r="V860" s="29" t="str">
        <f t="shared" si="58"/>
        <v/>
      </c>
      <c r="W860" s="29" t="str">
        <f>IF(U860=1,COUNTIF($U$2:U860,1),"")</f>
        <v/>
      </c>
      <c r="X860" s="29" t="str">
        <f t="shared" si="57"/>
        <v/>
      </c>
      <c r="Y860" s="29" t="str">
        <f>IF(AND(LEFT($B860,7)="SBA 26/",$D860&lt;&gt;"",$F860&lt;&gt;""),COUNTIFS($D$2:$D860,$D860,$B$2:$B860,"SBA 26/*",$F$2:$F860,"&lt;&gt;"),"")</f>
        <v/>
      </c>
      <c r="Z860" s="29" t="str">
        <f>IF(Y860=1,COUNTIF($Y$2:Y860,1),"")</f>
        <v/>
      </c>
      <c r="AA860" s="29" t="str">
        <f>IF(AND(LEFT($B860,7)="SBA 26/",$C860&lt;&gt;"",$F860&lt;&gt;""),COUNTIFS($C$2:$C860,$C860,$B$2:$B860,"SBA 26/*",$F$2:$F860,"&lt;&gt;"),"")</f>
        <v/>
      </c>
      <c r="AB860" s="29" t="str">
        <f>IF(AA860=1,COUNTIF($AA$2:AA860,1),"")</f>
        <v/>
      </c>
    </row>
    <row r="861" spans="6:28" ht="47.25" customHeight="1" x14ac:dyDescent="0.2">
      <c r="F861" s="45" t="s">
        <v>3538</v>
      </c>
      <c r="T861" s="41"/>
      <c r="U861" s="29" t="str">
        <f>IF($C861&lt;&gt;"",COUNTIF($C$2:C861,C861),"")</f>
        <v/>
      </c>
      <c r="V861" s="29" t="str">
        <f t="shared" si="58"/>
        <v/>
      </c>
      <c r="W861" s="29" t="str">
        <f>IF(U861=1,COUNTIF($U$2:U861,1),"")</f>
        <v/>
      </c>
      <c r="X861" s="29" t="str">
        <f t="shared" si="57"/>
        <v/>
      </c>
      <c r="Y861" s="29" t="str">
        <f>IF(AND(LEFT($B861,7)="SBA 26/",$D861&lt;&gt;"",$F861&lt;&gt;""),COUNTIFS($D$2:$D861,$D861,$B$2:$B861,"SBA 26/*",$F$2:$F861,"&lt;&gt;"),"")</f>
        <v/>
      </c>
      <c r="Z861" s="29" t="str">
        <f>IF(Y861=1,COUNTIF($Y$2:Y861,1),"")</f>
        <v/>
      </c>
      <c r="AA861" s="29" t="str">
        <f>IF(AND(LEFT($B861,7)="SBA 26/",$C861&lt;&gt;"",$F861&lt;&gt;""),COUNTIFS($C$2:$C861,$C861,$B$2:$B861,"SBA 26/*",$F$2:$F861,"&lt;&gt;"),"")</f>
        <v/>
      </c>
      <c r="AB861" s="29" t="str">
        <f>IF(AA861=1,COUNTIF($AA$2:AA861,1),"")</f>
        <v/>
      </c>
    </row>
    <row r="862" spans="6:28" ht="31.5" customHeight="1" x14ac:dyDescent="0.2">
      <c r="F862" s="45" t="s">
        <v>3539</v>
      </c>
      <c r="T862" s="41"/>
      <c r="U862" s="29" t="str">
        <f>IF($C862&lt;&gt;"",COUNTIF($C$2:C862,C862),"")</f>
        <v/>
      </c>
      <c r="V862" s="29" t="str">
        <f t="shared" si="58"/>
        <v/>
      </c>
      <c r="W862" s="29" t="str">
        <f>IF(U862=1,COUNTIF($U$2:U862,1),"")</f>
        <v/>
      </c>
      <c r="X862" s="29" t="str">
        <f t="shared" si="57"/>
        <v/>
      </c>
      <c r="Y862" s="29" t="str">
        <f>IF(AND(LEFT($B862,7)="SBA 26/",$D862&lt;&gt;"",$F862&lt;&gt;""),COUNTIFS($D$2:$D862,$D862,$B$2:$B862,"SBA 26/*",$F$2:$F862,"&lt;&gt;"),"")</f>
        <v/>
      </c>
      <c r="Z862" s="29" t="str">
        <f>IF(Y862=1,COUNTIF($Y$2:Y862,1),"")</f>
        <v/>
      </c>
      <c r="AA862" s="29" t="str">
        <f>IF(AND(LEFT($B862,7)="SBA 26/",$C862&lt;&gt;"",$F862&lt;&gt;""),COUNTIFS($C$2:$C862,$C862,$B$2:$B862,"SBA 26/*",$F$2:$F862,"&lt;&gt;"),"")</f>
        <v/>
      </c>
      <c r="AB862" s="29" t="str">
        <f>IF(AA862=1,COUNTIF($AA$2:AA862,1),"")</f>
        <v/>
      </c>
    </row>
    <row r="863" spans="6:28" ht="31.5" customHeight="1" x14ac:dyDescent="0.2">
      <c r="F863" s="45" t="s">
        <v>3540</v>
      </c>
      <c r="T863" s="41"/>
      <c r="U863" s="29" t="str">
        <f>IF($C863&lt;&gt;"",COUNTIF($C$2:C863,C863),"")</f>
        <v/>
      </c>
      <c r="V863" s="29" t="str">
        <f t="shared" si="58"/>
        <v/>
      </c>
      <c r="W863" s="29" t="str">
        <f>IF(U863=1,COUNTIF($U$2:U863,1),"")</f>
        <v/>
      </c>
      <c r="X863" s="29" t="str">
        <f t="shared" si="57"/>
        <v/>
      </c>
      <c r="Y863" s="29" t="str">
        <f>IF(AND(LEFT($B863,7)="SBA 26/",$D863&lt;&gt;"",$F863&lt;&gt;""),COUNTIFS($D$2:$D863,$D863,$B$2:$B863,"SBA 26/*",$F$2:$F863,"&lt;&gt;"),"")</f>
        <v/>
      </c>
      <c r="Z863" s="29" t="str">
        <f>IF(Y863=1,COUNTIF($Y$2:Y863,1),"")</f>
        <v/>
      </c>
      <c r="AA863" s="29" t="str">
        <f>IF(AND(LEFT($B863,7)="SBA 26/",$C863&lt;&gt;"",$F863&lt;&gt;""),COUNTIFS($C$2:$C863,$C863,$B$2:$B863,"SBA 26/*",$F$2:$F863,"&lt;&gt;"),"")</f>
        <v/>
      </c>
      <c r="AB863" s="29" t="str">
        <f>IF(AA863=1,COUNTIF($AA$2:AA863,1),"")</f>
        <v/>
      </c>
    </row>
    <row r="864" spans="6:28" ht="63" customHeight="1" x14ac:dyDescent="0.2">
      <c r="F864" s="45" t="s">
        <v>3541</v>
      </c>
      <c r="T864" s="41"/>
      <c r="U864" s="29" t="str">
        <f>IF($C864&lt;&gt;"",COUNTIF($C$2:C864,C864),"")</f>
        <v/>
      </c>
      <c r="V864" s="29" t="str">
        <f t="shared" si="58"/>
        <v/>
      </c>
      <c r="W864" s="29" t="str">
        <f>IF(U864=1,COUNTIF($U$2:U864,1),"")</f>
        <v/>
      </c>
      <c r="X864" s="29" t="str">
        <f t="shared" si="57"/>
        <v/>
      </c>
      <c r="Y864" s="29" t="str">
        <f>IF(AND(LEFT($B864,7)="SBA 26/",$D864&lt;&gt;"",$F864&lt;&gt;""),COUNTIFS($D$2:$D864,$D864,$B$2:$B864,"SBA 26/*",$F$2:$F864,"&lt;&gt;"),"")</f>
        <v/>
      </c>
      <c r="Z864" s="29" t="str">
        <f>IF(Y864=1,COUNTIF($Y$2:Y864,1),"")</f>
        <v/>
      </c>
      <c r="AA864" s="29" t="str">
        <f>IF(AND(LEFT($B864,7)="SBA 26/",$C864&lt;&gt;"",$F864&lt;&gt;""),COUNTIFS($C$2:$C864,$C864,$B$2:$B864,"SBA 26/*",$F$2:$F864,"&lt;&gt;"),"")</f>
        <v/>
      </c>
      <c r="AB864" s="29" t="str">
        <f>IF(AA864=1,COUNTIF($AA$2:AA864,1),"")</f>
        <v/>
      </c>
    </row>
    <row r="865" spans="6:28" ht="47.25" customHeight="1" x14ac:dyDescent="0.2">
      <c r="F865" s="45" t="s">
        <v>3542</v>
      </c>
      <c r="T865" s="41"/>
      <c r="U865" s="29" t="str">
        <f>IF($C865&lt;&gt;"",COUNTIF($C$2:C865,C865),"")</f>
        <v/>
      </c>
      <c r="V865" s="29" t="str">
        <f t="shared" si="58"/>
        <v/>
      </c>
      <c r="W865" s="29" t="str">
        <f>IF(U865=1,COUNTIF($U$2:U865,1),"")</f>
        <v/>
      </c>
      <c r="X865" s="29" t="str">
        <f t="shared" si="57"/>
        <v/>
      </c>
      <c r="Y865" s="29" t="str">
        <f>IF(AND(LEFT($B865,7)="SBA 26/",$D865&lt;&gt;"",$F865&lt;&gt;""),COUNTIFS($D$2:$D865,$D865,$B$2:$B865,"SBA 26/*",$F$2:$F865,"&lt;&gt;"),"")</f>
        <v/>
      </c>
      <c r="Z865" s="29" t="str">
        <f>IF(Y865=1,COUNTIF($Y$2:Y865,1),"")</f>
        <v/>
      </c>
      <c r="AA865" s="29" t="str">
        <f>IF(AND(LEFT($B865,7)="SBA 26/",$C865&lt;&gt;"",$F865&lt;&gt;""),COUNTIFS($C$2:$C865,$C865,$B$2:$B865,"SBA 26/*",$F$2:$F865,"&lt;&gt;"),"")</f>
        <v/>
      </c>
      <c r="AB865" s="29" t="str">
        <f>IF(AA865=1,COUNTIF($AA$2:AA865,1),"")</f>
        <v/>
      </c>
    </row>
    <row r="866" spans="6:28" ht="47.25" customHeight="1" x14ac:dyDescent="0.2">
      <c r="F866" s="45" t="s">
        <v>3543</v>
      </c>
      <c r="T866" s="41"/>
      <c r="U866" s="29" t="str">
        <f>IF($C866&lt;&gt;"",COUNTIF($C$2:C866,C866),"")</f>
        <v/>
      </c>
      <c r="V866" s="29" t="str">
        <f t="shared" si="58"/>
        <v/>
      </c>
      <c r="W866" s="29" t="str">
        <f>IF(U866=1,COUNTIF($U$2:U866,1),"")</f>
        <v/>
      </c>
      <c r="X866" s="29" t="str">
        <f t="shared" si="57"/>
        <v/>
      </c>
      <c r="Y866" s="29" t="str">
        <f>IF(AND(LEFT($B866,7)="SBA 26/",$D866&lt;&gt;"",$F866&lt;&gt;""),COUNTIFS($D$2:$D866,$D866,$B$2:$B866,"SBA 26/*",$F$2:$F866,"&lt;&gt;"),"")</f>
        <v/>
      </c>
      <c r="Z866" s="29" t="str">
        <f>IF(Y866=1,COUNTIF($Y$2:Y866,1),"")</f>
        <v/>
      </c>
      <c r="AA866" s="29" t="str">
        <f>IF(AND(LEFT($B866,7)="SBA 26/",$C866&lt;&gt;"",$F866&lt;&gt;""),COUNTIFS($C$2:$C866,$C866,$B$2:$B866,"SBA 26/*",$F$2:$F866,"&lt;&gt;"),"")</f>
        <v/>
      </c>
      <c r="AB866" s="29" t="str">
        <f>IF(AA866=1,COUNTIF($AA$2:AA866,1),"")</f>
        <v/>
      </c>
    </row>
    <row r="867" spans="6:28" ht="47.25" customHeight="1" x14ac:dyDescent="0.2">
      <c r="F867" s="45" t="s">
        <v>3544</v>
      </c>
      <c r="T867" s="41"/>
      <c r="U867" s="29" t="str">
        <f>IF($C867&lt;&gt;"",COUNTIF($C$2:C867,C867),"")</f>
        <v/>
      </c>
      <c r="V867" s="29" t="str">
        <f t="shared" si="58"/>
        <v/>
      </c>
      <c r="W867" s="29" t="str">
        <f>IF(U867=1,COUNTIF($U$2:U867,1),"")</f>
        <v/>
      </c>
      <c r="X867" s="29" t="str">
        <f t="shared" si="57"/>
        <v/>
      </c>
      <c r="Y867" s="29" t="str">
        <f>IF(AND(LEFT($B867,7)="SBA 26/",$D867&lt;&gt;"",$F867&lt;&gt;""),COUNTIFS($D$2:$D867,$D867,$B$2:$B867,"SBA 26/*",$F$2:$F867,"&lt;&gt;"),"")</f>
        <v/>
      </c>
      <c r="Z867" s="29" t="str">
        <f>IF(Y867=1,COUNTIF($Y$2:Y867,1),"")</f>
        <v/>
      </c>
      <c r="AA867" s="29" t="str">
        <f>IF(AND(LEFT($B867,7)="SBA 26/",$C867&lt;&gt;"",$F867&lt;&gt;""),COUNTIFS($C$2:$C867,$C867,$B$2:$B867,"SBA 26/*",$F$2:$F867,"&lt;&gt;"),"")</f>
        <v/>
      </c>
      <c r="AB867" s="29" t="str">
        <f>IF(AA867=1,COUNTIF($AA$2:AA867,1),"")</f>
        <v/>
      </c>
    </row>
    <row r="868" spans="6:28" ht="63" customHeight="1" x14ac:dyDescent="0.2">
      <c r="F868" s="45" t="s">
        <v>3545</v>
      </c>
      <c r="T868" s="41"/>
      <c r="U868" s="29" t="str">
        <f>IF($C868&lt;&gt;"",COUNTIF($C$2:C868,C868),"")</f>
        <v/>
      </c>
      <c r="V868" s="29" t="str">
        <f t="shared" si="58"/>
        <v/>
      </c>
      <c r="W868" s="29" t="str">
        <f>IF(U868=1,COUNTIF($U$2:U868,1),"")</f>
        <v/>
      </c>
      <c r="X868" s="29" t="str">
        <f t="shared" si="57"/>
        <v/>
      </c>
      <c r="Y868" s="29" t="str">
        <f>IF(AND(LEFT($B868,7)="SBA 26/",$D868&lt;&gt;"",$F868&lt;&gt;""),COUNTIFS($D$2:$D868,$D868,$B$2:$B868,"SBA 26/*",$F$2:$F868,"&lt;&gt;"),"")</f>
        <v/>
      </c>
      <c r="Z868" s="29" t="str">
        <f>IF(Y868=1,COUNTIF($Y$2:Y868,1),"")</f>
        <v/>
      </c>
      <c r="AA868" s="29" t="str">
        <f>IF(AND(LEFT($B868,7)="SBA 26/",$C868&lt;&gt;"",$F868&lt;&gt;""),COUNTIFS($C$2:$C868,$C868,$B$2:$B868,"SBA 26/*",$F$2:$F868,"&lt;&gt;"),"")</f>
        <v/>
      </c>
      <c r="AB868" s="29" t="str">
        <f>IF(AA868=1,COUNTIF($AA$2:AA868,1),"")</f>
        <v/>
      </c>
    </row>
    <row r="869" spans="6:28" ht="31.5" customHeight="1" x14ac:dyDescent="0.2">
      <c r="F869" s="45" t="s">
        <v>3546</v>
      </c>
      <c r="T869" s="41"/>
      <c r="U869" s="29" t="str">
        <f>IF($C869&lt;&gt;"",COUNTIF($C$2:C869,C869),"")</f>
        <v/>
      </c>
      <c r="V869" s="29" t="str">
        <f t="shared" si="58"/>
        <v/>
      </c>
      <c r="W869" s="29" t="str">
        <f>IF(U869=1,COUNTIF($U$2:U869,1),"")</f>
        <v/>
      </c>
      <c r="X869" s="29" t="str">
        <f t="shared" si="57"/>
        <v/>
      </c>
      <c r="Y869" s="29" t="str">
        <f>IF(AND(LEFT($B869,7)="SBA 26/",$D869&lt;&gt;"",$F869&lt;&gt;""),COUNTIFS($D$2:$D869,$D869,$B$2:$B869,"SBA 26/*",$F$2:$F869,"&lt;&gt;"),"")</f>
        <v/>
      </c>
      <c r="Z869" s="29" t="str">
        <f>IF(Y869=1,COUNTIF($Y$2:Y869,1),"")</f>
        <v/>
      </c>
      <c r="AA869" s="29" t="str">
        <f>IF(AND(LEFT($B869,7)="SBA 26/",$C869&lt;&gt;"",$F869&lt;&gt;""),COUNTIFS($C$2:$C869,$C869,$B$2:$B869,"SBA 26/*",$F$2:$F869,"&lt;&gt;"),"")</f>
        <v/>
      </c>
      <c r="AB869" s="29" t="str">
        <f>IF(AA869=1,COUNTIF($AA$2:AA869,1),"")</f>
        <v/>
      </c>
    </row>
    <row r="870" spans="6:28" ht="31.5" customHeight="1" x14ac:dyDescent="0.2">
      <c r="F870" s="45" t="s">
        <v>3547</v>
      </c>
      <c r="T870" s="41"/>
      <c r="U870" s="29" t="str">
        <f>IF($C870&lt;&gt;"",COUNTIF($C$2:C870,C870),"")</f>
        <v/>
      </c>
      <c r="V870" s="29" t="str">
        <f t="shared" si="58"/>
        <v/>
      </c>
      <c r="W870" s="29" t="str">
        <f>IF(U870=1,COUNTIF($U$2:U870,1),"")</f>
        <v/>
      </c>
      <c r="X870" s="29" t="str">
        <f t="shared" si="57"/>
        <v/>
      </c>
      <c r="Y870" s="29" t="str">
        <f>IF(AND(LEFT($B870,7)="SBA 26/",$D870&lt;&gt;"",$F870&lt;&gt;""),COUNTIFS($D$2:$D870,$D870,$B$2:$B870,"SBA 26/*",$F$2:$F870,"&lt;&gt;"),"")</f>
        <v/>
      </c>
      <c r="Z870" s="29" t="str">
        <f>IF(Y870=1,COUNTIF($Y$2:Y870,1),"")</f>
        <v/>
      </c>
      <c r="AA870" s="29" t="str">
        <f>IF(AND(LEFT($B870,7)="SBA 26/",$C870&lt;&gt;"",$F870&lt;&gt;""),COUNTIFS($C$2:$C870,$C870,$B$2:$B870,"SBA 26/*",$F$2:$F870,"&lt;&gt;"),"")</f>
        <v/>
      </c>
      <c r="AB870" s="29" t="str">
        <f>IF(AA870=1,COUNTIF($AA$2:AA870,1),"")</f>
        <v/>
      </c>
    </row>
    <row r="871" spans="6:28" ht="63" customHeight="1" x14ac:dyDescent="0.2">
      <c r="F871" s="45" t="s">
        <v>3548</v>
      </c>
      <c r="T871" s="41"/>
      <c r="U871" s="29" t="str">
        <f>IF($C871&lt;&gt;"",COUNTIF($C$2:C871,C871),"")</f>
        <v/>
      </c>
      <c r="V871" s="29" t="str">
        <f t="shared" si="58"/>
        <v/>
      </c>
      <c r="W871" s="29" t="str">
        <f>IF(U871=1,COUNTIF($U$2:U871,1),"")</f>
        <v/>
      </c>
      <c r="X871" s="29" t="str">
        <f t="shared" si="57"/>
        <v/>
      </c>
      <c r="Y871" s="29" t="str">
        <f>IF(AND(LEFT($B871,7)="SBA 26/",$D871&lt;&gt;"",$F871&lt;&gt;""),COUNTIFS($D$2:$D871,$D871,$B$2:$B871,"SBA 26/*",$F$2:$F871,"&lt;&gt;"),"")</f>
        <v/>
      </c>
      <c r="Z871" s="29" t="str">
        <f>IF(Y871=1,COUNTIF($Y$2:Y871,1),"")</f>
        <v/>
      </c>
      <c r="AA871" s="29" t="str">
        <f>IF(AND(LEFT($B871,7)="SBA 26/",$C871&lt;&gt;"",$F871&lt;&gt;""),COUNTIFS($C$2:$C871,$C871,$B$2:$B871,"SBA 26/*",$F$2:$F871,"&lt;&gt;"),"")</f>
        <v/>
      </c>
      <c r="AB871" s="29" t="str">
        <f>IF(AA871=1,COUNTIF($AA$2:AA871,1),"")</f>
        <v/>
      </c>
    </row>
    <row r="872" spans="6:28" ht="47.25" customHeight="1" x14ac:dyDescent="0.2">
      <c r="F872" s="45" t="s">
        <v>3549</v>
      </c>
      <c r="T872" s="41"/>
      <c r="U872" s="29" t="str">
        <f>IF($C872&lt;&gt;"",COUNTIF($C$2:C872,C872),"")</f>
        <v/>
      </c>
      <c r="V872" s="29" t="str">
        <f t="shared" si="58"/>
        <v/>
      </c>
      <c r="W872" s="29" t="str">
        <f>IF(U872=1,COUNTIF($U$2:U872,1),"")</f>
        <v/>
      </c>
      <c r="X872" s="29" t="str">
        <f t="shared" si="57"/>
        <v/>
      </c>
      <c r="Y872" s="29" t="str">
        <f>IF(AND(LEFT($B872,7)="SBA 26/",$D872&lt;&gt;"",$F872&lt;&gt;""),COUNTIFS($D$2:$D872,$D872,$B$2:$B872,"SBA 26/*",$F$2:$F872,"&lt;&gt;"),"")</f>
        <v/>
      </c>
      <c r="Z872" s="29" t="str">
        <f>IF(Y872=1,COUNTIF($Y$2:Y872,1),"")</f>
        <v/>
      </c>
      <c r="AA872" s="29" t="str">
        <f>IF(AND(LEFT($B872,7)="SBA 26/",$C872&lt;&gt;"",$F872&lt;&gt;""),COUNTIFS($C$2:$C872,$C872,$B$2:$B872,"SBA 26/*",$F$2:$F872,"&lt;&gt;"),"")</f>
        <v/>
      </c>
      <c r="AB872" s="29" t="str">
        <f>IF(AA872=1,COUNTIF($AA$2:AA872,1),"")</f>
        <v/>
      </c>
    </row>
    <row r="873" spans="6:28" ht="47.25" customHeight="1" x14ac:dyDescent="0.2">
      <c r="F873" s="45" t="s">
        <v>3550</v>
      </c>
      <c r="T873" s="41"/>
      <c r="U873" s="29" t="str">
        <f>IF($C873&lt;&gt;"",COUNTIF($C$2:C873,C873),"")</f>
        <v/>
      </c>
      <c r="V873" s="29" t="str">
        <f t="shared" si="58"/>
        <v/>
      </c>
      <c r="W873" s="29" t="str">
        <f>IF(U873=1,COUNTIF($U$2:U873,1),"")</f>
        <v/>
      </c>
      <c r="X873" s="29" t="str">
        <f t="shared" si="57"/>
        <v/>
      </c>
      <c r="Y873" s="29" t="str">
        <f>IF(AND(LEFT($B873,7)="SBA 26/",$D873&lt;&gt;"",$F873&lt;&gt;""),COUNTIFS($D$2:$D873,$D873,$B$2:$B873,"SBA 26/*",$F$2:$F873,"&lt;&gt;"),"")</f>
        <v/>
      </c>
      <c r="Z873" s="29" t="str">
        <f>IF(Y873=1,COUNTIF($Y$2:Y873,1),"")</f>
        <v/>
      </c>
      <c r="AA873" s="29" t="str">
        <f>IF(AND(LEFT($B873,7)="SBA 26/",$C873&lt;&gt;"",$F873&lt;&gt;""),COUNTIFS($C$2:$C873,$C873,$B$2:$B873,"SBA 26/*",$F$2:$F873,"&lt;&gt;"),"")</f>
        <v/>
      </c>
      <c r="AB873" s="29" t="str">
        <f>IF(AA873=1,COUNTIF($AA$2:AA873,1),"")</f>
        <v/>
      </c>
    </row>
    <row r="874" spans="6:28" ht="31.5" customHeight="1" x14ac:dyDescent="0.2">
      <c r="F874" s="45" t="s">
        <v>3551</v>
      </c>
      <c r="T874" s="41"/>
      <c r="U874" s="29" t="str">
        <f>IF($C874&lt;&gt;"",COUNTIF($C$2:C874,C874),"")</f>
        <v/>
      </c>
      <c r="V874" s="29" t="str">
        <f t="shared" si="58"/>
        <v/>
      </c>
      <c r="W874" s="29" t="str">
        <f>IF(U874=1,COUNTIF($U$2:U874,1),"")</f>
        <v/>
      </c>
      <c r="X874" s="29" t="str">
        <f t="shared" si="57"/>
        <v/>
      </c>
      <c r="Y874" s="29" t="str">
        <f>IF(AND(LEFT($B874,7)="SBA 26/",$D874&lt;&gt;"",$F874&lt;&gt;""),COUNTIFS($D$2:$D874,$D874,$B$2:$B874,"SBA 26/*",$F$2:$F874,"&lt;&gt;"),"")</f>
        <v/>
      </c>
      <c r="Z874" s="29" t="str">
        <f>IF(Y874=1,COUNTIF($Y$2:Y874,1),"")</f>
        <v/>
      </c>
      <c r="AA874" s="29" t="str">
        <f>IF(AND(LEFT($B874,7)="SBA 26/",$C874&lt;&gt;"",$F874&lt;&gt;""),COUNTIFS($C$2:$C874,$C874,$B$2:$B874,"SBA 26/*",$F$2:$F874,"&lt;&gt;"),"")</f>
        <v/>
      </c>
      <c r="AB874" s="29" t="str">
        <f>IF(AA874=1,COUNTIF($AA$2:AA874,1),"")</f>
        <v/>
      </c>
    </row>
    <row r="875" spans="6:28" ht="63" customHeight="1" x14ac:dyDescent="0.2">
      <c r="F875" s="45" t="s">
        <v>3552</v>
      </c>
      <c r="T875" s="41"/>
      <c r="U875" s="29" t="str">
        <f>IF($C875&lt;&gt;"",COUNTIF($C$2:C875,C875),"")</f>
        <v/>
      </c>
      <c r="V875" s="29" t="str">
        <f t="shared" si="58"/>
        <v/>
      </c>
      <c r="W875" s="29" t="str">
        <f>IF(U875=1,COUNTIF($U$2:U875,1),"")</f>
        <v/>
      </c>
      <c r="X875" s="29" t="str">
        <f t="shared" si="57"/>
        <v/>
      </c>
      <c r="Y875" s="29" t="str">
        <f>IF(AND(LEFT($B875,7)="SBA 26/",$D875&lt;&gt;"",$F875&lt;&gt;""),COUNTIFS($D$2:$D875,$D875,$B$2:$B875,"SBA 26/*",$F$2:$F875,"&lt;&gt;"),"")</f>
        <v/>
      </c>
      <c r="Z875" s="29" t="str">
        <f>IF(Y875=1,COUNTIF($Y$2:Y875,1),"")</f>
        <v/>
      </c>
      <c r="AA875" s="29" t="str">
        <f>IF(AND(LEFT($B875,7)="SBA 26/",$C875&lt;&gt;"",$F875&lt;&gt;""),COUNTIFS($C$2:$C875,$C875,$B$2:$B875,"SBA 26/*",$F$2:$F875,"&lt;&gt;"),"")</f>
        <v/>
      </c>
      <c r="AB875" s="29" t="str">
        <f>IF(AA875=1,COUNTIF($AA$2:AA875,1),"")</f>
        <v/>
      </c>
    </row>
    <row r="876" spans="6:28" ht="78.75" customHeight="1" x14ac:dyDescent="0.2">
      <c r="F876" s="45" t="s">
        <v>3553</v>
      </c>
      <c r="T876" s="41"/>
      <c r="U876" s="29" t="str">
        <f>IF($C876&lt;&gt;"",COUNTIF($C$2:C876,C876),"")</f>
        <v/>
      </c>
      <c r="V876" s="29" t="str">
        <f t="shared" si="58"/>
        <v/>
      </c>
      <c r="W876" s="29" t="str">
        <f>IF(U876=1,COUNTIF($U$2:U876,1),"")</f>
        <v/>
      </c>
      <c r="X876" s="29" t="str">
        <f t="shared" si="57"/>
        <v/>
      </c>
      <c r="Y876" s="29" t="str">
        <f>IF(AND(LEFT($B876,7)="SBA 26/",$D876&lt;&gt;"",$F876&lt;&gt;""),COUNTIFS($D$2:$D876,$D876,$B$2:$B876,"SBA 26/*",$F$2:$F876,"&lt;&gt;"),"")</f>
        <v/>
      </c>
      <c r="Z876" s="29" t="str">
        <f>IF(Y876=1,COUNTIF($Y$2:Y876,1),"")</f>
        <v/>
      </c>
      <c r="AA876" s="29" t="str">
        <f>IF(AND(LEFT($B876,7)="SBA 26/",$C876&lt;&gt;"",$F876&lt;&gt;""),COUNTIFS($C$2:$C876,$C876,$B$2:$B876,"SBA 26/*",$F$2:$F876,"&lt;&gt;"),"")</f>
        <v/>
      </c>
      <c r="AB876" s="29" t="str">
        <f>IF(AA876=1,COUNTIF($AA$2:AA876,1),"")</f>
        <v/>
      </c>
    </row>
    <row r="877" spans="6:28" ht="31.5" customHeight="1" x14ac:dyDescent="0.2">
      <c r="F877" s="45" t="s">
        <v>3554</v>
      </c>
      <c r="T877" s="41"/>
      <c r="U877" s="29" t="str">
        <f>IF($C877&lt;&gt;"",COUNTIF($C$2:C877,C877),"")</f>
        <v/>
      </c>
      <c r="V877" s="29" t="str">
        <f t="shared" si="58"/>
        <v/>
      </c>
      <c r="W877" s="29" t="str">
        <f>IF(U877=1,COUNTIF($U$2:U877,1),"")</f>
        <v/>
      </c>
      <c r="X877" s="29" t="str">
        <f t="shared" ref="X877:X940" si="59">IF(U877=1,SUMPRODUCT(($U$2:$U$1833=1)*($C$2:$C$1833&lt;C877))+1,"")</f>
        <v/>
      </c>
      <c r="Y877" s="29" t="str">
        <f>IF(AND(LEFT($B877,7)="SBA 26/",$D877&lt;&gt;"",$F877&lt;&gt;""),COUNTIFS($D$2:$D877,$D877,$B$2:$B877,"SBA 26/*",$F$2:$F877,"&lt;&gt;"),"")</f>
        <v/>
      </c>
      <c r="Z877" s="29" t="str">
        <f>IF(Y877=1,COUNTIF($Y$2:Y877,1),"")</f>
        <v/>
      </c>
      <c r="AA877" s="29" t="str">
        <f>IF(AND(LEFT($B877,7)="SBA 26/",$C877&lt;&gt;"",$F877&lt;&gt;""),COUNTIFS($C$2:$C877,$C877,$B$2:$B877,"SBA 26/*",$F$2:$F877,"&lt;&gt;"),"")</f>
        <v/>
      </c>
      <c r="AB877" s="29" t="str">
        <f>IF(AA877=1,COUNTIF($AA$2:AA877,1),"")</f>
        <v/>
      </c>
    </row>
    <row r="878" spans="6:28" ht="31.5" customHeight="1" x14ac:dyDescent="0.2">
      <c r="F878" s="45" t="s">
        <v>3555</v>
      </c>
      <c r="T878" s="41"/>
      <c r="U878" s="29" t="str">
        <f>IF($C878&lt;&gt;"",COUNTIF($C$2:C878,C878),"")</f>
        <v/>
      </c>
      <c r="V878" s="29" t="str">
        <f t="shared" si="58"/>
        <v/>
      </c>
      <c r="W878" s="29" t="str">
        <f>IF(U878=1,COUNTIF($U$2:U878,1),"")</f>
        <v/>
      </c>
      <c r="X878" s="29" t="str">
        <f t="shared" si="59"/>
        <v/>
      </c>
      <c r="Y878" s="29" t="str">
        <f>IF(AND(LEFT($B878,7)="SBA 26/",$D878&lt;&gt;"",$F878&lt;&gt;""),COUNTIFS($D$2:$D878,$D878,$B$2:$B878,"SBA 26/*",$F$2:$F878,"&lt;&gt;"),"")</f>
        <v/>
      </c>
      <c r="Z878" s="29" t="str">
        <f>IF(Y878=1,COUNTIF($Y$2:Y878,1),"")</f>
        <v/>
      </c>
      <c r="AA878" s="29" t="str">
        <f>IF(AND(LEFT($B878,7)="SBA 26/",$C878&lt;&gt;"",$F878&lt;&gt;""),COUNTIFS($C$2:$C878,$C878,$B$2:$B878,"SBA 26/*",$F$2:$F878,"&lt;&gt;"),"")</f>
        <v/>
      </c>
      <c r="AB878" s="29" t="str">
        <f>IF(AA878=1,COUNTIF($AA$2:AA878,1),"")</f>
        <v/>
      </c>
    </row>
    <row r="879" spans="6:28" ht="31.5" customHeight="1" x14ac:dyDescent="0.2">
      <c r="F879" s="45" t="s">
        <v>3556</v>
      </c>
      <c r="T879" s="41"/>
      <c r="U879" s="29" t="str">
        <f>IF($C879&lt;&gt;"",COUNTIF($C$2:C879,C879),"")</f>
        <v/>
      </c>
      <c r="V879" s="29" t="str">
        <f t="shared" si="58"/>
        <v/>
      </c>
      <c r="W879" s="29" t="str">
        <f>IF(U879=1,COUNTIF($U$2:U879,1),"")</f>
        <v/>
      </c>
      <c r="X879" s="29" t="str">
        <f t="shared" si="59"/>
        <v/>
      </c>
      <c r="Y879" s="29" t="str">
        <f>IF(AND(LEFT($B879,7)="SBA 26/",$D879&lt;&gt;"",$F879&lt;&gt;""),COUNTIFS($D$2:$D879,$D879,$B$2:$B879,"SBA 26/*",$F$2:$F879,"&lt;&gt;"),"")</f>
        <v/>
      </c>
      <c r="Z879" s="29" t="str">
        <f>IF(Y879=1,COUNTIF($Y$2:Y879,1),"")</f>
        <v/>
      </c>
      <c r="AA879" s="29" t="str">
        <f>IF(AND(LEFT($B879,7)="SBA 26/",$C879&lt;&gt;"",$F879&lt;&gt;""),COUNTIFS($C$2:$C879,$C879,$B$2:$B879,"SBA 26/*",$F$2:$F879,"&lt;&gt;"),"")</f>
        <v/>
      </c>
      <c r="AB879" s="29" t="str">
        <f>IF(AA879=1,COUNTIF($AA$2:AA879,1),"")</f>
        <v/>
      </c>
    </row>
    <row r="880" spans="6:28" ht="31.5" customHeight="1" x14ac:dyDescent="0.2">
      <c r="F880" s="45" t="s">
        <v>3557</v>
      </c>
      <c r="T880" s="41"/>
      <c r="U880" s="29" t="str">
        <f>IF($C880&lt;&gt;"",COUNTIF($C$2:C880,C880),"")</f>
        <v/>
      </c>
      <c r="V880" s="29" t="str">
        <f t="shared" si="58"/>
        <v/>
      </c>
      <c r="W880" s="29" t="str">
        <f>IF(U880=1,COUNTIF($U$2:U880,1),"")</f>
        <v/>
      </c>
      <c r="X880" s="29" t="str">
        <f t="shared" si="59"/>
        <v/>
      </c>
      <c r="Y880" s="29" t="str">
        <f>IF(AND(LEFT($B880,7)="SBA 26/",$D880&lt;&gt;"",$F880&lt;&gt;""),COUNTIFS($D$2:$D880,$D880,$B$2:$B880,"SBA 26/*",$F$2:$F880,"&lt;&gt;"),"")</f>
        <v/>
      </c>
      <c r="Z880" s="29" t="str">
        <f>IF(Y880=1,COUNTIF($Y$2:Y880,1),"")</f>
        <v/>
      </c>
      <c r="AA880" s="29" t="str">
        <f>IF(AND(LEFT($B880,7)="SBA 26/",$C880&lt;&gt;"",$F880&lt;&gt;""),COUNTIFS($C$2:$C880,$C880,$B$2:$B880,"SBA 26/*",$F$2:$F880,"&lt;&gt;"),"")</f>
        <v/>
      </c>
      <c r="AB880" s="29" t="str">
        <f>IF(AA880=1,COUNTIF($AA$2:AA880,1),"")</f>
        <v/>
      </c>
    </row>
    <row r="881" spans="6:28" ht="31.5" customHeight="1" x14ac:dyDescent="0.2">
      <c r="F881" s="45" t="s">
        <v>3558</v>
      </c>
      <c r="T881" s="41"/>
      <c r="U881" s="29" t="str">
        <f>IF($C881&lt;&gt;"",COUNTIF($C$2:C881,C881),"")</f>
        <v/>
      </c>
      <c r="V881" s="29" t="str">
        <f t="shared" si="58"/>
        <v/>
      </c>
      <c r="W881" s="29" t="str">
        <f>IF(U881=1,COUNTIF($U$2:U881,1),"")</f>
        <v/>
      </c>
      <c r="X881" s="29" t="str">
        <f t="shared" si="59"/>
        <v/>
      </c>
      <c r="Y881" s="29" t="str">
        <f>IF(AND(LEFT($B881,7)="SBA 26/",$D881&lt;&gt;"",$F881&lt;&gt;""),COUNTIFS($D$2:$D881,$D881,$B$2:$B881,"SBA 26/*",$F$2:$F881,"&lt;&gt;"),"")</f>
        <v/>
      </c>
      <c r="Z881" s="29" t="str">
        <f>IF(Y881=1,COUNTIF($Y$2:Y881,1),"")</f>
        <v/>
      </c>
      <c r="AA881" s="29" t="str">
        <f>IF(AND(LEFT($B881,7)="SBA 26/",$C881&lt;&gt;"",$F881&lt;&gt;""),COUNTIFS($C$2:$C881,$C881,$B$2:$B881,"SBA 26/*",$F$2:$F881,"&lt;&gt;"),"")</f>
        <v/>
      </c>
      <c r="AB881" s="29" t="str">
        <f>IF(AA881=1,COUNTIF($AA$2:AA881,1),"")</f>
        <v/>
      </c>
    </row>
    <row r="882" spans="6:28" ht="31.5" customHeight="1" x14ac:dyDescent="0.2">
      <c r="F882" s="45" t="s">
        <v>3559</v>
      </c>
      <c r="T882" s="41"/>
      <c r="U882" s="29" t="str">
        <f>IF($C882&lt;&gt;"",COUNTIF($C$2:C882,C882),"")</f>
        <v/>
      </c>
      <c r="V882" s="29" t="str">
        <f t="shared" si="58"/>
        <v/>
      </c>
      <c r="W882" s="29" t="str">
        <f>IF(U882=1,COUNTIF($U$2:U882,1),"")</f>
        <v/>
      </c>
      <c r="X882" s="29" t="str">
        <f t="shared" si="59"/>
        <v/>
      </c>
      <c r="Y882" s="29" t="str">
        <f>IF(AND(LEFT($B882,7)="SBA 26/",$D882&lt;&gt;"",$F882&lt;&gt;""),COUNTIFS($D$2:$D882,$D882,$B$2:$B882,"SBA 26/*",$F$2:$F882,"&lt;&gt;"),"")</f>
        <v/>
      </c>
      <c r="Z882" s="29" t="str">
        <f>IF(Y882=1,COUNTIF($Y$2:Y882,1),"")</f>
        <v/>
      </c>
      <c r="AA882" s="29" t="str">
        <f>IF(AND(LEFT($B882,7)="SBA 26/",$C882&lt;&gt;"",$F882&lt;&gt;""),COUNTIFS($C$2:$C882,$C882,$B$2:$B882,"SBA 26/*",$F$2:$F882,"&lt;&gt;"),"")</f>
        <v/>
      </c>
      <c r="AB882" s="29" t="str">
        <f>IF(AA882=1,COUNTIF($AA$2:AA882,1),"")</f>
        <v/>
      </c>
    </row>
    <row r="883" spans="6:28" ht="47.25" customHeight="1" x14ac:dyDescent="0.2">
      <c r="F883" s="45" t="s">
        <v>3560</v>
      </c>
      <c r="T883" s="41"/>
      <c r="U883" s="29" t="str">
        <f>IF($C883&lt;&gt;"",COUNTIF($C$2:C883,C883),"")</f>
        <v/>
      </c>
      <c r="V883" s="29" t="str">
        <f t="shared" si="58"/>
        <v/>
      </c>
      <c r="W883" s="29" t="str">
        <f>IF(U883=1,COUNTIF($U$2:U883,1),"")</f>
        <v/>
      </c>
      <c r="X883" s="29" t="str">
        <f t="shared" si="59"/>
        <v/>
      </c>
      <c r="Y883" s="29" t="str">
        <f>IF(AND(LEFT($B883,7)="SBA 26/",$D883&lt;&gt;"",$F883&lt;&gt;""),COUNTIFS($D$2:$D883,$D883,$B$2:$B883,"SBA 26/*",$F$2:$F883,"&lt;&gt;"),"")</f>
        <v/>
      </c>
      <c r="Z883" s="29" t="str">
        <f>IF(Y883=1,COUNTIF($Y$2:Y883,1),"")</f>
        <v/>
      </c>
      <c r="AA883" s="29" t="str">
        <f>IF(AND(LEFT($B883,7)="SBA 26/",$C883&lt;&gt;"",$F883&lt;&gt;""),COUNTIFS($C$2:$C883,$C883,$B$2:$B883,"SBA 26/*",$F$2:$F883,"&lt;&gt;"),"")</f>
        <v/>
      </c>
      <c r="AB883" s="29" t="str">
        <f>IF(AA883=1,COUNTIF($AA$2:AA883,1),"")</f>
        <v/>
      </c>
    </row>
    <row r="884" spans="6:28" ht="47.25" customHeight="1" x14ac:dyDescent="0.2">
      <c r="F884" s="45" t="s">
        <v>3561</v>
      </c>
      <c r="T884" s="41"/>
      <c r="U884" s="29" t="str">
        <f>IF($C884&lt;&gt;"",COUNTIF($C$2:C884,C884),"")</f>
        <v/>
      </c>
      <c r="V884" s="29" t="str">
        <f t="shared" si="58"/>
        <v/>
      </c>
      <c r="W884" s="29" t="str">
        <f>IF(U884=1,COUNTIF($U$2:U884,1),"")</f>
        <v/>
      </c>
      <c r="X884" s="29" t="str">
        <f t="shared" si="59"/>
        <v/>
      </c>
      <c r="Y884" s="29" t="str">
        <f>IF(AND(LEFT($B884,7)="SBA 26/",$D884&lt;&gt;"",$F884&lt;&gt;""),COUNTIFS($D$2:$D884,$D884,$B$2:$B884,"SBA 26/*",$F$2:$F884,"&lt;&gt;"),"")</f>
        <v/>
      </c>
      <c r="Z884" s="29" t="str">
        <f>IF(Y884=1,COUNTIF($Y$2:Y884,1),"")</f>
        <v/>
      </c>
      <c r="AA884" s="29" t="str">
        <f>IF(AND(LEFT($B884,7)="SBA 26/",$C884&lt;&gt;"",$F884&lt;&gt;""),COUNTIFS($C$2:$C884,$C884,$B$2:$B884,"SBA 26/*",$F$2:$F884,"&lt;&gt;"),"")</f>
        <v/>
      </c>
      <c r="AB884" s="29" t="str">
        <f>IF(AA884=1,COUNTIF($AA$2:AA884,1),"")</f>
        <v/>
      </c>
    </row>
    <row r="885" spans="6:28" ht="47.25" customHeight="1" x14ac:dyDescent="0.2">
      <c r="F885" s="45" t="s">
        <v>3562</v>
      </c>
      <c r="T885" s="41"/>
      <c r="U885" s="29" t="str">
        <f>IF($C885&lt;&gt;"",COUNTIF($C$2:C885,C885),"")</f>
        <v/>
      </c>
      <c r="V885" s="29" t="str">
        <f t="shared" si="58"/>
        <v/>
      </c>
      <c r="W885" s="29" t="str">
        <f>IF(U885=1,COUNTIF($U$2:U885,1),"")</f>
        <v/>
      </c>
      <c r="X885" s="29" t="str">
        <f t="shared" si="59"/>
        <v/>
      </c>
      <c r="Y885" s="29" t="str">
        <f>IF(AND(LEFT($B885,7)="SBA 26/",$D885&lt;&gt;"",$F885&lt;&gt;""),COUNTIFS($D$2:$D885,$D885,$B$2:$B885,"SBA 26/*",$F$2:$F885,"&lt;&gt;"),"")</f>
        <v/>
      </c>
      <c r="Z885" s="29" t="str">
        <f>IF(Y885=1,COUNTIF($Y$2:Y885,1),"")</f>
        <v/>
      </c>
      <c r="AA885" s="29" t="str">
        <f>IF(AND(LEFT($B885,7)="SBA 26/",$C885&lt;&gt;"",$F885&lt;&gt;""),COUNTIFS($C$2:$C885,$C885,$B$2:$B885,"SBA 26/*",$F$2:$F885,"&lt;&gt;"),"")</f>
        <v/>
      </c>
      <c r="AB885" s="29" t="str">
        <f>IF(AA885=1,COUNTIF($AA$2:AA885,1),"")</f>
        <v/>
      </c>
    </row>
    <row r="886" spans="6:28" ht="78.75" customHeight="1" x14ac:dyDescent="0.2">
      <c r="F886" s="45" t="s">
        <v>3563</v>
      </c>
      <c r="T886" s="41"/>
      <c r="U886" s="29" t="str">
        <f>IF($C886&lt;&gt;"",COUNTIF($C$2:C886,C886),"")</f>
        <v/>
      </c>
      <c r="V886" s="29" t="str">
        <f t="shared" si="58"/>
        <v/>
      </c>
      <c r="W886" s="29" t="str">
        <f>IF(U886=1,COUNTIF($U$2:U886,1),"")</f>
        <v/>
      </c>
      <c r="X886" s="29" t="str">
        <f t="shared" si="59"/>
        <v/>
      </c>
      <c r="Y886" s="29" t="str">
        <f>IF(AND(LEFT($B886,7)="SBA 26/",$D886&lt;&gt;"",$F886&lt;&gt;""),COUNTIFS($D$2:$D886,$D886,$B$2:$B886,"SBA 26/*",$F$2:$F886,"&lt;&gt;"),"")</f>
        <v/>
      </c>
      <c r="Z886" s="29" t="str">
        <f>IF(Y886=1,COUNTIF($Y$2:Y886,1),"")</f>
        <v/>
      </c>
      <c r="AA886" s="29" t="str">
        <f>IF(AND(LEFT($B886,7)="SBA 26/",$C886&lt;&gt;"",$F886&lt;&gt;""),COUNTIFS($C$2:$C886,$C886,$B$2:$B886,"SBA 26/*",$F$2:$F886,"&lt;&gt;"),"")</f>
        <v/>
      </c>
      <c r="AB886" s="29" t="str">
        <f>IF(AA886=1,COUNTIF($AA$2:AA886,1),"")</f>
        <v/>
      </c>
    </row>
    <row r="887" spans="6:28" ht="47.25" customHeight="1" x14ac:dyDescent="0.2">
      <c r="F887" s="45" t="s">
        <v>3564</v>
      </c>
      <c r="T887" s="41"/>
      <c r="U887" s="29" t="str">
        <f>IF($C887&lt;&gt;"",COUNTIF($C$2:C887,C887),"")</f>
        <v/>
      </c>
      <c r="V887" s="29" t="str">
        <f t="shared" si="58"/>
        <v/>
      </c>
      <c r="W887" s="29" t="str">
        <f>IF(U887=1,COUNTIF($U$2:U887,1),"")</f>
        <v/>
      </c>
      <c r="X887" s="29" t="str">
        <f t="shared" si="59"/>
        <v/>
      </c>
      <c r="Y887" s="29" t="str">
        <f>IF(AND(LEFT($B887,7)="SBA 26/",$D887&lt;&gt;"",$F887&lt;&gt;""),COUNTIFS($D$2:$D887,$D887,$B$2:$B887,"SBA 26/*",$F$2:$F887,"&lt;&gt;"),"")</f>
        <v/>
      </c>
      <c r="Z887" s="29" t="str">
        <f>IF(Y887=1,COUNTIF($Y$2:Y887,1),"")</f>
        <v/>
      </c>
      <c r="AA887" s="29" t="str">
        <f>IF(AND(LEFT($B887,7)="SBA 26/",$C887&lt;&gt;"",$F887&lt;&gt;""),COUNTIFS($C$2:$C887,$C887,$B$2:$B887,"SBA 26/*",$F$2:$F887,"&lt;&gt;"),"")</f>
        <v/>
      </c>
      <c r="AB887" s="29" t="str">
        <f>IF(AA887=1,COUNTIF($AA$2:AA887,1),"")</f>
        <v/>
      </c>
    </row>
    <row r="888" spans="6:28" ht="47.25" customHeight="1" x14ac:dyDescent="0.2">
      <c r="F888" s="45" t="s">
        <v>3565</v>
      </c>
      <c r="T888" s="41"/>
      <c r="U888" s="29" t="str">
        <f>IF($C888&lt;&gt;"",COUNTIF($C$2:C888,C888),"")</f>
        <v/>
      </c>
      <c r="V888" s="29" t="str">
        <f t="shared" si="58"/>
        <v/>
      </c>
      <c r="W888" s="29" t="str">
        <f>IF(U888=1,COUNTIF($U$2:U888,1),"")</f>
        <v/>
      </c>
      <c r="X888" s="29" t="str">
        <f t="shared" si="59"/>
        <v/>
      </c>
      <c r="Y888" s="29" t="str">
        <f>IF(AND(LEFT($B888,7)="SBA 26/",$D888&lt;&gt;"",$F888&lt;&gt;""),COUNTIFS($D$2:$D888,$D888,$B$2:$B888,"SBA 26/*",$F$2:$F888,"&lt;&gt;"),"")</f>
        <v/>
      </c>
      <c r="Z888" s="29" t="str">
        <f>IF(Y888=1,COUNTIF($Y$2:Y888,1),"")</f>
        <v/>
      </c>
      <c r="AA888" s="29" t="str">
        <f>IF(AND(LEFT($B888,7)="SBA 26/",$C888&lt;&gt;"",$F888&lt;&gt;""),COUNTIFS($C$2:$C888,$C888,$B$2:$B888,"SBA 26/*",$F$2:$F888,"&lt;&gt;"),"")</f>
        <v/>
      </c>
      <c r="AB888" s="29" t="str">
        <f>IF(AA888=1,COUNTIF($AA$2:AA888,1),"")</f>
        <v/>
      </c>
    </row>
    <row r="889" spans="6:28" ht="47.25" customHeight="1" x14ac:dyDescent="0.2">
      <c r="F889" s="45" t="s">
        <v>3566</v>
      </c>
      <c r="T889" s="41"/>
      <c r="U889" s="29" t="str">
        <f>IF($C889&lt;&gt;"",COUNTIF($C$2:C889,C889),"")</f>
        <v/>
      </c>
      <c r="V889" s="29" t="str">
        <f t="shared" si="58"/>
        <v/>
      </c>
      <c r="W889" s="29" t="str">
        <f>IF(U889=1,COUNTIF($U$2:U889,1),"")</f>
        <v/>
      </c>
      <c r="X889" s="29" t="str">
        <f t="shared" si="59"/>
        <v/>
      </c>
      <c r="Y889" s="29" t="str">
        <f>IF(AND(LEFT($B889,7)="SBA 26/",$D889&lt;&gt;"",$F889&lt;&gt;""),COUNTIFS($D$2:$D889,$D889,$B$2:$B889,"SBA 26/*",$F$2:$F889,"&lt;&gt;"),"")</f>
        <v/>
      </c>
      <c r="Z889" s="29" t="str">
        <f>IF(Y889=1,COUNTIF($Y$2:Y889,1),"")</f>
        <v/>
      </c>
      <c r="AA889" s="29" t="str">
        <f>IF(AND(LEFT($B889,7)="SBA 26/",$C889&lt;&gt;"",$F889&lt;&gt;""),COUNTIFS($C$2:$C889,$C889,$B$2:$B889,"SBA 26/*",$F$2:$F889,"&lt;&gt;"),"")</f>
        <v/>
      </c>
      <c r="AB889" s="29" t="str">
        <f>IF(AA889=1,COUNTIF($AA$2:AA889,1),"")</f>
        <v/>
      </c>
    </row>
    <row r="890" spans="6:28" ht="47.25" customHeight="1" x14ac:dyDescent="0.2">
      <c r="F890" s="45" t="s">
        <v>3567</v>
      </c>
      <c r="T890" s="41"/>
      <c r="U890" s="29" t="str">
        <f>IF($C890&lt;&gt;"",COUNTIF($C$2:C890,C890),"")</f>
        <v/>
      </c>
      <c r="V890" s="29" t="str">
        <f t="shared" si="58"/>
        <v/>
      </c>
      <c r="W890" s="29" t="str">
        <f>IF(U890=1,COUNTIF($U$2:U890,1),"")</f>
        <v/>
      </c>
      <c r="X890" s="29" t="str">
        <f t="shared" si="59"/>
        <v/>
      </c>
      <c r="Y890" s="29" t="str">
        <f>IF(AND(LEFT($B890,7)="SBA 26/",$D890&lt;&gt;"",$F890&lt;&gt;""),COUNTIFS($D$2:$D890,$D890,$B$2:$B890,"SBA 26/*",$F$2:$F890,"&lt;&gt;"),"")</f>
        <v/>
      </c>
      <c r="Z890" s="29" t="str">
        <f>IF(Y890=1,COUNTIF($Y$2:Y890,1),"")</f>
        <v/>
      </c>
      <c r="AA890" s="29" t="str">
        <f>IF(AND(LEFT($B890,7)="SBA 26/",$C890&lt;&gt;"",$F890&lt;&gt;""),COUNTIFS($C$2:$C890,$C890,$B$2:$B890,"SBA 26/*",$F$2:$F890,"&lt;&gt;"),"")</f>
        <v/>
      </c>
      <c r="AB890" s="29" t="str">
        <f>IF(AA890=1,COUNTIF($AA$2:AA890,1),"")</f>
        <v/>
      </c>
    </row>
    <row r="891" spans="6:28" ht="31.5" customHeight="1" x14ac:dyDescent="0.2">
      <c r="F891" s="45" t="s">
        <v>3568</v>
      </c>
      <c r="T891" s="41"/>
      <c r="U891" s="29" t="str">
        <f>IF($C891&lt;&gt;"",COUNTIF($C$2:C891,C891),"")</f>
        <v/>
      </c>
      <c r="V891" s="29" t="str">
        <f t="shared" si="58"/>
        <v/>
      </c>
      <c r="W891" s="29" t="str">
        <f>IF(U891=1,COUNTIF($U$2:U891,1),"")</f>
        <v/>
      </c>
      <c r="X891" s="29" t="str">
        <f t="shared" si="59"/>
        <v/>
      </c>
      <c r="Y891" s="29" t="str">
        <f>IF(AND(LEFT($B891,7)="SBA 26/",$D891&lt;&gt;"",$F891&lt;&gt;""),COUNTIFS($D$2:$D891,$D891,$B$2:$B891,"SBA 26/*",$F$2:$F891,"&lt;&gt;"),"")</f>
        <v/>
      </c>
      <c r="Z891" s="29" t="str">
        <f>IF(Y891=1,COUNTIF($Y$2:Y891,1),"")</f>
        <v/>
      </c>
      <c r="AA891" s="29" t="str">
        <f>IF(AND(LEFT($B891,7)="SBA 26/",$C891&lt;&gt;"",$F891&lt;&gt;""),COUNTIFS($C$2:$C891,$C891,$B$2:$B891,"SBA 26/*",$F$2:$F891,"&lt;&gt;"),"")</f>
        <v/>
      </c>
      <c r="AB891" s="29" t="str">
        <f>IF(AA891=1,COUNTIF($AA$2:AA891,1),"")</f>
        <v/>
      </c>
    </row>
    <row r="892" spans="6:28" ht="47.25" customHeight="1" x14ac:dyDescent="0.2">
      <c r="F892" s="45" t="s">
        <v>3569</v>
      </c>
      <c r="T892" s="41"/>
      <c r="U892" s="29" t="str">
        <f>IF($C892&lt;&gt;"",COUNTIF($C$2:C892,C892),"")</f>
        <v/>
      </c>
      <c r="V892" s="29" t="str">
        <f t="shared" si="58"/>
        <v/>
      </c>
      <c r="W892" s="29" t="str">
        <f>IF(U892=1,COUNTIF($U$2:U892,1),"")</f>
        <v/>
      </c>
      <c r="X892" s="29" t="str">
        <f t="shared" si="59"/>
        <v/>
      </c>
      <c r="Y892" s="29" t="str">
        <f>IF(AND(LEFT($B892,7)="SBA 26/",$D892&lt;&gt;"",$F892&lt;&gt;""),COUNTIFS($D$2:$D892,$D892,$B$2:$B892,"SBA 26/*",$F$2:$F892,"&lt;&gt;"),"")</f>
        <v/>
      </c>
      <c r="Z892" s="29" t="str">
        <f>IF(Y892=1,COUNTIF($Y$2:Y892,1),"")</f>
        <v/>
      </c>
      <c r="AA892" s="29" t="str">
        <f>IF(AND(LEFT($B892,7)="SBA 26/",$C892&lt;&gt;"",$F892&lt;&gt;""),COUNTIFS($C$2:$C892,$C892,$B$2:$B892,"SBA 26/*",$F$2:$F892,"&lt;&gt;"),"")</f>
        <v/>
      </c>
      <c r="AB892" s="29" t="str">
        <f>IF(AA892=1,COUNTIF($AA$2:AA892,1),"")</f>
        <v/>
      </c>
    </row>
    <row r="893" spans="6:28" ht="31.5" customHeight="1" x14ac:dyDescent="0.2">
      <c r="F893" s="45" t="s">
        <v>3570</v>
      </c>
      <c r="T893" s="41"/>
      <c r="U893" s="29" t="str">
        <f>IF($C893&lt;&gt;"",COUNTIF($C$2:C893,C893),"")</f>
        <v/>
      </c>
      <c r="V893" s="29" t="str">
        <f t="shared" si="58"/>
        <v/>
      </c>
      <c r="W893" s="29" t="str">
        <f>IF(U893=1,COUNTIF($U$2:U893,1),"")</f>
        <v/>
      </c>
      <c r="X893" s="29" t="str">
        <f t="shared" si="59"/>
        <v/>
      </c>
      <c r="Y893" s="29" t="str">
        <f>IF(AND(LEFT($B893,7)="SBA 26/",$D893&lt;&gt;"",$F893&lt;&gt;""),COUNTIFS($D$2:$D893,$D893,$B$2:$B893,"SBA 26/*",$F$2:$F893,"&lt;&gt;"),"")</f>
        <v/>
      </c>
      <c r="Z893" s="29" t="str">
        <f>IF(Y893=1,COUNTIF($Y$2:Y893,1),"")</f>
        <v/>
      </c>
      <c r="AA893" s="29" t="str">
        <f>IF(AND(LEFT($B893,7)="SBA 26/",$C893&lt;&gt;"",$F893&lt;&gt;""),COUNTIFS($C$2:$C893,$C893,$B$2:$B893,"SBA 26/*",$F$2:$F893,"&lt;&gt;"),"")</f>
        <v/>
      </c>
      <c r="AB893" s="29" t="str">
        <f>IF(AA893=1,COUNTIF($AA$2:AA893,1),"")</f>
        <v/>
      </c>
    </row>
    <row r="894" spans="6:28" ht="110.25" customHeight="1" x14ac:dyDescent="0.2">
      <c r="F894" s="45" t="s">
        <v>3571</v>
      </c>
      <c r="T894" s="41"/>
      <c r="U894" s="29" t="str">
        <f>IF($C894&lt;&gt;"",COUNTIF($C$2:C894,C894),"")</f>
        <v/>
      </c>
      <c r="V894" s="29" t="str">
        <f t="shared" si="58"/>
        <v/>
      </c>
      <c r="W894" s="29" t="str">
        <f>IF(U894=1,COUNTIF($U$2:U894,1),"")</f>
        <v/>
      </c>
      <c r="X894" s="29" t="str">
        <f t="shared" si="59"/>
        <v/>
      </c>
      <c r="Y894" s="29" t="str">
        <f>IF(AND(LEFT($B894,7)="SBA 26/",$D894&lt;&gt;"",$F894&lt;&gt;""),COUNTIFS($D$2:$D894,$D894,$B$2:$B894,"SBA 26/*",$F$2:$F894,"&lt;&gt;"),"")</f>
        <v/>
      </c>
      <c r="Z894" s="29" t="str">
        <f>IF(Y894=1,COUNTIF($Y$2:Y894,1),"")</f>
        <v/>
      </c>
      <c r="AA894" s="29" t="str">
        <f>IF(AND(LEFT($B894,7)="SBA 26/",$C894&lt;&gt;"",$F894&lt;&gt;""),COUNTIFS($C$2:$C894,$C894,$B$2:$B894,"SBA 26/*",$F$2:$F894,"&lt;&gt;"),"")</f>
        <v/>
      </c>
      <c r="AB894" s="29" t="str">
        <f>IF(AA894=1,COUNTIF($AA$2:AA894,1),"")</f>
        <v/>
      </c>
    </row>
    <row r="895" spans="6:28" ht="31.5" customHeight="1" x14ac:dyDescent="0.2">
      <c r="F895" s="45" t="s">
        <v>3572</v>
      </c>
      <c r="T895" s="41"/>
      <c r="U895" s="29" t="str">
        <f>IF($C895&lt;&gt;"",COUNTIF($C$2:C895,C895),"")</f>
        <v/>
      </c>
      <c r="V895" s="29" t="str">
        <f t="shared" si="58"/>
        <v/>
      </c>
      <c r="W895" s="29" t="str">
        <f>IF(U895=1,COUNTIF($U$2:U895,1),"")</f>
        <v/>
      </c>
      <c r="X895" s="29" t="str">
        <f t="shared" si="59"/>
        <v/>
      </c>
      <c r="Y895" s="29" t="str">
        <f>IF(AND(LEFT($B895,7)="SBA 26/",$D895&lt;&gt;"",$F895&lt;&gt;""),COUNTIFS($D$2:$D895,$D895,$B$2:$B895,"SBA 26/*",$F$2:$F895,"&lt;&gt;"),"")</f>
        <v/>
      </c>
      <c r="Z895" s="29" t="str">
        <f>IF(Y895=1,COUNTIF($Y$2:Y895,1),"")</f>
        <v/>
      </c>
      <c r="AA895" s="29" t="str">
        <f>IF(AND(LEFT($B895,7)="SBA 26/",$C895&lt;&gt;"",$F895&lt;&gt;""),COUNTIFS($C$2:$C895,$C895,$B$2:$B895,"SBA 26/*",$F$2:$F895,"&lt;&gt;"),"")</f>
        <v/>
      </c>
      <c r="AB895" s="29" t="str">
        <f>IF(AA895=1,COUNTIF($AA$2:AA895,1),"")</f>
        <v/>
      </c>
    </row>
    <row r="896" spans="6:28" ht="47.25" customHeight="1" x14ac:dyDescent="0.2">
      <c r="F896" s="45" t="s">
        <v>3573</v>
      </c>
      <c r="T896" s="41"/>
      <c r="U896" s="29" t="str">
        <f>IF($C896&lt;&gt;"",COUNTIF($C$2:C896,C896),"")</f>
        <v/>
      </c>
      <c r="V896" s="29" t="str">
        <f t="shared" si="58"/>
        <v/>
      </c>
      <c r="W896" s="29" t="str">
        <f>IF(U896=1,COUNTIF($U$2:U896,1),"")</f>
        <v/>
      </c>
      <c r="X896" s="29" t="str">
        <f t="shared" si="59"/>
        <v/>
      </c>
      <c r="Y896" s="29" t="str">
        <f>IF(AND(LEFT($B896,7)="SBA 26/",$D896&lt;&gt;"",$F896&lt;&gt;""),COUNTIFS($D$2:$D896,$D896,$B$2:$B896,"SBA 26/*",$F$2:$F896,"&lt;&gt;"),"")</f>
        <v/>
      </c>
      <c r="Z896" s="29" t="str">
        <f>IF(Y896=1,COUNTIF($Y$2:Y896,1),"")</f>
        <v/>
      </c>
      <c r="AA896" s="29" t="str">
        <f>IF(AND(LEFT($B896,7)="SBA 26/",$C896&lt;&gt;"",$F896&lt;&gt;""),COUNTIFS($C$2:$C896,$C896,$B$2:$B896,"SBA 26/*",$F$2:$F896,"&lt;&gt;"),"")</f>
        <v/>
      </c>
      <c r="AB896" s="29" t="str">
        <f>IF(AA896=1,COUNTIF($AA$2:AA896,1),"")</f>
        <v/>
      </c>
    </row>
    <row r="897" spans="6:28" ht="31.5" customHeight="1" x14ac:dyDescent="0.2">
      <c r="F897" s="45" t="s">
        <v>3574</v>
      </c>
      <c r="T897" s="41"/>
      <c r="U897" s="29" t="str">
        <f>IF($C897&lt;&gt;"",COUNTIF($C$2:C897,C897),"")</f>
        <v/>
      </c>
      <c r="V897" s="29" t="str">
        <f t="shared" si="58"/>
        <v/>
      </c>
      <c r="W897" s="29" t="str">
        <f>IF(U897=1,COUNTIF($U$2:U897,1),"")</f>
        <v/>
      </c>
      <c r="X897" s="29" t="str">
        <f t="shared" si="59"/>
        <v/>
      </c>
      <c r="Y897" s="29" t="str">
        <f>IF(AND(LEFT($B897,7)="SBA 26/",$D897&lt;&gt;"",$F897&lt;&gt;""),COUNTIFS($D$2:$D897,$D897,$B$2:$B897,"SBA 26/*",$F$2:$F897,"&lt;&gt;"),"")</f>
        <v/>
      </c>
      <c r="Z897" s="29" t="str">
        <f>IF(Y897=1,COUNTIF($Y$2:Y897,1),"")</f>
        <v/>
      </c>
      <c r="AA897" s="29" t="str">
        <f>IF(AND(LEFT($B897,7)="SBA 26/",$C897&lt;&gt;"",$F897&lt;&gt;""),COUNTIFS($C$2:$C897,$C897,$B$2:$B897,"SBA 26/*",$F$2:$F897,"&lt;&gt;"),"")</f>
        <v/>
      </c>
      <c r="AB897" s="29" t="str">
        <f>IF(AA897=1,COUNTIF($AA$2:AA897,1),"")</f>
        <v/>
      </c>
    </row>
    <row r="898" spans="6:28" ht="47.25" customHeight="1" x14ac:dyDescent="0.2">
      <c r="F898" s="45" t="s">
        <v>3575</v>
      </c>
      <c r="T898" s="41"/>
      <c r="U898" s="29" t="str">
        <f>IF($C898&lt;&gt;"",COUNTIF($C$2:C898,C898),"")</f>
        <v/>
      </c>
      <c r="V898" s="29" t="str">
        <f t="shared" ref="V898:V961" si="60">IF($C898&lt;&gt;"",C898&amp;"§"&amp;U898,"")</f>
        <v/>
      </c>
      <c r="W898" s="29" t="str">
        <f>IF(U898=1,COUNTIF($U$2:U898,1),"")</f>
        <v/>
      </c>
      <c r="X898" s="29" t="str">
        <f t="shared" si="59"/>
        <v/>
      </c>
      <c r="Y898" s="29" t="str">
        <f>IF(AND(LEFT($B898,7)="SBA 26/",$D898&lt;&gt;"",$F898&lt;&gt;""),COUNTIFS($D$2:$D898,$D898,$B$2:$B898,"SBA 26/*",$F$2:$F898,"&lt;&gt;"),"")</f>
        <v/>
      </c>
      <c r="Z898" s="29" t="str">
        <f>IF(Y898=1,COUNTIF($Y$2:Y898,1),"")</f>
        <v/>
      </c>
      <c r="AA898" s="29" t="str">
        <f>IF(AND(LEFT($B898,7)="SBA 26/",$C898&lt;&gt;"",$F898&lt;&gt;""),COUNTIFS($C$2:$C898,$C898,$B$2:$B898,"SBA 26/*",$F$2:$F898,"&lt;&gt;"),"")</f>
        <v/>
      </c>
      <c r="AB898" s="29" t="str">
        <f>IF(AA898=1,COUNTIF($AA$2:AA898,1),"")</f>
        <v/>
      </c>
    </row>
    <row r="899" spans="6:28" ht="63" customHeight="1" x14ac:dyDescent="0.2">
      <c r="F899" s="45" t="s">
        <v>3576</v>
      </c>
      <c r="T899" s="41"/>
      <c r="U899" s="29" t="str">
        <f>IF($C899&lt;&gt;"",COUNTIF($C$2:C899,C899),"")</f>
        <v/>
      </c>
      <c r="V899" s="29" t="str">
        <f t="shared" si="60"/>
        <v/>
      </c>
      <c r="W899" s="29" t="str">
        <f>IF(U899=1,COUNTIF($U$2:U899,1),"")</f>
        <v/>
      </c>
      <c r="X899" s="29" t="str">
        <f t="shared" si="59"/>
        <v/>
      </c>
      <c r="Y899" s="29" t="str">
        <f>IF(AND(LEFT($B899,7)="SBA 26/",$D899&lt;&gt;"",$F899&lt;&gt;""),COUNTIFS($D$2:$D899,$D899,$B$2:$B899,"SBA 26/*",$F$2:$F899,"&lt;&gt;"),"")</f>
        <v/>
      </c>
      <c r="Z899" s="29" t="str">
        <f>IF(Y899=1,COUNTIF($Y$2:Y899,1),"")</f>
        <v/>
      </c>
      <c r="AA899" s="29" t="str">
        <f>IF(AND(LEFT($B899,7)="SBA 26/",$C899&lt;&gt;"",$F899&lt;&gt;""),COUNTIFS($C$2:$C899,$C899,$B$2:$B899,"SBA 26/*",$F$2:$F899,"&lt;&gt;"),"")</f>
        <v/>
      </c>
      <c r="AB899" s="29" t="str">
        <f>IF(AA899=1,COUNTIF($AA$2:AA899,1),"")</f>
        <v/>
      </c>
    </row>
    <row r="900" spans="6:28" ht="63" customHeight="1" x14ac:dyDescent="0.2">
      <c r="F900" s="45" t="s">
        <v>3577</v>
      </c>
      <c r="T900" s="41"/>
      <c r="U900" s="29" t="str">
        <f>IF($C900&lt;&gt;"",COUNTIF($C$2:C900,C900),"")</f>
        <v/>
      </c>
      <c r="V900" s="29" t="str">
        <f t="shared" si="60"/>
        <v/>
      </c>
      <c r="W900" s="29" t="str">
        <f>IF(U900=1,COUNTIF($U$2:U900,1),"")</f>
        <v/>
      </c>
      <c r="X900" s="29" t="str">
        <f t="shared" si="59"/>
        <v/>
      </c>
      <c r="Y900" s="29" t="str">
        <f>IF(AND(LEFT($B900,7)="SBA 26/",$D900&lt;&gt;"",$F900&lt;&gt;""),COUNTIFS($D$2:$D900,$D900,$B$2:$B900,"SBA 26/*",$F$2:$F900,"&lt;&gt;"),"")</f>
        <v/>
      </c>
      <c r="Z900" s="29" t="str">
        <f>IF(Y900=1,COUNTIF($Y$2:Y900,1),"")</f>
        <v/>
      </c>
      <c r="AA900" s="29" t="str">
        <f>IF(AND(LEFT($B900,7)="SBA 26/",$C900&lt;&gt;"",$F900&lt;&gt;""),COUNTIFS($C$2:$C900,$C900,$B$2:$B900,"SBA 26/*",$F$2:$F900,"&lt;&gt;"),"")</f>
        <v/>
      </c>
      <c r="AB900" s="29" t="str">
        <f>IF(AA900=1,COUNTIF($AA$2:AA900,1),"")</f>
        <v/>
      </c>
    </row>
    <row r="901" spans="6:28" ht="31.5" customHeight="1" x14ac:dyDescent="0.2">
      <c r="F901" s="45" t="s">
        <v>3578</v>
      </c>
      <c r="T901" s="41"/>
      <c r="U901" s="29" t="str">
        <f>IF($C901&lt;&gt;"",COUNTIF($C$2:C901,C901),"")</f>
        <v/>
      </c>
      <c r="V901" s="29" t="str">
        <f t="shared" si="60"/>
        <v/>
      </c>
      <c r="W901" s="29" t="str">
        <f>IF(U901=1,COUNTIF($U$2:U901,1),"")</f>
        <v/>
      </c>
      <c r="X901" s="29" t="str">
        <f t="shared" si="59"/>
        <v/>
      </c>
      <c r="Y901" s="29" t="str">
        <f>IF(AND(LEFT($B901,7)="SBA 26/",$D901&lt;&gt;"",$F901&lt;&gt;""),COUNTIFS($D$2:$D901,$D901,$B$2:$B901,"SBA 26/*",$F$2:$F901,"&lt;&gt;"),"")</f>
        <v/>
      </c>
      <c r="Z901" s="29" t="str">
        <f>IF(Y901=1,COUNTIF($Y$2:Y901,1),"")</f>
        <v/>
      </c>
      <c r="AA901" s="29" t="str">
        <f>IF(AND(LEFT($B901,7)="SBA 26/",$C901&lt;&gt;"",$F901&lt;&gt;""),COUNTIFS($C$2:$C901,$C901,$B$2:$B901,"SBA 26/*",$F$2:$F901,"&lt;&gt;"),"")</f>
        <v/>
      </c>
      <c r="AB901" s="29" t="str">
        <f>IF(AA901=1,COUNTIF($AA$2:AA901,1),"")</f>
        <v/>
      </c>
    </row>
    <row r="902" spans="6:28" ht="47.25" customHeight="1" x14ac:dyDescent="0.2">
      <c r="F902" s="45" t="s">
        <v>3579</v>
      </c>
      <c r="T902" s="41"/>
      <c r="U902" s="29" t="str">
        <f>IF($C902&lt;&gt;"",COUNTIF($C$2:C902,C902),"")</f>
        <v/>
      </c>
      <c r="V902" s="29" t="str">
        <f t="shared" si="60"/>
        <v/>
      </c>
      <c r="W902" s="29" t="str">
        <f>IF(U902=1,COUNTIF($U$2:U902,1),"")</f>
        <v/>
      </c>
      <c r="X902" s="29" t="str">
        <f t="shared" si="59"/>
        <v/>
      </c>
      <c r="Y902" s="29" t="str">
        <f>IF(AND(LEFT($B902,7)="SBA 26/",$D902&lt;&gt;"",$F902&lt;&gt;""),COUNTIFS($D$2:$D902,$D902,$B$2:$B902,"SBA 26/*",$F$2:$F902,"&lt;&gt;"),"")</f>
        <v/>
      </c>
      <c r="Z902" s="29" t="str">
        <f>IF(Y902=1,COUNTIF($Y$2:Y902,1),"")</f>
        <v/>
      </c>
      <c r="AA902" s="29" t="str">
        <f>IF(AND(LEFT($B902,7)="SBA 26/",$C902&lt;&gt;"",$F902&lt;&gt;""),COUNTIFS($C$2:$C902,$C902,$B$2:$B902,"SBA 26/*",$F$2:$F902,"&lt;&gt;"),"")</f>
        <v/>
      </c>
      <c r="AB902" s="29" t="str">
        <f>IF(AA902=1,COUNTIF($AA$2:AA902,1),"")</f>
        <v/>
      </c>
    </row>
    <row r="903" spans="6:28" ht="47.25" customHeight="1" x14ac:dyDescent="0.2">
      <c r="F903" s="45" t="s">
        <v>3580</v>
      </c>
      <c r="T903" s="41"/>
      <c r="U903" s="29" t="str">
        <f>IF($C903&lt;&gt;"",COUNTIF($C$2:C903,C903),"")</f>
        <v/>
      </c>
      <c r="V903" s="29" t="str">
        <f t="shared" si="60"/>
        <v/>
      </c>
      <c r="W903" s="29" t="str">
        <f>IF(U903=1,COUNTIF($U$2:U903,1),"")</f>
        <v/>
      </c>
      <c r="X903" s="29" t="str">
        <f t="shared" si="59"/>
        <v/>
      </c>
      <c r="Y903" s="29" t="str">
        <f>IF(AND(LEFT($B903,7)="SBA 26/",$D903&lt;&gt;"",$F903&lt;&gt;""),COUNTIFS($D$2:$D903,$D903,$B$2:$B903,"SBA 26/*",$F$2:$F903,"&lt;&gt;"),"")</f>
        <v/>
      </c>
      <c r="Z903" s="29" t="str">
        <f>IF(Y903=1,COUNTIF($Y$2:Y903,1),"")</f>
        <v/>
      </c>
      <c r="AA903" s="29" t="str">
        <f>IF(AND(LEFT($B903,7)="SBA 26/",$C903&lt;&gt;"",$F903&lt;&gt;""),COUNTIFS($C$2:$C903,$C903,$B$2:$B903,"SBA 26/*",$F$2:$F903,"&lt;&gt;"),"")</f>
        <v/>
      </c>
      <c r="AB903" s="29" t="str">
        <f>IF(AA903=1,COUNTIF($AA$2:AA903,1),"")</f>
        <v/>
      </c>
    </row>
    <row r="904" spans="6:28" ht="47.25" customHeight="1" x14ac:dyDescent="0.2">
      <c r="F904" s="45" t="s">
        <v>3581</v>
      </c>
      <c r="T904" s="41"/>
      <c r="U904" s="29" t="str">
        <f>IF($C904&lt;&gt;"",COUNTIF($C$2:C904,C904),"")</f>
        <v/>
      </c>
      <c r="V904" s="29" t="str">
        <f t="shared" si="60"/>
        <v/>
      </c>
      <c r="W904" s="29" t="str">
        <f>IF(U904=1,COUNTIF($U$2:U904,1),"")</f>
        <v/>
      </c>
      <c r="X904" s="29" t="str">
        <f t="shared" si="59"/>
        <v/>
      </c>
      <c r="Y904" s="29" t="str">
        <f>IF(AND(LEFT($B904,7)="SBA 26/",$D904&lt;&gt;"",$F904&lt;&gt;""),COUNTIFS($D$2:$D904,$D904,$B$2:$B904,"SBA 26/*",$F$2:$F904,"&lt;&gt;"),"")</f>
        <v/>
      </c>
      <c r="Z904" s="29" t="str">
        <f>IF(Y904=1,COUNTIF($Y$2:Y904,1),"")</f>
        <v/>
      </c>
      <c r="AA904" s="29" t="str">
        <f>IF(AND(LEFT($B904,7)="SBA 26/",$C904&lt;&gt;"",$F904&lt;&gt;""),COUNTIFS($C$2:$C904,$C904,$B$2:$B904,"SBA 26/*",$F$2:$F904,"&lt;&gt;"),"")</f>
        <v/>
      </c>
      <c r="AB904" s="29" t="str">
        <f>IF(AA904=1,COUNTIF($AA$2:AA904,1),"")</f>
        <v/>
      </c>
    </row>
    <row r="905" spans="6:28" ht="47.25" customHeight="1" x14ac:dyDescent="0.2">
      <c r="F905" s="45" t="s">
        <v>3582</v>
      </c>
      <c r="T905" s="41"/>
      <c r="U905" s="29" t="str">
        <f>IF($C905&lt;&gt;"",COUNTIF($C$2:C905,C905),"")</f>
        <v/>
      </c>
      <c r="V905" s="29" t="str">
        <f t="shared" si="60"/>
        <v/>
      </c>
      <c r="W905" s="29" t="str">
        <f>IF(U905=1,COUNTIF($U$2:U905,1),"")</f>
        <v/>
      </c>
      <c r="X905" s="29" t="str">
        <f t="shared" si="59"/>
        <v/>
      </c>
      <c r="Y905" s="29" t="str">
        <f>IF(AND(LEFT($B905,7)="SBA 26/",$D905&lt;&gt;"",$F905&lt;&gt;""),COUNTIFS($D$2:$D905,$D905,$B$2:$B905,"SBA 26/*",$F$2:$F905,"&lt;&gt;"),"")</f>
        <v/>
      </c>
      <c r="Z905" s="29" t="str">
        <f>IF(Y905=1,COUNTIF($Y$2:Y905,1),"")</f>
        <v/>
      </c>
      <c r="AA905" s="29" t="str">
        <f>IF(AND(LEFT($B905,7)="SBA 26/",$C905&lt;&gt;"",$F905&lt;&gt;""),COUNTIFS($C$2:$C905,$C905,$B$2:$B905,"SBA 26/*",$F$2:$F905,"&lt;&gt;"),"")</f>
        <v/>
      </c>
      <c r="AB905" s="29" t="str">
        <f>IF(AA905=1,COUNTIF($AA$2:AA905,1),"")</f>
        <v/>
      </c>
    </row>
    <row r="906" spans="6:28" ht="47.25" customHeight="1" x14ac:dyDescent="0.2">
      <c r="F906" s="45" t="s">
        <v>3583</v>
      </c>
      <c r="T906" s="41"/>
      <c r="U906" s="29" t="str">
        <f>IF($C906&lt;&gt;"",COUNTIF($C$2:C906,C906),"")</f>
        <v/>
      </c>
      <c r="V906" s="29" t="str">
        <f t="shared" si="60"/>
        <v/>
      </c>
      <c r="W906" s="29" t="str">
        <f>IF(U906=1,COUNTIF($U$2:U906,1),"")</f>
        <v/>
      </c>
      <c r="X906" s="29" t="str">
        <f t="shared" si="59"/>
        <v/>
      </c>
      <c r="Y906" s="29" t="str">
        <f>IF(AND(LEFT($B906,7)="SBA 26/",$D906&lt;&gt;"",$F906&lt;&gt;""),COUNTIFS($D$2:$D906,$D906,$B$2:$B906,"SBA 26/*",$F$2:$F906,"&lt;&gt;"),"")</f>
        <v/>
      </c>
      <c r="Z906" s="29" t="str">
        <f>IF(Y906=1,COUNTIF($Y$2:Y906,1),"")</f>
        <v/>
      </c>
      <c r="AA906" s="29" t="str">
        <f>IF(AND(LEFT($B906,7)="SBA 26/",$C906&lt;&gt;"",$F906&lt;&gt;""),COUNTIFS($C$2:$C906,$C906,$B$2:$B906,"SBA 26/*",$F$2:$F906,"&lt;&gt;"),"")</f>
        <v/>
      </c>
      <c r="AB906" s="29" t="str">
        <f>IF(AA906=1,COUNTIF($AA$2:AA906,1),"")</f>
        <v/>
      </c>
    </row>
    <row r="907" spans="6:28" ht="47.25" customHeight="1" x14ac:dyDescent="0.2">
      <c r="F907" s="45" t="s">
        <v>3584</v>
      </c>
      <c r="T907" s="41"/>
      <c r="U907" s="29" t="str">
        <f>IF($C907&lt;&gt;"",COUNTIF($C$2:C907,C907),"")</f>
        <v/>
      </c>
      <c r="V907" s="29" t="str">
        <f t="shared" si="60"/>
        <v/>
      </c>
      <c r="W907" s="29" t="str">
        <f>IF(U907=1,COUNTIF($U$2:U907,1),"")</f>
        <v/>
      </c>
      <c r="X907" s="29" t="str">
        <f t="shared" si="59"/>
        <v/>
      </c>
      <c r="Y907" s="29" t="str">
        <f>IF(AND(LEFT($B907,7)="SBA 26/",$D907&lt;&gt;"",$F907&lt;&gt;""),COUNTIFS($D$2:$D907,$D907,$B$2:$B907,"SBA 26/*",$F$2:$F907,"&lt;&gt;"),"")</f>
        <v/>
      </c>
      <c r="Z907" s="29" t="str">
        <f>IF(Y907=1,COUNTIF($Y$2:Y907,1),"")</f>
        <v/>
      </c>
      <c r="AA907" s="29" t="str">
        <f>IF(AND(LEFT($B907,7)="SBA 26/",$C907&lt;&gt;"",$F907&lt;&gt;""),COUNTIFS($C$2:$C907,$C907,$B$2:$B907,"SBA 26/*",$F$2:$F907,"&lt;&gt;"),"")</f>
        <v/>
      </c>
      <c r="AB907" s="29" t="str">
        <f>IF(AA907=1,COUNTIF($AA$2:AA907,1),"")</f>
        <v/>
      </c>
    </row>
    <row r="908" spans="6:28" ht="63" customHeight="1" x14ac:dyDescent="0.2">
      <c r="F908" s="45" t="s">
        <v>3585</v>
      </c>
      <c r="T908" s="41"/>
      <c r="U908" s="29" t="str">
        <f>IF($C908&lt;&gt;"",COUNTIF($C$2:C908,C908),"")</f>
        <v/>
      </c>
      <c r="V908" s="29" t="str">
        <f t="shared" si="60"/>
        <v/>
      </c>
      <c r="W908" s="29" t="str">
        <f>IF(U908=1,COUNTIF($U$2:U908,1),"")</f>
        <v/>
      </c>
      <c r="X908" s="29" t="str">
        <f t="shared" si="59"/>
        <v/>
      </c>
      <c r="Y908" s="29" t="str">
        <f>IF(AND(LEFT($B908,7)="SBA 26/",$D908&lt;&gt;"",$F908&lt;&gt;""),COUNTIFS($D$2:$D908,$D908,$B$2:$B908,"SBA 26/*",$F$2:$F908,"&lt;&gt;"),"")</f>
        <v/>
      </c>
      <c r="Z908" s="29" t="str">
        <f>IF(Y908=1,COUNTIF($Y$2:Y908,1),"")</f>
        <v/>
      </c>
      <c r="AA908" s="29" t="str">
        <f>IF(AND(LEFT($B908,7)="SBA 26/",$C908&lt;&gt;"",$F908&lt;&gt;""),COUNTIFS($C$2:$C908,$C908,$B$2:$B908,"SBA 26/*",$F$2:$F908,"&lt;&gt;"),"")</f>
        <v/>
      </c>
      <c r="AB908" s="29" t="str">
        <f>IF(AA908=1,COUNTIF($AA$2:AA908,1),"")</f>
        <v/>
      </c>
    </row>
    <row r="909" spans="6:28" ht="63" customHeight="1" x14ac:dyDescent="0.2">
      <c r="F909" s="45" t="s">
        <v>3586</v>
      </c>
      <c r="T909" s="41"/>
      <c r="U909" s="29" t="str">
        <f>IF($C909&lt;&gt;"",COUNTIF($C$2:C909,C909),"")</f>
        <v/>
      </c>
      <c r="V909" s="29" t="str">
        <f t="shared" si="60"/>
        <v/>
      </c>
      <c r="W909" s="29" t="str">
        <f>IF(U909=1,COUNTIF($U$2:U909,1),"")</f>
        <v/>
      </c>
      <c r="X909" s="29" t="str">
        <f t="shared" si="59"/>
        <v/>
      </c>
      <c r="Y909" s="29" t="str">
        <f>IF(AND(LEFT($B909,7)="SBA 26/",$D909&lt;&gt;"",$F909&lt;&gt;""),COUNTIFS($D$2:$D909,$D909,$B$2:$B909,"SBA 26/*",$F$2:$F909,"&lt;&gt;"),"")</f>
        <v/>
      </c>
      <c r="Z909" s="29" t="str">
        <f>IF(Y909=1,COUNTIF($Y$2:Y909,1),"")</f>
        <v/>
      </c>
      <c r="AA909" s="29" t="str">
        <f>IF(AND(LEFT($B909,7)="SBA 26/",$C909&lt;&gt;"",$F909&lt;&gt;""),COUNTIFS($C$2:$C909,$C909,$B$2:$B909,"SBA 26/*",$F$2:$F909,"&lt;&gt;"),"")</f>
        <v/>
      </c>
      <c r="AB909" s="29" t="str">
        <f>IF(AA909=1,COUNTIF($AA$2:AA909,1),"")</f>
        <v/>
      </c>
    </row>
    <row r="910" spans="6:28" ht="78.75" customHeight="1" x14ac:dyDescent="0.2">
      <c r="F910" s="45" t="s">
        <v>3587</v>
      </c>
      <c r="T910" s="41"/>
      <c r="U910" s="29" t="str">
        <f>IF($C910&lt;&gt;"",COUNTIF($C$2:C910,C910),"")</f>
        <v/>
      </c>
      <c r="V910" s="29" t="str">
        <f t="shared" si="60"/>
        <v/>
      </c>
      <c r="W910" s="29" t="str">
        <f>IF(U910=1,COUNTIF($U$2:U910,1),"")</f>
        <v/>
      </c>
      <c r="X910" s="29" t="str">
        <f t="shared" si="59"/>
        <v/>
      </c>
      <c r="Y910" s="29" t="str">
        <f>IF(AND(LEFT($B910,7)="SBA 26/",$D910&lt;&gt;"",$F910&lt;&gt;""),COUNTIFS($D$2:$D910,$D910,$B$2:$B910,"SBA 26/*",$F$2:$F910,"&lt;&gt;"),"")</f>
        <v/>
      </c>
      <c r="Z910" s="29" t="str">
        <f>IF(Y910=1,COUNTIF($Y$2:Y910,1),"")</f>
        <v/>
      </c>
      <c r="AA910" s="29" t="str">
        <f>IF(AND(LEFT($B910,7)="SBA 26/",$C910&lt;&gt;"",$F910&lt;&gt;""),COUNTIFS($C$2:$C910,$C910,$B$2:$B910,"SBA 26/*",$F$2:$F910,"&lt;&gt;"),"")</f>
        <v/>
      </c>
      <c r="AB910" s="29" t="str">
        <f>IF(AA910=1,COUNTIF($AA$2:AA910,1),"")</f>
        <v/>
      </c>
    </row>
    <row r="911" spans="6:28" ht="47.25" customHeight="1" x14ac:dyDescent="0.2">
      <c r="F911" s="45" t="s">
        <v>3588</v>
      </c>
      <c r="T911" s="41"/>
      <c r="U911" s="29" t="str">
        <f>IF($C911&lt;&gt;"",COUNTIF($C$2:C911,C911),"")</f>
        <v/>
      </c>
      <c r="V911" s="29" t="str">
        <f t="shared" si="60"/>
        <v/>
      </c>
      <c r="W911" s="29" t="str">
        <f>IF(U911=1,COUNTIF($U$2:U911,1),"")</f>
        <v/>
      </c>
      <c r="X911" s="29" t="str">
        <f t="shared" si="59"/>
        <v/>
      </c>
      <c r="Y911" s="29" t="str">
        <f>IF(AND(LEFT($B911,7)="SBA 26/",$D911&lt;&gt;"",$F911&lt;&gt;""),COUNTIFS($D$2:$D911,$D911,$B$2:$B911,"SBA 26/*",$F$2:$F911,"&lt;&gt;"),"")</f>
        <v/>
      </c>
      <c r="Z911" s="29" t="str">
        <f>IF(Y911=1,COUNTIF($Y$2:Y911,1),"")</f>
        <v/>
      </c>
      <c r="AA911" s="29" t="str">
        <f>IF(AND(LEFT($B911,7)="SBA 26/",$C911&lt;&gt;"",$F911&lt;&gt;""),COUNTIFS($C$2:$C911,$C911,$B$2:$B911,"SBA 26/*",$F$2:$F911,"&lt;&gt;"),"")</f>
        <v/>
      </c>
      <c r="AB911" s="29" t="str">
        <f>IF(AA911=1,COUNTIF($AA$2:AA911,1),"")</f>
        <v/>
      </c>
    </row>
    <row r="912" spans="6:28" ht="31.5" customHeight="1" x14ac:dyDescent="0.2">
      <c r="F912" s="45" t="s">
        <v>3589</v>
      </c>
      <c r="T912" s="41"/>
      <c r="U912" s="29" t="str">
        <f>IF($C912&lt;&gt;"",COUNTIF($C$2:C912,C912),"")</f>
        <v/>
      </c>
      <c r="V912" s="29" t="str">
        <f t="shared" si="60"/>
        <v/>
      </c>
      <c r="W912" s="29" t="str">
        <f>IF(U912=1,COUNTIF($U$2:U912,1),"")</f>
        <v/>
      </c>
      <c r="X912" s="29" t="str">
        <f t="shared" si="59"/>
        <v/>
      </c>
      <c r="Y912" s="29" t="str">
        <f>IF(AND(LEFT($B912,7)="SBA 26/",$D912&lt;&gt;"",$F912&lt;&gt;""),COUNTIFS($D$2:$D912,$D912,$B$2:$B912,"SBA 26/*",$F$2:$F912,"&lt;&gt;"),"")</f>
        <v/>
      </c>
      <c r="Z912" s="29" t="str">
        <f>IF(Y912=1,COUNTIF($Y$2:Y912,1),"")</f>
        <v/>
      </c>
      <c r="AA912" s="29" t="str">
        <f>IF(AND(LEFT($B912,7)="SBA 26/",$C912&lt;&gt;"",$F912&lt;&gt;""),COUNTIFS($C$2:$C912,$C912,$B$2:$B912,"SBA 26/*",$F$2:$F912,"&lt;&gt;"),"")</f>
        <v/>
      </c>
      <c r="AB912" s="29" t="str">
        <f>IF(AA912=1,COUNTIF($AA$2:AA912,1),"")</f>
        <v/>
      </c>
    </row>
    <row r="913" spans="6:28" ht="31.5" customHeight="1" x14ac:dyDescent="0.2">
      <c r="F913" s="45" t="s">
        <v>3590</v>
      </c>
      <c r="T913" s="41"/>
      <c r="U913" s="29" t="str">
        <f>IF($C913&lt;&gt;"",COUNTIF($C$2:C913,C913),"")</f>
        <v/>
      </c>
      <c r="V913" s="29" t="str">
        <f t="shared" si="60"/>
        <v/>
      </c>
      <c r="W913" s="29" t="str">
        <f>IF(U913=1,COUNTIF($U$2:U913,1),"")</f>
        <v/>
      </c>
      <c r="X913" s="29" t="str">
        <f t="shared" si="59"/>
        <v/>
      </c>
      <c r="Y913" s="29" t="str">
        <f>IF(AND(LEFT($B913,7)="SBA 26/",$D913&lt;&gt;"",$F913&lt;&gt;""),COUNTIFS($D$2:$D913,$D913,$B$2:$B913,"SBA 26/*",$F$2:$F913,"&lt;&gt;"),"")</f>
        <v/>
      </c>
      <c r="Z913" s="29" t="str">
        <f>IF(Y913=1,COUNTIF($Y$2:Y913,1),"")</f>
        <v/>
      </c>
      <c r="AA913" s="29" t="str">
        <f>IF(AND(LEFT($B913,7)="SBA 26/",$C913&lt;&gt;"",$F913&lt;&gt;""),COUNTIFS($C$2:$C913,$C913,$B$2:$B913,"SBA 26/*",$F$2:$F913,"&lt;&gt;"),"")</f>
        <v/>
      </c>
      <c r="AB913" s="29" t="str">
        <f>IF(AA913=1,COUNTIF($AA$2:AA913,1),"")</f>
        <v/>
      </c>
    </row>
    <row r="914" spans="6:28" ht="20.25" customHeight="1" x14ac:dyDescent="0.2">
      <c r="F914" s="45" t="s">
        <v>3591</v>
      </c>
      <c r="T914" s="41"/>
      <c r="U914" s="29" t="str">
        <f>IF($C914&lt;&gt;"",COUNTIF($C$2:C914,C914),"")</f>
        <v/>
      </c>
      <c r="V914" s="29" t="str">
        <f t="shared" si="60"/>
        <v/>
      </c>
      <c r="W914" s="29" t="str">
        <f>IF(U914=1,COUNTIF($U$2:U914,1),"")</f>
        <v/>
      </c>
      <c r="X914" s="29" t="str">
        <f t="shared" si="59"/>
        <v/>
      </c>
      <c r="Y914" s="29" t="str">
        <f>IF(AND(LEFT($B914,7)="SBA 26/",$D914&lt;&gt;"",$F914&lt;&gt;""),COUNTIFS($D$2:$D914,$D914,$B$2:$B914,"SBA 26/*",$F$2:$F914,"&lt;&gt;"),"")</f>
        <v/>
      </c>
      <c r="Z914" s="29" t="str">
        <f>IF(Y914=1,COUNTIF($Y$2:Y914,1),"")</f>
        <v/>
      </c>
      <c r="AA914" s="29" t="str">
        <f>IF(AND(LEFT($B914,7)="SBA 26/",$C914&lt;&gt;"",$F914&lt;&gt;""),COUNTIFS($C$2:$C914,$C914,$B$2:$B914,"SBA 26/*",$F$2:$F914,"&lt;&gt;"),"")</f>
        <v/>
      </c>
      <c r="AB914" s="29" t="str">
        <f>IF(AA914=1,COUNTIF($AA$2:AA914,1),"")</f>
        <v/>
      </c>
    </row>
    <row r="915" spans="6:28" ht="31.5" customHeight="1" x14ac:dyDescent="0.2">
      <c r="F915" s="45" t="s">
        <v>3592</v>
      </c>
      <c r="T915" s="41"/>
      <c r="U915" s="29" t="str">
        <f>IF($C915&lt;&gt;"",COUNTIF($C$2:C915,C915),"")</f>
        <v/>
      </c>
      <c r="V915" s="29" t="str">
        <f t="shared" si="60"/>
        <v/>
      </c>
      <c r="W915" s="29" t="str">
        <f>IF(U915=1,COUNTIF($U$2:U915,1),"")</f>
        <v/>
      </c>
      <c r="X915" s="29" t="str">
        <f t="shared" si="59"/>
        <v/>
      </c>
      <c r="Y915" s="29" t="str">
        <f>IF(AND(LEFT($B915,7)="SBA 26/",$D915&lt;&gt;"",$F915&lt;&gt;""),COUNTIFS($D$2:$D915,$D915,$B$2:$B915,"SBA 26/*",$F$2:$F915,"&lt;&gt;"),"")</f>
        <v/>
      </c>
      <c r="Z915" s="29" t="str">
        <f>IF(Y915=1,COUNTIF($Y$2:Y915,1),"")</f>
        <v/>
      </c>
      <c r="AA915" s="29" t="str">
        <f>IF(AND(LEFT($B915,7)="SBA 26/",$C915&lt;&gt;"",$F915&lt;&gt;""),COUNTIFS($C$2:$C915,$C915,$B$2:$B915,"SBA 26/*",$F$2:$F915,"&lt;&gt;"),"")</f>
        <v/>
      </c>
      <c r="AB915" s="29" t="str">
        <f>IF(AA915=1,COUNTIF($AA$2:AA915,1),"")</f>
        <v/>
      </c>
    </row>
    <row r="916" spans="6:28" ht="47.25" customHeight="1" x14ac:dyDescent="0.2">
      <c r="F916" s="45" t="s">
        <v>3593</v>
      </c>
      <c r="T916" s="41"/>
      <c r="U916" s="29" t="str">
        <f>IF($C916&lt;&gt;"",COUNTIF($C$2:C916,C916),"")</f>
        <v/>
      </c>
      <c r="V916" s="29" t="str">
        <f t="shared" si="60"/>
        <v/>
      </c>
      <c r="W916" s="29" t="str">
        <f>IF(U916=1,COUNTIF($U$2:U916,1),"")</f>
        <v/>
      </c>
      <c r="X916" s="29" t="str">
        <f t="shared" si="59"/>
        <v/>
      </c>
      <c r="Y916" s="29" t="str">
        <f>IF(AND(LEFT($B916,7)="SBA 26/",$D916&lt;&gt;"",$F916&lt;&gt;""),COUNTIFS($D$2:$D916,$D916,$B$2:$B916,"SBA 26/*",$F$2:$F916,"&lt;&gt;"),"")</f>
        <v/>
      </c>
      <c r="Z916" s="29" t="str">
        <f>IF(Y916=1,COUNTIF($Y$2:Y916,1),"")</f>
        <v/>
      </c>
      <c r="AA916" s="29" t="str">
        <f>IF(AND(LEFT($B916,7)="SBA 26/",$C916&lt;&gt;"",$F916&lt;&gt;""),COUNTIFS($C$2:$C916,$C916,$B$2:$B916,"SBA 26/*",$F$2:$F916,"&lt;&gt;"),"")</f>
        <v/>
      </c>
      <c r="AB916" s="29" t="str">
        <f>IF(AA916=1,COUNTIF($AA$2:AA916,1),"")</f>
        <v/>
      </c>
    </row>
    <row r="917" spans="6:28" ht="47.25" customHeight="1" x14ac:dyDescent="0.2">
      <c r="F917" s="45" t="s">
        <v>3594</v>
      </c>
      <c r="T917" s="41"/>
      <c r="U917" s="29" t="str">
        <f>IF($C917&lt;&gt;"",COUNTIF($C$2:C917,C917),"")</f>
        <v/>
      </c>
      <c r="V917" s="29" t="str">
        <f t="shared" si="60"/>
        <v/>
      </c>
      <c r="W917" s="29" t="str">
        <f>IF(U917=1,COUNTIF($U$2:U917,1),"")</f>
        <v/>
      </c>
      <c r="X917" s="29" t="str">
        <f t="shared" si="59"/>
        <v/>
      </c>
      <c r="Y917" s="29" t="str">
        <f>IF(AND(LEFT($B917,7)="SBA 26/",$D917&lt;&gt;"",$F917&lt;&gt;""),COUNTIFS($D$2:$D917,$D917,$B$2:$B917,"SBA 26/*",$F$2:$F917,"&lt;&gt;"),"")</f>
        <v/>
      </c>
      <c r="Z917" s="29" t="str">
        <f>IF(Y917=1,COUNTIF($Y$2:Y917,1),"")</f>
        <v/>
      </c>
      <c r="AA917" s="29" t="str">
        <f>IF(AND(LEFT($B917,7)="SBA 26/",$C917&lt;&gt;"",$F917&lt;&gt;""),COUNTIFS($C$2:$C917,$C917,$B$2:$B917,"SBA 26/*",$F$2:$F917,"&lt;&gt;"),"")</f>
        <v/>
      </c>
      <c r="AB917" s="29" t="str">
        <f>IF(AA917=1,COUNTIF($AA$2:AA917,1),"")</f>
        <v/>
      </c>
    </row>
    <row r="918" spans="6:28" ht="47.25" customHeight="1" x14ac:dyDescent="0.2">
      <c r="F918" s="45" t="s">
        <v>3595</v>
      </c>
      <c r="T918" s="41"/>
      <c r="U918" s="29" t="str">
        <f>IF($C918&lt;&gt;"",COUNTIF($C$2:C918,C918),"")</f>
        <v/>
      </c>
      <c r="V918" s="29" t="str">
        <f t="shared" si="60"/>
        <v/>
      </c>
      <c r="W918" s="29" t="str">
        <f>IF(U918=1,COUNTIF($U$2:U918,1),"")</f>
        <v/>
      </c>
      <c r="X918" s="29" t="str">
        <f t="shared" si="59"/>
        <v/>
      </c>
      <c r="Y918" s="29" t="str">
        <f>IF(AND(LEFT($B918,7)="SBA 26/",$D918&lt;&gt;"",$F918&lt;&gt;""),COUNTIFS($D$2:$D918,$D918,$B$2:$B918,"SBA 26/*",$F$2:$F918,"&lt;&gt;"),"")</f>
        <v/>
      </c>
      <c r="Z918" s="29" t="str">
        <f>IF(Y918=1,COUNTIF($Y$2:Y918,1),"")</f>
        <v/>
      </c>
      <c r="AA918" s="29" t="str">
        <f>IF(AND(LEFT($B918,7)="SBA 26/",$C918&lt;&gt;"",$F918&lt;&gt;""),COUNTIFS($C$2:$C918,$C918,$B$2:$B918,"SBA 26/*",$F$2:$F918,"&lt;&gt;"),"")</f>
        <v/>
      </c>
      <c r="AB918" s="29" t="str">
        <f>IF(AA918=1,COUNTIF($AA$2:AA918,1),"")</f>
        <v/>
      </c>
    </row>
    <row r="919" spans="6:28" ht="47.25" customHeight="1" x14ac:dyDescent="0.2">
      <c r="F919" s="45" t="s">
        <v>3596</v>
      </c>
      <c r="T919" s="41"/>
      <c r="U919" s="29" t="str">
        <f>IF($C919&lt;&gt;"",COUNTIF($C$2:C919,C919),"")</f>
        <v/>
      </c>
      <c r="V919" s="29" t="str">
        <f t="shared" si="60"/>
        <v/>
      </c>
      <c r="W919" s="29" t="str">
        <f>IF(U919=1,COUNTIF($U$2:U919,1),"")</f>
        <v/>
      </c>
      <c r="X919" s="29" t="str">
        <f t="shared" si="59"/>
        <v/>
      </c>
      <c r="Y919" s="29" t="str">
        <f>IF(AND(LEFT($B919,7)="SBA 26/",$D919&lt;&gt;"",$F919&lt;&gt;""),COUNTIFS($D$2:$D919,$D919,$B$2:$B919,"SBA 26/*",$F$2:$F919,"&lt;&gt;"),"")</f>
        <v/>
      </c>
      <c r="Z919" s="29" t="str">
        <f>IF(Y919=1,COUNTIF($Y$2:Y919,1),"")</f>
        <v/>
      </c>
      <c r="AA919" s="29" t="str">
        <f>IF(AND(LEFT($B919,7)="SBA 26/",$C919&lt;&gt;"",$F919&lt;&gt;""),COUNTIFS($C$2:$C919,$C919,$B$2:$B919,"SBA 26/*",$F$2:$F919,"&lt;&gt;"),"")</f>
        <v/>
      </c>
      <c r="AB919" s="29" t="str">
        <f>IF(AA919=1,COUNTIF($AA$2:AA919,1),"")</f>
        <v/>
      </c>
    </row>
    <row r="920" spans="6:28" ht="47.25" customHeight="1" x14ac:dyDescent="0.2">
      <c r="F920" s="45" t="s">
        <v>3597</v>
      </c>
      <c r="T920" s="41"/>
      <c r="U920" s="29" t="str">
        <f>IF($C920&lt;&gt;"",COUNTIF($C$2:C920,C920),"")</f>
        <v/>
      </c>
      <c r="V920" s="29" t="str">
        <f t="shared" si="60"/>
        <v/>
      </c>
      <c r="W920" s="29" t="str">
        <f>IF(U920=1,COUNTIF($U$2:U920,1),"")</f>
        <v/>
      </c>
      <c r="X920" s="29" t="str">
        <f t="shared" si="59"/>
        <v/>
      </c>
      <c r="Y920" s="29" t="str">
        <f>IF(AND(LEFT($B920,7)="SBA 26/",$D920&lt;&gt;"",$F920&lt;&gt;""),COUNTIFS($D$2:$D920,$D920,$B$2:$B920,"SBA 26/*",$F$2:$F920,"&lt;&gt;"),"")</f>
        <v/>
      </c>
      <c r="Z920" s="29" t="str">
        <f>IF(Y920=1,COUNTIF($Y$2:Y920,1),"")</f>
        <v/>
      </c>
      <c r="AA920" s="29" t="str">
        <f>IF(AND(LEFT($B920,7)="SBA 26/",$C920&lt;&gt;"",$F920&lt;&gt;""),COUNTIFS($C$2:$C920,$C920,$B$2:$B920,"SBA 26/*",$F$2:$F920,"&lt;&gt;"),"")</f>
        <v/>
      </c>
      <c r="AB920" s="29" t="str">
        <f>IF(AA920=1,COUNTIF($AA$2:AA920,1),"")</f>
        <v/>
      </c>
    </row>
    <row r="921" spans="6:28" ht="47.25" customHeight="1" x14ac:dyDescent="0.2">
      <c r="F921" s="45" t="s">
        <v>3598</v>
      </c>
      <c r="T921" s="41"/>
      <c r="U921" s="29" t="str">
        <f>IF($C921&lt;&gt;"",COUNTIF($C$2:C921,C921),"")</f>
        <v/>
      </c>
      <c r="V921" s="29" t="str">
        <f t="shared" si="60"/>
        <v/>
      </c>
      <c r="W921" s="29" t="str">
        <f>IF(U921=1,COUNTIF($U$2:U921,1),"")</f>
        <v/>
      </c>
      <c r="X921" s="29" t="str">
        <f t="shared" si="59"/>
        <v/>
      </c>
      <c r="Y921" s="29" t="str">
        <f>IF(AND(LEFT($B921,7)="SBA 26/",$D921&lt;&gt;"",$F921&lt;&gt;""),COUNTIFS($D$2:$D921,$D921,$B$2:$B921,"SBA 26/*",$F$2:$F921,"&lt;&gt;"),"")</f>
        <v/>
      </c>
      <c r="Z921" s="29" t="str">
        <f>IF(Y921=1,COUNTIF($Y$2:Y921,1),"")</f>
        <v/>
      </c>
      <c r="AA921" s="29" t="str">
        <f>IF(AND(LEFT($B921,7)="SBA 26/",$C921&lt;&gt;"",$F921&lt;&gt;""),COUNTIFS($C$2:$C921,$C921,$B$2:$B921,"SBA 26/*",$F$2:$F921,"&lt;&gt;"),"")</f>
        <v/>
      </c>
      <c r="AB921" s="29" t="str">
        <f>IF(AA921=1,COUNTIF($AA$2:AA921,1),"")</f>
        <v/>
      </c>
    </row>
    <row r="922" spans="6:28" ht="31.5" customHeight="1" x14ac:dyDescent="0.2">
      <c r="F922" s="45" t="s">
        <v>3599</v>
      </c>
      <c r="T922" s="41"/>
      <c r="U922" s="29" t="str">
        <f>IF($C922&lt;&gt;"",COUNTIF($C$2:C922,C922),"")</f>
        <v/>
      </c>
      <c r="V922" s="29" t="str">
        <f t="shared" si="60"/>
        <v/>
      </c>
      <c r="W922" s="29" t="str">
        <f>IF(U922=1,COUNTIF($U$2:U922,1),"")</f>
        <v/>
      </c>
      <c r="X922" s="29" t="str">
        <f t="shared" si="59"/>
        <v/>
      </c>
      <c r="Y922" s="29" t="str">
        <f>IF(AND(LEFT($B922,7)="SBA 26/",$D922&lt;&gt;"",$F922&lt;&gt;""),COUNTIFS($D$2:$D922,$D922,$B$2:$B922,"SBA 26/*",$F$2:$F922,"&lt;&gt;"),"")</f>
        <v/>
      </c>
      <c r="Z922" s="29" t="str">
        <f>IF(Y922=1,COUNTIF($Y$2:Y922,1),"")</f>
        <v/>
      </c>
      <c r="AA922" s="29" t="str">
        <f>IF(AND(LEFT($B922,7)="SBA 26/",$C922&lt;&gt;"",$F922&lt;&gt;""),COUNTIFS($C$2:$C922,$C922,$B$2:$B922,"SBA 26/*",$F$2:$F922,"&lt;&gt;"),"")</f>
        <v/>
      </c>
      <c r="AB922" s="29" t="str">
        <f>IF(AA922=1,COUNTIF($AA$2:AA922,1),"")</f>
        <v/>
      </c>
    </row>
    <row r="923" spans="6:28" ht="47.25" customHeight="1" x14ac:dyDescent="0.2">
      <c r="F923" s="45" t="s">
        <v>3600</v>
      </c>
      <c r="T923" s="41"/>
      <c r="U923" s="29" t="str">
        <f>IF($C923&lt;&gt;"",COUNTIF($C$2:C923,C923),"")</f>
        <v/>
      </c>
      <c r="V923" s="29" t="str">
        <f t="shared" si="60"/>
        <v/>
      </c>
      <c r="W923" s="29" t="str">
        <f>IF(U923=1,COUNTIF($U$2:U923,1),"")</f>
        <v/>
      </c>
      <c r="X923" s="29" t="str">
        <f t="shared" si="59"/>
        <v/>
      </c>
      <c r="Y923" s="29" t="str">
        <f>IF(AND(LEFT($B923,7)="SBA 26/",$D923&lt;&gt;"",$F923&lt;&gt;""),COUNTIFS($D$2:$D923,$D923,$B$2:$B923,"SBA 26/*",$F$2:$F923,"&lt;&gt;"),"")</f>
        <v/>
      </c>
      <c r="Z923" s="29" t="str">
        <f>IF(Y923=1,COUNTIF($Y$2:Y923,1),"")</f>
        <v/>
      </c>
      <c r="AA923" s="29" t="str">
        <f>IF(AND(LEFT($B923,7)="SBA 26/",$C923&lt;&gt;"",$F923&lt;&gt;""),COUNTIFS($C$2:$C923,$C923,$B$2:$B923,"SBA 26/*",$F$2:$F923,"&lt;&gt;"),"")</f>
        <v/>
      </c>
      <c r="AB923" s="29" t="str">
        <f>IF(AA923=1,COUNTIF($AA$2:AA923,1),"")</f>
        <v/>
      </c>
    </row>
    <row r="924" spans="6:28" ht="47.25" customHeight="1" x14ac:dyDescent="0.2">
      <c r="F924" s="45" t="s">
        <v>3601</v>
      </c>
      <c r="T924" s="41"/>
      <c r="U924" s="29" t="str">
        <f>IF($C924&lt;&gt;"",COUNTIF($C$2:C924,C924),"")</f>
        <v/>
      </c>
      <c r="V924" s="29" t="str">
        <f t="shared" si="60"/>
        <v/>
      </c>
      <c r="W924" s="29" t="str">
        <f>IF(U924=1,COUNTIF($U$2:U924,1),"")</f>
        <v/>
      </c>
      <c r="X924" s="29" t="str">
        <f t="shared" si="59"/>
        <v/>
      </c>
      <c r="Y924" s="29" t="str">
        <f>IF(AND(LEFT($B924,7)="SBA 26/",$D924&lt;&gt;"",$F924&lt;&gt;""),COUNTIFS($D$2:$D924,$D924,$B$2:$B924,"SBA 26/*",$F$2:$F924,"&lt;&gt;"),"")</f>
        <v/>
      </c>
      <c r="Z924" s="29" t="str">
        <f>IF(Y924=1,COUNTIF($Y$2:Y924,1),"")</f>
        <v/>
      </c>
      <c r="AA924" s="29" t="str">
        <f>IF(AND(LEFT($B924,7)="SBA 26/",$C924&lt;&gt;"",$F924&lt;&gt;""),COUNTIFS($C$2:$C924,$C924,$B$2:$B924,"SBA 26/*",$F$2:$F924,"&lt;&gt;"),"")</f>
        <v/>
      </c>
      <c r="AB924" s="29" t="str">
        <f>IF(AA924=1,COUNTIF($AA$2:AA924,1),"")</f>
        <v/>
      </c>
    </row>
    <row r="925" spans="6:28" ht="47.25" customHeight="1" x14ac:dyDescent="0.2">
      <c r="F925" s="45" t="s">
        <v>3602</v>
      </c>
      <c r="T925" s="41"/>
      <c r="U925" s="29" t="str">
        <f>IF($C925&lt;&gt;"",COUNTIF($C$2:C925,C925),"")</f>
        <v/>
      </c>
      <c r="V925" s="29" t="str">
        <f t="shared" si="60"/>
        <v/>
      </c>
      <c r="W925" s="29" t="str">
        <f>IF(U925=1,COUNTIF($U$2:U925,1),"")</f>
        <v/>
      </c>
      <c r="X925" s="29" t="str">
        <f t="shared" si="59"/>
        <v/>
      </c>
      <c r="Y925" s="29" t="str">
        <f>IF(AND(LEFT($B925,7)="SBA 26/",$D925&lt;&gt;"",$F925&lt;&gt;""),COUNTIFS($D$2:$D925,$D925,$B$2:$B925,"SBA 26/*",$F$2:$F925,"&lt;&gt;"),"")</f>
        <v/>
      </c>
      <c r="Z925" s="29" t="str">
        <f>IF(Y925=1,COUNTIF($Y$2:Y925,1),"")</f>
        <v/>
      </c>
      <c r="AA925" s="29" t="str">
        <f>IF(AND(LEFT($B925,7)="SBA 26/",$C925&lt;&gt;"",$F925&lt;&gt;""),COUNTIFS($C$2:$C925,$C925,$B$2:$B925,"SBA 26/*",$F$2:$F925,"&lt;&gt;"),"")</f>
        <v/>
      </c>
      <c r="AB925" s="29" t="str">
        <f>IF(AA925=1,COUNTIF($AA$2:AA925,1),"")</f>
        <v/>
      </c>
    </row>
    <row r="926" spans="6:28" ht="47.25" customHeight="1" x14ac:dyDescent="0.2">
      <c r="F926" s="45" t="s">
        <v>3603</v>
      </c>
      <c r="T926" s="41"/>
      <c r="U926" s="29" t="str">
        <f>IF($C926&lt;&gt;"",COUNTIF($C$2:C926,C926),"")</f>
        <v/>
      </c>
      <c r="V926" s="29" t="str">
        <f t="shared" si="60"/>
        <v/>
      </c>
      <c r="W926" s="29" t="str">
        <f>IF(U926=1,COUNTIF($U$2:U926,1),"")</f>
        <v/>
      </c>
      <c r="X926" s="29" t="str">
        <f t="shared" si="59"/>
        <v/>
      </c>
      <c r="Y926" s="29" t="str">
        <f>IF(AND(LEFT($B926,7)="SBA 26/",$D926&lt;&gt;"",$F926&lt;&gt;""),COUNTIFS($D$2:$D926,$D926,$B$2:$B926,"SBA 26/*",$F$2:$F926,"&lt;&gt;"),"")</f>
        <v/>
      </c>
      <c r="Z926" s="29" t="str">
        <f>IF(Y926=1,COUNTIF($Y$2:Y926,1),"")</f>
        <v/>
      </c>
      <c r="AA926" s="29" t="str">
        <f>IF(AND(LEFT($B926,7)="SBA 26/",$C926&lt;&gt;"",$F926&lt;&gt;""),COUNTIFS($C$2:$C926,$C926,$B$2:$B926,"SBA 26/*",$F$2:$F926,"&lt;&gt;"),"")</f>
        <v/>
      </c>
      <c r="AB926" s="29" t="str">
        <f>IF(AA926=1,COUNTIF($AA$2:AA926,1),"")</f>
        <v/>
      </c>
    </row>
    <row r="927" spans="6:28" ht="31.5" customHeight="1" x14ac:dyDescent="0.2">
      <c r="F927" s="45" t="s">
        <v>3604</v>
      </c>
      <c r="T927" s="41"/>
      <c r="U927" s="29" t="str">
        <f>IF($C927&lt;&gt;"",COUNTIF($C$2:C927,C927),"")</f>
        <v/>
      </c>
      <c r="V927" s="29" t="str">
        <f t="shared" si="60"/>
        <v/>
      </c>
      <c r="W927" s="29" t="str">
        <f>IF(U927=1,COUNTIF($U$2:U927,1),"")</f>
        <v/>
      </c>
      <c r="X927" s="29" t="str">
        <f t="shared" si="59"/>
        <v/>
      </c>
      <c r="Y927" s="29" t="str">
        <f>IF(AND(LEFT($B927,7)="SBA 26/",$D927&lt;&gt;"",$F927&lt;&gt;""),COUNTIFS($D$2:$D927,$D927,$B$2:$B927,"SBA 26/*",$F$2:$F927,"&lt;&gt;"),"")</f>
        <v/>
      </c>
      <c r="Z927" s="29" t="str">
        <f>IF(Y927=1,COUNTIF($Y$2:Y927,1),"")</f>
        <v/>
      </c>
      <c r="AA927" s="29" t="str">
        <f>IF(AND(LEFT($B927,7)="SBA 26/",$C927&lt;&gt;"",$F927&lt;&gt;""),COUNTIFS($C$2:$C927,$C927,$B$2:$B927,"SBA 26/*",$F$2:$F927,"&lt;&gt;"),"")</f>
        <v/>
      </c>
      <c r="AB927" s="29" t="str">
        <f>IF(AA927=1,COUNTIF($AA$2:AA927,1),"")</f>
        <v/>
      </c>
    </row>
    <row r="928" spans="6:28" ht="31.5" customHeight="1" x14ac:dyDescent="0.2">
      <c r="F928" s="45" t="s">
        <v>3605</v>
      </c>
      <c r="T928" s="41"/>
      <c r="U928" s="29" t="str">
        <f>IF($C928&lt;&gt;"",COUNTIF($C$2:C928,C928),"")</f>
        <v/>
      </c>
      <c r="V928" s="29" t="str">
        <f t="shared" si="60"/>
        <v/>
      </c>
      <c r="W928" s="29" t="str">
        <f>IF(U928=1,COUNTIF($U$2:U928,1),"")</f>
        <v/>
      </c>
      <c r="X928" s="29" t="str">
        <f t="shared" si="59"/>
        <v/>
      </c>
      <c r="Y928" s="29" t="str">
        <f>IF(AND(LEFT($B928,7)="SBA 26/",$D928&lt;&gt;"",$F928&lt;&gt;""),COUNTIFS($D$2:$D928,$D928,$B$2:$B928,"SBA 26/*",$F$2:$F928,"&lt;&gt;"),"")</f>
        <v/>
      </c>
      <c r="Z928" s="29" t="str">
        <f>IF(Y928=1,COUNTIF($Y$2:Y928,1),"")</f>
        <v/>
      </c>
      <c r="AA928" s="29" t="str">
        <f>IF(AND(LEFT($B928,7)="SBA 26/",$C928&lt;&gt;"",$F928&lt;&gt;""),COUNTIFS($C$2:$C928,$C928,$B$2:$B928,"SBA 26/*",$F$2:$F928,"&lt;&gt;"),"")</f>
        <v/>
      </c>
      <c r="AB928" s="29" t="str">
        <f>IF(AA928=1,COUNTIF($AA$2:AA928,1),"")</f>
        <v/>
      </c>
    </row>
    <row r="929" spans="6:28" ht="47.25" customHeight="1" x14ac:dyDescent="0.2">
      <c r="F929" s="45" t="s">
        <v>3606</v>
      </c>
      <c r="T929" s="41"/>
      <c r="U929" s="29" t="str">
        <f>IF($C929&lt;&gt;"",COUNTIF($C$2:C929,C929),"")</f>
        <v/>
      </c>
      <c r="V929" s="29" t="str">
        <f t="shared" si="60"/>
        <v/>
      </c>
      <c r="W929" s="29" t="str">
        <f>IF(U929=1,COUNTIF($U$2:U929,1),"")</f>
        <v/>
      </c>
      <c r="X929" s="29" t="str">
        <f t="shared" si="59"/>
        <v/>
      </c>
      <c r="Y929" s="29" t="str">
        <f>IF(AND(LEFT($B929,7)="SBA 26/",$D929&lt;&gt;"",$F929&lt;&gt;""),COUNTIFS($D$2:$D929,$D929,$B$2:$B929,"SBA 26/*",$F$2:$F929,"&lt;&gt;"),"")</f>
        <v/>
      </c>
      <c r="Z929" s="29" t="str">
        <f>IF(Y929=1,COUNTIF($Y$2:Y929,1),"")</f>
        <v/>
      </c>
      <c r="AA929" s="29" t="str">
        <f>IF(AND(LEFT($B929,7)="SBA 26/",$C929&lt;&gt;"",$F929&lt;&gt;""),COUNTIFS($C$2:$C929,$C929,$B$2:$B929,"SBA 26/*",$F$2:$F929,"&lt;&gt;"),"")</f>
        <v/>
      </c>
      <c r="AB929" s="29" t="str">
        <f>IF(AA929=1,COUNTIF($AA$2:AA929,1),"")</f>
        <v/>
      </c>
    </row>
    <row r="930" spans="6:28" ht="63" customHeight="1" x14ac:dyDescent="0.2">
      <c r="F930" s="45" t="s">
        <v>3607</v>
      </c>
      <c r="T930" s="41"/>
      <c r="U930" s="29" t="str">
        <f>IF($C930&lt;&gt;"",COUNTIF($C$2:C930,C930),"")</f>
        <v/>
      </c>
      <c r="V930" s="29" t="str">
        <f t="shared" si="60"/>
        <v/>
      </c>
      <c r="W930" s="29" t="str">
        <f>IF(U930=1,COUNTIF($U$2:U930,1),"")</f>
        <v/>
      </c>
      <c r="X930" s="29" t="str">
        <f t="shared" si="59"/>
        <v/>
      </c>
      <c r="Y930" s="29" t="str">
        <f>IF(AND(LEFT($B930,7)="SBA 26/",$D930&lt;&gt;"",$F930&lt;&gt;""),COUNTIFS($D$2:$D930,$D930,$B$2:$B930,"SBA 26/*",$F$2:$F930,"&lt;&gt;"),"")</f>
        <v/>
      </c>
      <c r="Z930" s="29" t="str">
        <f>IF(Y930=1,COUNTIF($Y$2:Y930,1),"")</f>
        <v/>
      </c>
      <c r="AA930" s="29" t="str">
        <f>IF(AND(LEFT($B930,7)="SBA 26/",$C930&lt;&gt;"",$F930&lt;&gt;""),COUNTIFS($C$2:$C930,$C930,$B$2:$B930,"SBA 26/*",$F$2:$F930,"&lt;&gt;"),"")</f>
        <v/>
      </c>
      <c r="AB930" s="29" t="str">
        <f>IF(AA930=1,COUNTIF($AA$2:AA930,1),"")</f>
        <v/>
      </c>
    </row>
    <row r="931" spans="6:28" ht="31.5" customHeight="1" x14ac:dyDescent="0.2">
      <c r="F931" s="45" t="s">
        <v>3608</v>
      </c>
      <c r="T931" s="41"/>
      <c r="U931" s="29" t="str">
        <f>IF($C931&lt;&gt;"",COUNTIF($C$2:C931,C931),"")</f>
        <v/>
      </c>
      <c r="V931" s="29" t="str">
        <f t="shared" si="60"/>
        <v/>
      </c>
      <c r="W931" s="29" t="str">
        <f>IF(U931=1,COUNTIF($U$2:U931,1),"")</f>
        <v/>
      </c>
      <c r="X931" s="29" t="str">
        <f t="shared" si="59"/>
        <v/>
      </c>
      <c r="Y931" s="29" t="str">
        <f>IF(AND(LEFT($B931,7)="SBA 26/",$D931&lt;&gt;"",$F931&lt;&gt;""),COUNTIFS($D$2:$D931,$D931,$B$2:$B931,"SBA 26/*",$F$2:$F931,"&lt;&gt;"),"")</f>
        <v/>
      </c>
      <c r="Z931" s="29" t="str">
        <f>IF(Y931=1,COUNTIF($Y$2:Y931,1),"")</f>
        <v/>
      </c>
      <c r="AA931" s="29" t="str">
        <f>IF(AND(LEFT($B931,7)="SBA 26/",$C931&lt;&gt;"",$F931&lt;&gt;""),COUNTIFS($C$2:$C931,$C931,$B$2:$B931,"SBA 26/*",$F$2:$F931,"&lt;&gt;"),"")</f>
        <v/>
      </c>
      <c r="AB931" s="29" t="str">
        <f>IF(AA931=1,COUNTIF($AA$2:AA931,1),"")</f>
        <v/>
      </c>
    </row>
    <row r="932" spans="6:28" ht="31.5" customHeight="1" x14ac:dyDescent="0.2">
      <c r="F932" s="45" t="s">
        <v>3609</v>
      </c>
      <c r="T932" s="41"/>
      <c r="U932" s="29" t="str">
        <f>IF($C932&lt;&gt;"",COUNTIF($C$2:C932,C932),"")</f>
        <v/>
      </c>
      <c r="V932" s="29" t="str">
        <f t="shared" si="60"/>
        <v/>
      </c>
      <c r="W932" s="29" t="str">
        <f>IF(U932=1,COUNTIF($U$2:U932,1),"")</f>
        <v/>
      </c>
      <c r="X932" s="29" t="str">
        <f t="shared" si="59"/>
        <v/>
      </c>
      <c r="Y932" s="29" t="str">
        <f>IF(AND(LEFT($B932,7)="SBA 26/",$D932&lt;&gt;"",$F932&lt;&gt;""),COUNTIFS($D$2:$D932,$D932,$B$2:$B932,"SBA 26/*",$F$2:$F932,"&lt;&gt;"),"")</f>
        <v/>
      </c>
      <c r="Z932" s="29" t="str">
        <f>IF(Y932=1,COUNTIF($Y$2:Y932,1),"")</f>
        <v/>
      </c>
      <c r="AA932" s="29" t="str">
        <f>IF(AND(LEFT($B932,7)="SBA 26/",$C932&lt;&gt;"",$F932&lt;&gt;""),COUNTIFS($C$2:$C932,$C932,$B$2:$B932,"SBA 26/*",$F$2:$F932,"&lt;&gt;"),"")</f>
        <v/>
      </c>
      <c r="AB932" s="29" t="str">
        <f>IF(AA932=1,COUNTIF($AA$2:AA932,1),"")</f>
        <v/>
      </c>
    </row>
    <row r="933" spans="6:28" ht="63" customHeight="1" x14ac:dyDescent="0.2">
      <c r="F933" s="45" t="s">
        <v>3610</v>
      </c>
      <c r="T933" s="41"/>
      <c r="U933" s="29" t="str">
        <f>IF($C933&lt;&gt;"",COUNTIF($C$2:C933,C933),"")</f>
        <v/>
      </c>
      <c r="V933" s="29" t="str">
        <f t="shared" si="60"/>
        <v/>
      </c>
      <c r="W933" s="29" t="str">
        <f>IF(U933=1,COUNTIF($U$2:U933,1),"")</f>
        <v/>
      </c>
      <c r="X933" s="29" t="str">
        <f t="shared" si="59"/>
        <v/>
      </c>
      <c r="Y933" s="29" t="str">
        <f>IF(AND(LEFT($B933,7)="SBA 26/",$D933&lt;&gt;"",$F933&lt;&gt;""),COUNTIFS($D$2:$D933,$D933,$B$2:$B933,"SBA 26/*",$F$2:$F933,"&lt;&gt;"),"")</f>
        <v/>
      </c>
      <c r="Z933" s="29" t="str">
        <f>IF(Y933=1,COUNTIF($Y$2:Y933,1),"")</f>
        <v/>
      </c>
      <c r="AA933" s="29" t="str">
        <f>IF(AND(LEFT($B933,7)="SBA 26/",$C933&lt;&gt;"",$F933&lt;&gt;""),COUNTIFS($C$2:$C933,$C933,$B$2:$B933,"SBA 26/*",$F$2:$F933,"&lt;&gt;"),"")</f>
        <v/>
      </c>
      <c r="AB933" s="29" t="str">
        <f>IF(AA933=1,COUNTIF($AA$2:AA933,1),"")</f>
        <v/>
      </c>
    </row>
    <row r="934" spans="6:28" ht="47.25" customHeight="1" x14ac:dyDescent="0.2">
      <c r="F934" s="45" t="s">
        <v>3611</v>
      </c>
      <c r="T934" s="41"/>
      <c r="U934" s="29" t="str">
        <f>IF($C934&lt;&gt;"",COUNTIF($C$2:C934,C934),"")</f>
        <v/>
      </c>
      <c r="V934" s="29" t="str">
        <f t="shared" si="60"/>
        <v/>
      </c>
      <c r="W934" s="29" t="str">
        <f>IF(U934=1,COUNTIF($U$2:U934,1),"")</f>
        <v/>
      </c>
      <c r="X934" s="29" t="str">
        <f t="shared" si="59"/>
        <v/>
      </c>
      <c r="Y934" s="29" t="str">
        <f>IF(AND(LEFT($B934,7)="SBA 26/",$D934&lt;&gt;"",$F934&lt;&gt;""),COUNTIFS($D$2:$D934,$D934,$B$2:$B934,"SBA 26/*",$F$2:$F934,"&lt;&gt;"),"")</f>
        <v/>
      </c>
      <c r="Z934" s="29" t="str">
        <f>IF(Y934=1,COUNTIF($Y$2:Y934,1),"")</f>
        <v/>
      </c>
      <c r="AA934" s="29" t="str">
        <f>IF(AND(LEFT($B934,7)="SBA 26/",$C934&lt;&gt;"",$F934&lt;&gt;""),COUNTIFS($C$2:$C934,$C934,$B$2:$B934,"SBA 26/*",$F$2:$F934,"&lt;&gt;"),"")</f>
        <v/>
      </c>
      <c r="AB934" s="29" t="str">
        <f>IF(AA934=1,COUNTIF($AA$2:AA934,1),"")</f>
        <v/>
      </c>
    </row>
    <row r="935" spans="6:28" ht="31.5" customHeight="1" x14ac:dyDescent="0.2">
      <c r="F935" s="45" t="s">
        <v>3612</v>
      </c>
      <c r="T935" s="41"/>
      <c r="U935" s="29" t="str">
        <f>IF($C935&lt;&gt;"",COUNTIF($C$2:C935,C935),"")</f>
        <v/>
      </c>
      <c r="V935" s="29" t="str">
        <f t="shared" si="60"/>
        <v/>
      </c>
      <c r="W935" s="29" t="str">
        <f>IF(U935=1,COUNTIF($U$2:U935,1),"")</f>
        <v/>
      </c>
      <c r="X935" s="29" t="str">
        <f t="shared" si="59"/>
        <v/>
      </c>
      <c r="Y935" s="29" t="str">
        <f>IF(AND(LEFT($B935,7)="SBA 26/",$D935&lt;&gt;"",$F935&lt;&gt;""),COUNTIFS($D$2:$D935,$D935,$B$2:$B935,"SBA 26/*",$F$2:$F935,"&lt;&gt;"),"")</f>
        <v/>
      </c>
      <c r="Z935" s="29" t="str">
        <f>IF(Y935=1,COUNTIF($Y$2:Y935,1),"")</f>
        <v/>
      </c>
      <c r="AA935" s="29" t="str">
        <f>IF(AND(LEFT($B935,7)="SBA 26/",$C935&lt;&gt;"",$F935&lt;&gt;""),COUNTIFS($C$2:$C935,$C935,$B$2:$B935,"SBA 26/*",$F$2:$F935,"&lt;&gt;"),"")</f>
        <v/>
      </c>
      <c r="AB935" s="29" t="str">
        <f>IF(AA935=1,COUNTIF($AA$2:AA935,1),"")</f>
        <v/>
      </c>
    </row>
    <row r="936" spans="6:28" ht="47.25" customHeight="1" x14ac:dyDescent="0.2">
      <c r="F936" s="45" t="s">
        <v>3613</v>
      </c>
      <c r="T936" s="41"/>
      <c r="U936" s="29" t="str">
        <f>IF($C936&lt;&gt;"",COUNTIF($C$2:C936,C936),"")</f>
        <v/>
      </c>
      <c r="V936" s="29" t="str">
        <f t="shared" si="60"/>
        <v/>
      </c>
      <c r="W936" s="29" t="str">
        <f>IF(U936=1,COUNTIF($U$2:U936,1),"")</f>
        <v/>
      </c>
      <c r="X936" s="29" t="str">
        <f t="shared" si="59"/>
        <v/>
      </c>
      <c r="Y936" s="29" t="str">
        <f>IF(AND(LEFT($B936,7)="SBA 26/",$D936&lt;&gt;"",$F936&lt;&gt;""),COUNTIFS($D$2:$D936,$D936,$B$2:$B936,"SBA 26/*",$F$2:$F936,"&lt;&gt;"),"")</f>
        <v/>
      </c>
      <c r="Z936" s="29" t="str">
        <f>IF(Y936=1,COUNTIF($Y$2:Y936,1),"")</f>
        <v/>
      </c>
      <c r="AA936" s="29" t="str">
        <f>IF(AND(LEFT($B936,7)="SBA 26/",$C936&lt;&gt;"",$F936&lt;&gt;""),COUNTIFS($C$2:$C936,$C936,$B$2:$B936,"SBA 26/*",$F$2:$F936,"&lt;&gt;"),"")</f>
        <v/>
      </c>
      <c r="AB936" s="29" t="str">
        <f>IF(AA936=1,COUNTIF($AA$2:AA936,1),"")</f>
        <v/>
      </c>
    </row>
    <row r="937" spans="6:28" ht="47.25" customHeight="1" x14ac:dyDescent="0.2">
      <c r="F937" s="45" t="s">
        <v>3614</v>
      </c>
      <c r="T937" s="41"/>
      <c r="U937" s="29" t="str">
        <f>IF($C937&lt;&gt;"",COUNTIF($C$2:C937,C937),"")</f>
        <v/>
      </c>
      <c r="V937" s="29" t="str">
        <f t="shared" si="60"/>
        <v/>
      </c>
      <c r="W937" s="29" t="str">
        <f>IF(U937=1,COUNTIF($U$2:U937,1),"")</f>
        <v/>
      </c>
      <c r="X937" s="29" t="str">
        <f t="shared" si="59"/>
        <v/>
      </c>
      <c r="Y937" s="29" t="str">
        <f>IF(AND(LEFT($B937,7)="SBA 26/",$D937&lt;&gt;"",$F937&lt;&gt;""),COUNTIFS($D$2:$D937,$D937,$B$2:$B937,"SBA 26/*",$F$2:$F937,"&lt;&gt;"),"")</f>
        <v/>
      </c>
      <c r="Z937" s="29" t="str">
        <f>IF(Y937=1,COUNTIF($Y$2:Y937,1),"")</f>
        <v/>
      </c>
      <c r="AA937" s="29" t="str">
        <f>IF(AND(LEFT($B937,7)="SBA 26/",$C937&lt;&gt;"",$F937&lt;&gt;""),COUNTIFS($C$2:$C937,$C937,$B$2:$B937,"SBA 26/*",$F$2:$F937,"&lt;&gt;"),"")</f>
        <v/>
      </c>
      <c r="AB937" s="29" t="str">
        <f>IF(AA937=1,COUNTIF($AA$2:AA937,1),"")</f>
        <v/>
      </c>
    </row>
    <row r="938" spans="6:28" ht="31.5" customHeight="1" x14ac:dyDescent="0.2">
      <c r="F938" s="45" t="s">
        <v>3615</v>
      </c>
      <c r="T938" s="41"/>
      <c r="U938" s="29" t="str">
        <f>IF($C938&lt;&gt;"",COUNTIF($C$2:C938,C938),"")</f>
        <v/>
      </c>
      <c r="V938" s="29" t="str">
        <f t="shared" si="60"/>
        <v/>
      </c>
      <c r="W938" s="29" t="str">
        <f>IF(U938=1,COUNTIF($U$2:U938,1),"")</f>
        <v/>
      </c>
      <c r="X938" s="29" t="str">
        <f t="shared" si="59"/>
        <v/>
      </c>
      <c r="Y938" s="29" t="str">
        <f>IF(AND(LEFT($B938,7)="SBA 26/",$D938&lt;&gt;"",$F938&lt;&gt;""),COUNTIFS($D$2:$D938,$D938,$B$2:$B938,"SBA 26/*",$F$2:$F938,"&lt;&gt;"),"")</f>
        <v/>
      </c>
      <c r="Z938" s="29" t="str">
        <f>IF(Y938=1,COUNTIF($Y$2:Y938,1),"")</f>
        <v/>
      </c>
      <c r="AA938" s="29" t="str">
        <f>IF(AND(LEFT($B938,7)="SBA 26/",$C938&lt;&gt;"",$F938&lt;&gt;""),COUNTIFS($C$2:$C938,$C938,$B$2:$B938,"SBA 26/*",$F$2:$F938,"&lt;&gt;"),"")</f>
        <v/>
      </c>
      <c r="AB938" s="29" t="str">
        <f>IF(AA938=1,COUNTIF($AA$2:AA938,1),"")</f>
        <v/>
      </c>
    </row>
    <row r="939" spans="6:28" ht="31.5" customHeight="1" x14ac:dyDescent="0.2">
      <c r="F939" s="45" t="s">
        <v>3616</v>
      </c>
      <c r="T939" s="41"/>
      <c r="U939" s="29" t="str">
        <f>IF($C939&lt;&gt;"",COUNTIF($C$2:C939,C939),"")</f>
        <v/>
      </c>
      <c r="V939" s="29" t="str">
        <f t="shared" si="60"/>
        <v/>
      </c>
      <c r="W939" s="29" t="str">
        <f>IF(U939=1,COUNTIF($U$2:U939,1),"")</f>
        <v/>
      </c>
      <c r="X939" s="29" t="str">
        <f t="shared" si="59"/>
        <v/>
      </c>
      <c r="Y939" s="29" t="str">
        <f>IF(AND(LEFT($B939,7)="SBA 26/",$D939&lt;&gt;"",$F939&lt;&gt;""),COUNTIFS($D$2:$D939,$D939,$B$2:$B939,"SBA 26/*",$F$2:$F939,"&lt;&gt;"),"")</f>
        <v/>
      </c>
      <c r="Z939" s="29" t="str">
        <f>IF(Y939=1,COUNTIF($Y$2:Y939,1),"")</f>
        <v/>
      </c>
      <c r="AA939" s="29" t="str">
        <f>IF(AND(LEFT($B939,7)="SBA 26/",$C939&lt;&gt;"",$F939&lt;&gt;""),COUNTIFS($C$2:$C939,$C939,$B$2:$B939,"SBA 26/*",$F$2:$F939,"&lt;&gt;"),"")</f>
        <v/>
      </c>
      <c r="AB939" s="29" t="str">
        <f>IF(AA939=1,COUNTIF($AA$2:AA939,1),"")</f>
        <v/>
      </c>
    </row>
    <row r="940" spans="6:28" ht="63" customHeight="1" x14ac:dyDescent="0.2">
      <c r="F940" s="45" t="s">
        <v>3617</v>
      </c>
      <c r="T940" s="41"/>
      <c r="U940" s="29" t="str">
        <f>IF($C940&lt;&gt;"",COUNTIF($C$2:C940,C940),"")</f>
        <v/>
      </c>
      <c r="V940" s="29" t="str">
        <f t="shared" si="60"/>
        <v/>
      </c>
      <c r="W940" s="29" t="str">
        <f>IF(U940=1,COUNTIF($U$2:U940,1),"")</f>
        <v/>
      </c>
      <c r="X940" s="29" t="str">
        <f t="shared" si="59"/>
        <v/>
      </c>
      <c r="Y940" s="29" t="str">
        <f>IF(AND(LEFT($B940,7)="SBA 26/",$D940&lt;&gt;"",$F940&lt;&gt;""),COUNTIFS($D$2:$D940,$D940,$B$2:$B940,"SBA 26/*",$F$2:$F940,"&lt;&gt;"),"")</f>
        <v/>
      </c>
      <c r="Z940" s="29" t="str">
        <f>IF(Y940=1,COUNTIF($Y$2:Y940,1),"")</f>
        <v/>
      </c>
      <c r="AA940" s="29" t="str">
        <f>IF(AND(LEFT($B940,7)="SBA 26/",$C940&lt;&gt;"",$F940&lt;&gt;""),COUNTIFS($C$2:$C940,$C940,$B$2:$B940,"SBA 26/*",$F$2:$F940,"&lt;&gt;"),"")</f>
        <v/>
      </c>
      <c r="AB940" s="29" t="str">
        <f>IF(AA940=1,COUNTIF($AA$2:AA940,1),"")</f>
        <v/>
      </c>
    </row>
    <row r="941" spans="6:28" ht="31.5" customHeight="1" x14ac:dyDescent="0.2">
      <c r="F941" s="45" t="s">
        <v>3618</v>
      </c>
      <c r="T941" s="41"/>
      <c r="U941" s="29" t="str">
        <f>IF($C941&lt;&gt;"",COUNTIF($C$2:C941,C941),"")</f>
        <v/>
      </c>
      <c r="V941" s="29" t="str">
        <f t="shared" si="60"/>
        <v/>
      </c>
      <c r="W941" s="29" t="str">
        <f>IF(U941=1,COUNTIF($U$2:U941,1),"")</f>
        <v/>
      </c>
      <c r="X941" s="29" t="str">
        <f t="shared" ref="X941:X1004" si="61">IF(U941=1,SUMPRODUCT(($U$2:$U$1833=1)*($C$2:$C$1833&lt;C941))+1,"")</f>
        <v/>
      </c>
      <c r="Y941" s="29" t="str">
        <f>IF(AND(LEFT($B941,7)="SBA 26/",$D941&lt;&gt;"",$F941&lt;&gt;""),COUNTIFS($D$2:$D941,$D941,$B$2:$B941,"SBA 26/*",$F$2:$F941,"&lt;&gt;"),"")</f>
        <v/>
      </c>
      <c r="Z941" s="29" t="str">
        <f>IF(Y941=1,COUNTIF($Y$2:Y941,1),"")</f>
        <v/>
      </c>
      <c r="AA941" s="29" t="str">
        <f>IF(AND(LEFT($B941,7)="SBA 26/",$C941&lt;&gt;"",$F941&lt;&gt;""),COUNTIFS($C$2:$C941,$C941,$B$2:$B941,"SBA 26/*",$F$2:$F941,"&lt;&gt;"),"")</f>
        <v/>
      </c>
      <c r="AB941" s="29" t="str">
        <f>IF(AA941=1,COUNTIF($AA$2:AA941,1),"")</f>
        <v/>
      </c>
    </row>
    <row r="942" spans="6:28" ht="47.25" customHeight="1" x14ac:dyDescent="0.2">
      <c r="F942" s="45" t="s">
        <v>3619</v>
      </c>
      <c r="T942" s="41"/>
      <c r="U942" s="29" t="str">
        <f>IF($C942&lt;&gt;"",COUNTIF($C$2:C942,C942),"")</f>
        <v/>
      </c>
      <c r="V942" s="29" t="str">
        <f t="shared" si="60"/>
        <v/>
      </c>
      <c r="W942" s="29" t="str">
        <f>IF(U942=1,COUNTIF($U$2:U942,1),"")</f>
        <v/>
      </c>
      <c r="X942" s="29" t="str">
        <f t="shared" si="61"/>
        <v/>
      </c>
      <c r="Y942" s="29" t="str">
        <f>IF(AND(LEFT($B942,7)="SBA 26/",$D942&lt;&gt;"",$F942&lt;&gt;""),COUNTIFS($D$2:$D942,$D942,$B$2:$B942,"SBA 26/*",$F$2:$F942,"&lt;&gt;"),"")</f>
        <v/>
      </c>
      <c r="Z942" s="29" t="str">
        <f>IF(Y942=1,COUNTIF($Y$2:Y942,1),"")</f>
        <v/>
      </c>
      <c r="AA942" s="29" t="str">
        <f>IF(AND(LEFT($B942,7)="SBA 26/",$C942&lt;&gt;"",$F942&lt;&gt;""),COUNTIFS($C$2:$C942,$C942,$B$2:$B942,"SBA 26/*",$F$2:$F942,"&lt;&gt;"),"")</f>
        <v/>
      </c>
      <c r="AB942" s="29" t="str">
        <f>IF(AA942=1,COUNTIF($AA$2:AA942,1),"")</f>
        <v/>
      </c>
    </row>
    <row r="943" spans="6:28" ht="31.5" customHeight="1" x14ac:dyDescent="0.2">
      <c r="F943" s="45" t="s">
        <v>3620</v>
      </c>
      <c r="T943" s="41"/>
      <c r="U943" s="29" t="str">
        <f>IF($C943&lt;&gt;"",COUNTIF($C$2:C943,C943),"")</f>
        <v/>
      </c>
      <c r="V943" s="29" t="str">
        <f t="shared" si="60"/>
        <v/>
      </c>
      <c r="W943" s="29" t="str">
        <f>IF(U943=1,COUNTIF($U$2:U943,1),"")</f>
        <v/>
      </c>
      <c r="X943" s="29" t="str">
        <f t="shared" si="61"/>
        <v/>
      </c>
      <c r="Y943" s="29" t="str">
        <f>IF(AND(LEFT($B943,7)="SBA 26/",$D943&lt;&gt;"",$F943&lt;&gt;""),COUNTIFS($D$2:$D943,$D943,$B$2:$B943,"SBA 26/*",$F$2:$F943,"&lt;&gt;"),"")</f>
        <v/>
      </c>
      <c r="Z943" s="29" t="str">
        <f>IF(Y943=1,COUNTIF($Y$2:Y943,1),"")</f>
        <v/>
      </c>
      <c r="AA943" s="29" t="str">
        <f>IF(AND(LEFT($B943,7)="SBA 26/",$C943&lt;&gt;"",$F943&lt;&gt;""),COUNTIFS($C$2:$C943,$C943,$B$2:$B943,"SBA 26/*",$F$2:$F943,"&lt;&gt;"),"")</f>
        <v/>
      </c>
      <c r="AB943" s="29" t="str">
        <f>IF(AA943=1,COUNTIF($AA$2:AA943,1),"")</f>
        <v/>
      </c>
    </row>
    <row r="944" spans="6:28" ht="63" customHeight="1" x14ac:dyDescent="0.2">
      <c r="F944" s="45" t="s">
        <v>3621</v>
      </c>
      <c r="T944" s="41"/>
      <c r="U944" s="29" t="str">
        <f>IF($C944&lt;&gt;"",COUNTIF($C$2:C944,C944),"")</f>
        <v/>
      </c>
      <c r="V944" s="29" t="str">
        <f t="shared" si="60"/>
        <v/>
      </c>
      <c r="W944" s="29" t="str">
        <f>IF(U944=1,COUNTIF($U$2:U944,1),"")</f>
        <v/>
      </c>
      <c r="X944" s="29" t="str">
        <f t="shared" si="61"/>
        <v/>
      </c>
      <c r="Y944" s="29" t="str">
        <f>IF(AND(LEFT($B944,7)="SBA 26/",$D944&lt;&gt;"",$F944&lt;&gt;""),COUNTIFS($D$2:$D944,$D944,$B$2:$B944,"SBA 26/*",$F$2:$F944,"&lt;&gt;"),"")</f>
        <v/>
      </c>
      <c r="Z944" s="29" t="str">
        <f>IF(Y944=1,COUNTIF($Y$2:Y944,1),"")</f>
        <v/>
      </c>
      <c r="AA944" s="29" t="str">
        <f>IF(AND(LEFT($B944,7)="SBA 26/",$C944&lt;&gt;"",$F944&lt;&gt;""),COUNTIFS($C$2:$C944,$C944,$B$2:$B944,"SBA 26/*",$F$2:$F944,"&lt;&gt;"),"")</f>
        <v/>
      </c>
      <c r="AB944" s="29" t="str">
        <f>IF(AA944=1,COUNTIF($AA$2:AA944,1),"")</f>
        <v/>
      </c>
    </row>
    <row r="945" spans="6:28" ht="78.75" customHeight="1" x14ac:dyDescent="0.2">
      <c r="F945" s="45" t="s">
        <v>3622</v>
      </c>
      <c r="T945" s="41"/>
      <c r="U945" s="29" t="str">
        <f>IF($C945&lt;&gt;"",COUNTIF($C$2:C945,C945),"")</f>
        <v/>
      </c>
      <c r="V945" s="29" t="str">
        <f t="shared" si="60"/>
        <v/>
      </c>
      <c r="W945" s="29" t="str">
        <f>IF(U945=1,COUNTIF($U$2:U945,1),"")</f>
        <v/>
      </c>
      <c r="X945" s="29" t="str">
        <f t="shared" si="61"/>
        <v/>
      </c>
      <c r="Y945" s="29" t="str">
        <f>IF(AND(LEFT($B945,7)="SBA 26/",$D945&lt;&gt;"",$F945&lt;&gt;""),COUNTIFS($D$2:$D945,$D945,$B$2:$B945,"SBA 26/*",$F$2:$F945,"&lt;&gt;"),"")</f>
        <v/>
      </c>
      <c r="Z945" s="29" t="str">
        <f>IF(Y945=1,COUNTIF($Y$2:Y945,1),"")</f>
        <v/>
      </c>
      <c r="AA945" s="29" t="str">
        <f>IF(AND(LEFT($B945,7)="SBA 26/",$C945&lt;&gt;"",$F945&lt;&gt;""),COUNTIFS($C$2:$C945,$C945,$B$2:$B945,"SBA 26/*",$F$2:$F945,"&lt;&gt;"),"")</f>
        <v/>
      </c>
      <c r="AB945" s="29" t="str">
        <f>IF(AA945=1,COUNTIF($AA$2:AA945,1),"")</f>
        <v/>
      </c>
    </row>
    <row r="946" spans="6:28" ht="31.5" customHeight="1" x14ac:dyDescent="0.2">
      <c r="F946" s="45" t="s">
        <v>3623</v>
      </c>
      <c r="T946" s="41"/>
      <c r="U946" s="29" t="str">
        <f>IF($C946&lt;&gt;"",COUNTIF($C$2:C946,C946),"")</f>
        <v/>
      </c>
      <c r="V946" s="29" t="str">
        <f t="shared" si="60"/>
        <v/>
      </c>
      <c r="W946" s="29" t="str">
        <f>IF(U946=1,COUNTIF($U$2:U946,1),"")</f>
        <v/>
      </c>
      <c r="X946" s="29" t="str">
        <f t="shared" si="61"/>
        <v/>
      </c>
      <c r="Y946" s="29" t="str">
        <f>IF(AND(LEFT($B946,7)="SBA 26/",$D946&lt;&gt;"",$F946&lt;&gt;""),COUNTIFS($D$2:$D946,$D946,$B$2:$B946,"SBA 26/*",$F$2:$F946,"&lt;&gt;"),"")</f>
        <v/>
      </c>
      <c r="Z946" s="29" t="str">
        <f>IF(Y946=1,COUNTIF($Y$2:Y946,1),"")</f>
        <v/>
      </c>
      <c r="AA946" s="29" t="str">
        <f>IF(AND(LEFT($B946,7)="SBA 26/",$C946&lt;&gt;"",$F946&lt;&gt;""),COUNTIFS($C$2:$C946,$C946,$B$2:$B946,"SBA 26/*",$F$2:$F946,"&lt;&gt;"),"")</f>
        <v/>
      </c>
      <c r="AB946" s="29" t="str">
        <f>IF(AA946=1,COUNTIF($AA$2:AA946,1),"")</f>
        <v/>
      </c>
    </row>
    <row r="947" spans="6:28" ht="63" customHeight="1" x14ac:dyDescent="0.2">
      <c r="F947" s="45" t="s">
        <v>3624</v>
      </c>
      <c r="T947" s="41"/>
      <c r="U947" s="29" t="str">
        <f>IF($C947&lt;&gt;"",COUNTIF($C$2:C947,C947),"")</f>
        <v/>
      </c>
      <c r="V947" s="29" t="str">
        <f t="shared" si="60"/>
        <v/>
      </c>
      <c r="W947" s="29" t="str">
        <f>IF(U947=1,COUNTIF($U$2:U947,1),"")</f>
        <v/>
      </c>
      <c r="X947" s="29" t="str">
        <f t="shared" si="61"/>
        <v/>
      </c>
      <c r="Y947" s="29" t="str">
        <f>IF(AND(LEFT($B947,7)="SBA 26/",$D947&lt;&gt;"",$F947&lt;&gt;""),COUNTIFS($D$2:$D947,$D947,$B$2:$B947,"SBA 26/*",$F$2:$F947,"&lt;&gt;"),"")</f>
        <v/>
      </c>
      <c r="Z947" s="29" t="str">
        <f>IF(Y947=1,COUNTIF($Y$2:Y947,1),"")</f>
        <v/>
      </c>
      <c r="AA947" s="29" t="str">
        <f>IF(AND(LEFT($B947,7)="SBA 26/",$C947&lt;&gt;"",$F947&lt;&gt;""),COUNTIFS($C$2:$C947,$C947,$B$2:$B947,"SBA 26/*",$F$2:$F947,"&lt;&gt;"),"")</f>
        <v/>
      </c>
      <c r="AB947" s="29" t="str">
        <f>IF(AA947=1,COUNTIF($AA$2:AA947,1),"")</f>
        <v/>
      </c>
    </row>
    <row r="948" spans="6:28" ht="47.25" customHeight="1" x14ac:dyDescent="0.2">
      <c r="F948" s="45" t="s">
        <v>3625</v>
      </c>
      <c r="T948" s="41"/>
      <c r="U948" s="29" t="str">
        <f>IF($C948&lt;&gt;"",COUNTIF($C$2:C948,C948),"")</f>
        <v/>
      </c>
      <c r="V948" s="29" t="str">
        <f t="shared" si="60"/>
        <v/>
      </c>
      <c r="W948" s="29" t="str">
        <f>IF(U948=1,COUNTIF($U$2:U948,1),"")</f>
        <v/>
      </c>
      <c r="X948" s="29" t="str">
        <f t="shared" si="61"/>
        <v/>
      </c>
      <c r="Y948" s="29" t="str">
        <f>IF(AND(LEFT($B948,7)="SBA 26/",$D948&lt;&gt;"",$F948&lt;&gt;""),COUNTIFS($D$2:$D948,$D948,$B$2:$B948,"SBA 26/*",$F$2:$F948,"&lt;&gt;"),"")</f>
        <v/>
      </c>
      <c r="Z948" s="29" t="str">
        <f>IF(Y948=1,COUNTIF($Y$2:Y948,1),"")</f>
        <v/>
      </c>
      <c r="AA948" s="29" t="str">
        <f>IF(AND(LEFT($B948,7)="SBA 26/",$C948&lt;&gt;"",$F948&lt;&gt;""),COUNTIFS($C$2:$C948,$C948,$B$2:$B948,"SBA 26/*",$F$2:$F948,"&lt;&gt;"),"")</f>
        <v/>
      </c>
      <c r="AB948" s="29" t="str">
        <f>IF(AA948=1,COUNTIF($AA$2:AA948,1),"")</f>
        <v/>
      </c>
    </row>
    <row r="949" spans="6:28" ht="47.25" customHeight="1" x14ac:dyDescent="0.2">
      <c r="F949" s="45" t="s">
        <v>3626</v>
      </c>
      <c r="T949" s="41"/>
      <c r="U949" s="29" t="str">
        <f>IF($C949&lt;&gt;"",COUNTIF($C$2:C949,C949),"")</f>
        <v/>
      </c>
      <c r="V949" s="29" t="str">
        <f t="shared" si="60"/>
        <v/>
      </c>
      <c r="W949" s="29" t="str">
        <f>IF(U949=1,COUNTIF($U$2:U949,1),"")</f>
        <v/>
      </c>
      <c r="X949" s="29" t="str">
        <f t="shared" si="61"/>
        <v/>
      </c>
      <c r="Y949" s="29" t="str">
        <f>IF(AND(LEFT($B949,7)="SBA 26/",$D949&lt;&gt;"",$F949&lt;&gt;""),COUNTIFS($D$2:$D949,$D949,$B$2:$B949,"SBA 26/*",$F$2:$F949,"&lt;&gt;"),"")</f>
        <v/>
      </c>
      <c r="Z949" s="29" t="str">
        <f>IF(Y949=1,COUNTIF($Y$2:Y949,1),"")</f>
        <v/>
      </c>
      <c r="AA949" s="29" t="str">
        <f>IF(AND(LEFT($B949,7)="SBA 26/",$C949&lt;&gt;"",$F949&lt;&gt;""),COUNTIFS($C$2:$C949,$C949,$B$2:$B949,"SBA 26/*",$F$2:$F949,"&lt;&gt;"),"")</f>
        <v/>
      </c>
      <c r="AB949" s="29" t="str">
        <f>IF(AA949=1,COUNTIF($AA$2:AA949,1),"")</f>
        <v/>
      </c>
    </row>
    <row r="950" spans="6:28" ht="31.5" customHeight="1" x14ac:dyDescent="0.2">
      <c r="F950" s="45" t="s">
        <v>3627</v>
      </c>
      <c r="T950" s="41"/>
      <c r="U950" s="29" t="str">
        <f>IF($C950&lt;&gt;"",COUNTIF($C$2:C950,C950),"")</f>
        <v/>
      </c>
      <c r="V950" s="29" t="str">
        <f t="shared" si="60"/>
        <v/>
      </c>
      <c r="W950" s="29" t="str">
        <f>IF(U950=1,COUNTIF($U$2:U950,1),"")</f>
        <v/>
      </c>
      <c r="X950" s="29" t="str">
        <f t="shared" si="61"/>
        <v/>
      </c>
      <c r="Y950" s="29" t="str">
        <f>IF(AND(LEFT($B950,7)="SBA 26/",$D950&lt;&gt;"",$F950&lt;&gt;""),COUNTIFS($D$2:$D950,$D950,$B$2:$B950,"SBA 26/*",$F$2:$F950,"&lt;&gt;"),"")</f>
        <v/>
      </c>
      <c r="Z950" s="29" t="str">
        <f>IF(Y950=1,COUNTIF($Y$2:Y950,1),"")</f>
        <v/>
      </c>
      <c r="AA950" s="29" t="str">
        <f>IF(AND(LEFT($B950,7)="SBA 26/",$C950&lt;&gt;"",$F950&lt;&gt;""),COUNTIFS($C$2:$C950,$C950,$B$2:$B950,"SBA 26/*",$F$2:$F950,"&lt;&gt;"),"")</f>
        <v/>
      </c>
      <c r="AB950" s="29" t="str">
        <f>IF(AA950=1,COUNTIF($AA$2:AA950,1),"")</f>
        <v/>
      </c>
    </row>
    <row r="951" spans="6:28" ht="31.5" customHeight="1" x14ac:dyDescent="0.2">
      <c r="F951" s="45" t="s">
        <v>3628</v>
      </c>
      <c r="T951" s="41"/>
      <c r="U951" s="29" t="str">
        <f>IF($C951&lt;&gt;"",COUNTIF($C$2:C951,C951),"")</f>
        <v/>
      </c>
      <c r="V951" s="29" t="str">
        <f t="shared" si="60"/>
        <v/>
      </c>
      <c r="W951" s="29" t="str">
        <f>IF(U951=1,COUNTIF($U$2:U951,1),"")</f>
        <v/>
      </c>
      <c r="X951" s="29" t="str">
        <f t="shared" si="61"/>
        <v/>
      </c>
      <c r="Y951" s="29" t="str">
        <f>IF(AND(LEFT($B951,7)="SBA 26/",$D951&lt;&gt;"",$F951&lt;&gt;""),COUNTIFS($D$2:$D951,$D951,$B$2:$B951,"SBA 26/*",$F$2:$F951,"&lt;&gt;"),"")</f>
        <v/>
      </c>
      <c r="Z951" s="29" t="str">
        <f>IF(Y951=1,COUNTIF($Y$2:Y951,1),"")</f>
        <v/>
      </c>
      <c r="AA951" s="29" t="str">
        <f>IF(AND(LEFT($B951,7)="SBA 26/",$C951&lt;&gt;"",$F951&lt;&gt;""),COUNTIFS($C$2:$C951,$C951,$B$2:$B951,"SBA 26/*",$F$2:$F951,"&lt;&gt;"),"")</f>
        <v/>
      </c>
      <c r="AB951" s="29" t="str">
        <f>IF(AA951=1,COUNTIF($AA$2:AA951,1),"")</f>
        <v/>
      </c>
    </row>
    <row r="952" spans="6:28" ht="31.5" customHeight="1" x14ac:dyDescent="0.2">
      <c r="F952" s="45" t="s">
        <v>3629</v>
      </c>
      <c r="T952" s="41"/>
      <c r="U952" s="29" t="str">
        <f>IF($C952&lt;&gt;"",COUNTIF($C$2:C952,C952),"")</f>
        <v/>
      </c>
      <c r="V952" s="29" t="str">
        <f t="shared" si="60"/>
        <v/>
      </c>
      <c r="W952" s="29" t="str">
        <f>IF(U952=1,COUNTIF($U$2:U952,1),"")</f>
        <v/>
      </c>
      <c r="X952" s="29" t="str">
        <f t="shared" si="61"/>
        <v/>
      </c>
      <c r="Y952" s="29" t="str">
        <f>IF(AND(LEFT($B952,7)="SBA 26/",$D952&lt;&gt;"",$F952&lt;&gt;""),COUNTIFS($D$2:$D952,$D952,$B$2:$B952,"SBA 26/*",$F$2:$F952,"&lt;&gt;"),"")</f>
        <v/>
      </c>
      <c r="Z952" s="29" t="str">
        <f>IF(Y952=1,COUNTIF($Y$2:Y952,1),"")</f>
        <v/>
      </c>
      <c r="AA952" s="29" t="str">
        <f>IF(AND(LEFT($B952,7)="SBA 26/",$C952&lt;&gt;"",$F952&lt;&gt;""),COUNTIFS($C$2:$C952,$C952,$B$2:$B952,"SBA 26/*",$F$2:$F952,"&lt;&gt;"),"")</f>
        <v/>
      </c>
      <c r="AB952" s="29" t="str">
        <f>IF(AA952=1,COUNTIF($AA$2:AA952,1),"")</f>
        <v/>
      </c>
    </row>
    <row r="953" spans="6:28" ht="31.5" customHeight="1" x14ac:dyDescent="0.2">
      <c r="F953" s="45" t="s">
        <v>3630</v>
      </c>
      <c r="T953" s="41"/>
      <c r="U953" s="29" t="str">
        <f>IF($C953&lt;&gt;"",COUNTIF($C$2:C953,C953),"")</f>
        <v/>
      </c>
      <c r="V953" s="29" t="str">
        <f t="shared" si="60"/>
        <v/>
      </c>
      <c r="W953" s="29" t="str">
        <f>IF(U953=1,COUNTIF($U$2:U953,1),"")</f>
        <v/>
      </c>
      <c r="X953" s="29" t="str">
        <f t="shared" si="61"/>
        <v/>
      </c>
      <c r="Y953" s="29" t="str">
        <f>IF(AND(LEFT($B953,7)="SBA 26/",$D953&lt;&gt;"",$F953&lt;&gt;""),COUNTIFS($D$2:$D953,$D953,$B$2:$B953,"SBA 26/*",$F$2:$F953,"&lt;&gt;"),"")</f>
        <v/>
      </c>
      <c r="Z953" s="29" t="str">
        <f>IF(Y953=1,COUNTIF($Y$2:Y953,1),"")</f>
        <v/>
      </c>
      <c r="AA953" s="29" t="str">
        <f>IF(AND(LEFT($B953,7)="SBA 26/",$C953&lt;&gt;"",$F953&lt;&gt;""),COUNTIFS($C$2:$C953,$C953,$B$2:$B953,"SBA 26/*",$F$2:$F953,"&lt;&gt;"),"")</f>
        <v/>
      </c>
      <c r="AB953" s="29" t="str">
        <f>IF(AA953=1,COUNTIF($AA$2:AA953,1),"")</f>
        <v/>
      </c>
    </row>
    <row r="954" spans="6:28" ht="47.25" customHeight="1" x14ac:dyDescent="0.2">
      <c r="F954" s="45" t="s">
        <v>3631</v>
      </c>
      <c r="T954" s="41"/>
      <c r="U954" s="29" t="str">
        <f>IF($C954&lt;&gt;"",COUNTIF($C$2:C954,C954),"")</f>
        <v/>
      </c>
      <c r="V954" s="29" t="str">
        <f t="shared" si="60"/>
        <v/>
      </c>
      <c r="W954" s="29" t="str">
        <f>IF(U954=1,COUNTIF($U$2:U954,1),"")</f>
        <v/>
      </c>
      <c r="X954" s="29" t="str">
        <f t="shared" si="61"/>
        <v/>
      </c>
      <c r="Y954" s="29" t="str">
        <f>IF(AND(LEFT($B954,7)="SBA 26/",$D954&lt;&gt;"",$F954&lt;&gt;""),COUNTIFS($D$2:$D954,$D954,$B$2:$B954,"SBA 26/*",$F$2:$F954,"&lt;&gt;"),"")</f>
        <v/>
      </c>
      <c r="Z954" s="29" t="str">
        <f>IF(Y954=1,COUNTIF($Y$2:Y954,1),"")</f>
        <v/>
      </c>
      <c r="AA954" s="29" t="str">
        <f>IF(AND(LEFT($B954,7)="SBA 26/",$C954&lt;&gt;"",$F954&lt;&gt;""),COUNTIFS($C$2:$C954,$C954,$B$2:$B954,"SBA 26/*",$F$2:$F954,"&lt;&gt;"),"")</f>
        <v/>
      </c>
      <c r="AB954" s="29" t="str">
        <f>IF(AA954=1,COUNTIF($AA$2:AA954,1),"")</f>
        <v/>
      </c>
    </row>
    <row r="955" spans="6:28" ht="47.25" customHeight="1" x14ac:dyDescent="0.2">
      <c r="F955" s="45" t="s">
        <v>3632</v>
      </c>
      <c r="T955" s="41"/>
      <c r="U955" s="29" t="str">
        <f>IF($C955&lt;&gt;"",COUNTIF($C$2:C955,C955),"")</f>
        <v/>
      </c>
      <c r="V955" s="29" t="str">
        <f t="shared" si="60"/>
        <v/>
      </c>
      <c r="W955" s="29" t="str">
        <f>IF(U955=1,COUNTIF($U$2:U955,1),"")</f>
        <v/>
      </c>
      <c r="X955" s="29" t="str">
        <f t="shared" si="61"/>
        <v/>
      </c>
      <c r="Y955" s="29" t="str">
        <f>IF(AND(LEFT($B955,7)="SBA 26/",$D955&lt;&gt;"",$F955&lt;&gt;""),COUNTIFS($D$2:$D955,$D955,$B$2:$B955,"SBA 26/*",$F$2:$F955,"&lt;&gt;"),"")</f>
        <v/>
      </c>
      <c r="Z955" s="29" t="str">
        <f>IF(Y955=1,COUNTIF($Y$2:Y955,1),"")</f>
        <v/>
      </c>
      <c r="AA955" s="29" t="str">
        <f>IF(AND(LEFT($B955,7)="SBA 26/",$C955&lt;&gt;"",$F955&lt;&gt;""),COUNTIFS($C$2:$C955,$C955,$B$2:$B955,"SBA 26/*",$F$2:$F955,"&lt;&gt;"),"")</f>
        <v/>
      </c>
      <c r="AB955" s="29" t="str">
        <f>IF(AA955=1,COUNTIF($AA$2:AA955,1),"")</f>
        <v/>
      </c>
    </row>
    <row r="956" spans="6:28" ht="63" customHeight="1" x14ac:dyDescent="0.2">
      <c r="F956" s="45" t="s">
        <v>3633</v>
      </c>
      <c r="T956" s="41"/>
      <c r="U956" s="29" t="str">
        <f>IF($C956&lt;&gt;"",COUNTIF($C$2:C956,C956),"")</f>
        <v/>
      </c>
      <c r="V956" s="29" t="str">
        <f t="shared" si="60"/>
        <v/>
      </c>
      <c r="W956" s="29" t="str">
        <f>IF(U956=1,COUNTIF($U$2:U956,1),"")</f>
        <v/>
      </c>
      <c r="X956" s="29" t="str">
        <f t="shared" si="61"/>
        <v/>
      </c>
      <c r="Y956" s="29" t="str">
        <f>IF(AND(LEFT($B956,7)="SBA 26/",$D956&lt;&gt;"",$F956&lt;&gt;""),COUNTIFS($D$2:$D956,$D956,$B$2:$B956,"SBA 26/*",$F$2:$F956,"&lt;&gt;"),"")</f>
        <v/>
      </c>
      <c r="Z956" s="29" t="str">
        <f>IF(Y956=1,COUNTIF($Y$2:Y956,1),"")</f>
        <v/>
      </c>
      <c r="AA956" s="29" t="str">
        <f>IF(AND(LEFT($B956,7)="SBA 26/",$C956&lt;&gt;"",$F956&lt;&gt;""),COUNTIFS($C$2:$C956,$C956,$B$2:$B956,"SBA 26/*",$F$2:$F956,"&lt;&gt;"),"")</f>
        <v/>
      </c>
      <c r="AB956" s="29" t="str">
        <f>IF(AA956=1,COUNTIF($AA$2:AA956,1),"")</f>
        <v/>
      </c>
    </row>
    <row r="957" spans="6:28" ht="63" customHeight="1" x14ac:dyDescent="0.2">
      <c r="F957" s="45" t="s">
        <v>3634</v>
      </c>
      <c r="T957" s="41"/>
      <c r="U957" s="29" t="str">
        <f>IF($C957&lt;&gt;"",COUNTIF($C$2:C957,C957),"")</f>
        <v/>
      </c>
      <c r="V957" s="29" t="str">
        <f t="shared" si="60"/>
        <v/>
      </c>
      <c r="W957" s="29" t="str">
        <f>IF(U957=1,COUNTIF($U$2:U957,1),"")</f>
        <v/>
      </c>
      <c r="X957" s="29" t="str">
        <f t="shared" si="61"/>
        <v/>
      </c>
      <c r="Y957" s="29" t="str">
        <f>IF(AND(LEFT($B957,7)="SBA 26/",$D957&lt;&gt;"",$F957&lt;&gt;""),COUNTIFS($D$2:$D957,$D957,$B$2:$B957,"SBA 26/*",$F$2:$F957,"&lt;&gt;"),"")</f>
        <v/>
      </c>
      <c r="Z957" s="29" t="str">
        <f>IF(Y957=1,COUNTIF($Y$2:Y957,1),"")</f>
        <v/>
      </c>
      <c r="AA957" s="29" t="str">
        <f>IF(AND(LEFT($B957,7)="SBA 26/",$C957&lt;&gt;"",$F957&lt;&gt;""),COUNTIFS($C$2:$C957,$C957,$B$2:$B957,"SBA 26/*",$F$2:$F957,"&lt;&gt;"),"")</f>
        <v/>
      </c>
      <c r="AB957" s="29" t="str">
        <f>IF(AA957=1,COUNTIF($AA$2:AA957,1),"")</f>
        <v/>
      </c>
    </row>
    <row r="958" spans="6:28" ht="31.5" customHeight="1" x14ac:dyDescent="0.2">
      <c r="F958" s="45" t="s">
        <v>3635</v>
      </c>
      <c r="T958" s="41"/>
      <c r="U958" s="29" t="str">
        <f>IF($C958&lt;&gt;"",COUNTIF($C$2:C958,C958),"")</f>
        <v/>
      </c>
      <c r="V958" s="29" t="str">
        <f t="shared" si="60"/>
        <v/>
      </c>
      <c r="W958" s="29" t="str">
        <f>IF(U958=1,COUNTIF($U$2:U958,1),"")</f>
        <v/>
      </c>
      <c r="X958" s="29" t="str">
        <f t="shared" si="61"/>
        <v/>
      </c>
      <c r="Y958" s="29" t="str">
        <f>IF(AND(LEFT($B958,7)="SBA 26/",$D958&lt;&gt;"",$F958&lt;&gt;""),COUNTIFS($D$2:$D958,$D958,$B$2:$B958,"SBA 26/*",$F$2:$F958,"&lt;&gt;"),"")</f>
        <v/>
      </c>
      <c r="Z958" s="29" t="str">
        <f>IF(Y958=1,COUNTIF($Y$2:Y958,1),"")</f>
        <v/>
      </c>
      <c r="AA958" s="29" t="str">
        <f>IF(AND(LEFT($B958,7)="SBA 26/",$C958&lt;&gt;"",$F958&lt;&gt;""),COUNTIFS($C$2:$C958,$C958,$B$2:$B958,"SBA 26/*",$F$2:$F958,"&lt;&gt;"),"")</f>
        <v/>
      </c>
      <c r="AB958" s="29" t="str">
        <f>IF(AA958=1,COUNTIF($AA$2:AA958,1),"")</f>
        <v/>
      </c>
    </row>
    <row r="959" spans="6:28" ht="31.5" customHeight="1" x14ac:dyDescent="0.2">
      <c r="F959" s="45" t="s">
        <v>3636</v>
      </c>
      <c r="T959" s="41"/>
      <c r="U959" s="29" t="str">
        <f>IF($C959&lt;&gt;"",COUNTIF($C$2:C959,C959),"")</f>
        <v/>
      </c>
      <c r="V959" s="29" t="str">
        <f t="shared" si="60"/>
        <v/>
      </c>
      <c r="W959" s="29" t="str">
        <f>IF(U959=1,COUNTIF($U$2:U959,1),"")</f>
        <v/>
      </c>
      <c r="X959" s="29" t="str">
        <f t="shared" si="61"/>
        <v/>
      </c>
      <c r="Y959" s="29" t="str">
        <f>IF(AND(LEFT($B959,7)="SBA 26/",$D959&lt;&gt;"",$F959&lt;&gt;""),COUNTIFS($D$2:$D959,$D959,$B$2:$B959,"SBA 26/*",$F$2:$F959,"&lt;&gt;"),"")</f>
        <v/>
      </c>
      <c r="Z959" s="29" t="str">
        <f>IF(Y959=1,COUNTIF($Y$2:Y959,1),"")</f>
        <v/>
      </c>
      <c r="AA959" s="29" t="str">
        <f>IF(AND(LEFT($B959,7)="SBA 26/",$C959&lt;&gt;"",$F959&lt;&gt;""),COUNTIFS($C$2:$C959,$C959,$B$2:$B959,"SBA 26/*",$F$2:$F959,"&lt;&gt;"),"")</f>
        <v/>
      </c>
      <c r="AB959" s="29" t="str">
        <f>IF(AA959=1,COUNTIF($AA$2:AA959,1),"")</f>
        <v/>
      </c>
    </row>
    <row r="960" spans="6:28" ht="47.25" customHeight="1" x14ac:dyDescent="0.2">
      <c r="F960" s="45" t="s">
        <v>3637</v>
      </c>
      <c r="T960" s="41"/>
      <c r="U960" s="29" t="str">
        <f>IF($C960&lt;&gt;"",COUNTIF($C$2:C960,C960),"")</f>
        <v/>
      </c>
      <c r="V960" s="29" t="str">
        <f t="shared" si="60"/>
        <v/>
      </c>
      <c r="W960" s="29" t="str">
        <f>IF(U960=1,COUNTIF($U$2:U960,1),"")</f>
        <v/>
      </c>
      <c r="X960" s="29" t="str">
        <f t="shared" si="61"/>
        <v/>
      </c>
      <c r="Y960" s="29" t="str">
        <f>IF(AND(LEFT($B960,7)="SBA 26/",$D960&lt;&gt;"",$F960&lt;&gt;""),COUNTIFS($D$2:$D960,$D960,$B$2:$B960,"SBA 26/*",$F$2:$F960,"&lt;&gt;"),"")</f>
        <v/>
      </c>
      <c r="Z960" s="29" t="str">
        <f>IF(Y960=1,COUNTIF($Y$2:Y960,1),"")</f>
        <v/>
      </c>
      <c r="AA960" s="29" t="str">
        <f>IF(AND(LEFT($B960,7)="SBA 26/",$C960&lt;&gt;"",$F960&lt;&gt;""),COUNTIFS($C$2:$C960,$C960,$B$2:$B960,"SBA 26/*",$F$2:$F960,"&lt;&gt;"),"")</f>
        <v/>
      </c>
      <c r="AB960" s="29" t="str">
        <f>IF(AA960=1,COUNTIF($AA$2:AA960,1),"")</f>
        <v/>
      </c>
    </row>
    <row r="961" spans="6:28" ht="31.5" customHeight="1" x14ac:dyDescent="0.2">
      <c r="F961" s="45" t="s">
        <v>3638</v>
      </c>
      <c r="T961" s="41"/>
      <c r="U961" s="29" t="str">
        <f>IF($C961&lt;&gt;"",COUNTIF($C$2:C961,C961),"")</f>
        <v/>
      </c>
      <c r="V961" s="29" t="str">
        <f t="shared" si="60"/>
        <v/>
      </c>
      <c r="W961" s="29" t="str">
        <f>IF(U961=1,COUNTIF($U$2:U961,1),"")</f>
        <v/>
      </c>
      <c r="X961" s="29" t="str">
        <f t="shared" si="61"/>
        <v/>
      </c>
      <c r="Y961" s="29" t="str">
        <f>IF(AND(LEFT($B961,7)="SBA 26/",$D961&lt;&gt;"",$F961&lt;&gt;""),COUNTIFS($D$2:$D961,$D961,$B$2:$B961,"SBA 26/*",$F$2:$F961,"&lt;&gt;"),"")</f>
        <v/>
      </c>
      <c r="Z961" s="29" t="str">
        <f>IF(Y961=1,COUNTIF($Y$2:Y961,1),"")</f>
        <v/>
      </c>
      <c r="AA961" s="29" t="str">
        <f>IF(AND(LEFT($B961,7)="SBA 26/",$C961&lt;&gt;"",$F961&lt;&gt;""),COUNTIFS($C$2:$C961,$C961,$B$2:$B961,"SBA 26/*",$F$2:$F961,"&lt;&gt;"),"")</f>
        <v/>
      </c>
      <c r="AB961" s="29" t="str">
        <f>IF(AA961=1,COUNTIF($AA$2:AA961,1),"")</f>
        <v/>
      </c>
    </row>
    <row r="962" spans="6:28" ht="31.5" customHeight="1" x14ac:dyDescent="0.2">
      <c r="F962" s="45" t="s">
        <v>3639</v>
      </c>
      <c r="T962" s="41"/>
      <c r="U962" s="29" t="str">
        <f>IF($C962&lt;&gt;"",COUNTIF($C$2:C962,C962),"")</f>
        <v/>
      </c>
      <c r="V962" s="29" t="str">
        <f t="shared" ref="V962:V1025" si="62">IF($C962&lt;&gt;"",C962&amp;"§"&amp;U962,"")</f>
        <v/>
      </c>
      <c r="W962" s="29" t="str">
        <f>IF(U962=1,COUNTIF($U$2:U962,1),"")</f>
        <v/>
      </c>
      <c r="X962" s="29" t="str">
        <f t="shared" si="61"/>
        <v/>
      </c>
      <c r="Y962" s="29" t="str">
        <f>IF(AND(LEFT($B962,7)="SBA 26/",$D962&lt;&gt;"",$F962&lt;&gt;""),COUNTIFS($D$2:$D962,$D962,$B$2:$B962,"SBA 26/*",$F$2:$F962,"&lt;&gt;"),"")</f>
        <v/>
      </c>
      <c r="Z962" s="29" t="str">
        <f>IF(Y962=1,COUNTIF($Y$2:Y962,1),"")</f>
        <v/>
      </c>
      <c r="AA962" s="29" t="str">
        <f>IF(AND(LEFT($B962,7)="SBA 26/",$C962&lt;&gt;"",$F962&lt;&gt;""),COUNTIFS($C$2:$C962,$C962,$B$2:$B962,"SBA 26/*",$F$2:$F962,"&lt;&gt;"),"")</f>
        <v/>
      </c>
      <c r="AB962" s="29" t="str">
        <f>IF(AA962=1,COUNTIF($AA$2:AA962,1),"")</f>
        <v/>
      </c>
    </row>
    <row r="963" spans="6:28" ht="63" customHeight="1" x14ac:dyDescent="0.2">
      <c r="F963" s="45" t="s">
        <v>3640</v>
      </c>
      <c r="T963" s="41"/>
      <c r="U963" s="29" t="str">
        <f>IF($C963&lt;&gt;"",COUNTIF($C$2:C963,C963),"")</f>
        <v/>
      </c>
      <c r="V963" s="29" t="str">
        <f t="shared" si="62"/>
        <v/>
      </c>
      <c r="W963" s="29" t="str">
        <f>IF(U963=1,COUNTIF($U$2:U963,1),"")</f>
        <v/>
      </c>
      <c r="X963" s="29" t="str">
        <f t="shared" si="61"/>
        <v/>
      </c>
      <c r="Y963" s="29" t="str">
        <f>IF(AND(LEFT($B963,7)="SBA 26/",$D963&lt;&gt;"",$F963&lt;&gt;""),COUNTIFS($D$2:$D963,$D963,$B$2:$B963,"SBA 26/*",$F$2:$F963,"&lt;&gt;"),"")</f>
        <v/>
      </c>
      <c r="Z963" s="29" t="str">
        <f>IF(Y963=1,COUNTIF($Y$2:Y963,1),"")</f>
        <v/>
      </c>
      <c r="AA963" s="29" t="str">
        <f>IF(AND(LEFT($B963,7)="SBA 26/",$C963&lt;&gt;"",$F963&lt;&gt;""),COUNTIFS($C$2:$C963,$C963,$B$2:$B963,"SBA 26/*",$F$2:$F963,"&lt;&gt;"),"")</f>
        <v/>
      </c>
      <c r="AB963" s="29" t="str">
        <f>IF(AA963=1,COUNTIF($AA$2:AA963,1),"")</f>
        <v/>
      </c>
    </row>
    <row r="964" spans="6:28" ht="31.5" customHeight="1" x14ac:dyDescent="0.2">
      <c r="F964" s="45" t="s">
        <v>3641</v>
      </c>
      <c r="T964" s="41"/>
      <c r="U964" s="29" t="str">
        <f>IF($C964&lt;&gt;"",COUNTIF($C$2:C964,C964),"")</f>
        <v/>
      </c>
      <c r="V964" s="29" t="str">
        <f t="shared" si="62"/>
        <v/>
      </c>
      <c r="W964" s="29" t="str">
        <f>IF(U964=1,COUNTIF($U$2:U964,1),"")</f>
        <v/>
      </c>
      <c r="X964" s="29" t="str">
        <f t="shared" si="61"/>
        <v/>
      </c>
      <c r="Y964" s="29" t="str">
        <f>IF(AND(LEFT($B964,7)="SBA 26/",$D964&lt;&gt;"",$F964&lt;&gt;""),COUNTIFS($D$2:$D964,$D964,$B$2:$B964,"SBA 26/*",$F$2:$F964,"&lt;&gt;"),"")</f>
        <v/>
      </c>
      <c r="Z964" s="29" t="str">
        <f>IF(Y964=1,COUNTIF($Y$2:Y964,1),"")</f>
        <v/>
      </c>
      <c r="AA964" s="29" t="str">
        <f>IF(AND(LEFT($B964,7)="SBA 26/",$C964&lt;&gt;"",$F964&lt;&gt;""),COUNTIFS($C$2:$C964,$C964,$B$2:$B964,"SBA 26/*",$F$2:$F964,"&lt;&gt;"),"")</f>
        <v/>
      </c>
      <c r="AB964" s="29" t="str">
        <f>IF(AA964=1,COUNTIF($AA$2:AA964,1),"")</f>
        <v/>
      </c>
    </row>
    <row r="965" spans="6:28" ht="47.25" customHeight="1" x14ac:dyDescent="0.2">
      <c r="F965" s="45" t="s">
        <v>3642</v>
      </c>
      <c r="T965" s="41"/>
      <c r="U965" s="29" t="str">
        <f>IF($C965&lt;&gt;"",COUNTIF($C$2:C965,C965),"")</f>
        <v/>
      </c>
      <c r="V965" s="29" t="str">
        <f t="shared" si="62"/>
        <v/>
      </c>
      <c r="W965" s="29" t="str">
        <f>IF(U965=1,COUNTIF($U$2:U965,1),"")</f>
        <v/>
      </c>
      <c r="X965" s="29" t="str">
        <f t="shared" si="61"/>
        <v/>
      </c>
      <c r="Y965" s="29" t="str">
        <f>IF(AND(LEFT($B965,7)="SBA 26/",$D965&lt;&gt;"",$F965&lt;&gt;""),COUNTIFS($D$2:$D965,$D965,$B$2:$B965,"SBA 26/*",$F$2:$F965,"&lt;&gt;"),"")</f>
        <v/>
      </c>
      <c r="Z965" s="29" t="str">
        <f>IF(Y965=1,COUNTIF($Y$2:Y965,1),"")</f>
        <v/>
      </c>
      <c r="AA965" s="29" t="str">
        <f>IF(AND(LEFT($B965,7)="SBA 26/",$C965&lt;&gt;"",$F965&lt;&gt;""),COUNTIFS($C$2:$C965,$C965,$B$2:$B965,"SBA 26/*",$F$2:$F965,"&lt;&gt;"),"")</f>
        <v/>
      </c>
      <c r="AB965" s="29" t="str">
        <f>IF(AA965=1,COUNTIF($AA$2:AA965,1),"")</f>
        <v/>
      </c>
    </row>
    <row r="966" spans="6:28" ht="47.25" customHeight="1" x14ac:dyDescent="0.2">
      <c r="F966" s="45" t="s">
        <v>3643</v>
      </c>
      <c r="T966" s="41"/>
      <c r="U966" s="29" t="str">
        <f>IF($C966&lt;&gt;"",COUNTIF($C$2:C966,C966),"")</f>
        <v/>
      </c>
      <c r="V966" s="29" t="str">
        <f t="shared" si="62"/>
        <v/>
      </c>
      <c r="W966" s="29" t="str">
        <f>IF(U966=1,COUNTIF($U$2:U966,1),"")</f>
        <v/>
      </c>
      <c r="X966" s="29" t="str">
        <f t="shared" si="61"/>
        <v/>
      </c>
      <c r="Y966" s="29" t="str">
        <f>IF(AND(LEFT($B966,7)="SBA 26/",$D966&lt;&gt;"",$F966&lt;&gt;""),COUNTIFS($D$2:$D966,$D966,$B$2:$B966,"SBA 26/*",$F$2:$F966,"&lt;&gt;"),"")</f>
        <v/>
      </c>
      <c r="Z966" s="29" t="str">
        <f>IF(Y966=1,COUNTIF($Y$2:Y966,1),"")</f>
        <v/>
      </c>
      <c r="AA966" s="29" t="str">
        <f>IF(AND(LEFT($B966,7)="SBA 26/",$C966&lt;&gt;"",$F966&lt;&gt;""),COUNTIFS($C$2:$C966,$C966,$B$2:$B966,"SBA 26/*",$F$2:$F966,"&lt;&gt;"),"")</f>
        <v/>
      </c>
      <c r="AB966" s="29" t="str">
        <f>IF(AA966=1,COUNTIF($AA$2:AA966,1),"")</f>
        <v/>
      </c>
    </row>
    <row r="967" spans="6:28" ht="47.25" customHeight="1" x14ac:dyDescent="0.2">
      <c r="F967" s="45" t="s">
        <v>3644</v>
      </c>
      <c r="T967" s="41"/>
      <c r="U967" s="29" t="str">
        <f>IF($C967&lt;&gt;"",COUNTIF($C$2:C967,C967),"")</f>
        <v/>
      </c>
      <c r="V967" s="29" t="str">
        <f t="shared" si="62"/>
        <v/>
      </c>
      <c r="W967" s="29" t="str">
        <f>IF(U967=1,COUNTIF($U$2:U967,1),"")</f>
        <v/>
      </c>
      <c r="X967" s="29" t="str">
        <f t="shared" si="61"/>
        <v/>
      </c>
      <c r="Y967" s="29" t="str">
        <f>IF(AND(LEFT($B967,7)="SBA 26/",$D967&lt;&gt;"",$F967&lt;&gt;""),COUNTIFS($D$2:$D967,$D967,$B$2:$B967,"SBA 26/*",$F$2:$F967,"&lt;&gt;"),"")</f>
        <v/>
      </c>
      <c r="Z967" s="29" t="str">
        <f>IF(Y967=1,COUNTIF($Y$2:Y967,1),"")</f>
        <v/>
      </c>
      <c r="AA967" s="29" t="str">
        <f>IF(AND(LEFT($B967,7)="SBA 26/",$C967&lt;&gt;"",$F967&lt;&gt;""),COUNTIFS($C$2:$C967,$C967,$B$2:$B967,"SBA 26/*",$F$2:$F967,"&lt;&gt;"),"")</f>
        <v/>
      </c>
      <c r="AB967" s="29" t="str">
        <f>IF(AA967=1,COUNTIF($AA$2:AA967,1),"")</f>
        <v/>
      </c>
    </row>
    <row r="968" spans="6:28" ht="47.25" customHeight="1" x14ac:dyDescent="0.2">
      <c r="F968" s="45" t="s">
        <v>3645</v>
      </c>
      <c r="T968" s="41"/>
      <c r="U968" s="29" t="str">
        <f>IF($C968&lt;&gt;"",COUNTIF($C$2:C968,C968),"")</f>
        <v/>
      </c>
      <c r="V968" s="29" t="str">
        <f t="shared" si="62"/>
        <v/>
      </c>
      <c r="W968" s="29" t="str">
        <f>IF(U968=1,COUNTIF($U$2:U968,1),"")</f>
        <v/>
      </c>
      <c r="X968" s="29" t="str">
        <f t="shared" si="61"/>
        <v/>
      </c>
      <c r="Y968" s="29" t="str">
        <f>IF(AND(LEFT($B968,7)="SBA 26/",$D968&lt;&gt;"",$F968&lt;&gt;""),COUNTIFS($D$2:$D968,$D968,$B$2:$B968,"SBA 26/*",$F$2:$F968,"&lt;&gt;"),"")</f>
        <v/>
      </c>
      <c r="Z968" s="29" t="str">
        <f>IF(Y968=1,COUNTIF($Y$2:Y968,1),"")</f>
        <v/>
      </c>
      <c r="AA968" s="29" t="str">
        <f>IF(AND(LEFT($B968,7)="SBA 26/",$C968&lt;&gt;"",$F968&lt;&gt;""),COUNTIFS($C$2:$C968,$C968,$B$2:$B968,"SBA 26/*",$F$2:$F968,"&lt;&gt;"),"")</f>
        <v/>
      </c>
      <c r="AB968" s="29" t="str">
        <f>IF(AA968=1,COUNTIF($AA$2:AA968,1),"")</f>
        <v/>
      </c>
    </row>
    <row r="969" spans="6:28" ht="47.25" customHeight="1" x14ac:dyDescent="0.2">
      <c r="F969" s="45" t="s">
        <v>3646</v>
      </c>
      <c r="T969" s="41"/>
      <c r="U969" s="29" t="str">
        <f>IF($C969&lt;&gt;"",COUNTIF($C$2:C969,C969),"")</f>
        <v/>
      </c>
      <c r="V969" s="29" t="str">
        <f t="shared" si="62"/>
        <v/>
      </c>
      <c r="W969" s="29" t="str">
        <f>IF(U969=1,COUNTIF($U$2:U969,1),"")</f>
        <v/>
      </c>
      <c r="X969" s="29" t="str">
        <f t="shared" si="61"/>
        <v/>
      </c>
      <c r="Y969" s="29" t="str">
        <f>IF(AND(LEFT($B969,7)="SBA 26/",$D969&lt;&gt;"",$F969&lt;&gt;""),COUNTIFS($D$2:$D969,$D969,$B$2:$B969,"SBA 26/*",$F$2:$F969,"&lt;&gt;"),"")</f>
        <v/>
      </c>
      <c r="Z969" s="29" t="str">
        <f>IF(Y969=1,COUNTIF($Y$2:Y969,1),"")</f>
        <v/>
      </c>
      <c r="AA969" s="29" t="str">
        <f>IF(AND(LEFT($B969,7)="SBA 26/",$C969&lt;&gt;"",$F969&lt;&gt;""),COUNTIFS($C$2:$C969,$C969,$B$2:$B969,"SBA 26/*",$F$2:$F969,"&lt;&gt;"),"")</f>
        <v/>
      </c>
      <c r="AB969" s="29" t="str">
        <f>IF(AA969=1,COUNTIF($AA$2:AA969,1),"")</f>
        <v/>
      </c>
    </row>
    <row r="970" spans="6:28" ht="47.25" customHeight="1" x14ac:dyDescent="0.2">
      <c r="F970" s="45" t="s">
        <v>3647</v>
      </c>
      <c r="T970" s="41"/>
      <c r="U970" s="29" t="str">
        <f>IF($C970&lt;&gt;"",COUNTIF($C$2:C970,C970),"")</f>
        <v/>
      </c>
      <c r="V970" s="29" t="str">
        <f t="shared" si="62"/>
        <v/>
      </c>
      <c r="W970" s="29" t="str">
        <f>IF(U970=1,COUNTIF($U$2:U970,1),"")</f>
        <v/>
      </c>
      <c r="X970" s="29" t="str">
        <f t="shared" si="61"/>
        <v/>
      </c>
      <c r="Y970" s="29" t="str">
        <f>IF(AND(LEFT($B970,7)="SBA 26/",$D970&lt;&gt;"",$F970&lt;&gt;""),COUNTIFS($D$2:$D970,$D970,$B$2:$B970,"SBA 26/*",$F$2:$F970,"&lt;&gt;"),"")</f>
        <v/>
      </c>
      <c r="Z970" s="29" t="str">
        <f>IF(Y970=1,COUNTIF($Y$2:Y970,1),"")</f>
        <v/>
      </c>
      <c r="AA970" s="29" t="str">
        <f>IF(AND(LEFT($B970,7)="SBA 26/",$C970&lt;&gt;"",$F970&lt;&gt;""),COUNTIFS($C$2:$C970,$C970,$B$2:$B970,"SBA 26/*",$F$2:$F970,"&lt;&gt;"),"")</f>
        <v/>
      </c>
      <c r="AB970" s="29" t="str">
        <f>IF(AA970=1,COUNTIF($AA$2:AA970,1),"")</f>
        <v/>
      </c>
    </row>
    <row r="971" spans="6:28" ht="47.25" customHeight="1" x14ac:dyDescent="0.2">
      <c r="F971" s="45" t="s">
        <v>3648</v>
      </c>
      <c r="T971" s="41"/>
      <c r="U971" s="29" t="str">
        <f>IF($C971&lt;&gt;"",COUNTIF($C$2:C971,C971),"")</f>
        <v/>
      </c>
      <c r="V971" s="29" t="str">
        <f t="shared" si="62"/>
        <v/>
      </c>
      <c r="W971" s="29" t="str">
        <f>IF(U971=1,COUNTIF($U$2:U971,1),"")</f>
        <v/>
      </c>
      <c r="X971" s="29" t="str">
        <f t="shared" si="61"/>
        <v/>
      </c>
      <c r="Y971" s="29" t="str">
        <f>IF(AND(LEFT($B971,7)="SBA 26/",$D971&lt;&gt;"",$F971&lt;&gt;""),COUNTIFS($D$2:$D971,$D971,$B$2:$B971,"SBA 26/*",$F$2:$F971,"&lt;&gt;"),"")</f>
        <v/>
      </c>
      <c r="Z971" s="29" t="str">
        <f>IF(Y971=1,COUNTIF($Y$2:Y971,1),"")</f>
        <v/>
      </c>
      <c r="AA971" s="29" t="str">
        <f>IF(AND(LEFT($B971,7)="SBA 26/",$C971&lt;&gt;"",$F971&lt;&gt;""),COUNTIFS($C$2:$C971,$C971,$B$2:$B971,"SBA 26/*",$F$2:$F971,"&lt;&gt;"),"")</f>
        <v/>
      </c>
      <c r="AB971" s="29" t="str">
        <f>IF(AA971=1,COUNTIF($AA$2:AA971,1),"")</f>
        <v/>
      </c>
    </row>
    <row r="972" spans="6:28" ht="63" customHeight="1" x14ac:dyDescent="0.2">
      <c r="F972" s="45" t="s">
        <v>3649</v>
      </c>
      <c r="T972" s="41"/>
      <c r="U972" s="29" t="str">
        <f>IF($C972&lt;&gt;"",COUNTIF($C$2:C972,C972),"")</f>
        <v/>
      </c>
      <c r="V972" s="29" t="str">
        <f t="shared" si="62"/>
        <v/>
      </c>
      <c r="W972" s="29" t="str">
        <f>IF(U972=1,COUNTIF($U$2:U972,1),"")</f>
        <v/>
      </c>
      <c r="X972" s="29" t="str">
        <f t="shared" si="61"/>
        <v/>
      </c>
      <c r="Y972" s="29" t="str">
        <f>IF(AND(LEFT($B972,7)="SBA 26/",$D972&lt;&gt;"",$F972&lt;&gt;""),COUNTIFS($D$2:$D972,$D972,$B$2:$B972,"SBA 26/*",$F$2:$F972,"&lt;&gt;"),"")</f>
        <v/>
      </c>
      <c r="Z972" s="29" t="str">
        <f>IF(Y972=1,COUNTIF($Y$2:Y972,1),"")</f>
        <v/>
      </c>
      <c r="AA972" s="29" t="str">
        <f>IF(AND(LEFT($B972,7)="SBA 26/",$C972&lt;&gt;"",$F972&lt;&gt;""),COUNTIFS($C$2:$C972,$C972,$B$2:$B972,"SBA 26/*",$F$2:$F972,"&lt;&gt;"),"")</f>
        <v/>
      </c>
      <c r="AB972" s="29" t="str">
        <f>IF(AA972=1,COUNTIF($AA$2:AA972,1),"")</f>
        <v/>
      </c>
    </row>
    <row r="973" spans="6:28" ht="47.25" customHeight="1" x14ac:dyDescent="0.2">
      <c r="F973" s="45" t="s">
        <v>3650</v>
      </c>
      <c r="T973" s="41"/>
      <c r="U973" s="29" t="str">
        <f>IF($C973&lt;&gt;"",COUNTIF($C$2:C973,C973),"")</f>
        <v/>
      </c>
      <c r="V973" s="29" t="str">
        <f t="shared" si="62"/>
        <v/>
      </c>
      <c r="W973" s="29" t="str">
        <f>IF(U973=1,COUNTIF($U$2:U973,1),"")</f>
        <v/>
      </c>
      <c r="X973" s="29" t="str">
        <f t="shared" si="61"/>
        <v/>
      </c>
      <c r="Y973" s="29" t="str">
        <f>IF(AND(LEFT($B973,7)="SBA 26/",$D973&lt;&gt;"",$F973&lt;&gt;""),COUNTIFS($D$2:$D973,$D973,$B$2:$B973,"SBA 26/*",$F$2:$F973,"&lt;&gt;"),"")</f>
        <v/>
      </c>
      <c r="Z973" s="29" t="str">
        <f>IF(Y973=1,COUNTIF($Y$2:Y973,1),"")</f>
        <v/>
      </c>
      <c r="AA973" s="29" t="str">
        <f>IF(AND(LEFT($B973,7)="SBA 26/",$C973&lt;&gt;"",$F973&lt;&gt;""),COUNTIFS($C$2:$C973,$C973,$B$2:$B973,"SBA 26/*",$F$2:$F973,"&lt;&gt;"),"")</f>
        <v/>
      </c>
      <c r="AB973" s="29" t="str">
        <f>IF(AA973=1,COUNTIF($AA$2:AA973,1),"")</f>
        <v/>
      </c>
    </row>
    <row r="974" spans="6:28" ht="47.25" customHeight="1" x14ac:dyDescent="0.2">
      <c r="F974" s="45" t="s">
        <v>3651</v>
      </c>
      <c r="T974" s="41"/>
      <c r="U974" s="29" t="str">
        <f>IF($C974&lt;&gt;"",COUNTIF($C$2:C974,C974),"")</f>
        <v/>
      </c>
      <c r="V974" s="29" t="str">
        <f t="shared" si="62"/>
        <v/>
      </c>
      <c r="W974" s="29" t="str">
        <f>IF(U974=1,COUNTIF($U$2:U974,1),"")</f>
        <v/>
      </c>
      <c r="X974" s="29" t="str">
        <f t="shared" si="61"/>
        <v/>
      </c>
      <c r="Y974" s="29" t="str">
        <f>IF(AND(LEFT($B974,7)="SBA 26/",$D974&lt;&gt;"",$F974&lt;&gt;""),COUNTIFS($D$2:$D974,$D974,$B$2:$B974,"SBA 26/*",$F$2:$F974,"&lt;&gt;"),"")</f>
        <v/>
      </c>
      <c r="Z974" s="29" t="str">
        <f>IF(Y974=1,COUNTIF($Y$2:Y974,1),"")</f>
        <v/>
      </c>
      <c r="AA974" s="29" t="str">
        <f>IF(AND(LEFT($B974,7)="SBA 26/",$C974&lt;&gt;"",$F974&lt;&gt;""),COUNTIFS($C$2:$C974,$C974,$B$2:$B974,"SBA 26/*",$F$2:$F974,"&lt;&gt;"),"")</f>
        <v/>
      </c>
      <c r="AB974" s="29" t="str">
        <f>IF(AA974=1,COUNTIF($AA$2:AA974,1),"")</f>
        <v/>
      </c>
    </row>
    <row r="975" spans="6:28" ht="31.5" customHeight="1" x14ac:dyDescent="0.2">
      <c r="F975" s="45" t="s">
        <v>3652</v>
      </c>
      <c r="T975" s="41"/>
      <c r="U975" s="29" t="str">
        <f>IF($C975&lt;&gt;"",COUNTIF($C$2:C975,C975),"")</f>
        <v/>
      </c>
      <c r="V975" s="29" t="str">
        <f t="shared" si="62"/>
        <v/>
      </c>
      <c r="W975" s="29" t="str">
        <f>IF(U975=1,COUNTIF($U$2:U975,1),"")</f>
        <v/>
      </c>
      <c r="X975" s="29" t="str">
        <f t="shared" si="61"/>
        <v/>
      </c>
      <c r="Y975" s="29" t="str">
        <f>IF(AND(LEFT($B975,7)="SBA 26/",$D975&lt;&gt;"",$F975&lt;&gt;""),COUNTIFS($D$2:$D975,$D975,$B$2:$B975,"SBA 26/*",$F$2:$F975,"&lt;&gt;"),"")</f>
        <v/>
      </c>
      <c r="Z975" s="29" t="str">
        <f>IF(Y975=1,COUNTIF($Y$2:Y975,1),"")</f>
        <v/>
      </c>
      <c r="AA975" s="29" t="str">
        <f>IF(AND(LEFT($B975,7)="SBA 26/",$C975&lt;&gt;"",$F975&lt;&gt;""),COUNTIFS($C$2:$C975,$C975,$B$2:$B975,"SBA 26/*",$F$2:$F975,"&lt;&gt;"),"")</f>
        <v/>
      </c>
      <c r="AB975" s="29" t="str">
        <f>IF(AA975=1,COUNTIF($AA$2:AA975,1),"")</f>
        <v/>
      </c>
    </row>
    <row r="976" spans="6:28" ht="31.5" customHeight="1" x14ac:dyDescent="0.2">
      <c r="F976" s="45" t="s">
        <v>3653</v>
      </c>
      <c r="T976" s="41"/>
      <c r="U976" s="29" t="str">
        <f>IF($C976&lt;&gt;"",COUNTIF($C$2:C976,C976),"")</f>
        <v/>
      </c>
      <c r="V976" s="29" t="str">
        <f t="shared" si="62"/>
        <v/>
      </c>
      <c r="W976" s="29" t="str">
        <f>IF(U976=1,COUNTIF($U$2:U976,1),"")</f>
        <v/>
      </c>
      <c r="X976" s="29" t="str">
        <f t="shared" si="61"/>
        <v/>
      </c>
      <c r="Y976" s="29" t="str">
        <f>IF(AND(LEFT($B976,7)="SBA 26/",$D976&lt;&gt;"",$F976&lt;&gt;""),COUNTIFS($D$2:$D976,$D976,$B$2:$B976,"SBA 26/*",$F$2:$F976,"&lt;&gt;"),"")</f>
        <v/>
      </c>
      <c r="Z976" s="29" t="str">
        <f>IF(Y976=1,COUNTIF($Y$2:Y976,1),"")</f>
        <v/>
      </c>
      <c r="AA976" s="29" t="str">
        <f>IF(AND(LEFT($B976,7)="SBA 26/",$C976&lt;&gt;"",$F976&lt;&gt;""),COUNTIFS($C$2:$C976,$C976,$B$2:$B976,"SBA 26/*",$F$2:$F976,"&lt;&gt;"),"")</f>
        <v/>
      </c>
      <c r="AB976" s="29" t="str">
        <f>IF(AA976=1,COUNTIF($AA$2:AA976,1),"")</f>
        <v/>
      </c>
    </row>
    <row r="977" spans="6:28" ht="47.25" customHeight="1" x14ac:dyDescent="0.2">
      <c r="F977" s="45" t="s">
        <v>3654</v>
      </c>
      <c r="T977" s="41"/>
      <c r="U977" s="29" t="str">
        <f>IF($C977&lt;&gt;"",COUNTIF($C$2:C977,C977),"")</f>
        <v/>
      </c>
      <c r="V977" s="29" t="str">
        <f t="shared" si="62"/>
        <v/>
      </c>
      <c r="W977" s="29" t="str">
        <f>IF(U977=1,COUNTIF($U$2:U977,1),"")</f>
        <v/>
      </c>
      <c r="X977" s="29" t="str">
        <f t="shared" si="61"/>
        <v/>
      </c>
      <c r="Y977" s="29" t="str">
        <f>IF(AND(LEFT($B977,7)="SBA 26/",$D977&lt;&gt;"",$F977&lt;&gt;""),COUNTIFS($D$2:$D977,$D977,$B$2:$B977,"SBA 26/*",$F$2:$F977,"&lt;&gt;"),"")</f>
        <v/>
      </c>
      <c r="Z977" s="29" t="str">
        <f>IF(Y977=1,COUNTIF($Y$2:Y977,1),"")</f>
        <v/>
      </c>
      <c r="AA977" s="29" t="str">
        <f>IF(AND(LEFT($B977,7)="SBA 26/",$C977&lt;&gt;"",$F977&lt;&gt;""),COUNTIFS($C$2:$C977,$C977,$B$2:$B977,"SBA 26/*",$F$2:$F977,"&lt;&gt;"),"")</f>
        <v/>
      </c>
      <c r="AB977" s="29" t="str">
        <f>IF(AA977=1,COUNTIF($AA$2:AA977,1),"")</f>
        <v/>
      </c>
    </row>
    <row r="978" spans="6:28" ht="47.25" customHeight="1" x14ac:dyDescent="0.2">
      <c r="F978" s="45" t="s">
        <v>3655</v>
      </c>
      <c r="T978" s="41"/>
      <c r="U978" s="29" t="str">
        <f>IF($C978&lt;&gt;"",COUNTIF($C$2:C978,C978),"")</f>
        <v/>
      </c>
      <c r="V978" s="29" t="str">
        <f t="shared" si="62"/>
        <v/>
      </c>
      <c r="W978" s="29" t="str">
        <f>IF(U978=1,COUNTIF($U$2:U978,1),"")</f>
        <v/>
      </c>
      <c r="X978" s="29" t="str">
        <f t="shared" si="61"/>
        <v/>
      </c>
      <c r="Y978" s="29" t="str">
        <f>IF(AND(LEFT($B978,7)="SBA 26/",$D978&lt;&gt;"",$F978&lt;&gt;""),COUNTIFS($D$2:$D978,$D978,$B$2:$B978,"SBA 26/*",$F$2:$F978,"&lt;&gt;"),"")</f>
        <v/>
      </c>
      <c r="Z978" s="29" t="str">
        <f>IF(Y978=1,COUNTIF($Y$2:Y978,1),"")</f>
        <v/>
      </c>
      <c r="AA978" s="29" t="str">
        <f>IF(AND(LEFT($B978,7)="SBA 26/",$C978&lt;&gt;"",$F978&lt;&gt;""),COUNTIFS($C$2:$C978,$C978,$B$2:$B978,"SBA 26/*",$F$2:$F978,"&lt;&gt;"),"")</f>
        <v/>
      </c>
      <c r="AB978" s="29" t="str">
        <f>IF(AA978=1,COUNTIF($AA$2:AA978,1),"")</f>
        <v/>
      </c>
    </row>
    <row r="979" spans="6:28" ht="31.5" customHeight="1" x14ac:dyDescent="0.2">
      <c r="F979" s="45" t="s">
        <v>3656</v>
      </c>
      <c r="T979" s="41"/>
      <c r="U979" s="29" t="str">
        <f>IF($C979&lt;&gt;"",COUNTIF($C$2:C979,C979),"")</f>
        <v/>
      </c>
      <c r="V979" s="29" t="str">
        <f t="shared" si="62"/>
        <v/>
      </c>
      <c r="W979" s="29" t="str">
        <f>IF(U979=1,COUNTIF($U$2:U979,1),"")</f>
        <v/>
      </c>
      <c r="X979" s="29" t="str">
        <f t="shared" si="61"/>
        <v/>
      </c>
      <c r="Y979" s="29" t="str">
        <f>IF(AND(LEFT($B979,7)="SBA 26/",$D979&lt;&gt;"",$F979&lt;&gt;""),COUNTIFS($D$2:$D979,$D979,$B$2:$B979,"SBA 26/*",$F$2:$F979,"&lt;&gt;"),"")</f>
        <v/>
      </c>
      <c r="Z979" s="29" t="str">
        <f>IF(Y979=1,COUNTIF($Y$2:Y979,1),"")</f>
        <v/>
      </c>
      <c r="AA979" s="29" t="str">
        <f>IF(AND(LEFT($B979,7)="SBA 26/",$C979&lt;&gt;"",$F979&lt;&gt;""),COUNTIFS($C$2:$C979,$C979,$B$2:$B979,"SBA 26/*",$F$2:$F979,"&lt;&gt;"),"")</f>
        <v/>
      </c>
      <c r="AB979" s="29" t="str">
        <f>IF(AA979=1,COUNTIF($AA$2:AA979,1),"")</f>
        <v/>
      </c>
    </row>
    <row r="980" spans="6:28" ht="31.5" customHeight="1" x14ac:dyDescent="0.2">
      <c r="F980" s="45" t="s">
        <v>3657</v>
      </c>
      <c r="T980" s="41"/>
      <c r="U980" s="29" t="str">
        <f>IF($C980&lt;&gt;"",COUNTIF($C$2:C980,C980),"")</f>
        <v/>
      </c>
      <c r="V980" s="29" t="str">
        <f t="shared" si="62"/>
        <v/>
      </c>
      <c r="W980" s="29" t="str">
        <f>IF(U980=1,COUNTIF($U$2:U980,1),"")</f>
        <v/>
      </c>
      <c r="X980" s="29" t="str">
        <f t="shared" si="61"/>
        <v/>
      </c>
      <c r="Y980" s="29" t="str">
        <f>IF(AND(LEFT($B980,7)="SBA 26/",$D980&lt;&gt;"",$F980&lt;&gt;""),COUNTIFS($D$2:$D980,$D980,$B$2:$B980,"SBA 26/*",$F$2:$F980,"&lt;&gt;"),"")</f>
        <v/>
      </c>
      <c r="Z980" s="29" t="str">
        <f>IF(Y980=1,COUNTIF($Y$2:Y980,1),"")</f>
        <v/>
      </c>
      <c r="AA980" s="29" t="str">
        <f>IF(AND(LEFT($B980,7)="SBA 26/",$C980&lt;&gt;"",$F980&lt;&gt;""),COUNTIFS($C$2:$C980,$C980,$B$2:$B980,"SBA 26/*",$F$2:$F980,"&lt;&gt;"),"")</f>
        <v/>
      </c>
      <c r="AB980" s="29" t="str">
        <f>IF(AA980=1,COUNTIF($AA$2:AA980,1),"")</f>
        <v/>
      </c>
    </row>
    <row r="981" spans="6:28" ht="31.5" customHeight="1" x14ac:dyDescent="0.2">
      <c r="F981" s="45" t="s">
        <v>3658</v>
      </c>
      <c r="T981" s="41"/>
      <c r="U981" s="29" t="str">
        <f>IF($C981&lt;&gt;"",COUNTIF($C$2:C981,C981),"")</f>
        <v/>
      </c>
      <c r="V981" s="29" t="str">
        <f t="shared" si="62"/>
        <v/>
      </c>
      <c r="W981" s="29" t="str">
        <f>IF(U981=1,COUNTIF($U$2:U981,1),"")</f>
        <v/>
      </c>
      <c r="X981" s="29" t="str">
        <f t="shared" si="61"/>
        <v/>
      </c>
      <c r="Y981" s="29" t="str">
        <f>IF(AND(LEFT($B981,7)="SBA 26/",$D981&lt;&gt;"",$F981&lt;&gt;""),COUNTIFS($D$2:$D981,$D981,$B$2:$B981,"SBA 26/*",$F$2:$F981,"&lt;&gt;"),"")</f>
        <v/>
      </c>
      <c r="Z981" s="29" t="str">
        <f>IF(Y981=1,COUNTIF($Y$2:Y981,1),"")</f>
        <v/>
      </c>
      <c r="AA981" s="29" t="str">
        <f>IF(AND(LEFT($B981,7)="SBA 26/",$C981&lt;&gt;"",$F981&lt;&gt;""),COUNTIFS($C$2:$C981,$C981,$B$2:$B981,"SBA 26/*",$F$2:$F981,"&lt;&gt;"),"")</f>
        <v/>
      </c>
      <c r="AB981" s="29" t="str">
        <f>IF(AA981=1,COUNTIF($AA$2:AA981,1),"")</f>
        <v/>
      </c>
    </row>
    <row r="982" spans="6:28" ht="31.5" customHeight="1" x14ac:dyDescent="0.2">
      <c r="F982" s="45" t="s">
        <v>3659</v>
      </c>
      <c r="T982" s="41"/>
      <c r="U982" s="29" t="str">
        <f>IF($C982&lt;&gt;"",COUNTIF($C$2:C982,C982),"")</f>
        <v/>
      </c>
      <c r="V982" s="29" t="str">
        <f t="shared" si="62"/>
        <v/>
      </c>
      <c r="W982" s="29" t="str">
        <f>IF(U982=1,COUNTIF($U$2:U982,1),"")</f>
        <v/>
      </c>
      <c r="X982" s="29" t="str">
        <f t="shared" si="61"/>
        <v/>
      </c>
      <c r="Y982" s="29" t="str">
        <f>IF(AND(LEFT($B982,7)="SBA 26/",$D982&lt;&gt;"",$F982&lt;&gt;""),COUNTIFS($D$2:$D982,$D982,$B$2:$B982,"SBA 26/*",$F$2:$F982,"&lt;&gt;"),"")</f>
        <v/>
      </c>
      <c r="Z982" s="29" t="str">
        <f>IF(Y982=1,COUNTIF($Y$2:Y982,1),"")</f>
        <v/>
      </c>
      <c r="AA982" s="29" t="str">
        <f>IF(AND(LEFT($B982,7)="SBA 26/",$C982&lt;&gt;"",$F982&lt;&gt;""),COUNTIFS($C$2:$C982,$C982,$B$2:$B982,"SBA 26/*",$F$2:$F982,"&lt;&gt;"),"")</f>
        <v/>
      </c>
      <c r="AB982" s="29" t="str">
        <f>IF(AA982=1,COUNTIF($AA$2:AA982,1),"")</f>
        <v/>
      </c>
    </row>
    <row r="983" spans="6:28" ht="31.5" customHeight="1" x14ac:dyDescent="0.2">
      <c r="F983" s="45" t="s">
        <v>3660</v>
      </c>
      <c r="T983" s="41"/>
      <c r="U983" s="29" t="str">
        <f>IF($C983&lt;&gt;"",COUNTIF($C$2:C983,C983),"")</f>
        <v/>
      </c>
      <c r="V983" s="29" t="str">
        <f t="shared" si="62"/>
        <v/>
      </c>
      <c r="W983" s="29" t="str">
        <f>IF(U983=1,COUNTIF($U$2:U983,1),"")</f>
        <v/>
      </c>
      <c r="X983" s="29" t="str">
        <f t="shared" si="61"/>
        <v/>
      </c>
      <c r="Y983" s="29" t="str">
        <f>IF(AND(LEFT($B983,7)="SBA 26/",$D983&lt;&gt;"",$F983&lt;&gt;""),COUNTIFS($D$2:$D983,$D983,$B$2:$B983,"SBA 26/*",$F$2:$F983,"&lt;&gt;"),"")</f>
        <v/>
      </c>
      <c r="Z983" s="29" t="str">
        <f>IF(Y983=1,COUNTIF($Y$2:Y983,1),"")</f>
        <v/>
      </c>
      <c r="AA983" s="29" t="str">
        <f>IF(AND(LEFT($B983,7)="SBA 26/",$C983&lt;&gt;"",$F983&lt;&gt;""),COUNTIFS($C$2:$C983,$C983,$B$2:$B983,"SBA 26/*",$F$2:$F983,"&lt;&gt;"),"")</f>
        <v/>
      </c>
      <c r="AB983" s="29" t="str">
        <f>IF(AA983=1,COUNTIF($AA$2:AA983,1),"")</f>
        <v/>
      </c>
    </row>
    <row r="984" spans="6:28" ht="63" customHeight="1" x14ac:dyDescent="0.2">
      <c r="F984" s="45" t="s">
        <v>3661</v>
      </c>
      <c r="T984" s="41"/>
      <c r="U984" s="29" t="str">
        <f>IF($C984&lt;&gt;"",COUNTIF($C$2:C984,C984),"")</f>
        <v/>
      </c>
      <c r="V984" s="29" t="str">
        <f t="shared" si="62"/>
        <v/>
      </c>
      <c r="W984" s="29" t="str">
        <f>IF(U984=1,COUNTIF($U$2:U984,1),"")</f>
        <v/>
      </c>
      <c r="X984" s="29" t="str">
        <f t="shared" si="61"/>
        <v/>
      </c>
      <c r="Y984" s="29" t="str">
        <f>IF(AND(LEFT($B984,7)="SBA 26/",$D984&lt;&gt;"",$F984&lt;&gt;""),COUNTIFS($D$2:$D984,$D984,$B$2:$B984,"SBA 26/*",$F$2:$F984,"&lt;&gt;"),"")</f>
        <v/>
      </c>
      <c r="Z984" s="29" t="str">
        <f>IF(Y984=1,COUNTIF($Y$2:Y984,1),"")</f>
        <v/>
      </c>
      <c r="AA984" s="29" t="str">
        <f>IF(AND(LEFT($B984,7)="SBA 26/",$C984&lt;&gt;"",$F984&lt;&gt;""),COUNTIFS($C$2:$C984,$C984,$B$2:$B984,"SBA 26/*",$F$2:$F984,"&lt;&gt;"),"")</f>
        <v/>
      </c>
      <c r="AB984" s="29" t="str">
        <f>IF(AA984=1,COUNTIF($AA$2:AA984,1),"")</f>
        <v/>
      </c>
    </row>
    <row r="985" spans="6:28" ht="31.5" customHeight="1" x14ac:dyDescent="0.2">
      <c r="F985" s="45" t="s">
        <v>3662</v>
      </c>
      <c r="T985" s="41"/>
      <c r="U985" s="29" t="str">
        <f>IF($C985&lt;&gt;"",COUNTIF($C$2:C985,C985),"")</f>
        <v/>
      </c>
      <c r="V985" s="29" t="str">
        <f t="shared" si="62"/>
        <v/>
      </c>
      <c r="W985" s="29" t="str">
        <f>IF(U985=1,COUNTIF($U$2:U985,1),"")</f>
        <v/>
      </c>
      <c r="X985" s="29" t="str">
        <f t="shared" si="61"/>
        <v/>
      </c>
      <c r="Y985" s="29" t="str">
        <f>IF(AND(LEFT($B985,7)="SBA 26/",$D985&lt;&gt;"",$F985&lt;&gt;""),COUNTIFS($D$2:$D985,$D985,$B$2:$B985,"SBA 26/*",$F$2:$F985,"&lt;&gt;"),"")</f>
        <v/>
      </c>
      <c r="Z985" s="29" t="str">
        <f>IF(Y985=1,COUNTIF($Y$2:Y985,1),"")</f>
        <v/>
      </c>
      <c r="AA985" s="29" t="str">
        <f>IF(AND(LEFT($B985,7)="SBA 26/",$C985&lt;&gt;"",$F985&lt;&gt;""),COUNTIFS($C$2:$C985,$C985,$B$2:$B985,"SBA 26/*",$F$2:$F985,"&lt;&gt;"),"")</f>
        <v/>
      </c>
      <c r="AB985" s="29" t="str">
        <f>IF(AA985=1,COUNTIF($AA$2:AA985,1),"")</f>
        <v/>
      </c>
    </row>
    <row r="986" spans="6:28" ht="47.25" customHeight="1" x14ac:dyDescent="0.2">
      <c r="F986" s="45" t="s">
        <v>3663</v>
      </c>
      <c r="T986" s="41"/>
      <c r="U986" s="29" t="str">
        <f>IF($C986&lt;&gt;"",COUNTIF($C$2:C986,C986),"")</f>
        <v/>
      </c>
      <c r="V986" s="29" t="str">
        <f t="shared" si="62"/>
        <v/>
      </c>
      <c r="W986" s="29" t="str">
        <f>IF(U986=1,COUNTIF($U$2:U986,1),"")</f>
        <v/>
      </c>
      <c r="X986" s="29" t="str">
        <f t="shared" si="61"/>
        <v/>
      </c>
      <c r="Y986" s="29" t="str">
        <f>IF(AND(LEFT($B986,7)="SBA 26/",$D986&lt;&gt;"",$F986&lt;&gt;""),COUNTIFS($D$2:$D986,$D986,$B$2:$B986,"SBA 26/*",$F$2:$F986,"&lt;&gt;"),"")</f>
        <v/>
      </c>
      <c r="Z986" s="29" t="str">
        <f>IF(Y986=1,COUNTIF($Y$2:Y986,1),"")</f>
        <v/>
      </c>
      <c r="AA986" s="29" t="str">
        <f>IF(AND(LEFT($B986,7)="SBA 26/",$C986&lt;&gt;"",$F986&lt;&gt;""),COUNTIFS($C$2:$C986,$C986,$B$2:$B986,"SBA 26/*",$F$2:$F986,"&lt;&gt;"),"")</f>
        <v/>
      </c>
      <c r="AB986" s="29" t="str">
        <f>IF(AA986=1,COUNTIF($AA$2:AA986,1),"")</f>
        <v/>
      </c>
    </row>
    <row r="987" spans="6:28" ht="47.25" customHeight="1" x14ac:dyDescent="0.2">
      <c r="F987" s="45" t="s">
        <v>3664</v>
      </c>
      <c r="T987" s="41"/>
      <c r="U987" s="29" t="str">
        <f>IF($C987&lt;&gt;"",COUNTIF($C$2:C987,C987),"")</f>
        <v/>
      </c>
      <c r="V987" s="29" t="str">
        <f t="shared" si="62"/>
        <v/>
      </c>
      <c r="W987" s="29" t="str">
        <f>IF(U987=1,COUNTIF($U$2:U987,1),"")</f>
        <v/>
      </c>
      <c r="X987" s="29" t="str">
        <f t="shared" si="61"/>
        <v/>
      </c>
      <c r="Y987" s="29" t="str">
        <f>IF(AND(LEFT($B987,7)="SBA 26/",$D987&lt;&gt;"",$F987&lt;&gt;""),COUNTIFS($D$2:$D987,$D987,$B$2:$B987,"SBA 26/*",$F$2:$F987,"&lt;&gt;"),"")</f>
        <v/>
      </c>
      <c r="Z987" s="29" t="str">
        <f>IF(Y987=1,COUNTIF($Y$2:Y987,1),"")</f>
        <v/>
      </c>
      <c r="AA987" s="29" t="str">
        <f>IF(AND(LEFT($B987,7)="SBA 26/",$C987&lt;&gt;"",$F987&lt;&gt;""),COUNTIFS($C$2:$C987,$C987,$B$2:$B987,"SBA 26/*",$F$2:$F987,"&lt;&gt;"),"")</f>
        <v/>
      </c>
      <c r="AB987" s="29" t="str">
        <f>IF(AA987=1,COUNTIF($AA$2:AA987,1),"")</f>
        <v/>
      </c>
    </row>
    <row r="988" spans="6:28" ht="47.25" customHeight="1" x14ac:dyDescent="0.2">
      <c r="F988" s="45" t="s">
        <v>3665</v>
      </c>
      <c r="T988" s="41"/>
      <c r="U988" s="29" t="str">
        <f>IF($C988&lt;&gt;"",COUNTIF($C$2:C988,C988),"")</f>
        <v/>
      </c>
      <c r="V988" s="29" t="str">
        <f t="shared" si="62"/>
        <v/>
      </c>
      <c r="W988" s="29" t="str">
        <f>IF(U988=1,COUNTIF($U$2:U988,1),"")</f>
        <v/>
      </c>
      <c r="X988" s="29" t="str">
        <f t="shared" si="61"/>
        <v/>
      </c>
      <c r="Y988" s="29" t="str">
        <f>IF(AND(LEFT($B988,7)="SBA 26/",$D988&lt;&gt;"",$F988&lt;&gt;""),COUNTIFS($D$2:$D988,$D988,$B$2:$B988,"SBA 26/*",$F$2:$F988,"&lt;&gt;"),"")</f>
        <v/>
      </c>
      <c r="Z988" s="29" t="str">
        <f>IF(Y988=1,COUNTIF($Y$2:Y988,1),"")</f>
        <v/>
      </c>
      <c r="AA988" s="29" t="str">
        <f>IF(AND(LEFT($B988,7)="SBA 26/",$C988&lt;&gt;"",$F988&lt;&gt;""),COUNTIFS($C$2:$C988,$C988,$B$2:$B988,"SBA 26/*",$F$2:$F988,"&lt;&gt;"),"")</f>
        <v/>
      </c>
      <c r="AB988" s="29" t="str">
        <f>IF(AA988=1,COUNTIF($AA$2:AA988,1),"")</f>
        <v/>
      </c>
    </row>
    <row r="989" spans="6:28" ht="47.25" customHeight="1" x14ac:dyDescent="0.2">
      <c r="F989" s="45" t="s">
        <v>3666</v>
      </c>
      <c r="T989" s="41"/>
      <c r="U989" s="29" t="str">
        <f>IF($C989&lt;&gt;"",COUNTIF($C$2:C989,C989),"")</f>
        <v/>
      </c>
      <c r="V989" s="29" t="str">
        <f t="shared" si="62"/>
        <v/>
      </c>
      <c r="W989" s="29" t="str">
        <f>IF(U989=1,COUNTIF($U$2:U989,1),"")</f>
        <v/>
      </c>
      <c r="X989" s="29" t="str">
        <f t="shared" si="61"/>
        <v/>
      </c>
      <c r="Y989" s="29" t="str">
        <f>IF(AND(LEFT($B989,7)="SBA 26/",$D989&lt;&gt;"",$F989&lt;&gt;""),COUNTIFS($D$2:$D989,$D989,$B$2:$B989,"SBA 26/*",$F$2:$F989,"&lt;&gt;"),"")</f>
        <v/>
      </c>
      <c r="Z989" s="29" t="str">
        <f>IF(Y989=1,COUNTIF($Y$2:Y989,1),"")</f>
        <v/>
      </c>
      <c r="AA989" s="29" t="str">
        <f>IF(AND(LEFT($B989,7)="SBA 26/",$C989&lt;&gt;"",$F989&lt;&gt;""),COUNTIFS($C$2:$C989,$C989,$B$2:$B989,"SBA 26/*",$F$2:$F989,"&lt;&gt;"),"")</f>
        <v/>
      </c>
      <c r="AB989" s="29" t="str">
        <f>IF(AA989=1,COUNTIF($AA$2:AA989,1),"")</f>
        <v/>
      </c>
    </row>
    <row r="990" spans="6:28" ht="47.25" customHeight="1" x14ac:dyDescent="0.2">
      <c r="F990" s="45" t="s">
        <v>3667</v>
      </c>
      <c r="T990" s="41"/>
      <c r="U990" s="29" t="str">
        <f>IF($C990&lt;&gt;"",COUNTIF($C$2:C990,C990),"")</f>
        <v/>
      </c>
      <c r="V990" s="29" t="str">
        <f t="shared" si="62"/>
        <v/>
      </c>
      <c r="W990" s="29" t="str">
        <f>IF(U990=1,COUNTIF($U$2:U990,1),"")</f>
        <v/>
      </c>
      <c r="X990" s="29" t="str">
        <f t="shared" si="61"/>
        <v/>
      </c>
      <c r="Y990" s="29" t="str">
        <f>IF(AND(LEFT($B990,7)="SBA 26/",$D990&lt;&gt;"",$F990&lt;&gt;""),COUNTIFS($D$2:$D990,$D990,$B$2:$B990,"SBA 26/*",$F$2:$F990,"&lt;&gt;"),"")</f>
        <v/>
      </c>
      <c r="Z990" s="29" t="str">
        <f>IF(Y990=1,COUNTIF($Y$2:Y990,1),"")</f>
        <v/>
      </c>
      <c r="AA990" s="29" t="str">
        <f>IF(AND(LEFT($B990,7)="SBA 26/",$C990&lt;&gt;"",$F990&lt;&gt;""),COUNTIFS($C$2:$C990,$C990,$B$2:$B990,"SBA 26/*",$F$2:$F990,"&lt;&gt;"),"")</f>
        <v/>
      </c>
      <c r="AB990" s="29" t="str">
        <f>IF(AA990=1,COUNTIF($AA$2:AA990,1),"")</f>
        <v/>
      </c>
    </row>
    <row r="991" spans="6:28" ht="47.25" customHeight="1" x14ac:dyDescent="0.2">
      <c r="F991" s="45" t="s">
        <v>3668</v>
      </c>
      <c r="T991" s="41"/>
      <c r="U991" s="29" t="str">
        <f>IF($C991&lt;&gt;"",COUNTIF($C$2:C991,C991),"")</f>
        <v/>
      </c>
      <c r="V991" s="29" t="str">
        <f t="shared" si="62"/>
        <v/>
      </c>
      <c r="W991" s="29" t="str">
        <f>IF(U991=1,COUNTIF($U$2:U991,1),"")</f>
        <v/>
      </c>
      <c r="X991" s="29" t="str">
        <f t="shared" si="61"/>
        <v/>
      </c>
      <c r="Y991" s="29" t="str">
        <f>IF(AND(LEFT($B991,7)="SBA 26/",$D991&lt;&gt;"",$F991&lt;&gt;""),COUNTIFS($D$2:$D991,$D991,$B$2:$B991,"SBA 26/*",$F$2:$F991,"&lt;&gt;"),"")</f>
        <v/>
      </c>
      <c r="Z991" s="29" t="str">
        <f>IF(Y991=1,COUNTIF($Y$2:Y991,1),"")</f>
        <v/>
      </c>
      <c r="AA991" s="29" t="str">
        <f>IF(AND(LEFT($B991,7)="SBA 26/",$C991&lt;&gt;"",$F991&lt;&gt;""),COUNTIFS($C$2:$C991,$C991,$B$2:$B991,"SBA 26/*",$F$2:$F991,"&lt;&gt;"),"")</f>
        <v/>
      </c>
      <c r="AB991" s="29" t="str">
        <f>IF(AA991=1,COUNTIF($AA$2:AA991,1),"")</f>
        <v/>
      </c>
    </row>
    <row r="992" spans="6:28" ht="47.25" customHeight="1" x14ac:dyDescent="0.2">
      <c r="F992" s="45" t="s">
        <v>3669</v>
      </c>
      <c r="T992" s="41"/>
      <c r="U992" s="29" t="str">
        <f>IF($C992&lt;&gt;"",COUNTIF($C$2:C992,C992),"")</f>
        <v/>
      </c>
      <c r="V992" s="29" t="str">
        <f t="shared" si="62"/>
        <v/>
      </c>
      <c r="W992" s="29" t="str">
        <f>IF(U992=1,COUNTIF($U$2:U992,1),"")</f>
        <v/>
      </c>
      <c r="X992" s="29" t="str">
        <f t="shared" si="61"/>
        <v/>
      </c>
      <c r="Y992" s="29" t="str">
        <f>IF(AND(LEFT($B992,7)="SBA 26/",$D992&lt;&gt;"",$F992&lt;&gt;""),COUNTIFS($D$2:$D992,$D992,$B$2:$B992,"SBA 26/*",$F$2:$F992,"&lt;&gt;"),"")</f>
        <v/>
      </c>
      <c r="Z992" s="29" t="str">
        <f>IF(Y992=1,COUNTIF($Y$2:Y992,1),"")</f>
        <v/>
      </c>
      <c r="AA992" s="29" t="str">
        <f>IF(AND(LEFT($B992,7)="SBA 26/",$C992&lt;&gt;"",$F992&lt;&gt;""),COUNTIFS($C$2:$C992,$C992,$B$2:$B992,"SBA 26/*",$F$2:$F992,"&lt;&gt;"),"")</f>
        <v/>
      </c>
      <c r="AB992" s="29" t="str">
        <f>IF(AA992=1,COUNTIF($AA$2:AA992,1),"")</f>
        <v/>
      </c>
    </row>
    <row r="993" spans="6:28" ht="31.5" customHeight="1" x14ac:dyDescent="0.2">
      <c r="F993" s="45" t="s">
        <v>3670</v>
      </c>
      <c r="T993" s="41"/>
      <c r="U993" s="29" t="str">
        <f>IF($C993&lt;&gt;"",COUNTIF($C$2:C993,C993),"")</f>
        <v/>
      </c>
      <c r="V993" s="29" t="str">
        <f t="shared" si="62"/>
        <v/>
      </c>
      <c r="W993" s="29" t="str">
        <f>IF(U993=1,COUNTIF($U$2:U993,1),"")</f>
        <v/>
      </c>
      <c r="X993" s="29" t="str">
        <f t="shared" si="61"/>
        <v/>
      </c>
      <c r="Y993" s="29" t="str">
        <f>IF(AND(LEFT($B993,7)="SBA 26/",$D993&lt;&gt;"",$F993&lt;&gt;""),COUNTIFS($D$2:$D993,$D993,$B$2:$B993,"SBA 26/*",$F$2:$F993,"&lt;&gt;"),"")</f>
        <v/>
      </c>
      <c r="Z993" s="29" t="str">
        <f>IF(Y993=1,COUNTIF($Y$2:Y993,1),"")</f>
        <v/>
      </c>
      <c r="AA993" s="29" t="str">
        <f>IF(AND(LEFT($B993,7)="SBA 26/",$C993&lt;&gt;"",$F993&lt;&gt;""),COUNTIFS($C$2:$C993,$C993,$B$2:$B993,"SBA 26/*",$F$2:$F993,"&lt;&gt;"),"")</f>
        <v/>
      </c>
      <c r="AB993" s="29" t="str">
        <f>IF(AA993=1,COUNTIF($AA$2:AA993,1),"")</f>
        <v/>
      </c>
    </row>
    <row r="994" spans="6:28" ht="31.5" customHeight="1" x14ac:dyDescent="0.2">
      <c r="F994" s="45" t="s">
        <v>3671</v>
      </c>
      <c r="T994" s="41"/>
      <c r="U994" s="29" t="str">
        <f>IF($C994&lt;&gt;"",COUNTIF($C$2:C994,C994),"")</f>
        <v/>
      </c>
      <c r="V994" s="29" t="str">
        <f t="shared" si="62"/>
        <v/>
      </c>
      <c r="W994" s="29" t="str">
        <f>IF(U994=1,COUNTIF($U$2:U994,1),"")</f>
        <v/>
      </c>
      <c r="X994" s="29" t="str">
        <f t="shared" si="61"/>
        <v/>
      </c>
      <c r="Y994" s="29" t="str">
        <f>IF(AND(LEFT($B994,7)="SBA 26/",$D994&lt;&gt;"",$F994&lt;&gt;""),COUNTIFS($D$2:$D994,$D994,$B$2:$B994,"SBA 26/*",$F$2:$F994,"&lt;&gt;"),"")</f>
        <v/>
      </c>
      <c r="Z994" s="29" t="str">
        <f>IF(Y994=1,COUNTIF($Y$2:Y994,1),"")</f>
        <v/>
      </c>
      <c r="AA994" s="29" t="str">
        <f>IF(AND(LEFT($B994,7)="SBA 26/",$C994&lt;&gt;"",$F994&lt;&gt;""),COUNTIFS($C$2:$C994,$C994,$B$2:$B994,"SBA 26/*",$F$2:$F994,"&lt;&gt;"),"")</f>
        <v/>
      </c>
      <c r="AB994" s="29" t="str">
        <f>IF(AA994=1,COUNTIF($AA$2:AA994,1),"")</f>
        <v/>
      </c>
    </row>
    <row r="995" spans="6:28" ht="47.25" customHeight="1" x14ac:dyDescent="0.2">
      <c r="F995" s="45" t="s">
        <v>3672</v>
      </c>
      <c r="T995" s="41"/>
      <c r="U995" s="29" t="str">
        <f>IF($C995&lt;&gt;"",COUNTIF($C$2:C995,C995),"")</f>
        <v/>
      </c>
      <c r="V995" s="29" t="str">
        <f t="shared" si="62"/>
        <v/>
      </c>
      <c r="W995" s="29" t="str">
        <f>IF(U995=1,COUNTIF($U$2:U995,1),"")</f>
        <v/>
      </c>
      <c r="X995" s="29" t="str">
        <f t="shared" si="61"/>
        <v/>
      </c>
      <c r="Y995" s="29" t="str">
        <f>IF(AND(LEFT($B995,7)="SBA 26/",$D995&lt;&gt;"",$F995&lt;&gt;""),COUNTIFS($D$2:$D995,$D995,$B$2:$B995,"SBA 26/*",$F$2:$F995,"&lt;&gt;"),"")</f>
        <v/>
      </c>
      <c r="Z995" s="29" t="str">
        <f>IF(Y995=1,COUNTIF($Y$2:Y995,1),"")</f>
        <v/>
      </c>
      <c r="AA995" s="29" t="str">
        <f>IF(AND(LEFT($B995,7)="SBA 26/",$C995&lt;&gt;"",$F995&lt;&gt;""),COUNTIFS($C$2:$C995,$C995,$B$2:$B995,"SBA 26/*",$F$2:$F995,"&lt;&gt;"),"")</f>
        <v/>
      </c>
      <c r="AB995" s="29" t="str">
        <f>IF(AA995=1,COUNTIF($AA$2:AA995,1),"")</f>
        <v/>
      </c>
    </row>
    <row r="996" spans="6:28" ht="31.5" customHeight="1" x14ac:dyDescent="0.2">
      <c r="F996" s="45" t="s">
        <v>3673</v>
      </c>
      <c r="T996" s="41"/>
      <c r="U996" s="29" t="str">
        <f>IF($C996&lt;&gt;"",COUNTIF($C$2:C996,C996),"")</f>
        <v/>
      </c>
      <c r="V996" s="29" t="str">
        <f t="shared" si="62"/>
        <v/>
      </c>
      <c r="W996" s="29" t="str">
        <f>IF(U996=1,COUNTIF($U$2:U996,1),"")</f>
        <v/>
      </c>
      <c r="X996" s="29" t="str">
        <f t="shared" si="61"/>
        <v/>
      </c>
      <c r="Y996" s="29" t="str">
        <f>IF(AND(LEFT($B996,7)="SBA 26/",$D996&lt;&gt;"",$F996&lt;&gt;""),COUNTIFS($D$2:$D996,$D996,$B$2:$B996,"SBA 26/*",$F$2:$F996,"&lt;&gt;"),"")</f>
        <v/>
      </c>
      <c r="Z996" s="29" t="str">
        <f>IF(Y996=1,COUNTIF($Y$2:Y996,1),"")</f>
        <v/>
      </c>
      <c r="AA996" s="29" t="str">
        <f>IF(AND(LEFT($B996,7)="SBA 26/",$C996&lt;&gt;"",$F996&lt;&gt;""),COUNTIFS($C$2:$C996,$C996,$B$2:$B996,"SBA 26/*",$F$2:$F996,"&lt;&gt;"),"")</f>
        <v/>
      </c>
      <c r="AB996" s="29" t="str">
        <f>IF(AA996=1,COUNTIF($AA$2:AA996,1),"")</f>
        <v/>
      </c>
    </row>
    <row r="997" spans="6:28" ht="47.25" customHeight="1" x14ac:dyDescent="0.2">
      <c r="F997" s="45" t="s">
        <v>3674</v>
      </c>
      <c r="T997" s="41"/>
      <c r="U997" s="29" t="str">
        <f>IF($C997&lt;&gt;"",COUNTIF($C$2:C997,C997),"")</f>
        <v/>
      </c>
      <c r="V997" s="29" t="str">
        <f t="shared" si="62"/>
        <v/>
      </c>
      <c r="W997" s="29" t="str">
        <f>IF(U997=1,COUNTIF($U$2:U997,1),"")</f>
        <v/>
      </c>
      <c r="X997" s="29" t="str">
        <f t="shared" si="61"/>
        <v/>
      </c>
      <c r="Y997" s="29" t="str">
        <f>IF(AND(LEFT($B997,7)="SBA 26/",$D997&lt;&gt;"",$F997&lt;&gt;""),COUNTIFS($D$2:$D997,$D997,$B$2:$B997,"SBA 26/*",$F$2:$F997,"&lt;&gt;"),"")</f>
        <v/>
      </c>
      <c r="Z997" s="29" t="str">
        <f>IF(Y997=1,COUNTIF($Y$2:Y997,1),"")</f>
        <v/>
      </c>
      <c r="AA997" s="29" t="str">
        <f>IF(AND(LEFT($B997,7)="SBA 26/",$C997&lt;&gt;"",$F997&lt;&gt;""),COUNTIFS($C$2:$C997,$C997,$B$2:$B997,"SBA 26/*",$F$2:$F997,"&lt;&gt;"),"")</f>
        <v/>
      </c>
      <c r="AB997" s="29" t="str">
        <f>IF(AA997=1,COUNTIF($AA$2:AA997,1),"")</f>
        <v/>
      </c>
    </row>
    <row r="998" spans="6:28" ht="47.25" customHeight="1" x14ac:dyDescent="0.2">
      <c r="F998" s="45" t="s">
        <v>3675</v>
      </c>
      <c r="T998" s="41"/>
      <c r="U998" s="29" t="str">
        <f>IF($C998&lt;&gt;"",COUNTIF($C$2:C998,C998),"")</f>
        <v/>
      </c>
      <c r="V998" s="29" t="str">
        <f t="shared" si="62"/>
        <v/>
      </c>
      <c r="W998" s="29" t="str">
        <f>IF(U998=1,COUNTIF($U$2:U998,1),"")</f>
        <v/>
      </c>
      <c r="X998" s="29" t="str">
        <f t="shared" si="61"/>
        <v/>
      </c>
      <c r="Y998" s="29" t="str">
        <f>IF(AND(LEFT($B998,7)="SBA 26/",$D998&lt;&gt;"",$F998&lt;&gt;""),COUNTIFS($D$2:$D998,$D998,$B$2:$B998,"SBA 26/*",$F$2:$F998,"&lt;&gt;"),"")</f>
        <v/>
      </c>
      <c r="Z998" s="29" t="str">
        <f>IF(Y998=1,COUNTIF($Y$2:Y998,1),"")</f>
        <v/>
      </c>
      <c r="AA998" s="29" t="str">
        <f>IF(AND(LEFT($B998,7)="SBA 26/",$C998&lt;&gt;"",$F998&lt;&gt;""),COUNTIFS($C$2:$C998,$C998,$B$2:$B998,"SBA 26/*",$F$2:$F998,"&lt;&gt;"),"")</f>
        <v/>
      </c>
      <c r="AB998" s="29" t="str">
        <f>IF(AA998=1,COUNTIF($AA$2:AA998,1),"")</f>
        <v/>
      </c>
    </row>
    <row r="999" spans="6:28" ht="31.5" customHeight="1" x14ac:dyDescent="0.2">
      <c r="F999" s="45" t="s">
        <v>3676</v>
      </c>
      <c r="T999" s="41"/>
      <c r="U999" s="29" t="str">
        <f>IF($C999&lt;&gt;"",COUNTIF($C$2:C999,C999),"")</f>
        <v/>
      </c>
      <c r="V999" s="29" t="str">
        <f t="shared" si="62"/>
        <v/>
      </c>
      <c r="W999" s="29" t="str">
        <f>IF(U999=1,COUNTIF($U$2:U999,1),"")</f>
        <v/>
      </c>
      <c r="X999" s="29" t="str">
        <f t="shared" si="61"/>
        <v/>
      </c>
      <c r="Y999" s="29" t="str">
        <f>IF(AND(LEFT($B999,7)="SBA 26/",$D999&lt;&gt;"",$F999&lt;&gt;""),COUNTIFS($D$2:$D999,$D999,$B$2:$B999,"SBA 26/*",$F$2:$F999,"&lt;&gt;"),"")</f>
        <v/>
      </c>
      <c r="Z999" s="29" t="str">
        <f>IF(Y999=1,COUNTIF($Y$2:Y999,1),"")</f>
        <v/>
      </c>
      <c r="AA999" s="29" t="str">
        <f>IF(AND(LEFT($B999,7)="SBA 26/",$C999&lt;&gt;"",$F999&lt;&gt;""),COUNTIFS($C$2:$C999,$C999,$B$2:$B999,"SBA 26/*",$F$2:$F999,"&lt;&gt;"),"")</f>
        <v/>
      </c>
      <c r="AB999" s="29" t="str">
        <f>IF(AA999=1,COUNTIF($AA$2:AA999,1),"")</f>
        <v/>
      </c>
    </row>
    <row r="1000" spans="6:28" ht="47.25" customHeight="1" x14ac:dyDescent="0.2">
      <c r="F1000" s="45" t="s">
        <v>3677</v>
      </c>
      <c r="T1000" s="41"/>
      <c r="U1000" s="29" t="str">
        <f>IF($C1000&lt;&gt;"",COUNTIF($C$2:C1000,C1000),"")</f>
        <v/>
      </c>
      <c r="V1000" s="29" t="str">
        <f t="shared" si="62"/>
        <v/>
      </c>
      <c r="W1000" s="29" t="str">
        <f>IF(U1000=1,COUNTIF($U$2:U1000,1),"")</f>
        <v/>
      </c>
      <c r="X1000" s="29" t="str">
        <f t="shared" si="61"/>
        <v/>
      </c>
      <c r="Y1000" s="29" t="str">
        <f>IF(AND(LEFT($B1000,7)="SBA 26/",$D1000&lt;&gt;"",$F1000&lt;&gt;""),COUNTIFS($D$2:$D1000,$D1000,$B$2:$B1000,"SBA 26/*",$F$2:$F1000,"&lt;&gt;"),"")</f>
        <v/>
      </c>
      <c r="Z1000" s="29" t="str">
        <f>IF(Y1000=1,COUNTIF($Y$2:Y1000,1),"")</f>
        <v/>
      </c>
      <c r="AA1000" s="29" t="str">
        <f>IF(AND(LEFT($B1000,7)="SBA 26/",$C1000&lt;&gt;"",$F1000&lt;&gt;""),COUNTIFS($C$2:$C1000,$C1000,$B$2:$B1000,"SBA 26/*",$F$2:$F1000,"&lt;&gt;"),"")</f>
        <v/>
      </c>
      <c r="AB1000" s="29" t="str">
        <f>IF(AA1000=1,COUNTIF($AA$2:AA1000,1),"")</f>
        <v/>
      </c>
    </row>
    <row r="1001" spans="6:28" ht="31.5" customHeight="1" x14ac:dyDescent="0.2">
      <c r="F1001" s="45" t="s">
        <v>3678</v>
      </c>
      <c r="T1001" s="41"/>
      <c r="U1001" s="29" t="str">
        <f>IF($C1001&lt;&gt;"",COUNTIF($C$2:C1001,C1001),"")</f>
        <v/>
      </c>
      <c r="V1001" s="29" t="str">
        <f t="shared" si="62"/>
        <v/>
      </c>
      <c r="W1001" s="29" t="str">
        <f>IF(U1001=1,COUNTIF($U$2:U1001,1),"")</f>
        <v/>
      </c>
      <c r="X1001" s="29" t="str">
        <f t="shared" si="61"/>
        <v/>
      </c>
      <c r="Y1001" s="29" t="str">
        <f>IF(AND(LEFT($B1001,7)="SBA 26/",$D1001&lt;&gt;"",$F1001&lt;&gt;""),COUNTIFS($D$2:$D1001,$D1001,$B$2:$B1001,"SBA 26/*",$F$2:$F1001,"&lt;&gt;"),"")</f>
        <v/>
      </c>
      <c r="Z1001" s="29" t="str">
        <f>IF(Y1001=1,COUNTIF($Y$2:Y1001,1),"")</f>
        <v/>
      </c>
      <c r="AA1001" s="29" t="str">
        <f>IF(AND(LEFT($B1001,7)="SBA 26/",$C1001&lt;&gt;"",$F1001&lt;&gt;""),COUNTIFS($C$2:$C1001,$C1001,$B$2:$B1001,"SBA 26/*",$F$2:$F1001,"&lt;&gt;"),"")</f>
        <v/>
      </c>
      <c r="AB1001" s="29" t="str">
        <f>IF(AA1001=1,COUNTIF($AA$2:AA1001,1),"")</f>
        <v/>
      </c>
    </row>
    <row r="1002" spans="6:28" ht="47.25" customHeight="1" x14ac:dyDescent="0.2">
      <c r="F1002" s="45" t="s">
        <v>3679</v>
      </c>
      <c r="T1002" s="41"/>
      <c r="U1002" s="29" t="str">
        <f>IF($C1002&lt;&gt;"",COUNTIF($C$2:C1002,C1002),"")</f>
        <v/>
      </c>
      <c r="V1002" s="29" t="str">
        <f t="shared" si="62"/>
        <v/>
      </c>
      <c r="W1002" s="29" t="str">
        <f>IF(U1002=1,COUNTIF($U$2:U1002,1),"")</f>
        <v/>
      </c>
      <c r="X1002" s="29" t="str">
        <f t="shared" si="61"/>
        <v/>
      </c>
      <c r="Y1002" s="29" t="str">
        <f>IF(AND(LEFT($B1002,7)="SBA 26/",$D1002&lt;&gt;"",$F1002&lt;&gt;""),COUNTIFS($D$2:$D1002,$D1002,$B$2:$B1002,"SBA 26/*",$F$2:$F1002,"&lt;&gt;"),"")</f>
        <v/>
      </c>
      <c r="Z1002" s="29" t="str">
        <f>IF(Y1002=1,COUNTIF($Y$2:Y1002,1),"")</f>
        <v/>
      </c>
      <c r="AA1002" s="29" t="str">
        <f>IF(AND(LEFT($B1002,7)="SBA 26/",$C1002&lt;&gt;"",$F1002&lt;&gt;""),COUNTIFS($C$2:$C1002,$C1002,$B$2:$B1002,"SBA 26/*",$F$2:$F1002,"&lt;&gt;"),"")</f>
        <v/>
      </c>
      <c r="AB1002" s="29" t="str">
        <f>IF(AA1002=1,COUNTIF($AA$2:AA1002,1),"")</f>
        <v/>
      </c>
    </row>
    <row r="1003" spans="6:28" ht="31.5" customHeight="1" x14ac:dyDescent="0.2">
      <c r="F1003" s="45" t="s">
        <v>3680</v>
      </c>
      <c r="T1003" s="41"/>
      <c r="U1003" s="29" t="str">
        <f>IF($C1003&lt;&gt;"",COUNTIF($C$2:C1003,C1003),"")</f>
        <v/>
      </c>
      <c r="V1003" s="29" t="str">
        <f t="shared" si="62"/>
        <v/>
      </c>
      <c r="W1003" s="29" t="str">
        <f>IF(U1003=1,COUNTIF($U$2:U1003,1),"")</f>
        <v/>
      </c>
      <c r="X1003" s="29" t="str">
        <f t="shared" si="61"/>
        <v/>
      </c>
      <c r="Y1003" s="29" t="str">
        <f>IF(AND(LEFT($B1003,7)="SBA 26/",$D1003&lt;&gt;"",$F1003&lt;&gt;""),COUNTIFS($D$2:$D1003,$D1003,$B$2:$B1003,"SBA 26/*",$F$2:$F1003,"&lt;&gt;"),"")</f>
        <v/>
      </c>
      <c r="Z1003" s="29" t="str">
        <f>IF(Y1003=1,COUNTIF($Y$2:Y1003,1),"")</f>
        <v/>
      </c>
      <c r="AA1003" s="29" t="str">
        <f>IF(AND(LEFT($B1003,7)="SBA 26/",$C1003&lt;&gt;"",$F1003&lt;&gt;""),COUNTIFS($C$2:$C1003,$C1003,$B$2:$B1003,"SBA 26/*",$F$2:$F1003,"&lt;&gt;"),"")</f>
        <v/>
      </c>
      <c r="AB1003" s="29" t="str">
        <f>IF(AA1003=1,COUNTIF($AA$2:AA1003,1),"")</f>
        <v/>
      </c>
    </row>
    <row r="1004" spans="6:28" ht="31.5" customHeight="1" x14ac:dyDescent="0.2">
      <c r="F1004" s="45" t="s">
        <v>3681</v>
      </c>
      <c r="T1004" s="41"/>
      <c r="U1004" s="29" t="str">
        <f>IF($C1004&lt;&gt;"",COUNTIF($C$2:C1004,C1004),"")</f>
        <v/>
      </c>
      <c r="V1004" s="29" t="str">
        <f t="shared" si="62"/>
        <v/>
      </c>
      <c r="W1004" s="29" t="str">
        <f>IF(U1004=1,COUNTIF($U$2:U1004,1),"")</f>
        <v/>
      </c>
      <c r="X1004" s="29" t="str">
        <f t="shared" si="61"/>
        <v/>
      </c>
      <c r="Y1004" s="29" t="str">
        <f>IF(AND(LEFT($B1004,7)="SBA 26/",$D1004&lt;&gt;"",$F1004&lt;&gt;""),COUNTIFS($D$2:$D1004,$D1004,$B$2:$B1004,"SBA 26/*",$F$2:$F1004,"&lt;&gt;"),"")</f>
        <v/>
      </c>
      <c r="Z1004" s="29" t="str">
        <f>IF(Y1004=1,COUNTIF($Y$2:Y1004,1),"")</f>
        <v/>
      </c>
      <c r="AA1004" s="29" t="str">
        <f>IF(AND(LEFT($B1004,7)="SBA 26/",$C1004&lt;&gt;"",$F1004&lt;&gt;""),COUNTIFS($C$2:$C1004,$C1004,$B$2:$B1004,"SBA 26/*",$F$2:$F1004,"&lt;&gt;"),"")</f>
        <v/>
      </c>
      <c r="AB1004" s="29" t="str">
        <f>IF(AA1004=1,COUNTIF($AA$2:AA1004,1),"")</f>
        <v/>
      </c>
    </row>
    <row r="1005" spans="6:28" ht="31.5" customHeight="1" x14ac:dyDescent="0.2">
      <c r="F1005" s="45" t="s">
        <v>3682</v>
      </c>
      <c r="T1005" s="41"/>
      <c r="U1005" s="29" t="str">
        <f>IF($C1005&lt;&gt;"",COUNTIF($C$2:C1005,C1005),"")</f>
        <v/>
      </c>
      <c r="V1005" s="29" t="str">
        <f t="shared" si="62"/>
        <v/>
      </c>
      <c r="W1005" s="29" t="str">
        <f>IF(U1005=1,COUNTIF($U$2:U1005,1),"")</f>
        <v/>
      </c>
      <c r="X1005" s="29" t="str">
        <f t="shared" ref="X1005:X1068" si="63">IF(U1005=1,SUMPRODUCT(($U$2:$U$1833=1)*($C$2:$C$1833&lt;C1005))+1,"")</f>
        <v/>
      </c>
      <c r="Y1005" s="29" t="str">
        <f>IF(AND(LEFT($B1005,7)="SBA 26/",$D1005&lt;&gt;"",$F1005&lt;&gt;""),COUNTIFS($D$2:$D1005,$D1005,$B$2:$B1005,"SBA 26/*",$F$2:$F1005,"&lt;&gt;"),"")</f>
        <v/>
      </c>
      <c r="Z1005" s="29" t="str">
        <f>IF(Y1005=1,COUNTIF($Y$2:Y1005,1),"")</f>
        <v/>
      </c>
      <c r="AA1005" s="29" t="str">
        <f>IF(AND(LEFT($B1005,7)="SBA 26/",$C1005&lt;&gt;"",$F1005&lt;&gt;""),COUNTIFS($C$2:$C1005,$C1005,$B$2:$B1005,"SBA 26/*",$F$2:$F1005,"&lt;&gt;"),"")</f>
        <v/>
      </c>
      <c r="AB1005" s="29" t="str">
        <f>IF(AA1005=1,COUNTIF($AA$2:AA1005,1),"")</f>
        <v/>
      </c>
    </row>
    <row r="1006" spans="6:28" ht="63" customHeight="1" x14ac:dyDescent="0.2">
      <c r="F1006" s="45" t="s">
        <v>3683</v>
      </c>
      <c r="T1006" s="41"/>
      <c r="U1006" s="29" t="str">
        <f>IF($C1006&lt;&gt;"",COUNTIF($C$2:C1006,C1006),"")</f>
        <v/>
      </c>
      <c r="V1006" s="29" t="str">
        <f t="shared" si="62"/>
        <v/>
      </c>
      <c r="W1006" s="29" t="str">
        <f>IF(U1006=1,COUNTIF($U$2:U1006,1),"")</f>
        <v/>
      </c>
      <c r="X1006" s="29" t="str">
        <f t="shared" si="63"/>
        <v/>
      </c>
      <c r="Y1006" s="29" t="str">
        <f>IF(AND(LEFT($B1006,7)="SBA 26/",$D1006&lt;&gt;"",$F1006&lt;&gt;""),COUNTIFS($D$2:$D1006,$D1006,$B$2:$B1006,"SBA 26/*",$F$2:$F1006,"&lt;&gt;"),"")</f>
        <v/>
      </c>
      <c r="Z1006" s="29" t="str">
        <f>IF(Y1006=1,COUNTIF($Y$2:Y1006,1),"")</f>
        <v/>
      </c>
      <c r="AA1006" s="29" t="str">
        <f>IF(AND(LEFT($B1006,7)="SBA 26/",$C1006&lt;&gt;"",$F1006&lt;&gt;""),COUNTIFS($C$2:$C1006,$C1006,$B$2:$B1006,"SBA 26/*",$F$2:$F1006,"&lt;&gt;"),"")</f>
        <v/>
      </c>
      <c r="AB1006" s="29" t="str">
        <f>IF(AA1006=1,COUNTIF($AA$2:AA1006,1),"")</f>
        <v/>
      </c>
    </row>
    <row r="1007" spans="6:28" ht="31.5" customHeight="1" x14ac:dyDescent="0.2">
      <c r="F1007" s="45" t="s">
        <v>3684</v>
      </c>
      <c r="T1007" s="41"/>
      <c r="U1007" s="29" t="str">
        <f>IF($C1007&lt;&gt;"",COUNTIF($C$2:C1007,C1007),"")</f>
        <v/>
      </c>
      <c r="V1007" s="29" t="str">
        <f t="shared" si="62"/>
        <v/>
      </c>
      <c r="W1007" s="29" t="str">
        <f>IF(U1007=1,COUNTIF($U$2:U1007,1),"")</f>
        <v/>
      </c>
      <c r="X1007" s="29" t="str">
        <f t="shared" si="63"/>
        <v/>
      </c>
      <c r="Y1007" s="29" t="str">
        <f>IF(AND(LEFT($B1007,7)="SBA 26/",$D1007&lt;&gt;"",$F1007&lt;&gt;""),COUNTIFS($D$2:$D1007,$D1007,$B$2:$B1007,"SBA 26/*",$F$2:$F1007,"&lt;&gt;"),"")</f>
        <v/>
      </c>
      <c r="Z1007" s="29" t="str">
        <f>IF(Y1007=1,COUNTIF($Y$2:Y1007,1),"")</f>
        <v/>
      </c>
      <c r="AA1007" s="29" t="str">
        <f>IF(AND(LEFT($B1007,7)="SBA 26/",$C1007&lt;&gt;"",$F1007&lt;&gt;""),COUNTIFS($C$2:$C1007,$C1007,$B$2:$B1007,"SBA 26/*",$F$2:$F1007,"&lt;&gt;"),"")</f>
        <v/>
      </c>
      <c r="AB1007" s="29" t="str">
        <f>IF(AA1007=1,COUNTIF($AA$2:AA1007,1),"")</f>
        <v/>
      </c>
    </row>
    <row r="1008" spans="6:28" ht="31.5" customHeight="1" x14ac:dyDescent="0.2">
      <c r="F1008" s="45" t="s">
        <v>3685</v>
      </c>
      <c r="T1008" s="41"/>
      <c r="U1008" s="29" t="str">
        <f>IF($C1008&lt;&gt;"",COUNTIF($C$2:C1008,C1008),"")</f>
        <v/>
      </c>
      <c r="V1008" s="29" t="str">
        <f t="shared" si="62"/>
        <v/>
      </c>
      <c r="W1008" s="29" t="str">
        <f>IF(U1008=1,COUNTIF($U$2:U1008,1),"")</f>
        <v/>
      </c>
      <c r="X1008" s="29" t="str">
        <f t="shared" si="63"/>
        <v/>
      </c>
      <c r="Y1008" s="29" t="str">
        <f>IF(AND(LEFT($B1008,7)="SBA 26/",$D1008&lt;&gt;"",$F1008&lt;&gt;""),COUNTIFS($D$2:$D1008,$D1008,$B$2:$B1008,"SBA 26/*",$F$2:$F1008,"&lt;&gt;"),"")</f>
        <v/>
      </c>
      <c r="Z1008" s="29" t="str">
        <f>IF(Y1008=1,COUNTIF($Y$2:Y1008,1),"")</f>
        <v/>
      </c>
      <c r="AA1008" s="29" t="str">
        <f>IF(AND(LEFT($B1008,7)="SBA 26/",$C1008&lt;&gt;"",$F1008&lt;&gt;""),COUNTIFS($C$2:$C1008,$C1008,$B$2:$B1008,"SBA 26/*",$F$2:$F1008,"&lt;&gt;"),"")</f>
        <v/>
      </c>
      <c r="AB1008" s="29" t="str">
        <f>IF(AA1008=1,COUNTIF($AA$2:AA1008,1),"")</f>
        <v/>
      </c>
    </row>
    <row r="1009" spans="6:28" ht="47.25" customHeight="1" x14ac:dyDescent="0.2">
      <c r="F1009" s="45" t="s">
        <v>3686</v>
      </c>
      <c r="T1009" s="41"/>
      <c r="U1009" s="29" t="str">
        <f>IF($C1009&lt;&gt;"",COUNTIF($C$2:C1009,C1009),"")</f>
        <v/>
      </c>
      <c r="V1009" s="29" t="str">
        <f t="shared" si="62"/>
        <v/>
      </c>
      <c r="W1009" s="29" t="str">
        <f>IF(U1009=1,COUNTIF($U$2:U1009,1),"")</f>
        <v/>
      </c>
      <c r="X1009" s="29" t="str">
        <f t="shared" si="63"/>
        <v/>
      </c>
      <c r="Y1009" s="29" t="str">
        <f>IF(AND(LEFT($B1009,7)="SBA 26/",$D1009&lt;&gt;"",$F1009&lt;&gt;""),COUNTIFS($D$2:$D1009,$D1009,$B$2:$B1009,"SBA 26/*",$F$2:$F1009,"&lt;&gt;"),"")</f>
        <v/>
      </c>
      <c r="Z1009" s="29" t="str">
        <f>IF(Y1009=1,COUNTIF($Y$2:Y1009,1),"")</f>
        <v/>
      </c>
      <c r="AA1009" s="29" t="str">
        <f>IF(AND(LEFT($B1009,7)="SBA 26/",$C1009&lt;&gt;"",$F1009&lt;&gt;""),COUNTIFS($C$2:$C1009,$C1009,$B$2:$B1009,"SBA 26/*",$F$2:$F1009,"&lt;&gt;"),"")</f>
        <v/>
      </c>
      <c r="AB1009" s="29" t="str">
        <f>IF(AA1009=1,COUNTIF($AA$2:AA1009,1),"")</f>
        <v/>
      </c>
    </row>
    <row r="1010" spans="6:28" ht="31.5" customHeight="1" x14ac:dyDescent="0.2">
      <c r="F1010" s="45" t="s">
        <v>3687</v>
      </c>
      <c r="T1010" s="41"/>
      <c r="U1010" s="29" t="str">
        <f>IF($C1010&lt;&gt;"",COUNTIF($C$2:C1010,C1010),"")</f>
        <v/>
      </c>
      <c r="V1010" s="29" t="str">
        <f t="shared" si="62"/>
        <v/>
      </c>
      <c r="W1010" s="29" t="str">
        <f>IF(U1010=1,COUNTIF($U$2:U1010,1),"")</f>
        <v/>
      </c>
      <c r="X1010" s="29" t="str">
        <f t="shared" si="63"/>
        <v/>
      </c>
      <c r="Y1010" s="29" t="str">
        <f>IF(AND(LEFT($B1010,7)="SBA 26/",$D1010&lt;&gt;"",$F1010&lt;&gt;""),COUNTIFS($D$2:$D1010,$D1010,$B$2:$B1010,"SBA 26/*",$F$2:$F1010,"&lt;&gt;"),"")</f>
        <v/>
      </c>
      <c r="Z1010" s="29" t="str">
        <f>IF(Y1010=1,COUNTIF($Y$2:Y1010,1),"")</f>
        <v/>
      </c>
      <c r="AA1010" s="29" t="str">
        <f>IF(AND(LEFT($B1010,7)="SBA 26/",$C1010&lt;&gt;"",$F1010&lt;&gt;""),COUNTIFS($C$2:$C1010,$C1010,$B$2:$B1010,"SBA 26/*",$F$2:$F1010,"&lt;&gt;"),"")</f>
        <v/>
      </c>
      <c r="AB1010" s="29" t="str">
        <f>IF(AA1010=1,COUNTIF($AA$2:AA1010,1),"")</f>
        <v/>
      </c>
    </row>
    <row r="1011" spans="6:28" ht="31.5" customHeight="1" x14ac:dyDescent="0.2">
      <c r="F1011" s="45" t="s">
        <v>3688</v>
      </c>
      <c r="T1011" s="41"/>
      <c r="U1011" s="29" t="str">
        <f>IF($C1011&lt;&gt;"",COUNTIF($C$2:C1011,C1011),"")</f>
        <v/>
      </c>
      <c r="V1011" s="29" t="str">
        <f t="shared" si="62"/>
        <v/>
      </c>
      <c r="W1011" s="29" t="str">
        <f>IF(U1011=1,COUNTIF($U$2:U1011,1),"")</f>
        <v/>
      </c>
      <c r="X1011" s="29" t="str">
        <f t="shared" si="63"/>
        <v/>
      </c>
      <c r="Y1011" s="29" t="str">
        <f>IF(AND(LEFT($B1011,7)="SBA 26/",$D1011&lt;&gt;"",$F1011&lt;&gt;""),COUNTIFS($D$2:$D1011,$D1011,$B$2:$B1011,"SBA 26/*",$F$2:$F1011,"&lt;&gt;"),"")</f>
        <v/>
      </c>
      <c r="Z1011" s="29" t="str">
        <f>IF(Y1011=1,COUNTIF($Y$2:Y1011,1),"")</f>
        <v/>
      </c>
      <c r="AA1011" s="29" t="str">
        <f>IF(AND(LEFT($B1011,7)="SBA 26/",$C1011&lt;&gt;"",$F1011&lt;&gt;""),COUNTIFS($C$2:$C1011,$C1011,$B$2:$B1011,"SBA 26/*",$F$2:$F1011,"&lt;&gt;"),"")</f>
        <v/>
      </c>
      <c r="AB1011" s="29" t="str">
        <f>IF(AA1011=1,COUNTIF($AA$2:AA1011,1),"")</f>
        <v/>
      </c>
    </row>
    <row r="1012" spans="6:28" ht="31.5" customHeight="1" x14ac:dyDescent="0.2">
      <c r="F1012" s="45" t="s">
        <v>3689</v>
      </c>
      <c r="T1012" s="41"/>
      <c r="U1012" s="29" t="str">
        <f>IF($C1012&lt;&gt;"",COUNTIF($C$2:C1012,C1012),"")</f>
        <v/>
      </c>
      <c r="V1012" s="29" t="str">
        <f t="shared" si="62"/>
        <v/>
      </c>
      <c r="W1012" s="29" t="str">
        <f>IF(U1012=1,COUNTIF($U$2:U1012,1),"")</f>
        <v/>
      </c>
      <c r="X1012" s="29" t="str">
        <f t="shared" si="63"/>
        <v/>
      </c>
      <c r="Y1012" s="29" t="str">
        <f>IF(AND(LEFT($B1012,7)="SBA 26/",$D1012&lt;&gt;"",$F1012&lt;&gt;""),COUNTIFS($D$2:$D1012,$D1012,$B$2:$B1012,"SBA 26/*",$F$2:$F1012,"&lt;&gt;"),"")</f>
        <v/>
      </c>
      <c r="Z1012" s="29" t="str">
        <f>IF(Y1012=1,COUNTIF($Y$2:Y1012,1),"")</f>
        <v/>
      </c>
      <c r="AA1012" s="29" t="str">
        <f>IF(AND(LEFT($B1012,7)="SBA 26/",$C1012&lt;&gt;"",$F1012&lt;&gt;""),COUNTIFS($C$2:$C1012,$C1012,$B$2:$B1012,"SBA 26/*",$F$2:$F1012,"&lt;&gt;"),"")</f>
        <v/>
      </c>
      <c r="AB1012" s="29" t="str">
        <f>IF(AA1012=1,COUNTIF($AA$2:AA1012,1),"")</f>
        <v/>
      </c>
    </row>
    <row r="1013" spans="6:28" ht="47.25" customHeight="1" x14ac:dyDescent="0.2">
      <c r="F1013" s="45" t="s">
        <v>3690</v>
      </c>
      <c r="T1013" s="41"/>
      <c r="U1013" s="29" t="str">
        <f>IF($C1013&lt;&gt;"",COUNTIF($C$2:C1013,C1013),"")</f>
        <v/>
      </c>
      <c r="V1013" s="29" t="str">
        <f t="shared" si="62"/>
        <v/>
      </c>
      <c r="W1013" s="29" t="str">
        <f>IF(U1013=1,COUNTIF($U$2:U1013,1),"")</f>
        <v/>
      </c>
      <c r="X1013" s="29" t="str">
        <f t="shared" si="63"/>
        <v/>
      </c>
      <c r="Y1013" s="29" t="str">
        <f>IF(AND(LEFT($B1013,7)="SBA 26/",$D1013&lt;&gt;"",$F1013&lt;&gt;""),COUNTIFS($D$2:$D1013,$D1013,$B$2:$B1013,"SBA 26/*",$F$2:$F1013,"&lt;&gt;"),"")</f>
        <v/>
      </c>
      <c r="Z1013" s="29" t="str">
        <f>IF(Y1013=1,COUNTIF($Y$2:Y1013,1),"")</f>
        <v/>
      </c>
      <c r="AA1013" s="29" t="str">
        <f>IF(AND(LEFT($B1013,7)="SBA 26/",$C1013&lt;&gt;"",$F1013&lt;&gt;""),COUNTIFS($C$2:$C1013,$C1013,$B$2:$B1013,"SBA 26/*",$F$2:$F1013,"&lt;&gt;"),"")</f>
        <v/>
      </c>
      <c r="AB1013" s="29" t="str">
        <f>IF(AA1013=1,COUNTIF($AA$2:AA1013,1),"")</f>
        <v/>
      </c>
    </row>
    <row r="1014" spans="6:28" ht="47.25" customHeight="1" x14ac:dyDescent="0.2">
      <c r="F1014" s="45" t="s">
        <v>3691</v>
      </c>
      <c r="T1014" s="41"/>
      <c r="U1014" s="29" t="str">
        <f>IF($C1014&lt;&gt;"",COUNTIF($C$2:C1014,C1014),"")</f>
        <v/>
      </c>
      <c r="V1014" s="29" t="str">
        <f t="shared" si="62"/>
        <v/>
      </c>
      <c r="W1014" s="29" t="str">
        <f>IF(U1014=1,COUNTIF($U$2:U1014,1),"")</f>
        <v/>
      </c>
      <c r="X1014" s="29" t="str">
        <f t="shared" si="63"/>
        <v/>
      </c>
      <c r="Y1014" s="29" t="str">
        <f>IF(AND(LEFT($B1014,7)="SBA 26/",$D1014&lt;&gt;"",$F1014&lt;&gt;""),COUNTIFS($D$2:$D1014,$D1014,$B$2:$B1014,"SBA 26/*",$F$2:$F1014,"&lt;&gt;"),"")</f>
        <v/>
      </c>
      <c r="Z1014" s="29" t="str">
        <f>IF(Y1014=1,COUNTIF($Y$2:Y1014,1),"")</f>
        <v/>
      </c>
      <c r="AA1014" s="29" t="str">
        <f>IF(AND(LEFT($B1014,7)="SBA 26/",$C1014&lt;&gt;"",$F1014&lt;&gt;""),COUNTIFS($C$2:$C1014,$C1014,$B$2:$B1014,"SBA 26/*",$F$2:$F1014,"&lt;&gt;"),"")</f>
        <v/>
      </c>
      <c r="AB1014" s="29" t="str">
        <f>IF(AA1014=1,COUNTIF($AA$2:AA1014,1),"")</f>
        <v/>
      </c>
    </row>
    <row r="1015" spans="6:28" ht="47.25" customHeight="1" x14ac:dyDescent="0.2">
      <c r="F1015" s="45" t="s">
        <v>3692</v>
      </c>
      <c r="T1015" s="41"/>
      <c r="U1015" s="29" t="str">
        <f>IF($C1015&lt;&gt;"",COUNTIF($C$2:C1015,C1015),"")</f>
        <v/>
      </c>
      <c r="V1015" s="29" t="str">
        <f t="shared" si="62"/>
        <v/>
      </c>
      <c r="W1015" s="29" t="str">
        <f>IF(U1015=1,COUNTIF($U$2:U1015,1),"")</f>
        <v/>
      </c>
      <c r="X1015" s="29" t="str">
        <f t="shared" si="63"/>
        <v/>
      </c>
      <c r="Y1015" s="29" t="str">
        <f>IF(AND(LEFT($B1015,7)="SBA 26/",$D1015&lt;&gt;"",$F1015&lt;&gt;""),COUNTIFS($D$2:$D1015,$D1015,$B$2:$B1015,"SBA 26/*",$F$2:$F1015,"&lt;&gt;"),"")</f>
        <v/>
      </c>
      <c r="Z1015" s="29" t="str">
        <f>IF(Y1015=1,COUNTIF($Y$2:Y1015,1),"")</f>
        <v/>
      </c>
      <c r="AA1015" s="29" t="str">
        <f>IF(AND(LEFT($B1015,7)="SBA 26/",$C1015&lt;&gt;"",$F1015&lt;&gt;""),COUNTIFS($C$2:$C1015,$C1015,$B$2:$B1015,"SBA 26/*",$F$2:$F1015,"&lt;&gt;"),"")</f>
        <v/>
      </c>
      <c r="AB1015" s="29" t="str">
        <f>IF(AA1015=1,COUNTIF($AA$2:AA1015,1),"")</f>
        <v/>
      </c>
    </row>
    <row r="1016" spans="6:28" ht="78.75" customHeight="1" x14ac:dyDescent="0.2">
      <c r="F1016" s="45" t="s">
        <v>3693</v>
      </c>
      <c r="T1016" s="41"/>
      <c r="U1016" s="29" t="str">
        <f>IF($C1016&lt;&gt;"",COUNTIF($C$2:C1016,C1016),"")</f>
        <v/>
      </c>
      <c r="V1016" s="29" t="str">
        <f t="shared" si="62"/>
        <v/>
      </c>
      <c r="W1016" s="29" t="str">
        <f>IF(U1016=1,COUNTIF($U$2:U1016,1),"")</f>
        <v/>
      </c>
      <c r="X1016" s="29" t="str">
        <f t="shared" si="63"/>
        <v/>
      </c>
      <c r="Y1016" s="29" t="str">
        <f>IF(AND(LEFT($B1016,7)="SBA 26/",$D1016&lt;&gt;"",$F1016&lt;&gt;""),COUNTIFS($D$2:$D1016,$D1016,$B$2:$B1016,"SBA 26/*",$F$2:$F1016,"&lt;&gt;"),"")</f>
        <v/>
      </c>
      <c r="Z1016" s="29" t="str">
        <f>IF(Y1016=1,COUNTIF($Y$2:Y1016,1),"")</f>
        <v/>
      </c>
      <c r="AA1016" s="29" t="str">
        <f>IF(AND(LEFT($B1016,7)="SBA 26/",$C1016&lt;&gt;"",$F1016&lt;&gt;""),COUNTIFS($C$2:$C1016,$C1016,$B$2:$B1016,"SBA 26/*",$F$2:$F1016,"&lt;&gt;"),"")</f>
        <v/>
      </c>
      <c r="AB1016" s="29" t="str">
        <f>IF(AA1016=1,COUNTIF($AA$2:AA1016,1),"")</f>
        <v/>
      </c>
    </row>
    <row r="1017" spans="6:28" ht="31.5" customHeight="1" x14ac:dyDescent="0.2">
      <c r="F1017" s="45" t="s">
        <v>3694</v>
      </c>
      <c r="T1017" s="41"/>
      <c r="U1017" s="29" t="str">
        <f>IF($C1017&lt;&gt;"",COUNTIF($C$2:C1017,C1017),"")</f>
        <v/>
      </c>
      <c r="V1017" s="29" t="str">
        <f t="shared" si="62"/>
        <v/>
      </c>
      <c r="W1017" s="29" t="str">
        <f>IF(U1017=1,COUNTIF($U$2:U1017,1),"")</f>
        <v/>
      </c>
      <c r="X1017" s="29" t="str">
        <f t="shared" si="63"/>
        <v/>
      </c>
      <c r="Y1017" s="29" t="str">
        <f>IF(AND(LEFT($B1017,7)="SBA 26/",$D1017&lt;&gt;"",$F1017&lt;&gt;""),COUNTIFS($D$2:$D1017,$D1017,$B$2:$B1017,"SBA 26/*",$F$2:$F1017,"&lt;&gt;"),"")</f>
        <v/>
      </c>
      <c r="Z1017" s="29" t="str">
        <f>IF(Y1017=1,COUNTIF($Y$2:Y1017,1),"")</f>
        <v/>
      </c>
      <c r="AA1017" s="29" t="str">
        <f>IF(AND(LEFT($B1017,7)="SBA 26/",$C1017&lt;&gt;"",$F1017&lt;&gt;""),COUNTIFS($C$2:$C1017,$C1017,$B$2:$B1017,"SBA 26/*",$F$2:$F1017,"&lt;&gt;"),"")</f>
        <v/>
      </c>
      <c r="AB1017" s="29" t="str">
        <f>IF(AA1017=1,COUNTIF($AA$2:AA1017,1),"")</f>
        <v/>
      </c>
    </row>
    <row r="1018" spans="6:28" ht="47.25" customHeight="1" x14ac:dyDescent="0.2">
      <c r="F1018" s="45" t="s">
        <v>3695</v>
      </c>
      <c r="T1018" s="41"/>
      <c r="U1018" s="29" t="str">
        <f>IF($C1018&lt;&gt;"",COUNTIF($C$2:C1018,C1018),"")</f>
        <v/>
      </c>
      <c r="V1018" s="29" t="str">
        <f t="shared" si="62"/>
        <v/>
      </c>
      <c r="W1018" s="29" t="str">
        <f>IF(U1018=1,COUNTIF($U$2:U1018,1),"")</f>
        <v/>
      </c>
      <c r="X1018" s="29" t="str">
        <f t="shared" si="63"/>
        <v/>
      </c>
      <c r="Y1018" s="29" t="str">
        <f>IF(AND(LEFT($B1018,7)="SBA 26/",$D1018&lt;&gt;"",$F1018&lt;&gt;""),COUNTIFS($D$2:$D1018,$D1018,$B$2:$B1018,"SBA 26/*",$F$2:$F1018,"&lt;&gt;"),"")</f>
        <v/>
      </c>
      <c r="Z1018" s="29" t="str">
        <f>IF(Y1018=1,COUNTIF($Y$2:Y1018,1),"")</f>
        <v/>
      </c>
      <c r="AA1018" s="29" t="str">
        <f>IF(AND(LEFT($B1018,7)="SBA 26/",$C1018&lt;&gt;"",$F1018&lt;&gt;""),COUNTIFS($C$2:$C1018,$C1018,$B$2:$B1018,"SBA 26/*",$F$2:$F1018,"&lt;&gt;"),"")</f>
        <v/>
      </c>
      <c r="AB1018" s="29" t="str">
        <f>IF(AA1018=1,COUNTIF($AA$2:AA1018,1),"")</f>
        <v/>
      </c>
    </row>
    <row r="1019" spans="6:28" ht="63" customHeight="1" x14ac:dyDescent="0.2">
      <c r="F1019" s="45" t="s">
        <v>3696</v>
      </c>
      <c r="T1019" s="41"/>
      <c r="U1019" s="29" t="str">
        <f>IF($C1019&lt;&gt;"",COUNTIF($C$2:C1019,C1019),"")</f>
        <v/>
      </c>
      <c r="V1019" s="29" t="str">
        <f t="shared" si="62"/>
        <v/>
      </c>
      <c r="W1019" s="29" t="str">
        <f>IF(U1019=1,COUNTIF($U$2:U1019,1),"")</f>
        <v/>
      </c>
      <c r="X1019" s="29" t="str">
        <f t="shared" si="63"/>
        <v/>
      </c>
      <c r="Y1019" s="29" t="str">
        <f>IF(AND(LEFT($B1019,7)="SBA 26/",$D1019&lt;&gt;"",$F1019&lt;&gt;""),COUNTIFS($D$2:$D1019,$D1019,$B$2:$B1019,"SBA 26/*",$F$2:$F1019,"&lt;&gt;"),"")</f>
        <v/>
      </c>
      <c r="Z1019" s="29" t="str">
        <f>IF(Y1019=1,COUNTIF($Y$2:Y1019,1),"")</f>
        <v/>
      </c>
      <c r="AA1019" s="29" t="str">
        <f>IF(AND(LEFT($B1019,7)="SBA 26/",$C1019&lt;&gt;"",$F1019&lt;&gt;""),COUNTIFS($C$2:$C1019,$C1019,$B$2:$B1019,"SBA 26/*",$F$2:$F1019,"&lt;&gt;"),"")</f>
        <v/>
      </c>
      <c r="AB1019" s="29" t="str">
        <f>IF(AA1019=1,COUNTIF($AA$2:AA1019,1),"")</f>
        <v/>
      </c>
    </row>
    <row r="1020" spans="6:28" ht="47.25" customHeight="1" x14ac:dyDescent="0.2">
      <c r="F1020" s="45" t="s">
        <v>3697</v>
      </c>
      <c r="T1020" s="41"/>
      <c r="U1020" s="29" t="str">
        <f>IF($C1020&lt;&gt;"",COUNTIF($C$2:C1020,C1020),"")</f>
        <v/>
      </c>
      <c r="V1020" s="29" t="str">
        <f t="shared" si="62"/>
        <v/>
      </c>
      <c r="W1020" s="29" t="str">
        <f>IF(U1020=1,COUNTIF($U$2:U1020,1),"")</f>
        <v/>
      </c>
      <c r="X1020" s="29" t="str">
        <f t="shared" si="63"/>
        <v/>
      </c>
      <c r="Y1020" s="29" t="str">
        <f>IF(AND(LEFT($B1020,7)="SBA 26/",$D1020&lt;&gt;"",$F1020&lt;&gt;""),COUNTIFS($D$2:$D1020,$D1020,$B$2:$B1020,"SBA 26/*",$F$2:$F1020,"&lt;&gt;"),"")</f>
        <v/>
      </c>
      <c r="Z1020" s="29" t="str">
        <f>IF(Y1020=1,COUNTIF($Y$2:Y1020,1),"")</f>
        <v/>
      </c>
      <c r="AA1020" s="29" t="str">
        <f>IF(AND(LEFT($B1020,7)="SBA 26/",$C1020&lt;&gt;"",$F1020&lt;&gt;""),COUNTIFS($C$2:$C1020,$C1020,$B$2:$B1020,"SBA 26/*",$F$2:$F1020,"&lt;&gt;"),"")</f>
        <v/>
      </c>
      <c r="AB1020" s="29" t="str">
        <f>IF(AA1020=1,COUNTIF($AA$2:AA1020,1),"")</f>
        <v/>
      </c>
    </row>
    <row r="1021" spans="6:28" ht="47.25" customHeight="1" x14ac:dyDescent="0.2">
      <c r="F1021" s="45" t="s">
        <v>3698</v>
      </c>
      <c r="T1021" s="41"/>
      <c r="U1021" s="29" t="str">
        <f>IF($C1021&lt;&gt;"",COUNTIF($C$2:C1021,C1021),"")</f>
        <v/>
      </c>
      <c r="V1021" s="29" t="str">
        <f t="shared" si="62"/>
        <v/>
      </c>
      <c r="W1021" s="29" t="str">
        <f>IF(U1021=1,COUNTIF($U$2:U1021,1),"")</f>
        <v/>
      </c>
      <c r="X1021" s="29" t="str">
        <f t="shared" si="63"/>
        <v/>
      </c>
      <c r="Y1021" s="29" t="str">
        <f>IF(AND(LEFT($B1021,7)="SBA 26/",$D1021&lt;&gt;"",$F1021&lt;&gt;""),COUNTIFS($D$2:$D1021,$D1021,$B$2:$B1021,"SBA 26/*",$F$2:$F1021,"&lt;&gt;"),"")</f>
        <v/>
      </c>
      <c r="Z1021" s="29" t="str">
        <f>IF(Y1021=1,COUNTIF($Y$2:Y1021,1),"")</f>
        <v/>
      </c>
      <c r="AA1021" s="29" t="str">
        <f>IF(AND(LEFT($B1021,7)="SBA 26/",$C1021&lt;&gt;"",$F1021&lt;&gt;""),COUNTIFS($C$2:$C1021,$C1021,$B$2:$B1021,"SBA 26/*",$F$2:$F1021,"&lt;&gt;"),"")</f>
        <v/>
      </c>
      <c r="AB1021" s="29" t="str">
        <f>IF(AA1021=1,COUNTIF($AA$2:AA1021,1),"")</f>
        <v/>
      </c>
    </row>
    <row r="1022" spans="6:28" ht="63" customHeight="1" x14ac:dyDescent="0.2">
      <c r="F1022" s="45" t="s">
        <v>3699</v>
      </c>
      <c r="T1022" s="41"/>
      <c r="U1022" s="29" t="str">
        <f>IF($C1022&lt;&gt;"",COUNTIF($C$2:C1022,C1022),"")</f>
        <v/>
      </c>
      <c r="V1022" s="29" t="str">
        <f t="shared" si="62"/>
        <v/>
      </c>
      <c r="W1022" s="29" t="str">
        <f>IF(U1022=1,COUNTIF($U$2:U1022,1),"")</f>
        <v/>
      </c>
      <c r="X1022" s="29" t="str">
        <f t="shared" si="63"/>
        <v/>
      </c>
      <c r="Y1022" s="29" t="str">
        <f>IF(AND(LEFT($B1022,7)="SBA 26/",$D1022&lt;&gt;"",$F1022&lt;&gt;""),COUNTIFS($D$2:$D1022,$D1022,$B$2:$B1022,"SBA 26/*",$F$2:$F1022,"&lt;&gt;"),"")</f>
        <v/>
      </c>
      <c r="Z1022" s="29" t="str">
        <f>IF(Y1022=1,COUNTIF($Y$2:Y1022,1),"")</f>
        <v/>
      </c>
      <c r="AA1022" s="29" t="str">
        <f>IF(AND(LEFT($B1022,7)="SBA 26/",$C1022&lt;&gt;"",$F1022&lt;&gt;""),COUNTIFS($C$2:$C1022,$C1022,$B$2:$B1022,"SBA 26/*",$F$2:$F1022,"&lt;&gt;"),"")</f>
        <v/>
      </c>
      <c r="AB1022" s="29" t="str">
        <f>IF(AA1022=1,COUNTIF($AA$2:AA1022,1),"")</f>
        <v/>
      </c>
    </row>
    <row r="1023" spans="6:28" ht="47.25" customHeight="1" x14ac:dyDescent="0.2">
      <c r="F1023" s="45" t="s">
        <v>3700</v>
      </c>
      <c r="T1023" s="41"/>
      <c r="U1023" s="29" t="str">
        <f>IF($C1023&lt;&gt;"",COUNTIF($C$2:C1023,C1023),"")</f>
        <v/>
      </c>
      <c r="V1023" s="29" t="str">
        <f t="shared" si="62"/>
        <v/>
      </c>
      <c r="W1023" s="29" t="str">
        <f>IF(U1023=1,COUNTIF($U$2:U1023,1),"")</f>
        <v/>
      </c>
      <c r="X1023" s="29" t="str">
        <f t="shared" si="63"/>
        <v/>
      </c>
      <c r="Y1023" s="29" t="str">
        <f>IF(AND(LEFT($B1023,7)="SBA 26/",$D1023&lt;&gt;"",$F1023&lt;&gt;""),COUNTIFS($D$2:$D1023,$D1023,$B$2:$B1023,"SBA 26/*",$F$2:$F1023,"&lt;&gt;"),"")</f>
        <v/>
      </c>
      <c r="Z1023" s="29" t="str">
        <f>IF(Y1023=1,COUNTIF($Y$2:Y1023,1),"")</f>
        <v/>
      </c>
      <c r="AA1023" s="29" t="str">
        <f>IF(AND(LEFT($B1023,7)="SBA 26/",$C1023&lt;&gt;"",$F1023&lt;&gt;""),COUNTIFS($C$2:$C1023,$C1023,$B$2:$B1023,"SBA 26/*",$F$2:$F1023,"&lt;&gt;"),"")</f>
        <v/>
      </c>
      <c r="AB1023" s="29" t="str">
        <f>IF(AA1023=1,COUNTIF($AA$2:AA1023,1),"")</f>
        <v/>
      </c>
    </row>
    <row r="1024" spans="6:28" ht="31.5" customHeight="1" x14ac:dyDescent="0.2">
      <c r="F1024" s="45" t="s">
        <v>3701</v>
      </c>
      <c r="T1024" s="41"/>
      <c r="U1024" s="29" t="str">
        <f>IF($C1024&lt;&gt;"",COUNTIF($C$2:C1024,C1024),"")</f>
        <v/>
      </c>
      <c r="V1024" s="29" t="str">
        <f t="shared" si="62"/>
        <v/>
      </c>
      <c r="W1024" s="29" t="str">
        <f>IF(U1024=1,COUNTIF($U$2:U1024,1),"")</f>
        <v/>
      </c>
      <c r="X1024" s="29" t="str">
        <f t="shared" si="63"/>
        <v/>
      </c>
      <c r="Y1024" s="29" t="str">
        <f>IF(AND(LEFT($B1024,7)="SBA 26/",$D1024&lt;&gt;"",$F1024&lt;&gt;""),COUNTIFS($D$2:$D1024,$D1024,$B$2:$B1024,"SBA 26/*",$F$2:$F1024,"&lt;&gt;"),"")</f>
        <v/>
      </c>
      <c r="Z1024" s="29" t="str">
        <f>IF(Y1024=1,COUNTIF($Y$2:Y1024,1),"")</f>
        <v/>
      </c>
      <c r="AA1024" s="29" t="str">
        <f>IF(AND(LEFT($B1024,7)="SBA 26/",$C1024&lt;&gt;"",$F1024&lt;&gt;""),COUNTIFS($C$2:$C1024,$C1024,$B$2:$B1024,"SBA 26/*",$F$2:$F1024,"&lt;&gt;"),"")</f>
        <v/>
      </c>
      <c r="AB1024" s="29" t="str">
        <f>IF(AA1024=1,COUNTIF($AA$2:AA1024,1),"")</f>
        <v/>
      </c>
    </row>
    <row r="1025" spans="6:28" ht="47.25" customHeight="1" x14ac:dyDescent="0.2">
      <c r="F1025" s="45" t="s">
        <v>3702</v>
      </c>
      <c r="T1025" s="41"/>
      <c r="U1025" s="29" t="str">
        <f>IF($C1025&lt;&gt;"",COUNTIF($C$2:C1025,C1025),"")</f>
        <v/>
      </c>
      <c r="V1025" s="29" t="str">
        <f t="shared" si="62"/>
        <v/>
      </c>
      <c r="W1025" s="29" t="str">
        <f>IF(U1025=1,COUNTIF($U$2:U1025,1),"")</f>
        <v/>
      </c>
      <c r="X1025" s="29" t="str">
        <f t="shared" si="63"/>
        <v/>
      </c>
      <c r="Y1025" s="29" t="str">
        <f>IF(AND(LEFT($B1025,7)="SBA 26/",$D1025&lt;&gt;"",$F1025&lt;&gt;""),COUNTIFS($D$2:$D1025,$D1025,$B$2:$B1025,"SBA 26/*",$F$2:$F1025,"&lt;&gt;"),"")</f>
        <v/>
      </c>
      <c r="Z1025" s="29" t="str">
        <f>IF(Y1025=1,COUNTIF($Y$2:Y1025,1),"")</f>
        <v/>
      </c>
      <c r="AA1025" s="29" t="str">
        <f>IF(AND(LEFT($B1025,7)="SBA 26/",$C1025&lt;&gt;"",$F1025&lt;&gt;""),COUNTIFS($C$2:$C1025,$C1025,$B$2:$B1025,"SBA 26/*",$F$2:$F1025,"&lt;&gt;"),"")</f>
        <v/>
      </c>
      <c r="AB1025" s="29" t="str">
        <f>IF(AA1025=1,COUNTIF($AA$2:AA1025,1),"")</f>
        <v/>
      </c>
    </row>
    <row r="1026" spans="6:28" ht="78.75" customHeight="1" x14ac:dyDescent="0.2">
      <c r="F1026" s="45" t="s">
        <v>3703</v>
      </c>
      <c r="T1026" s="41"/>
      <c r="U1026" s="29" t="str">
        <f>IF($C1026&lt;&gt;"",COUNTIF($C$2:C1026,C1026),"")</f>
        <v/>
      </c>
      <c r="V1026" s="29" t="str">
        <f t="shared" ref="V1026:V1089" si="64">IF($C1026&lt;&gt;"",C1026&amp;"§"&amp;U1026,"")</f>
        <v/>
      </c>
      <c r="W1026" s="29" t="str">
        <f>IF(U1026=1,COUNTIF($U$2:U1026,1),"")</f>
        <v/>
      </c>
      <c r="X1026" s="29" t="str">
        <f t="shared" si="63"/>
        <v/>
      </c>
      <c r="Y1026" s="29" t="str">
        <f>IF(AND(LEFT($B1026,7)="SBA 26/",$D1026&lt;&gt;"",$F1026&lt;&gt;""),COUNTIFS($D$2:$D1026,$D1026,$B$2:$B1026,"SBA 26/*",$F$2:$F1026,"&lt;&gt;"),"")</f>
        <v/>
      </c>
      <c r="Z1026" s="29" t="str">
        <f>IF(Y1026=1,COUNTIF($Y$2:Y1026,1),"")</f>
        <v/>
      </c>
      <c r="AA1026" s="29" t="str">
        <f>IF(AND(LEFT($B1026,7)="SBA 26/",$C1026&lt;&gt;"",$F1026&lt;&gt;""),COUNTIFS($C$2:$C1026,$C1026,$B$2:$B1026,"SBA 26/*",$F$2:$F1026,"&lt;&gt;"),"")</f>
        <v/>
      </c>
      <c r="AB1026" s="29" t="str">
        <f>IF(AA1026=1,COUNTIF($AA$2:AA1026,1),"")</f>
        <v/>
      </c>
    </row>
    <row r="1027" spans="6:28" ht="47.25" customHeight="1" x14ac:dyDescent="0.2">
      <c r="F1027" s="45" t="s">
        <v>3704</v>
      </c>
      <c r="T1027" s="41"/>
      <c r="U1027" s="29" t="str">
        <f>IF($C1027&lt;&gt;"",COUNTIF($C$2:C1027,C1027),"")</f>
        <v/>
      </c>
      <c r="V1027" s="29" t="str">
        <f t="shared" si="64"/>
        <v/>
      </c>
      <c r="W1027" s="29" t="str">
        <f>IF(U1027=1,COUNTIF($U$2:U1027,1),"")</f>
        <v/>
      </c>
      <c r="X1027" s="29" t="str">
        <f t="shared" si="63"/>
        <v/>
      </c>
      <c r="Y1027" s="29" t="str">
        <f>IF(AND(LEFT($B1027,7)="SBA 26/",$D1027&lt;&gt;"",$F1027&lt;&gt;""),COUNTIFS($D$2:$D1027,$D1027,$B$2:$B1027,"SBA 26/*",$F$2:$F1027,"&lt;&gt;"),"")</f>
        <v/>
      </c>
      <c r="Z1027" s="29" t="str">
        <f>IF(Y1027=1,COUNTIF($Y$2:Y1027,1),"")</f>
        <v/>
      </c>
      <c r="AA1027" s="29" t="str">
        <f>IF(AND(LEFT($B1027,7)="SBA 26/",$C1027&lt;&gt;"",$F1027&lt;&gt;""),COUNTIFS($C$2:$C1027,$C1027,$B$2:$B1027,"SBA 26/*",$F$2:$F1027,"&lt;&gt;"),"")</f>
        <v/>
      </c>
      <c r="AB1027" s="29" t="str">
        <f>IF(AA1027=1,COUNTIF($AA$2:AA1027,1),"")</f>
        <v/>
      </c>
    </row>
    <row r="1028" spans="6:28" ht="47.25" customHeight="1" x14ac:dyDescent="0.2">
      <c r="F1028" s="45" t="s">
        <v>3705</v>
      </c>
      <c r="T1028" s="41"/>
      <c r="U1028" s="29" t="str">
        <f>IF($C1028&lt;&gt;"",COUNTIF($C$2:C1028,C1028),"")</f>
        <v/>
      </c>
      <c r="V1028" s="29" t="str">
        <f t="shared" si="64"/>
        <v/>
      </c>
      <c r="W1028" s="29" t="str">
        <f>IF(U1028=1,COUNTIF($U$2:U1028,1),"")</f>
        <v/>
      </c>
      <c r="X1028" s="29" t="str">
        <f t="shared" si="63"/>
        <v/>
      </c>
      <c r="Y1028" s="29" t="str">
        <f>IF(AND(LEFT($B1028,7)="SBA 26/",$D1028&lt;&gt;"",$F1028&lt;&gt;""),COUNTIFS($D$2:$D1028,$D1028,$B$2:$B1028,"SBA 26/*",$F$2:$F1028,"&lt;&gt;"),"")</f>
        <v/>
      </c>
      <c r="Z1028" s="29" t="str">
        <f>IF(Y1028=1,COUNTIF($Y$2:Y1028,1),"")</f>
        <v/>
      </c>
      <c r="AA1028" s="29" t="str">
        <f>IF(AND(LEFT($B1028,7)="SBA 26/",$C1028&lt;&gt;"",$F1028&lt;&gt;""),COUNTIFS($C$2:$C1028,$C1028,$B$2:$B1028,"SBA 26/*",$F$2:$F1028,"&lt;&gt;"),"")</f>
        <v/>
      </c>
      <c r="AB1028" s="29" t="str">
        <f>IF(AA1028=1,COUNTIF($AA$2:AA1028,1),"")</f>
        <v/>
      </c>
    </row>
    <row r="1029" spans="6:28" ht="47.25" customHeight="1" x14ac:dyDescent="0.2">
      <c r="F1029" s="45" t="s">
        <v>3706</v>
      </c>
      <c r="T1029" s="41"/>
      <c r="U1029" s="29" t="str">
        <f>IF($C1029&lt;&gt;"",COUNTIF($C$2:C1029,C1029),"")</f>
        <v/>
      </c>
      <c r="V1029" s="29" t="str">
        <f t="shared" si="64"/>
        <v/>
      </c>
      <c r="W1029" s="29" t="str">
        <f>IF(U1029=1,COUNTIF($U$2:U1029,1),"")</f>
        <v/>
      </c>
      <c r="X1029" s="29" t="str">
        <f t="shared" si="63"/>
        <v/>
      </c>
      <c r="Y1029" s="29" t="str">
        <f>IF(AND(LEFT($B1029,7)="SBA 26/",$D1029&lt;&gt;"",$F1029&lt;&gt;""),COUNTIFS($D$2:$D1029,$D1029,$B$2:$B1029,"SBA 26/*",$F$2:$F1029,"&lt;&gt;"),"")</f>
        <v/>
      </c>
      <c r="Z1029" s="29" t="str">
        <f>IF(Y1029=1,COUNTIF($Y$2:Y1029,1),"")</f>
        <v/>
      </c>
      <c r="AA1029" s="29" t="str">
        <f>IF(AND(LEFT($B1029,7)="SBA 26/",$C1029&lt;&gt;"",$F1029&lt;&gt;""),COUNTIFS($C$2:$C1029,$C1029,$B$2:$B1029,"SBA 26/*",$F$2:$F1029,"&lt;&gt;"),"")</f>
        <v/>
      </c>
      <c r="AB1029" s="29" t="str">
        <f>IF(AA1029=1,COUNTIF($AA$2:AA1029,1),"")</f>
        <v/>
      </c>
    </row>
    <row r="1030" spans="6:28" ht="31.5" customHeight="1" x14ac:dyDescent="0.2">
      <c r="F1030" s="45" t="s">
        <v>3707</v>
      </c>
      <c r="T1030" s="41"/>
      <c r="U1030" s="29" t="str">
        <f>IF($C1030&lt;&gt;"",COUNTIF($C$2:C1030,C1030),"")</f>
        <v/>
      </c>
      <c r="V1030" s="29" t="str">
        <f t="shared" si="64"/>
        <v/>
      </c>
      <c r="W1030" s="29" t="str">
        <f>IF(U1030=1,COUNTIF($U$2:U1030,1),"")</f>
        <v/>
      </c>
      <c r="X1030" s="29" t="str">
        <f t="shared" si="63"/>
        <v/>
      </c>
      <c r="Y1030" s="29" t="str">
        <f>IF(AND(LEFT($B1030,7)="SBA 26/",$D1030&lt;&gt;"",$F1030&lt;&gt;""),COUNTIFS($D$2:$D1030,$D1030,$B$2:$B1030,"SBA 26/*",$F$2:$F1030,"&lt;&gt;"),"")</f>
        <v/>
      </c>
      <c r="Z1030" s="29" t="str">
        <f>IF(Y1030=1,COUNTIF($Y$2:Y1030,1),"")</f>
        <v/>
      </c>
      <c r="AA1030" s="29" t="str">
        <f>IF(AND(LEFT($B1030,7)="SBA 26/",$C1030&lt;&gt;"",$F1030&lt;&gt;""),COUNTIFS($C$2:$C1030,$C1030,$B$2:$B1030,"SBA 26/*",$F$2:$F1030,"&lt;&gt;"),"")</f>
        <v/>
      </c>
      <c r="AB1030" s="29" t="str">
        <f>IF(AA1030=1,COUNTIF($AA$2:AA1030,1),"")</f>
        <v/>
      </c>
    </row>
    <row r="1031" spans="6:28" ht="63" customHeight="1" x14ac:dyDescent="0.2">
      <c r="F1031" s="45" t="s">
        <v>3708</v>
      </c>
      <c r="T1031" s="41"/>
      <c r="U1031" s="29" t="str">
        <f>IF($C1031&lt;&gt;"",COUNTIF($C$2:C1031,C1031),"")</f>
        <v/>
      </c>
      <c r="V1031" s="29" t="str">
        <f t="shared" si="64"/>
        <v/>
      </c>
      <c r="W1031" s="29" t="str">
        <f>IF(U1031=1,COUNTIF($U$2:U1031,1),"")</f>
        <v/>
      </c>
      <c r="X1031" s="29" t="str">
        <f t="shared" si="63"/>
        <v/>
      </c>
      <c r="Y1031" s="29" t="str">
        <f>IF(AND(LEFT($B1031,7)="SBA 26/",$D1031&lt;&gt;"",$F1031&lt;&gt;""),COUNTIFS($D$2:$D1031,$D1031,$B$2:$B1031,"SBA 26/*",$F$2:$F1031,"&lt;&gt;"),"")</f>
        <v/>
      </c>
      <c r="Z1031" s="29" t="str">
        <f>IF(Y1031=1,COUNTIF($Y$2:Y1031,1),"")</f>
        <v/>
      </c>
      <c r="AA1031" s="29" t="str">
        <f>IF(AND(LEFT($B1031,7)="SBA 26/",$C1031&lt;&gt;"",$F1031&lt;&gt;""),COUNTIFS($C$2:$C1031,$C1031,$B$2:$B1031,"SBA 26/*",$F$2:$F1031,"&lt;&gt;"),"")</f>
        <v/>
      </c>
      <c r="AB1031" s="29" t="str">
        <f>IF(AA1031=1,COUNTIF($AA$2:AA1031,1),"")</f>
        <v/>
      </c>
    </row>
    <row r="1032" spans="6:28" ht="47.25" customHeight="1" x14ac:dyDescent="0.2">
      <c r="F1032" s="45" t="s">
        <v>3709</v>
      </c>
      <c r="T1032" s="41"/>
      <c r="U1032" s="29" t="str">
        <f>IF($C1032&lt;&gt;"",COUNTIF($C$2:C1032,C1032),"")</f>
        <v/>
      </c>
      <c r="V1032" s="29" t="str">
        <f t="shared" si="64"/>
        <v/>
      </c>
      <c r="W1032" s="29" t="str">
        <f>IF(U1032=1,COUNTIF($U$2:U1032,1),"")</f>
        <v/>
      </c>
      <c r="X1032" s="29" t="str">
        <f t="shared" si="63"/>
        <v/>
      </c>
      <c r="Y1032" s="29" t="str">
        <f>IF(AND(LEFT($B1032,7)="SBA 26/",$D1032&lt;&gt;"",$F1032&lt;&gt;""),COUNTIFS($D$2:$D1032,$D1032,$B$2:$B1032,"SBA 26/*",$F$2:$F1032,"&lt;&gt;"),"")</f>
        <v/>
      </c>
      <c r="Z1032" s="29" t="str">
        <f>IF(Y1032=1,COUNTIF($Y$2:Y1032,1),"")</f>
        <v/>
      </c>
      <c r="AA1032" s="29" t="str">
        <f>IF(AND(LEFT($B1032,7)="SBA 26/",$C1032&lt;&gt;"",$F1032&lt;&gt;""),COUNTIFS($C$2:$C1032,$C1032,$B$2:$B1032,"SBA 26/*",$F$2:$F1032,"&lt;&gt;"),"")</f>
        <v/>
      </c>
      <c r="AB1032" s="29" t="str">
        <f>IF(AA1032=1,COUNTIF($AA$2:AA1032,1),"")</f>
        <v/>
      </c>
    </row>
    <row r="1033" spans="6:28" ht="47.25" customHeight="1" x14ac:dyDescent="0.2">
      <c r="F1033" s="45" t="s">
        <v>3710</v>
      </c>
      <c r="T1033" s="41"/>
      <c r="U1033" s="29" t="str">
        <f>IF($C1033&lt;&gt;"",COUNTIF($C$2:C1033,C1033),"")</f>
        <v/>
      </c>
      <c r="V1033" s="29" t="str">
        <f t="shared" si="64"/>
        <v/>
      </c>
      <c r="W1033" s="29" t="str">
        <f>IF(U1033=1,COUNTIF($U$2:U1033,1),"")</f>
        <v/>
      </c>
      <c r="X1033" s="29" t="str">
        <f t="shared" si="63"/>
        <v/>
      </c>
      <c r="Y1033" s="29" t="str">
        <f>IF(AND(LEFT($B1033,7)="SBA 26/",$D1033&lt;&gt;"",$F1033&lt;&gt;""),COUNTIFS($D$2:$D1033,$D1033,$B$2:$B1033,"SBA 26/*",$F$2:$F1033,"&lt;&gt;"),"")</f>
        <v/>
      </c>
      <c r="Z1033" s="29" t="str">
        <f>IF(Y1033=1,COUNTIF($Y$2:Y1033,1),"")</f>
        <v/>
      </c>
      <c r="AA1033" s="29" t="str">
        <f>IF(AND(LEFT($B1033,7)="SBA 26/",$C1033&lt;&gt;"",$F1033&lt;&gt;""),COUNTIFS($C$2:$C1033,$C1033,$B$2:$B1033,"SBA 26/*",$F$2:$F1033,"&lt;&gt;"),"")</f>
        <v/>
      </c>
      <c r="AB1033" s="29" t="str">
        <f>IF(AA1033=1,COUNTIF($AA$2:AA1033,1),"")</f>
        <v/>
      </c>
    </row>
    <row r="1034" spans="6:28" ht="47.25" customHeight="1" x14ac:dyDescent="0.2">
      <c r="F1034" s="45" t="s">
        <v>3711</v>
      </c>
      <c r="T1034" s="41"/>
      <c r="U1034" s="29" t="str">
        <f>IF($C1034&lt;&gt;"",COUNTIF($C$2:C1034,C1034),"")</f>
        <v/>
      </c>
      <c r="V1034" s="29" t="str">
        <f t="shared" si="64"/>
        <v/>
      </c>
      <c r="W1034" s="29" t="str">
        <f>IF(U1034=1,COUNTIF($U$2:U1034,1),"")</f>
        <v/>
      </c>
      <c r="X1034" s="29" t="str">
        <f t="shared" si="63"/>
        <v/>
      </c>
      <c r="Y1034" s="29" t="str">
        <f>IF(AND(LEFT($B1034,7)="SBA 26/",$D1034&lt;&gt;"",$F1034&lt;&gt;""),COUNTIFS($D$2:$D1034,$D1034,$B$2:$B1034,"SBA 26/*",$F$2:$F1034,"&lt;&gt;"),"")</f>
        <v/>
      </c>
      <c r="Z1034" s="29" t="str">
        <f>IF(Y1034=1,COUNTIF($Y$2:Y1034,1),"")</f>
        <v/>
      </c>
      <c r="AA1034" s="29" t="str">
        <f>IF(AND(LEFT($B1034,7)="SBA 26/",$C1034&lt;&gt;"",$F1034&lt;&gt;""),COUNTIFS($C$2:$C1034,$C1034,$B$2:$B1034,"SBA 26/*",$F$2:$F1034,"&lt;&gt;"),"")</f>
        <v/>
      </c>
      <c r="AB1034" s="29" t="str">
        <f>IF(AA1034=1,COUNTIF($AA$2:AA1034,1),"")</f>
        <v/>
      </c>
    </row>
    <row r="1035" spans="6:28" ht="47.25" customHeight="1" x14ac:dyDescent="0.2">
      <c r="F1035" s="45" t="s">
        <v>3712</v>
      </c>
      <c r="T1035" s="41"/>
      <c r="U1035" s="29" t="str">
        <f>IF($C1035&lt;&gt;"",COUNTIF($C$2:C1035,C1035),"")</f>
        <v/>
      </c>
      <c r="V1035" s="29" t="str">
        <f t="shared" si="64"/>
        <v/>
      </c>
      <c r="W1035" s="29" t="str">
        <f>IF(U1035=1,COUNTIF($U$2:U1035,1),"")</f>
        <v/>
      </c>
      <c r="X1035" s="29" t="str">
        <f t="shared" si="63"/>
        <v/>
      </c>
      <c r="Y1035" s="29" t="str">
        <f>IF(AND(LEFT($B1035,7)="SBA 26/",$D1035&lt;&gt;"",$F1035&lt;&gt;""),COUNTIFS($D$2:$D1035,$D1035,$B$2:$B1035,"SBA 26/*",$F$2:$F1035,"&lt;&gt;"),"")</f>
        <v/>
      </c>
      <c r="Z1035" s="29" t="str">
        <f>IF(Y1035=1,COUNTIF($Y$2:Y1035,1),"")</f>
        <v/>
      </c>
      <c r="AA1035" s="29" t="str">
        <f>IF(AND(LEFT($B1035,7)="SBA 26/",$C1035&lt;&gt;"",$F1035&lt;&gt;""),COUNTIFS($C$2:$C1035,$C1035,$B$2:$B1035,"SBA 26/*",$F$2:$F1035,"&lt;&gt;"),"")</f>
        <v/>
      </c>
      <c r="AB1035" s="29" t="str">
        <f>IF(AA1035=1,COUNTIF($AA$2:AA1035,1),"")</f>
        <v/>
      </c>
    </row>
    <row r="1036" spans="6:28" ht="31.5" customHeight="1" x14ac:dyDescent="0.2">
      <c r="F1036" s="45" t="s">
        <v>3713</v>
      </c>
      <c r="T1036" s="41"/>
      <c r="U1036" s="29" t="str">
        <f>IF($C1036&lt;&gt;"",COUNTIF($C$2:C1036,C1036),"")</f>
        <v/>
      </c>
      <c r="V1036" s="29" t="str">
        <f t="shared" si="64"/>
        <v/>
      </c>
      <c r="W1036" s="29" t="str">
        <f>IF(U1036=1,COUNTIF($U$2:U1036,1),"")</f>
        <v/>
      </c>
      <c r="X1036" s="29" t="str">
        <f t="shared" si="63"/>
        <v/>
      </c>
      <c r="Y1036" s="29" t="str">
        <f>IF(AND(LEFT($B1036,7)="SBA 26/",$D1036&lt;&gt;"",$F1036&lt;&gt;""),COUNTIFS($D$2:$D1036,$D1036,$B$2:$B1036,"SBA 26/*",$F$2:$F1036,"&lt;&gt;"),"")</f>
        <v/>
      </c>
      <c r="Z1036" s="29" t="str">
        <f>IF(Y1036=1,COUNTIF($Y$2:Y1036,1),"")</f>
        <v/>
      </c>
      <c r="AA1036" s="29" t="str">
        <f>IF(AND(LEFT($B1036,7)="SBA 26/",$C1036&lt;&gt;"",$F1036&lt;&gt;""),COUNTIFS($C$2:$C1036,$C1036,$B$2:$B1036,"SBA 26/*",$F$2:$F1036,"&lt;&gt;"),"")</f>
        <v/>
      </c>
      <c r="AB1036" s="29" t="str">
        <f>IF(AA1036=1,COUNTIF($AA$2:AA1036,1),"")</f>
        <v/>
      </c>
    </row>
    <row r="1037" spans="6:28" ht="31.5" customHeight="1" x14ac:dyDescent="0.2">
      <c r="F1037" s="45" t="s">
        <v>3714</v>
      </c>
      <c r="T1037" s="41"/>
      <c r="U1037" s="29" t="str">
        <f>IF($C1037&lt;&gt;"",COUNTIF($C$2:C1037,C1037),"")</f>
        <v/>
      </c>
      <c r="V1037" s="29" t="str">
        <f t="shared" si="64"/>
        <v/>
      </c>
      <c r="W1037" s="29" t="str">
        <f>IF(U1037=1,COUNTIF($U$2:U1037,1),"")</f>
        <v/>
      </c>
      <c r="X1037" s="29" t="str">
        <f t="shared" si="63"/>
        <v/>
      </c>
      <c r="Y1037" s="29" t="str">
        <f>IF(AND(LEFT($B1037,7)="SBA 26/",$D1037&lt;&gt;"",$F1037&lt;&gt;""),COUNTIFS($D$2:$D1037,$D1037,$B$2:$B1037,"SBA 26/*",$F$2:$F1037,"&lt;&gt;"),"")</f>
        <v/>
      </c>
      <c r="Z1037" s="29" t="str">
        <f>IF(Y1037=1,COUNTIF($Y$2:Y1037,1),"")</f>
        <v/>
      </c>
      <c r="AA1037" s="29" t="str">
        <f>IF(AND(LEFT($B1037,7)="SBA 26/",$C1037&lt;&gt;"",$F1037&lt;&gt;""),COUNTIFS($C$2:$C1037,$C1037,$B$2:$B1037,"SBA 26/*",$F$2:$F1037,"&lt;&gt;"),"")</f>
        <v/>
      </c>
      <c r="AB1037" s="29" t="str">
        <f>IF(AA1037=1,COUNTIF($AA$2:AA1037,1),"")</f>
        <v/>
      </c>
    </row>
    <row r="1038" spans="6:28" ht="31.5" customHeight="1" x14ac:dyDescent="0.2">
      <c r="F1038" s="45" t="s">
        <v>3715</v>
      </c>
      <c r="T1038" s="41"/>
      <c r="U1038" s="29" t="str">
        <f>IF($C1038&lt;&gt;"",COUNTIF($C$2:C1038,C1038),"")</f>
        <v/>
      </c>
      <c r="V1038" s="29" t="str">
        <f t="shared" si="64"/>
        <v/>
      </c>
      <c r="W1038" s="29" t="str">
        <f>IF(U1038=1,COUNTIF($U$2:U1038,1),"")</f>
        <v/>
      </c>
      <c r="X1038" s="29" t="str">
        <f t="shared" si="63"/>
        <v/>
      </c>
      <c r="Y1038" s="29" t="str">
        <f>IF(AND(LEFT($B1038,7)="SBA 26/",$D1038&lt;&gt;"",$F1038&lt;&gt;""),COUNTIFS($D$2:$D1038,$D1038,$B$2:$B1038,"SBA 26/*",$F$2:$F1038,"&lt;&gt;"),"")</f>
        <v/>
      </c>
      <c r="Z1038" s="29" t="str">
        <f>IF(Y1038=1,COUNTIF($Y$2:Y1038,1),"")</f>
        <v/>
      </c>
      <c r="AA1038" s="29" t="str">
        <f>IF(AND(LEFT($B1038,7)="SBA 26/",$C1038&lt;&gt;"",$F1038&lt;&gt;""),COUNTIFS($C$2:$C1038,$C1038,$B$2:$B1038,"SBA 26/*",$F$2:$F1038,"&lt;&gt;"),"")</f>
        <v/>
      </c>
      <c r="AB1038" s="29" t="str">
        <f>IF(AA1038=1,COUNTIF($AA$2:AA1038,1),"")</f>
        <v/>
      </c>
    </row>
    <row r="1039" spans="6:28" ht="31.5" customHeight="1" x14ac:dyDescent="0.2">
      <c r="F1039" s="45" t="s">
        <v>3716</v>
      </c>
      <c r="T1039" s="41"/>
      <c r="U1039" s="29" t="str">
        <f>IF($C1039&lt;&gt;"",COUNTIF($C$2:C1039,C1039),"")</f>
        <v/>
      </c>
      <c r="V1039" s="29" t="str">
        <f t="shared" si="64"/>
        <v/>
      </c>
      <c r="W1039" s="29" t="str">
        <f>IF(U1039=1,COUNTIF($U$2:U1039,1),"")</f>
        <v/>
      </c>
      <c r="X1039" s="29" t="str">
        <f t="shared" si="63"/>
        <v/>
      </c>
      <c r="Y1039" s="29" t="str">
        <f>IF(AND(LEFT($B1039,7)="SBA 26/",$D1039&lt;&gt;"",$F1039&lt;&gt;""),COUNTIFS($D$2:$D1039,$D1039,$B$2:$B1039,"SBA 26/*",$F$2:$F1039,"&lt;&gt;"),"")</f>
        <v/>
      </c>
      <c r="Z1039" s="29" t="str">
        <f>IF(Y1039=1,COUNTIF($Y$2:Y1039,1),"")</f>
        <v/>
      </c>
      <c r="AA1039" s="29" t="str">
        <f>IF(AND(LEFT($B1039,7)="SBA 26/",$C1039&lt;&gt;"",$F1039&lt;&gt;""),COUNTIFS($C$2:$C1039,$C1039,$B$2:$B1039,"SBA 26/*",$F$2:$F1039,"&lt;&gt;"),"")</f>
        <v/>
      </c>
      <c r="AB1039" s="29" t="str">
        <f>IF(AA1039=1,COUNTIF($AA$2:AA1039,1),"")</f>
        <v/>
      </c>
    </row>
    <row r="1040" spans="6:28" ht="31.5" customHeight="1" x14ac:dyDescent="0.2">
      <c r="F1040" s="45" t="s">
        <v>3717</v>
      </c>
      <c r="T1040" s="41"/>
      <c r="U1040" s="29" t="str">
        <f>IF($C1040&lt;&gt;"",COUNTIF($C$2:C1040,C1040),"")</f>
        <v/>
      </c>
      <c r="V1040" s="29" t="str">
        <f t="shared" si="64"/>
        <v/>
      </c>
      <c r="W1040" s="29" t="str">
        <f>IF(U1040=1,COUNTIF($U$2:U1040,1),"")</f>
        <v/>
      </c>
      <c r="X1040" s="29" t="str">
        <f t="shared" si="63"/>
        <v/>
      </c>
      <c r="Y1040" s="29" t="str">
        <f>IF(AND(LEFT($B1040,7)="SBA 26/",$D1040&lt;&gt;"",$F1040&lt;&gt;""),COUNTIFS($D$2:$D1040,$D1040,$B$2:$B1040,"SBA 26/*",$F$2:$F1040,"&lt;&gt;"),"")</f>
        <v/>
      </c>
      <c r="Z1040" s="29" t="str">
        <f>IF(Y1040=1,COUNTIF($Y$2:Y1040,1),"")</f>
        <v/>
      </c>
      <c r="AA1040" s="29" t="str">
        <f>IF(AND(LEFT($B1040,7)="SBA 26/",$C1040&lt;&gt;"",$F1040&lt;&gt;""),COUNTIFS($C$2:$C1040,$C1040,$B$2:$B1040,"SBA 26/*",$F$2:$F1040,"&lt;&gt;"),"")</f>
        <v/>
      </c>
      <c r="AB1040" s="29" t="str">
        <f>IF(AA1040=1,COUNTIF($AA$2:AA1040,1),"")</f>
        <v/>
      </c>
    </row>
    <row r="1041" spans="6:28" ht="31.5" customHeight="1" x14ac:dyDescent="0.2">
      <c r="F1041" s="45" t="s">
        <v>3718</v>
      </c>
      <c r="T1041" s="41"/>
      <c r="U1041" s="29" t="str">
        <f>IF($C1041&lt;&gt;"",COUNTIF($C$2:C1041,C1041),"")</f>
        <v/>
      </c>
      <c r="V1041" s="29" t="str">
        <f t="shared" si="64"/>
        <v/>
      </c>
      <c r="W1041" s="29" t="str">
        <f>IF(U1041=1,COUNTIF($U$2:U1041,1),"")</f>
        <v/>
      </c>
      <c r="X1041" s="29" t="str">
        <f t="shared" si="63"/>
        <v/>
      </c>
      <c r="Y1041" s="29" t="str">
        <f>IF(AND(LEFT($B1041,7)="SBA 26/",$D1041&lt;&gt;"",$F1041&lt;&gt;""),COUNTIFS($D$2:$D1041,$D1041,$B$2:$B1041,"SBA 26/*",$F$2:$F1041,"&lt;&gt;"),"")</f>
        <v/>
      </c>
      <c r="Z1041" s="29" t="str">
        <f>IF(Y1041=1,COUNTIF($Y$2:Y1041,1),"")</f>
        <v/>
      </c>
      <c r="AA1041" s="29" t="str">
        <f>IF(AND(LEFT($B1041,7)="SBA 26/",$C1041&lt;&gt;"",$F1041&lt;&gt;""),COUNTIFS($C$2:$C1041,$C1041,$B$2:$B1041,"SBA 26/*",$F$2:$F1041,"&lt;&gt;"),"")</f>
        <v/>
      </c>
      <c r="AB1041" s="29" t="str">
        <f>IF(AA1041=1,COUNTIF($AA$2:AA1041,1),"")</f>
        <v/>
      </c>
    </row>
    <row r="1042" spans="6:28" ht="47.25" customHeight="1" x14ac:dyDescent="0.2">
      <c r="F1042" s="45" t="s">
        <v>3719</v>
      </c>
      <c r="T1042" s="41"/>
      <c r="U1042" s="29" t="str">
        <f>IF($C1042&lt;&gt;"",COUNTIF($C$2:C1042,C1042),"")</f>
        <v/>
      </c>
      <c r="V1042" s="29" t="str">
        <f t="shared" si="64"/>
        <v/>
      </c>
      <c r="W1042" s="29" t="str">
        <f>IF(U1042=1,COUNTIF($U$2:U1042,1),"")</f>
        <v/>
      </c>
      <c r="X1042" s="29" t="str">
        <f t="shared" si="63"/>
        <v/>
      </c>
      <c r="Y1042" s="29" t="str">
        <f>IF(AND(LEFT($B1042,7)="SBA 26/",$D1042&lt;&gt;"",$F1042&lt;&gt;""),COUNTIFS($D$2:$D1042,$D1042,$B$2:$B1042,"SBA 26/*",$F$2:$F1042,"&lt;&gt;"),"")</f>
        <v/>
      </c>
      <c r="Z1042" s="29" t="str">
        <f>IF(Y1042=1,COUNTIF($Y$2:Y1042,1),"")</f>
        <v/>
      </c>
      <c r="AA1042" s="29" t="str">
        <f>IF(AND(LEFT($B1042,7)="SBA 26/",$C1042&lt;&gt;"",$F1042&lt;&gt;""),COUNTIFS($C$2:$C1042,$C1042,$B$2:$B1042,"SBA 26/*",$F$2:$F1042,"&lt;&gt;"),"")</f>
        <v/>
      </c>
      <c r="AB1042" s="29" t="str">
        <f>IF(AA1042=1,COUNTIF($AA$2:AA1042,1),"")</f>
        <v/>
      </c>
    </row>
    <row r="1043" spans="6:28" ht="31.5" customHeight="1" x14ac:dyDescent="0.2">
      <c r="F1043" s="45" t="s">
        <v>3720</v>
      </c>
      <c r="T1043" s="41"/>
      <c r="U1043" s="29" t="str">
        <f>IF($C1043&lt;&gt;"",COUNTIF($C$2:C1043,C1043),"")</f>
        <v/>
      </c>
      <c r="V1043" s="29" t="str">
        <f t="shared" si="64"/>
        <v/>
      </c>
      <c r="W1043" s="29" t="str">
        <f>IF(U1043=1,COUNTIF($U$2:U1043,1),"")</f>
        <v/>
      </c>
      <c r="X1043" s="29" t="str">
        <f t="shared" si="63"/>
        <v/>
      </c>
      <c r="Y1043" s="29" t="str">
        <f>IF(AND(LEFT($B1043,7)="SBA 26/",$D1043&lt;&gt;"",$F1043&lt;&gt;""),COUNTIFS($D$2:$D1043,$D1043,$B$2:$B1043,"SBA 26/*",$F$2:$F1043,"&lt;&gt;"),"")</f>
        <v/>
      </c>
      <c r="Z1043" s="29" t="str">
        <f>IF(Y1043=1,COUNTIF($Y$2:Y1043,1),"")</f>
        <v/>
      </c>
      <c r="AA1043" s="29" t="str">
        <f>IF(AND(LEFT($B1043,7)="SBA 26/",$C1043&lt;&gt;"",$F1043&lt;&gt;""),COUNTIFS($C$2:$C1043,$C1043,$B$2:$B1043,"SBA 26/*",$F$2:$F1043,"&lt;&gt;"),"")</f>
        <v/>
      </c>
      <c r="AB1043" s="29" t="str">
        <f>IF(AA1043=1,COUNTIF($AA$2:AA1043,1),"")</f>
        <v/>
      </c>
    </row>
    <row r="1044" spans="6:28" ht="31.5" customHeight="1" x14ac:dyDescent="0.2">
      <c r="F1044" s="45" t="s">
        <v>3721</v>
      </c>
      <c r="T1044" s="41"/>
      <c r="U1044" s="29" t="str">
        <f>IF($C1044&lt;&gt;"",COUNTIF($C$2:C1044,C1044),"")</f>
        <v/>
      </c>
      <c r="V1044" s="29" t="str">
        <f t="shared" si="64"/>
        <v/>
      </c>
      <c r="W1044" s="29" t="str">
        <f>IF(U1044=1,COUNTIF($U$2:U1044,1),"")</f>
        <v/>
      </c>
      <c r="X1044" s="29" t="str">
        <f t="shared" si="63"/>
        <v/>
      </c>
      <c r="Y1044" s="29" t="str">
        <f>IF(AND(LEFT($B1044,7)="SBA 26/",$D1044&lt;&gt;"",$F1044&lt;&gt;""),COUNTIFS($D$2:$D1044,$D1044,$B$2:$B1044,"SBA 26/*",$F$2:$F1044,"&lt;&gt;"),"")</f>
        <v/>
      </c>
      <c r="Z1044" s="29" t="str">
        <f>IF(Y1044=1,COUNTIF($Y$2:Y1044,1),"")</f>
        <v/>
      </c>
      <c r="AA1044" s="29" t="str">
        <f>IF(AND(LEFT($B1044,7)="SBA 26/",$C1044&lt;&gt;"",$F1044&lt;&gt;""),COUNTIFS($C$2:$C1044,$C1044,$B$2:$B1044,"SBA 26/*",$F$2:$F1044,"&lt;&gt;"),"")</f>
        <v/>
      </c>
      <c r="AB1044" s="29" t="str">
        <f>IF(AA1044=1,COUNTIF($AA$2:AA1044,1),"")</f>
        <v/>
      </c>
    </row>
    <row r="1045" spans="6:28" ht="31.5" customHeight="1" x14ac:dyDescent="0.2">
      <c r="F1045" s="45" t="s">
        <v>3722</v>
      </c>
      <c r="T1045" s="41"/>
      <c r="U1045" s="29" t="str">
        <f>IF($C1045&lt;&gt;"",COUNTIF($C$2:C1045,C1045),"")</f>
        <v/>
      </c>
      <c r="V1045" s="29" t="str">
        <f t="shared" si="64"/>
        <v/>
      </c>
      <c r="W1045" s="29" t="str">
        <f>IF(U1045=1,COUNTIF($U$2:U1045,1),"")</f>
        <v/>
      </c>
      <c r="X1045" s="29" t="str">
        <f t="shared" si="63"/>
        <v/>
      </c>
      <c r="Y1045" s="29" t="str">
        <f>IF(AND(LEFT($B1045,7)="SBA 26/",$D1045&lt;&gt;"",$F1045&lt;&gt;""),COUNTIFS($D$2:$D1045,$D1045,$B$2:$B1045,"SBA 26/*",$F$2:$F1045,"&lt;&gt;"),"")</f>
        <v/>
      </c>
      <c r="Z1045" s="29" t="str">
        <f>IF(Y1045=1,COUNTIF($Y$2:Y1045,1),"")</f>
        <v/>
      </c>
      <c r="AA1045" s="29" t="str">
        <f>IF(AND(LEFT($B1045,7)="SBA 26/",$C1045&lt;&gt;"",$F1045&lt;&gt;""),COUNTIFS($C$2:$C1045,$C1045,$B$2:$B1045,"SBA 26/*",$F$2:$F1045,"&lt;&gt;"),"")</f>
        <v/>
      </c>
      <c r="AB1045" s="29" t="str">
        <f>IF(AA1045=1,COUNTIF($AA$2:AA1045,1),"")</f>
        <v/>
      </c>
    </row>
    <row r="1046" spans="6:28" ht="63" customHeight="1" x14ac:dyDescent="0.2">
      <c r="F1046" s="45" t="s">
        <v>3723</v>
      </c>
      <c r="T1046" s="41"/>
      <c r="U1046" s="29" t="str">
        <f>IF($C1046&lt;&gt;"",COUNTIF($C$2:C1046,C1046),"")</f>
        <v/>
      </c>
      <c r="V1046" s="29" t="str">
        <f t="shared" si="64"/>
        <v/>
      </c>
      <c r="W1046" s="29" t="str">
        <f>IF(U1046=1,COUNTIF($U$2:U1046,1),"")</f>
        <v/>
      </c>
      <c r="X1046" s="29" t="str">
        <f t="shared" si="63"/>
        <v/>
      </c>
      <c r="Y1046" s="29" t="str">
        <f>IF(AND(LEFT($B1046,7)="SBA 26/",$D1046&lt;&gt;"",$F1046&lt;&gt;""),COUNTIFS($D$2:$D1046,$D1046,$B$2:$B1046,"SBA 26/*",$F$2:$F1046,"&lt;&gt;"),"")</f>
        <v/>
      </c>
      <c r="Z1046" s="29" t="str">
        <f>IF(Y1046=1,COUNTIF($Y$2:Y1046,1),"")</f>
        <v/>
      </c>
      <c r="AA1046" s="29" t="str">
        <f>IF(AND(LEFT($B1046,7)="SBA 26/",$C1046&lt;&gt;"",$F1046&lt;&gt;""),COUNTIFS($C$2:$C1046,$C1046,$B$2:$B1046,"SBA 26/*",$F$2:$F1046,"&lt;&gt;"),"")</f>
        <v/>
      </c>
      <c r="AB1046" s="29" t="str">
        <f>IF(AA1046=1,COUNTIF($AA$2:AA1046,1),"")</f>
        <v/>
      </c>
    </row>
    <row r="1047" spans="6:28" ht="31.5" customHeight="1" x14ac:dyDescent="0.2">
      <c r="F1047" s="45" t="s">
        <v>3724</v>
      </c>
      <c r="T1047" s="41"/>
      <c r="U1047" s="29" t="str">
        <f>IF($C1047&lt;&gt;"",COUNTIF($C$2:C1047,C1047),"")</f>
        <v/>
      </c>
      <c r="V1047" s="29" t="str">
        <f t="shared" si="64"/>
        <v/>
      </c>
      <c r="W1047" s="29" t="str">
        <f>IF(U1047=1,COUNTIF($U$2:U1047,1),"")</f>
        <v/>
      </c>
      <c r="X1047" s="29" t="str">
        <f t="shared" si="63"/>
        <v/>
      </c>
      <c r="Y1047" s="29" t="str">
        <f>IF(AND(LEFT($B1047,7)="SBA 26/",$D1047&lt;&gt;"",$F1047&lt;&gt;""),COUNTIFS($D$2:$D1047,$D1047,$B$2:$B1047,"SBA 26/*",$F$2:$F1047,"&lt;&gt;"),"")</f>
        <v/>
      </c>
      <c r="Z1047" s="29" t="str">
        <f>IF(Y1047=1,COUNTIF($Y$2:Y1047,1),"")</f>
        <v/>
      </c>
      <c r="AA1047" s="29" t="str">
        <f>IF(AND(LEFT($B1047,7)="SBA 26/",$C1047&lt;&gt;"",$F1047&lt;&gt;""),COUNTIFS($C$2:$C1047,$C1047,$B$2:$B1047,"SBA 26/*",$F$2:$F1047,"&lt;&gt;"),"")</f>
        <v/>
      </c>
      <c r="AB1047" s="29" t="str">
        <f>IF(AA1047=1,COUNTIF($AA$2:AA1047,1),"")</f>
        <v/>
      </c>
    </row>
    <row r="1048" spans="6:28" ht="63" customHeight="1" x14ac:dyDescent="0.2">
      <c r="F1048" s="45" t="s">
        <v>3725</v>
      </c>
      <c r="T1048" s="41"/>
      <c r="U1048" s="29" t="str">
        <f>IF($C1048&lt;&gt;"",COUNTIF($C$2:C1048,C1048),"")</f>
        <v/>
      </c>
      <c r="V1048" s="29" t="str">
        <f t="shared" si="64"/>
        <v/>
      </c>
      <c r="W1048" s="29" t="str">
        <f>IF(U1048=1,COUNTIF($U$2:U1048,1),"")</f>
        <v/>
      </c>
      <c r="X1048" s="29" t="str">
        <f t="shared" si="63"/>
        <v/>
      </c>
      <c r="Y1048" s="29" t="str">
        <f>IF(AND(LEFT($B1048,7)="SBA 26/",$D1048&lt;&gt;"",$F1048&lt;&gt;""),COUNTIFS($D$2:$D1048,$D1048,$B$2:$B1048,"SBA 26/*",$F$2:$F1048,"&lt;&gt;"),"")</f>
        <v/>
      </c>
      <c r="Z1048" s="29" t="str">
        <f>IF(Y1048=1,COUNTIF($Y$2:Y1048,1),"")</f>
        <v/>
      </c>
      <c r="AA1048" s="29" t="str">
        <f>IF(AND(LEFT($B1048,7)="SBA 26/",$C1048&lt;&gt;"",$F1048&lt;&gt;""),COUNTIFS($C$2:$C1048,$C1048,$B$2:$B1048,"SBA 26/*",$F$2:$F1048,"&lt;&gt;"),"")</f>
        <v/>
      </c>
      <c r="AB1048" s="29" t="str">
        <f>IF(AA1048=1,COUNTIF($AA$2:AA1048,1),"")</f>
        <v/>
      </c>
    </row>
    <row r="1049" spans="6:28" ht="47.25" customHeight="1" x14ac:dyDescent="0.2">
      <c r="F1049" s="45" t="s">
        <v>3726</v>
      </c>
      <c r="T1049" s="41"/>
      <c r="U1049" s="29" t="str">
        <f>IF($C1049&lt;&gt;"",COUNTIF($C$2:C1049,C1049),"")</f>
        <v/>
      </c>
      <c r="V1049" s="29" t="str">
        <f t="shared" si="64"/>
        <v/>
      </c>
      <c r="W1049" s="29" t="str">
        <f>IF(U1049=1,COUNTIF($U$2:U1049,1),"")</f>
        <v/>
      </c>
      <c r="X1049" s="29" t="str">
        <f t="shared" si="63"/>
        <v/>
      </c>
      <c r="Y1049" s="29" t="str">
        <f>IF(AND(LEFT($B1049,7)="SBA 26/",$D1049&lt;&gt;"",$F1049&lt;&gt;""),COUNTIFS($D$2:$D1049,$D1049,$B$2:$B1049,"SBA 26/*",$F$2:$F1049,"&lt;&gt;"),"")</f>
        <v/>
      </c>
      <c r="Z1049" s="29" t="str">
        <f>IF(Y1049=1,COUNTIF($Y$2:Y1049,1),"")</f>
        <v/>
      </c>
      <c r="AA1049" s="29" t="str">
        <f>IF(AND(LEFT($B1049,7)="SBA 26/",$C1049&lt;&gt;"",$F1049&lt;&gt;""),COUNTIFS($C$2:$C1049,$C1049,$B$2:$B1049,"SBA 26/*",$F$2:$F1049,"&lt;&gt;"),"")</f>
        <v/>
      </c>
      <c r="AB1049" s="29" t="str">
        <f>IF(AA1049=1,COUNTIF($AA$2:AA1049,1),"")</f>
        <v/>
      </c>
    </row>
    <row r="1050" spans="6:28" ht="63" customHeight="1" x14ac:dyDescent="0.2">
      <c r="F1050" s="45" t="s">
        <v>3727</v>
      </c>
      <c r="T1050" s="41"/>
      <c r="U1050" s="29" t="str">
        <f>IF($C1050&lt;&gt;"",COUNTIF($C$2:C1050,C1050),"")</f>
        <v/>
      </c>
      <c r="V1050" s="29" t="str">
        <f t="shared" si="64"/>
        <v/>
      </c>
      <c r="W1050" s="29" t="str">
        <f>IF(U1050=1,COUNTIF($U$2:U1050,1),"")</f>
        <v/>
      </c>
      <c r="X1050" s="29" t="str">
        <f t="shared" si="63"/>
        <v/>
      </c>
      <c r="Y1050" s="29" t="str">
        <f>IF(AND(LEFT($B1050,7)="SBA 26/",$D1050&lt;&gt;"",$F1050&lt;&gt;""),COUNTIFS($D$2:$D1050,$D1050,$B$2:$B1050,"SBA 26/*",$F$2:$F1050,"&lt;&gt;"),"")</f>
        <v/>
      </c>
      <c r="Z1050" s="29" t="str">
        <f>IF(Y1050=1,COUNTIF($Y$2:Y1050,1),"")</f>
        <v/>
      </c>
      <c r="AA1050" s="29" t="str">
        <f>IF(AND(LEFT($B1050,7)="SBA 26/",$C1050&lt;&gt;"",$F1050&lt;&gt;""),COUNTIFS($C$2:$C1050,$C1050,$B$2:$B1050,"SBA 26/*",$F$2:$F1050,"&lt;&gt;"),"")</f>
        <v/>
      </c>
      <c r="AB1050" s="29" t="str">
        <f>IF(AA1050=1,COUNTIF($AA$2:AA1050,1),"")</f>
        <v/>
      </c>
    </row>
    <row r="1051" spans="6:28" ht="31.5" customHeight="1" x14ac:dyDescent="0.2">
      <c r="F1051" s="45" t="s">
        <v>3728</v>
      </c>
      <c r="T1051" s="41"/>
      <c r="U1051" s="29" t="str">
        <f>IF($C1051&lt;&gt;"",COUNTIF($C$2:C1051,C1051),"")</f>
        <v/>
      </c>
      <c r="V1051" s="29" t="str">
        <f t="shared" si="64"/>
        <v/>
      </c>
      <c r="W1051" s="29" t="str">
        <f>IF(U1051=1,COUNTIF($U$2:U1051,1),"")</f>
        <v/>
      </c>
      <c r="X1051" s="29" t="str">
        <f t="shared" si="63"/>
        <v/>
      </c>
      <c r="Y1051" s="29" t="str">
        <f>IF(AND(LEFT($B1051,7)="SBA 26/",$D1051&lt;&gt;"",$F1051&lt;&gt;""),COUNTIFS($D$2:$D1051,$D1051,$B$2:$B1051,"SBA 26/*",$F$2:$F1051,"&lt;&gt;"),"")</f>
        <v/>
      </c>
      <c r="Z1051" s="29" t="str">
        <f>IF(Y1051=1,COUNTIF($Y$2:Y1051,1),"")</f>
        <v/>
      </c>
      <c r="AA1051" s="29" t="str">
        <f>IF(AND(LEFT($B1051,7)="SBA 26/",$C1051&lt;&gt;"",$F1051&lt;&gt;""),COUNTIFS($C$2:$C1051,$C1051,$B$2:$B1051,"SBA 26/*",$F$2:$F1051,"&lt;&gt;"),"")</f>
        <v/>
      </c>
      <c r="AB1051" s="29" t="str">
        <f>IF(AA1051=1,COUNTIF($AA$2:AA1051,1),"")</f>
        <v/>
      </c>
    </row>
    <row r="1052" spans="6:28" ht="63" customHeight="1" x14ac:dyDescent="0.2">
      <c r="F1052" s="45" t="s">
        <v>3729</v>
      </c>
      <c r="T1052" s="41"/>
      <c r="U1052" s="29" t="str">
        <f>IF($C1052&lt;&gt;"",COUNTIF($C$2:C1052,C1052),"")</f>
        <v/>
      </c>
      <c r="V1052" s="29" t="str">
        <f t="shared" si="64"/>
        <v/>
      </c>
      <c r="W1052" s="29" t="str">
        <f>IF(U1052=1,COUNTIF($U$2:U1052,1),"")</f>
        <v/>
      </c>
      <c r="X1052" s="29" t="str">
        <f t="shared" si="63"/>
        <v/>
      </c>
      <c r="Y1052" s="29" t="str">
        <f>IF(AND(LEFT($B1052,7)="SBA 26/",$D1052&lt;&gt;"",$F1052&lt;&gt;""),COUNTIFS($D$2:$D1052,$D1052,$B$2:$B1052,"SBA 26/*",$F$2:$F1052,"&lt;&gt;"),"")</f>
        <v/>
      </c>
      <c r="Z1052" s="29" t="str">
        <f>IF(Y1052=1,COUNTIF($Y$2:Y1052,1),"")</f>
        <v/>
      </c>
      <c r="AA1052" s="29" t="str">
        <f>IF(AND(LEFT($B1052,7)="SBA 26/",$C1052&lt;&gt;"",$F1052&lt;&gt;""),COUNTIFS($C$2:$C1052,$C1052,$B$2:$B1052,"SBA 26/*",$F$2:$F1052,"&lt;&gt;"),"")</f>
        <v/>
      </c>
      <c r="AB1052" s="29" t="str">
        <f>IF(AA1052=1,COUNTIF($AA$2:AA1052,1),"")</f>
        <v/>
      </c>
    </row>
    <row r="1053" spans="6:28" ht="63" customHeight="1" x14ac:dyDescent="0.2">
      <c r="F1053" s="45" t="s">
        <v>3730</v>
      </c>
      <c r="T1053" s="41"/>
      <c r="U1053" s="29" t="str">
        <f>IF($C1053&lt;&gt;"",COUNTIF($C$2:C1053,C1053),"")</f>
        <v/>
      </c>
      <c r="V1053" s="29" t="str">
        <f t="shared" si="64"/>
        <v/>
      </c>
      <c r="W1053" s="29" t="str">
        <f>IF(U1053=1,COUNTIF($U$2:U1053,1),"")</f>
        <v/>
      </c>
      <c r="X1053" s="29" t="str">
        <f t="shared" si="63"/>
        <v/>
      </c>
      <c r="Y1053" s="29" t="str">
        <f>IF(AND(LEFT($B1053,7)="SBA 26/",$D1053&lt;&gt;"",$F1053&lt;&gt;""),COUNTIFS($D$2:$D1053,$D1053,$B$2:$B1053,"SBA 26/*",$F$2:$F1053,"&lt;&gt;"),"")</f>
        <v/>
      </c>
      <c r="Z1053" s="29" t="str">
        <f>IF(Y1053=1,COUNTIF($Y$2:Y1053,1),"")</f>
        <v/>
      </c>
      <c r="AA1053" s="29" t="str">
        <f>IF(AND(LEFT($B1053,7)="SBA 26/",$C1053&lt;&gt;"",$F1053&lt;&gt;""),COUNTIFS($C$2:$C1053,$C1053,$B$2:$B1053,"SBA 26/*",$F$2:$F1053,"&lt;&gt;"),"")</f>
        <v/>
      </c>
      <c r="AB1053" s="29" t="str">
        <f>IF(AA1053=1,COUNTIF($AA$2:AA1053,1),"")</f>
        <v/>
      </c>
    </row>
    <row r="1054" spans="6:28" ht="31.5" customHeight="1" x14ac:dyDescent="0.2">
      <c r="F1054" s="45" t="s">
        <v>3731</v>
      </c>
      <c r="T1054" s="41"/>
      <c r="U1054" s="29" t="str">
        <f>IF($C1054&lt;&gt;"",COUNTIF($C$2:C1054,C1054),"")</f>
        <v/>
      </c>
      <c r="V1054" s="29" t="str">
        <f t="shared" si="64"/>
        <v/>
      </c>
      <c r="W1054" s="29" t="str">
        <f>IF(U1054=1,COUNTIF($U$2:U1054,1),"")</f>
        <v/>
      </c>
      <c r="X1054" s="29" t="str">
        <f t="shared" si="63"/>
        <v/>
      </c>
      <c r="Y1054" s="29" t="str">
        <f>IF(AND(LEFT($B1054,7)="SBA 26/",$D1054&lt;&gt;"",$F1054&lt;&gt;""),COUNTIFS($D$2:$D1054,$D1054,$B$2:$B1054,"SBA 26/*",$F$2:$F1054,"&lt;&gt;"),"")</f>
        <v/>
      </c>
      <c r="Z1054" s="29" t="str">
        <f>IF(Y1054=1,COUNTIF($Y$2:Y1054,1),"")</f>
        <v/>
      </c>
      <c r="AA1054" s="29" t="str">
        <f>IF(AND(LEFT($B1054,7)="SBA 26/",$C1054&lt;&gt;"",$F1054&lt;&gt;""),COUNTIFS($C$2:$C1054,$C1054,$B$2:$B1054,"SBA 26/*",$F$2:$F1054,"&lt;&gt;"),"")</f>
        <v/>
      </c>
      <c r="AB1054" s="29" t="str">
        <f>IF(AA1054=1,COUNTIF($AA$2:AA1054,1),"")</f>
        <v/>
      </c>
    </row>
    <row r="1055" spans="6:28" ht="31.5" customHeight="1" x14ac:dyDescent="0.2">
      <c r="F1055" s="45" t="s">
        <v>3732</v>
      </c>
      <c r="T1055" s="41"/>
      <c r="U1055" s="29" t="str">
        <f>IF($C1055&lt;&gt;"",COUNTIF($C$2:C1055,C1055),"")</f>
        <v/>
      </c>
      <c r="V1055" s="29" t="str">
        <f t="shared" si="64"/>
        <v/>
      </c>
      <c r="W1055" s="29" t="str">
        <f>IF(U1055=1,COUNTIF($U$2:U1055,1),"")</f>
        <v/>
      </c>
      <c r="X1055" s="29" t="str">
        <f t="shared" si="63"/>
        <v/>
      </c>
      <c r="Y1055" s="29" t="str">
        <f>IF(AND(LEFT($B1055,7)="SBA 26/",$D1055&lt;&gt;"",$F1055&lt;&gt;""),COUNTIFS($D$2:$D1055,$D1055,$B$2:$B1055,"SBA 26/*",$F$2:$F1055,"&lt;&gt;"),"")</f>
        <v/>
      </c>
      <c r="Z1055" s="29" t="str">
        <f>IF(Y1055=1,COUNTIF($Y$2:Y1055,1),"")</f>
        <v/>
      </c>
      <c r="AA1055" s="29" t="str">
        <f>IF(AND(LEFT($B1055,7)="SBA 26/",$C1055&lt;&gt;"",$F1055&lt;&gt;""),COUNTIFS($C$2:$C1055,$C1055,$B$2:$B1055,"SBA 26/*",$F$2:$F1055,"&lt;&gt;"),"")</f>
        <v/>
      </c>
      <c r="AB1055" s="29" t="str">
        <f>IF(AA1055=1,COUNTIF($AA$2:AA1055,1),"")</f>
        <v/>
      </c>
    </row>
    <row r="1056" spans="6:28" ht="31.5" customHeight="1" x14ac:dyDescent="0.2">
      <c r="F1056" s="45" t="s">
        <v>3733</v>
      </c>
      <c r="T1056" s="41"/>
      <c r="U1056" s="29" t="str">
        <f>IF($C1056&lt;&gt;"",COUNTIF($C$2:C1056,C1056),"")</f>
        <v/>
      </c>
      <c r="V1056" s="29" t="str">
        <f t="shared" si="64"/>
        <v/>
      </c>
      <c r="W1056" s="29" t="str">
        <f>IF(U1056=1,COUNTIF($U$2:U1056,1),"")</f>
        <v/>
      </c>
      <c r="X1056" s="29" t="str">
        <f t="shared" si="63"/>
        <v/>
      </c>
      <c r="Y1056" s="29" t="str">
        <f>IF(AND(LEFT($B1056,7)="SBA 26/",$D1056&lt;&gt;"",$F1056&lt;&gt;""),COUNTIFS($D$2:$D1056,$D1056,$B$2:$B1056,"SBA 26/*",$F$2:$F1056,"&lt;&gt;"),"")</f>
        <v/>
      </c>
      <c r="Z1056" s="29" t="str">
        <f>IF(Y1056=1,COUNTIF($Y$2:Y1056,1),"")</f>
        <v/>
      </c>
      <c r="AA1056" s="29" t="str">
        <f>IF(AND(LEFT($B1056,7)="SBA 26/",$C1056&lt;&gt;"",$F1056&lt;&gt;""),COUNTIFS($C$2:$C1056,$C1056,$B$2:$B1056,"SBA 26/*",$F$2:$F1056,"&lt;&gt;"),"")</f>
        <v/>
      </c>
      <c r="AB1056" s="29" t="str">
        <f>IF(AA1056=1,COUNTIF($AA$2:AA1056,1),"")</f>
        <v/>
      </c>
    </row>
    <row r="1057" spans="6:28" ht="47.25" customHeight="1" x14ac:dyDescent="0.2">
      <c r="F1057" s="45" t="s">
        <v>3734</v>
      </c>
      <c r="T1057" s="41"/>
      <c r="U1057" s="29" t="str">
        <f>IF($C1057&lt;&gt;"",COUNTIF($C$2:C1057,C1057),"")</f>
        <v/>
      </c>
      <c r="V1057" s="29" t="str">
        <f t="shared" si="64"/>
        <v/>
      </c>
      <c r="W1057" s="29" t="str">
        <f>IF(U1057=1,COUNTIF($U$2:U1057,1),"")</f>
        <v/>
      </c>
      <c r="X1057" s="29" t="str">
        <f t="shared" si="63"/>
        <v/>
      </c>
      <c r="Y1057" s="29" t="str">
        <f>IF(AND(LEFT($B1057,7)="SBA 26/",$D1057&lt;&gt;"",$F1057&lt;&gt;""),COUNTIFS($D$2:$D1057,$D1057,$B$2:$B1057,"SBA 26/*",$F$2:$F1057,"&lt;&gt;"),"")</f>
        <v/>
      </c>
      <c r="Z1057" s="29" t="str">
        <f>IF(Y1057=1,COUNTIF($Y$2:Y1057,1),"")</f>
        <v/>
      </c>
      <c r="AA1057" s="29" t="str">
        <f>IF(AND(LEFT($B1057,7)="SBA 26/",$C1057&lt;&gt;"",$F1057&lt;&gt;""),COUNTIFS($C$2:$C1057,$C1057,$B$2:$B1057,"SBA 26/*",$F$2:$F1057,"&lt;&gt;"),"")</f>
        <v/>
      </c>
      <c r="AB1057" s="29" t="str">
        <f>IF(AA1057=1,COUNTIF($AA$2:AA1057,1),"")</f>
        <v/>
      </c>
    </row>
    <row r="1058" spans="6:28" ht="31.5" customHeight="1" x14ac:dyDescent="0.2">
      <c r="F1058" s="45" t="s">
        <v>3735</v>
      </c>
      <c r="T1058" s="41"/>
      <c r="U1058" s="29" t="str">
        <f>IF($C1058&lt;&gt;"",COUNTIF($C$2:C1058,C1058),"")</f>
        <v/>
      </c>
      <c r="V1058" s="29" t="str">
        <f t="shared" si="64"/>
        <v/>
      </c>
      <c r="W1058" s="29" t="str">
        <f>IF(U1058=1,COUNTIF($U$2:U1058,1),"")</f>
        <v/>
      </c>
      <c r="X1058" s="29" t="str">
        <f t="shared" si="63"/>
        <v/>
      </c>
      <c r="Y1058" s="29" t="str">
        <f>IF(AND(LEFT($B1058,7)="SBA 26/",$D1058&lt;&gt;"",$F1058&lt;&gt;""),COUNTIFS($D$2:$D1058,$D1058,$B$2:$B1058,"SBA 26/*",$F$2:$F1058,"&lt;&gt;"),"")</f>
        <v/>
      </c>
      <c r="Z1058" s="29" t="str">
        <f>IF(Y1058=1,COUNTIF($Y$2:Y1058,1),"")</f>
        <v/>
      </c>
      <c r="AA1058" s="29" t="str">
        <f>IF(AND(LEFT($B1058,7)="SBA 26/",$C1058&lt;&gt;"",$F1058&lt;&gt;""),COUNTIFS($C$2:$C1058,$C1058,$B$2:$B1058,"SBA 26/*",$F$2:$F1058,"&lt;&gt;"),"")</f>
        <v/>
      </c>
      <c r="AB1058" s="29" t="str">
        <f>IF(AA1058=1,COUNTIF($AA$2:AA1058,1),"")</f>
        <v/>
      </c>
    </row>
    <row r="1059" spans="6:28" ht="31.5" customHeight="1" x14ac:dyDescent="0.2">
      <c r="F1059" s="45" t="s">
        <v>3736</v>
      </c>
      <c r="T1059" s="41"/>
      <c r="U1059" s="29" t="str">
        <f>IF($C1059&lt;&gt;"",COUNTIF($C$2:C1059,C1059),"")</f>
        <v/>
      </c>
      <c r="V1059" s="29" t="str">
        <f t="shared" si="64"/>
        <v/>
      </c>
      <c r="W1059" s="29" t="str">
        <f>IF(U1059=1,COUNTIF($U$2:U1059,1),"")</f>
        <v/>
      </c>
      <c r="X1059" s="29" t="str">
        <f t="shared" si="63"/>
        <v/>
      </c>
      <c r="Y1059" s="29" t="str">
        <f>IF(AND(LEFT($B1059,7)="SBA 26/",$D1059&lt;&gt;"",$F1059&lt;&gt;""),COUNTIFS($D$2:$D1059,$D1059,$B$2:$B1059,"SBA 26/*",$F$2:$F1059,"&lt;&gt;"),"")</f>
        <v/>
      </c>
      <c r="Z1059" s="29" t="str">
        <f>IF(Y1059=1,COUNTIF($Y$2:Y1059,1),"")</f>
        <v/>
      </c>
      <c r="AA1059" s="29" t="str">
        <f>IF(AND(LEFT($B1059,7)="SBA 26/",$C1059&lt;&gt;"",$F1059&lt;&gt;""),COUNTIFS($C$2:$C1059,$C1059,$B$2:$B1059,"SBA 26/*",$F$2:$F1059,"&lt;&gt;"),"")</f>
        <v/>
      </c>
      <c r="AB1059" s="29" t="str">
        <f>IF(AA1059=1,COUNTIF($AA$2:AA1059,1),"")</f>
        <v/>
      </c>
    </row>
    <row r="1060" spans="6:28" ht="31.5" customHeight="1" x14ac:dyDescent="0.2">
      <c r="F1060" s="45" t="s">
        <v>3737</v>
      </c>
      <c r="T1060" s="41"/>
      <c r="U1060" s="29" t="str">
        <f>IF($C1060&lt;&gt;"",COUNTIF($C$2:C1060,C1060),"")</f>
        <v/>
      </c>
      <c r="V1060" s="29" t="str">
        <f t="shared" si="64"/>
        <v/>
      </c>
      <c r="W1060" s="29" t="str">
        <f>IF(U1060=1,COUNTIF($U$2:U1060,1),"")</f>
        <v/>
      </c>
      <c r="X1060" s="29" t="str">
        <f t="shared" si="63"/>
        <v/>
      </c>
      <c r="Y1060" s="29" t="str">
        <f>IF(AND(LEFT($B1060,7)="SBA 26/",$D1060&lt;&gt;"",$F1060&lt;&gt;""),COUNTIFS($D$2:$D1060,$D1060,$B$2:$B1060,"SBA 26/*",$F$2:$F1060,"&lt;&gt;"),"")</f>
        <v/>
      </c>
      <c r="Z1060" s="29" t="str">
        <f>IF(Y1060=1,COUNTIF($Y$2:Y1060,1),"")</f>
        <v/>
      </c>
      <c r="AA1060" s="29" t="str">
        <f>IF(AND(LEFT($B1060,7)="SBA 26/",$C1060&lt;&gt;"",$F1060&lt;&gt;""),COUNTIFS($C$2:$C1060,$C1060,$B$2:$B1060,"SBA 26/*",$F$2:$F1060,"&lt;&gt;"),"")</f>
        <v/>
      </c>
      <c r="AB1060" s="29" t="str">
        <f>IF(AA1060=1,COUNTIF($AA$2:AA1060,1),"")</f>
        <v/>
      </c>
    </row>
    <row r="1061" spans="6:28" ht="31.5" customHeight="1" x14ac:dyDescent="0.2">
      <c r="F1061" s="45" t="s">
        <v>3738</v>
      </c>
      <c r="T1061" s="41"/>
      <c r="U1061" s="29" t="str">
        <f>IF($C1061&lt;&gt;"",COUNTIF($C$2:C1061,C1061),"")</f>
        <v/>
      </c>
      <c r="V1061" s="29" t="str">
        <f t="shared" si="64"/>
        <v/>
      </c>
      <c r="W1061" s="29" t="str">
        <f>IF(U1061=1,COUNTIF($U$2:U1061,1),"")</f>
        <v/>
      </c>
      <c r="X1061" s="29" t="str">
        <f t="shared" si="63"/>
        <v/>
      </c>
      <c r="Y1061" s="29" t="str">
        <f>IF(AND(LEFT($B1061,7)="SBA 26/",$D1061&lt;&gt;"",$F1061&lt;&gt;""),COUNTIFS($D$2:$D1061,$D1061,$B$2:$B1061,"SBA 26/*",$F$2:$F1061,"&lt;&gt;"),"")</f>
        <v/>
      </c>
      <c r="Z1061" s="29" t="str">
        <f>IF(Y1061=1,COUNTIF($Y$2:Y1061,1),"")</f>
        <v/>
      </c>
      <c r="AA1061" s="29" t="str">
        <f>IF(AND(LEFT($B1061,7)="SBA 26/",$C1061&lt;&gt;"",$F1061&lt;&gt;""),COUNTIFS($C$2:$C1061,$C1061,$B$2:$B1061,"SBA 26/*",$F$2:$F1061,"&lt;&gt;"),"")</f>
        <v/>
      </c>
      <c r="AB1061" s="29" t="str">
        <f>IF(AA1061=1,COUNTIF($AA$2:AA1061,1),"")</f>
        <v/>
      </c>
    </row>
    <row r="1062" spans="6:28" ht="47.25" customHeight="1" x14ac:dyDescent="0.2">
      <c r="F1062" s="45" t="s">
        <v>3739</v>
      </c>
      <c r="T1062" s="41"/>
      <c r="U1062" s="29" t="str">
        <f>IF($C1062&lt;&gt;"",COUNTIF($C$2:C1062,C1062),"")</f>
        <v/>
      </c>
      <c r="V1062" s="29" t="str">
        <f t="shared" si="64"/>
        <v/>
      </c>
      <c r="W1062" s="29" t="str">
        <f>IF(U1062=1,COUNTIF($U$2:U1062,1),"")</f>
        <v/>
      </c>
      <c r="X1062" s="29" t="str">
        <f t="shared" si="63"/>
        <v/>
      </c>
      <c r="Y1062" s="29" t="str">
        <f>IF(AND(LEFT($B1062,7)="SBA 26/",$D1062&lt;&gt;"",$F1062&lt;&gt;""),COUNTIFS($D$2:$D1062,$D1062,$B$2:$B1062,"SBA 26/*",$F$2:$F1062,"&lt;&gt;"),"")</f>
        <v/>
      </c>
      <c r="Z1062" s="29" t="str">
        <f>IF(Y1062=1,COUNTIF($Y$2:Y1062,1),"")</f>
        <v/>
      </c>
      <c r="AA1062" s="29" t="str">
        <f>IF(AND(LEFT($B1062,7)="SBA 26/",$C1062&lt;&gt;"",$F1062&lt;&gt;""),COUNTIFS($C$2:$C1062,$C1062,$B$2:$B1062,"SBA 26/*",$F$2:$F1062,"&lt;&gt;"),"")</f>
        <v/>
      </c>
      <c r="AB1062" s="29" t="str">
        <f>IF(AA1062=1,COUNTIF($AA$2:AA1062,1),"")</f>
        <v/>
      </c>
    </row>
    <row r="1063" spans="6:28" ht="63" customHeight="1" x14ac:dyDescent="0.2">
      <c r="F1063" s="45" t="s">
        <v>3740</v>
      </c>
      <c r="T1063" s="41"/>
      <c r="U1063" s="29" t="str">
        <f>IF($C1063&lt;&gt;"",COUNTIF($C$2:C1063,C1063),"")</f>
        <v/>
      </c>
      <c r="V1063" s="29" t="str">
        <f t="shared" si="64"/>
        <v/>
      </c>
      <c r="W1063" s="29" t="str">
        <f>IF(U1063=1,COUNTIF($U$2:U1063,1),"")</f>
        <v/>
      </c>
      <c r="X1063" s="29" t="str">
        <f t="shared" si="63"/>
        <v/>
      </c>
      <c r="Y1063" s="29" t="str">
        <f>IF(AND(LEFT($B1063,7)="SBA 26/",$D1063&lt;&gt;"",$F1063&lt;&gt;""),COUNTIFS($D$2:$D1063,$D1063,$B$2:$B1063,"SBA 26/*",$F$2:$F1063,"&lt;&gt;"),"")</f>
        <v/>
      </c>
      <c r="Z1063" s="29" t="str">
        <f>IF(Y1063=1,COUNTIF($Y$2:Y1063,1),"")</f>
        <v/>
      </c>
      <c r="AA1063" s="29" t="str">
        <f>IF(AND(LEFT($B1063,7)="SBA 26/",$C1063&lt;&gt;"",$F1063&lt;&gt;""),COUNTIFS($C$2:$C1063,$C1063,$B$2:$B1063,"SBA 26/*",$F$2:$F1063,"&lt;&gt;"),"")</f>
        <v/>
      </c>
      <c r="AB1063" s="29" t="str">
        <f>IF(AA1063=1,COUNTIF($AA$2:AA1063,1),"")</f>
        <v/>
      </c>
    </row>
    <row r="1064" spans="6:28" ht="63" customHeight="1" x14ac:dyDescent="0.2">
      <c r="F1064" s="45" t="s">
        <v>3741</v>
      </c>
      <c r="T1064" s="41"/>
      <c r="U1064" s="29" t="str">
        <f>IF($C1064&lt;&gt;"",COUNTIF($C$2:C1064,C1064),"")</f>
        <v/>
      </c>
      <c r="V1064" s="29" t="str">
        <f t="shared" si="64"/>
        <v/>
      </c>
      <c r="W1064" s="29" t="str">
        <f>IF(U1064=1,COUNTIF($U$2:U1064,1),"")</f>
        <v/>
      </c>
      <c r="X1064" s="29" t="str">
        <f t="shared" si="63"/>
        <v/>
      </c>
      <c r="Y1064" s="29" t="str">
        <f>IF(AND(LEFT($B1064,7)="SBA 26/",$D1064&lt;&gt;"",$F1064&lt;&gt;""),COUNTIFS($D$2:$D1064,$D1064,$B$2:$B1064,"SBA 26/*",$F$2:$F1064,"&lt;&gt;"),"")</f>
        <v/>
      </c>
      <c r="Z1064" s="29" t="str">
        <f>IF(Y1064=1,COUNTIF($Y$2:Y1064,1),"")</f>
        <v/>
      </c>
      <c r="AA1064" s="29" t="str">
        <f>IF(AND(LEFT($B1064,7)="SBA 26/",$C1064&lt;&gt;"",$F1064&lt;&gt;""),COUNTIFS($C$2:$C1064,$C1064,$B$2:$B1064,"SBA 26/*",$F$2:$F1064,"&lt;&gt;"),"")</f>
        <v/>
      </c>
      <c r="AB1064" s="29" t="str">
        <f>IF(AA1064=1,COUNTIF($AA$2:AA1064,1),"")</f>
        <v/>
      </c>
    </row>
    <row r="1065" spans="6:28" ht="47.25" customHeight="1" x14ac:dyDescent="0.2">
      <c r="F1065" s="45" t="s">
        <v>3742</v>
      </c>
      <c r="T1065" s="41"/>
      <c r="U1065" s="29" t="str">
        <f>IF($C1065&lt;&gt;"",COUNTIF($C$2:C1065,C1065),"")</f>
        <v/>
      </c>
      <c r="V1065" s="29" t="str">
        <f t="shared" si="64"/>
        <v/>
      </c>
      <c r="W1065" s="29" t="str">
        <f>IF(U1065=1,COUNTIF($U$2:U1065,1),"")</f>
        <v/>
      </c>
      <c r="X1065" s="29" t="str">
        <f t="shared" si="63"/>
        <v/>
      </c>
      <c r="Y1065" s="29" t="str">
        <f>IF(AND(LEFT($B1065,7)="SBA 26/",$D1065&lt;&gt;"",$F1065&lt;&gt;""),COUNTIFS($D$2:$D1065,$D1065,$B$2:$B1065,"SBA 26/*",$F$2:$F1065,"&lt;&gt;"),"")</f>
        <v/>
      </c>
      <c r="Z1065" s="29" t="str">
        <f>IF(Y1065=1,COUNTIF($Y$2:Y1065,1),"")</f>
        <v/>
      </c>
      <c r="AA1065" s="29" t="str">
        <f>IF(AND(LEFT($B1065,7)="SBA 26/",$C1065&lt;&gt;"",$F1065&lt;&gt;""),COUNTIFS($C$2:$C1065,$C1065,$B$2:$B1065,"SBA 26/*",$F$2:$F1065,"&lt;&gt;"),"")</f>
        <v/>
      </c>
      <c r="AB1065" s="29" t="str">
        <f>IF(AA1065=1,COUNTIF($AA$2:AA1065,1),"")</f>
        <v/>
      </c>
    </row>
    <row r="1066" spans="6:28" ht="47.25" customHeight="1" x14ac:dyDescent="0.2">
      <c r="F1066" s="45" t="s">
        <v>3743</v>
      </c>
      <c r="T1066" s="41"/>
      <c r="U1066" s="29" t="str">
        <f>IF($C1066&lt;&gt;"",COUNTIF($C$2:C1066,C1066),"")</f>
        <v/>
      </c>
      <c r="V1066" s="29" t="str">
        <f t="shared" si="64"/>
        <v/>
      </c>
      <c r="W1066" s="29" t="str">
        <f>IF(U1066=1,COUNTIF($U$2:U1066,1),"")</f>
        <v/>
      </c>
      <c r="X1066" s="29" t="str">
        <f t="shared" si="63"/>
        <v/>
      </c>
      <c r="Y1066" s="29" t="str">
        <f>IF(AND(LEFT($B1066,7)="SBA 26/",$D1066&lt;&gt;"",$F1066&lt;&gt;""),COUNTIFS($D$2:$D1066,$D1066,$B$2:$B1066,"SBA 26/*",$F$2:$F1066,"&lt;&gt;"),"")</f>
        <v/>
      </c>
      <c r="Z1066" s="29" t="str">
        <f>IF(Y1066=1,COUNTIF($Y$2:Y1066,1),"")</f>
        <v/>
      </c>
      <c r="AA1066" s="29" t="str">
        <f>IF(AND(LEFT($B1066,7)="SBA 26/",$C1066&lt;&gt;"",$F1066&lt;&gt;""),COUNTIFS($C$2:$C1066,$C1066,$B$2:$B1066,"SBA 26/*",$F$2:$F1066,"&lt;&gt;"),"")</f>
        <v/>
      </c>
      <c r="AB1066" s="29" t="str">
        <f>IF(AA1066=1,COUNTIF($AA$2:AA1066,1),"")</f>
        <v/>
      </c>
    </row>
    <row r="1067" spans="6:28" ht="47.25" customHeight="1" x14ac:dyDescent="0.2">
      <c r="F1067" s="45" t="s">
        <v>3744</v>
      </c>
      <c r="T1067" s="41"/>
      <c r="U1067" s="29" t="str">
        <f>IF($C1067&lt;&gt;"",COUNTIF($C$2:C1067,C1067),"")</f>
        <v/>
      </c>
      <c r="V1067" s="29" t="str">
        <f t="shared" si="64"/>
        <v/>
      </c>
      <c r="W1067" s="29" t="str">
        <f>IF(U1067=1,COUNTIF($U$2:U1067,1),"")</f>
        <v/>
      </c>
      <c r="X1067" s="29" t="str">
        <f t="shared" si="63"/>
        <v/>
      </c>
      <c r="Y1067" s="29" t="str">
        <f>IF(AND(LEFT($B1067,7)="SBA 26/",$D1067&lt;&gt;"",$F1067&lt;&gt;""),COUNTIFS($D$2:$D1067,$D1067,$B$2:$B1067,"SBA 26/*",$F$2:$F1067,"&lt;&gt;"),"")</f>
        <v/>
      </c>
      <c r="Z1067" s="29" t="str">
        <f>IF(Y1067=1,COUNTIF($Y$2:Y1067,1),"")</f>
        <v/>
      </c>
      <c r="AA1067" s="29" t="str">
        <f>IF(AND(LEFT($B1067,7)="SBA 26/",$C1067&lt;&gt;"",$F1067&lt;&gt;""),COUNTIFS($C$2:$C1067,$C1067,$B$2:$B1067,"SBA 26/*",$F$2:$F1067,"&lt;&gt;"),"")</f>
        <v/>
      </c>
      <c r="AB1067" s="29" t="str">
        <f>IF(AA1067=1,COUNTIF($AA$2:AA1067,1),"")</f>
        <v/>
      </c>
    </row>
    <row r="1068" spans="6:28" ht="31.5" customHeight="1" x14ac:dyDescent="0.2">
      <c r="F1068" s="45" t="s">
        <v>3745</v>
      </c>
      <c r="T1068" s="41"/>
      <c r="U1068" s="29" t="str">
        <f>IF($C1068&lt;&gt;"",COUNTIF($C$2:C1068,C1068),"")</f>
        <v/>
      </c>
      <c r="V1068" s="29" t="str">
        <f t="shared" si="64"/>
        <v/>
      </c>
      <c r="W1068" s="29" t="str">
        <f>IF(U1068=1,COUNTIF($U$2:U1068,1),"")</f>
        <v/>
      </c>
      <c r="X1068" s="29" t="str">
        <f t="shared" si="63"/>
        <v/>
      </c>
      <c r="Y1068" s="29" t="str">
        <f>IF(AND(LEFT($B1068,7)="SBA 26/",$D1068&lt;&gt;"",$F1068&lt;&gt;""),COUNTIFS($D$2:$D1068,$D1068,$B$2:$B1068,"SBA 26/*",$F$2:$F1068,"&lt;&gt;"),"")</f>
        <v/>
      </c>
      <c r="Z1068" s="29" t="str">
        <f>IF(Y1068=1,COUNTIF($Y$2:Y1068,1),"")</f>
        <v/>
      </c>
      <c r="AA1068" s="29" t="str">
        <f>IF(AND(LEFT($B1068,7)="SBA 26/",$C1068&lt;&gt;"",$F1068&lt;&gt;""),COUNTIFS($C$2:$C1068,$C1068,$B$2:$B1068,"SBA 26/*",$F$2:$F1068,"&lt;&gt;"),"")</f>
        <v/>
      </c>
      <c r="AB1068" s="29" t="str">
        <f>IF(AA1068=1,COUNTIF($AA$2:AA1068,1),"")</f>
        <v/>
      </c>
    </row>
    <row r="1069" spans="6:28" ht="47.25" customHeight="1" x14ac:dyDescent="0.2">
      <c r="F1069" s="45" t="s">
        <v>3746</v>
      </c>
      <c r="T1069" s="41"/>
      <c r="U1069" s="29" t="str">
        <f>IF($C1069&lt;&gt;"",COUNTIF($C$2:C1069,C1069),"")</f>
        <v/>
      </c>
      <c r="V1069" s="29" t="str">
        <f t="shared" si="64"/>
        <v/>
      </c>
      <c r="W1069" s="29" t="str">
        <f>IF(U1069=1,COUNTIF($U$2:U1069,1),"")</f>
        <v/>
      </c>
      <c r="X1069" s="29" t="str">
        <f t="shared" ref="X1069:X1132" si="65">IF(U1069=1,SUMPRODUCT(($U$2:$U$1833=1)*($C$2:$C$1833&lt;C1069))+1,"")</f>
        <v/>
      </c>
      <c r="Y1069" s="29" t="str">
        <f>IF(AND(LEFT($B1069,7)="SBA 26/",$D1069&lt;&gt;"",$F1069&lt;&gt;""),COUNTIFS($D$2:$D1069,$D1069,$B$2:$B1069,"SBA 26/*",$F$2:$F1069,"&lt;&gt;"),"")</f>
        <v/>
      </c>
      <c r="Z1069" s="29" t="str">
        <f>IF(Y1069=1,COUNTIF($Y$2:Y1069,1),"")</f>
        <v/>
      </c>
      <c r="AA1069" s="29" t="str">
        <f>IF(AND(LEFT($B1069,7)="SBA 26/",$C1069&lt;&gt;"",$F1069&lt;&gt;""),COUNTIFS($C$2:$C1069,$C1069,$B$2:$B1069,"SBA 26/*",$F$2:$F1069,"&lt;&gt;"),"")</f>
        <v/>
      </c>
      <c r="AB1069" s="29" t="str">
        <f>IF(AA1069=1,COUNTIF($AA$2:AA1069,1),"")</f>
        <v/>
      </c>
    </row>
    <row r="1070" spans="6:28" ht="31.5" customHeight="1" x14ac:dyDescent="0.2">
      <c r="F1070" s="45" t="s">
        <v>3747</v>
      </c>
      <c r="T1070" s="41"/>
      <c r="U1070" s="29" t="str">
        <f>IF($C1070&lt;&gt;"",COUNTIF($C$2:C1070,C1070),"")</f>
        <v/>
      </c>
      <c r="V1070" s="29" t="str">
        <f t="shared" si="64"/>
        <v/>
      </c>
      <c r="W1070" s="29" t="str">
        <f>IF(U1070=1,COUNTIF($U$2:U1070,1),"")</f>
        <v/>
      </c>
      <c r="X1070" s="29" t="str">
        <f t="shared" si="65"/>
        <v/>
      </c>
      <c r="Y1070" s="29" t="str">
        <f>IF(AND(LEFT($B1070,7)="SBA 26/",$D1070&lt;&gt;"",$F1070&lt;&gt;""),COUNTIFS($D$2:$D1070,$D1070,$B$2:$B1070,"SBA 26/*",$F$2:$F1070,"&lt;&gt;"),"")</f>
        <v/>
      </c>
      <c r="Z1070" s="29" t="str">
        <f>IF(Y1070=1,COUNTIF($Y$2:Y1070,1),"")</f>
        <v/>
      </c>
      <c r="AA1070" s="29" t="str">
        <f>IF(AND(LEFT($B1070,7)="SBA 26/",$C1070&lt;&gt;"",$F1070&lt;&gt;""),COUNTIFS($C$2:$C1070,$C1070,$B$2:$B1070,"SBA 26/*",$F$2:$F1070,"&lt;&gt;"),"")</f>
        <v/>
      </c>
      <c r="AB1070" s="29" t="str">
        <f>IF(AA1070=1,COUNTIF($AA$2:AA1070,1),"")</f>
        <v/>
      </c>
    </row>
    <row r="1071" spans="6:28" ht="47.25" customHeight="1" x14ac:dyDescent="0.2">
      <c r="F1071" s="45" t="s">
        <v>3748</v>
      </c>
      <c r="T1071" s="41"/>
      <c r="U1071" s="29" t="str">
        <f>IF($C1071&lt;&gt;"",COUNTIF($C$2:C1071,C1071),"")</f>
        <v/>
      </c>
      <c r="V1071" s="29" t="str">
        <f t="shared" si="64"/>
        <v/>
      </c>
      <c r="W1071" s="29" t="str">
        <f>IF(U1071=1,COUNTIF($U$2:U1071,1),"")</f>
        <v/>
      </c>
      <c r="X1071" s="29" t="str">
        <f t="shared" si="65"/>
        <v/>
      </c>
      <c r="Y1071" s="29" t="str">
        <f>IF(AND(LEFT($B1071,7)="SBA 26/",$D1071&lt;&gt;"",$F1071&lt;&gt;""),COUNTIFS($D$2:$D1071,$D1071,$B$2:$B1071,"SBA 26/*",$F$2:$F1071,"&lt;&gt;"),"")</f>
        <v/>
      </c>
      <c r="Z1071" s="29" t="str">
        <f>IF(Y1071=1,COUNTIF($Y$2:Y1071,1),"")</f>
        <v/>
      </c>
      <c r="AA1071" s="29" t="str">
        <f>IF(AND(LEFT($B1071,7)="SBA 26/",$C1071&lt;&gt;"",$F1071&lt;&gt;""),COUNTIFS($C$2:$C1071,$C1071,$B$2:$B1071,"SBA 26/*",$F$2:$F1071,"&lt;&gt;"),"")</f>
        <v/>
      </c>
      <c r="AB1071" s="29" t="str">
        <f>IF(AA1071=1,COUNTIF($AA$2:AA1071,1),"")</f>
        <v/>
      </c>
    </row>
    <row r="1072" spans="6:28" ht="31.5" customHeight="1" x14ac:dyDescent="0.2">
      <c r="F1072" s="45" t="s">
        <v>3749</v>
      </c>
      <c r="T1072" s="41"/>
      <c r="U1072" s="29" t="str">
        <f>IF($C1072&lt;&gt;"",COUNTIF($C$2:C1072,C1072),"")</f>
        <v/>
      </c>
      <c r="V1072" s="29" t="str">
        <f t="shared" si="64"/>
        <v/>
      </c>
      <c r="W1072" s="29" t="str">
        <f>IF(U1072=1,COUNTIF($U$2:U1072,1),"")</f>
        <v/>
      </c>
      <c r="X1072" s="29" t="str">
        <f t="shared" si="65"/>
        <v/>
      </c>
      <c r="Y1072" s="29" t="str">
        <f>IF(AND(LEFT($B1072,7)="SBA 26/",$D1072&lt;&gt;"",$F1072&lt;&gt;""),COUNTIFS($D$2:$D1072,$D1072,$B$2:$B1072,"SBA 26/*",$F$2:$F1072,"&lt;&gt;"),"")</f>
        <v/>
      </c>
      <c r="Z1072" s="29" t="str">
        <f>IF(Y1072=1,COUNTIF($Y$2:Y1072,1),"")</f>
        <v/>
      </c>
      <c r="AA1072" s="29" t="str">
        <f>IF(AND(LEFT($B1072,7)="SBA 26/",$C1072&lt;&gt;"",$F1072&lt;&gt;""),COUNTIFS($C$2:$C1072,$C1072,$B$2:$B1072,"SBA 26/*",$F$2:$F1072,"&lt;&gt;"),"")</f>
        <v/>
      </c>
      <c r="AB1072" s="29" t="str">
        <f>IF(AA1072=1,COUNTIF($AA$2:AA1072,1),"")</f>
        <v/>
      </c>
    </row>
    <row r="1073" spans="6:28" ht="31.5" customHeight="1" x14ac:dyDescent="0.2">
      <c r="F1073" s="45" t="s">
        <v>3750</v>
      </c>
      <c r="T1073" s="41"/>
      <c r="U1073" s="29" t="str">
        <f>IF($C1073&lt;&gt;"",COUNTIF($C$2:C1073,C1073),"")</f>
        <v/>
      </c>
      <c r="V1073" s="29" t="str">
        <f t="shared" si="64"/>
        <v/>
      </c>
      <c r="W1073" s="29" t="str">
        <f>IF(U1073=1,COUNTIF($U$2:U1073,1),"")</f>
        <v/>
      </c>
      <c r="X1073" s="29" t="str">
        <f t="shared" si="65"/>
        <v/>
      </c>
      <c r="Y1073" s="29" t="str">
        <f>IF(AND(LEFT($B1073,7)="SBA 26/",$D1073&lt;&gt;"",$F1073&lt;&gt;""),COUNTIFS($D$2:$D1073,$D1073,$B$2:$B1073,"SBA 26/*",$F$2:$F1073,"&lt;&gt;"),"")</f>
        <v/>
      </c>
      <c r="Z1073" s="29" t="str">
        <f>IF(Y1073=1,COUNTIF($Y$2:Y1073,1),"")</f>
        <v/>
      </c>
      <c r="AA1073" s="29" t="str">
        <f>IF(AND(LEFT($B1073,7)="SBA 26/",$C1073&lt;&gt;"",$F1073&lt;&gt;""),COUNTIFS($C$2:$C1073,$C1073,$B$2:$B1073,"SBA 26/*",$F$2:$F1073,"&lt;&gt;"),"")</f>
        <v/>
      </c>
      <c r="AB1073" s="29" t="str">
        <f>IF(AA1073=1,COUNTIF($AA$2:AA1073,1),"")</f>
        <v/>
      </c>
    </row>
    <row r="1074" spans="6:28" ht="94.5" customHeight="1" x14ac:dyDescent="0.2">
      <c r="F1074" s="45" t="s">
        <v>3751</v>
      </c>
      <c r="T1074" s="41"/>
      <c r="U1074" s="29" t="str">
        <f>IF($C1074&lt;&gt;"",COUNTIF($C$2:C1074,C1074),"")</f>
        <v/>
      </c>
      <c r="V1074" s="29" t="str">
        <f t="shared" si="64"/>
        <v/>
      </c>
      <c r="W1074" s="29" t="str">
        <f>IF(U1074=1,COUNTIF($U$2:U1074,1),"")</f>
        <v/>
      </c>
      <c r="X1074" s="29" t="str">
        <f t="shared" si="65"/>
        <v/>
      </c>
      <c r="Y1074" s="29" t="str">
        <f>IF(AND(LEFT($B1074,7)="SBA 26/",$D1074&lt;&gt;"",$F1074&lt;&gt;""),COUNTIFS($D$2:$D1074,$D1074,$B$2:$B1074,"SBA 26/*",$F$2:$F1074,"&lt;&gt;"),"")</f>
        <v/>
      </c>
      <c r="Z1074" s="29" t="str">
        <f>IF(Y1074=1,COUNTIF($Y$2:Y1074,1),"")</f>
        <v/>
      </c>
      <c r="AA1074" s="29" t="str">
        <f>IF(AND(LEFT($B1074,7)="SBA 26/",$C1074&lt;&gt;"",$F1074&lt;&gt;""),COUNTIFS($C$2:$C1074,$C1074,$B$2:$B1074,"SBA 26/*",$F$2:$F1074,"&lt;&gt;"),"")</f>
        <v/>
      </c>
      <c r="AB1074" s="29" t="str">
        <f>IF(AA1074=1,COUNTIF($AA$2:AA1074,1),"")</f>
        <v/>
      </c>
    </row>
    <row r="1075" spans="6:28" ht="31.5" customHeight="1" x14ac:dyDescent="0.2">
      <c r="F1075" s="45" t="s">
        <v>3752</v>
      </c>
      <c r="T1075" s="41"/>
      <c r="U1075" s="29" t="str">
        <f>IF($C1075&lt;&gt;"",COUNTIF($C$2:C1075,C1075),"")</f>
        <v/>
      </c>
      <c r="V1075" s="29" t="str">
        <f t="shared" si="64"/>
        <v/>
      </c>
      <c r="W1075" s="29" t="str">
        <f>IF(U1075=1,COUNTIF($U$2:U1075,1),"")</f>
        <v/>
      </c>
      <c r="X1075" s="29" t="str">
        <f t="shared" si="65"/>
        <v/>
      </c>
      <c r="Y1075" s="29" t="str">
        <f>IF(AND(LEFT($B1075,7)="SBA 26/",$D1075&lt;&gt;"",$F1075&lt;&gt;""),COUNTIFS($D$2:$D1075,$D1075,$B$2:$B1075,"SBA 26/*",$F$2:$F1075,"&lt;&gt;"),"")</f>
        <v/>
      </c>
      <c r="Z1075" s="29" t="str">
        <f>IF(Y1075=1,COUNTIF($Y$2:Y1075,1),"")</f>
        <v/>
      </c>
      <c r="AA1075" s="29" t="str">
        <f>IF(AND(LEFT($B1075,7)="SBA 26/",$C1075&lt;&gt;"",$F1075&lt;&gt;""),COUNTIFS($C$2:$C1075,$C1075,$B$2:$B1075,"SBA 26/*",$F$2:$F1075,"&lt;&gt;"),"")</f>
        <v/>
      </c>
      <c r="AB1075" s="29" t="str">
        <f>IF(AA1075=1,COUNTIF($AA$2:AA1075,1),"")</f>
        <v/>
      </c>
    </row>
    <row r="1076" spans="6:28" ht="47.25" customHeight="1" x14ac:dyDescent="0.2">
      <c r="F1076" s="45" t="s">
        <v>3753</v>
      </c>
      <c r="T1076" s="41"/>
      <c r="U1076" s="29" t="str">
        <f>IF($C1076&lt;&gt;"",COUNTIF($C$2:C1076,C1076),"")</f>
        <v/>
      </c>
      <c r="V1076" s="29" t="str">
        <f t="shared" si="64"/>
        <v/>
      </c>
      <c r="W1076" s="29" t="str">
        <f>IF(U1076=1,COUNTIF($U$2:U1076,1),"")</f>
        <v/>
      </c>
      <c r="X1076" s="29" t="str">
        <f t="shared" si="65"/>
        <v/>
      </c>
      <c r="Y1076" s="29" t="str">
        <f>IF(AND(LEFT($B1076,7)="SBA 26/",$D1076&lt;&gt;"",$F1076&lt;&gt;""),COUNTIFS($D$2:$D1076,$D1076,$B$2:$B1076,"SBA 26/*",$F$2:$F1076,"&lt;&gt;"),"")</f>
        <v/>
      </c>
      <c r="Z1076" s="29" t="str">
        <f>IF(Y1076=1,COUNTIF($Y$2:Y1076,1),"")</f>
        <v/>
      </c>
      <c r="AA1076" s="29" t="str">
        <f>IF(AND(LEFT($B1076,7)="SBA 26/",$C1076&lt;&gt;"",$F1076&lt;&gt;""),COUNTIFS($C$2:$C1076,$C1076,$B$2:$B1076,"SBA 26/*",$F$2:$F1076,"&lt;&gt;"),"")</f>
        <v/>
      </c>
      <c r="AB1076" s="29" t="str">
        <f>IF(AA1076=1,COUNTIF($AA$2:AA1076,1),"")</f>
        <v/>
      </c>
    </row>
    <row r="1077" spans="6:28" ht="47.25" customHeight="1" x14ac:dyDescent="0.2">
      <c r="F1077" s="45" t="s">
        <v>3754</v>
      </c>
      <c r="T1077" s="41"/>
      <c r="U1077" s="29" t="str">
        <f>IF($C1077&lt;&gt;"",COUNTIF($C$2:C1077,C1077),"")</f>
        <v/>
      </c>
      <c r="V1077" s="29" t="str">
        <f t="shared" si="64"/>
        <v/>
      </c>
      <c r="W1077" s="29" t="str">
        <f>IF(U1077=1,COUNTIF($U$2:U1077,1),"")</f>
        <v/>
      </c>
      <c r="X1077" s="29" t="str">
        <f t="shared" si="65"/>
        <v/>
      </c>
      <c r="Y1077" s="29" t="str">
        <f>IF(AND(LEFT($B1077,7)="SBA 26/",$D1077&lt;&gt;"",$F1077&lt;&gt;""),COUNTIFS($D$2:$D1077,$D1077,$B$2:$B1077,"SBA 26/*",$F$2:$F1077,"&lt;&gt;"),"")</f>
        <v/>
      </c>
      <c r="Z1077" s="29" t="str">
        <f>IF(Y1077=1,COUNTIF($Y$2:Y1077,1),"")</f>
        <v/>
      </c>
      <c r="AA1077" s="29" t="str">
        <f>IF(AND(LEFT($B1077,7)="SBA 26/",$C1077&lt;&gt;"",$F1077&lt;&gt;""),COUNTIFS($C$2:$C1077,$C1077,$B$2:$B1077,"SBA 26/*",$F$2:$F1077,"&lt;&gt;"),"")</f>
        <v/>
      </c>
      <c r="AB1077" s="29" t="str">
        <f>IF(AA1077=1,COUNTIF($AA$2:AA1077,1),"")</f>
        <v/>
      </c>
    </row>
    <row r="1078" spans="6:28" ht="31.5" customHeight="1" x14ac:dyDescent="0.2">
      <c r="F1078" s="45" t="s">
        <v>3755</v>
      </c>
      <c r="T1078" s="41"/>
      <c r="U1078" s="29" t="str">
        <f>IF($C1078&lt;&gt;"",COUNTIF($C$2:C1078,C1078),"")</f>
        <v/>
      </c>
      <c r="V1078" s="29" t="str">
        <f t="shared" si="64"/>
        <v/>
      </c>
      <c r="W1078" s="29" t="str">
        <f>IF(U1078=1,COUNTIF($U$2:U1078,1),"")</f>
        <v/>
      </c>
      <c r="X1078" s="29" t="str">
        <f t="shared" si="65"/>
        <v/>
      </c>
      <c r="Y1078" s="29" t="str">
        <f>IF(AND(LEFT($B1078,7)="SBA 26/",$D1078&lt;&gt;"",$F1078&lt;&gt;""),COUNTIFS($D$2:$D1078,$D1078,$B$2:$B1078,"SBA 26/*",$F$2:$F1078,"&lt;&gt;"),"")</f>
        <v/>
      </c>
      <c r="Z1078" s="29" t="str">
        <f>IF(Y1078=1,COUNTIF($Y$2:Y1078,1),"")</f>
        <v/>
      </c>
      <c r="AA1078" s="29" t="str">
        <f>IF(AND(LEFT($B1078,7)="SBA 26/",$C1078&lt;&gt;"",$F1078&lt;&gt;""),COUNTIFS($C$2:$C1078,$C1078,$B$2:$B1078,"SBA 26/*",$F$2:$F1078,"&lt;&gt;"),"")</f>
        <v/>
      </c>
      <c r="AB1078" s="29" t="str">
        <f>IF(AA1078=1,COUNTIF($AA$2:AA1078,1),"")</f>
        <v/>
      </c>
    </row>
    <row r="1079" spans="6:28" ht="63" customHeight="1" x14ac:dyDescent="0.2">
      <c r="F1079" s="45" t="s">
        <v>3756</v>
      </c>
      <c r="T1079" s="41"/>
      <c r="U1079" s="29" t="str">
        <f>IF($C1079&lt;&gt;"",COUNTIF($C$2:C1079,C1079),"")</f>
        <v/>
      </c>
      <c r="V1079" s="29" t="str">
        <f t="shared" si="64"/>
        <v/>
      </c>
      <c r="W1079" s="29" t="str">
        <f>IF(U1079=1,COUNTIF($U$2:U1079,1),"")</f>
        <v/>
      </c>
      <c r="X1079" s="29" t="str">
        <f t="shared" si="65"/>
        <v/>
      </c>
      <c r="Y1079" s="29" t="str">
        <f>IF(AND(LEFT($B1079,7)="SBA 26/",$D1079&lt;&gt;"",$F1079&lt;&gt;""),COUNTIFS($D$2:$D1079,$D1079,$B$2:$B1079,"SBA 26/*",$F$2:$F1079,"&lt;&gt;"),"")</f>
        <v/>
      </c>
      <c r="Z1079" s="29" t="str">
        <f>IF(Y1079=1,COUNTIF($Y$2:Y1079,1),"")</f>
        <v/>
      </c>
      <c r="AA1079" s="29" t="str">
        <f>IF(AND(LEFT($B1079,7)="SBA 26/",$C1079&lt;&gt;"",$F1079&lt;&gt;""),COUNTIFS($C$2:$C1079,$C1079,$B$2:$B1079,"SBA 26/*",$F$2:$F1079,"&lt;&gt;"),"")</f>
        <v/>
      </c>
      <c r="AB1079" s="29" t="str">
        <f>IF(AA1079=1,COUNTIF($AA$2:AA1079,1),"")</f>
        <v/>
      </c>
    </row>
    <row r="1080" spans="6:28" ht="31.5" customHeight="1" x14ac:dyDescent="0.2">
      <c r="F1080" s="45" t="s">
        <v>3757</v>
      </c>
      <c r="T1080" s="41"/>
      <c r="U1080" s="29" t="str">
        <f>IF($C1080&lt;&gt;"",COUNTIF($C$2:C1080,C1080),"")</f>
        <v/>
      </c>
      <c r="V1080" s="29" t="str">
        <f t="shared" si="64"/>
        <v/>
      </c>
      <c r="W1080" s="29" t="str">
        <f>IF(U1080=1,COUNTIF($U$2:U1080,1),"")</f>
        <v/>
      </c>
      <c r="X1080" s="29" t="str">
        <f t="shared" si="65"/>
        <v/>
      </c>
      <c r="Y1080" s="29" t="str">
        <f>IF(AND(LEFT($B1080,7)="SBA 26/",$D1080&lt;&gt;"",$F1080&lt;&gt;""),COUNTIFS($D$2:$D1080,$D1080,$B$2:$B1080,"SBA 26/*",$F$2:$F1080,"&lt;&gt;"),"")</f>
        <v/>
      </c>
      <c r="Z1080" s="29" t="str">
        <f>IF(Y1080=1,COUNTIF($Y$2:Y1080,1),"")</f>
        <v/>
      </c>
      <c r="AA1080" s="29" t="str">
        <f>IF(AND(LEFT($B1080,7)="SBA 26/",$C1080&lt;&gt;"",$F1080&lt;&gt;""),COUNTIFS($C$2:$C1080,$C1080,$B$2:$B1080,"SBA 26/*",$F$2:$F1080,"&lt;&gt;"),"")</f>
        <v/>
      </c>
      <c r="AB1080" s="29" t="str">
        <f>IF(AA1080=1,COUNTIF($AA$2:AA1080,1),"")</f>
        <v/>
      </c>
    </row>
    <row r="1081" spans="6:28" ht="47.25" customHeight="1" x14ac:dyDescent="0.2">
      <c r="F1081" s="45" t="s">
        <v>3758</v>
      </c>
      <c r="T1081" s="41"/>
      <c r="U1081" s="29" t="str">
        <f>IF($C1081&lt;&gt;"",COUNTIF($C$2:C1081,C1081),"")</f>
        <v/>
      </c>
      <c r="V1081" s="29" t="str">
        <f t="shared" si="64"/>
        <v/>
      </c>
      <c r="W1081" s="29" t="str">
        <f>IF(U1081=1,COUNTIF($U$2:U1081,1),"")</f>
        <v/>
      </c>
      <c r="X1081" s="29" t="str">
        <f t="shared" si="65"/>
        <v/>
      </c>
      <c r="Y1081" s="29" t="str">
        <f>IF(AND(LEFT($B1081,7)="SBA 26/",$D1081&lt;&gt;"",$F1081&lt;&gt;""),COUNTIFS($D$2:$D1081,$D1081,$B$2:$B1081,"SBA 26/*",$F$2:$F1081,"&lt;&gt;"),"")</f>
        <v/>
      </c>
      <c r="Z1081" s="29" t="str">
        <f>IF(Y1081=1,COUNTIF($Y$2:Y1081,1),"")</f>
        <v/>
      </c>
      <c r="AA1081" s="29" t="str">
        <f>IF(AND(LEFT($B1081,7)="SBA 26/",$C1081&lt;&gt;"",$F1081&lt;&gt;""),COUNTIFS($C$2:$C1081,$C1081,$B$2:$B1081,"SBA 26/*",$F$2:$F1081,"&lt;&gt;"),"")</f>
        <v/>
      </c>
      <c r="AB1081" s="29" t="str">
        <f>IF(AA1081=1,COUNTIF($AA$2:AA1081,1),"")</f>
        <v/>
      </c>
    </row>
    <row r="1082" spans="6:28" ht="31.5" customHeight="1" x14ac:dyDescent="0.2">
      <c r="F1082" s="45" t="s">
        <v>3759</v>
      </c>
      <c r="T1082" s="41"/>
      <c r="U1082" s="29" t="str">
        <f>IF($C1082&lt;&gt;"",COUNTIF($C$2:C1082,C1082),"")</f>
        <v/>
      </c>
      <c r="V1082" s="29" t="str">
        <f t="shared" si="64"/>
        <v/>
      </c>
      <c r="W1082" s="29" t="str">
        <f>IF(U1082=1,COUNTIF($U$2:U1082,1),"")</f>
        <v/>
      </c>
      <c r="X1082" s="29" t="str">
        <f t="shared" si="65"/>
        <v/>
      </c>
      <c r="Y1082" s="29" t="str">
        <f>IF(AND(LEFT($B1082,7)="SBA 26/",$D1082&lt;&gt;"",$F1082&lt;&gt;""),COUNTIFS($D$2:$D1082,$D1082,$B$2:$B1082,"SBA 26/*",$F$2:$F1082,"&lt;&gt;"),"")</f>
        <v/>
      </c>
      <c r="Z1082" s="29" t="str">
        <f>IF(Y1082=1,COUNTIF($Y$2:Y1082,1),"")</f>
        <v/>
      </c>
      <c r="AA1082" s="29" t="str">
        <f>IF(AND(LEFT($B1082,7)="SBA 26/",$C1082&lt;&gt;"",$F1082&lt;&gt;""),COUNTIFS($C$2:$C1082,$C1082,$B$2:$B1082,"SBA 26/*",$F$2:$F1082,"&lt;&gt;"),"")</f>
        <v/>
      </c>
      <c r="AB1082" s="29" t="str">
        <f>IF(AA1082=1,COUNTIF($AA$2:AA1082,1),"")</f>
        <v/>
      </c>
    </row>
    <row r="1083" spans="6:28" ht="31.5" customHeight="1" x14ac:dyDescent="0.2">
      <c r="F1083" s="45" t="s">
        <v>3760</v>
      </c>
      <c r="T1083" s="41"/>
      <c r="U1083" s="29" t="str">
        <f>IF($C1083&lt;&gt;"",COUNTIF($C$2:C1083,C1083),"")</f>
        <v/>
      </c>
      <c r="V1083" s="29" t="str">
        <f t="shared" si="64"/>
        <v/>
      </c>
      <c r="W1083" s="29" t="str">
        <f>IF(U1083=1,COUNTIF($U$2:U1083,1),"")</f>
        <v/>
      </c>
      <c r="X1083" s="29" t="str">
        <f t="shared" si="65"/>
        <v/>
      </c>
      <c r="Y1083" s="29" t="str">
        <f>IF(AND(LEFT($B1083,7)="SBA 26/",$D1083&lt;&gt;"",$F1083&lt;&gt;""),COUNTIFS($D$2:$D1083,$D1083,$B$2:$B1083,"SBA 26/*",$F$2:$F1083,"&lt;&gt;"),"")</f>
        <v/>
      </c>
      <c r="Z1083" s="29" t="str">
        <f>IF(Y1083=1,COUNTIF($Y$2:Y1083,1),"")</f>
        <v/>
      </c>
      <c r="AA1083" s="29" t="str">
        <f>IF(AND(LEFT($B1083,7)="SBA 26/",$C1083&lt;&gt;"",$F1083&lt;&gt;""),COUNTIFS($C$2:$C1083,$C1083,$B$2:$B1083,"SBA 26/*",$F$2:$F1083,"&lt;&gt;"),"")</f>
        <v/>
      </c>
      <c r="AB1083" s="29" t="str">
        <f>IF(AA1083=1,COUNTIF($AA$2:AA1083,1),"")</f>
        <v/>
      </c>
    </row>
    <row r="1084" spans="6:28" ht="47.25" customHeight="1" x14ac:dyDescent="0.2">
      <c r="F1084" s="45" t="s">
        <v>3761</v>
      </c>
      <c r="T1084" s="41"/>
      <c r="U1084" s="29" t="str">
        <f>IF($C1084&lt;&gt;"",COUNTIF($C$2:C1084,C1084),"")</f>
        <v/>
      </c>
      <c r="V1084" s="29" t="str">
        <f t="shared" si="64"/>
        <v/>
      </c>
      <c r="W1084" s="29" t="str">
        <f>IF(U1084=1,COUNTIF($U$2:U1084,1),"")</f>
        <v/>
      </c>
      <c r="X1084" s="29" t="str">
        <f t="shared" si="65"/>
        <v/>
      </c>
      <c r="Y1084" s="29" t="str">
        <f>IF(AND(LEFT($B1084,7)="SBA 26/",$D1084&lt;&gt;"",$F1084&lt;&gt;""),COUNTIFS($D$2:$D1084,$D1084,$B$2:$B1084,"SBA 26/*",$F$2:$F1084,"&lt;&gt;"),"")</f>
        <v/>
      </c>
      <c r="Z1084" s="29" t="str">
        <f>IF(Y1084=1,COUNTIF($Y$2:Y1084,1),"")</f>
        <v/>
      </c>
      <c r="AA1084" s="29" t="str">
        <f>IF(AND(LEFT($B1084,7)="SBA 26/",$C1084&lt;&gt;"",$F1084&lt;&gt;""),COUNTIFS($C$2:$C1084,$C1084,$B$2:$B1084,"SBA 26/*",$F$2:$F1084,"&lt;&gt;"),"")</f>
        <v/>
      </c>
      <c r="AB1084" s="29" t="str">
        <f>IF(AA1084=1,COUNTIF($AA$2:AA1084,1),"")</f>
        <v/>
      </c>
    </row>
    <row r="1085" spans="6:28" ht="47.25" customHeight="1" x14ac:dyDescent="0.2">
      <c r="F1085" s="45" t="s">
        <v>3762</v>
      </c>
      <c r="T1085" s="41"/>
      <c r="U1085" s="29" t="str">
        <f>IF($C1085&lt;&gt;"",COUNTIF($C$2:C1085,C1085),"")</f>
        <v/>
      </c>
      <c r="V1085" s="29" t="str">
        <f t="shared" si="64"/>
        <v/>
      </c>
      <c r="W1085" s="29" t="str">
        <f>IF(U1085=1,COUNTIF($U$2:U1085,1),"")</f>
        <v/>
      </c>
      <c r="X1085" s="29" t="str">
        <f t="shared" si="65"/>
        <v/>
      </c>
      <c r="Y1085" s="29" t="str">
        <f>IF(AND(LEFT($B1085,7)="SBA 26/",$D1085&lt;&gt;"",$F1085&lt;&gt;""),COUNTIFS($D$2:$D1085,$D1085,$B$2:$B1085,"SBA 26/*",$F$2:$F1085,"&lt;&gt;"),"")</f>
        <v/>
      </c>
      <c r="Z1085" s="29" t="str">
        <f>IF(Y1085=1,COUNTIF($Y$2:Y1085,1),"")</f>
        <v/>
      </c>
      <c r="AA1085" s="29" t="str">
        <f>IF(AND(LEFT($B1085,7)="SBA 26/",$C1085&lt;&gt;"",$F1085&lt;&gt;""),COUNTIFS($C$2:$C1085,$C1085,$B$2:$B1085,"SBA 26/*",$F$2:$F1085,"&lt;&gt;"),"")</f>
        <v/>
      </c>
      <c r="AB1085" s="29" t="str">
        <f>IF(AA1085=1,COUNTIF($AA$2:AA1085,1),"")</f>
        <v/>
      </c>
    </row>
    <row r="1086" spans="6:28" ht="47.25" customHeight="1" x14ac:dyDescent="0.2">
      <c r="F1086" s="45" t="s">
        <v>3763</v>
      </c>
      <c r="T1086" s="41"/>
      <c r="U1086" s="29" t="str">
        <f>IF($C1086&lt;&gt;"",COUNTIF($C$2:C1086,C1086),"")</f>
        <v/>
      </c>
      <c r="V1086" s="29" t="str">
        <f t="shared" si="64"/>
        <v/>
      </c>
      <c r="W1086" s="29" t="str">
        <f>IF(U1086=1,COUNTIF($U$2:U1086,1),"")</f>
        <v/>
      </c>
      <c r="X1086" s="29" t="str">
        <f t="shared" si="65"/>
        <v/>
      </c>
      <c r="Y1086" s="29" t="str">
        <f>IF(AND(LEFT($B1086,7)="SBA 26/",$D1086&lt;&gt;"",$F1086&lt;&gt;""),COUNTIFS($D$2:$D1086,$D1086,$B$2:$B1086,"SBA 26/*",$F$2:$F1086,"&lt;&gt;"),"")</f>
        <v/>
      </c>
      <c r="Z1086" s="29" t="str">
        <f>IF(Y1086=1,COUNTIF($Y$2:Y1086,1),"")</f>
        <v/>
      </c>
      <c r="AA1086" s="29" t="str">
        <f>IF(AND(LEFT($B1086,7)="SBA 26/",$C1086&lt;&gt;"",$F1086&lt;&gt;""),COUNTIFS($C$2:$C1086,$C1086,$B$2:$B1086,"SBA 26/*",$F$2:$F1086,"&lt;&gt;"),"")</f>
        <v/>
      </c>
      <c r="AB1086" s="29" t="str">
        <f>IF(AA1086=1,COUNTIF($AA$2:AA1086,1),"")</f>
        <v/>
      </c>
    </row>
    <row r="1087" spans="6:28" ht="47.25" customHeight="1" x14ac:dyDescent="0.2">
      <c r="F1087" s="45" t="s">
        <v>3764</v>
      </c>
      <c r="T1087" s="41"/>
      <c r="U1087" s="29" t="str">
        <f>IF($C1087&lt;&gt;"",COUNTIF($C$2:C1087,C1087),"")</f>
        <v/>
      </c>
      <c r="V1087" s="29" t="str">
        <f t="shared" si="64"/>
        <v/>
      </c>
      <c r="W1087" s="29" t="str">
        <f>IF(U1087=1,COUNTIF($U$2:U1087,1),"")</f>
        <v/>
      </c>
      <c r="X1087" s="29" t="str">
        <f t="shared" si="65"/>
        <v/>
      </c>
      <c r="Y1087" s="29" t="str">
        <f>IF(AND(LEFT($B1087,7)="SBA 26/",$D1087&lt;&gt;"",$F1087&lt;&gt;""),COUNTIFS($D$2:$D1087,$D1087,$B$2:$B1087,"SBA 26/*",$F$2:$F1087,"&lt;&gt;"),"")</f>
        <v/>
      </c>
      <c r="Z1087" s="29" t="str">
        <f>IF(Y1087=1,COUNTIF($Y$2:Y1087,1),"")</f>
        <v/>
      </c>
      <c r="AA1087" s="29" t="str">
        <f>IF(AND(LEFT($B1087,7)="SBA 26/",$C1087&lt;&gt;"",$F1087&lt;&gt;""),COUNTIFS($C$2:$C1087,$C1087,$B$2:$B1087,"SBA 26/*",$F$2:$F1087,"&lt;&gt;"),"")</f>
        <v/>
      </c>
      <c r="AB1087" s="29" t="str">
        <f>IF(AA1087=1,COUNTIF($AA$2:AA1087,1),"")</f>
        <v/>
      </c>
    </row>
    <row r="1088" spans="6:28" ht="47.25" customHeight="1" x14ac:dyDescent="0.2">
      <c r="F1088" s="45" t="s">
        <v>3765</v>
      </c>
      <c r="T1088" s="41"/>
      <c r="U1088" s="29" t="str">
        <f>IF($C1088&lt;&gt;"",COUNTIF($C$2:C1088,C1088),"")</f>
        <v/>
      </c>
      <c r="V1088" s="29" t="str">
        <f t="shared" si="64"/>
        <v/>
      </c>
      <c r="W1088" s="29" t="str">
        <f>IF(U1088=1,COUNTIF($U$2:U1088,1),"")</f>
        <v/>
      </c>
      <c r="X1088" s="29" t="str">
        <f t="shared" si="65"/>
        <v/>
      </c>
      <c r="Y1088" s="29" t="str">
        <f>IF(AND(LEFT($B1088,7)="SBA 26/",$D1088&lt;&gt;"",$F1088&lt;&gt;""),COUNTIFS($D$2:$D1088,$D1088,$B$2:$B1088,"SBA 26/*",$F$2:$F1088,"&lt;&gt;"),"")</f>
        <v/>
      </c>
      <c r="Z1088" s="29" t="str">
        <f>IF(Y1088=1,COUNTIF($Y$2:Y1088,1),"")</f>
        <v/>
      </c>
      <c r="AA1088" s="29" t="str">
        <f>IF(AND(LEFT($B1088,7)="SBA 26/",$C1088&lt;&gt;"",$F1088&lt;&gt;""),COUNTIFS($C$2:$C1088,$C1088,$B$2:$B1088,"SBA 26/*",$F$2:$F1088,"&lt;&gt;"),"")</f>
        <v/>
      </c>
      <c r="AB1088" s="29" t="str">
        <f>IF(AA1088=1,COUNTIF($AA$2:AA1088,1),"")</f>
        <v/>
      </c>
    </row>
    <row r="1089" spans="6:28" ht="31.5" customHeight="1" x14ac:dyDescent="0.2">
      <c r="F1089" s="45" t="s">
        <v>3766</v>
      </c>
      <c r="T1089" s="41"/>
      <c r="U1089" s="29" t="str">
        <f>IF($C1089&lt;&gt;"",COUNTIF($C$2:C1089,C1089),"")</f>
        <v/>
      </c>
      <c r="V1089" s="29" t="str">
        <f t="shared" si="64"/>
        <v/>
      </c>
      <c r="W1089" s="29" t="str">
        <f>IF(U1089=1,COUNTIF($U$2:U1089,1),"")</f>
        <v/>
      </c>
      <c r="X1089" s="29" t="str">
        <f t="shared" si="65"/>
        <v/>
      </c>
      <c r="Y1089" s="29" t="str">
        <f>IF(AND(LEFT($B1089,7)="SBA 26/",$D1089&lt;&gt;"",$F1089&lt;&gt;""),COUNTIFS($D$2:$D1089,$D1089,$B$2:$B1089,"SBA 26/*",$F$2:$F1089,"&lt;&gt;"),"")</f>
        <v/>
      </c>
      <c r="Z1089" s="29" t="str">
        <f>IF(Y1089=1,COUNTIF($Y$2:Y1089,1),"")</f>
        <v/>
      </c>
      <c r="AA1089" s="29" t="str">
        <f>IF(AND(LEFT($B1089,7)="SBA 26/",$C1089&lt;&gt;"",$F1089&lt;&gt;""),COUNTIFS($C$2:$C1089,$C1089,$B$2:$B1089,"SBA 26/*",$F$2:$F1089,"&lt;&gt;"),"")</f>
        <v/>
      </c>
      <c r="AB1089" s="29" t="str">
        <f>IF(AA1089=1,COUNTIF($AA$2:AA1089,1),"")</f>
        <v/>
      </c>
    </row>
    <row r="1090" spans="6:28" ht="47.25" customHeight="1" x14ac:dyDescent="0.2">
      <c r="F1090" s="45" t="s">
        <v>3767</v>
      </c>
      <c r="T1090" s="41"/>
      <c r="U1090" s="29" t="str">
        <f>IF($C1090&lt;&gt;"",COUNTIF($C$2:C1090,C1090),"")</f>
        <v/>
      </c>
      <c r="V1090" s="29" t="str">
        <f t="shared" ref="V1090:V1153" si="66">IF($C1090&lt;&gt;"",C1090&amp;"§"&amp;U1090,"")</f>
        <v/>
      </c>
      <c r="W1090" s="29" t="str">
        <f>IF(U1090=1,COUNTIF($U$2:U1090,1),"")</f>
        <v/>
      </c>
      <c r="X1090" s="29" t="str">
        <f t="shared" si="65"/>
        <v/>
      </c>
      <c r="Y1090" s="29" t="str">
        <f>IF(AND(LEFT($B1090,7)="SBA 26/",$D1090&lt;&gt;"",$F1090&lt;&gt;""),COUNTIFS($D$2:$D1090,$D1090,$B$2:$B1090,"SBA 26/*",$F$2:$F1090,"&lt;&gt;"),"")</f>
        <v/>
      </c>
      <c r="Z1090" s="29" t="str">
        <f>IF(Y1090=1,COUNTIF($Y$2:Y1090,1),"")</f>
        <v/>
      </c>
      <c r="AA1090" s="29" t="str">
        <f>IF(AND(LEFT($B1090,7)="SBA 26/",$C1090&lt;&gt;"",$F1090&lt;&gt;""),COUNTIFS($C$2:$C1090,$C1090,$B$2:$B1090,"SBA 26/*",$F$2:$F1090,"&lt;&gt;"),"")</f>
        <v/>
      </c>
      <c r="AB1090" s="29" t="str">
        <f>IF(AA1090=1,COUNTIF($AA$2:AA1090,1),"")</f>
        <v/>
      </c>
    </row>
    <row r="1091" spans="6:28" ht="47.25" customHeight="1" x14ac:dyDescent="0.2">
      <c r="F1091" s="45" t="s">
        <v>3768</v>
      </c>
      <c r="T1091" s="41"/>
      <c r="U1091" s="29" t="str">
        <f>IF($C1091&lt;&gt;"",COUNTIF($C$2:C1091,C1091),"")</f>
        <v/>
      </c>
      <c r="V1091" s="29" t="str">
        <f t="shared" si="66"/>
        <v/>
      </c>
      <c r="W1091" s="29" t="str">
        <f>IF(U1091=1,COUNTIF($U$2:U1091,1),"")</f>
        <v/>
      </c>
      <c r="X1091" s="29" t="str">
        <f t="shared" si="65"/>
        <v/>
      </c>
      <c r="Y1091" s="29" t="str">
        <f>IF(AND(LEFT($B1091,7)="SBA 26/",$D1091&lt;&gt;"",$F1091&lt;&gt;""),COUNTIFS($D$2:$D1091,$D1091,$B$2:$B1091,"SBA 26/*",$F$2:$F1091,"&lt;&gt;"),"")</f>
        <v/>
      </c>
      <c r="Z1091" s="29" t="str">
        <f>IF(Y1091=1,COUNTIF($Y$2:Y1091,1),"")</f>
        <v/>
      </c>
      <c r="AA1091" s="29" t="str">
        <f>IF(AND(LEFT($B1091,7)="SBA 26/",$C1091&lt;&gt;"",$F1091&lt;&gt;""),COUNTIFS($C$2:$C1091,$C1091,$B$2:$B1091,"SBA 26/*",$F$2:$F1091,"&lt;&gt;"),"")</f>
        <v/>
      </c>
      <c r="AB1091" s="29" t="str">
        <f>IF(AA1091=1,COUNTIF($AA$2:AA1091,1),"")</f>
        <v/>
      </c>
    </row>
    <row r="1092" spans="6:28" ht="31.5" customHeight="1" x14ac:dyDescent="0.2">
      <c r="F1092" s="45" t="s">
        <v>3769</v>
      </c>
      <c r="T1092" s="41"/>
      <c r="U1092" s="29" t="str">
        <f>IF($C1092&lt;&gt;"",COUNTIF($C$2:C1092,C1092),"")</f>
        <v/>
      </c>
      <c r="V1092" s="29" t="str">
        <f t="shared" si="66"/>
        <v/>
      </c>
      <c r="W1092" s="29" t="str">
        <f>IF(U1092=1,COUNTIF($U$2:U1092,1),"")</f>
        <v/>
      </c>
      <c r="X1092" s="29" t="str">
        <f t="shared" si="65"/>
        <v/>
      </c>
      <c r="Y1092" s="29" t="str">
        <f>IF(AND(LEFT($B1092,7)="SBA 26/",$D1092&lt;&gt;"",$F1092&lt;&gt;""),COUNTIFS($D$2:$D1092,$D1092,$B$2:$B1092,"SBA 26/*",$F$2:$F1092,"&lt;&gt;"),"")</f>
        <v/>
      </c>
      <c r="Z1092" s="29" t="str">
        <f>IF(Y1092=1,COUNTIF($Y$2:Y1092,1),"")</f>
        <v/>
      </c>
      <c r="AA1092" s="29" t="str">
        <f>IF(AND(LEFT($B1092,7)="SBA 26/",$C1092&lt;&gt;"",$F1092&lt;&gt;""),COUNTIFS($C$2:$C1092,$C1092,$B$2:$B1092,"SBA 26/*",$F$2:$F1092,"&lt;&gt;"),"")</f>
        <v/>
      </c>
      <c r="AB1092" s="29" t="str">
        <f>IF(AA1092=1,COUNTIF($AA$2:AA1092,1),"")</f>
        <v/>
      </c>
    </row>
    <row r="1093" spans="6:28" ht="31.5" customHeight="1" x14ac:dyDescent="0.2">
      <c r="F1093" s="45" t="s">
        <v>3770</v>
      </c>
      <c r="T1093" s="41"/>
      <c r="U1093" s="29" t="str">
        <f>IF($C1093&lt;&gt;"",COUNTIF($C$2:C1093,C1093),"")</f>
        <v/>
      </c>
      <c r="V1093" s="29" t="str">
        <f t="shared" si="66"/>
        <v/>
      </c>
      <c r="W1093" s="29" t="str">
        <f>IF(U1093=1,COUNTIF($U$2:U1093,1),"")</f>
        <v/>
      </c>
      <c r="X1093" s="29" t="str">
        <f t="shared" si="65"/>
        <v/>
      </c>
      <c r="Y1093" s="29" t="str">
        <f>IF(AND(LEFT($B1093,7)="SBA 26/",$D1093&lt;&gt;"",$F1093&lt;&gt;""),COUNTIFS($D$2:$D1093,$D1093,$B$2:$B1093,"SBA 26/*",$F$2:$F1093,"&lt;&gt;"),"")</f>
        <v/>
      </c>
      <c r="Z1093" s="29" t="str">
        <f>IF(Y1093=1,COUNTIF($Y$2:Y1093,1),"")</f>
        <v/>
      </c>
      <c r="AA1093" s="29" t="str">
        <f>IF(AND(LEFT($B1093,7)="SBA 26/",$C1093&lt;&gt;"",$F1093&lt;&gt;""),COUNTIFS($C$2:$C1093,$C1093,$B$2:$B1093,"SBA 26/*",$F$2:$F1093,"&lt;&gt;"),"")</f>
        <v/>
      </c>
      <c r="AB1093" s="29" t="str">
        <f>IF(AA1093=1,COUNTIF($AA$2:AA1093,1),"")</f>
        <v/>
      </c>
    </row>
    <row r="1094" spans="6:28" ht="31.5" customHeight="1" x14ac:dyDescent="0.2">
      <c r="F1094" s="45" t="s">
        <v>3771</v>
      </c>
      <c r="T1094" s="41"/>
      <c r="U1094" s="29" t="str">
        <f>IF($C1094&lt;&gt;"",COUNTIF($C$2:C1094,C1094),"")</f>
        <v/>
      </c>
      <c r="V1094" s="29" t="str">
        <f t="shared" si="66"/>
        <v/>
      </c>
      <c r="W1094" s="29" t="str">
        <f>IF(U1094=1,COUNTIF($U$2:U1094,1),"")</f>
        <v/>
      </c>
      <c r="X1094" s="29" t="str">
        <f t="shared" si="65"/>
        <v/>
      </c>
      <c r="Y1094" s="29" t="str">
        <f>IF(AND(LEFT($B1094,7)="SBA 26/",$D1094&lt;&gt;"",$F1094&lt;&gt;""),COUNTIFS($D$2:$D1094,$D1094,$B$2:$B1094,"SBA 26/*",$F$2:$F1094,"&lt;&gt;"),"")</f>
        <v/>
      </c>
      <c r="Z1094" s="29" t="str">
        <f>IF(Y1094=1,COUNTIF($Y$2:Y1094,1),"")</f>
        <v/>
      </c>
      <c r="AA1094" s="29" t="str">
        <f>IF(AND(LEFT($B1094,7)="SBA 26/",$C1094&lt;&gt;"",$F1094&lt;&gt;""),COUNTIFS($C$2:$C1094,$C1094,$B$2:$B1094,"SBA 26/*",$F$2:$F1094,"&lt;&gt;"),"")</f>
        <v/>
      </c>
      <c r="AB1094" s="29" t="str">
        <f>IF(AA1094=1,COUNTIF($AA$2:AA1094,1),"")</f>
        <v/>
      </c>
    </row>
    <row r="1095" spans="6:28" ht="47.25" customHeight="1" x14ac:dyDescent="0.2">
      <c r="F1095" s="45" t="s">
        <v>3772</v>
      </c>
      <c r="T1095" s="41"/>
      <c r="U1095" s="29" t="str">
        <f>IF($C1095&lt;&gt;"",COUNTIF($C$2:C1095,C1095),"")</f>
        <v/>
      </c>
      <c r="V1095" s="29" t="str">
        <f t="shared" si="66"/>
        <v/>
      </c>
      <c r="W1095" s="29" t="str">
        <f>IF(U1095=1,COUNTIF($U$2:U1095,1),"")</f>
        <v/>
      </c>
      <c r="X1095" s="29" t="str">
        <f t="shared" si="65"/>
        <v/>
      </c>
      <c r="Y1095" s="29" t="str">
        <f>IF(AND(LEFT($B1095,7)="SBA 26/",$D1095&lt;&gt;"",$F1095&lt;&gt;""),COUNTIFS($D$2:$D1095,$D1095,$B$2:$B1095,"SBA 26/*",$F$2:$F1095,"&lt;&gt;"),"")</f>
        <v/>
      </c>
      <c r="Z1095" s="29" t="str">
        <f>IF(Y1095=1,COUNTIF($Y$2:Y1095,1),"")</f>
        <v/>
      </c>
      <c r="AA1095" s="29" t="str">
        <f>IF(AND(LEFT($B1095,7)="SBA 26/",$C1095&lt;&gt;"",$F1095&lt;&gt;""),COUNTIFS($C$2:$C1095,$C1095,$B$2:$B1095,"SBA 26/*",$F$2:$F1095,"&lt;&gt;"),"")</f>
        <v/>
      </c>
      <c r="AB1095" s="29" t="str">
        <f>IF(AA1095=1,COUNTIF($AA$2:AA1095,1),"")</f>
        <v/>
      </c>
    </row>
    <row r="1096" spans="6:28" ht="31.5" customHeight="1" x14ac:dyDescent="0.2">
      <c r="F1096" s="45" t="s">
        <v>3773</v>
      </c>
      <c r="T1096" s="41"/>
      <c r="U1096" s="29" t="str">
        <f>IF($C1096&lt;&gt;"",COUNTIF($C$2:C1096,C1096),"")</f>
        <v/>
      </c>
      <c r="V1096" s="29" t="str">
        <f t="shared" si="66"/>
        <v/>
      </c>
      <c r="W1096" s="29" t="str">
        <f>IF(U1096=1,COUNTIF($U$2:U1096,1),"")</f>
        <v/>
      </c>
      <c r="X1096" s="29" t="str">
        <f t="shared" si="65"/>
        <v/>
      </c>
      <c r="Y1096" s="29" t="str">
        <f>IF(AND(LEFT($B1096,7)="SBA 26/",$D1096&lt;&gt;"",$F1096&lt;&gt;""),COUNTIFS($D$2:$D1096,$D1096,$B$2:$B1096,"SBA 26/*",$F$2:$F1096,"&lt;&gt;"),"")</f>
        <v/>
      </c>
      <c r="Z1096" s="29" t="str">
        <f>IF(Y1096=1,COUNTIF($Y$2:Y1096,1),"")</f>
        <v/>
      </c>
      <c r="AA1096" s="29" t="str">
        <f>IF(AND(LEFT($B1096,7)="SBA 26/",$C1096&lt;&gt;"",$F1096&lt;&gt;""),COUNTIFS($C$2:$C1096,$C1096,$B$2:$B1096,"SBA 26/*",$F$2:$F1096,"&lt;&gt;"),"")</f>
        <v/>
      </c>
      <c r="AB1096" s="29" t="str">
        <f>IF(AA1096=1,COUNTIF($AA$2:AA1096,1),"")</f>
        <v/>
      </c>
    </row>
    <row r="1097" spans="6:28" ht="31.5" customHeight="1" x14ac:dyDescent="0.2">
      <c r="F1097" s="45" t="s">
        <v>3774</v>
      </c>
      <c r="T1097" s="41"/>
      <c r="U1097" s="29" t="str">
        <f>IF($C1097&lt;&gt;"",COUNTIF($C$2:C1097,C1097),"")</f>
        <v/>
      </c>
      <c r="V1097" s="29" t="str">
        <f t="shared" si="66"/>
        <v/>
      </c>
      <c r="W1097" s="29" t="str">
        <f>IF(U1097=1,COUNTIF($U$2:U1097,1),"")</f>
        <v/>
      </c>
      <c r="X1097" s="29" t="str">
        <f t="shared" si="65"/>
        <v/>
      </c>
      <c r="Y1097" s="29" t="str">
        <f>IF(AND(LEFT($B1097,7)="SBA 26/",$D1097&lt;&gt;"",$F1097&lt;&gt;""),COUNTIFS($D$2:$D1097,$D1097,$B$2:$B1097,"SBA 26/*",$F$2:$F1097,"&lt;&gt;"),"")</f>
        <v/>
      </c>
      <c r="Z1097" s="29" t="str">
        <f>IF(Y1097=1,COUNTIF($Y$2:Y1097,1),"")</f>
        <v/>
      </c>
      <c r="AA1097" s="29" t="str">
        <f>IF(AND(LEFT($B1097,7)="SBA 26/",$C1097&lt;&gt;"",$F1097&lt;&gt;""),COUNTIFS($C$2:$C1097,$C1097,$B$2:$B1097,"SBA 26/*",$F$2:$F1097,"&lt;&gt;"),"")</f>
        <v/>
      </c>
      <c r="AB1097" s="29" t="str">
        <f>IF(AA1097=1,COUNTIF($AA$2:AA1097,1),"")</f>
        <v/>
      </c>
    </row>
    <row r="1098" spans="6:28" ht="63" customHeight="1" x14ac:dyDescent="0.2">
      <c r="F1098" s="45" t="s">
        <v>3775</v>
      </c>
      <c r="T1098" s="41"/>
      <c r="U1098" s="29" t="str">
        <f>IF($C1098&lt;&gt;"",COUNTIF($C$2:C1098,C1098),"")</f>
        <v/>
      </c>
      <c r="V1098" s="29" t="str">
        <f t="shared" si="66"/>
        <v/>
      </c>
      <c r="W1098" s="29" t="str">
        <f>IF(U1098=1,COUNTIF($U$2:U1098,1),"")</f>
        <v/>
      </c>
      <c r="X1098" s="29" t="str">
        <f t="shared" si="65"/>
        <v/>
      </c>
      <c r="Y1098" s="29" t="str">
        <f>IF(AND(LEFT($B1098,7)="SBA 26/",$D1098&lt;&gt;"",$F1098&lt;&gt;""),COUNTIFS($D$2:$D1098,$D1098,$B$2:$B1098,"SBA 26/*",$F$2:$F1098,"&lt;&gt;"),"")</f>
        <v/>
      </c>
      <c r="Z1098" s="29" t="str">
        <f>IF(Y1098=1,COUNTIF($Y$2:Y1098,1),"")</f>
        <v/>
      </c>
      <c r="AA1098" s="29" t="str">
        <f>IF(AND(LEFT($B1098,7)="SBA 26/",$C1098&lt;&gt;"",$F1098&lt;&gt;""),COUNTIFS($C$2:$C1098,$C1098,$B$2:$B1098,"SBA 26/*",$F$2:$F1098,"&lt;&gt;"),"")</f>
        <v/>
      </c>
      <c r="AB1098" s="29" t="str">
        <f>IF(AA1098=1,COUNTIF($AA$2:AA1098,1),"")</f>
        <v/>
      </c>
    </row>
    <row r="1099" spans="6:28" ht="47.25" customHeight="1" x14ac:dyDescent="0.2">
      <c r="F1099" s="45" t="s">
        <v>3776</v>
      </c>
      <c r="T1099" s="41"/>
      <c r="U1099" s="29" t="str">
        <f>IF($C1099&lt;&gt;"",COUNTIF($C$2:C1099,C1099),"")</f>
        <v/>
      </c>
      <c r="V1099" s="29" t="str">
        <f t="shared" si="66"/>
        <v/>
      </c>
      <c r="W1099" s="29" t="str">
        <f>IF(U1099=1,COUNTIF($U$2:U1099,1),"")</f>
        <v/>
      </c>
      <c r="X1099" s="29" t="str">
        <f t="shared" si="65"/>
        <v/>
      </c>
      <c r="Y1099" s="29" t="str">
        <f>IF(AND(LEFT($B1099,7)="SBA 26/",$D1099&lt;&gt;"",$F1099&lt;&gt;""),COUNTIFS($D$2:$D1099,$D1099,$B$2:$B1099,"SBA 26/*",$F$2:$F1099,"&lt;&gt;"),"")</f>
        <v/>
      </c>
      <c r="Z1099" s="29" t="str">
        <f>IF(Y1099=1,COUNTIF($Y$2:Y1099,1),"")</f>
        <v/>
      </c>
      <c r="AA1099" s="29" t="str">
        <f>IF(AND(LEFT($B1099,7)="SBA 26/",$C1099&lt;&gt;"",$F1099&lt;&gt;""),COUNTIFS($C$2:$C1099,$C1099,$B$2:$B1099,"SBA 26/*",$F$2:$F1099,"&lt;&gt;"),"")</f>
        <v/>
      </c>
      <c r="AB1099" s="29" t="str">
        <f>IF(AA1099=1,COUNTIF($AA$2:AA1099,1),"")</f>
        <v/>
      </c>
    </row>
    <row r="1100" spans="6:28" ht="47.25" customHeight="1" x14ac:dyDescent="0.2">
      <c r="F1100" s="45" t="s">
        <v>3777</v>
      </c>
      <c r="T1100" s="41"/>
      <c r="U1100" s="29" t="str">
        <f>IF($C1100&lt;&gt;"",COUNTIF($C$2:C1100,C1100),"")</f>
        <v/>
      </c>
      <c r="V1100" s="29" t="str">
        <f t="shared" si="66"/>
        <v/>
      </c>
      <c r="W1100" s="29" t="str">
        <f>IF(U1100=1,COUNTIF($U$2:U1100,1),"")</f>
        <v/>
      </c>
      <c r="X1100" s="29" t="str">
        <f t="shared" si="65"/>
        <v/>
      </c>
      <c r="Y1100" s="29" t="str">
        <f>IF(AND(LEFT($B1100,7)="SBA 26/",$D1100&lt;&gt;"",$F1100&lt;&gt;""),COUNTIFS($D$2:$D1100,$D1100,$B$2:$B1100,"SBA 26/*",$F$2:$F1100,"&lt;&gt;"),"")</f>
        <v/>
      </c>
      <c r="Z1100" s="29" t="str">
        <f>IF(Y1100=1,COUNTIF($Y$2:Y1100,1),"")</f>
        <v/>
      </c>
      <c r="AA1100" s="29" t="str">
        <f>IF(AND(LEFT($B1100,7)="SBA 26/",$C1100&lt;&gt;"",$F1100&lt;&gt;""),COUNTIFS($C$2:$C1100,$C1100,$B$2:$B1100,"SBA 26/*",$F$2:$F1100,"&lt;&gt;"),"")</f>
        <v/>
      </c>
      <c r="AB1100" s="29" t="str">
        <f>IF(AA1100=1,COUNTIF($AA$2:AA1100,1),"")</f>
        <v/>
      </c>
    </row>
    <row r="1101" spans="6:28" ht="47.25" customHeight="1" x14ac:dyDescent="0.2">
      <c r="F1101" s="45" t="s">
        <v>3778</v>
      </c>
      <c r="T1101" s="41"/>
      <c r="U1101" s="29" t="str">
        <f>IF($C1101&lt;&gt;"",COUNTIF($C$2:C1101,C1101),"")</f>
        <v/>
      </c>
      <c r="V1101" s="29" t="str">
        <f t="shared" si="66"/>
        <v/>
      </c>
      <c r="W1101" s="29" t="str">
        <f>IF(U1101=1,COUNTIF($U$2:U1101,1),"")</f>
        <v/>
      </c>
      <c r="X1101" s="29" t="str">
        <f t="shared" si="65"/>
        <v/>
      </c>
      <c r="Y1101" s="29" t="str">
        <f>IF(AND(LEFT($B1101,7)="SBA 26/",$D1101&lt;&gt;"",$F1101&lt;&gt;""),COUNTIFS($D$2:$D1101,$D1101,$B$2:$B1101,"SBA 26/*",$F$2:$F1101,"&lt;&gt;"),"")</f>
        <v/>
      </c>
      <c r="Z1101" s="29" t="str">
        <f>IF(Y1101=1,COUNTIF($Y$2:Y1101,1),"")</f>
        <v/>
      </c>
      <c r="AA1101" s="29" t="str">
        <f>IF(AND(LEFT($B1101,7)="SBA 26/",$C1101&lt;&gt;"",$F1101&lt;&gt;""),COUNTIFS($C$2:$C1101,$C1101,$B$2:$B1101,"SBA 26/*",$F$2:$F1101,"&lt;&gt;"),"")</f>
        <v/>
      </c>
      <c r="AB1101" s="29" t="str">
        <f>IF(AA1101=1,COUNTIF($AA$2:AA1101,1),"")</f>
        <v/>
      </c>
    </row>
    <row r="1102" spans="6:28" ht="47.25" customHeight="1" x14ac:dyDescent="0.2">
      <c r="F1102" s="45" t="s">
        <v>3779</v>
      </c>
      <c r="T1102" s="41"/>
      <c r="U1102" s="29" t="str">
        <f>IF($C1102&lt;&gt;"",COUNTIF($C$2:C1102,C1102),"")</f>
        <v/>
      </c>
      <c r="V1102" s="29" t="str">
        <f t="shared" si="66"/>
        <v/>
      </c>
      <c r="W1102" s="29" t="str">
        <f>IF(U1102=1,COUNTIF($U$2:U1102,1),"")</f>
        <v/>
      </c>
      <c r="X1102" s="29" t="str">
        <f t="shared" si="65"/>
        <v/>
      </c>
      <c r="Y1102" s="29" t="str">
        <f>IF(AND(LEFT($B1102,7)="SBA 26/",$D1102&lt;&gt;"",$F1102&lt;&gt;""),COUNTIFS($D$2:$D1102,$D1102,$B$2:$B1102,"SBA 26/*",$F$2:$F1102,"&lt;&gt;"),"")</f>
        <v/>
      </c>
      <c r="Z1102" s="29" t="str">
        <f>IF(Y1102=1,COUNTIF($Y$2:Y1102,1),"")</f>
        <v/>
      </c>
      <c r="AA1102" s="29" t="str">
        <f>IF(AND(LEFT($B1102,7)="SBA 26/",$C1102&lt;&gt;"",$F1102&lt;&gt;""),COUNTIFS($C$2:$C1102,$C1102,$B$2:$B1102,"SBA 26/*",$F$2:$F1102,"&lt;&gt;"),"")</f>
        <v/>
      </c>
      <c r="AB1102" s="29" t="str">
        <f>IF(AA1102=1,COUNTIF($AA$2:AA1102,1),"")</f>
        <v/>
      </c>
    </row>
    <row r="1103" spans="6:28" ht="63" customHeight="1" x14ac:dyDescent="0.2">
      <c r="F1103" s="45" t="s">
        <v>3780</v>
      </c>
      <c r="T1103" s="41"/>
      <c r="U1103" s="29" t="str">
        <f>IF($C1103&lt;&gt;"",COUNTIF($C$2:C1103,C1103),"")</f>
        <v/>
      </c>
      <c r="V1103" s="29" t="str">
        <f t="shared" si="66"/>
        <v/>
      </c>
      <c r="W1103" s="29" t="str">
        <f>IF(U1103=1,COUNTIF($U$2:U1103,1),"")</f>
        <v/>
      </c>
      <c r="X1103" s="29" t="str">
        <f t="shared" si="65"/>
        <v/>
      </c>
      <c r="Y1103" s="29" t="str">
        <f>IF(AND(LEFT($B1103,7)="SBA 26/",$D1103&lt;&gt;"",$F1103&lt;&gt;""),COUNTIFS($D$2:$D1103,$D1103,$B$2:$B1103,"SBA 26/*",$F$2:$F1103,"&lt;&gt;"),"")</f>
        <v/>
      </c>
      <c r="Z1103" s="29" t="str">
        <f>IF(Y1103=1,COUNTIF($Y$2:Y1103,1),"")</f>
        <v/>
      </c>
      <c r="AA1103" s="29" t="str">
        <f>IF(AND(LEFT($B1103,7)="SBA 26/",$C1103&lt;&gt;"",$F1103&lt;&gt;""),COUNTIFS($C$2:$C1103,$C1103,$B$2:$B1103,"SBA 26/*",$F$2:$F1103,"&lt;&gt;"),"")</f>
        <v/>
      </c>
      <c r="AB1103" s="29" t="str">
        <f>IF(AA1103=1,COUNTIF($AA$2:AA1103,1),"")</f>
        <v/>
      </c>
    </row>
    <row r="1104" spans="6:28" ht="63" customHeight="1" x14ac:dyDescent="0.2">
      <c r="F1104" s="45" t="s">
        <v>3781</v>
      </c>
      <c r="T1104" s="41"/>
      <c r="U1104" s="29" t="str">
        <f>IF($C1104&lt;&gt;"",COUNTIF($C$2:C1104,C1104),"")</f>
        <v/>
      </c>
      <c r="V1104" s="29" t="str">
        <f t="shared" si="66"/>
        <v/>
      </c>
      <c r="W1104" s="29" t="str">
        <f>IF(U1104=1,COUNTIF($U$2:U1104,1),"")</f>
        <v/>
      </c>
      <c r="X1104" s="29" t="str">
        <f t="shared" si="65"/>
        <v/>
      </c>
      <c r="Y1104" s="29" t="str">
        <f>IF(AND(LEFT($B1104,7)="SBA 26/",$D1104&lt;&gt;"",$F1104&lt;&gt;""),COUNTIFS($D$2:$D1104,$D1104,$B$2:$B1104,"SBA 26/*",$F$2:$F1104,"&lt;&gt;"),"")</f>
        <v/>
      </c>
      <c r="Z1104" s="29" t="str">
        <f>IF(Y1104=1,COUNTIF($Y$2:Y1104,1),"")</f>
        <v/>
      </c>
      <c r="AA1104" s="29" t="str">
        <f>IF(AND(LEFT($B1104,7)="SBA 26/",$C1104&lt;&gt;"",$F1104&lt;&gt;""),COUNTIFS($C$2:$C1104,$C1104,$B$2:$B1104,"SBA 26/*",$F$2:$F1104,"&lt;&gt;"),"")</f>
        <v/>
      </c>
      <c r="AB1104" s="29" t="str">
        <f>IF(AA1104=1,COUNTIF($AA$2:AA1104,1),"")</f>
        <v/>
      </c>
    </row>
    <row r="1105" spans="6:28" ht="47.25" customHeight="1" x14ac:dyDescent="0.2">
      <c r="F1105" s="45" t="s">
        <v>3782</v>
      </c>
      <c r="T1105" s="41"/>
      <c r="U1105" s="29" t="str">
        <f>IF($C1105&lt;&gt;"",COUNTIF($C$2:C1105,C1105),"")</f>
        <v/>
      </c>
      <c r="V1105" s="29" t="str">
        <f t="shared" si="66"/>
        <v/>
      </c>
      <c r="W1105" s="29" t="str">
        <f>IF(U1105=1,COUNTIF($U$2:U1105,1),"")</f>
        <v/>
      </c>
      <c r="X1105" s="29" t="str">
        <f t="shared" si="65"/>
        <v/>
      </c>
      <c r="Y1105" s="29" t="str">
        <f>IF(AND(LEFT($B1105,7)="SBA 26/",$D1105&lt;&gt;"",$F1105&lt;&gt;""),COUNTIFS($D$2:$D1105,$D1105,$B$2:$B1105,"SBA 26/*",$F$2:$F1105,"&lt;&gt;"),"")</f>
        <v/>
      </c>
      <c r="Z1105" s="29" t="str">
        <f>IF(Y1105=1,COUNTIF($Y$2:Y1105,1),"")</f>
        <v/>
      </c>
      <c r="AA1105" s="29" t="str">
        <f>IF(AND(LEFT($B1105,7)="SBA 26/",$C1105&lt;&gt;"",$F1105&lt;&gt;""),COUNTIFS($C$2:$C1105,$C1105,$B$2:$B1105,"SBA 26/*",$F$2:$F1105,"&lt;&gt;"),"")</f>
        <v/>
      </c>
      <c r="AB1105" s="29" t="str">
        <f>IF(AA1105=1,COUNTIF($AA$2:AA1105,1),"")</f>
        <v/>
      </c>
    </row>
    <row r="1106" spans="6:28" ht="63" customHeight="1" x14ac:dyDescent="0.2">
      <c r="F1106" s="45" t="s">
        <v>3783</v>
      </c>
      <c r="T1106" s="41"/>
      <c r="U1106" s="29" t="str">
        <f>IF($C1106&lt;&gt;"",COUNTIF($C$2:C1106,C1106),"")</f>
        <v/>
      </c>
      <c r="V1106" s="29" t="str">
        <f t="shared" si="66"/>
        <v/>
      </c>
      <c r="W1106" s="29" t="str">
        <f>IF(U1106=1,COUNTIF($U$2:U1106,1),"")</f>
        <v/>
      </c>
      <c r="X1106" s="29" t="str">
        <f t="shared" si="65"/>
        <v/>
      </c>
      <c r="Y1106" s="29" t="str">
        <f>IF(AND(LEFT($B1106,7)="SBA 26/",$D1106&lt;&gt;"",$F1106&lt;&gt;""),COUNTIFS($D$2:$D1106,$D1106,$B$2:$B1106,"SBA 26/*",$F$2:$F1106,"&lt;&gt;"),"")</f>
        <v/>
      </c>
      <c r="Z1106" s="29" t="str">
        <f>IF(Y1106=1,COUNTIF($Y$2:Y1106,1),"")</f>
        <v/>
      </c>
      <c r="AA1106" s="29" t="str">
        <f>IF(AND(LEFT($B1106,7)="SBA 26/",$C1106&lt;&gt;"",$F1106&lt;&gt;""),COUNTIFS($C$2:$C1106,$C1106,$B$2:$B1106,"SBA 26/*",$F$2:$F1106,"&lt;&gt;"),"")</f>
        <v/>
      </c>
      <c r="AB1106" s="29" t="str">
        <f>IF(AA1106=1,COUNTIF($AA$2:AA1106,1),"")</f>
        <v/>
      </c>
    </row>
    <row r="1107" spans="6:28" ht="78.75" customHeight="1" x14ac:dyDescent="0.2">
      <c r="F1107" s="45" t="s">
        <v>3784</v>
      </c>
      <c r="T1107" s="41"/>
      <c r="U1107" s="29" t="str">
        <f>IF($C1107&lt;&gt;"",COUNTIF($C$2:C1107,C1107),"")</f>
        <v/>
      </c>
      <c r="V1107" s="29" t="str">
        <f t="shared" si="66"/>
        <v/>
      </c>
      <c r="W1107" s="29" t="str">
        <f>IF(U1107=1,COUNTIF($U$2:U1107,1),"")</f>
        <v/>
      </c>
      <c r="X1107" s="29" t="str">
        <f t="shared" si="65"/>
        <v/>
      </c>
      <c r="Y1107" s="29" t="str">
        <f>IF(AND(LEFT($B1107,7)="SBA 26/",$D1107&lt;&gt;"",$F1107&lt;&gt;""),COUNTIFS($D$2:$D1107,$D1107,$B$2:$B1107,"SBA 26/*",$F$2:$F1107,"&lt;&gt;"),"")</f>
        <v/>
      </c>
      <c r="Z1107" s="29" t="str">
        <f>IF(Y1107=1,COUNTIF($Y$2:Y1107,1),"")</f>
        <v/>
      </c>
      <c r="AA1107" s="29" t="str">
        <f>IF(AND(LEFT($B1107,7)="SBA 26/",$C1107&lt;&gt;"",$F1107&lt;&gt;""),COUNTIFS($C$2:$C1107,$C1107,$B$2:$B1107,"SBA 26/*",$F$2:$F1107,"&lt;&gt;"),"")</f>
        <v/>
      </c>
      <c r="AB1107" s="29" t="str">
        <f>IF(AA1107=1,COUNTIF($AA$2:AA1107,1),"")</f>
        <v/>
      </c>
    </row>
    <row r="1108" spans="6:28" ht="31.5" customHeight="1" x14ac:dyDescent="0.2">
      <c r="F1108" s="45" t="s">
        <v>3785</v>
      </c>
      <c r="T1108" s="41"/>
      <c r="U1108" s="29" t="str">
        <f>IF($C1108&lt;&gt;"",COUNTIF($C$2:C1108,C1108),"")</f>
        <v/>
      </c>
      <c r="V1108" s="29" t="str">
        <f t="shared" si="66"/>
        <v/>
      </c>
      <c r="W1108" s="29" t="str">
        <f>IF(U1108=1,COUNTIF($U$2:U1108,1),"")</f>
        <v/>
      </c>
      <c r="X1108" s="29" t="str">
        <f t="shared" si="65"/>
        <v/>
      </c>
      <c r="Y1108" s="29" t="str">
        <f>IF(AND(LEFT($B1108,7)="SBA 26/",$D1108&lt;&gt;"",$F1108&lt;&gt;""),COUNTIFS($D$2:$D1108,$D1108,$B$2:$B1108,"SBA 26/*",$F$2:$F1108,"&lt;&gt;"),"")</f>
        <v/>
      </c>
      <c r="Z1108" s="29" t="str">
        <f>IF(Y1108=1,COUNTIF($Y$2:Y1108,1),"")</f>
        <v/>
      </c>
      <c r="AA1108" s="29" t="str">
        <f>IF(AND(LEFT($B1108,7)="SBA 26/",$C1108&lt;&gt;"",$F1108&lt;&gt;""),COUNTIFS($C$2:$C1108,$C1108,$B$2:$B1108,"SBA 26/*",$F$2:$F1108,"&lt;&gt;"),"")</f>
        <v/>
      </c>
      <c r="AB1108" s="29" t="str">
        <f>IF(AA1108=1,COUNTIF($AA$2:AA1108,1),"")</f>
        <v/>
      </c>
    </row>
    <row r="1109" spans="6:28" ht="78.75" customHeight="1" x14ac:dyDescent="0.2">
      <c r="F1109" s="45" t="s">
        <v>3786</v>
      </c>
      <c r="T1109" s="41"/>
      <c r="U1109" s="29" t="str">
        <f>IF($C1109&lt;&gt;"",COUNTIF($C$2:C1109,C1109),"")</f>
        <v/>
      </c>
      <c r="V1109" s="29" t="str">
        <f t="shared" si="66"/>
        <v/>
      </c>
      <c r="W1109" s="29" t="str">
        <f>IF(U1109=1,COUNTIF($U$2:U1109,1),"")</f>
        <v/>
      </c>
      <c r="X1109" s="29" t="str">
        <f t="shared" si="65"/>
        <v/>
      </c>
      <c r="Y1109" s="29" t="str">
        <f>IF(AND(LEFT($B1109,7)="SBA 26/",$D1109&lt;&gt;"",$F1109&lt;&gt;""),COUNTIFS($D$2:$D1109,$D1109,$B$2:$B1109,"SBA 26/*",$F$2:$F1109,"&lt;&gt;"),"")</f>
        <v/>
      </c>
      <c r="Z1109" s="29" t="str">
        <f>IF(Y1109=1,COUNTIF($Y$2:Y1109,1),"")</f>
        <v/>
      </c>
      <c r="AA1109" s="29" t="str">
        <f>IF(AND(LEFT($B1109,7)="SBA 26/",$C1109&lt;&gt;"",$F1109&lt;&gt;""),COUNTIFS($C$2:$C1109,$C1109,$B$2:$B1109,"SBA 26/*",$F$2:$F1109,"&lt;&gt;"),"")</f>
        <v/>
      </c>
      <c r="AB1109" s="29" t="str">
        <f>IF(AA1109=1,COUNTIF($AA$2:AA1109,1),"")</f>
        <v/>
      </c>
    </row>
    <row r="1110" spans="6:28" ht="47.25" customHeight="1" x14ac:dyDescent="0.2">
      <c r="F1110" s="45" t="s">
        <v>3787</v>
      </c>
      <c r="T1110" s="41"/>
      <c r="U1110" s="29" t="str">
        <f>IF($C1110&lt;&gt;"",COUNTIF($C$2:C1110,C1110),"")</f>
        <v/>
      </c>
      <c r="V1110" s="29" t="str">
        <f t="shared" si="66"/>
        <v/>
      </c>
      <c r="W1110" s="29" t="str">
        <f>IF(U1110=1,COUNTIF($U$2:U1110,1),"")</f>
        <v/>
      </c>
      <c r="X1110" s="29" t="str">
        <f t="shared" si="65"/>
        <v/>
      </c>
      <c r="Y1110" s="29" t="str">
        <f>IF(AND(LEFT($B1110,7)="SBA 26/",$D1110&lt;&gt;"",$F1110&lt;&gt;""),COUNTIFS($D$2:$D1110,$D1110,$B$2:$B1110,"SBA 26/*",$F$2:$F1110,"&lt;&gt;"),"")</f>
        <v/>
      </c>
      <c r="Z1110" s="29" t="str">
        <f>IF(Y1110=1,COUNTIF($Y$2:Y1110,1),"")</f>
        <v/>
      </c>
      <c r="AA1110" s="29" t="str">
        <f>IF(AND(LEFT($B1110,7)="SBA 26/",$C1110&lt;&gt;"",$F1110&lt;&gt;""),COUNTIFS($C$2:$C1110,$C1110,$B$2:$B1110,"SBA 26/*",$F$2:$F1110,"&lt;&gt;"),"")</f>
        <v/>
      </c>
      <c r="AB1110" s="29" t="str">
        <f>IF(AA1110=1,COUNTIF($AA$2:AA1110,1),"")</f>
        <v/>
      </c>
    </row>
    <row r="1111" spans="6:28" ht="31.5" customHeight="1" x14ac:dyDescent="0.2">
      <c r="F1111" s="45" t="s">
        <v>3788</v>
      </c>
      <c r="T1111" s="41"/>
      <c r="U1111" s="29" t="str">
        <f>IF($C1111&lt;&gt;"",COUNTIF($C$2:C1111,C1111),"")</f>
        <v/>
      </c>
      <c r="V1111" s="29" t="str">
        <f t="shared" si="66"/>
        <v/>
      </c>
      <c r="W1111" s="29" t="str">
        <f>IF(U1111=1,COUNTIF($U$2:U1111,1),"")</f>
        <v/>
      </c>
      <c r="X1111" s="29" t="str">
        <f t="shared" si="65"/>
        <v/>
      </c>
      <c r="Y1111" s="29" t="str">
        <f>IF(AND(LEFT($B1111,7)="SBA 26/",$D1111&lt;&gt;"",$F1111&lt;&gt;""),COUNTIFS($D$2:$D1111,$D1111,$B$2:$B1111,"SBA 26/*",$F$2:$F1111,"&lt;&gt;"),"")</f>
        <v/>
      </c>
      <c r="Z1111" s="29" t="str">
        <f>IF(Y1111=1,COUNTIF($Y$2:Y1111,1),"")</f>
        <v/>
      </c>
      <c r="AA1111" s="29" t="str">
        <f>IF(AND(LEFT($B1111,7)="SBA 26/",$C1111&lt;&gt;"",$F1111&lt;&gt;""),COUNTIFS($C$2:$C1111,$C1111,$B$2:$B1111,"SBA 26/*",$F$2:$F1111,"&lt;&gt;"),"")</f>
        <v/>
      </c>
      <c r="AB1111" s="29" t="str">
        <f>IF(AA1111=1,COUNTIF($AA$2:AA1111,1),"")</f>
        <v/>
      </c>
    </row>
    <row r="1112" spans="6:28" ht="78.75" customHeight="1" x14ac:dyDescent="0.2">
      <c r="F1112" s="45" t="s">
        <v>3789</v>
      </c>
      <c r="T1112" s="41"/>
      <c r="U1112" s="29" t="str">
        <f>IF($C1112&lt;&gt;"",COUNTIF($C$2:C1112,C1112),"")</f>
        <v/>
      </c>
      <c r="V1112" s="29" t="str">
        <f t="shared" si="66"/>
        <v/>
      </c>
      <c r="W1112" s="29" t="str">
        <f>IF(U1112=1,COUNTIF($U$2:U1112,1),"")</f>
        <v/>
      </c>
      <c r="X1112" s="29" t="str">
        <f t="shared" si="65"/>
        <v/>
      </c>
      <c r="Y1112" s="29" t="str">
        <f>IF(AND(LEFT($B1112,7)="SBA 26/",$D1112&lt;&gt;"",$F1112&lt;&gt;""),COUNTIFS($D$2:$D1112,$D1112,$B$2:$B1112,"SBA 26/*",$F$2:$F1112,"&lt;&gt;"),"")</f>
        <v/>
      </c>
      <c r="Z1112" s="29" t="str">
        <f>IF(Y1112=1,COUNTIF($Y$2:Y1112,1),"")</f>
        <v/>
      </c>
      <c r="AA1112" s="29" t="str">
        <f>IF(AND(LEFT($B1112,7)="SBA 26/",$C1112&lt;&gt;"",$F1112&lt;&gt;""),COUNTIFS($C$2:$C1112,$C1112,$B$2:$B1112,"SBA 26/*",$F$2:$F1112,"&lt;&gt;"),"")</f>
        <v/>
      </c>
      <c r="AB1112" s="29" t="str">
        <f>IF(AA1112=1,COUNTIF($AA$2:AA1112,1),"")</f>
        <v/>
      </c>
    </row>
    <row r="1113" spans="6:28" ht="31.5" customHeight="1" x14ac:dyDescent="0.2">
      <c r="F1113" s="45" t="s">
        <v>3790</v>
      </c>
      <c r="T1113" s="41"/>
      <c r="U1113" s="29" t="str">
        <f>IF($C1113&lt;&gt;"",COUNTIF($C$2:C1113,C1113),"")</f>
        <v/>
      </c>
      <c r="V1113" s="29" t="str">
        <f t="shared" si="66"/>
        <v/>
      </c>
      <c r="W1113" s="29" t="str">
        <f>IF(U1113=1,COUNTIF($U$2:U1113,1),"")</f>
        <v/>
      </c>
      <c r="X1113" s="29" t="str">
        <f t="shared" si="65"/>
        <v/>
      </c>
      <c r="Y1113" s="29" t="str">
        <f>IF(AND(LEFT($B1113,7)="SBA 26/",$D1113&lt;&gt;"",$F1113&lt;&gt;""),COUNTIFS($D$2:$D1113,$D1113,$B$2:$B1113,"SBA 26/*",$F$2:$F1113,"&lt;&gt;"),"")</f>
        <v/>
      </c>
      <c r="Z1113" s="29" t="str">
        <f>IF(Y1113=1,COUNTIF($Y$2:Y1113,1),"")</f>
        <v/>
      </c>
      <c r="AA1113" s="29" t="str">
        <f>IF(AND(LEFT($B1113,7)="SBA 26/",$C1113&lt;&gt;"",$F1113&lt;&gt;""),COUNTIFS($C$2:$C1113,$C1113,$B$2:$B1113,"SBA 26/*",$F$2:$F1113,"&lt;&gt;"),"")</f>
        <v/>
      </c>
      <c r="AB1113" s="29" t="str">
        <f>IF(AA1113=1,COUNTIF($AA$2:AA1113,1),"")</f>
        <v/>
      </c>
    </row>
    <row r="1114" spans="6:28" ht="47.25" customHeight="1" x14ac:dyDescent="0.2">
      <c r="F1114" s="45" t="s">
        <v>3791</v>
      </c>
      <c r="T1114" s="41"/>
      <c r="U1114" s="29" t="str">
        <f>IF($C1114&lt;&gt;"",COUNTIF($C$2:C1114,C1114),"")</f>
        <v/>
      </c>
      <c r="V1114" s="29" t="str">
        <f t="shared" si="66"/>
        <v/>
      </c>
      <c r="W1114" s="29" t="str">
        <f>IF(U1114=1,COUNTIF($U$2:U1114,1),"")</f>
        <v/>
      </c>
      <c r="X1114" s="29" t="str">
        <f t="shared" si="65"/>
        <v/>
      </c>
      <c r="Y1114" s="29" t="str">
        <f>IF(AND(LEFT($B1114,7)="SBA 26/",$D1114&lt;&gt;"",$F1114&lt;&gt;""),COUNTIFS($D$2:$D1114,$D1114,$B$2:$B1114,"SBA 26/*",$F$2:$F1114,"&lt;&gt;"),"")</f>
        <v/>
      </c>
      <c r="Z1114" s="29" t="str">
        <f>IF(Y1114=1,COUNTIF($Y$2:Y1114,1),"")</f>
        <v/>
      </c>
      <c r="AA1114" s="29" t="str">
        <f>IF(AND(LEFT($B1114,7)="SBA 26/",$C1114&lt;&gt;"",$F1114&lt;&gt;""),COUNTIFS($C$2:$C1114,$C1114,$B$2:$B1114,"SBA 26/*",$F$2:$F1114,"&lt;&gt;"),"")</f>
        <v/>
      </c>
      <c r="AB1114" s="29" t="str">
        <f>IF(AA1114=1,COUNTIF($AA$2:AA1114,1),"")</f>
        <v/>
      </c>
    </row>
    <row r="1115" spans="6:28" ht="31.5" customHeight="1" x14ac:dyDescent="0.2">
      <c r="F1115" s="45" t="s">
        <v>3792</v>
      </c>
      <c r="T1115" s="41"/>
      <c r="U1115" s="29" t="str">
        <f>IF($C1115&lt;&gt;"",COUNTIF($C$2:C1115,C1115),"")</f>
        <v/>
      </c>
      <c r="V1115" s="29" t="str">
        <f t="shared" si="66"/>
        <v/>
      </c>
      <c r="W1115" s="29" t="str">
        <f>IF(U1115=1,COUNTIF($U$2:U1115,1),"")</f>
        <v/>
      </c>
      <c r="X1115" s="29" t="str">
        <f t="shared" si="65"/>
        <v/>
      </c>
      <c r="Y1115" s="29" t="str">
        <f>IF(AND(LEFT($B1115,7)="SBA 26/",$D1115&lt;&gt;"",$F1115&lt;&gt;""),COUNTIFS($D$2:$D1115,$D1115,$B$2:$B1115,"SBA 26/*",$F$2:$F1115,"&lt;&gt;"),"")</f>
        <v/>
      </c>
      <c r="Z1115" s="29" t="str">
        <f>IF(Y1115=1,COUNTIF($Y$2:Y1115,1),"")</f>
        <v/>
      </c>
      <c r="AA1115" s="29" t="str">
        <f>IF(AND(LEFT($B1115,7)="SBA 26/",$C1115&lt;&gt;"",$F1115&lt;&gt;""),COUNTIFS($C$2:$C1115,$C1115,$B$2:$B1115,"SBA 26/*",$F$2:$F1115,"&lt;&gt;"),"")</f>
        <v/>
      </c>
      <c r="AB1115" s="29" t="str">
        <f>IF(AA1115=1,COUNTIF($AA$2:AA1115,1),"")</f>
        <v/>
      </c>
    </row>
    <row r="1116" spans="6:28" ht="63" customHeight="1" x14ac:dyDescent="0.2">
      <c r="F1116" s="45" t="s">
        <v>3793</v>
      </c>
      <c r="T1116" s="41"/>
      <c r="U1116" s="29" t="str">
        <f>IF($C1116&lt;&gt;"",COUNTIF($C$2:C1116,C1116),"")</f>
        <v/>
      </c>
      <c r="V1116" s="29" t="str">
        <f t="shared" si="66"/>
        <v/>
      </c>
      <c r="W1116" s="29" t="str">
        <f>IF(U1116=1,COUNTIF($U$2:U1116,1),"")</f>
        <v/>
      </c>
      <c r="X1116" s="29" t="str">
        <f t="shared" si="65"/>
        <v/>
      </c>
      <c r="Y1116" s="29" t="str">
        <f>IF(AND(LEFT($B1116,7)="SBA 26/",$D1116&lt;&gt;"",$F1116&lt;&gt;""),COUNTIFS($D$2:$D1116,$D1116,$B$2:$B1116,"SBA 26/*",$F$2:$F1116,"&lt;&gt;"),"")</f>
        <v/>
      </c>
      <c r="Z1116" s="29" t="str">
        <f>IF(Y1116=1,COUNTIF($Y$2:Y1116,1),"")</f>
        <v/>
      </c>
      <c r="AA1116" s="29" t="str">
        <f>IF(AND(LEFT($B1116,7)="SBA 26/",$C1116&lt;&gt;"",$F1116&lt;&gt;""),COUNTIFS($C$2:$C1116,$C1116,$B$2:$B1116,"SBA 26/*",$F$2:$F1116,"&lt;&gt;"),"")</f>
        <v/>
      </c>
      <c r="AB1116" s="29" t="str">
        <f>IF(AA1116=1,COUNTIF($AA$2:AA1116,1),"")</f>
        <v/>
      </c>
    </row>
    <row r="1117" spans="6:28" ht="78.75" customHeight="1" x14ac:dyDescent="0.2">
      <c r="F1117" s="45" t="s">
        <v>3794</v>
      </c>
      <c r="T1117" s="41"/>
      <c r="U1117" s="29" t="str">
        <f>IF($C1117&lt;&gt;"",COUNTIF($C$2:C1117,C1117),"")</f>
        <v/>
      </c>
      <c r="V1117" s="29" t="str">
        <f t="shared" si="66"/>
        <v/>
      </c>
      <c r="W1117" s="29" t="str">
        <f>IF(U1117=1,COUNTIF($U$2:U1117,1),"")</f>
        <v/>
      </c>
      <c r="X1117" s="29" t="str">
        <f t="shared" si="65"/>
        <v/>
      </c>
      <c r="Y1117" s="29" t="str">
        <f>IF(AND(LEFT($B1117,7)="SBA 26/",$D1117&lt;&gt;"",$F1117&lt;&gt;""),COUNTIFS($D$2:$D1117,$D1117,$B$2:$B1117,"SBA 26/*",$F$2:$F1117,"&lt;&gt;"),"")</f>
        <v/>
      </c>
      <c r="Z1117" s="29" t="str">
        <f>IF(Y1117=1,COUNTIF($Y$2:Y1117,1),"")</f>
        <v/>
      </c>
      <c r="AA1117" s="29" t="str">
        <f>IF(AND(LEFT($B1117,7)="SBA 26/",$C1117&lt;&gt;"",$F1117&lt;&gt;""),COUNTIFS($C$2:$C1117,$C1117,$B$2:$B1117,"SBA 26/*",$F$2:$F1117,"&lt;&gt;"),"")</f>
        <v/>
      </c>
      <c r="AB1117" s="29" t="str">
        <f>IF(AA1117=1,COUNTIF($AA$2:AA1117,1),"")</f>
        <v/>
      </c>
    </row>
    <row r="1118" spans="6:28" ht="63" customHeight="1" x14ac:dyDescent="0.2">
      <c r="F1118" s="45" t="s">
        <v>3795</v>
      </c>
      <c r="T1118" s="41"/>
      <c r="U1118" s="29" t="str">
        <f>IF($C1118&lt;&gt;"",COUNTIF($C$2:C1118,C1118),"")</f>
        <v/>
      </c>
      <c r="V1118" s="29" t="str">
        <f t="shared" si="66"/>
        <v/>
      </c>
      <c r="W1118" s="29" t="str">
        <f>IF(U1118=1,COUNTIF($U$2:U1118,1),"")</f>
        <v/>
      </c>
      <c r="X1118" s="29" t="str">
        <f t="shared" si="65"/>
        <v/>
      </c>
      <c r="Y1118" s="29" t="str">
        <f>IF(AND(LEFT($B1118,7)="SBA 26/",$D1118&lt;&gt;"",$F1118&lt;&gt;""),COUNTIFS($D$2:$D1118,$D1118,$B$2:$B1118,"SBA 26/*",$F$2:$F1118,"&lt;&gt;"),"")</f>
        <v/>
      </c>
      <c r="Z1118" s="29" t="str">
        <f>IF(Y1118=1,COUNTIF($Y$2:Y1118,1),"")</f>
        <v/>
      </c>
      <c r="AA1118" s="29" t="str">
        <f>IF(AND(LEFT($B1118,7)="SBA 26/",$C1118&lt;&gt;"",$F1118&lt;&gt;""),COUNTIFS($C$2:$C1118,$C1118,$B$2:$B1118,"SBA 26/*",$F$2:$F1118,"&lt;&gt;"),"")</f>
        <v/>
      </c>
      <c r="AB1118" s="29" t="str">
        <f>IF(AA1118=1,COUNTIF($AA$2:AA1118,1),"")</f>
        <v/>
      </c>
    </row>
    <row r="1119" spans="6:28" ht="31.5" customHeight="1" x14ac:dyDescent="0.2">
      <c r="F1119" s="45" t="s">
        <v>3796</v>
      </c>
      <c r="T1119" s="41"/>
      <c r="U1119" s="29" t="str">
        <f>IF($C1119&lt;&gt;"",COUNTIF($C$2:C1119,C1119),"")</f>
        <v/>
      </c>
      <c r="V1119" s="29" t="str">
        <f t="shared" si="66"/>
        <v/>
      </c>
      <c r="W1119" s="29" t="str">
        <f>IF(U1119=1,COUNTIF($U$2:U1119,1),"")</f>
        <v/>
      </c>
      <c r="X1119" s="29" t="str">
        <f t="shared" si="65"/>
        <v/>
      </c>
      <c r="Y1119" s="29" t="str">
        <f>IF(AND(LEFT($B1119,7)="SBA 26/",$D1119&lt;&gt;"",$F1119&lt;&gt;""),COUNTIFS($D$2:$D1119,$D1119,$B$2:$B1119,"SBA 26/*",$F$2:$F1119,"&lt;&gt;"),"")</f>
        <v/>
      </c>
      <c r="Z1119" s="29" t="str">
        <f>IF(Y1119=1,COUNTIF($Y$2:Y1119,1),"")</f>
        <v/>
      </c>
      <c r="AA1119" s="29" t="str">
        <f>IF(AND(LEFT($B1119,7)="SBA 26/",$C1119&lt;&gt;"",$F1119&lt;&gt;""),COUNTIFS($C$2:$C1119,$C1119,$B$2:$B1119,"SBA 26/*",$F$2:$F1119,"&lt;&gt;"),"")</f>
        <v/>
      </c>
      <c r="AB1119" s="29" t="str">
        <f>IF(AA1119=1,COUNTIF($AA$2:AA1119,1),"")</f>
        <v/>
      </c>
    </row>
    <row r="1120" spans="6:28" ht="31.5" customHeight="1" x14ac:dyDescent="0.2">
      <c r="F1120" s="45" t="s">
        <v>3797</v>
      </c>
      <c r="T1120" s="41"/>
      <c r="U1120" s="29" t="str">
        <f>IF($C1120&lt;&gt;"",COUNTIF($C$2:C1120,C1120),"")</f>
        <v/>
      </c>
      <c r="V1120" s="29" t="str">
        <f t="shared" si="66"/>
        <v/>
      </c>
      <c r="W1120" s="29" t="str">
        <f>IF(U1120=1,COUNTIF($U$2:U1120,1),"")</f>
        <v/>
      </c>
      <c r="X1120" s="29" t="str">
        <f t="shared" si="65"/>
        <v/>
      </c>
      <c r="Y1120" s="29" t="str">
        <f>IF(AND(LEFT($B1120,7)="SBA 26/",$D1120&lt;&gt;"",$F1120&lt;&gt;""),COUNTIFS($D$2:$D1120,$D1120,$B$2:$B1120,"SBA 26/*",$F$2:$F1120,"&lt;&gt;"),"")</f>
        <v/>
      </c>
      <c r="Z1120" s="29" t="str">
        <f>IF(Y1120=1,COUNTIF($Y$2:Y1120,1),"")</f>
        <v/>
      </c>
      <c r="AA1120" s="29" t="str">
        <f>IF(AND(LEFT($B1120,7)="SBA 26/",$C1120&lt;&gt;"",$F1120&lt;&gt;""),COUNTIFS($C$2:$C1120,$C1120,$B$2:$B1120,"SBA 26/*",$F$2:$F1120,"&lt;&gt;"),"")</f>
        <v/>
      </c>
      <c r="AB1120" s="29" t="str">
        <f>IF(AA1120=1,COUNTIF($AA$2:AA1120,1),"")</f>
        <v/>
      </c>
    </row>
    <row r="1121" spans="6:28" ht="31.5" customHeight="1" x14ac:dyDescent="0.2">
      <c r="F1121" s="45" t="s">
        <v>3798</v>
      </c>
      <c r="T1121" s="41"/>
      <c r="U1121" s="29" t="str">
        <f>IF($C1121&lt;&gt;"",COUNTIF($C$2:C1121,C1121),"")</f>
        <v/>
      </c>
      <c r="V1121" s="29" t="str">
        <f t="shared" si="66"/>
        <v/>
      </c>
      <c r="W1121" s="29" t="str">
        <f>IF(U1121=1,COUNTIF($U$2:U1121,1),"")</f>
        <v/>
      </c>
      <c r="X1121" s="29" t="str">
        <f t="shared" si="65"/>
        <v/>
      </c>
      <c r="Y1121" s="29" t="str">
        <f>IF(AND(LEFT($B1121,7)="SBA 26/",$D1121&lt;&gt;"",$F1121&lt;&gt;""),COUNTIFS($D$2:$D1121,$D1121,$B$2:$B1121,"SBA 26/*",$F$2:$F1121,"&lt;&gt;"),"")</f>
        <v/>
      </c>
      <c r="Z1121" s="29" t="str">
        <f>IF(Y1121=1,COUNTIF($Y$2:Y1121,1),"")</f>
        <v/>
      </c>
      <c r="AA1121" s="29" t="str">
        <f>IF(AND(LEFT($B1121,7)="SBA 26/",$C1121&lt;&gt;"",$F1121&lt;&gt;""),COUNTIFS($C$2:$C1121,$C1121,$B$2:$B1121,"SBA 26/*",$F$2:$F1121,"&lt;&gt;"),"")</f>
        <v/>
      </c>
      <c r="AB1121" s="29" t="str">
        <f>IF(AA1121=1,COUNTIF($AA$2:AA1121,1),"")</f>
        <v/>
      </c>
    </row>
    <row r="1122" spans="6:28" ht="47.25" customHeight="1" x14ac:dyDescent="0.2">
      <c r="F1122" s="45" t="s">
        <v>3799</v>
      </c>
      <c r="T1122" s="41"/>
      <c r="U1122" s="29" t="str">
        <f>IF($C1122&lt;&gt;"",COUNTIF($C$2:C1122,C1122),"")</f>
        <v/>
      </c>
      <c r="V1122" s="29" t="str">
        <f t="shared" si="66"/>
        <v/>
      </c>
      <c r="W1122" s="29" t="str">
        <f>IF(U1122=1,COUNTIF($U$2:U1122,1),"")</f>
        <v/>
      </c>
      <c r="X1122" s="29" t="str">
        <f t="shared" si="65"/>
        <v/>
      </c>
      <c r="Y1122" s="29" t="str">
        <f>IF(AND(LEFT($B1122,7)="SBA 26/",$D1122&lt;&gt;"",$F1122&lt;&gt;""),COUNTIFS($D$2:$D1122,$D1122,$B$2:$B1122,"SBA 26/*",$F$2:$F1122,"&lt;&gt;"),"")</f>
        <v/>
      </c>
      <c r="Z1122" s="29" t="str">
        <f>IF(Y1122=1,COUNTIF($Y$2:Y1122,1),"")</f>
        <v/>
      </c>
      <c r="AA1122" s="29" t="str">
        <f>IF(AND(LEFT($B1122,7)="SBA 26/",$C1122&lt;&gt;"",$F1122&lt;&gt;""),COUNTIFS($C$2:$C1122,$C1122,$B$2:$B1122,"SBA 26/*",$F$2:$F1122,"&lt;&gt;"),"")</f>
        <v/>
      </c>
      <c r="AB1122" s="29" t="str">
        <f>IF(AA1122=1,COUNTIF($AA$2:AA1122,1),"")</f>
        <v/>
      </c>
    </row>
    <row r="1123" spans="6:28" ht="47.25" customHeight="1" x14ac:dyDescent="0.2">
      <c r="F1123" s="45" t="s">
        <v>3800</v>
      </c>
      <c r="T1123" s="41"/>
      <c r="U1123" s="29" t="str">
        <f>IF($C1123&lt;&gt;"",COUNTIF($C$2:C1123,C1123),"")</f>
        <v/>
      </c>
      <c r="V1123" s="29" t="str">
        <f t="shared" si="66"/>
        <v/>
      </c>
      <c r="W1123" s="29" t="str">
        <f>IF(U1123=1,COUNTIF($U$2:U1123,1),"")</f>
        <v/>
      </c>
      <c r="X1123" s="29" t="str">
        <f t="shared" si="65"/>
        <v/>
      </c>
      <c r="Y1123" s="29" t="str">
        <f>IF(AND(LEFT($B1123,7)="SBA 26/",$D1123&lt;&gt;"",$F1123&lt;&gt;""),COUNTIFS($D$2:$D1123,$D1123,$B$2:$B1123,"SBA 26/*",$F$2:$F1123,"&lt;&gt;"),"")</f>
        <v/>
      </c>
      <c r="Z1123" s="29" t="str">
        <f>IF(Y1123=1,COUNTIF($Y$2:Y1123,1),"")</f>
        <v/>
      </c>
      <c r="AA1123" s="29" t="str">
        <f>IF(AND(LEFT($B1123,7)="SBA 26/",$C1123&lt;&gt;"",$F1123&lt;&gt;""),COUNTIFS($C$2:$C1123,$C1123,$B$2:$B1123,"SBA 26/*",$F$2:$F1123,"&lt;&gt;"),"")</f>
        <v/>
      </c>
      <c r="AB1123" s="29" t="str">
        <f>IF(AA1123=1,COUNTIF($AA$2:AA1123,1),"")</f>
        <v/>
      </c>
    </row>
    <row r="1124" spans="6:28" ht="31.5" customHeight="1" x14ac:dyDescent="0.2">
      <c r="F1124" s="45" t="s">
        <v>3801</v>
      </c>
      <c r="T1124" s="41"/>
      <c r="U1124" s="29" t="str">
        <f>IF($C1124&lt;&gt;"",COUNTIF($C$2:C1124,C1124),"")</f>
        <v/>
      </c>
      <c r="V1124" s="29" t="str">
        <f t="shared" si="66"/>
        <v/>
      </c>
      <c r="W1124" s="29" t="str">
        <f>IF(U1124=1,COUNTIF($U$2:U1124,1),"")</f>
        <v/>
      </c>
      <c r="X1124" s="29" t="str">
        <f t="shared" si="65"/>
        <v/>
      </c>
      <c r="Y1124" s="29" t="str">
        <f>IF(AND(LEFT($B1124,7)="SBA 26/",$D1124&lt;&gt;"",$F1124&lt;&gt;""),COUNTIFS($D$2:$D1124,$D1124,$B$2:$B1124,"SBA 26/*",$F$2:$F1124,"&lt;&gt;"),"")</f>
        <v/>
      </c>
      <c r="Z1124" s="29" t="str">
        <f>IF(Y1124=1,COUNTIF($Y$2:Y1124,1),"")</f>
        <v/>
      </c>
      <c r="AA1124" s="29" t="str">
        <f>IF(AND(LEFT($B1124,7)="SBA 26/",$C1124&lt;&gt;"",$F1124&lt;&gt;""),COUNTIFS($C$2:$C1124,$C1124,$B$2:$B1124,"SBA 26/*",$F$2:$F1124,"&lt;&gt;"),"")</f>
        <v/>
      </c>
      <c r="AB1124" s="29" t="str">
        <f>IF(AA1124=1,COUNTIF($AA$2:AA1124,1),"")</f>
        <v/>
      </c>
    </row>
    <row r="1125" spans="6:28" ht="31.5" customHeight="1" x14ac:dyDescent="0.2">
      <c r="F1125" s="45" t="s">
        <v>3802</v>
      </c>
      <c r="T1125" s="41"/>
      <c r="U1125" s="29" t="str">
        <f>IF($C1125&lt;&gt;"",COUNTIF($C$2:C1125,C1125),"")</f>
        <v/>
      </c>
      <c r="V1125" s="29" t="str">
        <f t="shared" si="66"/>
        <v/>
      </c>
      <c r="W1125" s="29" t="str">
        <f>IF(U1125=1,COUNTIF($U$2:U1125,1),"")</f>
        <v/>
      </c>
      <c r="X1125" s="29" t="str">
        <f t="shared" si="65"/>
        <v/>
      </c>
      <c r="Y1125" s="29" t="str">
        <f>IF(AND(LEFT($B1125,7)="SBA 26/",$D1125&lt;&gt;"",$F1125&lt;&gt;""),COUNTIFS($D$2:$D1125,$D1125,$B$2:$B1125,"SBA 26/*",$F$2:$F1125,"&lt;&gt;"),"")</f>
        <v/>
      </c>
      <c r="Z1125" s="29" t="str">
        <f>IF(Y1125=1,COUNTIF($Y$2:Y1125,1),"")</f>
        <v/>
      </c>
      <c r="AA1125" s="29" t="str">
        <f>IF(AND(LEFT($B1125,7)="SBA 26/",$C1125&lt;&gt;"",$F1125&lt;&gt;""),COUNTIFS($C$2:$C1125,$C1125,$B$2:$B1125,"SBA 26/*",$F$2:$F1125,"&lt;&gt;"),"")</f>
        <v/>
      </c>
      <c r="AB1125" s="29" t="str">
        <f>IF(AA1125=1,COUNTIF($AA$2:AA1125,1),"")</f>
        <v/>
      </c>
    </row>
    <row r="1126" spans="6:28" ht="30.75" customHeight="1" x14ac:dyDescent="0.2">
      <c r="F1126" s="45" t="s">
        <v>3803</v>
      </c>
      <c r="T1126" s="41"/>
      <c r="U1126" s="29" t="str">
        <f>IF($C1126&lt;&gt;"",COUNTIF($C$2:C1126,C1126),"")</f>
        <v/>
      </c>
      <c r="V1126" s="29" t="str">
        <f t="shared" si="66"/>
        <v/>
      </c>
      <c r="W1126" s="29" t="str">
        <f>IF(U1126=1,COUNTIF($U$2:U1126,1),"")</f>
        <v/>
      </c>
      <c r="X1126" s="29" t="str">
        <f t="shared" si="65"/>
        <v/>
      </c>
      <c r="Y1126" s="29" t="str">
        <f>IF(AND(LEFT($B1126,7)="SBA 26/",$D1126&lt;&gt;"",$F1126&lt;&gt;""),COUNTIFS($D$2:$D1126,$D1126,$B$2:$B1126,"SBA 26/*",$F$2:$F1126,"&lt;&gt;"),"")</f>
        <v/>
      </c>
      <c r="Z1126" s="29" t="str">
        <f>IF(Y1126=1,COUNTIF($Y$2:Y1126,1),"")</f>
        <v/>
      </c>
      <c r="AA1126" s="29" t="str">
        <f>IF(AND(LEFT($B1126,7)="SBA 26/",$C1126&lt;&gt;"",$F1126&lt;&gt;""),COUNTIFS($C$2:$C1126,$C1126,$B$2:$B1126,"SBA 26/*",$F$2:$F1126,"&lt;&gt;"),"")</f>
        <v/>
      </c>
      <c r="AB1126" s="29" t="str">
        <f>IF(AA1126=1,COUNTIF($AA$2:AA1126,1),"")</f>
        <v/>
      </c>
    </row>
    <row r="1127" spans="6:28" ht="31.5" customHeight="1" x14ac:dyDescent="0.2">
      <c r="F1127" s="45" t="s">
        <v>3804</v>
      </c>
      <c r="T1127" s="41"/>
      <c r="U1127" s="29" t="str">
        <f>IF($C1127&lt;&gt;"",COUNTIF($C$2:C1127,C1127),"")</f>
        <v/>
      </c>
      <c r="V1127" s="29" t="str">
        <f t="shared" si="66"/>
        <v/>
      </c>
      <c r="W1127" s="29" t="str">
        <f>IF(U1127=1,COUNTIF($U$2:U1127,1),"")</f>
        <v/>
      </c>
      <c r="X1127" s="29" t="str">
        <f t="shared" si="65"/>
        <v/>
      </c>
      <c r="Y1127" s="29" t="str">
        <f>IF(AND(LEFT($B1127,7)="SBA 26/",$D1127&lt;&gt;"",$F1127&lt;&gt;""),COUNTIFS($D$2:$D1127,$D1127,$B$2:$B1127,"SBA 26/*",$F$2:$F1127,"&lt;&gt;"),"")</f>
        <v/>
      </c>
      <c r="Z1127" s="29" t="str">
        <f>IF(Y1127=1,COUNTIF($Y$2:Y1127,1),"")</f>
        <v/>
      </c>
      <c r="AA1127" s="29" t="str">
        <f>IF(AND(LEFT($B1127,7)="SBA 26/",$C1127&lt;&gt;"",$F1127&lt;&gt;""),COUNTIFS($C$2:$C1127,$C1127,$B$2:$B1127,"SBA 26/*",$F$2:$F1127,"&lt;&gt;"),"")</f>
        <v/>
      </c>
      <c r="AB1127" s="29" t="str">
        <f>IF(AA1127=1,COUNTIF($AA$2:AA1127,1),"")</f>
        <v/>
      </c>
    </row>
    <row r="1128" spans="6:28" ht="31.5" customHeight="1" x14ac:dyDescent="0.2">
      <c r="F1128" s="45" t="s">
        <v>3805</v>
      </c>
      <c r="T1128" s="41"/>
      <c r="U1128" s="29" t="str">
        <f>IF($C1128&lt;&gt;"",COUNTIF($C$2:C1128,C1128),"")</f>
        <v/>
      </c>
      <c r="V1128" s="29" t="str">
        <f t="shared" si="66"/>
        <v/>
      </c>
      <c r="W1128" s="29" t="str">
        <f>IF(U1128=1,COUNTIF($U$2:U1128,1),"")</f>
        <v/>
      </c>
      <c r="X1128" s="29" t="str">
        <f t="shared" si="65"/>
        <v/>
      </c>
      <c r="Y1128" s="29" t="str">
        <f>IF(AND(LEFT($B1128,7)="SBA 26/",$D1128&lt;&gt;"",$F1128&lt;&gt;""),COUNTIFS($D$2:$D1128,$D1128,$B$2:$B1128,"SBA 26/*",$F$2:$F1128,"&lt;&gt;"),"")</f>
        <v/>
      </c>
      <c r="Z1128" s="29" t="str">
        <f>IF(Y1128=1,COUNTIF($Y$2:Y1128,1),"")</f>
        <v/>
      </c>
      <c r="AA1128" s="29" t="str">
        <f>IF(AND(LEFT($B1128,7)="SBA 26/",$C1128&lt;&gt;"",$F1128&lt;&gt;""),COUNTIFS($C$2:$C1128,$C1128,$B$2:$B1128,"SBA 26/*",$F$2:$F1128,"&lt;&gt;"),"")</f>
        <v/>
      </c>
      <c r="AB1128" s="29" t="str">
        <f>IF(AA1128=1,COUNTIF($AA$2:AA1128,1),"")</f>
        <v/>
      </c>
    </row>
    <row r="1129" spans="6:28" ht="31.5" customHeight="1" x14ac:dyDescent="0.2">
      <c r="F1129" s="45" t="s">
        <v>3806</v>
      </c>
      <c r="T1129" s="41"/>
      <c r="U1129" s="29" t="str">
        <f>IF($C1129&lt;&gt;"",COUNTIF($C$2:C1129,C1129),"")</f>
        <v/>
      </c>
      <c r="V1129" s="29" t="str">
        <f t="shared" si="66"/>
        <v/>
      </c>
      <c r="W1129" s="29" t="str">
        <f>IF(U1129=1,COUNTIF($U$2:U1129,1),"")</f>
        <v/>
      </c>
      <c r="X1129" s="29" t="str">
        <f t="shared" si="65"/>
        <v/>
      </c>
      <c r="Y1129" s="29" t="str">
        <f>IF(AND(LEFT($B1129,7)="SBA 26/",$D1129&lt;&gt;"",$F1129&lt;&gt;""),COUNTIFS($D$2:$D1129,$D1129,$B$2:$B1129,"SBA 26/*",$F$2:$F1129,"&lt;&gt;"),"")</f>
        <v/>
      </c>
      <c r="Z1129" s="29" t="str">
        <f>IF(Y1129=1,COUNTIF($Y$2:Y1129,1),"")</f>
        <v/>
      </c>
      <c r="AA1129" s="29" t="str">
        <f>IF(AND(LEFT($B1129,7)="SBA 26/",$C1129&lt;&gt;"",$F1129&lt;&gt;""),COUNTIFS($C$2:$C1129,$C1129,$B$2:$B1129,"SBA 26/*",$F$2:$F1129,"&lt;&gt;"),"")</f>
        <v/>
      </c>
      <c r="AB1129" s="29" t="str">
        <f>IF(AA1129=1,COUNTIF($AA$2:AA1129,1),"")</f>
        <v/>
      </c>
    </row>
    <row r="1130" spans="6:28" ht="63" customHeight="1" x14ac:dyDescent="0.2">
      <c r="F1130" s="45" t="s">
        <v>3807</v>
      </c>
      <c r="T1130" s="41"/>
      <c r="U1130" s="29" t="str">
        <f>IF($C1130&lt;&gt;"",COUNTIF($C$2:C1130,C1130),"")</f>
        <v/>
      </c>
      <c r="V1130" s="29" t="str">
        <f t="shared" si="66"/>
        <v/>
      </c>
      <c r="W1130" s="29" t="str">
        <f>IF(U1130=1,COUNTIF($U$2:U1130,1),"")</f>
        <v/>
      </c>
      <c r="X1130" s="29" t="str">
        <f t="shared" si="65"/>
        <v/>
      </c>
      <c r="Y1130" s="29" t="str">
        <f>IF(AND(LEFT($B1130,7)="SBA 26/",$D1130&lt;&gt;"",$F1130&lt;&gt;""),COUNTIFS($D$2:$D1130,$D1130,$B$2:$B1130,"SBA 26/*",$F$2:$F1130,"&lt;&gt;"),"")</f>
        <v/>
      </c>
      <c r="Z1130" s="29" t="str">
        <f>IF(Y1130=1,COUNTIF($Y$2:Y1130,1),"")</f>
        <v/>
      </c>
      <c r="AA1130" s="29" t="str">
        <f>IF(AND(LEFT($B1130,7)="SBA 26/",$C1130&lt;&gt;"",$F1130&lt;&gt;""),COUNTIFS($C$2:$C1130,$C1130,$B$2:$B1130,"SBA 26/*",$F$2:$F1130,"&lt;&gt;"),"")</f>
        <v/>
      </c>
      <c r="AB1130" s="29" t="str">
        <f>IF(AA1130=1,COUNTIF($AA$2:AA1130,1),"")</f>
        <v/>
      </c>
    </row>
    <row r="1131" spans="6:28" ht="47.25" customHeight="1" x14ac:dyDescent="0.2">
      <c r="F1131" s="45" t="s">
        <v>3808</v>
      </c>
      <c r="T1131" s="41"/>
      <c r="U1131" s="29" t="str">
        <f>IF($C1131&lt;&gt;"",COUNTIF($C$2:C1131,C1131),"")</f>
        <v/>
      </c>
      <c r="V1131" s="29" t="str">
        <f t="shared" si="66"/>
        <v/>
      </c>
      <c r="W1131" s="29" t="str">
        <f>IF(U1131=1,COUNTIF($U$2:U1131,1),"")</f>
        <v/>
      </c>
      <c r="X1131" s="29" t="str">
        <f t="shared" si="65"/>
        <v/>
      </c>
      <c r="Y1131" s="29" t="str">
        <f>IF(AND(LEFT($B1131,7)="SBA 26/",$D1131&lt;&gt;"",$F1131&lt;&gt;""),COUNTIFS($D$2:$D1131,$D1131,$B$2:$B1131,"SBA 26/*",$F$2:$F1131,"&lt;&gt;"),"")</f>
        <v/>
      </c>
      <c r="Z1131" s="29" t="str">
        <f>IF(Y1131=1,COUNTIF($Y$2:Y1131,1),"")</f>
        <v/>
      </c>
      <c r="AA1131" s="29" t="str">
        <f>IF(AND(LEFT($B1131,7)="SBA 26/",$C1131&lt;&gt;"",$F1131&lt;&gt;""),COUNTIFS($C$2:$C1131,$C1131,$B$2:$B1131,"SBA 26/*",$F$2:$F1131,"&lt;&gt;"),"")</f>
        <v/>
      </c>
      <c r="AB1131" s="29" t="str">
        <f>IF(AA1131=1,COUNTIF($AA$2:AA1131,1),"")</f>
        <v/>
      </c>
    </row>
    <row r="1132" spans="6:28" ht="47.25" customHeight="1" x14ac:dyDescent="0.2">
      <c r="F1132" s="45" t="s">
        <v>3809</v>
      </c>
      <c r="T1132" s="41"/>
      <c r="U1132" s="29" t="str">
        <f>IF($C1132&lt;&gt;"",COUNTIF($C$2:C1132,C1132),"")</f>
        <v/>
      </c>
      <c r="V1132" s="29" t="str">
        <f t="shared" si="66"/>
        <v/>
      </c>
      <c r="W1132" s="29" t="str">
        <f>IF(U1132=1,COUNTIF($U$2:U1132,1),"")</f>
        <v/>
      </c>
      <c r="X1132" s="29" t="str">
        <f t="shared" si="65"/>
        <v/>
      </c>
      <c r="Y1132" s="29" t="str">
        <f>IF(AND(LEFT($B1132,7)="SBA 26/",$D1132&lt;&gt;"",$F1132&lt;&gt;""),COUNTIFS($D$2:$D1132,$D1132,$B$2:$B1132,"SBA 26/*",$F$2:$F1132,"&lt;&gt;"),"")</f>
        <v/>
      </c>
      <c r="Z1132" s="29" t="str">
        <f>IF(Y1132=1,COUNTIF($Y$2:Y1132,1),"")</f>
        <v/>
      </c>
      <c r="AA1132" s="29" t="str">
        <f>IF(AND(LEFT($B1132,7)="SBA 26/",$C1132&lt;&gt;"",$F1132&lt;&gt;""),COUNTIFS($C$2:$C1132,$C1132,$B$2:$B1132,"SBA 26/*",$F$2:$F1132,"&lt;&gt;"),"")</f>
        <v/>
      </c>
      <c r="AB1132" s="29" t="str">
        <f>IF(AA1132=1,COUNTIF($AA$2:AA1132,1),"")</f>
        <v/>
      </c>
    </row>
    <row r="1133" spans="6:28" ht="31.5" customHeight="1" x14ac:dyDescent="0.2">
      <c r="F1133" s="45" t="s">
        <v>3810</v>
      </c>
      <c r="T1133" s="41"/>
      <c r="U1133" s="29" t="str">
        <f>IF($C1133&lt;&gt;"",COUNTIF($C$2:C1133,C1133),"")</f>
        <v/>
      </c>
      <c r="V1133" s="29" t="str">
        <f t="shared" si="66"/>
        <v/>
      </c>
      <c r="W1133" s="29" t="str">
        <f>IF(U1133=1,COUNTIF($U$2:U1133,1),"")</f>
        <v/>
      </c>
      <c r="X1133" s="29" t="str">
        <f t="shared" ref="X1133:X1196" si="67">IF(U1133=1,SUMPRODUCT(($U$2:$U$1833=1)*($C$2:$C$1833&lt;C1133))+1,"")</f>
        <v/>
      </c>
      <c r="Y1133" s="29" t="str">
        <f>IF(AND(LEFT($B1133,7)="SBA 26/",$D1133&lt;&gt;"",$F1133&lt;&gt;""),COUNTIFS($D$2:$D1133,$D1133,$B$2:$B1133,"SBA 26/*",$F$2:$F1133,"&lt;&gt;"),"")</f>
        <v/>
      </c>
      <c r="Z1133" s="29" t="str">
        <f>IF(Y1133=1,COUNTIF($Y$2:Y1133,1),"")</f>
        <v/>
      </c>
      <c r="AA1133" s="29" t="str">
        <f>IF(AND(LEFT($B1133,7)="SBA 26/",$C1133&lt;&gt;"",$F1133&lt;&gt;""),COUNTIFS($C$2:$C1133,$C1133,$B$2:$B1133,"SBA 26/*",$F$2:$F1133,"&lt;&gt;"),"")</f>
        <v/>
      </c>
      <c r="AB1133" s="29" t="str">
        <f>IF(AA1133=1,COUNTIF($AA$2:AA1133,1),"")</f>
        <v/>
      </c>
    </row>
    <row r="1134" spans="6:28" ht="31.5" customHeight="1" x14ac:dyDescent="0.2">
      <c r="F1134" s="45" t="s">
        <v>3811</v>
      </c>
      <c r="T1134" s="41"/>
      <c r="U1134" s="29" t="str">
        <f>IF($C1134&lt;&gt;"",COUNTIF($C$2:C1134,C1134),"")</f>
        <v/>
      </c>
      <c r="V1134" s="29" t="str">
        <f t="shared" si="66"/>
        <v/>
      </c>
      <c r="W1134" s="29" t="str">
        <f>IF(U1134=1,COUNTIF($U$2:U1134,1),"")</f>
        <v/>
      </c>
      <c r="X1134" s="29" t="str">
        <f t="shared" si="67"/>
        <v/>
      </c>
      <c r="Y1134" s="29" t="str">
        <f>IF(AND(LEFT($B1134,7)="SBA 26/",$D1134&lt;&gt;"",$F1134&lt;&gt;""),COUNTIFS($D$2:$D1134,$D1134,$B$2:$B1134,"SBA 26/*",$F$2:$F1134,"&lt;&gt;"),"")</f>
        <v/>
      </c>
      <c r="Z1134" s="29" t="str">
        <f>IF(Y1134=1,COUNTIF($Y$2:Y1134,1),"")</f>
        <v/>
      </c>
      <c r="AA1134" s="29" t="str">
        <f>IF(AND(LEFT($B1134,7)="SBA 26/",$C1134&lt;&gt;"",$F1134&lt;&gt;""),COUNTIFS($C$2:$C1134,$C1134,$B$2:$B1134,"SBA 26/*",$F$2:$F1134,"&lt;&gt;"),"")</f>
        <v/>
      </c>
      <c r="AB1134" s="29" t="str">
        <f>IF(AA1134=1,COUNTIF($AA$2:AA1134,1),"")</f>
        <v/>
      </c>
    </row>
    <row r="1135" spans="6:28" ht="31.5" customHeight="1" x14ac:dyDescent="0.2">
      <c r="F1135" s="45" t="s">
        <v>3812</v>
      </c>
      <c r="T1135" s="41"/>
      <c r="U1135" s="29" t="str">
        <f>IF($C1135&lt;&gt;"",COUNTIF($C$2:C1135,C1135),"")</f>
        <v/>
      </c>
      <c r="V1135" s="29" t="str">
        <f t="shared" si="66"/>
        <v/>
      </c>
      <c r="W1135" s="29" t="str">
        <f>IF(U1135=1,COUNTIF($U$2:U1135,1),"")</f>
        <v/>
      </c>
      <c r="X1135" s="29" t="str">
        <f t="shared" si="67"/>
        <v/>
      </c>
      <c r="Y1135" s="29" t="str">
        <f>IF(AND(LEFT($B1135,7)="SBA 26/",$D1135&lt;&gt;"",$F1135&lt;&gt;""),COUNTIFS($D$2:$D1135,$D1135,$B$2:$B1135,"SBA 26/*",$F$2:$F1135,"&lt;&gt;"),"")</f>
        <v/>
      </c>
      <c r="Z1135" s="29" t="str">
        <f>IF(Y1135=1,COUNTIF($Y$2:Y1135,1),"")</f>
        <v/>
      </c>
      <c r="AA1135" s="29" t="str">
        <f>IF(AND(LEFT($B1135,7)="SBA 26/",$C1135&lt;&gt;"",$F1135&lt;&gt;""),COUNTIFS($C$2:$C1135,$C1135,$B$2:$B1135,"SBA 26/*",$F$2:$F1135,"&lt;&gt;"),"")</f>
        <v/>
      </c>
      <c r="AB1135" s="29" t="str">
        <f>IF(AA1135=1,COUNTIF($AA$2:AA1135,1),"")</f>
        <v/>
      </c>
    </row>
    <row r="1136" spans="6:28" ht="47.25" customHeight="1" x14ac:dyDescent="0.2">
      <c r="F1136" s="45" t="s">
        <v>3813</v>
      </c>
      <c r="T1136" s="41"/>
      <c r="U1136" s="29" t="str">
        <f>IF($C1136&lt;&gt;"",COUNTIF($C$2:C1136,C1136),"")</f>
        <v/>
      </c>
      <c r="V1136" s="29" t="str">
        <f t="shared" si="66"/>
        <v/>
      </c>
      <c r="W1136" s="29" t="str">
        <f>IF(U1136=1,COUNTIF($U$2:U1136,1),"")</f>
        <v/>
      </c>
      <c r="X1136" s="29" t="str">
        <f t="shared" si="67"/>
        <v/>
      </c>
      <c r="Y1136" s="29" t="str">
        <f>IF(AND(LEFT($B1136,7)="SBA 26/",$D1136&lt;&gt;"",$F1136&lt;&gt;""),COUNTIFS($D$2:$D1136,$D1136,$B$2:$B1136,"SBA 26/*",$F$2:$F1136,"&lt;&gt;"),"")</f>
        <v/>
      </c>
      <c r="Z1136" s="29" t="str">
        <f>IF(Y1136=1,COUNTIF($Y$2:Y1136,1),"")</f>
        <v/>
      </c>
      <c r="AA1136" s="29" t="str">
        <f>IF(AND(LEFT($B1136,7)="SBA 26/",$C1136&lt;&gt;"",$F1136&lt;&gt;""),COUNTIFS($C$2:$C1136,$C1136,$B$2:$B1136,"SBA 26/*",$F$2:$F1136,"&lt;&gt;"),"")</f>
        <v/>
      </c>
      <c r="AB1136" s="29" t="str">
        <f>IF(AA1136=1,COUNTIF($AA$2:AA1136,1),"")</f>
        <v/>
      </c>
    </row>
    <row r="1137" spans="6:28" ht="47.25" customHeight="1" x14ac:dyDescent="0.2">
      <c r="F1137" s="45" t="s">
        <v>3814</v>
      </c>
      <c r="T1137" s="41"/>
      <c r="U1137" s="29" t="str">
        <f>IF($C1137&lt;&gt;"",COUNTIF($C$2:C1137,C1137),"")</f>
        <v/>
      </c>
      <c r="V1137" s="29" t="str">
        <f t="shared" si="66"/>
        <v/>
      </c>
      <c r="W1137" s="29" t="str">
        <f>IF(U1137=1,COUNTIF($U$2:U1137,1),"")</f>
        <v/>
      </c>
      <c r="X1137" s="29" t="str">
        <f t="shared" si="67"/>
        <v/>
      </c>
      <c r="Y1137" s="29" t="str">
        <f>IF(AND(LEFT($B1137,7)="SBA 26/",$D1137&lt;&gt;"",$F1137&lt;&gt;""),COUNTIFS($D$2:$D1137,$D1137,$B$2:$B1137,"SBA 26/*",$F$2:$F1137,"&lt;&gt;"),"")</f>
        <v/>
      </c>
      <c r="Z1137" s="29" t="str">
        <f>IF(Y1137=1,COUNTIF($Y$2:Y1137,1),"")</f>
        <v/>
      </c>
      <c r="AA1137" s="29" t="str">
        <f>IF(AND(LEFT($B1137,7)="SBA 26/",$C1137&lt;&gt;"",$F1137&lt;&gt;""),COUNTIFS($C$2:$C1137,$C1137,$B$2:$B1137,"SBA 26/*",$F$2:$F1137,"&lt;&gt;"),"")</f>
        <v/>
      </c>
      <c r="AB1137" s="29" t="str">
        <f>IF(AA1137=1,COUNTIF($AA$2:AA1137,1),"")</f>
        <v/>
      </c>
    </row>
    <row r="1138" spans="6:28" ht="31.5" customHeight="1" x14ac:dyDescent="0.2">
      <c r="F1138" s="45" t="s">
        <v>3815</v>
      </c>
      <c r="T1138" s="41"/>
      <c r="U1138" s="29" t="str">
        <f>IF($C1138&lt;&gt;"",COUNTIF($C$2:C1138,C1138),"")</f>
        <v/>
      </c>
      <c r="V1138" s="29" t="str">
        <f t="shared" si="66"/>
        <v/>
      </c>
      <c r="W1138" s="29" t="str">
        <f>IF(U1138=1,COUNTIF($U$2:U1138,1),"")</f>
        <v/>
      </c>
      <c r="X1138" s="29" t="str">
        <f t="shared" si="67"/>
        <v/>
      </c>
      <c r="Y1138" s="29" t="str">
        <f>IF(AND(LEFT($B1138,7)="SBA 26/",$D1138&lt;&gt;"",$F1138&lt;&gt;""),COUNTIFS($D$2:$D1138,$D1138,$B$2:$B1138,"SBA 26/*",$F$2:$F1138,"&lt;&gt;"),"")</f>
        <v/>
      </c>
      <c r="Z1138" s="29" t="str">
        <f>IF(Y1138=1,COUNTIF($Y$2:Y1138,1),"")</f>
        <v/>
      </c>
      <c r="AA1138" s="29" t="str">
        <f>IF(AND(LEFT($B1138,7)="SBA 26/",$C1138&lt;&gt;"",$F1138&lt;&gt;""),COUNTIFS($C$2:$C1138,$C1138,$B$2:$B1138,"SBA 26/*",$F$2:$F1138,"&lt;&gt;"),"")</f>
        <v/>
      </c>
      <c r="AB1138" s="29" t="str">
        <f>IF(AA1138=1,COUNTIF($AA$2:AA1138,1),"")</f>
        <v/>
      </c>
    </row>
    <row r="1139" spans="6:28" ht="47.25" customHeight="1" x14ac:dyDescent="0.2">
      <c r="F1139" s="45" t="s">
        <v>3816</v>
      </c>
      <c r="T1139" s="41"/>
      <c r="U1139" s="29" t="str">
        <f>IF($C1139&lt;&gt;"",COUNTIF($C$2:C1139,C1139),"")</f>
        <v/>
      </c>
      <c r="V1139" s="29" t="str">
        <f t="shared" si="66"/>
        <v/>
      </c>
      <c r="W1139" s="29" t="str">
        <f>IF(U1139=1,COUNTIF($U$2:U1139,1),"")</f>
        <v/>
      </c>
      <c r="X1139" s="29" t="str">
        <f t="shared" si="67"/>
        <v/>
      </c>
      <c r="Y1139" s="29" t="str">
        <f>IF(AND(LEFT($B1139,7)="SBA 26/",$D1139&lt;&gt;"",$F1139&lt;&gt;""),COUNTIFS($D$2:$D1139,$D1139,$B$2:$B1139,"SBA 26/*",$F$2:$F1139,"&lt;&gt;"),"")</f>
        <v/>
      </c>
      <c r="Z1139" s="29" t="str">
        <f>IF(Y1139=1,COUNTIF($Y$2:Y1139,1),"")</f>
        <v/>
      </c>
      <c r="AA1139" s="29" t="str">
        <f>IF(AND(LEFT($B1139,7)="SBA 26/",$C1139&lt;&gt;"",$F1139&lt;&gt;""),COUNTIFS($C$2:$C1139,$C1139,$B$2:$B1139,"SBA 26/*",$F$2:$F1139,"&lt;&gt;"),"")</f>
        <v/>
      </c>
      <c r="AB1139" s="29" t="str">
        <f>IF(AA1139=1,COUNTIF($AA$2:AA1139,1),"")</f>
        <v/>
      </c>
    </row>
    <row r="1140" spans="6:28" ht="31.5" customHeight="1" x14ac:dyDescent="0.2">
      <c r="F1140" s="45" t="s">
        <v>3817</v>
      </c>
      <c r="T1140" s="41"/>
      <c r="U1140" s="29" t="str">
        <f>IF($C1140&lt;&gt;"",COUNTIF($C$2:C1140,C1140),"")</f>
        <v/>
      </c>
      <c r="V1140" s="29" t="str">
        <f t="shared" si="66"/>
        <v/>
      </c>
      <c r="W1140" s="29" t="str">
        <f>IF(U1140=1,COUNTIF($U$2:U1140,1),"")</f>
        <v/>
      </c>
      <c r="X1140" s="29" t="str">
        <f t="shared" si="67"/>
        <v/>
      </c>
      <c r="Y1140" s="29" t="str">
        <f>IF(AND(LEFT($B1140,7)="SBA 26/",$D1140&lt;&gt;"",$F1140&lt;&gt;""),COUNTIFS($D$2:$D1140,$D1140,$B$2:$B1140,"SBA 26/*",$F$2:$F1140,"&lt;&gt;"),"")</f>
        <v/>
      </c>
      <c r="Z1140" s="29" t="str">
        <f>IF(Y1140=1,COUNTIF($Y$2:Y1140,1),"")</f>
        <v/>
      </c>
      <c r="AA1140" s="29" t="str">
        <f>IF(AND(LEFT($B1140,7)="SBA 26/",$C1140&lt;&gt;"",$F1140&lt;&gt;""),COUNTIFS($C$2:$C1140,$C1140,$B$2:$B1140,"SBA 26/*",$F$2:$F1140,"&lt;&gt;"),"")</f>
        <v/>
      </c>
      <c r="AB1140" s="29" t="str">
        <f>IF(AA1140=1,COUNTIF($AA$2:AA1140,1),"")</f>
        <v/>
      </c>
    </row>
    <row r="1141" spans="6:28" ht="47.25" customHeight="1" x14ac:dyDescent="0.2">
      <c r="F1141" s="45" t="s">
        <v>3818</v>
      </c>
      <c r="T1141" s="41"/>
      <c r="U1141" s="29" t="str">
        <f>IF($C1141&lt;&gt;"",COUNTIF($C$2:C1141,C1141),"")</f>
        <v/>
      </c>
      <c r="V1141" s="29" t="str">
        <f t="shared" si="66"/>
        <v/>
      </c>
      <c r="W1141" s="29" t="str">
        <f>IF(U1141=1,COUNTIF($U$2:U1141,1),"")</f>
        <v/>
      </c>
      <c r="X1141" s="29" t="str">
        <f t="shared" si="67"/>
        <v/>
      </c>
      <c r="Y1141" s="29" t="str">
        <f>IF(AND(LEFT($B1141,7)="SBA 26/",$D1141&lt;&gt;"",$F1141&lt;&gt;""),COUNTIFS($D$2:$D1141,$D1141,$B$2:$B1141,"SBA 26/*",$F$2:$F1141,"&lt;&gt;"),"")</f>
        <v/>
      </c>
      <c r="Z1141" s="29" t="str">
        <f>IF(Y1141=1,COUNTIF($Y$2:Y1141,1),"")</f>
        <v/>
      </c>
      <c r="AA1141" s="29" t="str">
        <f>IF(AND(LEFT($B1141,7)="SBA 26/",$C1141&lt;&gt;"",$F1141&lt;&gt;""),COUNTIFS($C$2:$C1141,$C1141,$B$2:$B1141,"SBA 26/*",$F$2:$F1141,"&lt;&gt;"),"")</f>
        <v/>
      </c>
      <c r="AB1141" s="29" t="str">
        <f>IF(AA1141=1,COUNTIF($AA$2:AA1141,1),"")</f>
        <v/>
      </c>
    </row>
    <row r="1142" spans="6:28" ht="31.5" customHeight="1" x14ac:dyDescent="0.2">
      <c r="F1142" s="45" t="s">
        <v>3819</v>
      </c>
      <c r="T1142" s="41"/>
      <c r="U1142" s="29" t="str">
        <f>IF($C1142&lt;&gt;"",COUNTIF($C$2:C1142,C1142),"")</f>
        <v/>
      </c>
      <c r="V1142" s="29" t="str">
        <f t="shared" si="66"/>
        <v/>
      </c>
      <c r="W1142" s="29" t="str">
        <f>IF(U1142=1,COUNTIF($U$2:U1142,1),"")</f>
        <v/>
      </c>
      <c r="X1142" s="29" t="str">
        <f t="shared" si="67"/>
        <v/>
      </c>
      <c r="Y1142" s="29" t="str">
        <f>IF(AND(LEFT($B1142,7)="SBA 26/",$D1142&lt;&gt;"",$F1142&lt;&gt;""),COUNTIFS($D$2:$D1142,$D1142,$B$2:$B1142,"SBA 26/*",$F$2:$F1142,"&lt;&gt;"),"")</f>
        <v/>
      </c>
      <c r="Z1142" s="29" t="str">
        <f>IF(Y1142=1,COUNTIF($Y$2:Y1142,1),"")</f>
        <v/>
      </c>
      <c r="AA1142" s="29" t="str">
        <f>IF(AND(LEFT($B1142,7)="SBA 26/",$C1142&lt;&gt;"",$F1142&lt;&gt;""),COUNTIFS($C$2:$C1142,$C1142,$B$2:$B1142,"SBA 26/*",$F$2:$F1142,"&lt;&gt;"),"")</f>
        <v/>
      </c>
      <c r="AB1142" s="29" t="str">
        <f>IF(AA1142=1,COUNTIF($AA$2:AA1142,1),"")</f>
        <v/>
      </c>
    </row>
    <row r="1143" spans="6:28" ht="63" customHeight="1" x14ac:dyDescent="0.2">
      <c r="F1143" s="45" t="s">
        <v>3820</v>
      </c>
      <c r="T1143" s="41"/>
      <c r="U1143" s="29" t="str">
        <f>IF($C1143&lt;&gt;"",COUNTIF($C$2:C1143,C1143),"")</f>
        <v/>
      </c>
      <c r="V1143" s="29" t="str">
        <f t="shared" si="66"/>
        <v/>
      </c>
      <c r="W1143" s="29" t="str">
        <f>IF(U1143=1,COUNTIF($U$2:U1143,1),"")</f>
        <v/>
      </c>
      <c r="X1143" s="29" t="str">
        <f t="shared" si="67"/>
        <v/>
      </c>
      <c r="Y1143" s="29" t="str">
        <f>IF(AND(LEFT($B1143,7)="SBA 26/",$D1143&lt;&gt;"",$F1143&lt;&gt;""),COUNTIFS($D$2:$D1143,$D1143,$B$2:$B1143,"SBA 26/*",$F$2:$F1143,"&lt;&gt;"),"")</f>
        <v/>
      </c>
      <c r="Z1143" s="29" t="str">
        <f>IF(Y1143=1,COUNTIF($Y$2:Y1143,1),"")</f>
        <v/>
      </c>
      <c r="AA1143" s="29" t="str">
        <f>IF(AND(LEFT($B1143,7)="SBA 26/",$C1143&lt;&gt;"",$F1143&lt;&gt;""),COUNTIFS($C$2:$C1143,$C1143,$B$2:$B1143,"SBA 26/*",$F$2:$F1143,"&lt;&gt;"),"")</f>
        <v/>
      </c>
      <c r="AB1143" s="29" t="str">
        <f>IF(AA1143=1,COUNTIF($AA$2:AA1143,1),"")</f>
        <v/>
      </c>
    </row>
    <row r="1144" spans="6:28" ht="47.25" customHeight="1" x14ac:dyDescent="0.2">
      <c r="F1144" s="45" t="s">
        <v>3821</v>
      </c>
      <c r="T1144" s="41"/>
      <c r="U1144" s="29" t="str">
        <f>IF($C1144&lt;&gt;"",COUNTIF($C$2:C1144,C1144),"")</f>
        <v/>
      </c>
      <c r="V1144" s="29" t="str">
        <f t="shared" si="66"/>
        <v/>
      </c>
      <c r="W1144" s="29" t="str">
        <f>IF(U1144=1,COUNTIF($U$2:U1144,1),"")</f>
        <v/>
      </c>
      <c r="X1144" s="29" t="str">
        <f t="shared" si="67"/>
        <v/>
      </c>
      <c r="Y1144" s="29" t="str">
        <f>IF(AND(LEFT($B1144,7)="SBA 26/",$D1144&lt;&gt;"",$F1144&lt;&gt;""),COUNTIFS($D$2:$D1144,$D1144,$B$2:$B1144,"SBA 26/*",$F$2:$F1144,"&lt;&gt;"),"")</f>
        <v/>
      </c>
      <c r="Z1144" s="29" t="str">
        <f>IF(Y1144=1,COUNTIF($Y$2:Y1144,1),"")</f>
        <v/>
      </c>
      <c r="AA1144" s="29" t="str">
        <f>IF(AND(LEFT($B1144,7)="SBA 26/",$C1144&lt;&gt;"",$F1144&lt;&gt;""),COUNTIFS($C$2:$C1144,$C1144,$B$2:$B1144,"SBA 26/*",$F$2:$F1144,"&lt;&gt;"),"")</f>
        <v/>
      </c>
      <c r="AB1144" s="29" t="str">
        <f>IF(AA1144=1,COUNTIF($AA$2:AA1144,1),"")</f>
        <v/>
      </c>
    </row>
    <row r="1145" spans="6:28" ht="47.25" customHeight="1" x14ac:dyDescent="0.2">
      <c r="F1145" s="45" t="s">
        <v>3822</v>
      </c>
      <c r="T1145" s="41"/>
      <c r="U1145" s="29" t="str">
        <f>IF($C1145&lt;&gt;"",COUNTIF($C$2:C1145,C1145),"")</f>
        <v/>
      </c>
      <c r="V1145" s="29" t="str">
        <f t="shared" si="66"/>
        <v/>
      </c>
      <c r="W1145" s="29" t="str">
        <f>IF(U1145=1,COUNTIF($U$2:U1145,1),"")</f>
        <v/>
      </c>
      <c r="X1145" s="29" t="str">
        <f t="shared" si="67"/>
        <v/>
      </c>
      <c r="Y1145" s="29" t="str">
        <f>IF(AND(LEFT($B1145,7)="SBA 26/",$D1145&lt;&gt;"",$F1145&lt;&gt;""),COUNTIFS($D$2:$D1145,$D1145,$B$2:$B1145,"SBA 26/*",$F$2:$F1145,"&lt;&gt;"),"")</f>
        <v/>
      </c>
      <c r="Z1145" s="29" t="str">
        <f>IF(Y1145=1,COUNTIF($Y$2:Y1145,1),"")</f>
        <v/>
      </c>
      <c r="AA1145" s="29" t="str">
        <f>IF(AND(LEFT($B1145,7)="SBA 26/",$C1145&lt;&gt;"",$F1145&lt;&gt;""),COUNTIFS($C$2:$C1145,$C1145,$B$2:$B1145,"SBA 26/*",$F$2:$F1145,"&lt;&gt;"),"")</f>
        <v/>
      </c>
      <c r="AB1145" s="29" t="str">
        <f>IF(AA1145=1,COUNTIF($AA$2:AA1145,1),"")</f>
        <v/>
      </c>
    </row>
    <row r="1146" spans="6:28" ht="31.5" customHeight="1" x14ac:dyDescent="0.2">
      <c r="F1146" s="45" t="s">
        <v>3823</v>
      </c>
      <c r="T1146" s="41"/>
      <c r="U1146" s="29" t="str">
        <f>IF($C1146&lt;&gt;"",COUNTIF($C$2:C1146,C1146),"")</f>
        <v/>
      </c>
      <c r="V1146" s="29" t="str">
        <f t="shared" si="66"/>
        <v/>
      </c>
      <c r="W1146" s="29" t="str">
        <f>IF(U1146=1,COUNTIF($U$2:U1146,1),"")</f>
        <v/>
      </c>
      <c r="X1146" s="29" t="str">
        <f t="shared" si="67"/>
        <v/>
      </c>
      <c r="Y1146" s="29" t="str">
        <f>IF(AND(LEFT($B1146,7)="SBA 26/",$D1146&lt;&gt;"",$F1146&lt;&gt;""),COUNTIFS($D$2:$D1146,$D1146,$B$2:$B1146,"SBA 26/*",$F$2:$F1146,"&lt;&gt;"),"")</f>
        <v/>
      </c>
      <c r="Z1146" s="29" t="str">
        <f>IF(Y1146=1,COUNTIF($Y$2:Y1146,1),"")</f>
        <v/>
      </c>
      <c r="AA1146" s="29" t="str">
        <f>IF(AND(LEFT($B1146,7)="SBA 26/",$C1146&lt;&gt;"",$F1146&lt;&gt;""),COUNTIFS($C$2:$C1146,$C1146,$B$2:$B1146,"SBA 26/*",$F$2:$F1146,"&lt;&gt;"),"")</f>
        <v/>
      </c>
      <c r="AB1146" s="29" t="str">
        <f>IF(AA1146=1,COUNTIF($AA$2:AA1146,1),"")</f>
        <v/>
      </c>
    </row>
    <row r="1147" spans="6:28" ht="47.25" customHeight="1" x14ac:dyDescent="0.2">
      <c r="F1147" s="45" t="s">
        <v>3824</v>
      </c>
      <c r="T1147" s="41"/>
      <c r="U1147" s="29" t="str">
        <f>IF($C1147&lt;&gt;"",COUNTIF($C$2:C1147,C1147),"")</f>
        <v/>
      </c>
      <c r="V1147" s="29" t="str">
        <f t="shared" si="66"/>
        <v/>
      </c>
      <c r="W1147" s="29" t="str">
        <f>IF(U1147=1,COUNTIF($U$2:U1147,1),"")</f>
        <v/>
      </c>
      <c r="X1147" s="29" t="str">
        <f t="shared" si="67"/>
        <v/>
      </c>
      <c r="Y1147" s="29" t="str">
        <f>IF(AND(LEFT($B1147,7)="SBA 26/",$D1147&lt;&gt;"",$F1147&lt;&gt;""),COUNTIFS($D$2:$D1147,$D1147,$B$2:$B1147,"SBA 26/*",$F$2:$F1147,"&lt;&gt;"),"")</f>
        <v/>
      </c>
      <c r="Z1147" s="29" t="str">
        <f>IF(Y1147=1,COUNTIF($Y$2:Y1147,1),"")</f>
        <v/>
      </c>
      <c r="AA1147" s="29" t="str">
        <f>IF(AND(LEFT($B1147,7)="SBA 26/",$C1147&lt;&gt;"",$F1147&lt;&gt;""),COUNTIFS($C$2:$C1147,$C1147,$B$2:$B1147,"SBA 26/*",$F$2:$F1147,"&lt;&gt;"),"")</f>
        <v/>
      </c>
      <c r="AB1147" s="29" t="str">
        <f>IF(AA1147=1,COUNTIF($AA$2:AA1147,1),"")</f>
        <v/>
      </c>
    </row>
    <row r="1148" spans="6:28" ht="31.5" customHeight="1" x14ac:dyDescent="0.2">
      <c r="F1148" s="45" t="s">
        <v>3825</v>
      </c>
      <c r="T1148" s="41"/>
      <c r="U1148" s="29" t="str">
        <f>IF($C1148&lt;&gt;"",COUNTIF($C$2:C1148,C1148),"")</f>
        <v/>
      </c>
      <c r="V1148" s="29" t="str">
        <f t="shared" si="66"/>
        <v/>
      </c>
      <c r="W1148" s="29" t="str">
        <f>IF(U1148=1,COUNTIF($U$2:U1148,1),"")</f>
        <v/>
      </c>
      <c r="X1148" s="29" t="str">
        <f t="shared" si="67"/>
        <v/>
      </c>
      <c r="Y1148" s="29" t="str">
        <f>IF(AND(LEFT($B1148,7)="SBA 26/",$D1148&lt;&gt;"",$F1148&lt;&gt;""),COUNTIFS($D$2:$D1148,$D1148,$B$2:$B1148,"SBA 26/*",$F$2:$F1148,"&lt;&gt;"),"")</f>
        <v/>
      </c>
      <c r="Z1148" s="29" t="str">
        <f>IF(Y1148=1,COUNTIF($Y$2:Y1148,1),"")</f>
        <v/>
      </c>
      <c r="AA1148" s="29" t="str">
        <f>IF(AND(LEFT($B1148,7)="SBA 26/",$C1148&lt;&gt;"",$F1148&lt;&gt;""),COUNTIFS($C$2:$C1148,$C1148,$B$2:$B1148,"SBA 26/*",$F$2:$F1148,"&lt;&gt;"),"")</f>
        <v/>
      </c>
      <c r="AB1148" s="29" t="str">
        <f>IF(AA1148=1,COUNTIF($AA$2:AA1148,1),"")</f>
        <v/>
      </c>
    </row>
    <row r="1149" spans="6:28" ht="63" customHeight="1" x14ac:dyDescent="0.2">
      <c r="F1149" s="45" t="s">
        <v>3826</v>
      </c>
      <c r="T1149" s="41"/>
      <c r="U1149" s="29" t="str">
        <f>IF($C1149&lt;&gt;"",COUNTIF($C$2:C1149,C1149),"")</f>
        <v/>
      </c>
      <c r="V1149" s="29" t="str">
        <f t="shared" si="66"/>
        <v/>
      </c>
      <c r="W1149" s="29" t="str">
        <f>IF(U1149=1,COUNTIF($U$2:U1149,1),"")</f>
        <v/>
      </c>
      <c r="X1149" s="29" t="str">
        <f t="shared" si="67"/>
        <v/>
      </c>
      <c r="Y1149" s="29" t="str">
        <f>IF(AND(LEFT($B1149,7)="SBA 26/",$D1149&lt;&gt;"",$F1149&lt;&gt;""),COUNTIFS($D$2:$D1149,$D1149,$B$2:$B1149,"SBA 26/*",$F$2:$F1149,"&lt;&gt;"),"")</f>
        <v/>
      </c>
      <c r="Z1149" s="29" t="str">
        <f>IF(Y1149=1,COUNTIF($Y$2:Y1149,1),"")</f>
        <v/>
      </c>
      <c r="AA1149" s="29" t="str">
        <f>IF(AND(LEFT($B1149,7)="SBA 26/",$C1149&lt;&gt;"",$F1149&lt;&gt;""),COUNTIFS($C$2:$C1149,$C1149,$B$2:$B1149,"SBA 26/*",$F$2:$F1149,"&lt;&gt;"),"")</f>
        <v/>
      </c>
      <c r="AB1149" s="29" t="str">
        <f>IF(AA1149=1,COUNTIF($AA$2:AA1149,1),"")</f>
        <v/>
      </c>
    </row>
    <row r="1150" spans="6:28" ht="63" customHeight="1" x14ac:dyDescent="0.2">
      <c r="F1150" s="45" t="s">
        <v>3827</v>
      </c>
      <c r="T1150" s="41"/>
      <c r="U1150" s="29" t="str">
        <f>IF($C1150&lt;&gt;"",COUNTIF($C$2:C1150,C1150),"")</f>
        <v/>
      </c>
      <c r="V1150" s="29" t="str">
        <f t="shared" si="66"/>
        <v/>
      </c>
      <c r="W1150" s="29" t="str">
        <f>IF(U1150=1,COUNTIF($U$2:U1150,1),"")</f>
        <v/>
      </c>
      <c r="X1150" s="29" t="str">
        <f t="shared" si="67"/>
        <v/>
      </c>
      <c r="Y1150" s="29" t="str">
        <f>IF(AND(LEFT($B1150,7)="SBA 26/",$D1150&lt;&gt;"",$F1150&lt;&gt;""),COUNTIFS($D$2:$D1150,$D1150,$B$2:$B1150,"SBA 26/*",$F$2:$F1150,"&lt;&gt;"),"")</f>
        <v/>
      </c>
      <c r="Z1150" s="29" t="str">
        <f>IF(Y1150=1,COUNTIF($Y$2:Y1150,1),"")</f>
        <v/>
      </c>
      <c r="AA1150" s="29" t="str">
        <f>IF(AND(LEFT($B1150,7)="SBA 26/",$C1150&lt;&gt;"",$F1150&lt;&gt;""),COUNTIFS($C$2:$C1150,$C1150,$B$2:$B1150,"SBA 26/*",$F$2:$F1150,"&lt;&gt;"),"")</f>
        <v/>
      </c>
      <c r="AB1150" s="29" t="str">
        <f>IF(AA1150=1,COUNTIF($AA$2:AA1150,1),"")</f>
        <v/>
      </c>
    </row>
    <row r="1151" spans="6:28" ht="47.25" customHeight="1" x14ac:dyDescent="0.2">
      <c r="F1151" s="45" t="s">
        <v>3828</v>
      </c>
      <c r="T1151" s="41"/>
      <c r="U1151" s="29" t="str">
        <f>IF($C1151&lt;&gt;"",COUNTIF($C$2:C1151,C1151),"")</f>
        <v/>
      </c>
      <c r="V1151" s="29" t="str">
        <f t="shared" si="66"/>
        <v/>
      </c>
      <c r="W1151" s="29" t="str">
        <f>IF(U1151=1,COUNTIF($U$2:U1151,1),"")</f>
        <v/>
      </c>
      <c r="X1151" s="29" t="str">
        <f t="shared" si="67"/>
        <v/>
      </c>
      <c r="Y1151" s="29" t="str">
        <f>IF(AND(LEFT($B1151,7)="SBA 26/",$D1151&lt;&gt;"",$F1151&lt;&gt;""),COUNTIFS($D$2:$D1151,$D1151,$B$2:$B1151,"SBA 26/*",$F$2:$F1151,"&lt;&gt;"),"")</f>
        <v/>
      </c>
      <c r="Z1151" s="29" t="str">
        <f>IF(Y1151=1,COUNTIF($Y$2:Y1151,1),"")</f>
        <v/>
      </c>
      <c r="AA1151" s="29" t="str">
        <f>IF(AND(LEFT($B1151,7)="SBA 26/",$C1151&lt;&gt;"",$F1151&lt;&gt;""),COUNTIFS($C$2:$C1151,$C1151,$B$2:$B1151,"SBA 26/*",$F$2:$F1151,"&lt;&gt;"),"")</f>
        <v/>
      </c>
      <c r="AB1151" s="29" t="str">
        <f>IF(AA1151=1,COUNTIF($AA$2:AA1151,1),"")</f>
        <v/>
      </c>
    </row>
    <row r="1152" spans="6:28" ht="31.5" customHeight="1" x14ac:dyDescent="0.2">
      <c r="F1152" s="45" t="s">
        <v>3829</v>
      </c>
      <c r="T1152" s="41"/>
      <c r="U1152" s="29" t="str">
        <f>IF($C1152&lt;&gt;"",COUNTIF($C$2:C1152,C1152),"")</f>
        <v/>
      </c>
      <c r="V1152" s="29" t="str">
        <f t="shared" si="66"/>
        <v/>
      </c>
      <c r="W1152" s="29" t="str">
        <f>IF(U1152=1,COUNTIF($U$2:U1152,1),"")</f>
        <v/>
      </c>
      <c r="X1152" s="29" t="str">
        <f t="shared" si="67"/>
        <v/>
      </c>
      <c r="Y1152" s="29" t="str">
        <f>IF(AND(LEFT($B1152,7)="SBA 26/",$D1152&lt;&gt;"",$F1152&lt;&gt;""),COUNTIFS($D$2:$D1152,$D1152,$B$2:$B1152,"SBA 26/*",$F$2:$F1152,"&lt;&gt;"),"")</f>
        <v/>
      </c>
      <c r="Z1152" s="29" t="str">
        <f>IF(Y1152=1,COUNTIF($Y$2:Y1152,1),"")</f>
        <v/>
      </c>
      <c r="AA1152" s="29" t="str">
        <f>IF(AND(LEFT($B1152,7)="SBA 26/",$C1152&lt;&gt;"",$F1152&lt;&gt;""),COUNTIFS($C$2:$C1152,$C1152,$B$2:$B1152,"SBA 26/*",$F$2:$F1152,"&lt;&gt;"),"")</f>
        <v/>
      </c>
      <c r="AB1152" s="29" t="str">
        <f>IF(AA1152=1,COUNTIF($AA$2:AA1152,1),"")</f>
        <v/>
      </c>
    </row>
    <row r="1153" spans="6:28" ht="47.25" customHeight="1" x14ac:dyDescent="0.2">
      <c r="F1153" s="45" t="s">
        <v>3830</v>
      </c>
      <c r="T1153" s="41"/>
      <c r="U1153" s="29" t="str">
        <f>IF($C1153&lt;&gt;"",COUNTIF($C$2:C1153,C1153),"")</f>
        <v/>
      </c>
      <c r="V1153" s="29" t="str">
        <f t="shared" si="66"/>
        <v/>
      </c>
      <c r="W1153" s="29" t="str">
        <f>IF(U1153=1,COUNTIF($U$2:U1153,1),"")</f>
        <v/>
      </c>
      <c r="X1153" s="29" t="str">
        <f t="shared" si="67"/>
        <v/>
      </c>
      <c r="Y1153" s="29" t="str">
        <f>IF(AND(LEFT($B1153,7)="SBA 26/",$D1153&lt;&gt;"",$F1153&lt;&gt;""),COUNTIFS($D$2:$D1153,$D1153,$B$2:$B1153,"SBA 26/*",$F$2:$F1153,"&lt;&gt;"),"")</f>
        <v/>
      </c>
      <c r="Z1153" s="29" t="str">
        <f>IF(Y1153=1,COUNTIF($Y$2:Y1153,1),"")</f>
        <v/>
      </c>
      <c r="AA1153" s="29" t="str">
        <f>IF(AND(LEFT($B1153,7)="SBA 26/",$C1153&lt;&gt;"",$F1153&lt;&gt;""),COUNTIFS($C$2:$C1153,$C1153,$B$2:$B1153,"SBA 26/*",$F$2:$F1153,"&lt;&gt;"),"")</f>
        <v/>
      </c>
      <c r="AB1153" s="29" t="str">
        <f>IF(AA1153=1,COUNTIF($AA$2:AA1153,1),"")</f>
        <v/>
      </c>
    </row>
    <row r="1154" spans="6:28" ht="47.25" customHeight="1" x14ac:dyDescent="0.2">
      <c r="F1154" s="45" t="s">
        <v>3831</v>
      </c>
      <c r="T1154" s="41"/>
      <c r="U1154" s="29" t="str">
        <f>IF($C1154&lt;&gt;"",COUNTIF($C$2:C1154,C1154),"")</f>
        <v/>
      </c>
      <c r="V1154" s="29" t="str">
        <f t="shared" ref="V1154:V1217" si="68">IF($C1154&lt;&gt;"",C1154&amp;"§"&amp;U1154,"")</f>
        <v/>
      </c>
      <c r="W1154" s="29" t="str">
        <f>IF(U1154=1,COUNTIF($U$2:U1154,1),"")</f>
        <v/>
      </c>
      <c r="X1154" s="29" t="str">
        <f t="shared" si="67"/>
        <v/>
      </c>
      <c r="Y1154" s="29" t="str">
        <f>IF(AND(LEFT($B1154,7)="SBA 26/",$D1154&lt;&gt;"",$F1154&lt;&gt;""),COUNTIFS($D$2:$D1154,$D1154,$B$2:$B1154,"SBA 26/*",$F$2:$F1154,"&lt;&gt;"),"")</f>
        <v/>
      </c>
      <c r="Z1154" s="29" t="str">
        <f>IF(Y1154=1,COUNTIF($Y$2:Y1154,1),"")</f>
        <v/>
      </c>
      <c r="AA1154" s="29" t="str">
        <f>IF(AND(LEFT($B1154,7)="SBA 26/",$C1154&lt;&gt;"",$F1154&lt;&gt;""),COUNTIFS($C$2:$C1154,$C1154,$B$2:$B1154,"SBA 26/*",$F$2:$F1154,"&lt;&gt;"),"")</f>
        <v/>
      </c>
      <c r="AB1154" s="29" t="str">
        <f>IF(AA1154=1,COUNTIF($AA$2:AA1154,1),"")</f>
        <v/>
      </c>
    </row>
    <row r="1155" spans="6:28" ht="63" customHeight="1" x14ac:dyDescent="0.2">
      <c r="F1155" s="45" t="s">
        <v>3832</v>
      </c>
      <c r="T1155" s="41"/>
      <c r="U1155" s="29" t="str">
        <f>IF($C1155&lt;&gt;"",COUNTIF($C$2:C1155,C1155),"")</f>
        <v/>
      </c>
      <c r="V1155" s="29" t="str">
        <f t="shared" si="68"/>
        <v/>
      </c>
      <c r="W1155" s="29" t="str">
        <f>IF(U1155=1,COUNTIF($U$2:U1155,1),"")</f>
        <v/>
      </c>
      <c r="X1155" s="29" t="str">
        <f t="shared" si="67"/>
        <v/>
      </c>
      <c r="Y1155" s="29" t="str">
        <f>IF(AND(LEFT($B1155,7)="SBA 26/",$D1155&lt;&gt;"",$F1155&lt;&gt;""),COUNTIFS($D$2:$D1155,$D1155,$B$2:$B1155,"SBA 26/*",$F$2:$F1155,"&lt;&gt;"),"")</f>
        <v/>
      </c>
      <c r="Z1155" s="29" t="str">
        <f>IF(Y1155=1,COUNTIF($Y$2:Y1155,1),"")</f>
        <v/>
      </c>
      <c r="AA1155" s="29" t="str">
        <f>IF(AND(LEFT($B1155,7)="SBA 26/",$C1155&lt;&gt;"",$F1155&lt;&gt;""),COUNTIFS($C$2:$C1155,$C1155,$B$2:$B1155,"SBA 26/*",$F$2:$F1155,"&lt;&gt;"),"")</f>
        <v/>
      </c>
      <c r="AB1155" s="29" t="str">
        <f>IF(AA1155=1,COUNTIF($AA$2:AA1155,1),"")</f>
        <v/>
      </c>
    </row>
    <row r="1156" spans="6:28" ht="47.25" customHeight="1" x14ac:dyDescent="0.2">
      <c r="F1156" s="45" t="s">
        <v>3833</v>
      </c>
      <c r="T1156" s="41"/>
      <c r="U1156" s="29" t="str">
        <f>IF($C1156&lt;&gt;"",COUNTIF($C$2:C1156,C1156),"")</f>
        <v/>
      </c>
      <c r="V1156" s="29" t="str">
        <f t="shared" si="68"/>
        <v/>
      </c>
      <c r="W1156" s="29" t="str">
        <f>IF(U1156=1,COUNTIF($U$2:U1156,1),"")</f>
        <v/>
      </c>
      <c r="X1156" s="29" t="str">
        <f t="shared" si="67"/>
        <v/>
      </c>
      <c r="Y1156" s="29" t="str">
        <f>IF(AND(LEFT($B1156,7)="SBA 26/",$D1156&lt;&gt;"",$F1156&lt;&gt;""),COUNTIFS($D$2:$D1156,$D1156,$B$2:$B1156,"SBA 26/*",$F$2:$F1156,"&lt;&gt;"),"")</f>
        <v/>
      </c>
      <c r="Z1156" s="29" t="str">
        <f>IF(Y1156=1,COUNTIF($Y$2:Y1156,1),"")</f>
        <v/>
      </c>
      <c r="AA1156" s="29" t="str">
        <f>IF(AND(LEFT($B1156,7)="SBA 26/",$C1156&lt;&gt;"",$F1156&lt;&gt;""),COUNTIFS($C$2:$C1156,$C1156,$B$2:$B1156,"SBA 26/*",$F$2:$F1156,"&lt;&gt;"),"")</f>
        <v/>
      </c>
      <c r="AB1156" s="29" t="str">
        <f>IF(AA1156=1,COUNTIF($AA$2:AA1156,1),"")</f>
        <v/>
      </c>
    </row>
    <row r="1157" spans="6:28" ht="31.5" customHeight="1" x14ac:dyDescent="0.2">
      <c r="F1157" s="45" t="s">
        <v>3834</v>
      </c>
      <c r="T1157" s="41"/>
      <c r="U1157" s="29" t="str">
        <f>IF($C1157&lt;&gt;"",COUNTIF($C$2:C1157,C1157),"")</f>
        <v/>
      </c>
      <c r="V1157" s="29" t="str">
        <f t="shared" si="68"/>
        <v/>
      </c>
      <c r="W1157" s="29" t="str">
        <f>IF(U1157=1,COUNTIF($U$2:U1157,1),"")</f>
        <v/>
      </c>
      <c r="X1157" s="29" t="str">
        <f t="shared" si="67"/>
        <v/>
      </c>
      <c r="Y1157" s="29" t="str">
        <f>IF(AND(LEFT($B1157,7)="SBA 26/",$D1157&lt;&gt;"",$F1157&lt;&gt;""),COUNTIFS($D$2:$D1157,$D1157,$B$2:$B1157,"SBA 26/*",$F$2:$F1157,"&lt;&gt;"),"")</f>
        <v/>
      </c>
      <c r="Z1157" s="29" t="str">
        <f>IF(Y1157=1,COUNTIF($Y$2:Y1157,1),"")</f>
        <v/>
      </c>
      <c r="AA1157" s="29" t="str">
        <f>IF(AND(LEFT($B1157,7)="SBA 26/",$C1157&lt;&gt;"",$F1157&lt;&gt;""),COUNTIFS($C$2:$C1157,$C1157,$B$2:$B1157,"SBA 26/*",$F$2:$F1157,"&lt;&gt;"),"")</f>
        <v/>
      </c>
      <c r="AB1157" s="29" t="str">
        <f>IF(AA1157=1,COUNTIF($AA$2:AA1157,1),"")</f>
        <v/>
      </c>
    </row>
    <row r="1158" spans="6:28" ht="47.25" customHeight="1" x14ac:dyDescent="0.2">
      <c r="F1158" s="45" t="s">
        <v>3835</v>
      </c>
      <c r="T1158" s="41"/>
      <c r="U1158" s="29" t="str">
        <f>IF($C1158&lt;&gt;"",COUNTIF($C$2:C1158,C1158),"")</f>
        <v/>
      </c>
      <c r="V1158" s="29" t="str">
        <f t="shared" si="68"/>
        <v/>
      </c>
      <c r="W1158" s="29" t="str">
        <f>IF(U1158=1,COUNTIF($U$2:U1158,1),"")</f>
        <v/>
      </c>
      <c r="X1158" s="29" t="str">
        <f t="shared" si="67"/>
        <v/>
      </c>
      <c r="Y1158" s="29" t="str">
        <f>IF(AND(LEFT($B1158,7)="SBA 26/",$D1158&lt;&gt;"",$F1158&lt;&gt;""),COUNTIFS($D$2:$D1158,$D1158,$B$2:$B1158,"SBA 26/*",$F$2:$F1158,"&lt;&gt;"),"")</f>
        <v/>
      </c>
      <c r="Z1158" s="29" t="str">
        <f>IF(Y1158=1,COUNTIF($Y$2:Y1158,1),"")</f>
        <v/>
      </c>
      <c r="AA1158" s="29" t="str">
        <f>IF(AND(LEFT($B1158,7)="SBA 26/",$C1158&lt;&gt;"",$F1158&lt;&gt;""),COUNTIFS($C$2:$C1158,$C1158,$B$2:$B1158,"SBA 26/*",$F$2:$F1158,"&lt;&gt;"),"")</f>
        <v/>
      </c>
      <c r="AB1158" s="29" t="str">
        <f>IF(AA1158=1,COUNTIF($AA$2:AA1158,1),"")</f>
        <v/>
      </c>
    </row>
    <row r="1159" spans="6:28" ht="47.25" customHeight="1" x14ac:dyDescent="0.2">
      <c r="F1159" s="45" t="s">
        <v>3836</v>
      </c>
      <c r="T1159" s="41"/>
      <c r="U1159" s="29" t="str">
        <f>IF($C1159&lt;&gt;"",COUNTIF($C$2:C1159,C1159),"")</f>
        <v/>
      </c>
      <c r="V1159" s="29" t="str">
        <f t="shared" si="68"/>
        <v/>
      </c>
      <c r="W1159" s="29" t="str">
        <f>IF(U1159=1,COUNTIF($U$2:U1159,1),"")</f>
        <v/>
      </c>
      <c r="X1159" s="29" t="str">
        <f t="shared" si="67"/>
        <v/>
      </c>
      <c r="Y1159" s="29" t="str">
        <f>IF(AND(LEFT($B1159,7)="SBA 26/",$D1159&lt;&gt;"",$F1159&lt;&gt;""),COUNTIFS($D$2:$D1159,$D1159,$B$2:$B1159,"SBA 26/*",$F$2:$F1159,"&lt;&gt;"),"")</f>
        <v/>
      </c>
      <c r="Z1159" s="29" t="str">
        <f>IF(Y1159=1,COUNTIF($Y$2:Y1159,1),"")</f>
        <v/>
      </c>
      <c r="AA1159" s="29" t="str">
        <f>IF(AND(LEFT($B1159,7)="SBA 26/",$C1159&lt;&gt;"",$F1159&lt;&gt;""),COUNTIFS($C$2:$C1159,$C1159,$B$2:$B1159,"SBA 26/*",$F$2:$F1159,"&lt;&gt;"),"")</f>
        <v/>
      </c>
      <c r="AB1159" s="29" t="str">
        <f>IF(AA1159=1,COUNTIF($AA$2:AA1159,1),"")</f>
        <v/>
      </c>
    </row>
    <row r="1160" spans="6:28" ht="31.5" customHeight="1" x14ac:dyDescent="0.2">
      <c r="F1160" s="45" t="s">
        <v>3837</v>
      </c>
      <c r="T1160" s="41"/>
      <c r="U1160" s="29" t="str">
        <f>IF($C1160&lt;&gt;"",COUNTIF($C$2:C1160,C1160),"")</f>
        <v/>
      </c>
      <c r="V1160" s="29" t="str">
        <f t="shared" si="68"/>
        <v/>
      </c>
      <c r="W1160" s="29" t="str">
        <f>IF(U1160=1,COUNTIF($U$2:U1160,1),"")</f>
        <v/>
      </c>
      <c r="X1160" s="29" t="str">
        <f t="shared" si="67"/>
        <v/>
      </c>
      <c r="Y1160" s="29" t="str">
        <f>IF(AND(LEFT($B1160,7)="SBA 26/",$D1160&lt;&gt;"",$F1160&lt;&gt;""),COUNTIFS($D$2:$D1160,$D1160,$B$2:$B1160,"SBA 26/*",$F$2:$F1160,"&lt;&gt;"),"")</f>
        <v/>
      </c>
      <c r="Z1160" s="29" t="str">
        <f>IF(Y1160=1,COUNTIF($Y$2:Y1160,1),"")</f>
        <v/>
      </c>
      <c r="AA1160" s="29" t="str">
        <f>IF(AND(LEFT($B1160,7)="SBA 26/",$C1160&lt;&gt;"",$F1160&lt;&gt;""),COUNTIFS($C$2:$C1160,$C1160,$B$2:$B1160,"SBA 26/*",$F$2:$F1160,"&lt;&gt;"),"")</f>
        <v/>
      </c>
      <c r="AB1160" s="29" t="str">
        <f>IF(AA1160=1,COUNTIF($AA$2:AA1160,1),"")</f>
        <v/>
      </c>
    </row>
    <row r="1161" spans="6:28" ht="63" customHeight="1" x14ac:dyDescent="0.2">
      <c r="F1161" s="45" t="s">
        <v>3838</v>
      </c>
      <c r="T1161" s="41"/>
      <c r="U1161" s="29" t="str">
        <f>IF($C1161&lt;&gt;"",COUNTIF($C$2:C1161,C1161),"")</f>
        <v/>
      </c>
      <c r="V1161" s="29" t="str">
        <f t="shared" si="68"/>
        <v/>
      </c>
      <c r="W1161" s="29" t="str">
        <f>IF(U1161=1,COUNTIF($U$2:U1161,1),"")</f>
        <v/>
      </c>
      <c r="X1161" s="29" t="str">
        <f t="shared" si="67"/>
        <v/>
      </c>
      <c r="Y1161" s="29" t="str">
        <f>IF(AND(LEFT($B1161,7)="SBA 26/",$D1161&lt;&gt;"",$F1161&lt;&gt;""),COUNTIFS($D$2:$D1161,$D1161,$B$2:$B1161,"SBA 26/*",$F$2:$F1161,"&lt;&gt;"),"")</f>
        <v/>
      </c>
      <c r="Z1161" s="29" t="str">
        <f>IF(Y1161=1,COUNTIF($Y$2:Y1161,1),"")</f>
        <v/>
      </c>
      <c r="AA1161" s="29" t="str">
        <f>IF(AND(LEFT($B1161,7)="SBA 26/",$C1161&lt;&gt;"",$F1161&lt;&gt;""),COUNTIFS($C$2:$C1161,$C1161,$B$2:$B1161,"SBA 26/*",$F$2:$F1161,"&lt;&gt;"),"")</f>
        <v/>
      </c>
      <c r="AB1161" s="29" t="str">
        <f>IF(AA1161=1,COUNTIF($AA$2:AA1161,1),"")</f>
        <v/>
      </c>
    </row>
    <row r="1162" spans="6:28" ht="47.25" customHeight="1" x14ac:dyDescent="0.2">
      <c r="F1162" s="45" t="s">
        <v>3839</v>
      </c>
      <c r="T1162" s="41"/>
      <c r="U1162" s="29" t="str">
        <f>IF($C1162&lt;&gt;"",COUNTIF($C$2:C1162,C1162),"")</f>
        <v/>
      </c>
      <c r="V1162" s="29" t="str">
        <f t="shared" si="68"/>
        <v/>
      </c>
      <c r="W1162" s="29" t="str">
        <f>IF(U1162=1,COUNTIF($U$2:U1162,1),"")</f>
        <v/>
      </c>
      <c r="X1162" s="29" t="str">
        <f t="shared" si="67"/>
        <v/>
      </c>
      <c r="Y1162" s="29" t="str">
        <f>IF(AND(LEFT($B1162,7)="SBA 26/",$D1162&lt;&gt;"",$F1162&lt;&gt;""),COUNTIFS($D$2:$D1162,$D1162,$B$2:$B1162,"SBA 26/*",$F$2:$F1162,"&lt;&gt;"),"")</f>
        <v/>
      </c>
      <c r="Z1162" s="29" t="str">
        <f>IF(Y1162=1,COUNTIF($Y$2:Y1162,1),"")</f>
        <v/>
      </c>
      <c r="AA1162" s="29" t="str">
        <f>IF(AND(LEFT($B1162,7)="SBA 26/",$C1162&lt;&gt;"",$F1162&lt;&gt;""),COUNTIFS($C$2:$C1162,$C1162,$B$2:$B1162,"SBA 26/*",$F$2:$F1162,"&lt;&gt;"),"")</f>
        <v/>
      </c>
      <c r="AB1162" s="29" t="str">
        <f>IF(AA1162=1,COUNTIF($AA$2:AA1162,1),"")</f>
        <v/>
      </c>
    </row>
    <row r="1163" spans="6:28" ht="47.25" customHeight="1" x14ac:dyDescent="0.2">
      <c r="F1163" s="45" t="s">
        <v>3840</v>
      </c>
      <c r="T1163" s="41"/>
      <c r="U1163" s="29" t="str">
        <f>IF($C1163&lt;&gt;"",COUNTIF($C$2:C1163,C1163),"")</f>
        <v/>
      </c>
      <c r="V1163" s="29" t="str">
        <f t="shared" si="68"/>
        <v/>
      </c>
      <c r="W1163" s="29" t="str">
        <f>IF(U1163=1,COUNTIF($U$2:U1163,1),"")</f>
        <v/>
      </c>
      <c r="X1163" s="29" t="str">
        <f t="shared" si="67"/>
        <v/>
      </c>
      <c r="Y1163" s="29" t="str">
        <f>IF(AND(LEFT($B1163,7)="SBA 26/",$D1163&lt;&gt;"",$F1163&lt;&gt;""),COUNTIFS($D$2:$D1163,$D1163,$B$2:$B1163,"SBA 26/*",$F$2:$F1163,"&lt;&gt;"),"")</f>
        <v/>
      </c>
      <c r="Z1163" s="29" t="str">
        <f>IF(Y1163=1,COUNTIF($Y$2:Y1163,1),"")</f>
        <v/>
      </c>
      <c r="AA1163" s="29" t="str">
        <f>IF(AND(LEFT($B1163,7)="SBA 26/",$C1163&lt;&gt;"",$F1163&lt;&gt;""),COUNTIFS($C$2:$C1163,$C1163,$B$2:$B1163,"SBA 26/*",$F$2:$F1163,"&lt;&gt;"),"")</f>
        <v/>
      </c>
      <c r="AB1163" s="29" t="str">
        <f>IF(AA1163=1,COUNTIF($AA$2:AA1163,1),"")</f>
        <v/>
      </c>
    </row>
    <row r="1164" spans="6:28" ht="47.25" customHeight="1" x14ac:dyDescent="0.2">
      <c r="F1164" s="45" t="s">
        <v>3841</v>
      </c>
      <c r="T1164" s="41"/>
      <c r="U1164" s="29" t="str">
        <f>IF($C1164&lt;&gt;"",COUNTIF($C$2:C1164,C1164),"")</f>
        <v/>
      </c>
      <c r="V1164" s="29" t="str">
        <f t="shared" si="68"/>
        <v/>
      </c>
      <c r="W1164" s="29" t="str">
        <f>IF(U1164=1,COUNTIF($U$2:U1164,1),"")</f>
        <v/>
      </c>
      <c r="X1164" s="29" t="str">
        <f t="shared" si="67"/>
        <v/>
      </c>
      <c r="Y1164" s="29" t="str">
        <f>IF(AND(LEFT($B1164,7)="SBA 26/",$D1164&lt;&gt;"",$F1164&lt;&gt;""),COUNTIFS($D$2:$D1164,$D1164,$B$2:$B1164,"SBA 26/*",$F$2:$F1164,"&lt;&gt;"),"")</f>
        <v/>
      </c>
      <c r="Z1164" s="29" t="str">
        <f>IF(Y1164=1,COUNTIF($Y$2:Y1164,1),"")</f>
        <v/>
      </c>
      <c r="AA1164" s="29" t="str">
        <f>IF(AND(LEFT($B1164,7)="SBA 26/",$C1164&lt;&gt;"",$F1164&lt;&gt;""),COUNTIFS($C$2:$C1164,$C1164,$B$2:$B1164,"SBA 26/*",$F$2:$F1164,"&lt;&gt;"),"")</f>
        <v/>
      </c>
      <c r="AB1164" s="29" t="str">
        <f>IF(AA1164=1,COUNTIF($AA$2:AA1164,1),"")</f>
        <v/>
      </c>
    </row>
    <row r="1165" spans="6:28" ht="31.5" customHeight="1" x14ac:dyDescent="0.2">
      <c r="F1165" s="45" t="s">
        <v>3842</v>
      </c>
      <c r="T1165" s="41"/>
      <c r="U1165" s="29" t="str">
        <f>IF($C1165&lt;&gt;"",COUNTIF($C$2:C1165,C1165),"")</f>
        <v/>
      </c>
      <c r="V1165" s="29" t="str">
        <f t="shared" si="68"/>
        <v/>
      </c>
      <c r="W1165" s="29" t="str">
        <f>IF(U1165=1,COUNTIF($U$2:U1165,1),"")</f>
        <v/>
      </c>
      <c r="X1165" s="29" t="str">
        <f t="shared" si="67"/>
        <v/>
      </c>
      <c r="Y1165" s="29" t="str">
        <f>IF(AND(LEFT($B1165,7)="SBA 26/",$D1165&lt;&gt;"",$F1165&lt;&gt;""),COUNTIFS($D$2:$D1165,$D1165,$B$2:$B1165,"SBA 26/*",$F$2:$F1165,"&lt;&gt;"),"")</f>
        <v/>
      </c>
      <c r="Z1165" s="29" t="str">
        <f>IF(Y1165=1,COUNTIF($Y$2:Y1165,1),"")</f>
        <v/>
      </c>
      <c r="AA1165" s="29" t="str">
        <f>IF(AND(LEFT($B1165,7)="SBA 26/",$C1165&lt;&gt;"",$F1165&lt;&gt;""),COUNTIFS($C$2:$C1165,$C1165,$B$2:$B1165,"SBA 26/*",$F$2:$F1165,"&lt;&gt;"),"")</f>
        <v/>
      </c>
      <c r="AB1165" s="29" t="str">
        <f>IF(AA1165=1,COUNTIF($AA$2:AA1165,1),"")</f>
        <v/>
      </c>
    </row>
    <row r="1166" spans="6:28" ht="47.25" customHeight="1" x14ac:dyDescent="0.2">
      <c r="F1166" s="45" t="s">
        <v>3843</v>
      </c>
      <c r="T1166" s="41"/>
      <c r="U1166" s="29" t="str">
        <f>IF($C1166&lt;&gt;"",COUNTIF($C$2:C1166,C1166),"")</f>
        <v/>
      </c>
      <c r="V1166" s="29" t="str">
        <f t="shared" si="68"/>
        <v/>
      </c>
      <c r="W1166" s="29" t="str">
        <f>IF(U1166=1,COUNTIF($U$2:U1166,1),"")</f>
        <v/>
      </c>
      <c r="X1166" s="29" t="str">
        <f t="shared" si="67"/>
        <v/>
      </c>
      <c r="Y1166" s="29" t="str">
        <f>IF(AND(LEFT($B1166,7)="SBA 26/",$D1166&lt;&gt;"",$F1166&lt;&gt;""),COUNTIFS($D$2:$D1166,$D1166,$B$2:$B1166,"SBA 26/*",$F$2:$F1166,"&lt;&gt;"),"")</f>
        <v/>
      </c>
      <c r="Z1166" s="29" t="str">
        <f>IF(Y1166=1,COUNTIF($Y$2:Y1166,1),"")</f>
        <v/>
      </c>
      <c r="AA1166" s="29" t="str">
        <f>IF(AND(LEFT($B1166,7)="SBA 26/",$C1166&lt;&gt;"",$F1166&lt;&gt;""),COUNTIFS($C$2:$C1166,$C1166,$B$2:$B1166,"SBA 26/*",$F$2:$F1166,"&lt;&gt;"),"")</f>
        <v/>
      </c>
      <c r="AB1166" s="29" t="str">
        <f>IF(AA1166=1,COUNTIF($AA$2:AA1166,1),"")</f>
        <v/>
      </c>
    </row>
    <row r="1167" spans="6:28" ht="31.5" customHeight="1" x14ac:dyDescent="0.2">
      <c r="F1167" s="45" t="s">
        <v>3844</v>
      </c>
      <c r="T1167" s="41"/>
      <c r="U1167" s="29" t="str">
        <f>IF($C1167&lt;&gt;"",COUNTIF($C$2:C1167,C1167),"")</f>
        <v/>
      </c>
      <c r="V1167" s="29" t="str">
        <f t="shared" si="68"/>
        <v/>
      </c>
      <c r="W1167" s="29" t="str">
        <f>IF(U1167=1,COUNTIF($U$2:U1167,1),"")</f>
        <v/>
      </c>
      <c r="X1167" s="29" t="str">
        <f t="shared" si="67"/>
        <v/>
      </c>
      <c r="Y1167" s="29" t="str">
        <f>IF(AND(LEFT($B1167,7)="SBA 26/",$D1167&lt;&gt;"",$F1167&lt;&gt;""),COUNTIFS($D$2:$D1167,$D1167,$B$2:$B1167,"SBA 26/*",$F$2:$F1167,"&lt;&gt;"),"")</f>
        <v/>
      </c>
      <c r="Z1167" s="29" t="str">
        <f>IF(Y1167=1,COUNTIF($Y$2:Y1167,1),"")</f>
        <v/>
      </c>
      <c r="AA1167" s="29" t="str">
        <f>IF(AND(LEFT($B1167,7)="SBA 26/",$C1167&lt;&gt;"",$F1167&lt;&gt;""),COUNTIFS($C$2:$C1167,$C1167,$B$2:$B1167,"SBA 26/*",$F$2:$F1167,"&lt;&gt;"),"")</f>
        <v/>
      </c>
      <c r="AB1167" s="29" t="str">
        <f>IF(AA1167=1,COUNTIF($AA$2:AA1167,1),"")</f>
        <v/>
      </c>
    </row>
    <row r="1168" spans="6:28" ht="31.5" customHeight="1" x14ac:dyDescent="0.2">
      <c r="F1168" s="45" t="s">
        <v>3845</v>
      </c>
      <c r="T1168" s="41"/>
      <c r="U1168" s="29" t="str">
        <f>IF($C1168&lt;&gt;"",COUNTIF($C$2:C1168,C1168),"")</f>
        <v/>
      </c>
      <c r="V1168" s="29" t="str">
        <f t="shared" si="68"/>
        <v/>
      </c>
      <c r="W1168" s="29" t="str">
        <f>IF(U1168=1,COUNTIF($U$2:U1168,1),"")</f>
        <v/>
      </c>
      <c r="X1168" s="29" t="str">
        <f t="shared" si="67"/>
        <v/>
      </c>
      <c r="Y1168" s="29" t="str">
        <f>IF(AND(LEFT($B1168,7)="SBA 26/",$D1168&lt;&gt;"",$F1168&lt;&gt;""),COUNTIFS($D$2:$D1168,$D1168,$B$2:$B1168,"SBA 26/*",$F$2:$F1168,"&lt;&gt;"),"")</f>
        <v/>
      </c>
      <c r="Z1168" s="29" t="str">
        <f>IF(Y1168=1,COUNTIF($Y$2:Y1168,1),"")</f>
        <v/>
      </c>
      <c r="AA1168" s="29" t="str">
        <f>IF(AND(LEFT($B1168,7)="SBA 26/",$C1168&lt;&gt;"",$F1168&lt;&gt;""),COUNTIFS($C$2:$C1168,$C1168,$B$2:$B1168,"SBA 26/*",$F$2:$F1168,"&lt;&gt;"),"")</f>
        <v/>
      </c>
      <c r="AB1168" s="29" t="str">
        <f>IF(AA1168=1,COUNTIF($AA$2:AA1168,1),"")</f>
        <v/>
      </c>
    </row>
    <row r="1169" spans="6:28" ht="47.25" customHeight="1" x14ac:dyDescent="0.2">
      <c r="F1169" s="45" t="s">
        <v>3846</v>
      </c>
      <c r="T1169" s="41"/>
      <c r="U1169" s="29" t="str">
        <f>IF($C1169&lt;&gt;"",COUNTIF($C$2:C1169,C1169),"")</f>
        <v/>
      </c>
      <c r="V1169" s="29" t="str">
        <f t="shared" si="68"/>
        <v/>
      </c>
      <c r="W1169" s="29" t="str">
        <f>IF(U1169=1,COUNTIF($U$2:U1169,1),"")</f>
        <v/>
      </c>
      <c r="X1169" s="29" t="str">
        <f t="shared" si="67"/>
        <v/>
      </c>
      <c r="Y1169" s="29" t="str">
        <f>IF(AND(LEFT($B1169,7)="SBA 26/",$D1169&lt;&gt;"",$F1169&lt;&gt;""),COUNTIFS($D$2:$D1169,$D1169,$B$2:$B1169,"SBA 26/*",$F$2:$F1169,"&lt;&gt;"),"")</f>
        <v/>
      </c>
      <c r="Z1169" s="29" t="str">
        <f>IF(Y1169=1,COUNTIF($Y$2:Y1169,1),"")</f>
        <v/>
      </c>
      <c r="AA1169" s="29" t="str">
        <f>IF(AND(LEFT($B1169,7)="SBA 26/",$C1169&lt;&gt;"",$F1169&lt;&gt;""),COUNTIFS($C$2:$C1169,$C1169,$B$2:$B1169,"SBA 26/*",$F$2:$F1169,"&lt;&gt;"),"")</f>
        <v/>
      </c>
      <c r="AB1169" s="29" t="str">
        <f>IF(AA1169=1,COUNTIF($AA$2:AA1169,1),"")</f>
        <v/>
      </c>
    </row>
    <row r="1170" spans="6:28" ht="63" customHeight="1" x14ac:dyDescent="0.2">
      <c r="F1170" s="45" t="s">
        <v>3847</v>
      </c>
      <c r="T1170" s="41"/>
      <c r="U1170" s="29" t="str">
        <f>IF($C1170&lt;&gt;"",COUNTIF($C$2:C1170,C1170),"")</f>
        <v/>
      </c>
      <c r="V1170" s="29" t="str">
        <f t="shared" si="68"/>
        <v/>
      </c>
      <c r="W1170" s="29" t="str">
        <f>IF(U1170=1,COUNTIF($U$2:U1170,1),"")</f>
        <v/>
      </c>
      <c r="X1170" s="29" t="str">
        <f t="shared" si="67"/>
        <v/>
      </c>
      <c r="Y1170" s="29" t="str">
        <f>IF(AND(LEFT($B1170,7)="SBA 26/",$D1170&lt;&gt;"",$F1170&lt;&gt;""),COUNTIFS($D$2:$D1170,$D1170,$B$2:$B1170,"SBA 26/*",$F$2:$F1170,"&lt;&gt;"),"")</f>
        <v/>
      </c>
      <c r="Z1170" s="29" t="str">
        <f>IF(Y1170=1,COUNTIF($Y$2:Y1170,1),"")</f>
        <v/>
      </c>
      <c r="AA1170" s="29" t="str">
        <f>IF(AND(LEFT($B1170,7)="SBA 26/",$C1170&lt;&gt;"",$F1170&lt;&gt;""),COUNTIFS($C$2:$C1170,$C1170,$B$2:$B1170,"SBA 26/*",$F$2:$F1170,"&lt;&gt;"),"")</f>
        <v/>
      </c>
      <c r="AB1170" s="29" t="str">
        <f>IF(AA1170=1,COUNTIF($AA$2:AA1170,1),"")</f>
        <v/>
      </c>
    </row>
    <row r="1171" spans="6:28" ht="47.25" customHeight="1" x14ac:dyDescent="0.2">
      <c r="F1171" s="45" t="s">
        <v>3848</v>
      </c>
      <c r="T1171" s="41"/>
      <c r="U1171" s="29" t="str">
        <f>IF($C1171&lt;&gt;"",COUNTIF($C$2:C1171,C1171),"")</f>
        <v/>
      </c>
      <c r="V1171" s="29" t="str">
        <f t="shared" si="68"/>
        <v/>
      </c>
      <c r="W1171" s="29" t="str">
        <f>IF(U1171=1,COUNTIF($U$2:U1171,1),"")</f>
        <v/>
      </c>
      <c r="X1171" s="29" t="str">
        <f t="shared" si="67"/>
        <v/>
      </c>
      <c r="Y1171" s="29" t="str">
        <f>IF(AND(LEFT($B1171,7)="SBA 26/",$D1171&lt;&gt;"",$F1171&lt;&gt;""),COUNTIFS($D$2:$D1171,$D1171,$B$2:$B1171,"SBA 26/*",$F$2:$F1171,"&lt;&gt;"),"")</f>
        <v/>
      </c>
      <c r="Z1171" s="29" t="str">
        <f>IF(Y1171=1,COUNTIF($Y$2:Y1171,1),"")</f>
        <v/>
      </c>
      <c r="AA1171" s="29" t="str">
        <f>IF(AND(LEFT($B1171,7)="SBA 26/",$C1171&lt;&gt;"",$F1171&lt;&gt;""),COUNTIFS($C$2:$C1171,$C1171,$B$2:$B1171,"SBA 26/*",$F$2:$F1171,"&lt;&gt;"),"")</f>
        <v/>
      </c>
      <c r="AB1171" s="29" t="str">
        <f>IF(AA1171=1,COUNTIF($AA$2:AA1171,1),"")</f>
        <v/>
      </c>
    </row>
    <row r="1172" spans="6:28" ht="63" customHeight="1" x14ac:dyDescent="0.2">
      <c r="F1172" s="45" t="s">
        <v>3849</v>
      </c>
      <c r="T1172" s="41"/>
      <c r="U1172" s="29" t="str">
        <f>IF($C1172&lt;&gt;"",COUNTIF($C$2:C1172,C1172),"")</f>
        <v/>
      </c>
      <c r="V1172" s="29" t="str">
        <f t="shared" si="68"/>
        <v/>
      </c>
      <c r="W1172" s="29" t="str">
        <f>IF(U1172=1,COUNTIF($U$2:U1172,1),"")</f>
        <v/>
      </c>
      <c r="X1172" s="29" t="str">
        <f t="shared" si="67"/>
        <v/>
      </c>
      <c r="Y1172" s="29" t="str">
        <f>IF(AND(LEFT($B1172,7)="SBA 26/",$D1172&lt;&gt;"",$F1172&lt;&gt;""),COUNTIFS($D$2:$D1172,$D1172,$B$2:$B1172,"SBA 26/*",$F$2:$F1172,"&lt;&gt;"),"")</f>
        <v/>
      </c>
      <c r="Z1172" s="29" t="str">
        <f>IF(Y1172=1,COUNTIF($Y$2:Y1172,1),"")</f>
        <v/>
      </c>
      <c r="AA1172" s="29" t="str">
        <f>IF(AND(LEFT($B1172,7)="SBA 26/",$C1172&lt;&gt;"",$F1172&lt;&gt;""),COUNTIFS($C$2:$C1172,$C1172,$B$2:$B1172,"SBA 26/*",$F$2:$F1172,"&lt;&gt;"),"")</f>
        <v/>
      </c>
      <c r="AB1172" s="29" t="str">
        <f>IF(AA1172=1,COUNTIF($AA$2:AA1172,1),"")</f>
        <v/>
      </c>
    </row>
    <row r="1173" spans="6:28" ht="47.25" customHeight="1" x14ac:dyDescent="0.2">
      <c r="F1173" s="45" t="s">
        <v>3850</v>
      </c>
      <c r="T1173" s="41"/>
      <c r="U1173" s="29" t="str">
        <f>IF($C1173&lt;&gt;"",COUNTIF($C$2:C1173,C1173),"")</f>
        <v/>
      </c>
      <c r="V1173" s="29" t="str">
        <f t="shared" si="68"/>
        <v/>
      </c>
      <c r="W1173" s="29" t="str">
        <f>IF(U1173=1,COUNTIF($U$2:U1173,1),"")</f>
        <v/>
      </c>
      <c r="X1173" s="29" t="str">
        <f t="shared" si="67"/>
        <v/>
      </c>
      <c r="Y1173" s="29" t="str">
        <f>IF(AND(LEFT($B1173,7)="SBA 26/",$D1173&lt;&gt;"",$F1173&lt;&gt;""),COUNTIFS($D$2:$D1173,$D1173,$B$2:$B1173,"SBA 26/*",$F$2:$F1173,"&lt;&gt;"),"")</f>
        <v/>
      </c>
      <c r="Z1173" s="29" t="str">
        <f>IF(Y1173=1,COUNTIF($Y$2:Y1173,1),"")</f>
        <v/>
      </c>
      <c r="AA1173" s="29" t="str">
        <f>IF(AND(LEFT($B1173,7)="SBA 26/",$C1173&lt;&gt;"",$F1173&lt;&gt;""),COUNTIFS($C$2:$C1173,$C1173,$B$2:$B1173,"SBA 26/*",$F$2:$F1173,"&lt;&gt;"),"")</f>
        <v/>
      </c>
      <c r="AB1173" s="29" t="str">
        <f>IF(AA1173=1,COUNTIF($AA$2:AA1173,1),"")</f>
        <v/>
      </c>
    </row>
    <row r="1174" spans="6:28" ht="47.25" customHeight="1" x14ac:dyDescent="0.2">
      <c r="F1174" s="45" t="s">
        <v>3851</v>
      </c>
      <c r="T1174" s="41"/>
      <c r="U1174" s="29" t="str">
        <f>IF($C1174&lt;&gt;"",COUNTIF($C$2:C1174,C1174),"")</f>
        <v/>
      </c>
      <c r="V1174" s="29" t="str">
        <f t="shared" si="68"/>
        <v/>
      </c>
      <c r="W1174" s="29" t="str">
        <f>IF(U1174=1,COUNTIF($U$2:U1174,1),"")</f>
        <v/>
      </c>
      <c r="X1174" s="29" t="str">
        <f t="shared" si="67"/>
        <v/>
      </c>
      <c r="Y1174" s="29" t="str">
        <f>IF(AND(LEFT($B1174,7)="SBA 26/",$D1174&lt;&gt;"",$F1174&lt;&gt;""),COUNTIFS($D$2:$D1174,$D1174,$B$2:$B1174,"SBA 26/*",$F$2:$F1174,"&lt;&gt;"),"")</f>
        <v/>
      </c>
      <c r="Z1174" s="29" t="str">
        <f>IF(Y1174=1,COUNTIF($Y$2:Y1174,1),"")</f>
        <v/>
      </c>
      <c r="AA1174" s="29" t="str">
        <f>IF(AND(LEFT($B1174,7)="SBA 26/",$C1174&lt;&gt;"",$F1174&lt;&gt;""),COUNTIFS($C$2:$C1174,$C1174,$B$2:$B1174,"SBA 26/*",$F$2:$F1174,"&lt;&gt;"),"")</f>
        <v/>
      </c>
      <c r="AB1174" s="29" t="str">
        <f>IF(AA1174=1,COUNTIF($AA$2:AA1174,1),"")</f>
        <v/>
      </c>
    </row>
    <row r="1175" spans="6:28" ht="31.5" customHeight="1" x14ac:dyDescent="0.2">
      <c r="F1175" s="45" t="s">
        <v>3852</v>
      </c>
      <c r="T1175" s="41"/>
      <c r="U1175" s="29" t="str">
        <f>IF($C1175&lt;&gt;"",COUNTIF($C$2:C1175,C1175),"")</f>
        <v/>
      </c>
      <c r="V1175" s="29" t="str">
        <f t="shared" si="68"/>
        <v/>
      </c>
      <c r="W1175" s="29" t="str">
        <f>IF(U1175=1,COUNTIF($U$2:U1175,1),"")</f>
        <v/>
      </c>
      <c r="X1175" s="29" t="str">
        <f t="shared" si="67"/>
        <v/>
      </c>
      <c r="Y1175" s="29" t="str">
        <f>IF(AND(LEFT($B1175,7)="SBA 26/",$D1175&lt;&gt;"",$F1175&lt;&gt;""),COUNTIFS($D$2:$D1175,$D1175,$B$2:$B1175,"SBA 26/*",$F$2:$F1175,"&lt;&gt;"),"")</f>
        <v/>
      </c>
      <c r="Z1175" s="29" t="str">
        <f>IF(Y1175=1,COUNTIF($Y$2:Y1175,1),"")</f>
        <v/>
      </c>
      <c r="AA1175" s="29" t="str">
        <f>IF(AND(LEFT($B1175,7)="SBA 26/",$C1175&lt;&gt;"",$F1175&lt;&gt;""),COUNTIFS($C$2:$C1175,$C1175,$B$2:$B1175,"SBA 26/*",$F$2:$F1175,"&lt;&gt;"),"")</f>
        <v/>
      </c>
      <c r="AB1175" s="29" t="str">
        <f>IF(AA1175=1,COUNTIF($AA$2:AA1175,1),"")</f>
        <v/>
      </c>
    </row>
    <row r="1176" spans="6:28" ht="63" customHeight="1" x14ac:dyDescent="0.2">
      <c r="F1176" s="45" t="s">
        <v>3853</v>
      </c>
      <c r="T1176" s="41"/>
      <c r="U1176" s="29" t="str">
        <f>IF($C1176&lt;&gt;"",COUNTIF($C$2:C1176,C1176),"")</f>
        <v/>
      </c>
      <c r="V1176" s="29" t="str">
        <f t="shared" si="68"/>
        <v/>
      </c>
      <c r="W1176" s="29" t="str">
        <f>IF(U1176=1,COUNTIF($U$2:U1176,1),"")</f>
        <v/>
      </c>
      <c r="X1176" s="29" t="str">
        <f t="shared" si="67"/>
        <v/>
      </c>
      <c r="Y1176" s="29" t="str">
        <f>IF(AND(LEFT($B1176,7)="SBA 26/",$D1176&lt;&gt;"",$F1176&lt;&gt;""),COUNTIFS($D$2:$D1176,$D1176,$B$2:$B1176,"SBA 26/*",$F$2:$F1176,"&lt;&gt;"),"")</f>
        <v/>
      </c>
      <c r="Z1176" s="29" t="str">
        <f>IF(Y1176=1,COUNTIF($Y$2:Y1176,1),"")</f>
        <v/>
      </c>
      <c r="AA1176" s="29" t="str">
        <f>IF(AND(LEFT($B1176,7)="SBA 26/",$C1176&lt;&gt;"",$F1176&lt;&gt;""),COUNTIFS($C$2:$C1176,$C1176,$B$2:$B1176,"SBA 26/*",$F$2:$F1176,"&lt;&gt;"),"")</f>
        <v/>
      </c>
      <c r="AB1176" s="29" t="str">
        <f>IF(AA1176=1,COUNTIF($AA$2:AA1176,1),"")</f>
        <v/>
      </c>
    </row>
    <row r="1177" spans="6:28" ht="31.5" customHeight="1" x14ac:dyDescent="0.2">
      <c r="F1177" s="45" t="s">
        <v>3854</v>
      </c>
      <c r="T1177" s="41"/>
      <c r="U1177" s="29" t="str">
        <f>IF($C1177&lt;&gt;"",COUNTIF($C$2:C1177,C1177),"")</f>
        <v/>
      </c>
      <c r="V1177" s="29" t="str">
        <f t="shared" si="68"/>
        <v/>
      </c>
      <c r="W1177" s="29" t="str">
        <f>IF(U1177=1,COUNTIF($U$2:U1177,1),"")</f>
        <v/>
      </c>
      <c r="X1177" s="29" t="str">
        <f t="shared" si="67"/>
        <v/>
      </c>
      <c r="Y1177" s="29" t="str">
        <f>IF(AND(LEFT($B1177,7)="SBA 26/",$D1177&lt;&gt;"",$F1177&lt;&gt;""),COUNTIFS($D$2:$D1177,$D1177,$B$2:$B1177,"SBA 26/*",$F$2:$F1177,"&lt;&gt;"),"")</f>
        <v/>
      </c>
      <c r="Z1177" s="29" t="str">
        <f>IF(Y1177=1,COUNTIF($Y$2:Y1177,1),"")</f>
        <v/>
      </c>
      <c r="AA1177" s="29" t="str">
        <f>IF(AND(LEFT($B1177,7)="SBA 26/",$C1177&lt;&gt;"",$F1177&lt;&gt;""),COUNTIFS($C$2:$C1177,$C1177,$B$2:$B1177,"SBA 26/*",$F$2:$F1177,"&lt;&gt;"),"")</f>
        <v/>
      </c>
      <c r="AB1177" s="29" t="str">
        <f>IF(AA1177=1,COUNTIF($AA$2:AA1177,1),"")</f>
        <v/>
      </c>
    </row>
    <row r="1178" spans="6:28" ht="63" customHeight="1" x14ac:dyDescent="0.2">
      <c r="F1178" s="45" t="s">
        <v>3855</v>
      </c>
      <c r="T1178" s="41"/>
      <c r="U1178" s="29" t="str">
        <f>IF($C1178&lt;&gt;"",COUNTIF($C$2:C1178,C1178),"")</f>
        <v/>
      </c>
      <c r="V1178" s="29" t="str">
        <f t="shared" si="68"/>
        <v/>
      </c>
      <c r="W1178" s="29" t="str">
        <f>IF(U1178=1,COUNTIF($U$2:U1178,1),"")</f>
        <v/>
      </c>
      <c r="X1178" s="29" t="str">
        <f t="shared" si="67"/>
        <v/>
      </c>
      <c r="Y1178" s="29" t="str">
        <f>IF(AND(LEFT($B1178,7)="SBA 26/",$D1178&lt;&gt;"",$F1178&lt;&gt;""),COUNTIFS($D$2:$D1178,$D1178,$B$2:$B1178,"SBA 26/*",$F$2:$F1178,"&lt;&gt;"),"")</f>
        <v/>
      </c>
      <c r="Z1178" s="29" t="str">
        <f>IF(Y1178=1,COUNTIF($Y$2:Y1178,1),"")</f>
        <v/>
      </c>
      <c r="AA1178" s="29" t="str">
        <f>IF(AND(LEFT($B1178,7)="SBA 26/",$C1178&lt;&gt;"",$F1178&lt;&gt;""),COUNTIFS($C$2:$C1178,$C1178,$B$2:$B1178,"SBA 26/*",$F$2:$F1178,"&lt;&gt;"),"")</f>
        <v/>
      </c>
      <c r="AB1178" s="29" t="str">
        <f>IF(AA1178=1,COUNTIF($AA$2:AA1178,1),"")</f>
        <v/>
      </c>
    </row>
    <row r="1179" spans="6:28" ht="47.25" customHeight="1" x14ac:dyDescent="0.2">
      <c r="F1179" s="45" t="s">
        <v>3856</v>
      </c>
      <c r="T1179" s="41"/>
      <c r="U1179" s="29" t="str">
        <f>IF($C1179&lt;&gt;"",COUNTIF($C$2:C1179,C1179),"")</f>
        <v/>
      </c>
      <c r="V1179" s="29" t="str">
        <f t="shared" si="68"/>
        <v/>
      </c>
      <c r="W1179" s="29" t="str">
        <f>IF(U1179=1,COUNTIF($U$2:U1179,1),"")</f>
        <v/>
      </c>
      <c r="X1179" s="29" t="str">
        <f t="shared" si="67"/>
        <v/>
      </c>
      <c r="Y1179" s="29" t="str">
        <f>IF(AND(LEFT($B1179,7)="SBA 26/",$D1179&lt;&gt;"",$F1179&lt;&gt;""),COUNTIFS($D$2:$D1179,$D1179,$B$2:$B1179,"SBA 26/*",$F$2:$F1179,"&lt;&gt;"),"")</f>
        <v/>
      </c>
      <c r="Z1179" s="29" t="str">
        <f>IF(Y1179=1,COUNTIF($Y$2:Y1179,1),"")</f>
        <v/>
      </c>
      <c r="AA1179" s="29" t="str">
        <f>IF(AND(LEFT($B1179,7)="SBA 26/",$C1179&lt;&gt;"",$F1179&lt;&gt;""),COUNTIFS($C$2:$C1179,$C1179,$B$2:$B1179,"SBA 26/*",$F$2:$F1179,"&lt;&gt;"),"")</f>
        <v/>
      </c>
      <c r="AB1179" s="29" t="str">
        <f>IF(AA1179=1,COUNTIF($AA$2:AA1179,1),"")</f>
        <v/>
      </c>
    </row>
    <row r="1180" spans="6:28" ht="47.25" customHeight="1" x14ac:dyDescent="0.2">
      <c r="F1180" s="45" t="s">
        <v>3857</v>
      </c>
      <c r="T1180" s="41"/>
      <c r="U1180" s="29" t="str">
        <f>IF($C1180&lt;&gt;"",COUNTIF($C$2:C1180,C1180),"")</f>
        <v/>
      </c>
      <c r="V1180" s="29" t="str">
        <f t="shared" si="68"/>
        <v/>
      </c>
      <c r="W1180" s="29" t="str">
        <f>IF(U1180=1,COUNTIF($U$2:U1180,1),"")</f>
        <v/>
      </c>
      <c r="X1180" s="29" t="str">
        <f t="shared" si="67"/>
        <v/>
      </c>
      <c r="Y1180" s="29" t="str">
        <f>IF(AND(LEFT($B1180,7)="SBA 26/",$D1180&lt;&gt;"",$F1180&lt;&gt;""),COUNTIFS($D$2:$D1180,$D1180,$B$2:$B1180,"SBA 26/*",$F$2:$F1180,"&lt;&gt;"),"")</f>
        <v/>
      </c>
      <c r="Z1180" s="29" t="str">
        <f>IF(Y1180=1,COUNTIF($Y$2:Y1180,1),"")</f>
        <v/>
      </c>
      <c r="AA1180" s="29" t="str">
        <f>IF(AND(LEFT($B1180,7)="SBA 26/",$C1180&lt;&gt;"",$F1180&lt;&gt;""),COUNTIFS($C$2:$C1180,$C1180,$B$2:$B1180,"SBA 26/*",$F$2:$F1180,"&lt;&gt;"),"")</f>
        <v/>
      </c>
      <c r="AB1180" s="29" t="str">
        <f>IF(AA1180=1,COUNTIF($AA$2:AA1180,1),"")</f>
        <v/>
      </c>
    </row>
    <row r="1181" spans="6:28" ht="47.25" customHeight="1" x14ac:dyDescent="0.2">
      <c r="F1181" s="45" t="s">
        <v>3858</v>
      </c>
      <c r="T1181" s="41"/>
      <c r="U1181" s="29" t="str">
        <f>IF($C1181&lt;&gt;"",COUNTIF($C$2:C1181,C1181),"")</f>
        <v/>
      </c>
      <c r="V1181" s="29" t="str">
        <f t="shared" si="68"/>
        <v/>
      </c>
      <c r="W1181" s="29" t="str">
        <f>IF(U1181=1,COUNTIF($U$2:U1181,1),"")</f>
        <v/>
      </c>
      <c r="X1181" s="29" t="str">
        <f t="shared" si="67"/>
        <v/>
      </c>
      <c r="Y1181" s="29" t="str">
        <f>IF(AND(LEFT($B1181,7)="SBA 26/",$D1181&lt;&gt;"",$F1181&lt;&gt;""),COUNTIFS($D$2:$D1181,$D1181,$B$2:$B1181,"SBA 26/*",$F$2:$F1181,"&lt;&gt;"),"")</f>
        <v/>
      </c>
      <c r="Z1181" s="29" t="str">
        <f>IF(Y1181=1,COUNTIF($Y$2:Y1181,1),"")</f>
        <v/>
      </c>
      <c r="AA1181" s="29" t="str">
        <f>IF(AND(LEFT($B1181,7)="SBA 26/",$C1181&lt;&gt;"",$F1181&lt;&gt;""),COUNTIFS($C$2:$C1181,$C1181,$B$2:$B1181,"SBA 26/*",$F$2:$F1181,"&lt;&gt;"),"")</f>
        <v/>
      </c>
      <c r="AB1181" s="29" t="str">
        <f>IF(AA1181=1,COUNTIF($AA$2:AA1181,1),"")</f>
        <v/>
      </c>
    </row>
    <row r="1182" spans="6:28" ht="47.25" customHeight="1" x14ac:dyDescent="0.2">
      <c r="F1182" s="45" t="s">
        <v>3859</v>
      </c>
      <c r="T1182" s="41"/>
      <c r="U1182" s="29" t="str">
        <f>IF($C1182&lt;&gt;"",COUNTIF($C$2:C1182,C1182),"")</f>
        <v/>
      </c>
      <c r="V1182" s="29" t="str">
        <f t="shared" si="68"/>
        <v/>
      </c>
      <c r="W1182" s="29" t="str">
        <f>IF(U1182=1,COUNTIF($U$2:U1182,1),"")</f>
        <v/>
      </c>
      <c r="X1182" s="29" t="str">
        <f t="shared" si="67"/>
        <v/>
      </c>
      <c r="Y1182" s="29" t="str">
        <f>IF(AND(LEFT($B1182,7)="SBA 26/",$D1182&lt;&gt;"",$F1182&lt;&gt;""),COUNTIFS($D$2:$D1182,$D1182,$B$2:$B1182,"SBA 26/*",$F$2:$F1182,"&lt;&gt;"),"")</f>
        <v/>
      </c>
      <c r="Z1182" s="29" t="str">
        <f>IF(Y1182=1,COUNTIF($Y$2:Y1182,1),"")</f>
        <v/>
      </c>
      <c r="AA1182" s="29" t="str">
        <f>IF(AND(LEFT($B1182,7)="SBA 26/",$C1182&lt;&gt;"",$F1182&lt;&gt;""),COUNTIFS($C$2:$C1182,$C1182,$B$2:$B1182,"SBA 26/*",$F$2:$F1182,"&lt;&gt;"),"")</f>
        <v/>
      </c>
      <c r="AB1182" s="29" t="str">
        <f>IF(AA1182=1,COUNTIF($AA$2:AA1182,1),"")</f>
        <v/>
      </c>
    </row>
    <row r="1183" spans="6:28" ht="47.25" customHeight="1" x14ac:dyDescent="0.2">
      <c r="F1183" s="45" t="s">
        <v>3860</v>
      </c>
      <c r="T1183" s="41"/>
      <c r="U1183" s="29" t="str">
        <f>IF($C1183&lt;&gt;"",COUNTIF($C$2:C1183,C1183),"")</f>
        <v/>
      </c>
      <c r="V1183" s="29" t="str">
        <f t="shared" si="68"/>
        <v/>
      </c>
      <c r="W1183" s="29" t="str">
        <f>IF(U1183=1,COUNTIF($U$2:U1183,1),"")</f>
        <v/>
      </c>
      <c r="X1183" s="29" t="str">
        <f t="shared" si="67"/>
        <v/>
      </c>
      <c r="Y1183" s="29" t="str">
        <f>IF(AND(LEFT($B1183,7)="SBA 26/",$D1183&lt;&gt;"",$F1183&lt;&gt;""),COUNTIFS($D$2:$D1183,$D1183,$B$2:$B1183,"SBA 26/*",$F$2:$F1183,"&lt;&gt;"),"")</f>
        <v/>
      </c>
      <c r="Z1183" s="29" t="str">
        <f>IF(Y1183=1,COUNTIF($Y$2:Y1183,1),"")</f>
        <v/>
      </c>
      <c r="AA1183" s="29" t="str">
        <f>IF(AND(LEFT($B1183,7)="SBA 26/",$C1183&lt;&gt;"",$F1183&lt;&gt;""),COUNTIFS($C$2:$C1183,$C1183,$B$2:$B1183,"SBA 26/*",$F$2:$F1183,"&lt;&gt;"),"")</f>
        <v/>
      </c>
      <c r="AB1183" s="29" t="str">
        <f>IF(AA1183=1,COUNTIF($AA$2:AA1183,1),"")</f>
        <v/>
      </c>
    </row>
    <row r="1184" spans="6:28" ht="47.25" customHeight="1" x14ac:dyDescent="0.2">
      <c r="F1184" s="45" t="s">
        <v>3861</v>
      </c>
      <c r="T1184" s="41"/>
      <c r="U1184" s="29" t="str">
        <f>IF($C1184&lt;&gt;"",COUNTIF($C$2:C1184,C1184),"")</f>
        <v/>
      </c>
      <c r="V1184" s="29" t="str">
        <f t="shared" si="68"/>
        <v/>
      </c>
      <c r="W1184" s="29" t="str">
        <f>IF(U1184=1,COUNTIF($U$2:U1184,1),"")</f>
        <v/>
      </c>
      <c r="X1184" s="29" t="str">
        <f t="shared" si="67"/>
        <v/>
      </c>
      <c r="Y1184" s="29" t="str">
        <f>IF(AND(LEFT($B1184,7)="SBA 26/",$D1184&lt;&gt;"",$F1184&lt;&gt;""),COUNTIFS($D$2:$D1184,$D1184,$B$2:$B1184,"SBA 26/*",$F$2:$F1184,"&lt;&gt;"),"")</f>
        <v/>
      </c>
      <c r="Z1184" s="29" t="str">
        <f>IF(Y1184=1,COUNTIF($Y$2:Y1184,1),"")</f>
        <v/>
      </c>
      <c r="AA1184" s="29" t="str">
        <f>IF(AND(LEFT($B1184,7)="SBA 26/",$C1184&lt;&gt;"",$F1184&lt;&gt;""),COUNTIFS($C$2:$C1184,$C1184,$B$2:$B1184,"SBA 26/*",$F$2:$F1184,"&lt;&gt;"),"")</f>
        <v/>
      </c>
      <c r="AB1184" s="29" t="str">
        <f>IF(AA1184=1,COUNTIF($AA$2:AA1184,1),"")</f>
        <v/>
      </c>
    </row>
    <row r="1185" spans="6:28" ht="47.25" customHeight="1" x14ac:dyDescent="0.2">
      <c r="F1185" s="45" t="s">
        <v>3862</v>
      </c>
      <c r="T1185" s="41"/>
      <c r="U1185" s="29" t="str">
        <f>IF($C1185&lt;&gt;"",COUNTIF($C$2:C1185,C1185),"")</f>
        <v/>
      </c>
      <c r="V1185" s="29" t="str">
        <f t="shared" si="68"/>
        <v/>
      </c>
      <c r="W1185" s="29" t="str">
        <f>IF(U1185=1,COUNTIF($U$2:U1185,1),"")</f>
        <v/>
      </c>
      <c r="X1185" s="29" t="str">
        <f t="shared" si="67"/>
        <v/>
      </c>
      <c r="Y1185" s="29" t="str">
        <f>IF(AND(LEFT($B1185,7)="SBA 26/",$D1185&lt;&gt;"",$F1185&lt;&gt;""),COUNTIFS($D$2:$D1185,$D1185,$B$2:$B1185,"SBA 26/*",$F$2:$F1185,"&lt;&gt;"),"")</f>
        <v/>
      </c>
      <c r="Z1185" s="29" t="str">
        <f>IF(Y1185=1,COUNTIF($Y$2:Y1185,1),"")</f>
        <v/>
      </c>
      <c r="AA1185" s="29" t="str">
        <f>IF(AND(LEFT($B1185,7)="SBA 26/",$C1185&lt;&gt;"",$F1185&lt;&gt;""),COUNTIFS($C$2:$C1185,$C1185,$B$2:$B1185,"SBA 26/*",$F$2:$F1185,"&lt;&gt;"),"")</f>
        <v/>
      </c>
      <c r="AB1185" s="29" t="str">
        <f>IF(AA1185=1,COUNTIF($AA$2:AA1185,1),"")</f>
        <v/>
      </c>
    </row>
    <row r="1186" spans="6:28" ht="31.5" customHeight="1" x14ac:dyDescent="0.2">
      <c r="F1186" s="45" t="s">
        <v>3863</v>
      </c>
      <c r="T1186" s="41"/>
      <c r="U1186" s="29" t="str">
        <f>IF($C1186&lt;&gt;"",COUNTIF($C$2:C1186,C1186),"")</f>
        <v/>
      </c>
      <c r="V1186" s="29" t="str">
        <f t="shared" si="68"/>
        <v/>
      </c>
      <c r="W1186" s="29" t="str">
        <f>IF(U1186=1,COUNTIF($U$2:U1186,1),"")</f>
        <v/>
      </c>
      <c r="X1186" s="29" t="str">
        <f t="shared" si="67"/>
        <v/>
      </c>
      <c r="Y1186" s="29" t="str">
        <f>IF(AND(LEFT($B1186,7)="SBA 26/",$D1186&lt;&gt;"",$F1186&lt;&gt;""),COUNTIFS($D$2:$D1186,$D1186,$B$2:$B1186,"SBA 26/*",$F$2:$F1186,"&lt;&gt;"),"")</f>
        <v/>
      </c>
      <c r="Z1186" s="29" t="str">
        <f>IF(Y1186=1,COUNTIF($Y$2:Y1186,1),"")</f>
        <v/>
      </c>
      <c r="AA1186" s="29" t="str">
        <f>IF(AND(LEFT($B1186,7)="SBA 26/",$C1186&lt;&gt;"",$F1186&lt;&gt;""),COUNTIFS($C$2:$C1186,$C1186,$B$2:$B1186,"SBA 26/*",$F$2:$F1186,"&lt;&gt;"),"")</f>
        <v/>
      </c>
      <c r="AB1186" s="29" t="str">
        <f>IF(AA1186=1,COUNTIF($AA$2:AA1186,1),"")</f>
        <v/>
      </c>
    </row>
    <row r="1187" spans="6:28" ht="63" customHeight="1" x14ac:dyDescent="0.2">
      <c r="F1187" s="45" t="s">
        <v>3864</v>
      </c>
      <c r="T1187" s="41"/>
      <c r="U1187" s="29" t="str">
        <f>IF($C1187&lt;&gt;"",COUNTIF($C$2:C1187,C1187),"")</f>
        <v/>
      </c>
      <c r="V1187" s="29" t="str">
        <f t="shared" si="68"/>
        <v/>
      </c>
      <c r="W1187" s="29" t="str">
        <f>IF(U1187=1,COUNTIF($U$2:U1187,1),"")</f>
        <v/>
      </c>
      <c r="X1187" s="29" t="str">
        <f t="shared" si="67"/>
        <v/>
      </c>
      <c r="Y1187" s="29" t="str">
        <f>IF(AND(LEFT($B1187,7)="SBA 26/",$D1187&lt;&gt;"",$F1187&lt;&gt;""),COUNTIFS($D$2:$D1187,$D1187,$B$2:$B1187,"SBA 26/*",$F$2:$F1187,"&lt;&gt;"),"")</f>
        <v/>
      </c>
      <c r="Z1187" s="29" t="str">
        <f>IF(Y1187=1,COUNTIF($Y$2:Y1187,1),"")</f>
        <v/>
      </c>
      <c r="AA1187" s="29" t="str">
        <f>IF(AND(LEFT($B1187,7)="SBA 26/",$C1187&lt;&gt;"",$F1187&lt;&gt;""),COUNTIFS($C$2:$C1187,$C1187,$B$2:$B1187,"SBA 26/*",$F$2:$F1187,"&lt;&gt;"),"")</f>
        <v/>
      </c>
      <c r="AB1187" s="29" t="str">
        <f>IF(AA1187=1,COUNTIF($AA$2:AA1187,1),"")</f>
        <v/>
      </c>
    </row>
    <row r="1188" spans="6:28" ht="63" customHeight="1" x14ac:dyDescent="0.2">
      <c r="F1188" s="45" t="s">
        <v>3865</v>
      </c>
      <c r="T1188" s="41"/>
      <c r="U1188" s="29" t="str">
        <f>IF($C1188&lt;&gt;"",COUNTIF($C$2:C1188,C1188),"")</f>
        <v/>
      </c>
      <c r="V1188" s="29" t="str">
        <f t="shared" si="68"/>
        <v/>
      </c>
      <c r="W1188" s="29" t="str">
        <f>IF(U1188=1,COUNTIF($U$2:U1188,1),"")</f>
        <v/>
      </c>
      <c r="X1188" s="29" t="str">
        <f t="shared" si="67"/>
        <v/>
      </c>
      <c r="Y1188" s="29" t="str">
        <f>IF(AND(LEFT($B1188,7)="SBA 26/",$D1188&lt;&gt;"",$F1188&lt;&gt;""),COUNTIFS($D$2:$D1188,$D1188,$B$2:$B1188,"SBA 26/*",$F$2:$F1188,"&lt;&gt;"),"")</f>
        <v/>
      </c>
      <c r="Z1188" s="29" t="str">
        <f>IF(Y1188=1,COUNTIF($Y$2:Y1188,1),"")</f>
        <v/>
      </c>
      <c r="AA1188" s="29" t="str">
        <f>IF(AND(LEFT($B1188,7)="SBA 26/",$C1188&lt;&gt;"",$F1188&lt;&gt;""),COUNTIFS($C$2:$C1188,$C1188,$B$2:$B1188,"SBA 26/*",$F$2:$F1188,"&lt;&gt;"),"")</f>
        <v/>
      </c>
      <c r="AB1188" s="29" t="str">
        <f>IF(AA1188=1,COUNTIF($AA$2:AA1188,1),"")</f>
        <v/>
      </c>
    </row>
    <row r="1189" spans="6:28" ht="63" customHeight="1" x14ac:dyDescent="0.2">
      <c r="F1189" s="45" t="s">
        <v>3866</v>
      </c>
      <c r="T1189" s="41"/>
      <c r="U1189" s="29" t="str">
        <f>IF($C1189&lt;&gt;"",COUNTIF($C$2:C1189,C1189),"")</f>
        <v/>
      </c>
      <c r="V1189" s="29" t="str">
        <f t="shared" si="68"/>
        <v/>
      </c>
      <c r="W1189" s="29" t="str">
        <f>IF(U1189=1,COUNTIF($U$2:U1189,1),"")</f>
        <v/>
      </c>
      <c r="X1189" s="29" t="str">
        <f t="shared" si="67"/>
        <v/>
      </c>
      <c r="Y1189" s="29" t="str">
        <f>IF(AND(LEFT($B1189,7)="SBA 26/",$D1189&lt;&gt;"",$F1189&lt;&gt;""),COUNTIFS($D$2:$D1189,$D1189,$B$2:$B1189,"SBA 26/*",$F$2:$F1189,"&lt;&gt;"),"")</f>
        <v/>
      </c>
      <c r="Z1189" s="29" t="str">
        <f>IF(Y1189=1,COUNTIF($Y$2:Y1189,1),"")</f>
        <v/>
      </c>
      <c r="AA1189" s="29" t="str">
        <f>IF(AND(LEFT($B1189,7)="SBA 26/",$C1189&lt;&gt;"",$F1189&lt;&gt;""),COUNTIFS($C$2:$C1189,$C1189,$B$2:$B1189,"SBA 26/*",$F$2:$F1189,"&lt;&gt;"),"")</f>
        <v/>
      </c>
      <c r="AB1189" s="29" t="str">
        <f>IF(AA1189=1,COUNTIF($AA$2:AA1189,1),"")</f>
        <v/>
      </c>
    </row>
    <row r="1190" spans="6:28" ht="47.25" customHeight="1" x14ac:dyDescent="0.2">
      <c r="F1190" s="45" t="s">
        <v>3867</v>
      </c>
      <c r="T1190" s="41"/>
      <c r="U1190" s="29" t="str">
        <f>IF($C1190&lt;&gt;"",COUNTIF($C$2:C1190,C1190),"")</f>
        <v/>
      </c>
      <c r="V1190" s="29" t="str">
        <f t="shared" si="68"/>
        <v/>
      </c>
      <c r="W1190" s="29" t="str">
        <f>IF(U1190=1,COUNTIF($U$2:U1190,1),"")</f>
        <v/>
      </c>
      <c r="X1190" s="29" t="str">
        <f t="shared" si="67"/>
        <v/>
      </c>
      <c r="Y1190" s="29" t="str">
        <f>IF(AND(LEFT($B1190,7)="SBA 26/",$D1190&lt;&gt;"",$F1190&lt;&gt;""),COUNTIFS($D$2:$D1190,$D1190,$B$2:$B1190,"SBA 26/*",$F$2:$F1190,"&lt;&gt;"),"")</f>
        <v/>
      </c>
      <c r="Z1190" s="29" t="str">
        <f>IF(Y1190=1,COUNTIF($Y$2:Y1190,1),"")</f>
        <v/>
      </c>
      <c r="AA1190" s="29" t="str">
        <f>IF(AND(LEFT($B1190,7)="SBA 26/",$C1190&lt;&gt;"",$F1190&lt;&gt;""),COUNTIFS($C$2:$C1190,$C1190,$B$2:$B1190,"SBA 26/*",$F$2:$F1190,"&lt;&gt;"),"")</f>
        <v/>
      </c>
      <c r="AB1190" s="29" t="str">
        <f>IF(AA1190=1,COUNTIF($AA$2:AA1190,1),"")</f>
        <v/>
      </c>
    </row>
    <row r="1191" spans="6:28" ht="31.5" customHeight="1" x14ac:dyDescent="0.2">
      <c r="F1191" s="45" t="s">
        <v>3868</v>
      </c>
      <c r="T1191" s="41"/>
      <c r="U1191" s="29" t="str">
        <f>IF($C1191&lt;&gt;"",COUNTIF($C$2:C1191,C1191),"")</f>
        <v/>
      </c>
      <c r="V1191" s="29" t="str">
        <f t="shared" si="68"/>
        <v/>
      </c>
      <c r="W1191" s="29" t="str">
        <f>IF(U1191=1,COUNTIF($U$2:U1191,1),"")</f>
        <v/>
      </c>
      <c r="X1191" s="29" t="str">
        <f t="shared" si="67"/>
        <v/>
      </c>
      <c r="Y1191" s="29" t="str">
        <f>IF(AND(LEFT($B1191,7)="SBA 26/",$D1191&lt;&gt;"",$F1191&lt;&gt;""),COUNTIFS($D$2:$D1191,$D1191,$B$2:$B1191,"SBA 26/*",$F$2:$F1191,"&lt;&gt;"),"")</f>
        <v/>
      </c>
      <c r="Z1191" s="29" t="str">
        <f>IF(Y1191=1,COUNTIF($Y$2:Y1191,1),"")</f>
        <v/>
      </c>
      <c r="AA1191" s="29" t="str">
        <f>IF(AND(LEFT($B1191,7)="SBA 26/",$C1191&lt;&gt;"",$F1191&lt;&gt;""),COUNTIFS($C$2:$C1191,$C1191,$B$2:$B1191,"SBA 26/*",$F$2:$F1191,"&lt;&gt;"),"")</f>
        <v/>
      </c>
      <c r="AB1191" s="29" t="str">
        <f>IF(AA1191=1,COUNTIF($AA$2:AA1191,1),"")</f>
        <v/>
      </c>
    </row>
    <row r="1192" spans="6:28" ht="47.25" customHeight="1" x14ac:dyDescent="0.2">
      <c r="F1192" s="45" t="s">
        <v>3869</v>
      </c>
      <c r="T1192" s="41"/>
      <c r="U1192" s="29" t="str">
        <f>IF($C1192&lt;&gt;"",COUNTIF($C$2:C1192,C1192),"")</f>
        <v/>
      </c>
      <c r="V1192" s="29" t="str">
        <f t="shared" si="68"/>
        <v/>
      </c>
      <c r="W1192" s="29" t="str">
        <f>IF(U1192=1,COUNTIF($U$2:U1192,1),"")</f>
        <v/>
      </c>
      <c r="X1192" s="29" t="str">
        <f t="shared" si="67"/>
        <v/>
      </c>
      <c r="Y1192" s="29" t="str">
        <f>IF(AND(LEFT($B1192,7)="SBA 26/",$D1192&lt;&gt;"",$F1192&lt;&gt;""),COUNTIFS($D$2:$D1192,$D1192,$B$2:$B1192,"SBA 26/*",$F$2:$F1192,"&lt;&gt;"),"")</f>
        <v/>
      </c>
      <c r="Z1192" s="29" t="str">
        <f>IF(Y1192=1,COUNTIF($Y$2:Y1192,1),"")</f>
        <v/>
      </c>
      <c r="AA1192" s="29" t="str">
        <f>IF(AND(LEFT($B1192,7)="SBA 26/",$C1192&lt;&gt;"",$F1192&lt;&gt;""),COUNTIFS($C$2:$C1192,$C1192,$B$2:$B1192,"SBA 26/*",$F$2:$F1192,"&lt;&gt;"),"")</f>
        <v/>
      </c>
      <c r="AB1192" s="29" t="str">
        <f>IF(AA1192=1,COUNTIF($AA$2:AA1192,1),"")</f>
        <v/>
      </c>
    </row>
    <row r="1193" spans="6:28" ht="47.25" customHeight="1" x14ac:dyDescent="0.2">
      <c r="F1193" s="45" t="s">
        <v>3870</v>
      </c>
      <c r="T1193" s="41"/>
      <c r="U1193" s="29" t="str">
        <f>IF($C1193&lt;&gt;"",COUNTIF($C$2:C1193,C1193),"")</f>
        <v/>
      </c>
      <c r="V1193" s="29" t="str">
        <f t="shared" si="68"/>
        <v/>
      </c>
      <c r="W1193" s="29" t="str">
        <f>IF(U1193=1,COUNTIF($U$2:U1193,1),"")</f>
        <v/>
      </c>
      <c r="X1193" s="29" t="str">
        <f t="shared" si="67"/>
        <v/>
      </c>
      <c r="Y1193" s="29" t="str">
        <f>IF(AND(LEFT($B1193,7)="SBA 26/",$D1193&lt;&gt;"",$F1193&lt;&gt;""),COUNTIFS($D$2:$D1193,$D1193,$B$2:$B1193,"SBA 26/*",$F$2:$F1193,"&lt;&gt;"),"")</f>
        <v/>
      </c>
      <c r="Z1193" s="29" t="str">
        <f>IF(Y1193=1,COUNTIF($Y$2:Y1193,1),"")</f>
        <v/>
      </c>
      <c r="AA1193" s="29" t="str">
        <f>IF(AND(LEFT($B1193,7)="SBA 26/",$C1193&lt;&gt;"",$F1193&lt;&gt;""),COUNTIFS($C$2:$C1193,$C1193,$B$2:$B1193,"SBA 26/*",$F$2:$F1193,"&lt;&gt;"),"")</f>
        <v/>
      </c>
      <c r="AB1193" s="29" t="str">
        <f>IF(AA1193=1,COUNTIF($AA$2:AA1193,1),"")</f>
        <v/>
      </c>
    </row>
    <row r="1194" spans="6:28" ht="31.5" customHeight="1" x14ac:dyDescent="0.2">
      <c r="F1194" s="45" t="s">
        <v>3871</v>
      </c>
      <c r="T1194" s="41"/>
      <c r="U1194" s="29" t="str">
        <f>IF($C1194&lt;&gt;"",COUNTIF($C$2:C1194,C1194),"")</f>
        <v/>
      </c>
      <c r="V1194" s="29" t="str">
        <f t="shared" si="68"/>
        <v/>
      </c>
      <c r="W1194" s="29" t="str">
        <f>IF(U1194=1,COUNTIF($U$2:U1194,1),"")</f>
        <v/>
      </c>
      <c r="X1194" s="29" t="str">
        <f t="shared" si="67"/>
        <v/>
      </c>
      <c r="Y1194" s="29" t="str">
        <f>IF(AND(LEFT($B1194,7)="SBA 26/",$D1194&lt;&gt;"",$F1194&lt;&gt;""),COUNTIFS($D$2:$D1194,$D1194,$B$2:$B1194,"SBA 26/*",$F$2:$F1194,"&lt;&gt;"),"")</f>
        <v/>
      </c>
      <c r="Z1194" s="29" t="str">
        <f>IF(Y1194=1,COUNTIF($Y$2:Y1194,1),"")</f>
        <v/>
      </c>
      <c r="AA1194" s="29" t="str">
        <f>IF(AND(LEFT($B1194,7)="SBA 26/",$C1194&lt;&gt;"",$F1194&lt;&gt;""),COUNTIFS($C$2:$C1194,$C1194,$B$2:$B1194,"SBA 26/*",$F$2:$F1194,"&lt;&gt;"),"")</f>
        <v/>
      </c>
      <c r="AB1194" s="29" t="str">
        <f>IF(AA1194=1,COUNTIF($AA$2:AA1194,1),"")</f>
        <v/>
      </c>
    </row>
    <row r="1195" spans="6:28" ht="94.5" customHeight="1" x14ac:dyDescent="0.2">
      <c r="F1195" s="45" t="s">
        <v>3872</v>
      </c>
      <c r="T1195" s="41"/>
      <c r="U1195" s="29" t="str">
        <f>IF($C1195&lt;&gt;"",COUNTIF($C$2:C1195,C1195),"")</f>
        <v/>
      </c>
      <c r="V1195" s="29" t="str">
        <f t="shared" si="68"/>
        <v/>
      </c>
      <c r="W1195" s="29" t="str">
        <f>IF(U1195=1,COUNTIF($U$2:U1195,1),"")</f>
        <v/>
      </c>
      <c r="X1195" s="29" t="str">
        <f t="shared" si="67"/>
        <v/>
      </c>
      <c r="Y1195" s="29" t="str">
        <f>IF(AND(LEFT($B1195,7)="SBA 26/",$D1195&lt;&gt;"",$F1195&lt;&gt;""),COUNTIFS($D$2:$D1195,$D1195,$B$2:$B1195,"SBA 26/*",$F$2:$F1195,"&lt;&gt;"),"")</f>
        <v/>
      </c>
      <c r="Z1195" s="29" t="str">
        <f>IF(Y1195=1,COUNTIF($Y$2:Y1195,1),"")</f>
        <v/>
      </c>
      <c r="AA1195" s="29" t="str">
        <f>IF(AND(LEFT($B1195,7)="SBA 26/",$C1195&lt;&gt;"",$F1195&lt;&gt;""),COUNTIFS($C$2:$C1195,$C1195,$B$2:$B1195,"SBA 26/*",$F$2:$F1195,"&lt;&gt;"),"")</f>
        <v/>
      </c>
      <c r="AB1195" s="29" t="str">
        <f>IF(AA1195=1,COUNTIF($AA$2:AA1195,1),"")</f>
        <v/>
      </c>
    </row>
    <row r="1196" spans="6:28" ht="31.5" customHeight="1" x14ac:dyDescent="0.2">
      <c r="F1196" s="45" t="s">
        <v>3873</v>
      </c>
      <c r="T1196" s="41"/>
      <c r="U1196" s="29" t="str">
        <f>IF($C1196&lt;&gt;"",COUNTIF($C$2:C1196,C1196),"")</f>
        <v/>
      </c>
      <c r="V1196" s="29" t="str">
        <f t="shared" si="68"/>
        <v/>
      </c>
      <c r="W1196" s="29" t="str">
        <f>IF(U1196=1,COUNTIF($U$2:U1196,1),"")</f>
        <v/>
      </c>
      <c r="X1196" s="29" t="str">
        <f t="shared" si="67"/>
        <v/>
      </c>
      <c r="Y1196" s="29" t="str">
        <f>IF(AND(LEFT($B1196,7)="SBA 26/",$D1196&lt;&gt;"",$F1196&lt;&gt;""),COUNTIFS($D$2:$D1196,$D1196,$B$2:$B1196,"SBA 26/*",$F$2:$F1196,"&lt;&gt;"),"")</f>
        <v/>
      </c>
      <c r="Z1196" s="29" t="str">
        <f>IF(Y1196=1,COUNTIF($Y$2:Y1196,1),"")</f>
        <v/>
      </c>
      <c r="AA1196" s="29" t="str">
        <f>IF(AND(LEFT($B1196,7)="SBA 26/",$C1196&lt;&gt;"",$F1196&lt;&gt;""),COUNTIFS($C$2:$C1196,$C1196,$B$2:$B1196,"SBA 26/*",$F$2:$F1196,"&lt;&gt;"),"")</f>
        <v/>
      </c>
      <c r="AB1196" s="29" t="str">
        <f>IF(AA1196=1,COUNTIF($AA$2:AA1196,1),"")</f>
        <v/>
      </c>
    </row>
    <row r="1197" spans="6:28" ht="31.5" customHeight="1" x14ac:dyDescent="0.2">
      <c r="F1197" s="45" t="s">
        <v>3874</v>
      </c>
      <c r="T1197" s="41"/>
      <c r="U1197" s="29" t="str">
        <f>IF($C1197&lt;&gt;"",COUNTIF($C$2:C1197,C1197),"")</f>
        <v/>
      </c>
      <c r="V1197" s="29" t="str">
        <f t="shared" si="68"/>
        <v/>
      </c>
      <c r="W1197" s="29" t="str">
        <f>IF(U1197=1,COUNTIF($U$2:U1197,1),"")</f>
        <v/>
      </c>
      <c r="X1197" s="29" t="str">
        <f t="shared" ref="X1197:X1260" si="69">IF(U1197=1,SUMPRODUCT(($U$2:$U$1833=1)*($C$2:$C$1833&lt;C1197))+1,"")</f>
        <v/>
      </c>
      <c r="Y1197" s="29" t="str">
        <f>IF(AND(LEFT($B1197,7)="SBA 26/",$D1197&lt;&gt;"",$F1197&lt;&gt;""),COUNTIFS($D$2:$D1197,$D1197,$B$2:$B1197,"SBA 26/*",$F$2:$F1197,"&lt;&gt;"),"")</f>
        <v/>
      </c>
      <c r="Z1197" s="29" t="str">
        <f>IF(Y1197=1,COUNTIF($Y$2:Y1197,1),"")</f>
        <v/>
      </c>
      <c r="AA1197" s="29" t="str">
        <f>IF(AND(LEFT($B1197,7)="SBA 26/",$C1197&lt;&gt;"",$F1197&lt;&gt;""),COUNTIFS($C$2:$C1197,$C1197,$B$2:$B1197,"SBA 26/*",$F$2:$F1197,"&lt;&gt;"),"")</f>
        <v/>
      </c>
      <c r="AB1197" s="29" t="str">
        <f>IF(AA1197=1,COUNTIF($AA$2:AA1197,1),"")</f>
        <v/>
      </c>
    </row>
    <row r="1198" spans="6:28" ht="20.25" customHeight="1" x14ac:dyDescent="0.2">
      <c r="F1198" s="45" t="s">
        <v>3875</v>
      </c>
      <c r="T1198" s="41"/>
      <c r="U1198" s="29" t="str">
        <f>IF($C1198&lt;&gt;"",COUNTIF($C$2:C1198,C1198),"")</f>
        <v/>
      </c>
      <c r="V1198" s="29" t="str">
        <f t="shared" si="68"/>
        <v/>
      </c>
      <c r="W1198" s="29" t="str">
        <f>IF(U1198=1,COUNTIF($U$2:U1198,1),"")</f>
        <v/>
      </c>
      <c r="X1198" s="29" t="str">
        <f t="shared" si="69"/>
        <v/>
      </c>
      <c r="Y1198" s="29" t="str">
        <f>IF(AND(LEFT($B1198,7)="SBA 26/",$D1198&lt;&gt;"",$F1198&lt;&gt;""),COUNTIFS($D$2:$D1198,$D1198,$B$2:$B1198,"SBA 26/*",$F$2:$F1198,"&lt;&gt;"),"")</f>
        <v/>
      </c>
      <c r="Z1198" s="29" t="str">
        <f>IF(Y1198=1,COUNTIF($Y$2:Y1198,1),"")</f>
        <v/>
      </c>
      <c r="AA1198" s="29" t="str">
        <f>IF(AND(LEFT($B1198,7)="SBA 26/",$C1198&lt;&gt;"",$F1198&lt;&gt;""),COUNTIFS($C$2:$C1198,$C1198,$B$2:$B1198,"SBA 26/*",$F$2:$F1198,"&lt;&gt;"),"")</f>
        <v/>
      </c>
      <c r="AB1198" s="29" t="str">
        <f>IF(AA1198=1,COUNTIF($AA$2:AA1198,1),"")</f>
        <v/>
      </c>
    </row>
    <row r="1199" spans="6:28" ht="47.25" customHeight="1" x14ac:dyDescent="0.2">
      <c r="F1199" s="45" t="s">
        <v>3876</v>
      </c>
      <c r="T1199" s="41"/>
      <c r="U1199" s="29" t="str">
        <f>IF($C1199&lt;&gt;"",COUNTIF($C$2:C1199,C1199),"")</f>
        <v/>
      </c>
      <c r="V1199" s="29" t="str">
        <f t="shared" si="68"/>
        <v/>
      </c>
      <c r="W1199" s="29" t="str">
        <f>IF(U1199=1,COUNTIF($U$2:U1199,1),"")</f>
        <v/>
      </c>
      <c r="X1199" s="29" t="str">
        <f t="shared" si="69"/>
        <v/>
      </c>
      <c r="Y1199" s="29" t="str">
        <f>IF(AND(LEFT($B1199,7)="SBA 26/",$D1199&lt;&gt;"",$F1199&lt;&gt;""),COUNTIFS($D$2:$D1199,$D1199,$B$2:$B1199,"SBA 26/*",$F$2:$F1199,"&lt;&gt;"),"")</f>
        <v/>
      </c>
      <c r="Z1199" s="29" t="str">
        <f>IF(Y1199=1,COUNTIF($Y$2:Y1199,1),"")</f>
        <v/>
      </c>
      <c r="AA1199" s="29" t="str">
        <f>IF(AND(LEFT($B1199,7)="SBA 26/",$C1199&lt;&gt;"",$F1199&lt;&gt;""),COUNTIFS($C$2:$C1199,$C1199,$B$2:$B1199,"SBA 26/*",$F$2:$F1199,"&lt;&gt;"),"")</f>
        <v/>
      </c>
      <c r="AB1199" s="29" t="str">
        <f>IF(AA1199=1,COUNTIF($AA$2:AA1199,1),"")</f>
        <v/>
      </c>
    </row>
    <row r="1200" spans="6:28" ht="31.5" customHeight="1" x14ac:dyDescent="0.2">
      <c r="F1200" s="45" t="s">
        <v>3877</v>
      </c>
      <c r="T1200" s="41"/>
      <c r="U1200" s="29" t="str">
        <f>IF($C1200&lt;&gt;"",COUNTIF($C$2:C1200,C1200),"")</f>
        <v/>
      </c>
      <c r="V1200" s="29" t="str">
        <f t="shared" si="68"/>
        <v/>
      </c>
      <c r="W1200" s="29" t="str">
        <f>IF(U1200=1,COUNTIF($U$2:U1200,1),"")</f>
        <v/>
      </c>
      <c r="X1200" s="29" t="str">
        <f t="shared" si="69"/>
        <v/>
      </c>
      <c r="Y1200" s="29" t="str">
        <f>IF(AND(LEFT($B1200,7)="SBA 26/",$D1200&lt;&gt;"",$F1200&lt;&gt;""),COUNTIFS($D$2:$D1200,$D1200,$B$2:$B1200,"SBA 26/*",$F$2:$F1200,"&lt;&gt;"),"")</f>
        <v/>
      </c>
      <c r="Z1200" s="29" t="str">
        <f>IF(Y1200=1,COUNTIF($Y$2:Y1200,1),"")</f>
        <v/>
      </c>
      <c r="AA1200" s="29" t="str">
        <f>IF(AND(LEFT($B1200,7)="SBA 26/",$C1200&lt;&gt;"",$F1200&lt;&gt;""),COUNTIFS($C$2:$C1200,$C1200,$B$2:$B1200,"SBA 26/*",$F$2:$F1200,"&lt;&gt;"),"")</f>
        <v/>
      </c>
      <c r="AB1200" s="29" t="str">
        <f>IF(AA1200=1,COUNTIF($AA$2:AA1200,1),"")</f>
        <v/>
      </c>
    </row>
    <row r="1201" spans="6:28" ht="47.25" customHeight="1" x14ac:dyDescent="0.2">
      <c r="F1201" s="45" t="s">
        <v>3878</v>
      </c>
      <c r="T1201" s="41"/>
      <c r="U1201" s="29" t="str">
        <f>IF($C1201&lt;&gt;"",COUNTIF($C$2:C1201,C1201),"")</f>
        <v/>
      </c>
      <c r="V1201" s="29" t="str">
        <f t="shared" si="68"/>
        <v/>
      </c>
      <c r="W1201" s="29" t="str">
        <f>IF(U1201=1,COUNTIF($U$2:U1201,1),"")</f>
        <v/>
      </c>
      <c r="X1201" s="29" t="str">
        <f t="shared" si="69"/>
        <v/>
      </c>
      <c r="Y1201" s="29" t="str">
        <f>IF(AND(LEFT($B1201,7)="SBA 26/",$D1201&lt;&gt;"",$F1201&lt;&gt;""),COUNTIFS($D$2:$D1201,$D1201,$B$2:$B1201,"SBA 26/*",$F$2:$F1201,"&lt;&gt;"),"")</f>
        <v/>
      </c>
      <c r="Z1201" s="29" t="str">
        <f>IF(Y1201=1,COUNTIF($Y$2:Y1201,1),"")</f>
        <v/>
      </c>
      <c r="AA1201" s="29" t="str">
        <f>IF(AND(LEFT($B1201,7)="SBA 26/",$C1201&lt;&gt;"",$F1201&lt;&gt;""),COUNTIFS($C$2:$C1201,$C1201,$B$2:$B1201,"SBA 26/*",$F$2:$F1201,"&lt;&gt;"),"")</f>
        <v/>
      </c>
      <c r="AB1201" s="29" t="str">
        <f>IF(AA1201=1,COUNTIF($AA$2:AA1201,1),"")</f>
        <v/>
      </c>
    </row>
    <row r="1202" spans="6:28" ht="47.25" customHeight="1" x14ac:dyDescent="0.2">
      <c r="F1202" s="45" t="s">
        <v>3879</v>
      </c>
      <c r="T1202" s="41"/>
      <c r="U1202" s="29" t="str">
        <f>IF($C1202&lt;&gt;"",COUNTIF($C$2:C1202,C1202),"")</f>
        <v/>
      </c>
      <c r="V1202" s="29" t="str">
        <f t="shared" si="68"/>
        <v/>
      </c>
      <c r="W1202" s="29" t="str">
        <f>IF(U1202=1,COUNTIF($U$2:U1202,1),"")</f>
        <v/>
      </c>
      <c r="X1202" s="29" t="str">
        <f t="shared" si="69"/>
        <v/>
      </c>
      <c r="Y1202" s="29" t="str">
        <f>IF(AND(LEFT($B1202,7)="SBA 26/",$D1202&lt;&gt;"",$F1202&lt;&gt;""),COUNTIFS($D$2:$D1202,$D1202,$B$2:$B1202,"SBA 26/*",$F$2:$F1202,"&lt;&gt;"),"")</f>
        <v/>
      </c>
      <c r="Z1202" s="29" t="str">
        <f>IF(Y1202=1,COUNTIF($Y$2:Y1202,1),"")</f>
        <v/>
      </c>
      <c r="AA1202" s="29" t="str">
        <f>IF(AND(LEFT($B1202,7)="SBA 26/",$C1202&lt;&gt;"",$F1202&lt;&gt;""),COUNTIFS($C$2:$C1202,$C1202,$B$2:$B1202,"SBA 26/*",$F$2:$F1202,"&lt;&gt;"),"")</f>
        <v/>
      </c>
      <c r="AB1202" s="29" t="str">
        <f>IF(AA1202=1,COUNTIF($AA$2:AA1202,1),"")</f>
        <v/>
      </c>
    </row>
    <row r="1203" spans="6:28" ht="47.25" customHeight="1" x14ac:dyDescent="0.2">
      <c r="F1203" s="45" t="s">
        <v>3880</v>
      </c>
      <c r="T1203" s="41"/>
      <c r="U1203" s="29" t="str">
        <f>IF($C1203&lt;&gt;"",COUNTIF($C$2:C1203,C1203),"")</f>
        <v/>
      </c>
      <c r="V1203" s="29" t="str">
        <f t="shared" si="68"/>
        <v/>
      </c>
      <c r="W1203" s="29" t="str">
        <f>IF(U1203=1,COUNTIF($U$2:U1203,1),"")</f>
        <v/>
      </c>
      <c r="X1203" s="29" t="str">
        <f t="shared" si="69"/>
        <v/>
      </c>
      <c r="Y1203" s="29" t="str">
        <f>IF(AND(LEFT($B1203,7)="SBA 26/",$D1203&lt;&gt;"",$F1203&lt;&gt;""),COUNTIFS($D$2:$D1203,$D1203,$B$2:$B1203,"SBA 26/*",$F$2:$F1203,"&lt;&gt;"),"")</f>
        <v/>
      </c>
      <c r="Z1203" s="29" t="str">
        <f>IF(Y1203=1,COUNTIF($Y$2:Y1203,1),"")</f>
        <v/>
      </c>
      <c r="AA1203" s="29" t="str">
        <f>IF(AND(LEFT($B1203,7)="SBA 26/",$C1203&lt;&gt;"",$F1203&lt;&gt;""),COUNTIFS($C$2:$C1203,$C1203,$B$2:$B1203,"SBA 26/*",$F$2:$F1203,"&lt;&gt;"),"")</f>
        <v/>
      </c>
      <c r="AB1203" s="29" t="str">
        <f>IF(AA1203=1,COUNTIF($AA$2:AA1203,1),"")</f>
        <v/>
      </c>
    </row>
    <row r="1204" spans="6:28" ht="47.25" customHeight="1" x14ac:dyDescent="0.2">
      <c r="F1204" s="45" t="s">
        <v>3881</v>
      </c>
      <c r="T1204" s="41"/>
      <c r="U1204" s="29" t="str">
        <f>IF($C1204&lt;&gt;"",COUNTIF($C$2:C1204,C1204),"")</f>
        <v/>
      </c>
      <c r="V1204" s="29" t="str">
        <f t="shared" si="68"/>
        <v/>
      </c>
      <c r="W1204" s="29" t="str">
        <f>IF(U1204=1,COUNTIF($U$2:U1204,1),"")</f>
        <v/>
      </c>
      <c r="X1204" s="29" t="str">
        <f t="shared" si="69"/>
        <v/>
      </c>
      <c r="Y1204" s="29" t="str">
        <f>IF(AND(LEFT($B1204,7)="SBA 26/",$D1204&lt;&gt;"",$F1204&lt;&gt;""),COUNTIFS($D$2:$D1204,$D1204,$B$2:$B1204,"SBA 26/*",$F$2:$F1204,"&lt;&gt;"),"")</f>
        <v/>
      </c>
      <c r="Z1204" s="29" t="str">
        <f>IF(Y1204=1,COUNTIF($Y$2:Y1204,1),"")</f>
        <v/>
      </c>
      <c r="AA1204" s="29" t="str">
        <f>IF(AND(LEFT($B1204,7)="SBA 26/",$C1204&lt;&gt;"",$F1204&lt;&gt;""),COUNTIFS($C$2:$C1204,$C1204,$B$2:$B1204,"SBA 26/*",$F$2:$F1204,"&lt;&gt;"),"")</f>
        <v/>
      </c>
      <c r="AB1204" s="29" t="str">
        <f>IF(AA1204=1,COUNTIF($AA$2:AA1204,1),"")</f>
        <v/>
      </c>
    </row>
    <row r="1205" spans="6:28" ht="47.25" customHeight="1" x14ac:dyDescent="0.2">
      <c r="F1205" s="45" t="s">
        <v>3882</v>
      </c>
      <c r="T1205" s="41"/>
      <c r="U1205" s="29" t="str">
        <f>IF($C1205&lt;&gt;"",COUNTIF($C$2:C1205,C1205),"")</f>
        <v/>
      </c>
      <c r="V1205" s="29" t="str">
        <f t="shared" si="68"/>
        <v/>
      </c>
      <c r="W1205" s="29" t="str">
        <f>IF(U1205=1,COUNTIF($U$2:U1205,1),"")</f>
        <v/>
      </c>
      <c r="X1205" s="29" t="str">
        <f t="shared" si="69"/>
        <v/>
      </c>
      <c r="Y1205" s="29" t="str">
        <f>IF(AND(LEFT($B1205,7)="SBA 26/",$D1205&lt;&gt;"",$F1205&lt;&gt;""),COUNTIFS($D$2:$D1205,$D1205,$B$2:$B1205,"SBA 26/*",$F$2:$F1205,"&lt;&gt;"),"")</f>
        <v/>
      </c>
      <c r="Z1205" s="29" t="str">
        <f>IF(Y1205=1,COUNTIF($Y$2:Y1205,1),"")</f>
        <v/>
      </c>
      <c r="AA1205" s="29" t="str">
        <f>IF(AND(LEFT($B1205,7)="SBA 26/",$C1205&lt;&gt;"",$F1205&lt;&gt;""),COUNTIFS($C$2:$C1205,$C1205,$B$2:$B1205,"SBA 26/*",$F$2:$F1205,"&lt;&gt;"),"")</f>
        <v/>
      </c>
      <c r="AB1205" s="29" t="str">
        <f>IF(AA1205=1,COUNTIF($AA$2:AA1205,1),"")</f>
        <v/>
      </c>
    </row>
    <row r="1206" spans="6:28" ht="47.25" customHeight="1" x14ac:dyDescent="0.2">
      <c r="F1206" s="45" t="s">
        <v>3883</v>
      </c>
      <c r="T1206" s="41"/>
      <c r="U1206" s="29" t="str">
        <f>IF($C1206&lt;&gt;"",COUNTIF($C$2:C1206,C1206),"")</f>
        <v/>
      </c>
      <c r="V1206" s="29" t="str">
        <f t="shared" si="68"/>
        <v/>
      </c>
      <c r="W1206" s="29" t="str">
        <f>IF(U1206=1,COUNTIF($U$2:U1206,1),"")</f>
        <v/>
      </c>
      <c r="X1206" s="29" t="str">
        <f t="shared" si="69"/>
        <v/>
      </c>
      <c r="Y1206" s="29" t="str">
        <f>IF(AND(LEFT($B1206,7)="SBA 26/",$D1206&lt;&gt;"",$F1206&lt;&gt;""),COUNTIFS($D$2:$D1206,$D1206,$B$2:$B1206,"SBA 26/*",$F$2:$F1206,"&lt;&gt;"),"")</f>
        <v/>
      </c>
      <c r="Z1206" s="29" t="str">
        <f>IF(Y1206=1,COUNTIF($Y$2:Y1206,1),"")</f>
        <v/>
      </c>
      <c r="AA1206" s="29" t="str">
        <f>IF(AND(LEFT($B1206,7)="SBA 26/",$C1206&lt;&gt;"",$F1206&lt;&gt;""),COUNTIFS($C$2:$C1206,$C1206,$B$2:$B1206,"SBA 26/*",$F$2:$F1206,"&lt;&gt;"),"")</f>
        <v/>
      </c>
      <c r="AB1206" s="29" t="str">
        <f>IF(AA1206=1,COUNTIF($AA$2:AA1206,1),"")</f>
        <v/>
      </c>
    </row>
    <row r="1207" spans="6:28" ht="63" customHeight="1" x14ac:dyDescent="0.2">
      <c r="F1207" s="45" t="s">
        <v>3884</v>
      </c>
      <c r="T1207" s="41"/>
      <c r="U1207" s="29" t="str">
        <f>IF($C1207&lt;&gt;"",COUNTIF($C$2:C1207,C1207),"")</f>
        <v/>
      </c>
      <c r="V1207" s="29" t="str">
        <f t="shared" si="68"/>
        <v/>
      </c>
      <c r="W1207" s="29" t="str">
        <f>IF(U1207=1,COUNTIF($U$2:U1207,1),"")</f>
        <v/>
      </c>
      <c r="X1207" s="29" t="str">
        <f t="shared" si="69"/>
        <v/>
      </c>
      <c r="Y1207" s="29" t="str">
        <f>IF(AND(LEFT($B1207,7)="SBA 26/",$D1207&lt;&gt;"",$F1207&lt;&gt;""),COUNTIFS($D$2:$D1207,$D1207,$B$2:$B1207,"SBA 26/*",$F$2:$F1207,"&lt;&gt;"),"")</f>
        <v/>
      </c>
      <c r="Z1207" s="29" t="str">
        <f>IF(Y1207=1,COUNTIF($Y$2:Y1207,1),"")</f>
        <v/>
      </c>
      <c r="AA1207" s="29" t="str">
        <f>IF(AND(LEFT($B1207,7)="SBA 26/",$C1207&lt;&gt;"",$F1207&lt;&gt;""),COUNTIFS($C$2:$C1207,$C1207,$B$2:$B1207,"SBA 26/*",$F$2:$F1207,"&lt;&gt;"),"")</f>
        <v/>
      </c>
      <c r="AB1207" s="29" t="str">
        <f>IF(AA1207=1,COUNTIF($AA$2:AA1207,1),"")</f>
        <v/>
      </c>
    </row>
    <row r="1208" spans="6:28" ht="47.25" customHeight="1" x14ac:dyDescent="0.2">
      <c r="F1208" s="45" t="s">
        <v>3885</v>
      </c>
      <c r="T1208" s="41"/>
      <c r="U1208" s="29" t="str">
        <f>IF($C1208&lt;&gt;"",COUNTIF($C$2:C1208,C1208),"")</f>
        <v/>
      </c>
      <c r="V1208" s="29" t="str">
        <f t="shared" si="68"/>
        <v/>
      </c>
      <c r="W1208" s="29" t="str">
        <f>IF(U1208=1,COUNTIF($U$2:U1208,1),"")</f>
        <v/>
      </c>
      <c r="X1208" s="29" t="str">
        <f t="shared" si="69"/>
        <v/>
      </c>
      <c r="Y1208" s="29" t="str">
        <f>IF(AND(LEFT($B1208,7)="SBA 26/",$D1208&lt;&gt;"",$F1208&lt;&gt;""),COUNTIFS($D$2:$D1208,$D1208,$B$2:$B1208,"SBA 26/*",$F$2:$F1208,"&lt;&gt;"),"")</f>
        <v/>
      </c>
      <c r="Z1208" s="29" t="str">
        <f>IF(Y1208=1,COUNTIF($Y$2:Y1208,1),"")</f>
        <v/>
      </c>
      <c r="AA1208" s="29" t="str">
        <f>IF(AND(LEFT($B1208,7)="SBA 26/",$C1208&lt;&gt;"",$F1208&lt;&gt;""),COUNTIFS($C$2:$C1208,$C1208,$B$2:$B1208,"SBA 26/*",$F$2:$F1208,"&lt;&gt;"),"")</f>
        <v/>
      </c>
      <c r="AB1208" s="29" t="str">
        <f>IF(AA1208=1,COUNTIF($AA$2:AA1208,1),"")</f>
        <v/>
      </c>
    </row>
    <row r="1209" spans="6:28" ht="47.25" customHeight="1" x14ac:dyDescent="0.2">
      <c r="F1209" s="45" t="s">
        <v>3886</v>
      </c>
      <c r="T1209" s="41"/>
      <c r="U1209" s="29" t="str">
        <f>IF($C1209&lt;&gt;"",COUNTIF($C$2:C1209,C1209),"")</f>
        <v/>
      </c>
      <c r="V1209" s="29" t="str">
        <f t="shared" si="68"/>
        <v/>
      </c>
      <c r="W1209" s="29" t="str">
        <f>IF(U1209=1,COUNTIF($U$2:U1209,1),"")</f>
        <v/>
      </c>
      <c r="X1209" s="29" t="str">
        <f t="shared" si="69"/>
        <v/>
      </c>
      <c r="Y1209" s="29" t="str">
        <f>IF(AND(LEFT($B1209,7)="SBA 26/",$D1209&lt;&gt;"",$F1209&lt;&gt;""),COUNTIFS($D$2:$D1209,$D1209,$B$2:$B1209,"SBA 26/*",$F$2:$F1209,"&lt;&gt;"),"")</f>
        <v/>
      </c>
      <c r="Z1209" s="29" t="str">
        <f>IF(Y1209=1,COUNTIF($Y$2:Y1209,1),"")</f>
        <v/>
      </c>
      <c r="AA1209" s="29" t="str">
        <f>IF(AND(LEFT($B1209,7)="SBA 26/",$C1209&lt;&gt;"",$F1209&lt;&gt;""),COUNTIFS($C$2:$C1209,$C1209,$B$2:$B1209,"SBA 26/*",$F$2:$F1209,"&lt;&gt;"),"")</f>
        <v/>
      </c>
      <c r="AB1209" s="29" t="str">
        <f>IF(AA1209=1,COUNTIF($AA$2:AA1209,1),"")</f>
        <v/>
      </c>
    </row>
    <row r="1210" spans="6:28" ht="31.5" customHeight="1" x14ac:dyDescent="0.2">
      <c r="F1210" s="45" t="s">
        <v>3887</v>
      </c>
      <c r="T1210" s="41"/>
      <c r="U1210" s="29" t="str">
        <f>IF($C1210&lt;&gt;"",COUNTIF($C$2:C1210,C1210),"")</f>
        <v/>
      </c>
      <c r="V1210" s="29" t="str">
        <f t="shared" si="68"/>
        <v/>
      </c>
      <c r="W1210" s="29" t="str">
        <f>IF(U1210=1,COUNTIF($U$2:U1210,1),"")</f>
        <v/>
      </c>
      <c r="X1210" s="29" t="str">
        <f t="shared" si="69"/>
        <v/>
      </c>
      <c r="Y1210" s="29" t="str">
        <f>IF(AND(LEFT($B1210,7)="SBA 26/",$D1210&lt;&gt;"",$F1210&lt;&gt;""),COUNTIFS($D$2:$D1210,$D1210,$B$2:$B1210,"SBA 26/*",$F$2:$F1210,"&lt;&gt;"),"")</f>
        <v/>
      </c>
      <c r="Z1210" s="29" t="str">
        <f>IF(Y1210=1,COUNTIF($Y$2:Y1210,1),"")</f>
        <v/>
      </c>
      <c r="AA1210" s="29" t="str">
        <f>IF(AND(LEFT($B1210,7)="SBA 26/",$C1210&lt;&gt;"",$F1210&lt;&gt;""),COUNTIFS($C$2:$C1210,$C1210,$B$2:$B1210,"SBA 26/*",$F$2:$F1210,"&lt;&gt;"),"")</f>
        <v/>
      </c>
      <c r="AB1210" s="29" t="str">
        <f>IF(AA1210=1,COUNTIF($AA$2:AA1210,1),"")</f>
        <v/>
      </c>
    </row>
    <row r="1211" spans="6:28" ht="63" customHeight="1" x14ac:dyDescent="0.2">
      <c r="F1211" s="45" t="s">
        <v>3888</v>
      </c>
      <c r="T1211" s="41"/>
      <c r="U1211" s="29" t="str">
        <f>IF($C1211&lt;&gt;"",COUNTIF($C$2:C1211,C1211),"")</f>
        <v/>
      </c>
      <c r="V1211" s="29" t="str">
        <f t="shared" si="68"/>
        <v/>
      </c>
      <c r="W1211" s="29" t="str">
        <f>IF(U1211=1,COUNTIF($U$2:U1211,1),"")</f>
        <v/>
      </c>
      <c r="X1211" s="29" t="str">
        <f t="shared" si="69"/>
        <v/>
      </c>
      <c r="Y1211" s="29" t="str">
        <f>IF(AND(LEFT($B1211,7)="SBA 26/",$D1211&lt;&gt;"",$F1211&lt;&gt;""),COUNTIFS($D$2:$D1211,$D1211,$B$2:$B1211,"SBA 26/*",$F$2:$F1211,"&lt;&gt;"),"")</f>
        <v/>
      </c>
      <c r="Z1211" s="29" t="str">
        <f>IF(Y1211=1,COUNTIF($Y$2:Y1211,1),"")</f>
        <v/>
      </c>
      <c r="AA1211" s="29" t="str">
        <f>IF(AND(LEFT($B1211,7)="SBA 26/",$C1211&lt;&gt;"",$F1211&lt;&gt;""),COUNTIFS($C$2:$C1211,$C1211,$B$2:$B1211,"SBA 26/*",$F$2:$F1211,"&lt;&gt;"),"")</f>
        <v/>
      </c>
      <c r="AB1211" s="29" t="str">
        <f>IF(AA1211=1,COUNTIF($AA$2:AA1211,1),"")</f>
        <v/>
      </c>
    </row>
    <row r="1212" spans="6:28" ht="47.25" customHeight="1" x14ac:dyDescent="0.2">
      <c r="F1212" s="45" t="s">
        <v>3889</v>
      </c>
      <c r="T1212" s="41"/>
      <c r="U1212" s="29" t="str">
        <f>IF($C1212&lt;&gt;"",COUNTIF($C$2:C1212,C1212),"")</f>
        <v/>
      </c>
      <c r="V1212" s="29" t="str">
        <f t="shared" si="68"/>
        <v/>
      </c>
      <c r="W1212" s="29" t="str">
        <f>IF(U1212=1,COUNTIF($U$2:U1212,1),"")</f>
        <v/>
      </c>
      <c r="X1212" s="29" t="str">
        <f t="shared" si="69"/>
        <v/>
      </c>
      <c r="Y1212" s="29" t="str">
        <f>IF(AND(LEFT($B1212,7)="SBA 26/",$D1212&lt;&gt;"",$F1212&lt;&gt;""),COUNTIFS($D$2:$D1212,$D1212,$B$2:$B1212,"SBA 26/*",$F$2:$F1212,"&lt;&gt;"),"")</f>
        <v/>
      </c>
      <c r="Z1212" s="29" t="str">
        <f>IF(Y1212=1,COUNTIF($Y$2:Y1212,1),"")</f>
        <v/>
      </c>
      <c r="AA1212" s="29" t="str">
        <f>IF(AND(LEFT($B1212,7)="SBA 26/",$C1212&lt;&gt;"",$F1212&lt;&gt;""),COUNTIFS($C$2:$C1212,$C1212,$B$2:$B1212,"SBA 26/*",$F$2:$F1212,"&lt;&gt;"),"")</f>
        <v/>
      </c>
      <c r="AB1212" s="29" t="str">
        <f>IF(AA1212=1,COUNTIF($AA$2:AA1212,1),"")</f>
        <v/>
      </c>
    </row>
    <row r="1213" spans="6:28" ht="47.25" customHeight="1" x14ac:dyDescent="0.2">
      <c r="F1213" s="45" t="s">
        <v>3890</v>
      </c>
      <c r="T1213" s="41"/>
      <c r="U1213" s="29" t="str">
        <f>IF($C1213&lt;&gt;"",COUNTIF($C$2:C1213,C1213),"")</f>
        <v/>
      </c>
      <c r="V1213" s="29" t="str">
        <f t="shared" si="68"/>
        <v/>
      </c>
      <c r="W1213" s="29" t="str">
        <f>IF(U1213=1,COUNTIF($U$2:U1213,1),"")</f>
        <v/>
      </c>
      <c r="X1213" s="29" t="str">
        <f t="shared" si="69"/>
        <v/>
      </c>
      <c r="Y1213" s="29" t="str">
        <f>IF(AND(LEFT($B1213,7)="SBA 26/",$D1213&lt;&gt;"",$F1213&lt;&gt;""),COUNTIFS($D$2:$D1213,$D1213,$B$2:$B1213,"SBA 26/*",$F$2:$F1213,"&lt;&gt;"),"")</f>
        <v/>
      </c>
      <c r="Z1213" s="29" t="str">
        <f>IF(Y1213=1,COUNTIF($Y$2:Y1213,1),"")</f>
        <v/>
      </c>
      <c r="AA1213" s="29" t="str">
        <f>IF(AND(LEFT($B1213,7)="SBA 26/",$C1213&lt;&gt;"",$F1213&lt;&gt;""),COUNTIFS($C$2:$C1213,$C1213,$B$2:$B1213,"SBA 26/*",$F$2:$F1213,"&lt;&gt;"),"")</f>
        <v/>
      </c>
      <c r="AB1213" s="29" t="str">
        <f>IF(AA1213=1,COUNTIF($AA$2:AA1213,1),"")</f>
        <v/>
      </c>
    </row>
    <row r="1214" spans="6:28" ht="47.25" customHeight="1" x14ac:dyDescent="0.2">
      <c r="F1214" s="45" t="s">
        <v>3891</v>
      </c>
      <c r="T1214" s="41"/>
      <c r="U1214" s="29" t="str">
        <f>IF($C1214&lt;&gt;"",COUNTIF($C$2:C1214,C1214),"")</f>
        <v/>
      </c>
      <c r="V1214" s="29" t="str">
        <f t="shared" si="68"/>
        <v/>
      </c>
      <c r="W1214" s="29" t="str">
        <f>IF(U1214=1,COUNTIF($U$2:U1214,1),"")</f>
        <v/>
      </c>
      <c r="X1214" s="29" t="str">
        <f t="shared" si="69"/>
        <v/>
      </c>
      <c r="Y1214" s="29" t="str">
        <f>IF(AND(LEFT($B1214,7)="SBA 26/",$D1214&lt;&gt;"",$F1214&lt;&gt;""),COUNTIFS($D$2:$D1214,$D1214,$B$2:$B1214,"SBA 26/*",$F$2:$F1214,"&lt;&gt;"),"")</f>
        <v/>
      </c>
      <c r="Z1214" s="29" t="str">
        <f>IF(Y1214=1,COUNTIF($Y$2:Y1214,1),"")</f>
        <v/>
      </c>
      <c r="AA1214" s="29" t="str">
        <f>IF(AND(LEFT($B1214,7)="SBA 26/",$C1214&lt;&gt;"",$F1214&lt;&gt;""),COUNTIFS($C$2:$C1214,$C1214,$B$2:$B1214,"SBA 26/*",$F$2:$F1214,"&lt;&gt;"),"")</f>
        <v/>
      </c>
      <c r="AB1214" s="29" t="str">
        <f>IF(AA1214=1,COUNTIF($AA$2:AA1214,1),"")</f>
        <v/>
      </c>
    </row>
    <row r="1215" spans="6:28" ht="31.5" customHeight="1" x14ac:dyDescent="0.2">
      <c r="F1215" s="45" t="s">
        <v>3892</v>
      </c>
      <c r="T1215" s="41"/>
      <c r="U1215" s="29" t="str">
        <f>IF($C1215&lt;&gt;"",COUNTIF($C$2:C1215,C1215),"")</f>
        <v/>
      </c>
      <c r="V1215" s="29" t="str">
        <f t="shared" si="68"/>
        <v/>
      </c>
      <c r="W1215" s="29" t="str">
        <f>IF(U1215=1,COUNTIF($U$2:U1215,1),"")</f>
        <v/>
      </c>
      <c r="X1215" s="29" t="str">
        <f t="shared" si="69"/>
        <v/>
      </c>
      <c r="Y1215" s="29" t="str">
        <f>IF(AND(LEFT($B1215,7)="SBA 26/",$D1215&lt;&gt;"",$F1215&lt;&gt;""),COUNTIFS($D$2:$D1215,$D1215,$B$2:$B1215,"SBA 26/*",$F$2:$F1215,"&lt;&gt;"),"")</f>
        <v/>
      </c>
      <c r="Z1215" s="29" t="str">
        <f>IF(Y1215=1,COUNTIF($Y$2:Y1215,1),"")</f>
        <v/>
      </c>
      <c r="AA1215" s="29" t="str">
        <f>IF(AND(LEFT($B1215,7)="SBA 26/",$C1215&lt;&gt;"",$F1215&lt;&gt;""),COUNTIFS($C$2:$C1215,$C1215,$B$2:$B1215,"SBA 26/*",$F$2:$F1215,"&lt;&gt;"),"")</f>
        <v/>
      </c>
      <c r="AB1215" s="29" t="str">
        <f>IF(AA1215=1,COUNTIF($AA$2:AA1215,1),"")</f>
        <v/>
      </c>
    </row>
    <row r="1216" spans="6:28" ht="47.25" customHeight="1" x14ac:dyDescent="0.2">
      <c r="F1216" s="45" t="s">
        <v>3893</v>
      </c>
      <c r="T1216" s="41"/>
      <c r="U1216" s="29" t="str">
        <f>IF($C1216&lt;&gt;"",COUNTIF($C$2:C1216,C1216),"")</f>
        <v/>
      </c>
      <c r="V1216" s="29" t="str">
        <f t="shared" si="68"/>
        <v/>
      </c>
      <c r="W1216" s="29" t="str">
        <f>IF(U1216=1,COUNTIF($U$2:U1216,1),"")</f>
        <v/>
      </c>
      <c r="X1216" s="29" t="str">
        <f t="shared" si="69"/>
        <v/>
      </c>
      <c r="Y1216" s="29" t="str">
        <f>IF(AND(LEFT($B1216,7)="SBA 26/",$D1216&lt;&gt;"",$F1216&lt;&gt;""),COUNTIFS($D$2:$D1216,$D1216,$B$2:$B1216,"SBA 26/*",$F$2:$F1216,"&lt;&gt;"),"")</f>
        <v/>
      </c>
      <c r="Z1216" s="29" t="str">
        <f>IF(Y1216=1,COUNTIF($Y$2:Y1216,1),"")</f>
        <v/>
      </c>
      <c r="AA1216" s="29" t="str">
        <f>IF(AND(LEFT($B1216,7)="SBA 26/",$C1216&lt;&gt;"",$F1216&lt;&gt;""),COUNTIFS($C$2:$C1216,$C1216,$B$2:$B1216,"SBA 26/*",$F$2:$F1216,"&lt;&gt;"),"")</f>
        <v/>
      </c>
      <c r="AB1216" s="29" t="str">
        <f>IF(AA1216=1,COUNTIF($AA$2:AA1216,1),"")</f>
        <v/>
      </c>
    </row>
    <row r="1217" spans="6:28" ht="31.5" customHeight="1" x14ac:dyDescent="0.2">
      <c r="F1217" s="45" t="s">
        <v>3894</v>
      </c>
      <c r="T1217" s="41"/>
      <c r="U1217" s="29" t="str">
        <f>IF($C1217&lt;&gt;"",COUNTIF($C$2:C1217,C1217),"")</f>
        <v/>
      </c>
      <c r="V1217" s="29" t="str">
        <f t="shared" si="68"/>
        <v/>
      </c>
      <c r="W1217" s="29" t="str">
        <f>IF(U1217=1,COUNTIF($U$2:U1217,1),"")</f>
        <v/>
      </c>
      <c r="X1217" s="29" t="str">
        <f t="shared" si="69"/>
        <v/>
      </c>
      <c r="Y1217" s="29" t="str">
        <f>IF(AND(LEFT($B1217,7)="SBA 26/",$D1217&lt;&gt;"",$F1217&lt;&gt;""),COUNTIFS($D$2:$D1217,$D1217,$B$2:$B1217,"SBA 26/*",$F$2:$F1217,"&lt;&gt;"),"")</f>
        <v/>
      </c>
      <c r="Z1217" s="29" t="str">
        <f>IF(Y1217=1,COUNTIF($Y$2:Y1217,1),"")</f>
        <v/>
      </c>
      <c r="AA1217" s="29" t="str">
        <f>IF(AND(LEFT($B1217,7)="SBA 26/",$C1217&lt;&gt;"",$F1217&lt;&gt;""),COUNTIFS($C$2:$C1217,$C1217,$B$2:$B1217,"SBA 26/*",$F$2:$F1217,"&lt;&gt;"),"")</f>
        <v/>
      </c>
      <c r="AB1217" s="29" t="str">
        <f>IF(AA1217=1,COUNTIF($AA$2:AA1217,1),"")</f>
        <v/>
      </c>
    </row>
    <row r="1218" spans="6:28" ht="31.5" customHeight="1" x14ac:dyDescent="0.2">
      <c r="F1218" s="45" t="s">
        <v>3895</v>
      </c>
      <c r="T1218" s="41"/>
      <c r="U1218" s="29" t="str">
        <f>IF($C1218&lt;&gt;"",COUNTIF($C$2:C1218,C1218),"")</f>
        <v/>
      </c>
      <c r="V1218" s="29" t="str">
        <f t="shared" ref="V1218:V1281" si="70">IF($C1218&lt;&gt;"",C1218&amp;"§"&amp;U1218,"")</f>
        <v/>
      </c>
      <c r="W1218" s="29" t="str">
        <f>IF(U1218=1,COUNTIF($U$2:U1218,1),"")</f>
        <v/>
      </c>
      <c r="X1218" s="29" t="str">
        <f t="shared" si="69"/>
        <v/>
      </c>
      <c r="Y1218" s="29" t="str">
        <f>IF(AND(LEFT($B1218,7)="SBA 26/",$D1218&lt;&gt;"",$F1218&lt;&gt;""),COUNTIFS($D$2:$D1218,$D1218,$B$2:$B1218,"SBA 26/*",$F$2:$F1218,"&lt;&gt;"),"")</f>
        <v/>
      </c>
      <c r="Z1218" s="29" t="str">
        <f>IF(Y1218=1,COUNTIF($Y$2:Y1218,1),"")</f>
        <v/>
      </c>
      <c r="AA1218" s="29" t="str">
        <f>IF(AND(LEFT($B1218,7)="SBA 26/",$C1218&lt;&gt;"",$F1218&lt;&gt;""),COUNTIFS($C$2:$C1218,$C1218,$B$2:$B1218,"SBA 26/*",$F$2:$F1218,"&lt;&gt;"),"")</f>
        <v/>
      </c>
      <c r="AB1218" s="29" t="str">
        <f>IF(AA1218=1,COUNTIF($AA$2:AA1218,1),"")</f>
        <v/>
      </c>
    </row>
    <row r="1219" spans="6:28" ht="31.5" customHeight="1" x14ac:dyDescent="0.2">
      <c r="F1219" s="45" t="s">
        <v>3896</v>
      </c>
      <c r="T1219" s="41"/>
      <c r="U1219" s="29" t="str">
        <f>IF($C1219&lt;&gt;"",COUNTIF($C$2:C1219,C1219),"")</f>
        <v/>
      </c>
      <c r="V1219" s="29" t="str">
        <f t="shared" si="70"/>
        <v/>
      </c>
      <c r="W1219" s="29" t="str">
        <f>IF(U1219=1,COUNTIF($U$2:U1219,1),"")</f>
        <v/>
      </c>
      <c r="X1219" s="29" t="str">
        <f t="shared" si="69"/>
        <v/>
      </c>
      <c r="Y1219" s="29" t="str">
        <f>IF(AND(LEFT($B1219,7)="SBA 26/",$D1219&lt;&gt;"",$F1219&lt;&gt;""),COUNTIFS($D$2:$D1219,$D1219,$B$2:$B1219,"SBA 26/*",$F$2:$F1219,"&lt;&gt;"),"")</f>
        <v/>
      </c>
      <c r="Z1219" s="29" t="str">
        <f>IF(Y1219=1,COUNTIF($Y$2:Y1219,1),"")</f>
        <v/>
      </c>
      <c r="AA1219" s="29" t="str">
        <f>IF(AND(LEFT($B1219,7)="SBA 26/",$C1219&lt;&gt;"",$F1219&lt;&gt;""),COUNTIFS($C$2:$C1219,$C1219,$B$2:$B1219,"SBA 26/*",$F$2:$F1219,"&lt;&gt;"),"")</f>
        <v/>
      </c>
      <c r="AB1219" s="29" t="str">
        <f>IF(AA1219=1,COUNTIF($AA$2:AA1219,1),"")</f>
        <v/>
      </c>
    </row>
    <row r="1220" spans="6:28" ht="31.5" customHeight="1" x14ac:dyDescent="0.2">
      <c r="F1220" s="45" t="s">
        <v>3897</v>
      </c>
      <c r="T1220" s="41"/>
      <c r="U1220" s="29" t="str">
        <f>IF($C1220&lt;&gt;"",COUNTIF($C$2:C1220,C1220),"")</f>
        <v/>
      </c>
      <c r="V1220" s="29" t="str">
        <f t="shared" si="70"/>
        <v/>
      </c>
      <c r="W1220" s="29" t="str">
        <f>IF(U1220=1,COUNTIF($U$2:U1220,1),"")</f>
        <v/>
      </c>
      <c r="X1220" s="29" t="str">
        <f t="shared" si="69"/>
        <v/>
      </c>
      <c r="Y1220" s="29" t="str">
        <f>IF(AND(LEFT($B1220,7)="SBA 26/",$D1220&lt;&gt;"",$F1220&lt;&gt;""),COUNTIFS($D$2:$D1220,$D1220,$B$2:$B1220,"SBA 26/*",$F$2:$F1220,"&lt;&gt;"),"")</f>
        <v/>
      </c>
      <c r="Z1220" s="29" t="str">
        <f>IF(Y1220=1,COUNTIF($Y$2:Y1220,1),"")</f>
        <v/>
      </c>
      <c r="AA1220" s="29" t="str">
        <f>IF(AND(LEFT($B1220,7)="SBA 26/",$C1220&lt;&gt;"",$F1220&lt;&gt;""),COUNTIFS($C$2:$C1220,$C1220,$B$2:$B1220,"SBA 26/*",$F$2:$F1220,"&lt;&gt;"),"")</f>
        <v/>
      </c>
      <c r="AB1220" s="29" t="str">
        <f>IF(AA1220=1,COUNTIF($AA$2:AA1220,1),"")</f>
        <v/>
      </c>
    </row>
    <row r="1221" spans="6:28" ht="47.25" customHeight="1" x14ac:dyDescent="0.2">
      <c r="F1221" s="45" t="s">
        <v>3898</v>
      </c>
      <c r="T1221" s="41"/>
      <c r="U1221" s="29" t="str">
        <f>IF($C1221&lt;&gt;"",COUNTIF($C$2:C1221,C1221),"")</f>
        <v/>
      </c>
      <c r="V1221" s="29" t="str">
        <f t="shared" si="70"/>
        <v/>
      </c>
      <c r="W1221" s="29" t="str">
        <f>IF(U1221=1,COUNTIF($U$2:U1221,1),"")</f>
        <v/>
      </c>
      <c r="X1221" s="29" t="str">
        <f t="shared" si="69"/>
        <v/>
      </c>
      <c r="Y1221" s="29" t="str">
        <f>IF(AND(LEFT($B1221,7)="SBA 26/",$D1221&lt;&gt;"",$F1221&lt;&gt;""),COUNTIFS($D$2:$D1221,$D1221,$B$2:$B1221,"SBA 26/*",$F$2:$F1221,"&lt;&gt;"),"")</f>
        <v/>
      </c>
      <c r="Z1221" s="29" t="str">
        <f>IF(Y1221=1,COUNTIF($Y$2:Y1221,1),"")</f>
        <v/>
      </c>
      <c r="AA1221" s="29" t="str">
        <f>IF(AND(LEFT($B1221,7)="SBA 26/",$C1221&lt;&gt;"",$F1221&lt;&gt;""),COUNTIFS($C$2:$C1221,$C1221,$B$2:$B1221,"SBA 26/*",$F$2:$F1221,"&lt;&gt;"),"")</f>
        <v/>
      </c>
      <c r="AB1221" s="29" t="str">
        <f>IF(AA1221=1,COUNTIF($AA$2:AA1221,1),"")</f>
        <v/>
      </c>
    </row>
    <row r="1222" spans="6:28" ht="47.25" customHeight="1" x14ac:dyDescent="0.2">
      <c r="F1222" s="45" t="s">
        <v>3899</v>
      </c>
      <c r="T1222" s="41"/>
      <c r="U1222" s="29" t="str">
        <f>IF($C1222&lt;&gt;"",COUNTIF($C$2:C1222,C1222),"")</f>
        <v/>
      </c>
      <c r="V1222" s="29" t="str">
        <f t="shared" si="70"/>
        <v/>
      </c>
      <c r="W1222" s="29" t="str">
        <f>IF(U1222=1,COUNTIF($U$2:U1222,1),"")</f>
        <v/>
      </c>
      <c r="X1222" s="29" t="str">
        <f t="shared" si="69"/>
        <v/>
      </c>
      <c r="Y1222" s="29" t="str">
        <f>IF(AND(LEFT($B1222,7)="SBA 26/",$D1222&lt;&gt;"",$F1222&lt;&gt;""),COUNTIFS($D$2:$D1222,$D1222,$B$2:$B1222,"SBA 26/*",$F$2:$F1222,"&lt;&gt;"),"")</f>
        <v/>
      </c>
      <c r="Z1222" s="29" t="str">
        <f>IF(Y1222=1,COUNTIF($Y$2:Y1222,1),"")</f>
        <v/>
      </c>
      <c r="AA1222" s="29" t="str">
        <f>IF(AND(LEFT($B1222,7)="SBA 26/",$C1222&lt;&gt;"",$F1222&lt;&gt;""),COUNTIFS($C$2:$C1222,$C1222,$B$2:$B1222,"SBA 26/*",$F$2:$F1222,"&lt;&gt;"),"")</f>
        <v/>
      </c>
      <c r="AB1222" s="29" t="str">
        <f>IF(AA1222=1,COUNTIF($AA$2:AA1222,1),"")</f>
        <v/>
      </c>
    </row>
    <row r="1223" spans="6:28" ht="63" customHeight="1" x14ac:dyDescent="0.2">
      <c r="F1223" s="45" t="s">
        <v>3900</v>
      </c>
      <c r="T1223" s="41"/>
      <c r="U1223" s="29" t="str">
        <f>IF($C1223&lt;&gt;"",COUNTIF($C$2:C1223,C1223),"")</f>
        <v/>
      </c>
      <c r="V1223" s="29" t="str">
        <f t="shared" si="70"/>
        <v/>
      </c>
      <c r="W1223" s="29" t="str">
        <f>IF(U1223=1,COUNTIF($U$2:U1223,1),"")</f>
        <v/>
      </c>
      <c r="X1223" s="29" t="str">
        <f t="shared" si="69"/>
        <v/>
      </c>
      <c r="Y1223" s="29" t="str">
        <f>IF(AND(LEFT($B1223,7)="SBA 26/",$D1223&lt;&gt;"",$F1223&lt;&gt;""),COUNTIFS($D$2:$D1223,$D1223,$B$2:$B1223,"SBA 26/*",$F$2:$F1223,"&lt;&gt;"),"")</f>
        <v/>
      </c>
      <c r="Z1223" s="29" t="str">
        <f>IF(Y1223=1,COUNTIF($Y$2:Y1223,1),"")</f>
        <v/>
      </c>
      <c r="AA1223" s="29" t="str">
        <f>IF(AND(LEFT($B1223,7)="SBA 26/",$C1223&lt;&gt;"",$F1223&lt;&gt;""),COUNTIFS($C$2:$C1223,$C1223,$B$2:$B1223,"SBA 26/*",$F$2:$F1223,"&lt;&gt;"),"")</f>
        <v/>
      </c>
      <c r="AB1223" s="29" t="str">
        <f>IF(AA1223=1,COUNTIF($AA$2:AA1223,1),"")</f>
        <v/>
      </c>
    </row>
    <row r="1224" spans="6:28" ht="63" customHeight="1" x14ac:dyDescent="0.2">
      <c r="F1224" s="45" t="s">
        <v>3901</v>
      </c>
      <c r="T1224" s="41"/>
      <c r="U1224" s="29" t="str">
        <f>IF($C1224&lt;&gt;"",COUNTIF($C$2:C1224,C1224),"")</f>
        <v/>
      </c>
      <c r="V1224" s="29" t="str">
        <f t="shared" si="70"/>
        <v/>
      </c>
      <c r="W1224" s="29" t="str">
        <f>IF(U1224=1,COUNTIF($U$2:U1224,1),"")</f>
        <v/>
      </c>
      <c r="X1224" s="29" t="str">
        <f t="shared" si="69"/>
        <v/>
      </c>
      <c r="Y1224" s="29" t="str">
        <f>IF(AND(LEFT($B1224,7)="SBA 26/",$D1224&lt;&gt;"",$F1224&lt;&gt;""),COUNTIFS($D$2:$D1224,$D1224,$B$2:$B1224,"SBA 26/*",$F$2:$F1224,"&lt;&gt;"),"")</f>
        <v/>
      </c>
      <c r="Z1224" s="29" t="str">
        <f>IF(Y1224=1,COUNTIF($Y$2:Y1224,1),"")</f>
        <v/>
      </c>
      <c r="AA1224" s="29" t="str">
        <f>IF(AND(LEFT($B1224,7)="SBA 26/",$C1224&lt;&gt;"",$F1224&lt;&gt;""),COUNTIFS($C$2:$C1224,$C1224,$B$2:$B1224,"SBA 26/*",$F$2:$F1224,"&lt;&gt;"),"")</f>
        <v/>
      </c>
      <c r="AB1224" s="29" t="str">
        <f>IF(AA1224=1,COUNTIF($AA$2:AA1224,1),"")</f>
        <v/>
      </c>
    </row>
    <row r="1225" spans="6:28" ht="31.5" customHeight="1" x14ac:dyDescent="0.2">
      <c r="F1225" s="45" t="s">
        <v>3902</v>
      </c>
      <c r="T1225" s="41"/>
      <c r="U1225" s="29" t="str">
        <f>IF($C1225&lt;&gt;"",COUNTIF($C$2:C1225,C1225),"")</f>
        <v/>
      </c>
      <c r="V1225" s="29" t="str">
        <f t="shared" si="70"/>
        <v/>
      </c>
      <c r="W1225" s="29" t="str">
        <f>IF(U1225=1,COUNTIF($U$2:U1225,1),"")</f>
        <v/>
      </c>
      <c r="X1225" s="29" t="str">
        <f t="shared" si="69"/>
        <v/>
      </c>
      <c r="Y1225" s="29" t="str">
        <f>IF(AND(LEFT($B1225,7)="SBA 26/",$D1225&lt;&gt;"",$F1225&lt;&gt;""),COUNTIFS($D$2:$D1225,$D1225,$B$2:$B1225,"SBA 26/*",$F$2:$F1225,"&lt;&gt;"),"")</f>
        <v/>
      </c>
      <c r="Z1225" s="29" t="str">
        <f>IF(Y1225=1,COUNTIF($Y$2:Y1225,1),"")</f>
        <v/>
      </c>
      <c r="AA1225" s="29" t="str">
        <f>IF(AND(LEFT($B1225,7)="SBA 26/",$C1225&lt;&gt;"",$F1225&lt;&gt;""),COUNTIFS($C$2:$C1225,$C1225,$B$2:$B1225,"SBA 26/*",$F$2:$F1225,"&lt;&gt;"),"")</f>
        <v/>
      </c>
      <c r="AB1225" s="29" t="str">
        <f>IF(AA1225=1,COUNTIF($AA$2:AA1225,1),"")</f>
        <v/>
      </c>
    </row>
    <row r="1226" spans="6:28" ht="31.5" customHeight="1" x14ac:dyDescent="0.2">
      <c r="F1226" s="45" t="s">
        <v>3903</v>
      </c>
      <c r="T1226" s="41"/>
      <c r="U1226" s="29" t="str">
        <f>IF($C1226&lt;&gt;"",COUNTIF($C$2:C1226,C1226),"")</f>
        <v/>
      </c>
      <c r="V1226" s="29" t="str">
        <f t="shared" si="70"/>
        <v/>
      </c>
      <c r="W1226" s="29" t="str">
        <f>IF(U1226=1,COUNTIF($U$2:U1226,1),"")</f>
        <v/>
      </c>
      <c r="X1226" s="29" t="str">
        <f t="shared" si="69"/>
        <v/>
      </c>
      <c r="Y1226" s="29" t="str">
        <f>IF(AND(LEFT($B1226,7)="SBA 26/",$D1226&lt;&gt;"",$F1226&lt;&gt;""),COUNTIFS($D$2:$D1226,$D1226,$B$2:$B1226,"SBA 26/*",$F$2:$F1226,"&lt;&gt;"),"")</f>
        <v/>
      </c>
      <c r="Z1226" s="29" t="str">
        <f>IF(Y1226=1,COUNTIF($Y$2:Y1226,1),"")</f>
        <v/>
      </c>
      <c r="AA1226" s="29" t="str">
        <f>IF(AND(LEFT($B1226,7)="SBA 26/",$C1226&lt;&gt;"",$F1226&lt;&gt;""),COUNTIFS($C$2:$C1226,$C1226,$B$2:$B1226,"SBA 26/*",$F$2:$F1226,"&lt;&gt;"),"")</f>
        <v/>
      </c>
      <c r="AB1226" s="29" t="str">
        <f>IF(AA1226=1,COUNTIF($AA$2:AA1226,1),"")</f>
        <v/>
      </c>
    </row>
    <row r="1227" spans="6:28" ht="31.5" customHeight="1" x14ac:dyDescent="0.2">
      <c r="F1227" s="45" t="s">
        <v>3904</v>
      </c>
      <c r="T1227" s="41"/>
      <c r="U1227" s="29" t="str">
        <f>IF($C1227&lt;&gt;"",COUNTIF($C$2:C1227,C1227),"")</f>
        <v/>
      </c>
      <c r="V1227" s="29" t="str">
        <f t="shared" si="70"/>
        <v/>
      </c>
      <c r="W1227" s="29" t="str">
        <f>IF(U1227=1,COUNTIF($U$2:U1227,1),"")</f>
        <v/>
      </c>
      <c r="X1227" s="29" t="str">
        <f t="shared" si="69"/>
        <v/>
      </c>
      <c r="Y1227" s="29" t="str">
        <f>IF(AND(LEFT($B1227,7)="SBA 26/",$D1227&lt;&gt;"",$F1227&lt;&gt;""),COUNTIFS($D$2:$D1227,$D1227,$B$2:$B1227,"SBA 26/*",$F$2:$F1227,"&lt;&gt;"),"")</f>
        <v/>
      </c>
      <c r="Z1227" s="29" t="str">
        <f>IF(Y1227=1,COUNTIF($Y$2:Y1227,1),"")</f>
        <v/>
      </c>
      <c r="AA1227" s="29" t="str">
        <f>IF(AND(LEFT($B1227,7)="SBA 26/",$C1227&lt;&gt;"",$F1227&lt;&gt;""),COUNTIFS($C$2:$C1227,$C1227,$B$2:$B1227,"SBA 26/*",$F$2:$F1227,"&lt;&gt;"),"")</f>
        <v/>
      </c>
      <c r="AB1227" s="29" t="str">
        <f>IF(AA1227=1,COUNTIF($AA$2:AA1227,1),"")</f>
        <v/>
      </c>
    </row>
    <row r="1228" spans="6:28" ht="31.5" customHeight="1" x14ac:dyDescent="0.2">
      <c r="F1228" s="45" t="s">
        <v>3905</v>
      </c>
      <c r="T1228" s="41"/>
      <c r="U1228" s="29" t="str">
        <f>IF($C1228&lt;&gt;"",COUNTIF($C$2:C1228,C1228),"")</f>
        <v/>
      </c>
      <c r="V1228" s="29" t="str">
        <f t="shared" si="70"/>
        <v/>
      </c>
      <c r="W1228" s="29" t="str">
        <f>IF(U1228=1,COUNTIF($U$2:U1228,1),"")</f>
        <v/>
      </c>
      <c r="X1228" s="29" t="str">
        <f t="shared" si="69"/>
        <v/>
      </c>
      <c r="Y1228" s="29" t="str">
        <f>IF(AND(LEFT($B1228,7)="SBA 26/",$D1228&lt;&gt;"",$F1228&lt;&gt;""),COUNTIFS($D$2:$D1228,$D1228,$B$2:$B1228,"SBA 26/*",$F$2:$F1228,"&lt;&gt;"),"")</f>
        <v/>
      </c>
      <c r="Z1228" s="29" t="str">
        <f>IF(Y1228=1,COUNTIF($Y$2:Y1228,1),"")</f>
        <v/>
      </c>
      <c r="AA1228" s="29" t="str">
        <f>IF(AND(LEFT($B1228,7)="SBA 26/",$C1228&lt;&gt;"",$F1228&lt;&gt;""),COUNTIFS($C$2:$C1228,$C1228,$B$2:$B1228,"SBA 26/*",$F$2:$F1228,"&lt;&gt;"),"")</f>
        <v/>
      </c>
      <c r="AB1228" s="29" t="str">
        <f>IF(AA1228=1,COUNTIF($AA$2:AA1228,1),"")</f>
        <v/>
      </c>
    </row>
    <row r="1229" spans="6:28" ht="63" customHeight="1" x14ac:dyDescent="0.2">
      <c r="F1229" s="45" t="s">
        <v>3906</v>
      </c>
      <c r="T1229" s="41"/>
      <c r="U1229" s="29" t="str">
        <f>IF($C1229&lt;&gt;"",COUNTIF($C$2:C1229,C1229),"")</f>
        <v/>
      </c>
      <c r="V1229" s="29" t="str">
        <f t="shared" si="70"/>
        <v/>
      </c>
      <c r="W1229" s="29" t="str">
        <f>IF(U1229=1,COUNTIF($U$2:U1229,1),"")</f>
        <v/>
      </c>
      <c r="X1229" s="29" t="str">
        <f t="shared" si="69"/>
        <v/>
      </c>
      <c r="Y1229" s="29" t="str">
        <f>IF(AND(LEFT($B1229,7)="SBA 26/",$D1229&lt;&gt;"",$F1229&lt;&gt;""),COUNTIFS($D$2:$D1229,$D1229,$B$2:$B1229,"SBA 26/*",$F$2:$F1229,"&lt;&gt;"),"")</f>
        <v/>
      </c>
      <c r="Z1229" s="29" t="str">
        <f>IF(Y1229=1,COUNTIF($Y$2:Y1229,1),"")</f>
        <v/>
      </c>
      <c r="AA1229" s="29" t="str">
        <f>IF(AND(LEFT($B1229,7)="SBA 26/",$C1229&lt;&gt;"",$F1229&lt;&gt;""),COUNTIFS($C$2:$C1229,$C1229,$B$2:$B1229,"SBA 26/*",$F$2:$F1229,"&lt;&gt;"),"")</f>
        <v/>
      </c>
      <c r="AB1229" s="29" t="str">
        <f>IF(AA1229=1,COUNTIF($AA$2:AA1229,1),"")</f>
        <v/>
      </c>
    </row>
    <row r="1230" spans="6:28" ht="31.5" customHeight="1" x14ac:dyDescent="0.2">
      <c r="F1230" s="45" t="s">
        <v>3907</v>
      </c>
      <c r="T1230" s="41"/>
      <c r="U1230" s="29" t="str">
        <f>IF($C1230&lt;&gt;"",COUNTIF($C$2:C1230,C1230),"")</f>
        <v/>
      </c>
      <c r="V1230" s="29" t="str">
        <f t="shared" si="70"/>
        <v/>
      </c>
      <c r="W1230" s="29" t="str">
        <f>IF(U1230=1,COUNTIF($U$2:U1230,1),"")</f>
        <v/>
      </c>
      <c r="X1230" s="29" t="str">
        <f t="shared" si="69"/>
        <v/>
      </c>
      <c r="Y1230" s="29" t="str">
        <f>IF(AND(LEFT($B1230,7)="SBA 26/",$D1230&lt;&gt;"",$F1230&lt;&gt;""),COUNTIFS($D$2:$D1230,$D1230,$B$2:$B1230,"SBA 26/*",$F$2:$F1230,"&lt;&gt;"),"")</f>
        <v/>
      </c>
      <c r="Z1230" s="29" t="str">
        <f>IF(Y1230=1,COUNTIF($Y$2:Y1230,1),"")</f>
        <v/>
      </c>
      <c r="AA1230" s="29" t="str">
        <f>IF(AND(LEFT($B1230,7)="SBA 26/",$C1230&lt;&gt;"",$F1230&lt;&gt;""),COUNTIFS($C$2:$C1230,$C1230,$B$2:$B1230,"SBA 26/*",$F$2:$F1230,"&lt;&gt;"),"")</f>
        <v/>
      </c>
      <c r="AB1230" s="29" t="str">
        <f>IF(AA1230=1,COUNTIF($AA$2:AA1230,1),"")</f>
        <v/>
      </c>
    </row>
    <row r="1231" spans="6:28" ht="31.5" customHeight="1" x14ac:dyDescent="0.2">
      <c r="F1231" s="45" t="s">
        <v>3908</v>
      </c>
      <c r="T1231" s="41"/>
      <c r="U1231" s="29" t="str">
        <f>IF($C1231&lt;&gt;"",COUNTIF($C$2:C1231,C1231),"")</f>
        <v/>
      </c>
      <c r="V1231" s="29" t="str">
        <f t="shared" si="70"/>
        <v/>
      </c>
      <c r="W1231" s="29" t="str">
        <f>IF(U1231=1,COUNTIF($U$2:U1231,1),"")</f>
        <v/>
      </c>
      <c r="X1231" s="29" t="str">
        <f t="shared" si="69"/>
        <v/>
      </c>
      <c r="Y1231" s="29" t="str">
        <f>IF(AND(LEFT($B1231,7)="SBA 26/",$D1231&lt;&gt;"",$F1231&lt;&gt;""),COUNTIFS($D$2:$D1231,$D1231,$B$2:$B1231,"SBA 26/*",$F$2:$F1231,"&lt;&gt;"),"")</f>
        <v/>
      </c>
      <c r="Z1231" s="29" t="str">
        <f>IF(Y1231=1,COUNTIF($Y$2:Y1231,1),"")</f>
        <v/>
      </c>
      <c r="AA1231" s="29" t="str">
        <f>IF(AND(LEFT($B1231,7)="SBA 26/",$C1231&lt;&gt;"",$F1231&lt;&gt;""),COUNTIFS($C$2:$C1231,$C1231,$B$2:$B1231,"SBA 26/*",$F$2:$F1231,"&lt;&gt;"),"")</f>
        <v/>
      </c>
      <c r="AB1231" s="29" t="str">
        <f>IF(AA1231=1,COUNTIF($AA$2:AA1231,1),"")</f>
        <v/>
      </c>
    </row>
    <row r="1232" spans="6:28" ht="47.25" customHeight="1" x14ac:dyDescent="0.2">
      <c r="F1232" s="45" t="s">
        <v>3909</v>
      </c>
      <c r="T1232" s="41"/>
      <c r="U1232" s="29" t="str">
        <f>IF($C1232&lt;&gt;"",COUNTIF($C$2:C1232,C1232),"")</f>
        <v/>
      </c>
      <c r="V1232" s="29" t="str">
        <f t="shared" si="70"/>
        <v/>
      </c>
      <c r="W1232" s="29" t="str">
        <f>IF(U1232=1,COUNTIF($U$2:U1232,1),"")</f>
        <v/>
      </c>
      <c r="X1232" s="29" t="str">
        <f t="shared" si="69"/>
        <v/>
      </c>
      <c r="Y1232" s="29" t="str">
        <f>IF(AND(LEFT($B1232,7)="SBA 26/",$D1232&lt;&gt;"",$F1232&lt;&gt;""),COUNTIFS($D$2:$D1232,$D1232,$B$2:$B1232,"SBA 26/*",$F$2:$F1232,"&lt;&gt;"),"")</f>
        <v/>
      </c>
      <c r="Z1232" s="29" t="str">
        <f>IF(Y1232=1,COUNTIF($Y$2:Y1232,1),"")</f>
        <v/>
      </c>
      <c r="AA1232" s="29" t="str">
        <f>IF(AND(LEFT($B1232,7)="SBA 26/",$C1232&lt;&gt;"",$F1232&lt;&gt;""),COUNTIFS($C$2:$C1232,$C1232,$B$2:$B1232,"SBA 26/*",$F$2:$F1232,"&lt;&gt;"),"")</f>
        <v/>
      </c>
      <c r="AB1232" s="29" t="str">
        <f>IF(AA1232=1,COUNTIF($AA$2:AA1232,1),"")</f>
        <v/>
      </c>
    </row>
    <row r="1233" spans="6:28" ht="47.25" customHeight="1" x14ac:dyDescent="0.2">
      <c r="F1233" s="45" t="s">
        <v>3910</v>
      </c>
      <c r="T1233" s="41"/>
      <c r="U1233" s="29" t="str">
        <f>IF($C1233&lt;&gt;"",COUNTIF($C$2:C1233,C1233),"")</f>
        <v/>
      </c>
      <c r="V1233" s="29" t="str">
        <f t="shared" si="70"/>
        <v/>
      </c>
      <c r="W1233" s="29" t="str">
        <f>IF(U1233=1,COUNTIF($U$2:U1233,1),"")</f>
        <v/>
      </c>
      <c r="X1233" s="29" t="str">
        <f t="shared" si="69"/>
        <v/>
      </c>
      <c r="Y1233" s="29" t="str">
        <f>IF(AND(LEFT($B1233,7)="SBA 26/",$D1233&lt;&gt;"",$F1233&lt;&gt;""),COUNTIFS($D$2:$D1233,$D1233,$B$2:$B1233,"SBA 26/*",$F$2:$F1233,"&lt;&gt;"),"")</f>
        <v/>
      </c>
      <c r="Z1233" s="29" t="str">
        <f>IF(Y1233=1,COUNTIF($Y$2:Y1233,1),"")</f>
        <v/>
      </c>
      <c r="AA1233" s="29" t="str">
        <f>IF(AND(LEFT($B1233,7)="SBA 26/",$C1233&lt;&gt;"",$F1233&lt;&gt;""),COUNTIFS($C$2:$C1233,$C1233,$B$2:$B1233,"SBA 26/*",$F$2:$F1233,"&lt;&gt;"),"")</f>
        <v/>
      </c>
      <c r="AB1233" s="29" t="str">
        <f>IF(AA1233=1,COUNTIF($AA$2:AA1233,1),"")</f>
        <v/>
      </c>
    </row>
    <row r="1234" spans="6:28" ht="47.25" customHeight="1" x14ac:dyDescent="0.2">
      <c r="F1234" s="45" t="s">
        <v>3911</v>
      </c>
      <c r="T1234" s="41"/>
      <c r="U1234" s="29" t="str">
        <f>IF($C1234&lt;&gt;"",COUNTIF($C$2:C1234,C1234),"")</f>
        <v/>
      </c>
      <c r="V1234" s="29" t="str">
        <f t="shared" si="70"/>
        <v/>
      </c>
      <c r="W1234" s="29" t="str">
        <f>IF(U1234=1,COUNTIF($U$2:U1234,1),"")</f>
        <v/>
      </c>
      <c r="X1234" s="29" t="str">
        <f t="shared" si="69"/>
        <v/>
      </c>
      <c r="Y1234" s="29" t="str">
        <f>IF(AND(LEFT($B1234,7)="SBA 26/",$D1234&lt;&gt;"",$F1234&lt;&gt;""),COUNTIFS($D$2:$D1234,$D1234,$B$2:$B1234,"SBA 26/*",$F$2:$F1234,"&lt;&gt;"),"")</f>
        <v/>
      </c>
      <c r="Z1234" s="29" t="str">
        <f>IF(Y1234=1,COUNTIF($Y$2:Y1234,1),"")</f>
        <v/>
      </c>
      <c r="AA1234" s="29" t="str">
        <f>IF(AND(LEFT($B1234,7)="SBA 26/",$C1234&lt;&gt;"",$F1234&lt;&gt;""),COUNTIFS($C$2:$C1234,$C1234,$B$2:$B1234,"SBA 26/*",$F$2:$F1234,"&lt;&gt;"),"")</f>
        <v/>
      </c>
      <c r="AB1234" s="29" t="str">
        <f>IF(AA1234=1,COUNTIF($AA$2:AA1234,1),"")</f>
        <v/>
      </c>
    </row>
    <row r="1235" spans="6:28" ht="31.5" customHeight="1" x14ac:dyDescent="0.2">
      <c r="F1235" s="45" t="s">
        <v>3912</v>
      </c>
      <c r="T1235" s="41"/>
      <c r="U1235" s="29" t="str">
        <f>IF($C1235&lt;&gt;"",COUNTIF($C$2:C1235,C1235),"")</f>
        <v/>
      </c>
      <c r="V1235" s="29" t="str">
        <f t="shared" si="70"/>
        <v/>
      </c>
      <c r="W1235" s="29" t="str">
        <f>IF(U1235=1,COUNTIF($U$2:U1235,1),"")</f>
        <v/>
      </c>
      <c r="X1235" s="29" t="str">
        <f t="shared" si="69"/>
        <v/>
      </c>
      <c r="Y1235" s="29" t="str">
        <f>IF(AND(LEFT($B1235,7)="SBA 26/",$D1235&lt;&gt;"",$F1235&lt;&gt;""),COUNTIFS($D$2:$D1235,$D1235,$B$2:$B1235,"SBA 26/*",$F$2:$F1235,"&lt;&gt;"),"")</f>
        <v/>
      </c>
      <c r="Z1235" s="29" t="str">
        <f>IF(Y1235=1,COUNTIF($Y$2:Y1235,1),"")</f>
        <v/>
      </c>
      <c r="AA1235" s="29" t="str">
        <f>IF(AND(LEFT($B1235,7)="SBA 26/",$C1235&lt;&gt;"",$F1235&lt;&gt;""),COUNTIFS($C$2:$C1235,$C1235,$B$2:$B1235,"SBA 26/*",$F$2:$F1235,"&lt;&gt;"),"")</f>
        <v/>
      </c>
      <c r="AB1235" s="29" t="str">
        <f>IF(AA1235=1,COUNTIF($AA$2:AA1235,1),"")</f>
        <v/>
      </c>
    </row>
    <row r="1236" spans="6:28" ht="63" customHeight="1" x14ac:dyDescent="0.2">
      <c r="F1236" s="45" t="s">
        <v>3913</v>
      </c>
      <c r="T1236" s="41"/>
      <c r="U1236" s="29" t="str">
        <f>IF($C1236&lt;&gt;"",COUNTIF($C$2:C1236,C1236),"")</f>
        <v/>
      </c>
      <c r="V1236" s="29" t="str">
        <f t="shared" si="70"/>
        <v/>
      </c>
      <c r="W1236" s="29" t="str">
        <f>IF(U1236=1,COUNTIF($U$2:U1236,1),"")</f>
        <v/>
      </c>
      <c r="X1236" s="29" t="str">
        <f t="shared" si="69"/>
        <v/>
      </c>
      <c r="Y1236" s="29" t="str">
        <f>IF(AND(LEFT($B1236,7)="SBA 26/",$D1236&lt;&gt;"",$F1236&lt;&gt;""),COUNTIFS($D$2:$D1236,$D1236,$B$2:$B1236,"SBA 26/*",$F$2:$F1236,"&lt;&gt;"),"")</f>
        <v/>
      </c>
      <c r="Z1236" s="29" t="str">
        <f>IF(Y1236=1,COUNTIF($Y$2:Y1236,1),"")</f>
        <v/>
      </c>
      <c r="AA1236" s="29" t="str">
        <f>IF(AND(LEFT($B1236,7)="SBA 26/",$C1236&lt;&gt;"",$F1236&lt;&gt;""),COUNTIFS($C$2:$C1236,$C1236,$B$2:$B1236,"SBA 26/*",$F$2:$F1236,"&lt;&gt;"),"")</f>
        <v/>
      </c>
      <c r="AB1236" s="29" t="str">
        <f>IF(AA1236=1,COUNTIF($AA$2:AA1236,1),"")</f>
        <v/>
      </c>
    </row>
    <row r="1237" spans="6:28" ht="31.5" customHeight="1" x14ac:dyDescent="0.2">
      <c r="F1237" s="45" t="s">
        <v>3914</v>
      </c>
      <c r="T1237" s="41"/>
      <c r="U1237" s="29" t="str">
        <f>IF($C1237&lt;&gt;"",COUNTIF($C$2:C1237,C1237),"")</f>
        <v/>
      </c>
      <c r="V1237" s="29" t="str">
        <f t="shared" si="70"/>
        <v/>
      </c>
      <c r="W1237" s="29" t="str">
        <f>IF(U1237=1,COUNTIF($U$2:U1237,1),"")</f>
        <v/>
      </c>
      <c r="X1237" s="29" t="str">
        <f t="shared" si="69"/>
        <v/>
      </c>
      <c r="Y1237" s="29" t="str">
        <f>IF(AND(LEFT($B1237,7)="SBA 26/",$D1237&lt;&gt;"",$F1237&lt;&gt;""),COUNTIFS($D$2:$D1237,$D1237,$B$2:$B1237,"SBA 26/*",$F$2:$F1237,"&lt;&gt;"),"")</f>
        <v/>
      </c>
      <c r="Z1237" s="29" t="str">
        <f>IF(Y1237=1,COUNTIF($Y$2:Y1237,1),"")</f>
        <v/>
      </c>
      <c r="AA1237" s="29" t="str">
        <f>IF(AND(LEFT($B1237,7)="SBA 26/",$C1237&lt;&gt;"",$F1237&lt;&gt;""),COUNTIFS($C$2:$C1237,$C1237,$B$2:$B1237,"SBA 26/*",$F$2:$F1237,"&lt;&gt;"),"")</f>
        <v/>
      </c>
      <c r="AB1237" s="29" t="str">
        <f>IF(AA1237=1,COUNTIF($AA$2:AA1237,1),"")</f>
        <v/>
      </c>
    </row>
    <row r="1238" spans="6:28" ht="63" customHeight="1" x14ac:dyDescent="0.2">
      <c r="F1238" s="45" t="s">
        <v>3915</v>
      </c>
      <c r="T1238" s="41"/>
      <c r="U1238" s="29" t="str">
        <f>IF($C1238&lt;&gt;"",COUNTIF($C$2:C1238,C1238),"")</f>
        <v/>
      </c>
      <c r="V1238" s="29" t="str">
        <f t="shared" si="70"/>
        <v/>
      </c>
      <c r="W1238" s="29" t="str">
        <f>IF(U1238=1,COUNTIF($U$2:U1238,1),"")</f>
        <v/>
      </c>
      <c r="X1238" s="29" t="str">
        <f t="shared" si="69"/>
        <v/>
      </c>
      <c r="Y1238" s="29" t="str">
        <f>IF(AND(LEFT($B1238,7)="SBA 26/",$D1238&lt;&gt;"",$F1238&lt;&gt;""),COUNTIFS($D$2:$D1238,$D1238,$B$2:$B1238,"SBA 26/*",$F$2:$F1238,"&lt;&gt;"),"")</f>
        <v/>
      </c>
      <c r="Z1238" s="29" t="str">
        <f>IF(Y1238=1,COUNTIF($Y$2:Y1238,1),"")</f>
        <v/>
      </c>
      <c r="AA1238" s="29" t="str">
        <f>IF(AND(LEFT($B1238,7)="SBA 26/",$C1238&lt;&gt;"",$F1238&lt;&gt;""),COUNTIFS($C$2:$C1238,$C1238,$B$2:$B1238,"SBA 26/*",$F$2:$F1238,"&lt;&gt;"),"")</f>
        <v/>
      </c>
      <c r="AB1238" s="29" t="str">
        <f>IF(AA1238=1,COUNTIF($AA$2:AA1238,1),"")</f>
        <v/>
      </c>
    </row>
    <row r="1239" spans="6:28" ht="47.25" customHeight="1" x14ac:dyDescent="0.2">
      <c r="F1239" s="45" t="s">
        <v>3916</v>
      </c>
      <c r="T1239" s="41"/>
      <c r="U1239" s="29" t="str">
        <f>IF($C1239&lt;&gt;"",COUNTIF($C$2:C1239,C1239),"")</f>
        <v/>
      </c>
      <c r="V1239" s="29" t="str">
        <f t="shared" si="70"/>
        <v/>
      </c>
      <c r="W1239" s="29" t="str">
        <f>IF(U1239=1,COUNTIF($U$2:U1239,1),"")</f>
        <v/>
      </c>
      <c r="X1239" s="29" t="str">
        <f t="shared" si="69"/>
        <v/>
      </c>
      <c r="Y1239" s="29" t="str">
        <f>IF(AND(LEFT($B1239,7)="SBA 26/",$D1239&lt;&gt;"",$F1239&lt;&gt;""),COUNTIFS($D$2:$D1239,$D1239,$B$2:$B1239,"SBA 26/*",$F$2:$F1239,"&lt;&gt;"),"")</f>
        <v/>
      </c>
      <c r="Z1239" s="29" t="str">
        <f>IF(Y1239=1,COUNTIF($Y$2:Y1239,1),"")</f>
        <v/>
      </c>
      <c r="AA1239" s="29" t="str">
        <f>IF(AND(LEFT($B1239,7)="SBA 26/",$C1239&lt;&gt;"",$F1239&lt;&gt;""),COUNTIFS($C$2:$C1239,$C1239,$B$2:$B1239,"SBA 26/*",$F$2:$F1239,"&lt;&gt;"),"")</f>
        <v/>
      </c>
      <c r="AB1239" s="29" t="str">
        <f>IF(AA1239=1,COUNTIF($AA$2:AA1239,1),"")</f>
        <v/>
      </c>
    </row>
    <row r="1240" spans="6:28" ht="63" customHeight="1" x14ac:dyDescent="0.2">
      <c r="F1240" s="45" t="s">
        <v>3917</v>
      </c>
      <c r="T1240" s="41"/>
      <c r="U1240" s="29" t="str">
        <f>IF($C1240&lt;&gt;"",COUNTIF($C$2:C1240,C1240),"")</f>
        <v/>
      </c>
      <c r="V1240" s="29" t="str">
        <f t="shared" si="70"/>
        <v/>
      </c>
      <c r="W1240" s="29" t="str">
        <f>IF(U1240=1,COUNTIF($U$2:U1240,1),"")</f>
        <v/>
      </c>
      <c r="X1240" s="29" t="str">
        <f t="shared" si="69"/>
        <v/>
      </c>
      <c r="Y1240" s="29" t="str">
        <f>IF(AND(LEFT($B1240,7)="SBA 26/",$D1240&lt;&gt;"",$F1240&lt;&gt;""),COUNTIFS($D$2:$D1240,$D1240,$B$2:$B1240,"SBA 26/*",$F$2:$F1240,"&lt;&gt;"),"")</f>
        <v/>
      </c>
      <c r="Z1240" s="29" t="str">
        <f>IF(Y1240=1,COUNTIF($Y$2:Y1240,1),"")</f>
        <v/>
      </c>
      <c r="AA1240" s="29" t="str">
        <f>IF(AND(LEFT($B1240,7)="SBA 26/",$C1240&lt;&gt;"",$F1240&lt;&gt;""),COUNTIFS($C$2:$C1240,$C1240,$B$2:$B1240,"SBA 26/*",$F$2:$F1240,"&lt;&gt;"),"")</f>
        <v/>
      </c>
      <c r="AB1240" s="29" t="str">
        <f>IF(AA1240=1,COUNTIF($AA$2:AA1240,1),"")</f>
        <v/>
      </c>
    </row>
    <row r="1241" spans="6:28" ht="31.5" customHeight="1" x14ac:dyDescent="0.2">
      <c r="F1241" s="45" t="s">
        <v>3918</v>
      </c>
      <c r="T1241" s="41"/>
      <c r="U1241" s="29" t="str">
        <f>IF($C1241&lt;&gt;"",COUNTIF($C$2:C1241,C1241),"")</f>
        <v/>
      </c>
      <c r="V1241" s="29" t="str">
        <f t="shared" si="70"/>
        <v/>
      </c>
      <c r="W1241" s="29" t="str">
        <f>IF(U1241=1,COUNTIF($U$2:U1241,1),"")</f>
        <v/>
      </c>
      <c r="X1241" s="29" t="str">
        <f t="shared" si="69"/>
        <v/>
      </c>
      <c r="Y1241" s="29" t="str">
        <f>IF(AND(LEFT($B1241,7)="SBA 26/",$D1241&lt;&gt;"",$F1241&lt;&gt;""),COUNTIFS($D$2:$D1241,$D1241,$B$2:$B1241,"SBA 26/*",$F$2:$F1241,"&lt;&gt;"),"")</f>
        <v/>
      </c>
      <c r="Z1241" s="29" t="str">
        <f>IF(Y1241=1,COUNTIF($Y$2:Y1241,1),"")</f>
        <v/>
      </c>
      <c r="AA1241" s="29" t="str">
        <f>IF(AND(LEFT($B1241,7)="SBA 26/",$C1241&lt;&gt;"",$F1241&lt;&gt;""),COUNTIFS($C$2:$C1241,$C1241,$B$2:$B1241,"SBA 26/*",$F$2:$F1241,"&lt;&gt;"),"")</f>
        <v/>
      </c>
      <c r="AB1241" s="29" t="str">
        <f>IF(AA1241=1,COUNTIF($AA$2:AA1241,1),"")</f>
        <v/>
      </c>
    </row>
    <row r="1242" spans="6:28" ht="47.25" customHeight="1" x14ac:dyDescent="0.2">
      <c r="F1242" s="45" t="s">
        <v>3919</v>
      </c>
      <c r="T1242" s="41"/>
      <c r="U1242" s="29" t="str">
        <f>IF($C1242&lt;&gt;"",COUNTIF($C$2:C1242,C1242),"")</f>
        <v/>
      </c>
      <c r="V1242" s="29" t="str">
        <f t="shared" si="70"/>
        <v/>
      </c>
      <c r="W1242" s="29" t="str">
        <f>IF(U1242=1,COUNTIF($U$2:U1242,1),"")</f>
        <v/>
      </c>
      <c r="X1242" s="29" t="str">
        <f t="shared" si="69"/>
        <v/>
      </c>
      <c r="Y1242" s="29" t="str">
        <f>IF(AND(LEFT($B1242,7)="SBA 26/",$D1242&lt;&gt;"",$F1242&lt;&gt;""),COUNTIFS($D$2:$D1242,$D1242,$B$2:$B1242,"SBA 26/*",$F$2:$F1242,"&lt;&gt;"),"")</f>
        <v/>
      </c>
      <c r="Z1242" s="29" t="str">
        <f>IF(Y1242=1,COUNTIF($Y$2:Y1242,1),"")</f>
        <v/>
      </c>
      <c r="AA1242" s="29" t="str">
        <f>IF(AND(LEFT($B1242,7)="SBA 26/",$C1242&lt;&gt;"",$F1242&lt;&gt;""),COUNTIFS($C$2:$C1242,$C1242,$B$2:$B1242,"SBA 26/*",$F$2:$F1242,"&lt;&gt;"),"")</f>
        <v/>
      </c>
      <c r="AB1242" s="29" t="str">
        <f>IF(AA1242=1,COUNTIF($AA$2:AA1242,1),"")</f>
        <v/>
      </c>
    </row>
    <row r="1243" spans="6:28" ht="47.25" customHeight="1" x14ac:dyDescent="0.2">
      <c r="F1243" s="45" t="s">
        <v>3920</v>
      </c>
      <c r="T1243" s="41"/>
      <c r="U1243" s="29" t="str">
        <f>IF($C1243&lt;&gt;"",COUNTIF($C$2:C1243,C1243),"")</f>
        <v/>
      </c>
      <c r="V1243" s="29" t="str">
        <f t="shared" si="70"/>
        <v/>
      </c>
      <c r="W1243" s="29" t="str">
        <f>IF(U1243=1,COUNTIF($U$2:U1243,1),"")</f>
        <v/>
      </c>
      <c r="X1243" s="29" t="str">
        <f t="shared" si="69"/>
        <v/>
      </c>
      <c r="Y1243" s="29" t="str">
        <f>IF(AND(LEFT($B1243,7)="SBA 26/",$D1243&lt;&gt;"",$F1243&lt;&gt;""),COUNTIFS($D$2:$D1243,$D1243,$B$2:$B1243,"SBA 26/*",$F$2:$F1243,"&lt;&gt;"),"")</f>
        <v/>
      </c>
      <c r="Z1243" s="29" t="str">
        <f>IF(Y1243=1,COUNTIF($Y$2:Y1243,1),"")</f>
        <v/>
      </c>
      <c r="AA1243" s="29" t="str">
        <f>IF(AND(LEFT($B1243,7)="SBA 26/",$C1243&lt;&gt;"",$F1243&lt;&gt;""),COUNTIFS($C$2:$C1243,$C1243,$B$2:$B1243,"SBA 26/*",$F$2:$F1243,"&lt;&gt;"),"")</f>
        <v/>
      </c>
      <c r="AB1243" s="29" t="str">
        <f>IF(AA1243=1,COUNTIF($AA$2:AA1243,1),"")</f>
        <v/>
      </c>
    </row>
    <row r="1244" spans="6:28" ht="47.25" customHeight="1" x14ac:dyDescent="0.2">
      <c r="F1244" s="45" t="s">
        <v>3921</v>
      </c>
      <c r="T1244" s="41"/>
      <c r="U1244" s="29" t="str">
        <f>IF($C1244&lt;&gt;"",COUNTIF($C$2:C1244,C1244),"")</f>
        <v/>
      </c>
      <c r="V1244" s="29" t="str">
        <f t="shared" si="70"/>
        <v/>
      </c>
      <c r="W1244" s="29" t="str">
        <f>IF(U1244=1,COUNTIF($U$2:U1244,1),"")</f>
        <v/>
      </c>
      <c r="X1244" s="29" t="str">
        <f t="shared" si="69"/>
        <v/>
      </c>
      <c r="Y1244" s="29" t="str">
        <f>IF(AND(LEFT($B1244,7)="SBA 26/",$D1244&lt;&gt;"",$F1244&lt;&gt;""),COUNTIFS($D$2:$D1244,$D1244,$B$2:$B1244,"SBA 26/*",$F$2:$F1244,"&lt;&gt;"),"")</f>
        <v/>
      </c>
      <c r="Z1244" s="29" t="str">
        <f>IF(Y1244=1,COUNTIF($Y$2:Y1244,1),"")</f>
        <v/>
      </c>
      <c r="AA1244" s="29" t="str">
        <f>IF(AND(LEFT($B1244,7)="SBA 26/",$C1244&lt;&gt;"",$F1244&lt;&gt;""),COUNTIFS($C$2:$C1244,$C1244,$B$2:$B1244,"SBA 26/*",$F$2:$F1244,"&lt;&gt;"),"")</f>
        <v/>
      </c>
      <c r="AB1244" s="29" t="str">
        <f>IF(AA1244=1,COUNTIF($AA$2:AA1244,1),"")</f>
        <v/>
      </c>
    </row>
    <row r="1245" spans="6:28" ht="31.5" customHeight="1" x14ac:dyDescent="0.2">
      <c r="F1245" s="45" t="s">
        <v>3922</v>
      </c>
      <c r="T1245" s="41"/>
      <c r="U1245" s="29" t="str">
        <f>IF($C1245&lt;&gt;"",COUNTIF($C$2:C1245,C1245),"")</f>
        <v/>
      </c>
      <c r="V1245" s="29" t="str">
        <f t="shared" si="70"/>
        <v/>
      </c>
      <c r="W1245" s="29" t="str">
        <f>IF(U1245=1,COUNTIF($U$2:U1245,1),"")</f>
        <v/>
      </c>
      <c r="X1245" s="29" t="str">
        <f t="shared" si="69"/>
        <v/>
      </c>
      <c r="Y1245" s="29" t="str">
        <f>IF(AND(LEFT($B1245,7)="SBA 26/",$D1245&lt;&gt;"",$F1245&lt;&gt;""),COUNTIFS($D$2:$D1245,$D1245,$B$2:$B1245,"SBA 26/*",$F$2:$F1245,"&lt;&gt;"),"")</f>
        <v/>
      </c>
      <c r="Z1245" s="29" t="str">
        <f>IF(Y1245=1,COUNTIF($Y$2:Y1245,1),"")</f>
        <v/>
      </c>
      <c r="AA1245" s="29" t="str">
        <f>IF(AND(LEFT($B1245,7)="SBA 26/",$C1245&lt;&gt;"",$F1245&lt;&gt;""),COUNTIFS($C$2:$C1245,$C1245,$B$2:$B1245,"SBA 26/*",$F$2:$F1245,"&lt;&gt;"),"")</f>
        <v/>
      </c>
      <c r="AB1245" s="29" t="str">
        <f>IF(AA1245=1,COUNTIF($AA$2:AA1245,1),"")</f>
        <v/>
      </c>
    </row>
    <row r="1246" spans="6:28" ht="31.5" customHeight="1" x14ac:dyDescent="0.2">
      <c r="F1246" s="45" t="s">
        <v>3923</v>
      </c>
      <c r="T1246" s="41"/>
      <c r="U1246" s="29" t="str">
        <f>IF($C1246&lt;&gt;"",COUNTIF($C$2:C1246,C1246),"")</f>
        <v/>
      </c>
      <c r="V1246" s="29" t="str">
        <f t="shared" si="70"/>
        <v/>
      </c>
      <c r="W1246" s="29" t="str">
        <f>IF(U1246=1,COUNTIF($U$2:U1246,1),"")</f>
        <v/>
      </c>
      <c r="X1246" s="29" t="str">
        <f t="shared" si="69"/>
        <v/>
      </c>
      <c r="Y1246" s="29" t="str">
        <f>IF(AND(LEFT($B1246,7)="SBA 26/",$D1246&lt;&gt;"",$F1246&lt;&gt;""),COUNTIFS($D$2:$D1246,$D1246,$B$2:$B1246,"SBA 26/*",$F$2:$F1246,"&lt;&gt;"),"")</f>
        <v/>
      </c>
      <c r="Z1246" s="29" t="str">
        <f>IF(Y1246=1,COUNTIF($Y$2:Y1246,1),"")</f>
        <v/>
      </c>
      <c r="AA1246" s="29" t="str">
        <f>IF(AND(LEFT($B1246,7)="SBA 26/",$C1246&lt;&gt;"",$F1246&lt;&gt;""),COUNTIFS($C$2:$C1246,$C1246,$B$2:$B1246,"SBA 26/*",$F$2:$F1246,"&lt;&gt;"),"")</f>
        <v/>
      </c>
      <c r="AB1246" s="29" t="str">
        <f>IF(AA1246=1,COUNTIF($AA$2:AA1246,1),"")</f>
        <v/>
      </c>
    </row>
    <row r="1247" spans="6:28" ht="47.25" customHeight="1" x14ac:dyDescent="0.2">
      <c r="F1247" s="45" t="s">
        <v>3924</v>
      </c>
      <c r="T1247" s="41"/>
      <c r="U1247" s="29" t="str">
        <f>IF($C1247&lt;&gt;"",COUNTIF($C$2:C1247,C1247),"")</f>
        <v/>
      </c>
      <c r="V1247" s="29" t="str">
        <f t="shared" si="70"/>
        <v/>
      </c>
      <c r="W1247" s="29" t="str">
        <f>IF(U1247=1,COUNTIF($U$2:U1247,1),"")</f>
        <v/>
      </c>
      <c r="X1247" s="29" t="str">
        <f t="shared" si="69"/>
        <v/>
      </c>
      <c r="Y1247" s="29" t="str">
        <f>IF(AND(LEFT($B1247,7)="SBA 26/",$D1247&lt;&gt;"",$F1247&lt;&gt;""),COUNTIFS($D$2:$D1247,$D1247,$B$2:$B1247,"SBA 26/*",$F$2:$F1247,"&lt;&gt;"),"")</f>
        <v/>
      </c>
      <c r="Z1247" s="29" t="str">
        <f>IF(Y1247=1,COUNTIF($Y$2:Y1247,1),"")</f>
        <v/>
      </c>
      <c r="AA1247" s="29" t="str">
        <f>IF(AND(LEFT($B1247,7)="SBA 26/",$C1247&lt;&gt;"",$F1247&lt;&gt;""),COUNTIFS($C$2:$C1247,$C1247,$B$2:$B1247,"SBA 26/*",$F$2:$F1247,"&lt;&gt;"),"")</f>
        <v/>
      </c>
      <c r="AB1247" s="29" t="str">
        <f>IF(AA1247=1,COUNTIF($AA$2:AA1247,1),"")</f>
        <v/>
      </c>
    </row>
    <row r="1248" spans="6:28" ht="47.25" customHeight="1" x14ac:dyDescent="0.2">
      <c r="F1248" s="45" t="s">
        <v>3925</v>
      </c>
      <c r="T1248" s="41"/>
      <c r="U1248" s="29" t="str">
        <f>IF($C1248&lt;&gt;"",COUNTIF($C$2:C1248,C1248),"")</f>
        <v/>
      </c>
      <c r="V1248" s="29" t="str">
        <f t="shared" si="70"/>
        <v/>
      </c>
      <c r="W1248" s="29" t="str">
        <f>IF(U1248=1,COUNTIF($U$2:U1248,1),"")</f>
        <v/>
      </c>
      <c r="X1248" s="29" t="str">
        <f t="shared" si="69"/>
        <v/>
      </c>
      <c r="Y1248" s="29" t="str">
        <f>IF(AND(LEFT($B1248,7)="SBA 26/",$D1248&lt;&gt;"",$F1248&lt;&gt;""),COUNTIFS($D$2:$D1248,$D1248,$B$2:$B1248,"SBA 26/*",$F$2:$F1248,"&lt;&gt;"),"")</f>
        <v/>
      </c>
      <c r="Z1248" s="29" t="str">
        <f>IF(Y1248=1,COUNTIF($Y$2:Y1248,1),"")</f>
        <v/>
      </c>
      <c r="AA1248" s="29" t="str">
        <f>IF(AND(LEFT($B1248,7)="SBA 26/",$C1248&lt;&gt;"",$F1248&lt;&gt;""),COUNTIFS($C$2:$C1248,$C1248,$B$2:$B1248,"SBA 26/*",$F$2:$F1248,"&lt;&gt;"),"")</f>
        <v/>
      </c>
      <c r="AB1248" s="29" t="str">
        <f>IF(AA1248=1,COUNTIF($AA$2:AA1248,1),"")</f>
        <v/>
      </c>
    </row>
    <row r="1249" spans="6:28" ht="47.25" customHeight="1" x14ac:dyDescent="0.2">
      <c r="F1249" s="45" t="s">
        <v>3926</v>
      </c>
      <c r="T1249" s="41"/>
      <c r="U1249" s="29" t="str">
        <f>IF($C1249&lt;&gt;"",COUNTIF($C$2:C1249,C1249),"")</f>
        <v/>
      </c>
      <c r="V1249" s="29" t="str">
        <f t="shared" si="70"/>
        <v/>
      </c>
      <c r="W1249" s="29" t="str">
        <f>IF(U1249=1,COUNTIF($U$2:U1249,1),"")</f>
        <v/>
      </c>
      <c r="X1249" s="29" t="str">
        <f t="shared" si="69"/>
        <v/>
      </c>
      <c r="Y1249" s="29" t="str">
        <f>IF(AND(LEFT($B1249,7)="SBA 26/",$D1249&lt;&gt;"",$F1249&lt;&gt;""),COUNTIFS($D$2:$D1249,$D1249,$B$2:$B1249,"SBA 26/*",$F$2:$F1249,"&lt;&gt;"),"")</f>
        <v/>
      </c>
      <c r="Z1249" s="29" t="str">
        <f>IF(Y1249=1,COUNTIF($Y$2:Y1249,1),"")</f>
        <v/>
      </c>
      <c r="AA1249" s="29" t="str">
        <f>IF(AND(LEFT($B1249,7)="SBA 26/",$C1249&lt;&gt;"",$F1249&lt;&gt;""),COUNTIFS($C$2:$C1249,$C1249,$B$2:$B1249,"SBA 26/*",$F$2:$F1249,"&lt;&gt;"),"")</f>
        <v/>
      </c>
      <c r="AB1249" s="29" t="str">
        <f>IF(AA1249=1,COUNTIF($AA$2:AA1249,1),"")</f>
        <v/>
      </c>
    </row>
    <row r="1250" spans="6:28" ht="47.25" customHeight="1" x14ac:dyDescent="0.2">
      <c r="F1250" s="45" t="s">
        <v>3927</v>
      </c>
      <c r="T1250" s="41"/>
      <c r="U1250" s="29" t="str">
        <f>IF($C1250&lt;&gt;"",COUNTIF($C$2:C1250,C1250),"")</f>
        <v/>
      </c>
      <c r="V1250" s="29" t="str">
        <f t="shared" si="70"/>
        <v/>
      </c>
      <c r="W1250" s="29" t="str">
        <f>IF(U1250=1,COUNTIF($U$2:U1250,1),"")</f>
        <v/>
      </c>
      <c r="X1250" s="29" t="str">
        <f t="shared" si="69"/>
        <v/>
      </c>
      <c r="Y1250" s="29" t="str">
        <f>IF(AND(LEFT($B1250,7)="SBA 26/",$D1250&lt;&gt;"",$F1250&lt;&gt;""),COUNTIFS($D$2:$D1250,$D1250,$B$2:$B1250,"SBA 26/*",$F$2:$F1250,"&lt;&gt;"),"")</f>
        <v/>
      </c>
      <c r="Z1250" s="29" t="str">
        <f>IF(Y1250=1,COUNTIF($Y$2:Y1250,1),"")</f>
        <v/>
      </c>
      <c r="AA1250" s="29" t="str">
        <f>IF(AND(LEFT($B1250,7)="SBA 26/",$C1250&lt;&gt;"",$F1250&lt;&gt;""),COUNTIFS($C$2:$C1250,$C1250,$B$2:$B1250,"SBA 26/*",$F$2:$F1250,"&lt;&gt;"),"")</f>
        <v/>
      </c>
      <c r="AB1250" s="29" t="str">
        <f>IF(AA1250=1,COUNTIF($AA$2:AA1250,1),"")</f>
        <v/>
      </c>
    </row>
    <row r="1251" spans="6:28" ht="31.5" customHeight="1" x14ac:dyDescent="0.2">
      <c r="F1251" s="45" t="s">
        <v>3928</v>
      </c>
      <c r="T1251" s="41"/>
      <c r="U1251" s="29" t="str">
        <f>IF($C1251&lt;&gt;"",COUNTIF($C$2:C1251,C1251),"")</f>
        <v/>
      </c>
      <c r="V1251" s="29" t="str">
        <f t="shared" si="70"/>
        <v/>
      </c>
      <c r="W1251" s="29" t="str">
        <f>IF(U1251=1,COUNTIF($U$2:U1251,1),"")</f>
        <v/>
      </c>
      <c r="X1251" s="29" t="str">
        <f t="shared" si="69"/>
        <v/>
      </c>
      <c r="Y1251" s="29" t="str">
        <f>IF(AND(LEFT($B1251,7)="SBA 26/",$D1251&lt;&gt;"",$F1251&lt;&gt;""),COUNTIFS($D$2:$D1251,$D1251,$B$2:$B1251,"SBA 26/*",$F$2:$F1251,"&lt;&gt;"),"")</f>
        <v/>
      </c>
      <c r="Z1251" s="29" t="str">
        <f>IF(Y1251=1,COUNTIF($Y$2:Y1251,1),"")</f>
        <v/>
      </c>
      <c r="AA1251" s="29" t="str">
        <f>IF(AND(LEFT($B1251,7)="SBA 26/",$C1251&lt;&gt;"",$F1251&lt;&gt;""),COUNTIFS($C$2:$C1251,$C1251,$B$2:$B1251,"SBA 26/*",$F$2:$F1251,"&lt;&gt;"),"")</f>
        <v/>
      </c>
      <c r="AB1251" s="29" t="str">
        <f>IF(AA1251=1,COUNTIF($AA$2:AA1251,1),"")</f>
        <v/>
      </c>
    </row>
    <row r="1252" spans="6:28" ht="63" customHeight="1" x14ac:dyDescent="0.2">
      <c r="F1252" s="45" t="s">
        <v>3929</v>
      </c>
      <c r="T1252" s="41"/>
      <c r="U1252" s="29" t="str">
        <f>IF($C1252&lt;&gt;"",COUNTIF($C$2:C1252,C1252),"")</f>
        <v/>
      </c>
      <c r="V1252" s="29" t="str">
        <f t="shared" si="70"/>
        <v/>
      </c>
      <c r="W1252" s="29" t="str">
        <f>IF(U1252=1,COUNTIF($U$2:U1252,1),"")</f>
        <v/>
      </c>
      <c r="X1252" s="29" t="str">
        <f t="shared" si="69"/>
        <v/>
      </c>
      <c r="Y1252" s="29" t="str">
        <f>IF(AND(LEFT($B1252,7)="SBA 26/",$D1252&lt;&gt;"",$F1252&lt;&gt;""),COUNTIFS($D$2:$D1252,$D1252,$B$2:$B1252,"SBA 26/*",$F$2:$F1252,"&lt;&gt;"),"")</f>
        <v/>
      </c>
      <c r="Z1252" s="29" t="str">
        <f>IF(Y1252=1,COUNTIF($Y$2:Y1252,1),"")</f>
        <v/>
      </c>
      <c r="AA1252" s="29" t="str">
        <f>IF(AND(LEFT($B1252,7)="SBA 26/",$C1252&lt;&gt;"",$F1252&lt;&gt;""),COUNTIFS($C$2:$C1252,$C1252,$B$2:$B1252,"SBA 26/*",$F$2:$F1252,"&lt;&gt;"),"")</f>
        <v/>
      </c>
      <c r="AB1252" s="29" t="str">
        <f>IF(AA1252=1,COUNTIF($AA$2:AA1252,1),"")</f>
        <v/>
      </c>
    </row>
    <row r="1253" spans="6:28" ht="31.5" customHeight="1" x14ac:dyDescent="0.2">
      <c r="F1253" s="45" t="s">
        <v>3930</v>
      </c>
      <c r="T1253" s="41"/>
      <c r="U1253" s="29" t="str">
        <f>IF($C1253&lt;&gt;"",COUNTIF($C$2:C1253,C1253),"")</f>
        <v/>
      </c>
      <c r="V1253" s="29" t="str">
        <f t="shared" si="70"/>
        <v/>
      </c>
      <c r="W1253" s="29" t="str">
        <f>IF(U1253=1,COUNTIF($U$2:U1253,1),"")</f>
        <v/>
      </c>
      <c r="X1253" s="29" t="str">
        <f t="shared" si="69"/>
        <v/>
      </c>
      <c r="Y1253" s="29" t="str">
        <f>IF(AND(LEFT($B1253,7)="SBA 26/",$D1253&lt;&gt;"",$F1253&lt;&gt;""),COUNTIFS($D$2:$D1253,$D1253,$B$2:$B1253,"SBA 26/*",$F$2:$F1253,"&lt;&gt;"),"")</f>
        <v/>
      </c>
      <c r="Z1253" s="29" t="str">
        <f>IF(Y1253=1,COUNTIF($Y$2:Y1253,1),"")</f>
        <v/>
      </c>
      <c r="AA1253" s="29" t="str">
        <f>IF(AND(LEFT($B1253,7)="SBA 26/",$C1253&lt;&gt;"",$F1253&lt;&gt;""),COUNTIFS($C$2:$C1253,$C1253,$B$2:$B1253,"SBA 26/*",$F$2:$F1253,"&lt;&gt;"),"")</f>
        <v/>
      </c>
      <c r="AB1253" s="29" t="str">
        <f>IF(AA1253=1,COUNTIF($AA$2:AA1253,1),"")</f>
        <v/>
      </c>
    </row>
    <row r="1254" spans="6:28" ht="78.75" customHeight="1" x14ac:dyDescent="0.2">
      <c r="F1254" s="45" t="s">
        <v>3931</v>
      </c>
      <c r="T1254" s="41"/>
      <c r="U1254" s="29" t="str">
        <f>IF($C1254&lt;&gt;"",COUNTIF($C$2:C1254,C1254),"")</f>
        <v/>
      </c>
      <c r="V1254" s="29" t="str">
        <f t="shared" si="70"/>
        <v/>
      </c>
      <c r="W1254" s="29" t="str">
        <f>IF(U1254=1,COUNTIF($U$2:U1254,1),"")</f>
        <v/>
      </c>
      <c r="X1254" s="29" t="str">
        <f t="shared" si="69"/>
        <v/>
      </c>
      <c r="Y1254" s="29" t="str">
        <f>IF(AND(LEFT($B1254,7)="SBA 26/",$D1254&lt;&gt;"",$F1254&lt;&gt;""),COUNTIFS($D$2:$D1254,$D1254,$B$2:$B1254,"SBA 26/*",$F$2:$F1254,"&lt;&gt;"),"")</f>
        <v/>
      </c>
      <c r="Z1254" s="29" t="str">
        <f>IF(Y1254=1,COUNTIF($Y$2:Y1254,1),"")</f>
        <v/>
      </c>
      <c r="AA1254" s="29" t="str">
        <f>IF(AND(LEFT($B1254,7)="SBA 26/",$C1254&lt;&gt;"",$F1254&lt;&gt;""),COUNTIFS($C$2:$C1254,$C1254,$B$2:$B1254,"SBA 26/*",$F$2:$F1254,"&lt;&gt;"),"")</f>
        <v/>
      </c>
      <c r="AB1254" s="29" t="str">
        <f>IF(AA1254=1,COUNTIF($AA$2:AA1254,1),"")</f>
        <v/>
      </c>
    </row>
    <row r="1255" spans="6:28" ht="31.5" customHeight="1" x14ac:dyDescent="0.2">
      <c r="F1255" s="45" t="s">
        <v>3932</v>
      </c>
      <c r="T1255" s="41"/>
      <c r="U1255" s="29" t="str">
        <f>IF($C1255&lt;&gt;"",COUNTIF($C$2:C1255,C1255),"")</f>
        <v/>
      </c>
      <c r="V1255" s="29" t="str">
        <f t="shared" si="70"/>
        <v/>
      </c>
      <c r="W1255" s="29" t="str">
        <f>IF(U1255=1,COUNTIF($U$2:U1255,1),"")</f>
        <v/>
      </c>
      <c r="X1255" s="29" t="str">
        <f t="shared" si="69"/>
        <v/>
      </c>
      <c r="Y1255" s="29" t="str">
        <f>IF(AND(LEFT($B1255,7)="SBA 26/",$D1255&lt;&gt;"",$F1255&lt;&gt;""),COUNTIFS($D$2:$D1255,$D1255,$B$2:$B1255,"SBA 26/*",$F$2:$F1255,"&lt;&gt;"),"")</f>
        <v/>
      </c>
      <c r="Z1255" s="29" t="str">
        <f>IF(Y1255=1,COUNTIF($Y$2:Y1255,1),"")</f>
        <v/>
      </c>
      <c r="AA1255" s="29" t="str">
        <f>IF(AND(LEFT($B1255,7)="SBA 26/",$C1255&lt;&gt;"",$F1255&lt;&gt;""),COUNTIFS($C$2:$C1255,$C1255,$B$2:$B1255,"SBA 26/*",$F$2:$F1255,"&lt;&gt;"),"")</f>
        <v/>
      </c>
      <c r="AB1255" s="29" t="str">
        <f>IF(AA1255=1,COUNTIF($AA$2:AA1255,1),"")</f>
        <v/>
      </c>
    </row>
    <row r="1256" spans="6:28" ht="47.25" customHeight="1" x14ac:dyDescent="0.2">
      <c r="F1256" s="45" t="s">
        <v>3933</v>
      </c>
      <c r="T1256" s="41"/>
      <c r="U1256" s="29" t="str">
        <f>IF($C1256&lt;&gt;"",COUNTIF($C$2:C1256,C1256),"")</f>
        <v/>
      </c>
      <c r="V1256" s="29" t="str">
        <f t="shared" si="70"/>
        <v/>
      </c>
      <c r="W1256" s="29" t="str">
        <f>IF(U1256=1,COUNTIF($U$2:U1256,1),"")</f>
        <v/>
      </c>
      <c r="X1256" s="29" t="str">
        <f t="shared" si="69"/>
        <v/>
      </c>
      <c r="Y1256" s="29" t="str">
        <f>IF(AND(LEFT($B1256,7)="SBA 26/",$D1256&lt;&gt;"",$F1256&lt;&gt;""),COUNTIFS($D$2:$D1256,$D1256,$B$2:$B1256,"SBA 26/*",$F$2:$F1256,"&lt;&gt;"),"")</f>
        <v/>
      </c>
      <c r="Z1256" s="29" t="str">
        <f>IF(Y1256=1,COUNTIF($Y$2:Y1256,1),"")</f>
        <v/>
      </c>
      <c r="AA1256" s="29" t="str">
        <f>IF(AND(LEFT($B1256,7)="SBA 26/",$C1256&lt;&gt;"",$F1256&lt;&gt;""),COUNTIFS($C$2:$C1256,$C1256,$B$2:$B1256,"SBA 26/*",$F$2:$F1256,"&lt;&gt;"),"")</f>
        <v/>
      </c>
      <c r="AB1256" s="29" t="str">
        <f>IF(AA1256=1,COUNTIF($AA$2:AA1256,1),"")</f>
        <v/>
      </c>
    </row>
    <row r="1257" spans="6:28" ht="31.5" customHeight="1" x14ac:dyDescent="0.2">
      <c r="F1257" s="45" t="s">
        <v>3934</v>
      </c>
      <c r="T1257" s="41"/>
      <c r="U1257" s="29" t="str">
        <f>IF($C1257&lt;&gt;"",COUNTIF($C$2:C1257,C1257),"")</f>
        <v/>
      </c>
      <c r="V1257" s="29" t="str">
        <f t="shared" si="70"/>
        <v/>
      </c>
      <c r="W1257" s="29" t="str">
        <f>IF(U1257=1,COUNTIF($U$2:U1257,1),"")</f>
        <v/>
      </c>
      <c r="X1257" s="29" t="str">
        <f t="shared" si="69"/>
        <v/>
      </c>
      <c r="Y1257" s="29" t="str">
        <f>IF(AND(LEFT($B1257,7)="SBA 26/",$D1257&lt;&gt;"",$F1257&lt;&gt;""),COUNTIFS($D$2:$D1257,$D1257,$B$2:$B1257,"SBA 26/*",$F$2:$F1257,"&lt;&gt;"),"")</f>
        <v/>
      </c>
      <c r="Z1257" s="29" t="str">
        <f>IF(Y1257=1,COUNTIF($Y$2:Y1257,1),"")</f>
        <v/>
      </c>
      <c r="AA1257" s="29" t="str">
        <f>IF(AND(LEFT($B1257,7)="SBA 26/",$C1257&lt;&gt;"",$F1257&lt;&gt;""),COUNTIFS($C$2:$C1257,$C1257,$B$2:$B1257,"SBA 26/*",$F$2:$F1257,"&lt;&gt;"),"")</f>
        <v/>
      </c>
      <c r="AB1257" s="29" t="str">
        <f>IF(AA1257=1,COUNTIF($AA$2:AA1257,1),"")</f>
        <v/>
      </c>
    </row>
    <row r="1258" spans="6:28" ht="63" customHeight="1" x14ac:dyDescent="0.2">
      <c r="F1258" s="45" t="s">
        <v>3935</v>
      </c>
      <c r="T1258" s="41"/>
      <c r="U1258" s="29" t="str">
        <f>IF($C1258&lt;&gt;"",COUNTIF($C$2:C1258,C1258),"")</f>
        <v/>
      </c>
      <c r="V1258" s="29" t="str">
        <f t="shared" si="70"/>
        <v/>
      </c>
      <c r="W1258" s="29" t="str">
        <f>IF(U1258=1,COUNTIF($U$2:U1258,1),"")</f>
        <v/>
      </c>
      <c r="X1258" s="29" t="str">
        <f t="shared" si="69"/>
        <v/>
      </c>
      <c r="Y1258" s="29" t="str">
        <f>IF(AND(LEFT($B1258,7)="SBA 26/",$D1258&lt;&gt;"",$F1258&lt;&gt;""),COUNTIFS($D$2:$D1258,$D1258,$B$2:$B1258,"SBA 26/*",$F$2:$F1258,"&lt;&gt;"),"")</f>
        <v/>
      </c>
      <c r="Z1258" s="29" t="str">
        <f>IF(Y1258=1,COUNTIF($Y$2:Y1258,1),"")</f>
        <v/>
      </c>
      <c r="AA1258" s="29" t="str">
        <f>IF(AND(LEFT($B1258,7)="SBA 26/",$C1258&lt;&gt;"",$F1258&lt;&gt;""),COUNTIFS($C$2:$C1258,$C1258,$B$2:$B1258,"SBA 26/*",$F$2:$F1258,"&lt;&gt;"),"")</f>
        <v/>
      </c>
      <c r="AB1258" s="29" t="str">
        <f>IF(AA1258=1,COUNTIF($AA$2:AA1258,1),"")</f>
        <v/>
      </c>
    </row>
    <row r="1259" spans="6:28" ht="31.5" customHeight="1" x14ac:dyDescent="0.2">
      <c r="F1259" s="45" t="s">
        <v>3936</v>
      </c>
      <c r="T1259" s="41"/>
      <c r="U1259" s="29" t="str">
        <f>IF($C1259&lt;&gt;"",COUNTIF($C$2:C1259,C1259),"")</f>
        <v/>
      </c>
      <c r="V1259" s="29" t="str">
        <f t="shared" si="70"/>
        <v/>
      </c>
      <c r="W1259" s="29" t="str">
        <f>IF(U1259=1,COUNTIF($U$2:U1259,1),"")</f>
        <v/>
      </c>
      <c r="X1259" s="29" t="str">
        <f t="shared" si="69"/>
        <v/>
      </c>
      <c r="Y1259" s="29" t="str">
        <f>IF(AND(LEFT($B1259,7)="SBA 26/",$D1259&lt;&gt;"",$F1259&lt;&gt;""),COUNTIFS($D$2:$D1259,$D1259,$B$2:$B1259,"SBA 26/*",$F$2:$F1259,"&lt;&gt;"),"")</f>
        <v/>
      </c>
      <c r="Z1259" s="29" t="str">
        <f>IF(Y1259=1,COUNTIF($Y$2:Y1259,1),"")</f>
        <v/>
      </c>
      <c r="AA1259" s="29" t="str">
        <f>IF(AND(LEFT($B1259,7)="SBA 26/",$C1259&lt;&gt;"",$F1259&lt;&gt;""),COUNTIFS($C$2:$C1259,$C1259,$B$2:$B1259,"SBA 26/*",$F$2:$F1259,"&lt;&gt;"),"")</f>
        <v/>
      </c>
      <c r="AB1259" s="29" t="str">
        <f>IF(AA1259=1,COUNTIF($AA$2:AA1259,1),"")</f>
        <v/>
      </c>
    </row>
    <row r="1260" spans="6:28" ht="47.25" customHeight="1" x14ac:dyDescent="0.2">
      <c r="F1260" s="45" t="s">
        <v>3937</v>
      </c>
      <c r="T1260" s="41"/>
      <c r="U1260" s="29" t="str">
        <f>IF($C1260&lt;&gt;"",COUNTIF($C$2:C1260,C1260),"")</f>
        <v/>
      </c>
      <c r="V1260" s="29" t="str">
        <f t="shared" si="70"/>
        <v/>
      </c>
      <c r="W1260" s="29" t="str">
        <f>IF(U1260=1,COUNTIF($U$2:U1260,1),"")</f>
        <v/>
      </c>
      <c r="X1260" s="29" t="str">
        <f t="shared" si="69"/>
        <v/>
      </c>
      <c r="Y1260" s="29" t="str">
        <f>IF(AND(LEFT($B1260,7)="SBA 26/",$D1260&lt;&gt;"",$F1260&lt;&gt;""),COUNTIFS($D$2:$D1260,$D1260,$B$2:$B1260,"SBA 26/*",$F$2:$F1260,"&lt;&gt;"),"")</f>
        <v/>
      </c>
      <c r="Z1260" s="29" t="str">
        <f>IF(Y1260=1,COUNTIF($Y$2:Y1260,1),"")</f>
        <v/>
      </c>
      <c r="AA1260" s="29" t="str">
        <f>IF(AND(LEFT($B1260,7)="SBA 26/",$C1260&lt;&gt;"",$F1260&lt;&gt;""),COUNTIFS($C$2:$C1260,$C1260,$B$2:$B1260,"SBA 26/*",$F$2:$F1260,"&lt;&gt;"),"")</f>
        <v/>
      </c>
      <c r="AB1260" s="29" t="str">
        <f>IF(AA1260=1,COUNTIF($AA$2:AA1260,1),"")</f>
        <v/>
      </c>
    </row>
    <row r="1261" spans="6:28" ht="63" customHeight="1" x14ac:dyDescent="0.2">
      <c r="F1261" s="45" t="s">
        <v>3938</v>
      </c>
      <c r="T1261" s="41"/>
      <c r="U1261" s="29" t="str">
        <f>IF($C1261&lt;&gt;"",COUNTIF($C$2:C1261,C1261),"")</f>
        <v/>
      </c>
      <c r="V1261" s="29" t="str">
        <f t="shared" si="70"/>
        <v/>
      </c>
      <c r="W1261" s="29" t="str">
        <f>IF(U1261=1,COUNTIF($U$2:U1261,1),"")</f>
        <v/>
      </c>
      <c r="X1261" s="29" t="str">
        <f t="shared" ref="X1261:X1324" si="71">IF(U1261=1,SUMPRODUCT(($U$2:$U$1833=1)*($C$2:$C$1833&lt;C1261))+1,"")</f>
        <v/>
      </c>
      <c r="Y1261" s="29" t="str">
        <f>IF(AND(LEFT($B1261,7)="SBA 26/",$D1261&lt;&gt;"",$F1261&lt;&gt;""),COUNTIFS($D$2:$D1261,$D1261,$B$2:$B1261,"SBA 26/*",$F$2:$F1261,"&lt;&gt;"),"")</f>
        <v/>
      </c>
      <c r="Z1261" s="29" t="str">
        <f>IF(Y1261=1,COUNTIF($Y$2:Y1261,1),"")</f>
        <v/>
      </c>
      <c r="AA1261" s="29" t="str">
        <f>IF(AND(LEFT($B1261,7)="SBA 26/",$C1261&lt;&gt;"",$F1261&lt;&gt;""),COUNTIFS($C$2:$C1261,$C1261,$B$2:$B1261,"SBA 26/*",$F$2:$F1261,"&lt;&gt;"),"")</f>
        <v/>
      </c>
      <c r="AB1261" s="29" t="str">
        <f>IF(AA1261=1,COUNTIF($AA$2:AA1261,1),"")</f>
        <v/>
      </c>
    </row>
    <row r="1262" spans="6:28" ht="47.25" customHeight="1" x14ac:dyDescent="0.2">
      <c r="F1262" s="45" t="s">
        <v>3939</v>
      </c>
      <c r="T1262" s="41"/>
      <c r="U1262" s="29" t="str">
        <f>IF($C1262&lt;&gt;"",COUNTIF($C$2:C1262,C1262),"")</f>
        <v/>
      </c>
      <c r="V1262" s="29" t="str">
        <f t="shared" si="70"/>
        <v/>
      </c>
      <c r="W1262" s="29" t="str">
        <f>IF(U1262=1,COUNTIF($U$2:U1262,1),"")</f>
        <v/>
      </c>
      <c r="X1262" s="29" t="str">
        <f t="shared" si="71"/>
        <v/>
      </c>
      <c r="Y1262" s="29" t="str">
        <f>IF(AND(LEFT($B1262,7)="SBA 26/",$D1262&lt;&gt;"",$F1262&lt;&gt;""),COUNTIFS($D$2:$D1262,$D1262,$B$2:$B1262,"SBA 26/*",$F$2:$F1262,"&lt;&gt;"),"")</f>
        <v/>
      </c>
      <c r="Z1262" s="29" t="str">
        <f>IF(Y1262=1,COUNTIF($Y$2:Y1262,1),"")</f>
        <v/>
      </c>
      <c r="AA1262" s="29" t="str">
        <f>IF(AND(LEFT($B1262,7)="SBA 26/",$C1262&lt;&gt;"",$F1262&lt;&gt;""),COUNTIFS($C$2:$C1262,$C1262,$B$2:$B1262,"SBA 26/*",$F$2:$F1262,"&lt;&gt;"),"")</f>
        <v/>
      </c>
      <c r="AB1262" s="29" t="str">
        <f>IF(AA1262=1,COUNTIF($AA$2:AA1262,1),"")</f>
        <v/>
      </c>
    </row>
    <row r="1263" spans="6:28" ht="78.75" customHeight="1" x14ac:dyDescent="0.2">
      <c r="F1263" s="45" t="s">
        <v>3940</v>
      </c>
      <c r="T1263" s="41"/>
      <c r="U1263" s="29" t="str">
        <f>IF($C1263&lt;&gt;"",COUNTIF($C$2:C1263,C1263),"")</f>
        <v/>
      </c>
      <c r="V1263" s="29" t="str">
        <f t="shared" si="70"/>
        <v/>
      </c>
      <c r="W1263" s="29" t="str">
        <f>IF(U1263=1,COUNTIF($U$2:U1263,1),"")</f>
        <v/>
      </c>
      <c r="X1263" s="29" t="str">
        <f t="shared" si="71"/>
        <v/>
      </c>
      <c r="Y1263" s="29" t="str">
        <f>IF(AND(LEFT($B1263,7)="SBA 26/",$D1263&lt;&gt;"",$F1263&lt;&gt;""),COUNTIFS($D$2:$D1263,$D1263,$B$2:$B1263,"SBA 26/*",$F$2:$F1263,"&lt;&gt;"),"")</f>
        <v/>
      </c>
      <c r="Z1263" s="29" t="str">
        <f>IF(Y1263=1,COUNTIF($Y$2:Y1263,1),"")</f>
        <v/>
      </c>
      <c r="AA1263" s="29" t="str">
        <f>IF(AND(LEFT($B1263,7)="SBA 26/",$C1263&lt;&gt;"",$F1263&lt;&gt;""),COUNTIFS($C$2:$C1263,$C1263,$B$2:$B1263,"SBA 26/*",$F$2:$F1263,"&lt;&gt;"),"")</f>
        <v/>
      </c>
      <c r="AB1263" s="29" t="str">
        <f>IF(AA1263=1,COUNTIF($AA$2:AA1263,1),"")</f>
        <v/>
      </c>
    </row>
    <row r="1264" spans="6:28" ht="63" customHeight="1" x14ac:dyDescent="0.2">
      <c r="F1264" s="45" t="s">
        <v>3941</v>
      </c>
      <c r="T1264" s="41"/>
      <c r="U1264" s="29" t="str">
        <f>IF($C1264&lt;&gt;"",COUNTIF($C$2:C1264,C1264),"")</f>
        <v/>
      </c>
      <c r="V1264" s="29" t="str">
        <f t="shared" si="70"/>
        <v/>
      </c>
      <c r="W1264" s="29" t="str">
        <f>IF(U1264=1,COUNTIF($U$2:U1264,1),"")</f>
        <v/>
      </c>
      <c r="X1264" s="29" t="str">
        <f t="shared" si="71"/>
        <v/>
      </c>
      <c r="Y1264" s="29" t="str">
        <f>IF(AND(LEFT($B1264,7)="SBA 26/",$D1264&lt;&gt;"",$F1264&lt;&gt;""),COUNTIFS($D$2:$D1264,$D1264,$B$2:$B1264,"SBA 26/*",$F$2:$F1264,"&lt;&gt;"),"")</f>
        <v/>
      </c>
      <c r="Z1264" s="29" t="str">
        <f>IF(Y1264=1,COUNTIF($Y$2:Y1264,1),"")</f>
        <v/>
      </c>
      <c r="AA1264" s="29" t="str">
        <f>IF(AND(LEFT($B1264,7)="SBA 26/",$C1264&lt;&gt;"",$F1264&lt;&gt;""),COUNTIFS($C$2:$C1264,$C1264,$B$2:$B1264,"SBA 26/*",$F$2:$F1264,"&lt;&gt;"),"")</f>
        <v/>
      </c>
      <c r="AB1264" s="29" t="str">
        <f>IF(AA1264=1,COUNTIF($AA$2:AA1264,1),"")</f>
        <v/>
      </c>
    </row>
    <row r="1265" spans="6:28" ht="63" customHeight="1" x14ac:dyDescent="0.2">
      <c r="F1265" s="45" t="s">
        <v>3942</v>
      </c>
      <c r="T1265" s="41"/>
      <c r="U1265" s="29" t="str">
        <f>IF($C1265&lt;&gt;"",COUNTIF($C$2:C1265,C1265),"")</f>
        <v/>
      </c>
      <c r="V1265" s="29" t="str">
        <f t="shared" si="70"/>
        <v/>
      </c>
      <c r="W1265" s="29" t="str">
        <f>IF(U1265=1,COUNTIF($U$2:U1265,1),"")</f>
        <v/>
      </c>
      <c r="X1265" s="29" t="str">
        <f t="shared" si="71"/>
        <v/>
      </c>
      <c r="Y1265" s="29" t="str">
        <f>IF(AND(LEFT($B1265,7)="SBA 26/",$D1265&lt;&gt;"",$F1265&lt;&gt;""),COUNTIFS($D$2:$D1265,$D1265,$B$2:$B1265,"SBA 26/*",$F$2:$F1265,"&lt;&gt;"),"")</f>
        <v/>
      </c>
      <c r="Z1265" s="29" t="str">
        <f>IF(Y1265=1,COUNTIF($Y$2:Y1265,1),"")</f>
        <v/>
      </c>
      <c r="AA1265" s="29" t="str">
        <f>IF(AND(LEFT($B1265,7)="SBA 26/",$C1265&lt;&gt;"",$F1265&lt;&gt;""),COUNTIFS($C$2:$C1265,$C1265,$B$2:$B1265,"SBA 26/*",$F$2:$F1265,"&lt;&gt;"),"")</f>
        <v/>
      </c>
      <c r="AB1265" s="29" t="str">
        <f>IF(AA1265=1,COUNTIF($AA$2:AA1265,1),"")</f>
        <v/>
      </c>
    </row>
    <row r="1266" spans="6:28" ht="31.5" customHeight="1" x14ac:dyDescent="0.2">
      <c r="F1266" s="45" t="s">
        <v>3943</v>
      </c>
      <c r="T1266" s="41"/>
      <c r="U1266" s="29" t="str">
        <f>IF($C1266&lt;&gt;"",COUNTIF($C$2:C1266,C1266),"")</f>
        <v/>
      </c>
      <c r="V1266" s="29" t="str">
        <f t="shared" si="70"/>
        <v/>
      </c>
      <c r="W1266" s="29" t="str">
        <f>IF(U1266=1,COUNTIF($U$2:U1266,1),"")</f>
        <v/>
      </c>
      <c r="X1266" s="29" t="str">
        <f t="shared" si="71"/>
        <v/>
      </c>
      <c r="Y1266" s="29" t="str">
        <f>IF(AND(LEFT($B1266,7)="SBA 26/",$D1266&lt;&gt;"",$F1266&lt;&gt;""),COUNTIFS($D$2:$D1266,$D1266,$B$2:$B1266,"SBA 26/*",$F$2:$F1266,"&lt;&gt;"),"")</f>
        <v/>
      </c>
      <c r="Z1266" s="29" t="str">
        <f>IF(Y1266=1,COUNTIF($Y$2:Y1266,1),"")</f>
        <v/>
      </c>
      <c r="AA1266" s="29" t="str">
        <f>IF(AND(LEFT($B1266,7)="SBA 26/",$C1266&lt;&gt;"",$F1266&lt;&gt;""),COUNTIFS($C$2:$C1266,$C1266,$B$2:$B1266,"SBA 26/*",$F$2:$F1266,"&lt;&gt;"),"")</f>
        <v/>
      </c>
      <c r="AB1266" s="29" t="str">
        <f>IF(AA1266=1,COUNTIF($AA$2:AA1266,1),"")</f>
        <v/>
      </c>
    </row>
    <row r="1267" spans="6:28" ht="31.5" customHeight="1" x14ac:dyDescent="0.2">
      <c r="F1267" s="45" t="s">
        <v>3944</v>
      </c>
      <c r="T1267" s="41"/>
      <c r="U1267" s="29" t="str">
        <f>IF($C1267&lt;&gt;"",COUNTIF($C$2:C1267,C1267),"")</f>
        <v/>
      </c>
      <c r="V1267" s="29" t="str">
        <f t="shared" si="70"/>
        <v/>
      </c>
      <c r="W1267" s="29" t="str">
        <f>IF(U1267=1,COUNTIF($U$2:U1267,1),"")</f>
        <v/>
      </c>
      <c r="X1267" s="29" t="str">
        <f t="shared" si="71"/>
        <v/>
      </c>
      <c r="Y1267" s="29" t="str">
        <f>IF(AND(LEFT($B1267,7)="SBA 26/",$D1267&lt;&gt;"",$F1267&lt;&gt;""),COUNTIFS($D$2:$D1267,$D1267,$B$2:$B1267,"SBA 26/*",$F$2:$F1267,"&lt;&gt;"),"")</f>
        <v/>
      </c>
      <c r="Z1267" s="29" t="str">
        <f>IF(Y1267=1,COUNTIF($Y$2:Y1267,1),"")</f>
        <v/>
      </c>
      <c r="AA1267" s="29" t="str">
        <f>IF(AND(LEFT($B1267,7)="SBA 26/",$C1267&lt;&gt;"",$F1267&lt;&gt;""),COUNTIFS($C$2:$C1267,$C1267,$B$2:$B1267,"SBA 26/*",$F$2:$F1267,"&lt;&gt;"),"")</f>
        <v/>
      </c>
      <c r="AB1267" s="29" t="str">
        <f>IF(AA1267=1,COUNTIF($AA$2:AA1267,1),"")</f>
        <v/>
      </c>
    </row>
    <row r="1268" spans="6:28" ht="31.5" customHeight="1" x14ac:dyDescent="0.2">
      <c r="F1268" s="45" t="s">
        <v>3945</v>
      </c>
      <c r="T1268" s="41"/>
      <c r="U1268" s="29" t="str">
        <f>IF($C1268&lt;&gt;"",COUNTIF($C$2:C1268,C1268),"")</f>
        <v/>
      </c>
      <c r="V1268" s="29" t="str">
        <f t="shared" si="70"/>
        <v/>
      </c>
      <c r="W1268" s="29" t="str">
        <f>IF(U1268=1,COUNTIF($U$2:U1268,1),"")</f>
        <v/>
      </c>
      <c r="X1268" s="29" t="str">
        <f t="shared" si="71"/>
        <v/>
      </c>
      <c r="Y1268" s="29" t="str">
        <f>IF(AND(LEFT($B1268,7)="SBA 26/",$D1268&lt;&gt;"",$F1268&lt;&gt;""),COUNTIFS($D$2:$D1268,$D1268,$B$2:$B1268,"SBA 26/*",$F$2:$F1268,"&lt;&gt;"),"")</f>
        <v/>
      </c>
      <c r="Z1268" s="29" t="str">
        <f>IF(Y1268=1,COUNTIF($Y$2:Y1268,1),"")</f>
        <v/>
      </c>
      <c r="AA1268" s="29" t="str">
        <f>IF(AND(LEFT($B1268,7)="SBA 26/",$C1268&lt;&gt;"",$F1268&lt;&gt;""),COUNTIFS($C$2:$C1268,$C1268,$B$2:$B1268,"SBA 26/*",$F$2:$F1268,"&lt;&gt;"),"")</f>
        <v/>
      </c>
      <c r="AB1268" s="29" t="str">
        <f>IF(AA1268=1,COUNTIF($AA$2:AA1268,1),"")</f>
        <v/>
      </c>
    </row>
    <row r="1269" spans="6:28" ht="31.5" customHeight="1" x14ac:dyDescent="0.2">
      <c r="F1269" s="45" t="s">
        <v>3946</v>
      </c>
      <c r="T1269" s="41"/>
      <c r="U1269" s="29" t="str">
        <f>IF($C1269&lt;&gt;"",COUNTIF($C$2:C1269,C1269),"")</f>
        <v/>
      </c>
      <c r="V1269" s="29" t="str">
        <f t="shared" si="70"/>
        <v/>
      </c>
      <c r="W1269" s="29" t="str">
        <f>IF(U1269=1,COUNTIF($U$2:U1269,1),"")</f>
        <v/>
      </c>
      <c r="X1269" s="29" t="str">
        <f t="shared" si="71"/>
        <v/>
      </c>
      <c r="Y1269" s="29" t="str">
        <f>IF(AND(LEFT($B1269,7)="SBA 26/",$D1269&lt;&gt;"",$F1269&lt;&gt;""),COUNTIFS($D$2:$D1269,$D1269,$B$2:$B1269,"SBA 26/*",$F$2:$F1269,"&lt;&gt;"),"")</f>
        <v/>
      </c>
      <c r="Z1269" s="29" t="str">
        <f>IF(Y1269=1,COUNTIF($Y$2:Y1269,1),"")</f>
        <v/>
      </c>
      <c r="AA1269" s="29" t="str">
        <f>IF(AND(LEFT($B1269,7)="SBA 26/",$C1269&lt;&gt;"",$F1269&lt;&gt;""),COUNTIFS($C$2:$C1269,$C1269,$B$2:$B1269,"SBA 26/*",$F$2:$F1269,"&lt;&gt;"),"")</f>
        <v/>
      </c>
      <c r="AB1269" s="29" t="str">
        <f>IF(AA1269=1,COUNTIF($AA$2:AA1269,1),"")</f>
        <v/>
      </c>
    </row>
    <row r="1270" spans="6:28" ht="47.25" customHeight="1" x14ac:dyDescent="0.2">
      <c r="F1270" s="45" t="s">
        <v>3947</v>
      </c>
      <c r="T1270" s="41"/>
      <c r="U1270" s="29" t="str">
        <f>IF($C1270&lt;&gt;"",COUNTIF($C$2:C1270,C1270),"")</f>
        <v/>
      </c>
      <c r="V1270" s="29" t="str">
        <f t="shared" si="70"/>
        <v/>
      </c>
      <c r="W1270" s="29" t="str">
        <f>IF(U1270=1,COUNTIF($U$2:U1270,1),"")</f>
        <v/>
      </c>
      <c r="X1270" s="29" t="str">
        <f t="shared" si="71"/>
        <v/>
      </c>
      <c r="Y1270" s="29" t="str">
        <f>IF(AND(LEFT($B1270,7)="SBA 26/",$D1270&lt;&gt;"",$F1270&lt;&gt;""),COUNTIFS($D$2:$D1270,$D1270,$B$2:$B1270,"SBA 26/*",$F$2:$F1270,"&lt;&gt;"),"")</f>
        <v/>
      </c>
      <c r="Z1270" s="29" t="str">
        <f>IF(Y1270=1,COUNTIF($Y$2:Y1270,1),"")</f>
        <v/>
      </c>
      <c r="AA1270" s="29" t="str">
        <f>IF(AND(LEFT($B1270,7)="SBA 26/",$C1270&lt;&gt;"",$F1270&lt;&gt;""),COUNTIFS($C$2:$C1270,$C1270,$B$2:$B1270,"SBA 26/*",$F$2:$F1270,"&lt;&gt;"),"")</f>
        <v/>
      </c>
      <c r="AB1270" s="29" t="str">
        <f>IF(AA1270=1,COUNTIF($AA$2:AA1270,1),"")</f>
        <v/>
      </c>
    </row>
    <row r="1271" spans="6:28" ht="31.5" customHeight="1" x14ac:dyDescent="0.2">
      <c r="F1271" s="45" t="s">
        <v>3948</v>
      </c>
      <c r="T1271" s="41"/>
      <c r="U1271" s="29" t="str">
        <f>IF($C1271&lt;&gt;"",COUNTIF($C$2:C1271,C1271),"")</f>
        <v/>
      </c>
      <c r="V1271" s="29" t="str">
        <f t="shared" si="70"/>
        <v/>
      </c>
      <c r="W1271" s="29" t="str">
        <f>IF(U1271=1,COUNTIF($U$2:U1271,1),"")</f>
        <v/>
      </c>
      <c r="X1271" s="29" t="str">
        <f t="shared" si="71"/>
        <v/>
      </c>
      <c r="Y1271" s="29" t="str">
        <f>IF(AND(LEFT($B1271,7)="SBA 26/",$D1271&lt;&gt;"",$F1271&lt;&gt;""),COUNTIFS($D$2:$D1271,$D1271,$B$2:$B1271,"SBA 26/*",$F$2:$F1271,"&lt;&gt;"),"")</f>
        <v/>
      </c>
      <c r="Z1271" s="29" t="str">
        <f>IF(Y1271=1,COUNTIF($Y$2:Y1271,1),"")</f>
        <v/>
      </c>
      <c r="AA1271" s="29" t="str">
        <f>IF(AND(LEFT($B1271,7)="SBA 26/",$C1271&lt;&gt;"",$F1271&lt;&gt;""),COUNTIFS($C$2:$C1271,$C1271,$B$2:$B1271,"SBA 26/*",$F$2:$F1271,"&lt;&gt;"),"")</f>
        <v/>
      </c>
      <c r="AB1271" s="29" t="str">
        <f>IF(AA1271=1,COUNTIF($AA$2:AA1271,1),"")</f>
        <v/>
      </c>
    </row>
    <row r="1272" spans="6:28" ht="47.25" customHeight="1" x14ac:dyDescent="0.2">
      <c r="F1272" s="45" t="s">
        <v>3949</v>
      </c>
      <c r="T1272" s="41"/>
      <c r="U1272" s="29" t="str">
        <f>IF($C1272&lt;&gt;"",COUNTIF($C$2:C1272,C1272),"")</f>
        <v/>
      </c>
      <c r="V1272" s="29" t="str">
        <f t="shared" si="70"/>
        <v/>
      </c>
      <c r="W1272" s="29" t="str">
        <f>IF(U1272=1,COUNTIF($U$2:U1272,1),"")</f>
        <v/>
      </c>
      <c r="X1272" s="29" t="str">
        <f t="shared" si="71"/>
        <v/>
      </c>
      <c r="Y1272" s="29" t="str">
        <f>IF(AND(LEFT($B1272,7)="SBA 26/",$D1272&lt;&gt;"",$F1272&lt;&gt;""),COUNTIFS($D$2:$D1272,$D1272,$B$2:$B1272,"SBA 26/*",$F$2:$F1272,"&lt;&gt;"),"")</f>
        <v/>
      </c>
      <c r="Z1272" s="29" t="str">
        <f>IF(Y1272=1,COUNTIF($Y$2:Y1272,1),"")</f>
        <v/>
      </c>
      <c r="AA1272" s="29" t="str">
        <f>IF(AND(LEFT($B1272,7)="SBA 26/",$C1272&lt;&gt;"",$F1272&lt;&gt;""),COUNTIFS($C$2:$C1272,$C1272,$B$2:$B1272,"SBA 26/*",$F$2:$F1272,"&lt;&gt;"),"")</f>
        <v/>
      </c>
      <c r="AB1272" s="29" t="str">
        <f>IF(AA1272=1,COUNTIF($AA$2:AA1272,1),"")</f>
        <v/>
      </c>
    </row>
    <row r="1273" spans="6:28" ht="31.5" customHeight="1" x14ac:dyDescent="0.2">
      <c r="F1273" s="45" t="s">
        <v>3950</v>
      </c>
      <c r="T1273" s="41"/>
      <c r="U1273" s="29" t="str">
        <f>IF($C1273&lt;&gt;"",COUNTIF($C$2:C1273,C1273),"")</f>
        <v/>
      </c>
      <c r="V1273" s="29" t="str">
        <f t="shared" si="70"/>
        <v/>
      </c>
      <c r="W1273" s="29" t="str">
        <f>IF(U1273=1,COUNTIF($U$2:U1273,1),"")</f>
        <v/>
      </c>
      <c r="X1273" s="29" t="str">
        <f t="shared" si="71"/>
        <v/>
      </c>
      <c r="Y1273" s="29" t="str">
        <f>IF(AND(LEFT($B1273,7)="SBA 26/",$D1273&lt;&gt;"",$F1273&lt;&gt;""),COUNTIFS($D$2:$D1273,$D1273,$B$2:$B1273,"SBA 26/*",$F$2:$F1273,"&lt;&gt;"),"")</f>
        <v/>
      </c>
      <c r="Z1273" s="29" t="str">
        <f>IF(Y1273=1,COUNTIF($Y$2:Y1273,1),"")</f>
        <v/>
      </c>
      <c r="AA1273" s="29" t="str">
        <f>IF(AND(LEFT($B1273,7)="SBA 26/",$C1273&lt;&gt;"",$F1273&lt;&gt;""),COUNTIFS($C$2:$C1273,$C1273,$B$2:$B1273,"SBA 26/*",$F$2:$F1273,"&lt;&gt;"),"")</f>
        <v/>
      </c>
      <c r="AB1273" s="29" t="str">
        <f>IF(AA1273=1,COUNTIF($AA$2:AA1273,1),"")</f>
        <v/>
      </c>
    </row>
    <row r="1274" spans="6:28" ht="47.25" customHeight="1" x14ac:dyDescent="0.2">
      <c r="F1274" s="45" t="s">
        <v>3951</v>
      </c>
      <c r="T1274" s="41"/>
      <c r="U1274" s="29" t="str">
        <f>IF($C1274&lt;&gt;"",COUNTIF($C$2:C1274,C1274),"")</f>
        <v/>
      </c>
      <c r="V1274" s="29" t="str">
        <f t="shared" si="70"/>
        <v/>
      </c>
      <c r="W1274" s="29" t="str">
        <f>IF(U1274=1,COUNTIF($U$2:U1274,1),"")</f>
        <v/>
      </c>
      <c r="X1274" s="29" t="str">
        <f t="shared" si="71"/>
        <v/>
      </c>
      <c r="Y1274" s="29" t="str">
        <f>IF(AND(LEFT($B1274,7)="SBA 26/",$D1274&lt;&gt;"",$F1274&lt;&gt;""),COUNTIFS($D$2:$D1274,$D1274,$B$2:$B1274,"SBA 26/*",$F$2:$F1274,"&lt;&gt;"),"")</f>
        <v/>
      </c>
      <c r="Z1274" s="29" t="str">
        <f>IF(Y1274=1,COUNTIF($Y$2:Y1274,1),"")</f>
        <v/>
      </c>
      <c r="AA1274" s="29" t="str">
        <f>IF(AND(LEFT($B1274,7)="SBA 26/",$C1274&lt;&gt;"",$F1274&lt;&gt;""),COUNTIFS($C$2:$C1274,$C1274,$B$2:$B1274,"SBA 26/*",$F$2:$F1274,"&lt;&gt;"),"")</f>
        <v/>
      </c>
      <c r="AB1274" s="29" t="str">
        <f>IF(AA1274=1,COUNTIF($AA$2:AA1274,1),"")</f>
        <v/>
      </c>
    </row>
    <row r="1275" spans="6:28" ht="31.5" customHeight="1" x14ac:dyDescent="0.2">
      <c r="F1275" s="45" t="s">
        <v>3952</v>
      </c>
      <c r="T1275" s="41"/>
      <c r="U1275" s="29" t="str">
        <f>IF($C1275&lt;&gt;"",COUNTIF($C$2:C1275,C1275),"")</f>
        <v/>
      </c>
      <c r="V1275" s="29" t="str">
        <f t="shared" si="70"/>
        <v/>
      </c>
      <c r="W1275" s="29" t="str">
        <f>IF(U1275=1,COUNTIF($U$2:U1275,1),"")</f>
        <v/>
      </c>
      <c r="X1275" s="29" t="str">
        <f t="shared" si="71"/>
        <v/>
      </c>
      <c r="Y1275" s="29" t="str">
        <f>IF(AND(LEFT($B1275,7)="SBA 26/",$D1275&lt;&gt;"",$F1275&lt;&gt;""),COUNTIFS($D$2:$D1275,$D1275,$B$2:$B1275,"SBA 26/*",$F$2:$F1275,"&lt;&gt;"),"")</f>
        <v/>
      </c>
      <c r="Z1275" s="29" t="str">
        <f>IF(Y1275=1,COUNTIF($Y$2:Y1275,1),"")</f>
        <v/>
      </c>
      <c r="AA1275" s="29" t="str">
        <f>IF(AND(LEFT($B1275,7)="SBA 26/",$C1275&lt;&gt;"",$F1275&lt;&gt;""),COUNTIFS($C$2:$C1275,$C1275,$B$2:$B1275,"SBA 26/*",$F$2:$F1275,"&lt;&gt;"),"")</f>
        <v/>
      </c>
      <c r="AB1275" s="29" t="str">
        <f>IF(AA1275=1,COUNTIF($AA$2:AA1275,1),"")</f>
        <v/>
      </c>
    </row>
    <row r="1276" spans="6:28" ht="47.25" customHeight="1" x14ac:dyDescent="0.2">
      <c r="F1276" s="45" t="s">
        <v>3953</v>
      </c>
      <c r="T1276" s="41"/>
      <c r="U1276" s="29" t="str">
        <f>IF($C1276&lt;&gt;"",COUNTIF($C$2:C1276,C1276),"")</f>
        <v/>
      </c>
      <c r="V1276" s="29" t="str">
        <f t="shared" si="70"/>
        <v/>
      </c>
      <c r="W1276" s="29" t="str">
        <f>IF(U1276=1,COUNTIF($U$2:U1276,1),"")</f>
        <v/>
      </c>
      <c r="X1276" s="29" t="str">
        <f t="shared" si="71"/>
        <v/>
      </c>
      <c r="Y1276" s="29" t="str">
        <f>IF(AND(LEFT($B1276,7)="SBA 26/",$D1276&lt;&gt;"",$F1276&lt;&gt;""),COUNTIFS($D$2:$D1276,$D1276,$B$2:$B1276,"SBA 26/*",$F$2:$F1276,"&lt;&gt;"),"")</f>
        <v/>
      </c>
      <c r="Z1276" s="29" t="str">
        <f>IF(Y1276=1,COUNTIF($Y$2:Y1276,1),"")</f>
        <v/>
      </c>
      <c r="AA1276" s="29" t="str">
        <f>IF(AND(LEFT($B1276,7)="SBA 26/",$C1276&lt;&gt;"",$F1276&lt;&gt;""),COUNTIFS($C$2:$C1276,$C1276,$B$2:$B1276,"SBA 26/*",$F$2:$F1276,"&lt;&gt;"),"")</f>
        <v/>
      </c>
      <c r="AB1276" s="29" t="str">
        <f>IF(AA1276=1,COUNTIF($AA$2:AA1276,1),"")</f>
        <v/>
      </c>
    </row>
    <row r="1277" spans="6:28" ht="31.5" customHeight="1" x14ac:dyDescent="0.2">
      <c r="F1277" s="45" t="s">
        <v>3954</v>
      </c>
      <c r="T1277" s="41"/>
      <c r="U1277" s="29" t="str">
        <f>IF($C1277&lt;&gt;"",COUNTIF($C$2:C1277,C1277),"")</f>
        <v/>
      </c>
      <c r="V1277" s="29" t="str">
        <f t="shared" si="70"/>
        <v/>
      </c>
      <c r="W1277" s="29" t="str">
        <f>IF(U1277=1,COUNTIF($U$2:U1277,1),"")</f>
        <v/>
      </c>
      <c r="X1277" s="29" t="str">
        <f t="shared" si="71"/>
        <v/>
      </c>
      <c r="Y1277" s="29" t="str">
        <f>IF(AND(LEFT($B1277,7)="SBA 26/",$D1277&lt;&gt;"",$F1277&lt;&gt;""),COUNTIFS($D$2:$D1277,$D1277,$B$2:$B1277,"SBA 26/*",$F$2:$F1277,"&lt;&gt;"),"")</f>
        <v/>
      </c>
      <c r="Z1277" s="29" t="str">
        <f>IF(Y1277=1,COUNTIF($Y$2:Y1277,1),"")</f>
        <v/>
      </c>
      <c r="AA1277" s="29" t="str">
        <f>IF(AND(LEFT($B1277,7)="SBA 26/",$C1277&lt;&gt;"",$F1277&lt;&gt;""),COUNTIFS($C$2:$C1277,$C1277,$B$2:$B1277,"SBA 26/*",$F$2:$F1277,"&lt;&gt;"),"")</f>
        <v/>
      </c>
      <c r="AB1277" s="29" t="str">
        <f>IF(AA1277=1,COUNTIF($AA$2:AA1277,1),"")</f>
        <v/>
      </c>
    </row>
    <row r="1278" spans="6:28" ht="47.25" customHeight="1" x14ac:dyDescent="0.2">
      <c r="F1278" s="45" t="s">
        <v>3955</v>
      </c>
      <c r="T1278" s="41"/>
      <c r="U1278" s="29" t="str">
        <f>IF($C1278&lt;&gt;"",COUNTIF($C$2:C1278,C1278),"")</f>
        <v/>
      </c>
      <c r="V1278" s="29" t="str">
        <f t="shared" si="70"/>
        <v/>
      </c>
      <c r="W1278" s="29" t="str">
        <f>IF(U1278=1,COUNTIF($U$2:U1278,1),"")</f>
        <v/>
      </c>
      <c r="X1278" s="29" t="str">
        <f t="shared" si="71"/>
        <v/>
      </c>
      <c r="Y1278" s="29" t="str">
        <f>IF(AND(LEFT($B1278,7)="SBA 26/",$D1278&lt;&gt;"",$F1278&lt;&gt;""),COUNTIFS($D$2:$D1278,$D1278,$B$2:$B1278,"SBA 26/*",$F$2:$F1278,"&lt;&gt;"),"")</f>
        <v/>
      </c>
      <c r="Z1278" s="29" t="str">
        <f>IF(Y1278=1,COUNTIF($Y$2:Y1278,1),"")</f>
        <v/>
      </c>
      <c r="AA1278" s="29" t="str">
        <f>IF(AND(LEFT($B1278,7)="SBA 26/",$C1278&lt;&gt;"",$F1278&lt;&gt;""),COUNTIFS($C$2:$C1278,$C1278,$B$2:$B1278,"SBA 26/*",$F$2:$F1278,"&lt;&gt;"),"")</f>
        <v/>
      </c>
      <c r="AB1278" s="29" t="str">
        <f>IF(AA1278=1,COUNTIF($AA$2:AA1278,1),"")</f>
        <v/>
      </c>
    </row>
    <row r="1279" spans="6:28" ht="47.25" customHeight="1" x14ac:dyDescent="0.2">
      <c r="F1279" s="45" t="s">
        <v>3956</v>
      </c>
      <c r="T1279" s="41"/>
      <c r="U1279" s="29" t="str">
        <f>IF($C1279&lt;&gt;"",COUNTIF($C$2:C1279,C1279),"")</f>
        <v/>
      </c>
      <c r="V1279" s="29" t="str">
        <f t="shared" si="70"/>
        <v/>
      </c>
      <c r="W1279" s="29" t="str">
        <f>IF(U1279=1,COUNTIF($U$2:U1279,1),"")</f>
        <v/>
      </c>
      <c r="X1279" s="29" t="str">
        <f t="shared" si="71"/>
        <v/>
      </c>
      <c r="Y1279" s="29" t="str">
        <f>IF(AND(LEFT($B1279,7)="SBA 26/",$D1279&lt;&gt;"",$F1279&lt;&gt;""),COUNTIFS($D$2:$D1279,$D1279,$B$2:$B1279,"SBA 26/*",$F$2:$F1279,"&lt;&gt;"),"")</f>
        <v/>
      </c>
      <c r="Z1279" s="29" t="str">
        <f>IF(Y1279=1,COUNTIF($Y$2:Y1279,1),"")</f>
        <v/>
      </c>
      <c r="AA1279" s="29" t="str">
        <f>IF(AND(LEFT($B1279,7)="SBA 26/",$C1279&lt;&gt;"",$F1279&lt;&gt;""),COUNTIFS($C$2:$C1279,$C1279,$B$2:$B1279,"SBA 26/*",$F$2:$F1279,"&lt;&gt;"),"")</f>
        <v/>
      </c>
      <c r="AB1279" s="29" t="str">
        <f>IF(AA1279=1,COUNTIF($AA$2:AA1279,1),"")</f>
        <v/>
      </c>
    </row>
    <row r="1280" spans="6:28" ht="47.25" customHeight="1" x14ac:dyDescent="0.2">
      <c r="F1280" s="45" t="s">
        <v>3957</v>
      </c>
      <c r="T1280" s="41"/>
      <c r="U1280" s="29" t="str">
        <f>IF($C1280&lt;&gt;"",COUNTIF($C$2:C1280,C1280),"")</f>
        <v/>
      </c>
      <c r="V1280" s="29" t="str">
        <f t="shared" si="70"/>
        <v/>
      </c>
      <c r="W1280" s="29" t="str">
        <f>IF(U1280=1,COUNTIF($U$2:U1280,1),"")</f>
        <v/>
      </c>
      <c r="X1280" s="29" t="str">
        <f t="shared" si="71"/>
        <v/>
      </c>
      <c r="Y1280" s="29" t="str">
        <f>IF(AND(LEFT($B1280,7)="SBA 26/",$D1280&lt;&gt;"",$F1280&lt;&gt;""),COUNTIFS($D$2:$D1280,$D1280,$B$2:$B1280,"SBA 26/*",$F$2:$F1280,"&lt;&gt;"),"")</f>
        <v/>
      </c>
      <c r="Z1280" s="29" t="str">
        <f>IF(Y1280=1,COUNTIF($Y$2:Y1280,1),"")</f>
        <v/>
      </c>
      <c r="AA1280" s="29" t="str">
        <f>IF(AND(LEFT($B1280,7)="SBA 26/",$C1280&lt;&gt;"",$F1280&lt;&gt;""),COUNTIFS($C$2:$C1280,$C1280,$B$2:$B1280,"SBA 26/*",$F$2:$F1280,"&lt;&gt;"),"")</f>
        <v/>
      </c>
      <c r="AB1280" s="29" t="str">
        <f>IF(AA1280=1,COUNTIF($AA$2:AA1280,1),"")</f>
        <v/>
      </c>
    </row>
    <row r="1281" spans="6:28" ht="47.25" customHeight="1" x14ac:dyDescent="0.2">
      <c r="F1281" s="45" t="s">
        <v>3958</v>
      </c>
      <c r="T1281" s="41"/>
      <c r="U1281" s="29" t="str">
        <f>IF($C1281&lt;&gt;"",COUNTIF($C$2:C1281,C1281),"")</f>
        <v/>
      </c>
      <c r="V1281" s="29" t="str">
        <f t="shared" si="70"/>
        <v/>
      </c>
      <c r="W1281" s="29" t="str">
        <f>IF(U1281=1,COUNTIF($U$2:U1281,1),"")</f>
        <v/>
      </c>
      <c r="X1281" s="29" t="str">
        <f t="shared" si="71"/>
        <v/>
      </c>
      <c r="Y1281" s="29" t="str">
        <f>IF(AND(LEFT($B1281,7)="SBA 26/",$D1281&lt;&gt;"",$F1281&lt;&gt;""),COUNTIFS($D$2:$D1281,$D1281,$B$2:$B1281,"SBA 26/*",$F$2:$F1281,"&lt;&gt;"),"")</f>
        <v/>
      </c>
      <c r="Z1281" s="29" t="str">
        <f>IF(Y1281=1,COUNTIF($Y$2:Y1281,1),"")</f>
        <v/>
      </c>
      <c r="AA1281" s="29" t="str">
        <f>IF(AND(LEFT($B1281,7)="SBA 26/",$C1281&lt;&gt;"",$F1281&lt;&gt;""),COUNTIFS($C$2:$C1281,$C1281,$B$2:$B1281,"SBA 26/*",$F$2:$F1281,"&lt;&gt;"),"")</f>
        <v/>
      </c>
      <c r="AB1281" s="29" t="str">
        <f>IF(AA1281=1,COUNTIF($AA$2:AA1281,1),"")</f>
        <v/>
      </c>
    </row>
    <row r="1282" spans="6:28" ht="47.25" customHeight="1" x14ac:dyDescent="0.2">
      <c r="F1282" s="45" t="s">
        <v>3959</v>
      </c>
      <c r="T1282" s="41"/>
      <c r="U1282" s="29" t="str">
        <f>IF($C1282&lt;&gt;"",COUNTIF($C$2:C1282,C1282),"")</f>
        <v/>
      </c>
      <c r="V1282" s="29" t="str">
        <f t="shared" ref="V1282:V1345" si="72">IF($C1282&lt;&gt;"",C1282&amp;"§"&amp;U1282,"")</f>
        <v/>
      </c>
      <c r="W1282" s="29" t="str">
        <f>IF(U1282=1,COUNTIF($U$2:U1282,1),"")</f>
        <v/>
      </c>
      <c r="X1282" s="29" t="str">
        <f t="shared" si="71"/>
        <v/>
      </c>
      <c r="Y1282" s="29" t="str">
        <f>IF(AND(LEFT($B1282,7)="SBA 26/",$D1282&lt;&gt;"",$F1282&lt;&gt;""),COUNTIFS($D$2:$D1282,$D1282,$B$2:$B1282,"SBA 26/*",$F$2:$F1282,"&lt;&gt;"),"")</f>
        <v/>
      </c>
      <c r="Z1282" s="29" t="str">
        <f>IF(Y1282=1,COUNTIF($Y$2:Y1282,1),"")</f>
        <v/>
      </c>
      <c r="AA1282" s="29" t="str">
        <f>IF(AND(LEFT($B1282,7)="SBA 26/",$C1282&lt;&gt;"",$F1282&lt;&gt;""),COUNTIFS($C$2:$C1282,$C1282,$B$2:$B1282,"SBA 26/*",$F$2:$F1282,"&lt;&gt;"),"")</f>
        <v/>
      </c>
      <c r="AB1282" s="29" t="str">
        <f>IF(AA1282=1,COUNTIF($AA$2:AA1282,1),"")</f>
        <v/>
      </c>
    </row>
    <row r="1283" spans="6:28" ht="63" customHeight="1" x14ac:dyDescent="0.2">
      <c r="F1283" s="45" t="s">
        <v>3960</v>
      </c>
      <c r="T1283" s="41"/>
      <c r="U1283" s="29" t="str">
        <f>IF($C1283&lt;&gt;"",COUNTIF($C$2:C1283,C1283),"")</f>
        <v/>
      </c>
      <c r="V1283" s="29" t="str">
        <f t="shared" si="72"/>
        <v/>
      </c>
      <c r="W1283" s="29" t="str">
        <f>IF(U1283=1,COUNTIF($U$2:U1283,1),"")</f>
        <v/>
      </c>
      <c r="X1283" s="29" t="str">
        <f t="shared" si="71"/>
        <v/>
      </c>
      <c r="Y1283" s="29" t="str">
        <f>IF(AND(LEFT($B1283,7)="SBA 26/",$D1283&lt;&gt;"",$F1283&lt;&gt;""),COUNTIFS($D$2:$D1283,$D1283,$B$2:$B1283,"SBA 26/*",$F$2:$F1283,"&lt;&gt;"),"")</f>
        <v/>
      </c>
      <c r="Z1283" s="29" t="str">
        <f>IF(Y1283=1,COUNTIF($Y$2:Y1283,1),"")</f>
        <v/>
      </c>
      <c r="AA1283" s="29" t="str">
        <f>IF(AND(LEFT($B1283,7)="SBA 26/",$C1283&lt;&gt;"",$F1283&lt;&gt;""),COUNTIFS($C$2:$C1283,$C1283,$B$2:$B1283,"SBA 26/*",$F$2:$F1283,"&lt;&gt;"),"")</f>
        <v/>
      </c>
      <c r="AB1283" s="29" t="str">
        <f>IF(AA1283=1,COUNTIF($AA$2:AA1283,1),"")</f>
        <v/>
      </c>
    </row>
    <row r="1284" spans="6:28" ht="47.25" customHeight="1" x14ac:dyDescent="0.2">
      <c r="F1284" s="45" t="s">
        <v>3961</v>
      </c>
      <c r="T1284" s="41"/>
      <c r="U1284" s="29" t="str">
        <f>IF($C1284&lt;&gt;"",COUNTIF($C$2:C1284,C1284),"")</f>
        <v/>
      </c>
      <c r="V1284" s="29" t="str">
        <f t="shared" si="72"/>
        <v/>
      </c>
      <c r="W1284" s="29" t="str">
        <f>IF(U1284=1,COUNTIF($U$2:U1284,1),"")</f>
        <v/>
      </c>
      <c r="X1284" s="29" t="str">
        <f t="shared" si="71"/>
        <v/>
      </c>
      <c r="Y1284" s="29" t="str">
        <f>IF(AND(LEFT($B1284,7)="SBA 26/",$D1284&lt;&gt;"",$F1284&lt;&gt;""),COUNTIFS($D$2:$D1284,$D1284,$B$2:$B1284,"SBA 26/*",$F$2:$F1284,"&lt;&gt;"),"")</f>
        <v/>
      </c>
      <c r="Z1284" s="29" t="str">
        <f>IF(Y1284=1,COUNTIF($Y$2:Y1284,1),"")</f>
        <v/>
      </c>
      <c r="AA1284" s="29" t="str">
        <f>IF(AND(LEFT($B1284,7)="SBA 26/",$C1284&lt;&gt;"",$F1284&lt;&gt;""),COUNTIFS($C$2:$C1284,$C1284,$B$2:$B1284,"SBA 26/*",$F$2:$F1284,"&lt;&gt;"),"")</f>
        <v/>
      </c>
      <c r="AB1284" s="29" t="str">
        <f>IF(AA1284=1,COUNTIF($AA$2:AA1284,1),"")</f>
        <v/>
      </c>
    </row>
    <row r="1285" spans="6:28" ht="47.25" customHeight="1" x14ac:dyDescent="0.2">
      <c r="F1285" s="45" t="s">
        <v>3962</v>
      </c>
      <c r="T1285" s="41"/>
      <c r="U1285" s="29" t="str">
        <f>IF($C1285&lt;&gt;"",COUNTIF($C$2:C1285,C1285),"")</f>
        <v/>
      </c>
      <c r="V1285" s="29" t="str">
        <f t="shared" si="72"/>
        <v/>
      </c>
      <c r="W1285" s="29" t="str">
        <f>IF(U1285=1,COUNTIF($U$2:U1285,1),"")</f>
        <v/>
      </c>
      <c r="X1285" s="29" t="str">
        <f t="shared" si="71"/>
        <v/>
      </c>
      <c r="Y1285" s="29" t="str">
        <f>IF(AND(LEFT($B1285,7)="SBA 26/",$D1285&lt;&gt;"",$F1285&lt;&gt;""),COUNTIFS($D$2:$D1285,$D1285,$B$2:$B1285,"SBA 26/*",$F$2:$F1285,"&lt;&gt;"),"")</f>
        <v/>
      </c>
      <c r="Z1285" s="29" t="str">
        <f>IF(Y1285=1,COUNTIF($Y$2:Y1285,1),"")</f>
        <v/>
      </c>
      <c r="AA1285" s="29" t="str">
        <f>IF(AND(LEFT($B1285,7)="SBA 26/",$C1285&lt;&gt;"",$F1285&lt;&gt;""),COUNTIFS($C$2:$C1285,$C1285,$B$2:$B1285,"SBA 26/*",$F$2:$F1285,"&lt;&gt;"),"")</f>
        <v/>
      </c>
      <c r="AB1285" s="29" t="str">
        <f>IF(AA1285=1,COUNTIF($AA$2:AA1285,1),"")</f>
        <v/>
      </c>
    </row>
    <row r="1286" spans="6:28" ht="31.5" customHeight="1" x14ac:dyDescent="0.2">
      <c r="F1286" s="45" t="s">
        <v>3963</v>
      </c>
      <c r="T1286" s="41"/>
      <c r="U1286" s="29" t="str">
        <f>IF($C1286&lt;&gt;"",COUNTIF($C$2:C1286,C1286),"")</f>
        <v/>
      </c>
      <c r="V1286" s="29" t="str">
        <f t="shared" si="72"/>
        <v/>
      </c>
      <c r="W1286" s="29" t="str">
        <f>IF(U1286=1,COUNTIF($U$2:U1286,1),"")</f>
        <v/>
      </c>
      <c r="X1286" s="29" t="str">
        <f t="shared" si="71"/>
        <v/>
      </c>
      <c r="Y1286" s="29" t="str">
        <f>IF(AND(LEFT($B1286,7)="SBA 26/",$D1286&lt;&gt;"",$F1286&lt;&gt;""),COUNTIFS($D$2:$D1286,$D1286,$B$2:$B1286,"SBA 26/*",$F$2:$F1286,"&lt;&gt;"),"")</f>
        <v/>
      </c>
      <c r="Z1286" s="29" t="str">
        <f>IF(Y1286=1,COUNTIF($Y$2:Y1286,1),"")</f>
        <v/>
      </c>
      <c r="AA1286" s="29" t="str">
        <f>IF(AND(LEFT($B1286,7)="SBA 26/",$C1286&lt;&gt;"",$F1286&lt;&gt;""),COUNTIFS($C$2:$C1286,$C1286,$B$2:$B1286,"SBA 26/*",$F$2:$F1286,"&lt;&gt;"),"")</f>
        <v/>
      </c>
      <c r="AB1286" s="29" t="str">
        <f>IF(AA1286=1,COUNTIF($AA$2:AA1286,1),"")</f>
        <v/>
      </c>
    </row>
    <row r="1287" spans="6:28" ht="31.5" customHeight="1" x14ac:dyDescent="0.2">
      <c r="F1287" s="45" t="s">
        <v>3964</v>
      </c>
      <c r="T1287" s="41"/>
      <c r="U1287" s="29" t="str">
        <f>IF($C1287&lt;&gt;"",COUNTIF($C$2:C1287,C1287),"")</f>
        <v/>
      </c>
      <c r="V1287" s="29" t="str">
        <f t="shared" si="72"/>
        <v/>
      </c>
      <c r="W1287" s="29" t="str">
        <f>IF(U1287=1,COUNTIF($U$2:U1287,1),"")</f>
        <v/>
      </c>
      <c r="X1287" s="29" t="str">
        <f t="shared" si="71"/>
        <v/>
      </c>
      <c r="Y1287" s="29" t="str">
        <f>IF(AND(LEFT($B1287,7)="SBA 26/",$D1287&lt;&gt;"",$F1287&lt;&gt;""),COUNTIFS($D$2:$D1287,$D1287,$B$2:$B1287,"SBA 26/*",$F$2:$F1287,"&lt;&gt;"),"")</f>
        <v/>
      </c>
      <c r="Z1287" s="29" t="str">
        <f>IF(Y1287=1,COUNTIF($Y$2:Y1287,1),"")</f>
        <v/>
      </c>
      <c r="AA1287" s="29" t="str">
        <f>IF(AND(LEFT($B1287,7)="SBA 26/",$C1287&lt;&gt;"",$F1287&lt;&gt;""),COUNTIFS($C$2:$C1287,$C1287,$B$2:$B1287,"SBA 26/*",$F$2:$F1287,"&lt;&gt;"),"")</f>
        <v/>
      </c>
      <c r="AB1287" s="29" t="str">
        <f>IF(AA1287=1,COUNTIF($AA$2:AA1287,1),"")</f>
        <v/>
      </c>
    </row>
    <row r="1288" spans="6:28" ht="31.5" customHeight="1" x14ac:dyDescent="0.2">
      <c r="F1288" s="45" t="s">
        <v>3965</v>
      </c>
      <c r="T1288" s="41"/>
      <c r="U1288" s="29" t="str">
        <f>IF($C1288&lt;&gt;"",COUNTIF($C$2:C1288,C1288),"")</f>
        <v/>
      </c>
      <c r="V1288" s="29" t="str">
        <f t="shared" si="72"/>
        <v/>
      </c>
      <c r="W1288" s="29" t="str">
        <f>IF(U1288=1,COUNTIF($U$2:U1288,1),"")</f>
        <v/>
      </c>
      <c r="X1288" s="29" t="str">
        <f t="shared" si="71"/>
        <v/>
      </c>
      <c r="Y1288" s="29" t="str">
        <f>IF(AND(LEFT($B1288,7)="SBA 26/",$D1288&lt;&gt;"",$F1288&lt;&gt;""),COUNTIFS($D$2:$D1288,$D1288,$B$2:$B1288,"SBA 26/*",$F$2:$F1288,"&lt;&gt;"),"")</f>
        <v/>
      </c>
      <c r="Z1288" s="29" t="str">
        <f>IF(Y1288=1,COUNTIF($Y$2:Y1288,1),"")</f>
        <v/>
      </c>
      <c r="AA1288" s="29" t="str">
        <f>IF(AND(LEFT($B1288,7)="SBA 26/",$C1288&lt;&gt;"",$F1288&lt;&gt;""),COUNTIFS($C$2:$C1288,$C1288,$B$2:$B1288,"SBA 26/*",$F$2:$F1288,"&lt;&gt;"),"")</f>
        <v/>
      </c>
      <c r="AB1288" s="29" t="str">
        <f>IF(AA1288=1,COUNTIF($AA$2:AA1288,1),"")</f>
        <v/>
      </c>
    </row>
    <row r="1289" spans="6:28" ht="47.25" customHeight="1" x14ac:dyDescent="0.2">
      <c r="F1289" s="45" t="s">
        <v>3966</v>
      </c>
      <c r="T1289" s="41"/>
      <c r="U1289" s="29" t="str">
        <f>IF($C1289&lt;&gt;"",COUNTIF($C$2:C1289,C1289),"")</f>
        <v/>
      </c>
      <c r="V1289" s="29" t="str">
        <f t="shared" si="72"/>
        <v/>
      </c>
      <c r="W1289" s="29" t="str">
        <f>IF(U1289=1,COUNTIF($U$2:U1289,1),"")</f>
        <v/>
      </c>
      <c r="X1289" s="29" t="str">
        <f t="shared" si="71"/>
        <v/>
      </c>
      <c r="Y1289" s="29" t="str">
        <f>IF(AND(LEFT($B1289,7)="SBA 26/",$D1289&lt;&gt;"",$F1289&lt;&gt;""),COUNTIFS($D$2:$D1289,$D1289,$B$2:$B1289,"SBA 26/*",$F$2:$F1289,"&lt;&gt;"),"")</f>
        <v/>
      </c>
      <c r="Z1289" s="29" t="str">
        <f>IF(Y1289=1,COUNTIF($Y$2:Y1289,1),"")</f>
        <v/>
      </c>
      <c r="AA1289" s="29" t="str">
        <f>IF(AND(LEFT($B1289,7)="SBA 26/",$C1289&lt;&gt;"",$F1289&lt;&gt;""),COUNTIFS($C$2:$C1289,$C1289,$B$2:$B1289,"SBA 26/*",$F$2:$F1289,"&lt;&gt;"),"")</f>
        <v/>
      </c>
      <c r="AB1289" s="29" t="str">
        <f>IF(AA1289=1,COUNTIF($AA$2:AA1289,1),"")</f>
        <v/>
      </c>
    </row>
    <row r="1290" spans="6:28" ht="47.25" customHeight="1" x14ac:dyDescent="0.2">
      <c r="F1290" s="45" t="s">
        <v>3967</v>
      </c>
      <c r="T1290" s="41"/>
      <c r="U1290" s="29" t="str">
        <f>IF($C1290&lt;&gt;"",COUNTIF($C$2:C1290,C1290),"")</f>
        <v/>
      </c>
      <c r="V1290" s="29" t="str">
        <f t="shared" si="72"/>
        <v/>
      </c>
      <c r="W1290" s="29" t="str">
        <f>IF(U1290=1,COUNTIF($U$2:U1290,1),"")</f>
        <v/>
      </c>
      <c r="X1290" s="29" t="str">
        <f t="shared" si="71"/>
        <v/>
      </c>
      <c r="Y1290" s="29" t="str">
        <f>IF(AND(LEFT($B1290,7)="SBA 26/",$D1290&lt;&gt;"",$F1290&lt;&gt;""),COUNTIFS($D$2:$D1290,$D1290,$B$2:$B1290,"SBA 26/*",$F$2:$F1290,"&lt;&gt;"),"")</f>
        <v/>
      </c>
      <c r="Z1290" s="29" t="str">
        <f>IF(Y1290=1,COUNTIF($Y$2:Y1290,1),"")</f>
        <v/>
      </c>
      <c r="AA1290" s="29" t="str">
        <f>IF(AND(LEFT($B1290,7)="SBA 26/",$C1290&lt;&gt;"",$F1290&lt;&gt;""),COUNTIFS($C$2:$C1290,$C1290,$B$2:$B1290,"SBA 26/*",$F$2:$F1290,"&lt;&gt;"),"")</f>
        <v/>
      </c>
      <c r="AB1290" s="29" t="str">
        <f>IF(AA1290=1,COUNTIF($AA$2:AA1290,1),"")</f>
        <v/>
      </c>
    </row>
    <row r="1291" spans="6:28" ht="47.25" customHeight="1" x14ac:dyDescent="0.2">
      <c r="F1291" s="45" t="s">
        <v>3968</v>
      </c>
      <c r="T1291" s="41"/>
      <c r="U1291" s="29" t="str">
        <f>IF($C1291&lt;&gt;"",COUNTIF($C$2:C1291,C1291),"")</f>
        <v/>
      </c>
      <c r="V1291" s="29" t="str">
        <f t="shared" si="72"/>
        <v/>
      </c>
      <c r="W1291" s="29" t="str">
        <f>IF(U1291=1,COUNTIF($U$2:U1291,1),"")</f>
        <v/>
      </c>
      <c r="X1291" s="29" t="str">
        <f t="shared" si="71"/>
        <v/>
      </c>
      <c r="Y1291" s="29" t="str">
        <f>IF(AND(LEFT($B1291,7)="SBA 26/",$D1291&lt;&gt;"",$F1291&lt;&gt;""),COUNTIFS($D$2:$D1291,$D1291,$B$2:$B1291,"SBA 26/*",$F$2:$F1291,"&lt;&gt;"),"")</f>
        <v/>
      </c>
      <c r="Z1291" s="29" t="str">
        <f>IF(Y1291=1,COUNTIF($Y$2:Y1291,1),"")</f>
        <v/>
      </c>
      <c r="AA1291" s="29" t="str">
        <f>IF(AND(LEFT($B1291,7)="SBA 26/",$C1291&lt;&gt;"",$F1291&lt;&gt;""),COUNTIFS($C$2:$C1291,$C1291,$B$2:$B1291,"SBA 26/*",$F$2:$F1291,"&lt;&gt;"),"")</f>
        <v/>
      </c>
      <c r="AB1291" s="29" t="str">
        <f>IF(AA1291=1,COUNTIF($AA$2:AA1291,1),"")</f>
        <v/>
      </c>
    </row>
    <row r="1292" spans="6:28" ht="63" customHeight="1" x14ac:dyDescent="0.2">
      <c r="F1292" s="45" t="s">
        <v>3969</v>
      </c>
      <c r="T1292" s="41"/>
      <c r="U1292" s="29" t="str">
        <f>IF($C1292&lt;&gt;"",COUNTIF($C$2:C1292,C1292),"")</f>
        <v/>
      </c>
      <c r="V1292" s="29" t="str">
        <f t="shared" si="72"/>
        <v/>
      </c>
      <c r="W1292" s="29" t="str">
        <f>IF(U1292=1,COUNTIF($U$2:U1292,1),"")</f>
        <v/>
      </c>
      <c r="X1292" s="29" t="str">
        <f t="shared" si="71"/>
        <v/>
      </c>
      <c r="Y1292" s="29" t="str">
        <f>IF(AND(LEFT($B1292,7)="SBA 26/",$D1292&lt;&gt;"",$F1292&lt;&gt;""),COUNTIFS($D$2:$D1292,$D1292,$B$2:$B1292,"SBA 26/*",$F$2:$F1292,"&lt;&gt;"),"")</f>
        <v/>
      </c>
      <c r="Z1292" s="29" t="str">
        <f>IF(Y1292=1,COUNTIF($Y$2:Y1292,1),"")</f>
        <v/>
      </c>
      <c r="AA1292" s="29" t="str">
        <f>IF(AND(LEFT($B1292,7)="SBA 26/",$C1292&lt;&gt;"",$F1292&lt;&gt;""),COUNTIFS($C$2:$C1292,$C1292,$B$2:$B1292,"SBA 26/*",$F$2:$F1292,"&lt;&gt;"),"")</f>
        <v/>
      </c>
      <c r="AB1292" s="29" t="str">
        <f>IF(AA1292=1,COUNTIF($AA$2:AA1292,1),"")</f>
        <v/>
      </c>
    </row>
    <row r="1293" spans="6:28" ht="47.25" customHeight="1" x14ac:dyDescent="0.2">
      <c r="F1293" s="45" t="s">
        <v>3970</v>
      </c>
      <c r="T1293" s="41"/>
      <c r="U1293" s="29" t="str">
        <f>IF($C1293&lt;&gt;"",COUNTIF($C$2:C1293,C1293),"")</f>
        <v/>
      </c>
      <c r="V1293" s="29" t="str">
        <f t="shared" si="72"/>
        <v/>
      </c>
      <c r="W1293" s="29" t="str">
        <f>IF(U1293=1,COUNTIF($U$2:U1293,1),"")</f>
        <v/>
      </c>
      <c r="X1293" s="29" t="str">
        <f t="shared" si="71"/>
        <v/>
      </c>
      <c r="Y1293" s="29" t="str">
        <f>IF(AND(LEFT($B1293,7)="SBA 26/",$D1293&lt;&gt;"",$F1293&lt;&gt;""),COUNTIFS($D$2:$D1293,$D1293,$B$2:$B1293,"SBA 26/*",$F$2:$F1293,"&lt;&gt;"),"")</f>
        <v/>
      </c>
      <c r="Z1293" s="29" t="str">
        <f>IF(Y1293=1,COUNTIF($Y$2:Y1293,1),"")</f>
        <v/>
      </c>
      <c r="AA1293" s="29" t="str">
        <f>IF(AND(LEFT($B1293,7)="SBA 26/",$C1293&lt;&gt;"",$F1293&lt;&gt;""),COUNTIFS($C$2:$C1293,$C1293,$B$2:$B1293,"SBA 26/*",$F$2:$F1293,"&lt;&gt;"),"")</f>
        <v/>
      </c>
      <c r="AB1293" s="29" t="str">
        <f>IF(AA1293=1,COUNTIF($AA$2:AA1293,1),"")</f>
        <v/>
      </c>
    </row>
    <row r="1294" spans="6:28" ht="31.5" customHeight="1" x14ac:dyDescent="0.2">
      <c r="F1294" s="45" t="s">
        <v>3971</v>
      </c>
      <c r="T1294" s="41"/>
      <c r="U1294" s="29" t="str">
        <f>IF($C1294&lt;&gt;"",COUNTIF($C$2:C1294,C1294),"")</f>
        <v/>
      </c>
      <c r="V1294" s="29" t="str">
        <f t="shared" si="72"/>
        <v/>
      </c>
      <c r="W1294" s="29" t="str">
        <f>IF(U1294=1,COUNTIF($U$2:U1294,1),"")</f>
        <v/>
      </c>
      <c r="X1294" s="29" t="str">
        <f t="shared" si="71"/>
        <v/>
      </c>
      <c r="Y1294" s="29" t="str">
        <f>IF(AND(LEFT($B1294,7)="SBA 26/",$D1294&lt;&gt;"",$F1294&lt;&gt;""),COUNTIFS($D$2:$D1294,$D1294,$B$2:$B1294,"SBA 26/*",$F$2:$F1294,"&lt;&gt;"),"")</f>
        <v/>
      </c>
      <c r="Z1294" s="29" t="str">
        <f>IF(Y1294=1,COUNTIF($Y$2:Y1294,1),"")</f>
        <v/>
      </c>
      <c r="AA1294" s="29" t="str">
        <f>IF(AND(LEFT($B1294,7)="SBA 26/",$C1294&lt;&gt;"",$F1294&lt;&gt;""),COUNTIFS($C$2:$C1294,$C1294,$B$2:$B1294,"SBA 26/*",$F$2:$F1294,"&lt;&gt;"),"")</f>
        <v/>
      </c>
      <c r="AB1294" s="29" t="str">
        <f>IF(AA1294=1,COUNTIF($AA$2:AA1294,1),"")</f>
        <v/>
      </c>
    </row>
    <row r="1295" spans="6:28" ht="63" customHeight="1" x14ac:dyDescent="0.2">
      <c r="F1295" s="45" t="s">
        <v>3972</v>
      </c>
      <c r="T1295" s="41"/>
      <c r="U1295" s="29" t="str">
        <f>IF($C1295&lt;&gt;"",COUNTIF($C$2:C1295,C1295),"")</f>
        <v/>
      </c>
      <c r="V1295" s="29" t="str">
        <f t="shared" si="72"/>
        <v/>
      </c>
      <c r="W1295" s="29" t="str">
        <f>IF(U1295=1,COUNTIF($U$2:U1295,1),"")</f>
        <v/>
      </c>
      <c r="X1295" s="29" t="str">
        <f t="shared" si="71"/>
        <v/>
      </c>
      <c r="Y1295" s="29" t="str">
        <f>IF(AND(LEFT($B1295,7)="SBA 26/",$D1295&lt;&gt;"",$F1295&lt;&gt;""),COUNTIFS($D$2:$D1295,$D1295,$B$2:$B1295,"SBA 26/*",$F$2:$F1295,"&lt;&gt;"),"")</f>
        <v/>
      </c>
      <c r="Z1295" s="29" t="str">
        <f>IF(Y1295=1,COUNTIF($Y$2:Y1295,1),"")</f>
        <v/>
      </c>
      <c r="AA1295" s="29" t="str">
        <f>IF(AND(LEFT($B1295,7)="SBA 26/",$C1295&lt;&gt;"",$F1295&lt;&gt;""),COUNTIFS($C$2:$C1295,$C1295,$B$2:$B1295,"SBA 26/*",$F$2:$F1295,"&lt;&gt;"),"")</f>
        <v/>
      </c>
      <c r="AB1295" s="29" t="str">
        <f>IF(AA1295=1,COUNTIF($AA$2:AA1295,1),"")</f>
        <v/>
      </c>
    </row>
    <row r="1296" spans="6:28" ht="31.5" customHeight="1" x14ac:dyDescent="0.2">
      <c r="F1296" s="45" t="s">
        <v>3973</v>
      </c>
      <c r="T1296" s="41"/>
      <c r="U1296" s="29" t="str">
        <f>IF($C1296&lt;&gt;"",COUNTIF($C$2:C1296,C1296),"")</f>
        <v/>
      </c>
      <c r="V1296" s="29" t="str">
        <f t="shared" si="72"/>
        <v/>
      </c>
      <c r="W1296" s="29" t="str">
        <f>IF(U1296=1,COUNTIF($U$2:U1296,1),"")</f>
        <v/>
      </c>
      <c r="X1296" s="29" t="str">
        <f t="shared" si="71"/>
        <v/>
      </c>
      <c r="Y1296" s="29" t="str">
        <f>IF(AND(LEFT($B1296,7)="SBA 26/",$D1296&lt;&gt;"",$F1296&lt;&gt;""),COUNTIFS($D$2:$D1296,$D1296,$B$2:$B1296,"SBA 26/*",$F$2:$F1296,"&lt;&gt;"),"")</f>
        <v/>
      </c>
      <c r="Z1296" s="29" t="str">
        <f>IF(Y1296=1,COUNTIF($Y$2:Y1296,1),"")</f>
        <v/>
      </c>
      <c r="AA1296" s="29" t="str">
        <f>IF(AND(LEFT($B1296,7)="SBA 26/",$C1296&lt;&gt;"",$F1296&lt;&gt;""),COUNTIFS($C$2:$C1296,$C1296,$B$2:$B1296,"SBA 26/*",$F$2:$F1296,"&lt;&gt;"),"")</f>
        <v/>
      </c>
      <c r="AB1296" s="29" t="str">
        <f>IF(AA1296=1,COUNTIF($AA$2:AA1296,1),"")</f>
        <v/>
      </c>
    </row>
    <row r="1297" spans="6:28" ht="47.25" customHeight="1" x14ac:dyDescent="0.2">
      <c r="F1297" s="45" t="s">
        <v>3974</v>
      </c>
      <c r="T1297" s="41"/>
      <c r="U1297" s="29" t="str">
        <f>IF($C1297&lt;&gt;"",COUNTIF($C$2:C1297,C1297),"")</f>
        <v/>
      </c>
      <c r="V1297" s="29" t="str">
        <f t="shared" si="72"/>
        <v/>
      </c>
      <c r="W1297" s="29" t="str">
        <f>IF(U1297=1,COUNTIF($U$2:U1297,1),"")</f>
        <v/>
      </c>
      <c r="X1297" s="29" t="str">
        <f t="shared" si="71"/>
        <v/>
      </c>
      <c r="Y1297" s="29" t="str">
        <f>IF(AND(LEFT($B1297,7)="SBA 26/",$D1297&lt;&gt;"",$F1297&lt;&gt;""),COUNTIFS($D$2:$D1297,$D1297,$B$2:$B1297,"SBA 26/*",$F$2:$F1297,"&lt;&gt;"),"")</f>
        <v/>
      </c>
      <c r="Z1297" s="29" t="str">
        <f>IF(Y1297=1,COUNTIF($Y$2:Y1297,1),"")</f>
        <v/>
      </c>
      <c r="AA1297" s="29" t="str">
        <f>IF(AND(LEFT($B1297,7)="SBA 26/",$C1297&lt;&gt;"",$F1297&lt;&gt;""),COUNTIFS($C$2:$C1297,$C1297,$B$2:$B1297,"SBA 26/*",$F$2:$F1297,"&lt;&gt;"),"")</f>
        <v/>
      </c>
      <c r="AB1297" s="29" t="str">
        <f>IF(AA1297=1,COUNTIF($AA$2:AA1297,1),"")</f>
        <v/>
      </c>
    </row>
    <row r="1298" spans="6:28" ht="47.25" customHeight="1" x14ac:dyDescent="0.2">
      <c r="F1298" s="45" t="s">
        <v>3975</v>
      </c>
      <c r="T1298" s="41"/>
      <c r="U1298" s="29" t="str">
        <f>IF($C1298&lt;&gt;"",COUNTIF($C$2:C1298,C1298),"")</f>
        <v/>
      </c>
      <c r="V1298" s="29" t="str">
        <f t="shared" si="72"/>
        <v/>
      </c>
      <c r="W1298" s="29" t="str">
        <f>IF(U1298=1,COUNTIF($U$2:U1298,1),"")</f>
        <v/>
      </c>
      <c r="X1298" s="29" t="str">
        <f t="shared" si="71"/>
        <v/>
      </c>
      <c r="Y1298" s="29" t="str">
        <f>IF(AND(LEFT($B1298,7)="SBA 26/",$D1298&lt;&gt;"",$F1298&lt;&gt;""),COUNTIFS($D$2:$D1298,$D1298,$B$2:$B1298,"SBA 26/*",$F$2:$F1298,"&lt;&gt;"),"")</f>
        <v/>
      </c>
      <c r="Z1298" s="29" t="str">
        <f>IF(Y1298=1,COUNTIF($Y$2:Y1298,1),"")</f>
        <v/>
      </c>
      <c r="AA1298" s="29" t="str">
        <f>IF(AND(LEFT($B1298,7)="SBA 26/",$C1298&lt;&gt;"",$F1298&lt;&gt;""),COUNTIFS($C$2:$C1298,$C1298,$B$2:$B1298,"SBA 26/*",$F$2:$F1298,"&lt;&gt;"),"")</f>
        <v/>
      </c>
      <c r="AB1298" s="29" t="str">
        <f>IF(AA1298=1,COUNTIF($AA$2:AA1298,1),"")</f>
        <v/>
      </c>
    </row>
    <row r="1299" spans="6:28" ht="47.25" customHeight="1" x14ac:dyDescent="0.2">
      <c r="F1299" s="45" t="s">
        <v>3976</v>
      </c>
      <c r="T1299" s="41"/>
      <c r="U1299" s="29" t="str">
        <f>IF($C1299&lt;&gt;"",COUNTIF($C$2:C1299,C1299),"")</f>
        <v/>
      </c>
      <c r="V1299" s="29" t="str">
        <f t="shared" si="72"/>
        <v/>
      </c>
      <c r="W1299" s="29" t="str">
        <f>IF(U1299=1,COUNTIF($U$2:U1299,1),"")</f>
        <v/>
      </c>
      <c r="X1299" s="29" t="str">
        <f t="shared" si="71"/>
        <v/>
      </c>
      <c r="Y1299" s="29" t="str">
        <f>IF(AND(LEFT($B1299,7)="SBA 26/",$D1299&lt;&gt;"",$F1299&lt;&gt;""),COUNTIFS($D$2:$D1299,$D1299,$B$2:$B1299,"SBA 26/*",$F$2:$F1299,"&lt;&gt;"),"")</f>
        <v/>
      </c>
      <c r="Z1299" s="29" t="str">
        <f>IF(Y1299=1,COUNTIF($Y$2:Y1299,1),"")</f>
        <v/>
      </c>
      <c r="AA1299" s="29" t="str">
        <f>IF(AND(LEFT($B1299,7)="SBA 26/",$C1299&lt;&gt;"",$F1299&lt;&gt;""),COUNTIFS($C$2:$C1299,$C1299,$B$2:$B1299,"SBA 26/*",$F$2:$F1299,"&lt;&gt;"),"")</f>
        <v/>
      </c>
      <c r="AB1299" s="29" t="str">
        <f>IF(AA1299=1,COUNTIF($AA$2:AA1299,1),"")</f>
        <v/>
      </c>
    </row>
    <row r="1300" spans="6:28" ht="47.25" customHeight="1" x14ac:dyDescent="0.2">
      <c r="F1300" s="45" t="s">
        <v>3977</v>
      </c>
      <c r="T1300" s="41"/>
      <c r="U1300" s="29" t="str">
        <f>IF($C1300&lt;&gt;"",COUNTIF($C$2:C1300,C1300),"")</f>
        <v/>
      </c>
      <c r="V1300" s="29" t="str">
        <f t="shared" si="72"/>
        <v/>
      </c>
      <c r="W1300" s="29" t="str">
        <f>IF(U1300=1,COUNTIF($U$2:U1300,1),"")</f>
        <v/>
      </c>
      <c r="X1300" s="29" t="str">
        <f t="shared" si="71"/>
        <v/>
      </c>
      <c r="Y1300" s="29" t="str">
        <f>IF(AND(LEFT($B1300,7)="SBA 26/",$D1300&lt;&gt;"",$F1300&lt;&gt;""),COUNTIFS($D$2:$D1300,$D1300,$B$2:$B1300,"SBA 26/*",$F$2:$F1300,"&lt;&gt;"),"")</f>
        <v/>
      </c>
      <c r="Z1300" s="29" t="str">
        <f>IF(Y1300=1,COUNTIF($Y$2:Y1300,1),"")</f>
        <v/>
      </c>
      <c r="AA1300" s="29" t="str">
        <f>IF(AND(LEFT($B1300,7)="SBA 26/",$C1300&lt;&gt;"",$F1300&lt;&gt;""),COUNTIFS($C$2:$C1300,$C1300,$B$2:$B1300,"SBA 26/*",$F$2:$F1300,"&lt;&gt;"),"")</f>
        <v/>
      </c>
      <c r="AB1300" s="29" t="str">
        <f>IF(AA1300=1,COUNTIF($AA$2:AA1300,1),"")</f>
        <v/>
      </c>
    </row>
    <row r="1301" spans="6:28" ht="47.25" customHeight="1" x14ac:dyDescent="0.2">
      <c r="F1301" s="45" t="s">
        <v>3978</v>
      </c>
      <c r="T1301" s="41"/>
      <c r="U1301" s="29" t="str">
        <f>IF($C1301&lt;&gt;"",COUNTIF($C$2:C1301,C1301),"")</f>
        <v/>
      </c>
      <c r="V1301" s="29" t="str">
        <f t="shared" si="72"/>
        <v/>
      </c>
      <c r="W1301" s="29" t="str">
        <f>IF(U1301=1,COUNTIF($U$2:U1301,1),"")</f>
        <v/>
      </c>
      <c r="X1301" s="29" t="str">
        <f t="shared" si="71"/>
        <v/>
      </c>
      <c r="Y1301" s="29" t="str">
        <f>IF(AND(LEFT($B1301,7)="SBA 26/",$D1301&lt;&gt;"",$F1301&lt;&gt;""),COUNTIFS($D$2:$D1301,$D1301,$B$2:$B1301,"SBA 26/*",$F$2:$F1301,"&lt;&gt;"),"")</f>
        <v/>
      </c>
      <c r="Z1301" s="29" t="str">
        <f>IF(Y1301=1,COUNTIF($Y$2:Y1301,1),"")</f>
        <v/>
      </c>
      <c r="AA1301" s="29" t="str">
        <f>IF(AND(LEFT($B1301,7)="SBA 26/",$C1301&lt;&gt;"",$F1301&lt;&gt;""),COUNTIFS($C$2:$C1301,$C1301,$B$2:$B1301,"SBA 26/*",$F$2:$F1301,"&lt;&gt;"),"")</f>
        <v/>
      </c>
      <c r="AB1301" s="29" t="str">
        <f>IF(AA1301=1,COUNTIF($AA$2:AA1301,1),"")</f>
        <v/>
      </c>
    </row>
    <row r="1302" spans="6:28" ht="63" customHeight="1" x14ac:dyDescent="0.2">
      <c r="F1302" s="45" t="s">
        <v>3979</v>
      </c>
      <c r="T1302" s="41"/>
      <c r="U1302" s="29" t="str">
        <f>IF($C1302&lt;&gt;"",COUNTIF($C$2:C1302,C1302),"")</f>
        <v/>
      </c>
      <c r="V1302" s="29" t="str">
        <f t="shared" si="72"/>
        <v/>
      </c>
      <c r="W1302" s="29" t="str">
        <f>IF(U1302=1,COUNTIF($U$2:U1302,1),"")</f>
        <v/>
      </c>
      <c r="X1302" s="29" t="str">
        <f t="shared" si="71"/>
        <v/>
      </c>
      <c r="Y1302" s="29" t="str">
        <f>IF(AND(LEFT($B1302,7)="SBA 26/",$D1302&lt;&gt;"",$F1302&lt;&gt;""),COUNTIFS($D$2:$D1302,$D1302,$B$2:$B1302,"SBA 26/*",$F$2:$F1302,"&lt;&gt;"),"")</f>
        <v/>
      </c>
      <c r="Z1302" s="29" t="str">
        <f>IF(Y1302=1,COUNTIF($Y$2:Y1302,1),"")</f>
        <v/>
      </c>
      <c r="AA1302" s="29" t="str">
        <f>IF(AND(LEFT($B1302,7)="SBA 26/",$C1302&lt;&gt;"",$F1302&lt;&gt;""),COUNTIFS($C$2:$C1302,$C1302,$B$2:$B1302,"SBA 26/*",$F$2:$F1302,"&lt;&gt;"),"")</f>
        <v/>
      </c>
      <c r="AB1302" s="29" t="str">
        <f>IF(AA1302=1,COUNTIF($AA$2:AA1302,1),"")</f>
        <v/>
      </c>
    </row>
    <row r="1303" spans="6:28" ht="78.75" customHeight="1" x14ac:dyDescent="0.2">
      <c r="F1303" s="45" t="s">
        <v>3980</v>
      </c>
      <c r="T1303" s="41"/>
      <c r="U1303" s="29" t="str">
        <f>IF($C1303&lt;&gt;"",COUNTIF($C$2:C1303,C1303),"")</f>
        <v/>
      </c>
      <c r="V1303" s="29" t="str">
        <f t="shared" si="72"/>
        <v/>
      </c>
      <c r="W1303" s="29" t="str">
        <f>IF(U1303=1,COUNTIF($U$2:U1303,1),"")</f>
        <v/>
      </c>
      <c r="X1303" s="29" t="str">
        <f t="shared" si="71"/>
        <v/>
      </c>
      <c r="Y1303" s="29" t="str">
        <f>IF(AND(LEFT($B1303,7)="SBA 26/",$D1303&lt;&gt;"",$F1303&lt;&gt;""),COUNTIFS($D$2:$D1303,$D1303,$B$2:$B1303,"SBA 26/*",$F$2:$F1303,"&lt;&gt;"),"")</f>
        <v/>
      </c>
      <c r="Z1303" s="29" t="str">
        <f>IF(Y1303=1,COUNTIF($Y$2:Y1303,1),"")</f>
        <v/>
      </c>
      <c r="AA1303" s="29" t="str">
        <f>IF(AND(LEFT($B1303,7)="SBA 26/",$C1303&lt;&gt;"",$F1303&lt;&gt;""),COUNTIFS($C$2:$C1303,$C1303,$B$2:$B1303,"SBA 26/*",$F$2:$F1303,"&lt;&gt;"),"")</f>
        <v/>
      </c>
      <c r="AB1303" s="29" t="str">
        <f>IF(AA1303=1,COUNTIF($AA$2:AA1303,1),"")</f>
        <v/>
      </c>
    </row>
    <row r="1304" spans="6:28" ht="63" customHeight="1" x14ac:dyDescent="0.2">
      <c r="F1304" s="45" t="s">
        <v>3981</v>
      </c>
      <c r="T1304" s="41"/>
      <c r="U1304" s="29" t="str">
        <f>IF($C1304&lt;&gt;"",COUNTIF($C$2:C1304,C1304),"")</f>
        <v/>
      </c>
      <c r="V1304" s="29" t="str">
        <f t="shared" si="72"/>
        <v/>
      </c>
      <c r="W1304" s="29" t="str">
        <f>IF(U1304=1,COUNTIF($U$2:U1304,1),"")</f>
        <v/>
      </c>
      <c r="X1304" s="29" t="str">
        <f t="shared" si="71"/>
        <v/>
      </c>
      <c r="Y1304" s="29" t="str">
        <f>IF(AND(LEFT($B1304,7)="SBA 26/",$D1304&lt;&gt;"",$F1304&lt;&gt;""),COUNTIFS($D$2:$D1304,$D1304,$B$2:$B1304,"SBA 26/*",$F$2:$F1304,"&lt;&gt;"),"")</f>
        <v/>
      </c>
      <c r="Z1304" s="29" t="str">
        <f>IF(Y1304=1,COUNTIF($Y$2:Y1304,1),"")</f>
        <v/>
      </c>
      <c r="AA1304" s="29" t="str">
        <f>IF(AND(LEFT($B1304,7)="SBA 26/",$C1304&lt;&gt;"",$F1304&lt;&gt;""),COUNTIFS($C$2:$C1304,$C1304,$B$2:$B1304,"SBA 26/*",$F$2:$F1304,"&lt;&gt;"),"")</f>
        <v/>
      </c>
      <c r="AB1304" s="29" t="str">
        <f>IF(AA1304=1,COUNTIF($AA$2:AA1304,1),"")</f>
        <v/>
      </c>
    </row>
    <row r="1305" spans="6:28" ht="47.25" customHeight="1" x14ac:dyDescent="0.2">
      <c r="F1305" s="45" t="s">
        <v>3878</v>
      </c>
      <c r="T1305" s="41"/>
      <c r="U1305" s="29" t="str">
        <f>IF($C1305&lt;&gt;"",COUNTIF($C$2:C1305,C1305),"")</f>
        <v/>
      </c>
      <c r="V1305" s="29" t="str">
        <f t="shared" si="72"/>
        <v/>
      </c>
      <c r="W1305" s="29" t="str">
        <f>IF(U1305=1,COUNTIF($U$2:U1305,1),"")</f>
        <v/>
      </c>
      <c r="X1305" s="29" t="str">
        <f t="shared" si="71"/>
        <v/>
      </c>
      <c r="Y1305" s="29" t="str">
        <f>IF(AND(LEFT($B1305,7)="SBA 26/",$D1305&lt;&gt;"",$F1305&lt;&gt;""),COUNTIFS($D$2:$D1305,$D1305,$B$2:$B1305,"SBA 26/*",$F$2:$F1305,"&lt;&gt;"),"")</f>
        <v/>
      </c>
      <c r="Z1305" s="29" t="str">
        <f>IF(Y1305=1,COUNTIF($Y$2:Y1305,1),"")</f>
        <v/>
      </c>
      <c r="AA1305" s="29" t="str">
        <f>IF(AND(LEFT($B1305,7)="SBA 26/",$C1305&lt;&gt;"",$F1305&lt;&gt;""),COUNTIFS($C$2:$C1305,$C1305,$B$2:$B1305,"SBA 26/*",$F$2:$F1305,"&lt;&gt;"),"")</f>
        <v/>
      </c>
      <c r="AB1305" s="29" t="str">
        <f>IF(AA1305=1,COUNTIF($AA$2:AA1305,1),"")</f>
        <v/>
      </c>
    </row>
    <row r="1306" spans="6:28" ht="47.25" customHeight="1" x14ac:dyDescent="0.2">
      <c r="F1306" s="45" t="s">
        <v>3982</v>
      </c>
      <c r="T1306" s="41"/>
      <c r="U1306" s="29" t="str">
        <f>IF($C1306&lt;&gt;"",COUNTIF($C$2:C1306,C1306),"")</f>
        <v/>
      </c>
      <c r="V1306" s="29" t="str">
        <f t="shared" si="72"/>
        <v/>
      </c>
      <c r="W1306" s="29" t="str">
        <f>IF(U1306=1,COUNTIF($U$2:U1306,1),"")</f>
        <v/>
      </c>
      <c r="X1306" s="29" t="str">
        <f t="shared" si="71"/>
        <v/>
      </c>
      <c r="Y1306" s="29" t="str">
        <f>IF(AND(LEFT($B1306,7)="SBA 26/",$D1306&lt;&gt;"",$F1306&lt;&gt;""),COUNTIFS($D$2:$D1306,$D1306,$B$2:$B1306,"SBA 26/*",$F$2:$F1306,"&lt;&gt;"),"")</f>
        <v/>
      </c>
      <c r="Z1306" s="29" t="str">
        <f>IF(Y1306=1,COUNTIF($Y$2:Y1306,1),"")</f>
        <v/>
      </c>
      <c r="AA1306" s="29" t="str">
        <f>IF(AND(LEFT($B1306,7)="SBA 26/",$C1306&lt;&gt;"",$F1306&lt;&gt;""),COUNTIFS($C$2:$C1306,$C1306,$B$2:$B1306,"SBA 26/*",$F$2:$F1306,"&lt;&gt;"),"")</f>
        <v/>
      </c>
      <c r="AB1306" s="29" t="str">
        <f>IF(AA1306=1,COUNTIF($AA$2:AA1306,1),"")</f>
        <v/>
      </c>
    </row>
    <row r="1307" spans="6:28" ht="63" customHeight="1" x14ac:dyDescent="0.2">
      <c r="F1307" s="45" t="s">
        <v>3983</v>
      </c>
      <c r="T1307" s="41"/>
      <c r="U1307" s="29" t="str">
        <f>IF($C1307&lt;&gt;"",COUNTIF($C$2:C1307,C1307),"")</f>
        <v/>
      </c>
      <c r="V1307" s="29" t="str">
        <f t="shared" si="72"/>
        <v/>
      </c>
      <c r="W1307" s="29" t="str">
        <f>IF(U1307=1,COUNTIF($U$2:U1307,1),"")</f>
        <v/>
      </c>
      <c r="X1307" s="29" t="str">
        <f t="shared" si="71"/>
        <v/>
      </c>
      <c r="Y1307" s="29" t="str">
        <f>IF(AND(LEFT($B1307,7)="SBA 26/",$D1307&lt;&gt;"",$F1307&lt;&gt;""),COUNTIFS($D$2:$D1307,$D1307,$B$2:$B1307,"SBA 26/*",$F$2:$F1307,"&lt;&gt;"),"")</f>
        <v/>
      </c>
      <c r="Z1307" s="29" t="str">
        <f>IF(Y1307=1,COUNTIF($Y$2:Y1307,1),"")</f>
        <v/>
      </c>
      <c r="AA1307" s="29" t="str">
        <f>IF(AND(LEFT($B1307,7)="SBA 26/",$C1307&lt;&gt;"",$F1307&lt;&gt;""),COUNTIFS($C$2:$C1307,$C1307,$B$2:$B1307,"SBA 26/*",$F$2:$F1307,"&lt;&gt;"),"")</f>
        <v/>
      </c>
      <c r="AB1307" s="29" t="str">
        <f>IF(AA1307=1,COUNTIF($AA$2:AA1307,1),"")</f>
        <v/>
      </c>
    </row>
    <row r="1308" spans="6:28" ht="63" customHeight="1" x14ac:dyDescent="0.2">
      <c r="F1308" s="45" t="s">
        <v>3984</v>
      </c>
      <c r="T1308" s="41"/>
      <c r="U1308" s="29" t="str">
        <f>IF($C1308&lt;&gt;"",COUNTIF($C$2:C1308,C1308),"")</f>
        <v/>
      </c>
      <c r="V1308" s="29" t="str">
        <f t="shared" si="72"/>
        <v/>
      </c>
      <c r="W1308" s="29" t="str">
        <f>IF(U1308=1,COUNTIF($U$2:U1308,1),"")</f>
        <v/>
      </c>
      <c r="X1308" s="29" t="str">
        <f t="shared" si="71"/>
        <v/>
      </c>
      <c r="Y1308" s="29" t="str">
        <f>IF(AND(LEFT($B1308,7)="SBA 26/",$D1308&lt;&gt;"",$F1308&lt;&gt;""),COUNTIFS($D$2:$D1308,$D1308,$B$2:$B1308,"SBA 26/*",$F$2:$F1308,"&lt;&gt;"),"")</f>
        <v/>
      </c>
      <c r="Z1308" s="29" t="str">
        <f>IF(Y1308=1,COUNTIF($Y$2:Y1308,1),"")</f>
        <v/>
      </c>
      <c r="AA1308" s="29" t="str">
        <f>IF(AND(LEFT($B1308,7)="SBA 26/",$C1308&lt;&gt;"",$F1308&lt;&gt;""),COUNTIFS($C$2:$C1308,$C1308,$B$2:$B1308,"SBA 26/*",$F$2:$F1308,"&lt;&gt;"),"")</f>
        <v/>
      </c>
      <c r="AB1308" s="29" t="str">
        <f>IF(AA1308=1,COUNTIF($AA$2:AA1308,1),"")</f>
        <v/>
      </c>
    </row>
    <row r="1309" spans="6:28" ht="63" customHeight="1" x14ac:dyDescent="0.2">
      <c r="F1309" s="45" t="s">
        <v>3985</v>
      </c>
      <c r="T1309" s="41"/>
      <c r="U1309" s="29" t="str">
        <f>IF($C1309&lt;&gt;"",COUNTIF($C$2:C1309,C1309),"")</f>
        <v/>
      </c>
      <c r="V1309" s="29" t="str">
        <f t="shared" si="72"/>
        <v/>
      </c>
      <c r="W1309" s="29" t="str">
        <f>IF(U1309=1,COUNTIF($U$2:U1309,1),"")</f>
        <v/>
      </c>
      <c r="X1309" s="29" t="str">
        <f t="shared" si="71"/>
        <v/>
      </c>
      <c r="Y1309" s="29" t="str">
        <f>IF(AND(LEFT($B1309,7)="SBA 26/",$D1309&lt;&gt;"",$F1309&lt;&gt;""),COUNTIFS($D$2:$D1309,$D1309,$B$2:$B1309,"SBA 26/*",$F$2:$F1309,"&lt;&gt;"),"")</f>
        <v/>
      </c>
      <c r="Z1309" s="29" t="str">
        <f>IF(Y1309=1,COUNTIF($Y$2:Y1309,1),"")</f>
        <v/>
      </c>
      <c r="AA1309" s="29" t="str">
        <f>IF(AND(LEFT($B1309,7)="SBA 26/",$C1309&lt;&gt;"",$F1309&lt;&gt;""),COUNTIFS($C$2:$C1309,$C1309,$B$2:$B1309,"SBA 26/*",$F$2:$F1309,"&lt;&gt;"),"")</f>
        <v/>
      </c>
      <c r="AB1309" s="29" t="str">
        <f>IF(AA1309=1,COUNTIF($AA$2:AA1309,1),"")</f>
        <v/>
      </c>
    </row>
    <row r="1310" spans="6:28" ht="78.75" customHeight="1" x14ac:dyDescent="0.2">
      <c r="F1310" s="45" t="s">
        <v>3986</v>
      </c>
      <c r="T1310" s="41"/>
      <c r="U1310" s="29" t="str">
        <f>IF($C1310&lt;&gt;"",COUNTIF($C$2:C1310,C1310),"")</f>
        <v/>
      </c>
      <c r="V1310" s="29" t="str">
        <f t="shared" si="72"/>
        <v/>
      </c>
      <c r="W1310" s="29" t="str">
        <f>IF(U1310=1,COUNTIF($U$2:U1310,1),"")</f>
        <v/>
      </c>
      <c r="X1310" s="29" t="str">
        <f t="shared" si="71"/>
        <v/>
      </c>
      <c r="Y1310" s="29" t="str">
        <f>IF(AND(LEFT($B1310,7)="SBA 26/",$D1310&lt;&gt;"",$F1310&lt;&gt;""),COUNTIFS($D$2:$D1310,$D1310,$B$2:$B1310,"SBA 26/*",$F$2:$F1310,"&lt;&gt;"),"")</f>
        <v/>
      </c>
      <c r="Z1310" s="29" t="str">
        <f>IF(Y1310=1,COUNTIF($Y$2:Y1310,1),"")</f>
        <v/>
      </c>
      <c r="AA1310" s="29" t="str">
        <f>IF(AND(LEFT($B1310,7)="SBA 26/",$C1310&lt;&gt;"",$F1310&lt;&gt;""),COUNTIFS($C$2:$C1310,$C1310,$B$2:$B1310,"SBA 26/*",$F$2:$F1310,"&lt;&gt;"),"")</f>
        <v/>
      </c>
      <c r="AB1310" s="29" t="str">
        <f>IF(AA1310=1,COUNTIF($AA$2:AA1310,1),"")</f>
        <v/>
      </c>
    </row>
    <row r="1311" spans="6:28" ht="31.5" customHeight="1" x14ac:dyDescent="0.2">
      <c r="F1311" s="45" t="s">
        <v>3987</v>
      </c>
      <c r="T1311" s="41"/>
      <c r="U1311" s="29" t="str">
        <f>IF($C1311&lt;&gt;"",COUNTIF($C$2:C1311,C1311),"")</f>
        <v/>
      </c>
      <c r="V1311" s="29" t="str">
        <f t="shared" si="72"/>
        <v/>
      </c>
      <c r="W1311" s="29" t="str">
        <f>IF(U1311=1,COUNTIF($U$2:U1311,1),"")</f>
        <v/>
      </c>
      <c r="X1311" s="29" t="str">
        <f t="shared" si="71"/>
        <v/>
      </c>
      <c r="Y1311" s="29" t="str">
        <f>IF(AND(LEFT($B1311,7)="SBA 26/",$D1311&lt;&gt;"",$F1311&lt;&gt;""),COUNTIFS($D$2:$D1311,$D1311,$B$2:$B1311,"SBA 26/*",$F$2:$F1311,"&lt;&gt;"),"")</f>
        <v/>
      </c>
      <c r="Z1311" s="29" t="str">
        <f>IF(Y1311=1,COUNTIF($Y$2:Y1311,1),"")</f>
        <v/>
      </c>
      <c r="AA1311" s="29" t="str">
        <f>IF(AND(LEFT($B1311,7)="SBA 26/",$C1311&lt;&gt;"",$F1311&lt;&gt;""),COUNTIFS($C$2:$C1311,$C1311,$B$2:$B1311,"SBA 26/*",$F$2:$F1311,"&lt;&gt;"),"")</f>
        <v/>
      </c>
      <c r="AB1311" s="29" t="str">
        <f>IF(AA1311=1,COUNTIF($AA$2:AA1311,1),"")</f>
        <v/>
      </c>
    </row>
    <row r="1312" spans="6:28" ht="47.25" customHeight="1" x14ac:dyDescent="0.2">
      <c r="F1312" s="45" t="s">
        <v>3988</v>
      </c>
      <c r="T1312" s="41"/>
      <c r="U1312" s="29" t="str">
        <f>IF($C1312&lt;&gt;"",COUNTIF($C$2:C1312,C1312),"")</f>
        <v/>
      </c>
      <c r="V1312" s="29" t="str">
        <f t="shared" si="72"/>
        <v/>
      </c>
      <c r="W1312" s="29" t="str">
        <f>IF(U1312=1,COUNTIF($U$2:U1312,1),"")</f>
        <v/>
      </c>
      <c r="X1312" s="29" t="str">
        <f t="shared" si="71"/>
        <v/>
      </c>
      <c r="Y1312" s="29" t="str">
        <f>IF(AND(LEFT($B1312,7)="SBA 26/",$D1312&lt;&gt;"",$F1312&lt;&gt;""),COUNTIFS($D$2:$D1312,$D1312,$B$2:$B1312,"SBA 26/*",$F$2:$F1312,"&lt;&gt;"),"")</f>
        <v/>
      </c>
      <c r="Z1312" s="29" t="str">
        <f>IF(Y1312=1,COUNTIF($Y$2:Y1312,1),"")</f>
        <v/>
      </c>
      <c r="AA1312" s="29" t="str">
        <f>IF(AND(LEFT($B1312,7)="SBA 26/",$C1312&lt;&gt;"",$F1312&lt;&gt;""),COUNTIFS($C$2:$C1312,$C1312,$B$2:$B1312,"SBA 26/*",$F$2:$F1312,"&lt;&gt;"),"")</f>
        <v/>
      </c>
      <c r="AB1312" s="29" t="str">
        <f>IF(AA1312=1,COUNTIF($AA$2:AA1312,1),"")</f>
        <v/>
      </c>
    </row>
    <row r="1313" spans="6:28" ht="31.5" customHeight="1" x14ac:dyDescent="0.2">
      <c r="F1313" s="45" t="s">
        <v>3989</v>
      </c>
      <c r="T1313" s="41"/>
      <c r="U1313" s="29" t="str">
        <f>IF($C1313&lt;&gt;"",COUNTIF($C$2:C1313,C1313),"")</f>
        <v/>
      </c>
      <c r="V1313" s="29" t="str">
        <f t="shared" si="72"/>
        <v/>
      </c>
      <c r="W1313" s="29" t="str">
        <f>IF(U1313=1,COUNTIF($U$2:U1313,1),"")</f>
        <v/>
      </c>
      <c r="X1313" s="29" t="str">
        <f t="shared" si="71"/>
        <v/>
      </c>
      <c r="Y1313" s="29" t="str">
        <f>IF(AND(LEFT($B1313,7)="SBA 26/",$D1313&lt;&gt;"",$F1313&lt;&gt;""),COUNTIFS($D$2:$D1313,$D1313,$B$2:$B1313,"SBA 26/*",$F$2:$F1313,"&lt;&gt;"),"")</f>
        <v/>
      </c>
      <c r="Z1313" s="29" t="str">
        <f>IF(Y1313=1,COUNTIF($Y$2:Y1313,1),"")</f>
        <v/>
      </c>
      <c r="AA1313" s="29" t="str">
        <f>IF(AND(LEFT($B1313,7)="SBA 26/",$C1313&lt;&gt;"",$F1313&lt;&gt;""),COUNTIFS($C$2:$C1313,$C1313,$B$2:$B1313,"SBA 26/*",$F$2:$F1313,"&lt;&gt;"),"")</f>
        <v/>
      </c>
      <c r="AB1313" s="29" t="str">
        <f>IF(AA1313=1,COUNTIF($AA$2:AA1313,1),"")</f>
        <v/>
      </c>
    </row>
    <row r="1314" spans="6:28" ht="47.25" customHeight="1" x14ac:dyDescent="0.2">
      <c r="F1314" s="45" t="s">
        <v>3990</v>
      </c>
      <c r="T1314" s="41"/>
      <c r="U1314" s="29" t="str">
        <f>IF($C1314&lt;&gt;"",COUNTIF($C$2:C1314,C1314),"")</f>
        <v/>
      </c>
      <c r="V1314" s="29" t="str">
        <f t="shared" si="72"/>
        <v/>
      </c>
      <c r="W1314" s="29" t="str">
        <f>IF(U1314=1,COUNTIF($U$2:U1314,1),"")</f>
        <v/>
      </c>
      <c r="X1314" s="29" t="str">
        <f t="shared" si="71"/>
        <v/>
      </c>
      <c r="Y1314" s="29" t="str">
        <f>IF(AND(LEFT($B1314,7)="SBA 26/",$D1314&lt;&gt;"",$F1314&lt;&gt;""),COUNTIFS($D$2:$D1314,$D1314,$B$2:$B1314,"SBA 26/*",$F$2:$F1314,"&lt;&gt;"),"")</f>
        <v/>
      </c>
      <c r="Z1314" s="29" t="str">
        <f>IF(Y1314=1,COUNTIF($Y$2:Y1314,1),"")</f>
        <v/>
      </c>
      <c r="AA1314" s="29" t="str">
        <f>IF(AND(LEFT($B1314,7)="SBA 26/",$C1314&lt;&gt;"",$F1314&lt;&gt;""),COUNTIFS($C$2:$C1314,$C1314,$B$2:$B1314,"SBA 26/*",$F$2:$F1314,"&lt;&gt;"),"")</f>
        <v/>
      </c>
      <c r="AB1314" s="29" t="str">
        <f>IF(AA1314=1,COUNTIF($AA$2:AA1314,1),"")</f>
        <v/>
      </c>
    </row>
    <row r="1315" spans="6:28" ht="31.5" customHeight="1" x14ac:dyDescent="0.2">
      <c r="F1315" s="45" t="s">
        <v>3991</v>
      </c>
      <c r="T1315" s="41"/>
      <c r="U1315" s="29" t="str">
        <f>IF($C1315&lt;&gt;"",COUNTIF($C$2:C1315,C1315),"")</f>
        <v/>
      </c>
      <c r="V1315" s="29" t="str">
        <f t="shared" si="72"/>
        <v/>
      </c>
      <c r="W1315" s="29" t="str">
        <f>IF(U1315=1,COUNTIF($U$2:U1315,1),"")</f>
        <v/>
      </c>
      <c r="X1315" s="29" t="str">
        <f t="shared" si="71"/>
        <v/>
      </c>
      <c r="Y1315" s="29" t="str">
        <f>IF(AND(LEFT($B1315,7)="SBA 26/",$D1315&lt;&gt;"",$F1315&lt;&gt;""),COUNTIFS($D$2:$D1315,$D1315,$B$2:$B1315,"SBA 26/*",$F$2:$F1315,"&lt;&gt;"),"")</f>
        <v/>
      </c>
      <c r="Z1315" s="29" t="str">
        <f>IF(Y1315=1,COUNTIF($Y$2:Y1315,1),"")</f>
        <v/>
      </c>
      <c r="AA1315" s="29" t="str">
        <f>IF(AND(LEFT($B1315,7)="SBA 26/",$C1315&lt;&gt;"",$F1315&lt;&gt;""),COUNTIFS($C$2:$C1315,$C1315,$B$2:$B1315,"SBA 26/*",$F$2:$F1315,"&lt;&gt;"),"")</f>
        <v/>
      </c>
      <c r="AB1315" s="29" t="str">
        <f>IF(AA1315=1,COUNTIF($AA$2:AA1315,1),"")</f>
        <v/>
      </c>
    </row>
    <row r="1316" spans="6:28" ht="31.5" customHeight="1" x14ac:dyDescent="0.2">
      <c r="F1316" s="45" t="s">
        <v>3992</v>
      </c>
      <c r="T1316" s="41"/>
      <c r="U1316" s="29" t="str">
        <f>IF($C1316&lt;&gt;"",COUNTIF($C$2:C1316,C1316),"")</f>
        <v/>
      </c>
      <c r="V1316" s="29" t="str">
        <f t="shared" si="72"/>
        <v/>
      </c>
      <c r="W1316" s="29" t="str">
        <f>IF(U1316=1,COUNTIF($U$2:U1316,1),"")</f>
        <v/>
      </c>
      <c r="X1316" s="29" t="str">
        <f t="shared" si="71"/>
        <v/>
      </c>
      <c r="Y1316" s="29" t="str">
        <f>IF(AND(LEFT($B1316,7)="SBA 26/",$D1316&lt;&gt;"",$F1316&lt;&gt;""),COUNTIFS($D$2:$D1316,$D1316,$B$2:$B1316,"SBA 26/*",$F$2:$F1316,"&lt;&gt;"),"")</f>
        <v/>
      </c>
      <c r="Z1316" s="29" t="str">
        <f>IF(Y1316=1,COUNTIF($Y$2:Y1316,1),"")</f>
        <v/>
      </c>
      <c r="AA1316" s="29" t="str">
        <f>IF(AND(LEFT($B1316,7)="SBA 26/",$C1316&lt;&gt;"",$F1316&lt;&gt;""),COUNTIFS($C$2:$C1316,$C1316,$B$2:$B1316,"SBA 26/*",$F$2:$F1316,"&lt;&gt;"),"")</f>
        <v/>
      </c>
      <c r="AB1316" s="29" t="str">
        <f>IF(AA1316=1,COUNTIF($AA$2:AA1316,1),"")</f>
        <v/>
      </c>
    </row>
    <row r="1317" spans="6:28" ht="31.5" customHeight="1" x14ac:dyDescent="0.2">
      <c r="F1317" s="45" t="s">
        <v>3993</v>
      </c>
      <c r="T1317" s="41"/>
      <c r="U1317" s="29" t="str">
        <f>IF($C1317&lt;&gt;"",COUNTIF($C$2:C1317,C1317),"")</f>
        <v/>
      </c>
      <c r="V1317" s="29" t="str">
        <f t="shared" si="72"/>
        <v/>
      </c>
      <c r="W1317" s="29" t="str">
        <f>IF(U1317=1,COUNTIF($U$2:U1317,1),"")</f>
        <v/>
      </c>
      <c r="X1317" s="29" t="str">
        <f t="shared" si="71"/>
        <v/>
      </c>
      <c r="Y1317" s="29" t="str">
        <f>IF(AND(LEFT($B1317,7)="SBA 26/",$D1317&lt;&gt;"",$F1317&lt;&gt;""),COUNTIFS($D$2:$D1317,$D1317,$B$2:$B1317,"SBA 26/*",$F$2:$F1317,"&lt;&gt;"),"")</f>
        <v/>
      </c>
      <c r="Z1317" s="29" t="str">
        <f>IF(Y1317=1,COUNTIF($Y$2:Y1317,1),"")</f>
        <v/>
      </c>
      <c r="AA1317" s="29" t="str">
        <f>IF(AND(LEFT($B1317,7)="SBA 26/",$C1317&lt;&gt;"",$F1317&lt;&gt;""),COUNTIFS($C$2:$C1317,$C1317,$B$2:$B1317,"SBA 26/*",$F$2:$F1317,"&lt;&gt;"),"")</f>
        <v/>
      </c>
      <c r="AB1317" s="29" t="str">
        <f>IF(AA1317=1,COUNTIF($AA$2:AA1317,1),"")</f>
        <v/>
      </c>
    </row>
    <row r="1318" spans="6:28" ht="31.5" customHeight="1" x14ac:dyDescent="0.2">
      <c r="F1318" s="45" t="s">
        <v>3994</v>
      </c>
      <c r="T1318" s="41"/>
      <c r="U1318" s="29" t="str">
        <f>IF($C1318&lt;&gt;"",COUNTIF($C$2:C1318,C1318),"")</f>
        <v/>
      </c>
      <c r="V1318" s="29" t="str">
        <f t="shared" si="72"/>
        <v/>
      </c>
      <c r="W1318" s="29" t="str">
        <f>IF(U1318=1,COUNTIF($U$2:U1318,1),"")</f>
        <v/>
      </c>
      <c r="X1318" s="29" t="str">
        <f t="shared" si="71"/>
        <v/>
      </c>
      <c r="Y1318" s="29" t="str">
        <f>IF(AND(LEFT($B1318,7)="SBA 26/",$D1318&lt;&gt;"",$F1318&lt;&gt;""),COUNTIFS($D$2:$D1318,$D1318,$B$2:$B1318,"SBA 26/*",$F$2:$F1318,"&lt;&gt;"),"")</f>
        <v/>
      </c>
      <c r="Z1318" s="29" t="str">
        <f>IF(Y1318=1,COUNTIF($Y$2:Y1318,1),"")</f>
        <v/>
      </c>
      <c r="AA1318" s="29" t="str">
        <f>IF(AND(LEFT($B1318,7)="SBA 26/",$C1318&lt;&gt;"",$F1318&lt;&gt;""),COUNTIFS($C$2:$C1318,$C1318,$B$2:$B1318,"SBA 26/*",$F$2:$F1318,"&lt;&gt;"),"")</f>
        <v/>
      </c>
      <c r="AB1318" s="29" t="str">
        <f>IF(AA1318=1,COUNTIF($AA$2:AA1318,1),"")</f>
        <v/>
      </c>
    </row>
    <row r="1319" spans="6:28" ht="47.25" customHeight="1" x14ac:dyDescent="0.2">
      <c r="F1319" s="45" t="s">
        <v>3995</v>
      </c>
      <c r="T1319" s="41"/>
      <c r="U1319" s="29" t="str">
        <f>IF($C1319&lt;&gt;"",COUNTIF($C$2:C1319,C1319),"")</f>
        <v/>
      </c>
      <c r="V1319" s="29" t="str">
        <f t="shared" si="72"/>
        <v/>
      </c>
      <c r="W1319" s="29" t="str">
        <f>IF(U1319=1,COUNTIF($U$2:U1319,1),"")</f>
        <v/>
      </c>
      <c r="X1319" s="29" t="str">
        <f t="shared" si="71"/>
        <v/>
      </c>
      <c r="Y1319" s="29" t="str">
        <f>IF(AND(LEFT($B1319,7)="SBA 26/",$D1319&lt;&gt;"",$F1319&lt;&gt;""),COUNTIFS($D$2:$D1319,$D1319,$B$2:$B1319,"SBA 26/*",$F$2:$F1319,"&lt;&gt;"),"")</f>
        <v/>
      </c>
      <c r="Z1319" s="29" t="str">
        <f>IF(Y1319=1,COUNTIF($Y$2:Y1319,1),"")</f>
        <v/>
      </c>
      <c r="AA1319" s="29" t="str">
        <f>IF(AND(LEFT($B1319,7)="SBA 26/",$C1319&lt;&gt;"",$F1319&lt;&gt;""),COUNTIFS($C$2:$C1319,$C1319,$B$2:$B1319,"SBA 26/*",$F$2:$F1319,"&lt;&gt;"),"")</f>
        <v/>
      </c>
      <c r="AB1319" s="29" t="str">
        <f>IF(AA1319=1,COUNTIF($AA$2:AA1319,1),"")</f>
        <v/>
      </c>
    </row>
    <row r="1320" spans="6:28" ht="31.5" customHeight="1" x14ac:dyDescent="0.2">
      <c r="F1320" s="45" t="s">
        <v>3996</v>
      </c>
      <c r="T1320" s="41"/>
      <c r="U1320" s="29" t="str">
        <f>IF($C1320&lt;&gt;"",COUNTIF($C$2:C1320,C1320),"")</f>
        <v/>
      </c>
      <c r="V1320" s="29" t="str">
        <f t="shared" si="72"/>
        <v/>
      </c>
      <c r="W1320" s="29" t="str">
        <f>IF(U1320=1,COUNTIF($U$2:U1320,1),"")</f>
        <v/>
      </c>
      <c r="X1320" s="29" t="str">
        <f t="shared" si="71"/>
        <v/>
      </c>
      <c r="Y1320" s="29" t="str">
        <f>IF(AND(LEFT($B1320,7)="SBA 26/",$D1320&lt;&gt;"",$F1320&lt;&gt;""),COUNTIFS($D$2:$D1320,$D1320,$B$2:$B1320,"SBA 26/*",$F$2:$F1320,"&lt;&gt;"),"")</f>
        <v/>
      </c>
      <c r="Z1320" s="29" t="str">
        <f>IF(Y1320=1,COUNTIF($Y$2:Y1320,1),"")</f>
        <v/>
      </c>
      <c r="AA1320" s="29" t="str">
        <f>IF(AND(LEFT($B1320,7)="SBA 26/",$C1320&lt;&gt;"",$F1320&lt;&gt;""),COUNTIFS($C$2:$C1320,$C1320,$B$2:$B1320,"SBA 26/*",$F$2:$F1320,"&lt;&gt;"),"")</f>
        <v/>
      </c>
      <c r="AB1320" s="29" t="str">
        <f>IF(AA1320=1,COUNTIF($AA$2:AA1320,1),"")</f>
        <v/>
      </c>
    </row>
    <row r="1321" spans="6:28" ht="31.5" customHeight="1" x14ac:dyDescent="0.2">
      <c r="F1321" s="45" t="s">
        <v>3997</v>
      </c>
      <c r="T1321" s="41"/>
      <c r="U1321" s="29" t="str">
        <f>IF($C1321&lt;&gt;"",COUNTIF($C$2:C1321,C1321),"")</f>
        <v/>
      </c>
      <c r="V1321" s="29" t="str">
        <f t="shared" si="72"/>
        <v/>
      </c>
      <c r="W1321" s="29" t="str">
        <f>IF(U1321=1,COUNTIF($U$2:U1321,1),"")</f>
        <v/>
      </c>
      <c r="X1321" s="29" t="str">
        <f t="shared" si="71"/>
        <v/>
      </c>
      <c r="Y1321" s="29" t="str">
        <f>IF(AND(LEFT($B1321,7)="SBA 26/",$D1321&lt;&gt;"",$F1321&lt;&gt;""),COUNTIFS($D$2:$D1321,$D1321,$B$2:$B1321,"SBA 26/*",$F$2:$F1321,"&lt;&gt;"),"")</f>
        <v/>
      </c>
      <c r="Z1321" s="29" t="str">
        <f>IF(Y1321=1,COUNTIF($Y$2:Y1321,1),"")</f>
        <v/>
      </c>
      <c r="AA1321" s="29" t="str">
        <f>IF(AND(LEFT($B1321,7)="SBA 26/",$C1321&lt;&gt;"",$F1321&lt;&gt;""),COUNTIFS($C$2:$C1321,$C1321,$B$2:$B1321,"SBA 26/*",$F$2:$F1321,"&lt;&gt;"),"")</f>
        <v/>
      </c>
      <c r="AB1321" s="29" t="str">
        <f>IF(AA1321=1,COUNTIF($AA$2:AA1321,1),"")</f>
        <v/>
      </c>
    </row>
    <row r="1322" spans="6:28" ht="47.25" customHeight="1" x14ac:dyDescent="0.2">
      <c r="F1322" s="45" t="s">
        <v>3998</v>
      </c>
      <c r="T1322" s="41"/>
      <c r="U1322" s="29" t="str">
        <f>IF($C1322&lt;&gt;"",COUNTIF($C$2:C1322,C1322),"")</f>
        <v/>
      </c>
      <c r="V1322" s="29" t="str">
        <f t="shared" si="72"/>
        <v/>
      </c>
      <c r="W1322" s="29" t="str">
        <f>IF(U1322=1,COUNTIF($U$2:U1322,1),"")</f>
        <v/>
      </c>
      <c r="X1322" s="29" t="str">
        <f t="shared" si="71"/>
        <v/>
      </c>
      <c r="Y1322" s="29" t="str">
        <f>IF(AND(LEFT($B1322,7)="SBA 26/",$D1322&lt;&gt;"",$F1322&lt;&gt;""),COUNTIFS($D$2:$D1322,$D1322,$B$2:$B1322,"SBA 26/*",$F$2:$F1322,"&lt;&gt;"),"")</f>
        <v/>
      </c>
      <c r="Z1322" s="29" t="str">
        <f>IF(Y1322=1,COUNTIF($Y$2:Y1322,1),"")</f>
        <v/>
      </c>
      <c r="AA1322" s="29" t="str">
        <f>IF(AND(LEFT($B1322,7)="SBA 26/",$C1322&lt;&gt;"",$F1322&lt;&gt;""),COUNTIFS($C$2:$C1322,$C1322,$B$2:$B1322,"SBA 26/*",$F$2:$F1322,"&lt;&gt;"),"")</f>
        <v/>
      </c>
      <c r="AB1322" s="29" t="str">
        <f>IF(AA1322=1,COUNTIF($AA$2:AA1322,1),"")</f>
        <v/>
      </c>
    </row>
    <row r="1323" spans="6:28" ht="47.25" customHeight="1" x14ac:dyDescent="0.2">
      <c r="F1323" s="45" t="s">
        <v>3999</v>
      </c>
      <c r="T1323" s="41"/>
      <c r="U1323" s="29" t="str">
        <f>IF($C1323&lt;&gt;"",COUNTIF($C$2:C1323,C1323),"")</f>
        <v/>
      </c>
      <c r="V1323" s="29" t="str">
        <f t="shared" si="72"/>
        <v/>
      </c>
      <c r="W1323" s="29" t="str">
        <f>IF(U1323=1,COUNTIF($U$2:U1323,1),"")</f>
        <v/>
      </c>
      <c r="X1323" s="29" t="str">
        <f t="shared" si="71"/>
        <v/>
      </c>
      <c r="Y1323" s="29" t="str">
        <f>IF(AND(LEFT($B1323,7)="SBA 26/",$D1323&lt;&gt;"",$F1323&lt;&gt;""),COUNTIFS($D$2:$D1323,$D1323,$B$2:$B1323,"SBA 26/*",$F$2:$F1323,"&lt;&gt;"),"")</f>
        <v/>
      </c>
      <c r="Z1323" s="29" t="str">
        <f>IF(Y1323=1,COUNTIF($Y$2:Y1323,1),"")</f>
        <v/>
      </c>
      <c r="AA1323" s="29" t="str">
        <f>IF(AND(LEFT($B1323,7)="SBA 26/",$C1323&lt;&gt;"",$F1323&lt;&gt;""),COUNTIFS($C$2:$C1323,$C1323,$B$2:$B1323,"SBA 26/*",$F$2:$F1323,"&lt;&gt;"),"")</f>
        <v/>
      </c>
      <c r="AB1323" s="29" t="str">
        <f>IF(AA1323=1,COUNTIF($AA$2:AA1323,1),"")</f>
        <v/>
      </c>
    </row>
    <row r="1324" spans="6:28" ht="31.5" customHeight="1" x14ac:dyDescent="0.2">
      <c r="F1324" s="45" t="s">
        <v>4000</v>
      </c>
      <c r="T1324" s="41"/>
      <c r="U1324" s="29" t="str">
        <f>IF($C1324&lt;&gt;"",COUNTIF($C$2:C1324,C1324),"")</f>
        <v/>
      </c>
      <c r="V1324" s="29" t="str">
        <f t="shared" si="72"/>
        <v/>
      </c>
      <c r="W1324" s="29" t="str">
        <f>IF(U1324=1,COUNTIF($U$2:U1324,1),"")</f>
        <v/>
      </c>
      <c r="X1324" s="29" t="str">
        <f t="shared" si="71"/>
        <v/>
      </c>
      <c r="Y1324" s="29" t="str">
        <f>IF(AND(LEFT($B1324,7)="SBA 26/",$D1324&lt;&gt;"",$F1324&lt;&gt;""),COUNTIFS($D$2:$D1324,$D1324,$B$2:$B1324,"SBA 26/*",$F$2:$F1324,"&lt;&gt;"),"")</f>
        <v/>
      </c>
      <c r="Z1324" s="29" t="str">
        <f>IF(Y1324=1,COUNTIF($Y$2:Y1324,1),"")</f>
        <v/>
      </c>
      <c r="AA1324" s="29" t="str">
        <f>IF(AND(LEFT($B1324,7)="SBA 26/",$C1324&lt;&gt;"",$F1324&lt;&gt;""),COUNTIFS($C$2:$C1324,$C1324,$B$2:$B1324,"SBA 26/*",$F$2:$F1324,"&lt;&gt;"),"")</f>
        <v/>
      </c>
      <c r="AB1324" s="29" t="str">
        <f>IF(AA1324=1,COUNTIF($AA$2:AA1324,1),"")</f>
        <v/>
      </c>
    </row>
    <row r="1325" spans="6:28" ht="63" customHeight="1" x14ac:dyDescent="0.2">
      <c r="F1325" s="45" t="s">
        <v>4001</v>
      </c>
      <c r="T1325" s="41"/>
      <c r="U1325" s="29" t="str">
        <f>IF($C1325&lt;&gt;"",COUNTIF($C$2:C1325,C1325),"")</f>
        <v/>
      </c>
      <c r="V1325" s="29" t="str">
        <f t="shared" si="72"/>
        <v/>
      </c>
      <c r="W1325" s="29" t="str">
        <f>IF(U1325=1,COUNTIF($U$2:U1325,1),"")</f>
        <v/>
      </c>
      <c r="X1325" s="29" t="str">
        <f t="shared" ref="X1325:X1388" si="73">IF(U1325=1,SUMPRODUCT(($U$2:$U$1833=1)*($C$2:$C$1833&lt;C1325))+1,"")</f>
        <v/>
      </c>
      <c r="Y1325" s="29" t="str">
        <f>IF(AND(LEFT($B1325,7)="SBA 26/",$D1325&lt;&gt;"",$F1325&lt;&gt;""),COUNTIFS($D$2:$D1325,$D1325,$B$2:$B1325,"SBA 26/*",$F$2:$F1325,"&lt;&gt;"),"")</f>
        <v/>
      </c>
      <c r="Z1325" s="29" t="str">
        <f>IF(Y1325=1,COUNTIF($Y$2:Y1325,1),"")</f>
        <v/>
      </c>
      <c r="AA1325" s="29" t="str">
        <f>IF(AND(LEFT($B1325,7)="SBA 26/",$C1325&lt;&gt;"",$F1325&lt;&gt;""),COUNTIFS($C$2:$C1325,$C1325,$B$2:$B1325,"SBA 26/*",$F$2:$F1325,"&lt;&gt;"),"")</f>
        <v/>
      </c>
      <c r="AB1325" s="29" t="str">
        <f>IF(AA1325=1,COUNTIF($AA$2:AA1325,1),"")</f>
        <v/>
      </c>
    </row>
    <row r="1326" spans="6:28" ht="47.25" customHeight="1" x14ac:dyDescent="0.2">
      <c r="F1326" s="45" t="s">
        <v>4002</v>
      </c>
      <c r="T1326" s="41"/>
      <c r="U1326" s="29" t="str">
        <f>IF($C1326&lt;&gt;"",COUNTIF($C$2:C1326,C1326),"")</f>
        <v/>
      </c>
      <c r="V1326" s="29" t="str">
        <f t="shared" si="72"/>
        <v/>
      </c>
      <c r="W1326" s="29" t="str">
        <f>IF(U1326=1,COUNTIF($U$2:U1326,1),"")</f>
        <v/>
      </c>
      <c r="X1326" s="29" t="str">
        <f t="shared" si="73"/>
        <v/>
      </c>
      <c r="Y1326" s="29" t="str">
        <f>IF(AND(LEFT($B1326,7)="SBA 26/",$D1326&lt;&gt;"",$F1326&lt;&gt;""),COUNTIFS($D$2:$D1326,$D1326,$B$2:$B1326,"SBA 26/*",$F$2:$F1326,"&lt;&gt;"),"")</f>
        <v/>
      </c>
      <c r="Z1326" s="29" t="str">
        <f>IF(Y1326=1,COUNTIF($Y$2:Y1326,1),"")</f>
        <v/>
      </c>
      <c r="AA1326" s="29" t="str">
        <f>IF(AND(LEFT($B1326,7)="SBA 26/",$C1326&lt;&gt;"",$F1326&lt;&gt;""),COUNTIFS($C$2:$C1326,$C1326,$B$2:$B1326,"SBA 26/*",$F$2:$F1326,"&lt;&gt;"),"")</f>
        <v/>
      </c>
      <c r="AB1326" s="29" t="str">
        <f>IF(AA1326=1,COUNTIF($AA$2:AA1326,1),"")</f>
        <v/>
      </c>
    </row>
    <row r="1327" spans="6:28" ht="47.25" customHeight="1" x14ac:dyDescent="0.2">
      <c r="F1327" s="45" t="s">
        <v>4003</v>
      </c>
      <c r="T1327" s="41"/>
      <c r="U1327" s="29" t="str">
        <f>IF($C1327&lt;&gt;"",COUNTIF($C$2:C1327,C1327),"")</f>
        <v/>
      </c>
      <c r="V1327" s="29" t="str">
        <f t="shared" si="72"/>
        <v/>
      </c>
      <c r="W1327" s="29" t="str">
        <f>IF(U1327=1,COUNTIF($U$2:U1327,1),"")</f>
        <v/>
      </c>
      <c r="X1327" s="29" t="str">
        <f t="shared" si="73"/>
        <v/>
      </c>
      <c r="Y1327" s="29" t="str">
        <f>IF(AND(LEFT($B1327,7)="SBA 26/",$D1327&lt;&gt;"",$F1327&lt;&gt;""),COUNTIFS($D$2:$D1327,$D1327,$B$2:$B1327,"SBA 26/*",$F$2:$F1327,"&lt;&gt;"),"")</f>
        <v/>
      </c>
      <c r="Z1327" s="29" t="str">
        <f>IF(Y1327=1,COUNTIF($Y$2:Y1327,1),"")</f>
        <v/>
      </c>
      <c r="AA1327" s="29" t="str">
        <f>IF(AND(LEFT($B1327,7)="SBA 26/",$C1327&lt;&gt;"",$F1327&lt;&gt;""),COUNTIFS($C$2:$C1327,$C1327,$B$2:$B1327,"SBA 26/*",$F$2:$F1327,"&lt;&gt;"),"")</f>
        <v/>
      </c>
      <c r="AB1327" s="29" t="str">
        <f>IF(AA1327=1,COUNTIF($AA$2:AA1327,1),"")</f>
        <v/>
      </c>
    </row>
    <row r="1328" spans="6:28" ht="63" customHeight="1" x14ac:dyDescent="0.2">
      <c r="F1328" s="45" t="s">
        <v>4004</v>
      </c>
      <c r="T1328" s="41"/>
      <c r="U1328" s="29" t="str">
        <f>IF($C1328&lt;&gt;"",COUNTIF($C$2:C1328,C1328),"")</f>
        <v/>
      </c>
      <c r="V1328" s="29" t="str">
        <f t="shared" si="72"/>
        <v/>
      </c>
      <c r="W1328" s="29" t="str">
        <f>IF(U1328=1,COUNTIF($U$2:U1328,1),"")</f>
        <v/>
      </c>
      <c r="X1328" s="29" t="str">
        <f t="shared" si="73"/>
        <v/>
      </c>
      <c r="Y1328" s="29" t="str">
        <f>IF(AND(LEFT($B1328,7)="SBA 26/",$D1328&lt;&gt;"",$F1328&lt;&gt;""),COUNTIFS($D$2:$D1328,$D1328,$B$2:$B1328,"SBA 26/*",$F$2:$F1328,"&lt;&gt;"),"")</f>
        <v/>
      </c>
      <c r="Z1328" s="29" t="str">
        <f>IF(Y1328=1,COUNTIF($Y$2:Y1328,1),"")</f>
        <v/>
      </c>
      <c r="AA1328" s="29" t="str">
        <f>IF(AND(LEFT($B1328,7)="SBA 26/",$C1328&lt;&gt;"",$F1328&lt;&gt;""),COUNTIFS($C$2:$C1328,$C1328,$B$2:$B1328,"SBA 26/*",$F$2:$F1328,"&lt;&gt;"),"")</f>
        <v/>
      </c>
      <c r="AB1328" s="29" t="str">
        <f>IF(AA1328=1,COUNTIF($AA$2:AA1328,1),"")</f>
        <v/>
      </c>
    </row>
    <row r="1329" spans="6:28" ht="94.5" customHeight="1" x14ac:dyDescent="0.2">
      <c r="F1329" s="45" t="s">
        <v>4005</v>
      </c>
      <c r="T1329" s="41"/>
      <c r="U1329" s="29" t="str">
        <f>IF($C1329&lt;&gt;"",COUNTIF($C$2:C1329,C1329),"")</f>
        <v/>
      </c>
      <c r="V1329" s="29" t="str">
        <f t="shared" si="72"/>
        <v/>
      </c>
      <c r="W1329" s="29" t="str">
        <f>IF(U1329=1,COUNTIF($U$2:U1329,1),"")</f>
        <v/>
      </c>
      <c r="X1329" s="29" t="str">
        <f t="shared" si="73"/>
        <v/>
      </c>
      <c r="Y1329" s="29" t="str">
        <f>IF(AND(LEFT($B1329,7)="SBA 26/",$D1329&lt;&gt;"",$F1329&lt;&gt;""),COUNTIFS($D$2:$D1329,$D1329,$B$2:$B1329,"SBA 26/*",$F$2:$F1329,"&lt;&gt;"),"")</f>
        <v/>
      </c>
      <c r="Z1329" s="29" t="str">
        <f>IF(Y1329=1,COUNTIF($Y$2:Y1329,1),"")</f>
        <v/>
      </c>
      <c r="AA1329" s="29" t="str">
        <f>IF(AND(LEFT($B1329,7)="SBA 26/",$C1329&lt;&gt;"",$F1329&lt;&gt;""),COUNTIFS($C$2:$C1329,$C1329,$B$2:$B1329,"SBA 26/*",$F$2:$F1329,"&lt;&gt;"),"")</f>
        <v/>
      </c>
      <c r="AB1329" s="29" t="str">
        <f>IF(AA1329=1,COUNTIF($AA$2:AA1329,1),"")</f>
        <v/>
      </c>
    </row>
    <row r="1330" spans="6:28" ht="110.25" customHeight="1" x14ac:dyDescent="0.2">
      <c r="F1330" s="45" t="s">
        <v>4006</v>
      </c>
      <c r="T1330" s="41"/>
      <c r="U1330" s="29" t="str">
        <f>IF($C1330&lt;&gt;"",COUNTIF($C$2:C1330,C1330),"")</f>
        <v/>
      </c>
      <c r="V1330" s="29" t="str">
        <f t="shared" si="72"/>
        <v/>
      </c>
      <c r="W1330" s="29" t="str">
        <f>IF(U1330=1,COUNTIF($U$2:U1330,1),"")</f>
        <v/>
      </c>
      <c r="X1330" s="29" t="str">
        <f t="shared" si="73"/>
        <v/>
      </c>
      <c r="Y1330" s="29" t="str">
        <f>IF(AND(LEFT($B1330,7)="SBA 26/",$D1330&lt;&gt;"",$F1330&lt;&gt;""),COUNTIFS($D$2:$D1330,$D1330,$B$2:$B1330,"SBA 26/*",$F$2:$F1330,"&lt;&gt;"),"")</f>
        <v/>
      </c>
      <c r="Z1330" s="29" t="str">
        <f>IF(Y1330=1,COUNTIF($Y$2:Y1330,1),"")</f>
        <v/>
      </c>
      <c r="AA1330" s="29" t="str">
        <f>IF(AND(LEFT($B1330,7)="SBA 26/",$C1330&lt;&gt;"",$F1330&lt;&gt;""),COUNTIFS($C$2:$C1330,$C1330,$B$2:$B1330,"SBA 26/*",$F$2:$F1330,"&lt;&gt;"),"")</f>
        <v/>
      </c>
      <c r="AB1330" s="29" t="str">
        <f>IF(AA1330=1,COUNTIF($AA$2:AA1330,1),"")</f>
        <v/>
      </c>
    </row>
    <row r="1331" spans="6:28" ht="47.25" customHeight="1" x14ac:dyDescent="0.2">
      <c r="F1331" s="45" t="s">
        <v>4007</v>
      </c>
      <c r="T1331" s="41"/>
      <c r="U1331" s="29" t="str">
        <f>IF($C1331&lt;&gt;"",COUNTIF($C$2:C1331,C1331),"")</f>
        <v/>
      </c>
      <c r="V1331" s="29" t="str">
        <f t="shared" si="72"/>
        <v/>
      </c>
      <c r="W1331" s="29" t="str">
        <f>IF(U1331=1,COUNTIF($U$2:U1331,1),"")</f>
        <v/>
      </c>
      <c r="X1331" s="29" t="str">
        <f t="shared" si="73"/>
        <v/>
      </c>
      <c r="Y1331" s="29" t="str">
        <f>IF(AND(LEFT($B1331,7)="SBA 26/",$D1331&lt;&gt;"",$F1331&lt;&gt;""),COUNTIFS($D$2:$D1331,$D1331,$B$2:$B1331,"SBA 26/*",$F$2:$F1331,"&lt;&gt;"),"")</f>
        <v/>
      </c>
      <c r="Z1331" s="29" t="str">
        <f>IF(Y1331=1,COUNTIF($Y$2:Y1331,1),"")</f>
        <v/>
      </c>
      <c r="AA1331" s="29" t="str">
        <f>IF(AND(LEFT($B1331,7)="SBA 26/",$C1331&lt;&gt;"",$F1331&lt;&gt;""),COUNTIFS($C$2:$C1331,$C1331,$B$2:$B1331,"SBA 26/*",$F$2:$F1331,"&lt;&gt;"),"")</f>
        <v/>
      </c>
      <c r="AB1331" s="29" t="str">
        <f>IF(AA1331=1,COUNTIF($AA$2:AA1331,1),"")</f>
        <v/>
      </c>
    </row>
    <row r="1332" spans="6:28" ht="63" customHeight="1" x14ac:dyDescent="0.2">
      <c r="F1332" s="45" t="s">
        <v>4008</v>
      </c>
      <c r="T1332" s="41"/>
      <c r="U1332" s="29" t="str">
        <f>IF($C1332&lt;&gt;"",COUNTIF($C$2:C1332,C1332),"")</f>
        <v/>
      </c>
      <c r="V1332" s="29" t="str">
        <f t="shared" si="72"/>
        <v/>
      </c>
      <c r="W1332" s="29" t="str">
        <f>IF(U1332=1,COUNTIF($U$2:U1332,1),"")</f>
        <v/>
      </c>
      <c r="X1332" s="29" t="str">
        <f t="shared" si="73"/>
        <v/>
      </c>
      <c r="Y1332" s="29" t="str">
        <f>IF(AND(LEFT($B1332,7)="SBA 26/",$D1332&lt;&gt;"",$F1332&lt;&gt;""),COUNTIFS($D$2:$D1332,$D1332,$B$2:$B1332,"SBA 26/*",$F$2:$F1332,"&lt;&gt;"),"")</f>
        <v/>
      </c>
      <c r="Z1332" s="29" t="str">
        <f>IF(Y1332=1,COUNTIF($Y$2:Y1332,1),"")</f>
        <v/>
      </c>
      <c r="AA1332" s="29" t="str">
        <f>IF(AND(LEFT($B1332,7)="SBA 26/",$C1332&lt;&gt;"",$F1332&lt;&gt;""),COUNTIFS($C$2:$C1332,$C1332,$B$2:$B1332,"SBA 26/*",$F$2:$F1332,"&lt;&gt;"),"")</f>
        <v/>
      </c>
      <c r="AB1332" s="29" t="str">
        <f>IF(AA1332=1,COUNTIF($AA$2:AA1332,1),"")</f>
        <v/>
      </c>
    </row>
    <row r="1333" spans="6:28" ht="31.5" customHeight="1" x14ac:dyDescent="0.2">
      <c r="F1333" s="45" t="s">
        <v>4009</v>
      </c>
      <c r="T1333" s="41"/>
      <c r="U1333" s="29" t="str">
        <f>IF($C1333&lt;&gt;"",COUNTIF($C$2:C1333,C1333),"")</f>
        <v/>
      </c>
      <c r="V1333" s="29" t="str">
        <f t="shared" si="72"/>
        <v/>
      </c>
      <c r="W1333" s="29" t="str">
        <f>IF(U1333=1,COUNTIF($U$2:U1333,1),"")</f>
        <v/>
      </c>
      <c r="X1333" s="29" t="str">
        <f t="shared" si="73"/>
        <v/>
      </c>
      <c r="Y1333" s="29" t="str">
        <f>IF(AND(LEFT($B1333,7)="SBA 26/",$D1333&lt;&gt;"",$F1333&lt;&gt;""),COUNTIFS($D$2:$D1333,$D1333,$B$2:$B1333,"SBA 26/*",$F$2:$F1333,"&lt;&gt;"),"")</f>
        <v/>
      </c>
      <c r="Z1333" s="29" t="str">
        <f>IF(Y1333=1,COUNTIF($Y$2:Y1333,1),"")</f>
        <v/>
      </c>
      <c r="AA1333" s="29" t="str">
        <f>IF(AND(LEFT($B1333,7)="SBA 26/",$C1333&lt;&gt;"",$F1333&lt;&gt;""),COUNTIFS($C$2:$C1333,$C1333,$B$2:$B1333,"SBA 26/*",$F$2:$F1333,"&lt;&gt;"),"")</f>
        <v/>
      </c>
      <c r="AB1333" s="29" t="str">
        <f>IF(AA1333=1,COUNTIF($AA$2:AA1333,1),"")</f>
        <v/>
      </c>
    </row>
    <row r="1334" spans="6:28" ht="47.25" customHeight="1" x14ac:dyDescent="0.2">
      <c r="F1334" s="45" t="s">
        <v>4010</v>
      </c>
      <c r="T1334" s="41"/>
      <c r="U1334" s="29" t="str">
        <f>IF($C1334&lt;&gt;"",COUNTIF($C$2:C1334,C1334),"")</f>
        <v/>
      </c>
      <c r="V1334" s="29" t="str">
        <f t="shared" si="72"/>
        <v/>
      </c>
      <c r="W1334" s="29" t="str">
        <f>IF(U1334=1,COUNTIF($U$2:U1334,1),"")</f>
        <v/>
      </c>
      <c r="X1334" s="29" t="str">
        <f t="shared" si="73"/>
        <v/>
      </c>
      <c r="Y1334" s="29" t="str">
        <f>IF(AND(LEFT($B1334,7)="SBA 26/",$D1334&lt;&gt;"",$F1334&lt;&gt;""),COUNTIFS($D$2:$D1334,$D1334,$B$2:$B1334,"SBA 26/*",$F$2:$F1334,"&lt;&gt;"),"")</f>
        <v/>
      </c>
      <c r="Z1334" s="29" t="str">
        <f>IF(Y1334=1,COUNTIF($Y$2:Y1334,1),"")</f>
        <v/>
      </c>
      <c r="AA1334" s="29" t="str">
        <f>IF(AND(LEFT($B1334,7)="SBA 26/",$C1334&lt;&gt;"",$F1334&lt;&gt;""),COUNTIFS($C$2:$C1334,$C1334,$B$2:$B1334,"SBA 26/*",$F$2:$F1334,"&lt;&gt;"),"")</f>
        <v/>
      </c>
      <c r="AB1334" s="29" t="str">
        <f>IF(AA1334=1,COUNTIF($AA$2:AA1334,1),"")</f>
        <v/>
      </c>
    </row>
    <row r="1335" spans="6:28" ht="47.25" customHeight="1" x14ac:dyDescent="0.2">
      <c r="F1335" s="45" t="s">
        <v>4011</v>
      </c>
      <c r="T1335" s="41"/>
      <c r="U1335" s="29" t="str">
        <f>IF($C1335&lt;&gt;"",COUNTIF($C$2:C1335,C1335),"")</f>
        <v/>
      </c>
      <c r="V1335" s="29" t="str">
        <f t="shared" si="72"/>
        <v/>
      </c>
      <c r="W1335" s="29" t="str">
        <f>IF(U1335=1,COUNTIF($U$2:U1335,1),"")</f>
        <v/>
      </c>
      <c r="X1335" s="29" t="str">
        <f t="shared" si="73"/>
        <v/>
      </c>
      <c r="Y1335" s="29" t="str">
        <f>IF(AND(LEFT($B1335,7)="SBA 26/",$D1335&lt;&gt;"",$F1335&lt;&gt;""),COUNTIFS($D$2:$D1335,$D1335,$B$2:$B1335,"SBA 26/*",$F$2:$F1335,"&lt;&gt;"),"")</f>
        <v/>
      </c>
      <c r="Z1335" s="29" t="str">
        <f>IF(Y1335=1,COUNTIF($Y$2:Y1335,1),"")</f>
        <v/>
      </c>
      <c r="AA1335" s="29" t="str">
        <f>IF(AND(LEFT($B1335,7)="SBA 26/",$C1335&lt;&gt;"",$F1335&lt;&gt;""),COUNTIFS($C$2:$C1335,$C1335,$B$2:$B1335,"SBA 26/*",$F$2:$F1335,"&lt;&gt;"),"")</f>
        <v/>
      </c>
      <c r="AB1335" s="29" t="str">
        <f>IF(AA1335=1,COUNTIF($AA$2:AA1335,1),"")</f>
        <v/>
      </c>
    </row>
    <row r="1336" spans="6:28" ht="47.25" customHeight="1" x14ac:dyDescent="0.2">
      <c r="F1336" s="45" t="s">
        <v>4012</v>
      </c>
      <c r="T1336" s="41"/>
      <c r="U1336" s="29" t="str">
        <f>IF($C1336&lt;&gt;"",COUNTIF($C$2:C1336,C1336),"")</f>
        <v/>
      </c>
      <c r="V1336" s="29" t="str">
        <f t="shared" si="72"/>
        <v/>
      </c>
      <c r="W1336" s="29" t="str">
        <f>IF(U1336=1,COUNTIF($U$2:U1336,1),"")</f>
        <v/>
      </c>
      <c r="X1336" s="29" t="str">
        <f t="shared" si="73"/>
        <v/>
      </c>
      <c r="Y1336" s="29" t="str">
        <f>IF(AND(LEFT($B1336,7)="SBA 26/",$D1336&lt;&gt;"",$F1336&lt;&gt;""),COUNTIFS($D$2:$D1336,$D1336,$B$2:$B1336,"SBA 26/*",$F$2:$F1336,"&lt;&gt;"),"")</f>
        <v/>
      </c>
      <c r="Z1336" s="29" t="str">
        <f>IF(Y1336=1,COUNTIF($Y$2:Y1336,1),"")</f>
        <v/>
      </c>
      <c r="AA1336" s="29" t="str">
        <f>IF(AND(LEFT($B1336,7)="SBA 26/",$C1336&lt;&gt;"",$F1336&lt;&gt;""),COUNTIFS($C$2:$C1336,$C1336,$B$2:$B1336,"SBA 26/*",$F$2:$F1336,"&lt;&gt;"),"")</f>
        <v/>
      </c>
      <c r="AB1336" s="29" t="str">
        <f>IF(AA1336=1,COUNTIF($AA$2:AA1336,1),"")</f>
        <v/>
      </c>
    </row>
    <row r="1337" spans="6:28" ht="63" customHeight="1" x14ac:dyDescent="0.2">
      <c r="F1337" s="45" t="s">
        <v>4013</v>
      </c>
      <c r="T1337" s="41"/>
      <c r="U1337" s="29" t="str">
        <f>IF($C1337&lt;&gt;"",COUNTIF($C$2:C1337,C1337),"")</f>
        <v/>
      </c>
      <c r="V1337" s="29" t="str">
        <f t="shared" si="72"/>
        <v/>
      </c>
      <c r="W1337" s="29" t="str">
        <f>IF(U1337=1,COUNTIF($U$2:U1337,1),"")</f>
        <v/>
      </c>
      <c r="X1337" s="29" t="str">
        <f t="shared" si="73"/>
        <v/>
      </c>
      <c r="Y1337" s="29" t="str">
        <f>IF(AND(LEFT($B1337,7)="SBA 26/",$D1337&lt;&gt;"",$F1337&lt;&gt;""),COUNTIFS($D$2:$D1337,$D1337,$B$2:$B1337,"SBA 26/*",$F$2:$F1337,"&lt;&gt;"),"")</f>
        <v/>
      </c>
      <c r="Z1337" s="29" t="str">
        <f>IF(Y1337=1,COUNTIF($Y$2:Y1337,1),"")</f>
        <v/>
      </c>
      <c r="AA1337" s="29" t="str">
        <f>IF(AND(LEFT($B1337,7)="SBA 26/",$C1337&lt;&gt;"",$F1337&lt;&gt;""),COUNTIFS($C$2:$C1337,$C1337,$B$2:$B1337,"SBA 26/*",$F$2:$F1337,"&lt;&gt;"),"")</f>
        <v/>
      </c>
      <c r="AB1337" s="29" t="str">
        <f>IF(AA1337=1,COUNTIF($AA$2:AA1337,1),"")</f>
        <v/>
      </c>
    </row>
    <row r="1338" spans="6:28" ht="63" customHeight="1" x14ac:dyDescent="0.2">
      <c r="F1338" s="45" t="s">
        <v>4014</v>
      </c>
      <c r="T1338" s="41"/>
      <c r="U1338" s="29" t="str">
        <f>IF($C1338&lt;&gt;"",COUNTIF($C$2:C1338,C1338),"")</f>
        <v/>
      </c>
      <c r="V1338" s="29" t="str">
        <f t="shared" si="72"/>
        <v/>
      </c>
      <c r="W1338" s="29" t="str">
        <f>IF(U1338=1,COUNTIF($U$2:U1338,1),"")</f>
        <v/>
      </c>
      <c r="X1338" s="29" t="str">
        <f t="shared" si="73"/>
        <v/>
      </c>
      <c r="Y1338" s="29" t="str">
        <f>IF(AND(LEFT($B1338,7)="SBA 26/",$D1338&lt;&gt;"",$F1338&lt;&gt;""),COUNTIFS($D$2:$D1338,$D1338,$B$2:$B1338,"SBA 26/*",$F$2:$F1338,"&lt;&gt;"),"")</f>
        <v/>
      </c>
      <c r="Z1338" s="29" t="str">
        <f>IF(Y1338=1,COUNTIF($Y$2:Y1338,1),"")</f>
        <v/>
      </c>
      <c r="AA1338" s="29" t="str">
        <f>IF(AND(LEFT($B1338,7)="SBA 26/",$C1338&lt;&gt;"",$F1338&lt;&gt;""),COUNTIFS($C$2:$C1338,$C1338,$B$2:$B1338,"SBA 26/*",$F$2:$F1338,"&lt;&gt;"),"")</f>
        <v/>
      </c>
      <c r="AB1338" s="29" t="str">
        <f>IF(AA1338=1,COUNTIF($AA$2:AA1338,1),"")</f>
        <v/>
      </c>
    </row>
    <row r="1339" spans="6:28" ht="31.5" customHeight="1" x14ac:dyDescent="0.2">
      <c r="F1339" s="45" t="s">
        <v>4015</v>
      </c>
      <c r="T1339" s="41"/>
      <c r="U1339" s="29" t="str">
        <f>IF($C1339&lt;&gt;"",COUNTIF($C$2:C1339,C1339),"")</f>
        <v/>
      </c>
      <c r="V1339" s="29" t="str">
        <f t="shared" si="72"/>
        <v/>
      </c>
      <c r="W1339" s="29" t="str">
        <f>IF(U1339=1,COUNTIF($U$2:U1339,1),"")</f>
        <v/>
      </c>
      <c r="X1339" s="29" t="str">
        <f t="shared" si="73"/>
        <v/>
      </c>
      <c r="Y1339" s="29" t="str">
        <f>IF(AND(LEFT($B1339,7)="SBA 26/",$D1339&lt;&gt;"",$F1339&lt;&gt;""),COUNTIFS($D$2:$D1339,$D1339,$B$2:$B1339,"SBA 26/*",$F$2:$F1339,"&lt;&gt;"),"")</f>
        <v/>
      </c>
      <c r="Z1339" s="29" t="str">
        <f>IF(Y1339=1,COUNTIF($Y$2:Y1339,1),"")</f>
        <v/>
      </c>
      <c r="AA1339" s="29" t="str">
        <f>IF(AND(LEFT($B1339,7)="SBA 26/",$C1339&lt;&gt;"",$F1339&lt;&gt;""),COUNTIFS($C$2:$C1339,$C1339,$B$2:$B1339,"SBA 26/*",$F$2:$F1339,"&lt;&gt;"),"")</f>
        <v/>
      </c>
      <c r="AB1339" s="29" t="str">
        <f>IF(AA1339=1,COUNTIF($AA$2:AA1339,1),"")</f>
        <v/>
      </c>
    </row>
    <row r="1340" spans="6:28" ht="63" customHeight="1" x14ac:dyDescent="0.2">
      <c r="F1340" s="45" t="s">
        <v>4016</v>
      </c>
      <c r="T1340" s="41"/>
      <c r="U1340" s="29" t="str">
        <f>IF($C1340&lt;&gt;"",COUNTIF($C$2:C1340,C1340),"")</f>
        <v/>
      </c>
      <c r="V1340" s="29" t="str">
        <f t="shared" si="72"/>
        <v/>
      </c>
      <c r="W1340" s="29" t="str">
        <f>IF(U1340=1,COUNTIF($U$2:U1340,1),"")</f>
        <v/>
      </c>
      <c r="X1340" s="29" t="str">
        <f t="shared" si="73"/>
        <v/>
      </c>
      <c r="Y1340" s="29" t="str">
        <f>IF(AND(LEFT($B1340,7)="SBA 26/",$D1340&lt;&gt;"",$F1340&lt;&gt;""),COUNTIFS($D$2:$D1340,$D1340,$B$2:$B1340,"SBA 26/*",$F$2:$F1340,"&lt;&gt;"),"")</f>
        <v/>
      </c>
      <c r="Z1340" s="29" t="str">
        <f>IF(Y1340=1,COUNTIF($Y$2:Y1340,1),"")</f>
        <v/>
      </c>
      <c r="AA1340" s="29" t="str">
        <f>IF(AND(LEFT($B1340,7)="SBA 26/",$C1340&lt;&gt;"",$F1340&lt;&gt;""),COUNTIFS($C$2:$C1340,$C1340,$B$2:$B1340,"SBA 26/*",$F$2:$F1340,"&lt;&gt;"),"")</f>
        <v/>
      </c>
      <c r="AB1340" s="29" t="str">
        <f>IF(AA1340=1,COUNTIF($AA$2:AA1340,1),"")</f>
        <v/>
      </c>
    </row>
    <row r="1341" spans="6:28" ht="47.25" customHeight="1" x14ac:dyDescent="0.2">
      <c r="F1341" s="45" t="s">
        <v>4017</v>
      </c>
      <c r="T1341" s="41"/>
      <c r="U1341" s="29" t="str">
        <f>IF($C1341&lt;&gt;"",COUNTIF($C$2:C1341,C1341),"")</f>
        <v/>
      </c>
      <c r="V1341" s="29" t="str">
        <f t="shared" si="72"/>
        <v/>
      </c>
      <c r="W1341" s="29" t="str">
        <f>IF(U1341=1,COUNTIF($U$2:U1341,1),"")</f>
        <v/>
      </c>
      <c r="X1341" s="29" t="str">
        <f t="shared" si="73"/>
        <v/>
      </c>
      <c r="Y1341" s="29" t="str">
        <f>IF(AND(LEFT($B1341,7)="SBA 26/",$D1341&lt;&gt;"",$F1341&lt;&gt;""),COUNTIFS($D$2:$D1341,$D1341,$B$2:$B1341,"SBA 26/*",$F$2:$F1341,"&lt;&gt;"),"")</f>
        <v/>
      </c>
      <c r="Z1341" s="29" t="str">
        <f>IF(Y1341=1,COUNTIF($Y$2:Y1341,1),"")</f>
        <v/>
      </c>
      <c r="AA1341" s="29" t="str">
        <f>IF(AND(LEFT($B1341,7)="SBA 26/",$C1341&lt;&gt;"",$F1341&lt;&gt;""),COUNTIFS($C$2:$C1341,$C1341,$B$2:$B1341,"SBA 26/*",$F$2:$F1341,"&lt;&gt;"),"")</f>
        <v/>
      </c>
      <c r="AB1341" s="29" t="str">
        <f>IF(AA1341=1,COUNTIF($AA$2:AA1341,1),"")</f>
        <v/>
      </c>
    </row>
    <row r="1342" spans="6:28" ht="31.5" customHeight="1" x14ac:dyDescent="0.2">
      <c r="F1342" s="45" t="s">
        <v>4018</v>
      </c>
      <c r="T1342" s="41"/>
      <c r="U1342" s="29" t="str">
        <f>IF($C1342&lt;&gt;"",COUNTIF($C$2:C1342,C1342),"")</f>
        <v/>
      </c>
      <c r="V1342" s="29" t="str">
        <f t="shared" si="72"/>
        <v/>
      </c>
      <c r="W1342" s="29" t="str">
        <f>IF(U1342=1,COUNTIF($U$2:U1342,1),"")</f>
        <v/>
      </c>
      <c r="X1342" s="29" t="str">
        <f t="shared" si="73"/>
        <v/>
      </c>
      <c r="Y1342" s="29" t="str">
        <f>IF(AND(LEFT($B1342,7)="SBA 26/",$D1342&lt;&gt;"",$F1342&lt;&gt;""),COUNTIFS($D$2:$D1342,$D1342,$B$2:$B1342,"SBA 26/*",$F$2:$F1342,"&lt;&gt;"),"")</f>
        <v/>
      </c>
      <c r="Z1342" s="29" t="str">
        <f>IF(Y1342=1,COUNTIF($Y$2:Y1342,1),"")</f>
        <v/>
      </c>
      <c r="AA1342" s="29" t="str">
        <f>IF(AND(LEFT($B1342,7)="SBA 26/",$C1342&lt;&gt;"",$F1342&lt;&gt;""),COUNTIFS($C$2:$C1342,$C1342,$B$2:$B1342,"SBA 26/*",$F$2:$F1342,"&lt;&gt;"),"")</f>
        <v/>
      </c>
      <c r="AB1342" s="29" t="str">
        <f>IF(AA1342=1,COUNTIF($AA$2:AA1342,1),"")</f>
        <v/>
      </c>
    </row>
    <row r="1343" spans="6:28" ht="47.25" customHeight="1" x14ac:dyDescent="0.2">
      <c r="F1343" s="45" t="s">
        <v>4019</v>
      </c>
      <c r="T1343" s="41"/>
      <c r="U1343" s="29" t="str">
        <f>IF($C1343&lt;&gt;"",COUNTIF($C$2:C1343,C1343),"")</f>
        <v/>
      </c>
      <c r="V1343" s="29" t="str">
        <f t="shared" si="72"/>
        <v/>
      </c>
      <c r="W1343" s="29" t="str">
        <f>IF(U1343=1,COUNTIF($U$2:U1343,1),"")</f>
        <v/>
      </c>
      <c r="X1343" s="29" t="str">
        <f t="shared" si="73"/>
        <v/>
      </c>
      <c r="Y1343" s="29" t="str">
        <f>IF(AND(LEFT($B1343,7)="SBA 26/",$D1343&lt;&gt;"",$F1343&lt;&gt;""),COUNTIFS($D$2:$D1343,$D1343,$B$2:$B1343,"SBA 26/*",$F$2:$F1343,"&lt;&gt;"),"")</f>
        <v/>
      </c>
      <c r="Z1343" s="29" t="str">
        <f>IF(Y1343=1,COUNTIF($Y$2:Y1343,1),"")</f>
        <v/>
      </c>
      <c r="AA1343" s="29" t="str">
        <f>IF(AND(LEFT($B1343,7)="SBA 26/",$C1343&lt;&gt;"",$F1343&lt;&gt;""),COUNTIFS($C$2:$C1343,$C1343,$B$2:$B1343,"SBA 26/*",$F$2:$F1343,"&lt;&gt;"),"")</f>
        <v/>
      </c>
      <c r="AB1343" s="29" t="str">
        <f>IF(AA1343=1,COUNTIF($AA$2:AA1343,1),"")</f>
        <v/>
      </c>
    </row>
    <row r="1344" spans="6:28" ht="47.25" customHeight="1" x14ac:dyDescent="0.2">
      <c r="F1344" s="45" t="s">
        <v>4020</v>
      </c>
      <c r="T1344" s="41"/>
      <c r="U1344" s="29" t="str">
        <f>IF($C1344&lt;&gt;"",COUNTIF($C$2:C1344,C1344),"")</f>
        <v/>
      </c>
      <c r="V1344" s="29" t="str">
        <f t="shared" si="72"/>
        <v/>
      </c>
      <c r="W1344" s="29" t="str">
        <f>IF(U1344=1,COUNTIF($U$2:U1344,1),"")</f>
        <v/>
      </c>
      <c r="X1344" s="29" t="str">
        <f t="shared" si="73"/>
        <v/>
      </c>
      <c r="Y1344" s="29" t="str">
        <f>IF(AND(LEFT($B1344,7)="SBA 26/",$D1344&lt;&gt;"",$F1344&lt;&gt;""),COUNTIFS($D$2:$D1344,$D1344,$B$2:$B1344,"SBA 26/*",$F$2:$F1344,"&lt;&gt;"),"")</f>
        <v/>
      </c>
      <c r="Z1344" s="29" t="str">
        <f>IF(Y1344=1,COUNTIF($Y$2:Y1344,1),"")</f>
        <v/>
      </c>
      <c r="AA1344" s="29" t="str">
        <f>IF(AND(LEFT($B1344,7)="SBA 26/",$C1344&lt;&gt;"",$F1344&lt;&gt;""),COUNTIFS($C$2:$C1344,$C1344,$B$2:$B1344,"SBA 26/*",$F$2:$F1344,"&lt;&gt;"),"")</f>
        <v/>
      </c>
      <c r="AB1344" s="29" t="str">
        <f>IF(AA1344=1,COUNTIF($AA$2:AA1344,1),"")</f>
        <v/>
      </c>
    </row>
    <row r="1345" spans="6:28" ht="47.25" customHeight="1" x14ac:dyDescent="0.2">
      <c r="F1345" s="45" t="s">
        <v>4021</v>
      </c>
      <c r="T1345" s="41"/>
      <c r="U1345" s="29" t="str">
        <f>IF($C1345&lt;&gt;"",COUNTIF($C$2:C1345,C1345),"")</f>
        <v/>
      </c>
      <c r="V1345" s="29" t="str">
        <f t="shared" si="72"/>
        <v/>
      </c>
      <c r="W1345" s="29" t="str">
        <f>IF(U1345=1,COUNTIF($U$2:U1345,1),"")</f>
        <v/>
      </c>
      <c r="X1345" s="29" t="str">
        <f t="shared" si="73"/>
        <v/>
      </c>
      <c r="Y1345" s="29" t="str">
        <f>IF(AND(LEFT($B1345,7)="SBA 26/",$D1345&lt;&gt;"",$F1345&lt;&gt;""),COUNTIFS($D$2:$D1345,$D1345,$B$2:$B1345,"SBA 26/*",$F$2:$F1345,"&lt;&gt;"),"")</f>
        <v/>
      </c>
      <c r="Z1345" s="29" t="str">
        <f>IF(Y1345=1,COUNTIF($Y$2:Y1345,1),"")</f>
        <v/>
      </c>
      <c r="AA1345" s="29" t="str">
        <f>IF(AND(LEFT($B1345,7)="SBA 26/",$C1345&lt;&gt;"",$F1345&lt;&gt;""),COUNTIFS($C$2:$C1345,$C1345,$B$2:$B1345,"SBA 26/*",$F$2:$F1345,"&lt;&gt;"),"")</f>
        <v/>
      </c>
      <c r="AB1345" s="29" t="str">
        <f>IF(AA1345=1,COUNTIF($AA$2:AA1345,1),"")</f>
        <v/>
      </c>
    </row>
    <row r="1346" spans="6:28" ht="47.25" customHeight="1" x14ac:dyDescent="0.2">
      <c r="F1346" s="45" t="s">
        <v>4022</v>
      </c>
      <c r="T1346" s="41"/>
      <c r="U1346" s="29" t="str">
        <f>IF($C1346&lt;&gt;"",COUNTIF($C$2:C1346,C1346),"")</f>
        <v/>
      </c>
      <c r="V1346" s="29" t="str">
        <f t="shared" ref="V1346:V1409" si="74">IF($C1346&lt;&gt;"",C1346&amp;"§"&amp;U1346,"")</f>
        <v/>
      </c>
      <c r="W1346" s="29" t="str">
        <f>IF(U1346=1,COUNTIF($U$2:U1346,1),"")</f>
        <v/>
      </c>
      <c r="X1346" s="29" t="str">
        <f t="shared" si="73"/>
        <v/>
      </c>
      <c r="Y1346" s="29" t="str">
        <f>IF(AND(LEFT($B1346,7)="SBA 26/",$D1346&lt;&gt;"",$F1346&lt;&gt;""),COUNTIFS($D$2:$D1346,$D1346,$B$2:$B1346,"SBA 26/*",$F$2:$F1346,"&lt;&gt;"),"")</f>
        <v/>
      </c>
      <c r="Z1346" s="29" t="str">
        <f>IF(Y1346=1,COUNTIF($Y$2:Y1346,1),"")</f>
        <v/>
      </c>
      <c r="AA1346" s="29" t="str">
        <f>IF(AND(LEFT($B1346,7)="SBA 26/",$C1346&lt;&gt;"",$F1346&lt;&gt;""),COUNTIFS($C$2:$C1346,$C1346,$B$2:$B1346,"SBA 26/*",$F$2:$F1346,"&lt;&gt;"),"")</f>
        <v/>
      </c>
      <c r="AB1346" s="29" t="str">
        <f>IF(AA1346=1,COUNTIF($AA$2:AA1346,1),"")</f>
        <v/>
      </c>
    </row>
    <row r="1347" spans="6:28" ht="31.5" customHeight="1" x14ac:dyDescent="0.2">
      <c r="F1347" s="45" t="s">
        <v>4023</v>
      </c>
      <c r="T1347" s="41"/>
      <c r="U1347" s="29" t="str">
        <f>IF($C1347&lt;&gt;"",COUNTIF($C$2:C1347,C1347),"")</f>
        <v/>
      </c>
      <c r="V1347" s="29" t="str">
        <f t="shared" si="74"/>
        <v/>
      </c>
      <c r="W1347" s="29" t="str">
        <f>IF(U1347=1,COUNTIF($U$2:U1347,1),"")</f>
        <v/>
      </c>
      <c r="X1347" s="29" t="str">
        <f t="shared" si="73"/>
        <v/>
      </c>
      <c r="Y1347" s="29" t="str">
        <f>IF(AND(LEFT($B1347,7)="SBA 26/",$D1347&lt;&gt;"",$F1347&lt;&gt;""),COUNTIFS($D$2:$D1347,$D1347,$B$2:$B1347,"SBA 26/*",$F$2:$F1347,"&lt;&gt;"),"")</f>
        <v/>
      </c>
      <c r="Z1347" s="29" t="str">
        <f>IF(Y1347=1,COUNTIF($Y$2:Y1347,1),"")</f>
        <v/>
      </c>
      <c r="AA1347" s="29" t="str">
        <f>IF(AND(LEFT($B1347,7)="SBA 26/",$C1347&lt;&gt;"",$F1347&lt;&gt;""),COUNTIFS($C$2:$C1347,$C1347,$B$2:$B1347,"SBA 26/*",$F$2:$F1347,"&lt;&gt;"),"")</f>
        <v/>
      </c>
      <c r="AB1347" s="29" t="str">
        <f>IF(AA1347=1,COUNTIF($AA$2:AA1347,1),"")</f>
        <v/>
      </c>
    </row>
    <row r="1348" spans="6:28" ht="63" customHeight="1" x14ac:dyDescent="0.2">
      <c r="F1348" s="45" t="s">
        <v>4024</v>
      </c>
      <c r="T1348" s="41"/>
      <c r="U1348" s="29" t="str">
        <f>IF($C1348&lt;&gt;"",COUNTIF($C$2:C1348,C1348),"")</f>
        <v/>
      </c>
      <c r="V1348" s="29" t="str">
        <f t="shared" si="74"/>
        <v/>
      </c>
      <c r="W1348" s="29" t="str">
        <f>IF(U1348=1,COUNTIF($U$2:U1348,1),"")</f>
        <v/>
      </c>
      <c r="X1348" s="29" t="str">
        <f t="shared" si="73"/>
        <v/>
      </c>
      <c r="Y1348" s="29" t="str">
        <f>IF(AND(LEFT($B1348,7)="SBA 26/",$D1348&lt;&gt;"",$F1348&lt;&gt;""),COUNTIFS($D$2:$D1348,$D1348,$B$2:$B1348,"SBA 26/*",$F$2:$F1348,"&lt;&gt;"),"")</f>
        <v/>
      </c>
      <c r="Z1348" s="29" t="str">
        <f>IF(Y1348=1,COUNTIF($Y$2:Y1348,1),"")</f>
        <v/>
      </c>
      <c r="AA1348" s="29" t="str">
        <f>IF(AND(LEFT($B1348,7)="SBA 26/",$C1348&lt;&gt;"",$F1348&lt;&gt;""),COUNTIFS($C$2:$C1348,$C1348,$B$2:$B1348,"SBA 26/*",$F$2:$F1348,"&lt;&gt;"),"")</f>
        <v/>
      </c>
      <c r="AB1348" s="29" t="str">
        <f>IF(AA1348=1,COUNTIF($AA$2:AA1348,1),"")</f>
        <v/>
      </c>
    </row>
    <row r="1349" spans="6:28" ht="31.5" customHeight="1" x14ac:dyDescent="0.2">
      <c r="F1349" s="45" t="s">
        <v>4025</v>
      </c>
      <c r="T1349" s="41"/>
      <c r="U1349" s="29" t="str">
        <f>IF($C1349&lt;&gt;"",COUNTIF($C$2:C1349,C1349),"")</f>
        <v/>
      </c>
      <c r="V1349" s="29" t="str">
        <f t="shared" si="74"/>
        <v/>
      </c>
      <c r="W1349" s="29" t="str">
        <f>IF(U1349=1,COUNTIF($U$2:U1349,1),"")</f>
        <v/>
      </c>
      <c r="X1349" s="29" t="str">
        <f t="shared" si="73"/>
        <v/>
      </c>
      <c r="Y1349" s="29" t="str">
        <f>IF(AND(LEFT($B1349,7)="SBA 26/",$D1349&lt;&gt;"",$F1349&lt;&gt;""),COUNTIFS($D$2:$D1349,$D1349,$B$2:$B1349,"SBA 26/*",$F$2:$F1349,"&lt;&gt;"),"")</f>
        <v/>
      </c>
      <c r="Z1349" s="29" t="str">
        <f>IF(Y1349=1,COUNTIF($Y$2:Y1349,1),"")</f>
        <v/>
      </c>
      <c r="AA1349" s="29" t="str">
        <f>IF(AND(LEFT($B1349,7)="SBA 26/",$C1349&lt;&gt;"",$F1349&lt;&gt;""),COUNTIFS($C$2:$C1349,$C1349,$B$2:$B1349,"SBA 26/*",$F$2:$F1349,"&lt;&gt;"),"")</f>
        <v/>
      </c>
      <c r="AB1349" s="29" t="str">
        <f>IF(AA1349=1,COUNTIF($AA$2:AA1349,1),"")</f>
        <v/>
      </c>
    </row>
    <row r="1350" spans="6:28" ht="63" customHeight="1" x14ac:dyDescent="0.2">
      <c r="F1350" s="45" t="s">
        <v>4026</v>
      </c>
      <c r="T1350" s="41"/>
      <c r="U1350" s="29" t="str">
        <f>IF($C1350&lt;&gt;"",COUNTIF($C$2:C1350,C1350),"")</f>
        <v/>
      </c>
      <c r="V1350" s="29" t="str">
        <f t="shared" si="74"/>
        <v/>
      </c>
      <c r="W1350" s="29" t="str">
        <f>IF(U1350=1,COUNTIF($U$2:U1350,1),"")</f>
        <v/>
      </c>
      <c r="X1350" s="29" t="str">
        <f t="shared" si="73"/>
        <v/>
      </c>
      <c r="Y1350" s="29" t="str">
        <f>IF(AND(LEFT($B1350,7)="SBA 26/",$D1350&lt;&gt;"",$F1350&lt;&gt;""),COUNTIFS($D$2:$D1350,$D1350,$B$2:$B1350,"SBA 26/*",$F$2:$F1350,"&lt;&gt;"),"")</f>
        <v/>
      </c>
      <c r="Z1350" s="29" t="str">
        <f>IF(Y1350=1,COUNTIF($Y$2:Y1350,1),"")</f>
        <v/>
      </c>
      <c r="AA1350" s="29" t="str">
        <f>IF(AND(LEFT($B1350,7)="SBA 26/",$C1350&lt;&gt;"",$F1350&lt;&gt;""),COUNTIFS($C$2:$C1350,$C1350,$B$2:$B1350,"SBA 26/*",$F$2:$F1350,"&lt;&gt;"),"")</f>
        <v/>
      </c>
      <c r="AB1350" s="29" t="str">
        <f>IF(AA1350=1,COUNTIF($AA$2:AA1350,1),"")</f>
        <v/>
      </c>
    </row>
    <row r="1351" spans="6:28" ht="31.5" customHeight="1" x14ac:dyDescent="0.2">
      <c r="F1351" s="45" t="s">
        <v>4027</v>
      </c>
      <c r="T1351" s="41"/>
      <c r="U1351" s="29" t="str">
        <f>IF($C1351&lt;&gt;"",COUNTIF($C$2:C1351,C1351),"")</f>
        <v/>
      </c>
      <c r="V1351" s="29" t="str">
        <f t="shared" si="74"/>
        <v/>
      </c>
      <c r="W1351" s="29" t="str">
        <f>IF(U1351=1,COUNTIF($U$2:U1351,1),"")</f>
        <v/>
      </c>
      <c r="X1351" s="29" t="str">
        <f t="shared" si="73"/>
        <v/>
      </c>
      <c r="Y1351" s="29" t="str">
        <f>IF(AND(LEFT($B1351,7)="SBA 26/",$D1351&lt;&gt;"",$F1351&lt;&gt;""),COUNTIFS($D$2:$D1351,$D1351,$B$2:$B1351,"SBA 26/*",$F$2:$F1351,"&lt;&gt;"),"")</f>
        <v/>
      </c>
      <c r="Z1351" s="29" t="str">
        <f>IF(Y1351=1,COUNTIF($Y$2:Y1351,1),"")</f>
        <v/>
      </c>
      <c r="AA1351" s="29" t="str">
        <f>IF(AND(LEFT($B1351,7)="SBA 26/",$C1351&lt;&gt;"",$F1351&lt;&gt;""),COUNTIFS($C$2:$C1351,$C1351,$B$2:$B1351,"SBA 26/*",$F$2:$F1351,"&lt;&gt;"),"")</f>
        <v/>
      </c>
      <c r="AB1351" s="29" t="str">
        <f>IF(AA1351=1,COUNTIF($AA$2:AA1351,1),"")</f>
        <v/>
      </c>
    </row>
    <row r="1352" spans="6:28" ht="31.5" customHeight="1" x14ac:dyDescent="0.2">
      <c r="F1352" s="45" t="s">
        <v>4028</v>
      </c>
      <c r="T1352" s="41"/>
      <c r="U1352" s="29" t="str">
        <f>IF($C1352&lt;&gt;"",COUNTIF($C$2:C1352,C1352),"")</f>
        <v/>
      </c>
      <c r="V1352" s="29" t="str">
        <f t="shared" si="74"/>
        <v/>
      </c>
      <c r="W1352" s="29" t="str">
        <f>IF(U1352=1,COUNTIF($U$2:U1352,1),"")</f>
        <v/>
      </c>
      <c r="X1352" s="29" t="str">
        <f t="shared" si="73"/>
        <v/>
      </c>
      <c r="Y1352" s="29" t="str">
        <f>IF(AND(LEFT($B1352,7)="SBA 26/",$D1352&lt;&gt;"",$F1352&lt;&gt;""),COUNTIFS($D$2:$D1352,$D1352,$B$2:$B1352,"SBA 26/*",$F$2:$F1352,"&lt;&gt;"),"")</f>
        <v/>
      </c>
      <c r="Z1352" s="29" t="str">
        <f>IF(Y1352=1,COUNTIF($Y$2:Y1352,1),"")</f>
        <v/>
      </c>
      <c r="AA1352" s="29" t="str">
        <f>IF(AND(LEFT($B1352,7)="SBA 26/",$C1352&lt;&gt;"",$F1352&lt;&gt;""),COUNTIFS($C$2:$C1352,$C1352,$B$2:$B1352,"SBA 26/*",$F$2:$F1352,"&lt;&gt;"),"")</f>
        <v/>
      </c>
      <c r="AB1352" s="29" t="str">
        <f>IF(AA1352=1,COUNTIF($AA$2:AA1352,1),"")</f>
        <v/>
      </c>
    </row>
    <row r="1353" spans="6:28" ht="47.25" customHeight="1" x14ac:dyDescent="0.2">
      <c r="F1353" s="45" t="s">
        <v>4029</v>
      </c>
      <c r="T1353" s="41"/>
      <c r="U1353" s="29" t="str">
        <f>IF($C1353&lt;&gt;"",COUNTIF($C$2:C1353,C1353),"")</f>
        <v/>
      </c>
      <c r="V1353" s="29" t="str">
        <f t="shared" si="74"/>
        <v/>
      </c>
      <c r="W1353" s="29" t="str">
        <f>IF(U1353=1,COUNTIF($U$2:U1353,1),"")</f>
        <v/>
      </c>
      <c r="X1353" s="29" t="str">
        <f t="shared" si="73"/>
        <v/>
      </c>
      <c r="Y1353" s="29" t="str">
        <f>IF(AND(LEFT($B1353,7)="SBA 26/",$D1353&lt;&gt;"",$F1353&lt;&gt;""),COUNTIFS($D$2:$D1353,$D1353,$B$2:$B1353,"SBA 26/*",$F$2:$F1353,"&lt;&gt;"),"")</f>
        <v/>
      </c>
      <c r="Z1353" s="29" t="str">
        <f>IF(Y1353=1,COUNTIF($Y$2:Y1353,1),"")</f>
        <v/>
      </c>
      <c r="AA1353" s="29" t="str">
        <f>IF(AND(LEFT($B1353,7)="SBA 26/",$C1353&lt;&gt;"",$F1353&lt;&gt;""),COUNTIFS($C$2:$C1353,$C1353,$B$2:$B1353,"SBA 26/*",$F$2:$F1353,"&lt;&gt;"),"")</f>
        <v/>
      </c>
      <c r="AB1353" s="29" t="str">
        <f>IF(AA1353=1,COUNTIF($AA$2:AA1353,1),"")</f>
        <v/>
      </c>
    </row>
    <row r="1354" spans="6:28" ht="31.5" customHeight="1" x14ac:dyDescent="0.2">
      <c r="F1354" s="45" t="s">
        <v>4030</v>
      </c>
      <c r="T1354" s="41"/>
      <c r="U1354" s="29" t="str">
        <f>IF($C1354&lt;&gt;"",COUNTIF($C$2:C1354,C1354),"")</f>
        <v/>
      </c>
      <c r="V1354" s="29" t="str">
        <f t="shared" si="74"/>
        <v/>
      </c>
      <c r="W1354" s="29" t="str">
        <f>IF(U1354=1,COUNTIF($U$2:U1354,1),"")</f>
        <v/>
      </c>
      <c r="X1354" s="29" t="str">
        <f t="shared" si="73"/>
        <v/>
      </c>
      <c r="Y1354" s="29" t="str">
        <f>IF(AND(LEFT($B1354,7)="SBA 26/",$D1354&lt;&gt;"",$F1354&lt;&gt;""),COUNTIFS($D$2:$D1354,$D1354,$B$2:$B1354,"SBA 26/*",$F$2:$F1354,"&lt;&gt;"),"")</f>
        <v/>
      </c>
      <c r="Z1354" s="29" t="str">
        <f>IF(Y1354=1,COUNTIF($Y$2:Y1354,1),"")</f>
        <v/>
      </c>
      <c r="AA1354" s="29" t="str">
        <f>IF(AND(LEFT($B1354,7)="SBA 26/",$C1354&lt;&gt;"",$F1354&lt;&gt;""),COUNTIFS($C$2:$C1354,$C1354,$B$2:$B1354,"SBA 26/*",$F$2:$F1354,"&lt;&gt;"),"")</f>
        <v/>
      </c>
      <c r="AB1354" s="29" t="str">
        <f>IF(AA1354=1,COUNTIF($AA$2:AA1354,1),"")</f>
        <v/>
      </c>
    </row>
    <row r="1355" spans="6:28" ht="31.5" customHeight="1" x14ac:dyDescent="0.2">
      <c r="F1355" s="45" t="s">
        <v>4031</v>
      </c>
      <c r="T1355" s="41"/>
      <c r="U1355" s="29" t="str">
        <f>IF($C1355&lt;&gt;"",COUNTIF($C$2:C1355,C1355),"")</f>
        <v/>
      </c>
      <c r="V1355" s="29" t="str">
        <f t="shared" si="74"/>
        <v/>
      </c>
      <c r="W1355" s="29" t="str">
        <f>IF(U1355=1,COUNTIF($U$2:U1355,1),"")</f>
        <v/>
      </c>
      <c r="X1355" s="29" t="str">
        <f t="shared" si="73"/>
        <v/>
      </c>
      <c r="Y1355" s="29" t="str">
        <f>IF(AND(LEFT($B1355,7)="SBA 26/",$D1355&lt;&gt;"",$F1355&lt;&gt;""),COUNTIFS($D$2:$D1355,$D1355,$B$2:$B1355,"SBA 26/*",$F$2:$F1355,"&lt;&gt;"),"")</f>
        <v/>
      </c>
      <c r="Z1355" s="29" t="str">
        <f>IF(Y1355=1,COUNTIF($Y$2:Y1355,1),"")</f>
        <v/>
      </c>
      <c r="AA1355" s="29" t="str">
        <f>IF(AND(LEFT($B1355,7)="SBA 26/",$C1355&lt;&gt;"",$F1355&lt;&gt;""),COUNTIFS($C$2:$C1355,$C1355,$B$2:$B1355,"SBA 26/*",$F$2:$F1355,"&lt;&gt;"),"")</f>
        <v/>
      </c>
      <c r="AB1355" s="29" t="str">
        <f>IF(AA1355=1,COUNTIF($AA$2:AA1355,1),"")</f>
        <v/>
      </c>
    </row>
    <row r="1356" spans="6:28" ht="31.5" customHeight="1" x14ac:dyDescent="0.2">
      <c r="F1356" s="45" t="s">
        <v>4032</v>
      </c>
      <c r="T1356" s="41"/>
      <c r="U1356" s="29" t="str">
        <f>IF($C1356&lt;&gt;"",COUNTIF($C$2:C1356,C1356),"")</f>
        <v/>
      </c>
      <c r="V1356" s="29" t="str">
        <f t="shared" si="74"/>
        <v/>
      </c>
      <c r="W1356" s="29" t="str">
        <f>IF(U1356=1,COUNTIF($U$2:U1356,1),"")</f>
        <v/>
      </c>
      <c r="X1356" s="29" t="str">
        <f t="shared" si="73"/>
        <v/>
      </c>
      <c r="Y1356" s="29" t="str">
        <f>IF(AND(LEFT($B1356,7)="SBA 26/",$D1356&lt;&gt;"",$F1356&lt;&gt;""),COUNTIFS($D$2:$D1356,$D1356,$B$2:$B1356,"SBA 26/*",$F$2:$F1356,"&lt;&gt;"),"")</f>
        <v/>
      </c>
      <c r="Z1356" s="29" t="str">
        <f>IF(Y1356=1,COUNTIF($Y$2:Y1356,1),"")</f>
        <v/>
      </c>
      <c r="AA1356" s="29" t="str">
        <f>IF(AND(LEFT($B1356,7)="SBA 26/",$C1356&lt;&gt;"",$F1356&lt;&gt;""),COUNTIFS($C$2:$C1356,$C1356,$B$2:$B1356,"SBA 26/*",$F$2:$F1356,"&lt;&gt;"),"")</f>
        <v/>
      </c>
      <c r="AB1356" s="29" t="str">
        <f>IF(AA1356=1,COUNTIF($AA$2:AA1356,1),"")</f>
        <v/>
      </c>
    </row>
    <row r="1357" spans="6:28" ht="31.5" customHeight="1" x14ac:dyDescent="0.2">
      <c r="F1357" s="45" t="s">
        <v>4033</v>
      </c>
      <c r="T1357" s="41"/>
      <c r="U1357" s="29" t="str">
        <f>IF($C1357&lt;&gt;"",COUNTIF($C$2:C1357,C1357),"")</f>
        <v/>
      </c>
      <c r="V1357" s="29" t="str">
        <f t="shared" si="74"/>
        <v/>
      </c>
      <c r="W1357" s="29" t="str">
        <f>IF(U1357=1,COUNTIF($U$2:U1357,1),"")</f>
        <v/>
      </c>
      <c r="X1357" s="29" t="str">
        <f t="shared" si="73"/>
        <v/>
      </c>
      <c r="Y1357" s="29" t="str">
        <f>IF(AND(LEFT($B1357,7)="SBA 26/",$D1357&lt;&gt;"",$F1357&lt;&gt;""),COUNTIFS($D$2:$D1357,$D1357,$B$2:$B1357,"SBA 26/*",$F$2:$F1357,"&lt;&gt;"),"")</f>
        <v/>
      </c>
      <c r="Z1357" s="29" t="str">
        <f>IF(Y1357=1,COUNTIF($Y$2:Y1357,1),"")</f>
        <v/>
      </c>
      <c r="AA1357" s="29" t="str">
        <f>IF(AND(LEFT($B1357,7)="SBA 26/",$C1357&lt;&gt;"",$F1357&lt;&gt;""),COUNTIFS($C$2:$C1357,$C1357,$B$2:$B1357,"SBA 26/*",$F$2:$F1357,"&lt;&gt;"),"")</f>
        <v/>
      </c>
      <c r="AB1357" s="29" t="str">
        <f>IF(AA1357=1,COUNTIF($AA$2:AA1357,1),"")</f>
        <v/>
      </c>
    </row>
    <row r="1358" spans="6:28" ht="31.5" customHeight="1" x14ac:dyDescent="0.2">
      <c r="F1358" s="45" t="s">
        <v>4034</v>
      </c>
      <c r="T1358" s="41"/>
      <c r="U1358" s="29" t="str">
        <f>IF($C1358&lt;&gt;"",COUNTIF($C$2:C1358,C1358),"")</f>
        <v/>
      </c>
      <c r="V1358" s="29" t="str">
        <f t="shared" si="74"/>
        <v/>
      </c>
      <c r="W1358" s="29" t="str">
        <f>IF(U1358=1,COUNTIF($U$2:U1358,1),"")</f>
        <v/>
      </c>
      <c r="X1358" s="29" t="str">
        <f t="shared" si="73"/>
        <v/>
      </c>
      <c r="Y1358" s="29" t="str">
        <f>IF(AND(LEFT($B1358,7)="SBA 26/",$D1358&lt;&gt;"",$F1358&lt;&gt;""),COUNTIFS($D$2:$D1358,$D1358,$B$2:$B1358,"SBA 26/*",$F$2:$F1358,"&lt;&gt;"),"")</f>
        <v/>
      </c>
      <c r="Z1358" s="29" t="str">
        <f>IF(Y1358=1,COUNTIF($Y$2:Y1358,1),"")</f>
        <v/>
      </c>
      <c r="AA1358" s="29" t="str">
        <f>IF(AND(LEFT($B1358,7)="SBA 26/",$C1358&lt;&gt;"",$F1358&lt;&gt;""),COUNTIFS($C$2:$C1358,$C1358,$B$2:$B1358,"SBA 26/*",$F$2:$F1358,"&lt;&gt;"),"")</f>
        <v/>
      </c>
      <c r="AB1358" s="29" t="str">
        <f>IF(AA1358=1,COUNTIF($AA$2:AA1358,1),"")</f>
        <v/>
      </c>
    </row>
    <row r="1359" spans="6:28" ht="47.25" customHeight="1" x14ac:dyDescent="0.2">
      <c r="F1359" s="45" t="s">
        <v>4035</v>
      </c>
      <c r="T1359" s="41"/>
      <c r="U1359" s="29" t="str">
        <f>IF($C1359&lt;&gt;"",COUNTIF($C$2:C1359,C1359),"")</f>
        <v/>
      </c>
      <c r="V1359" s="29" t="str">
        <f t="shared" si="74"/>
        <v/>
      </c>
      <c r="W1359" s="29" t="str">
        <f>IF(U1359=1,COUNTIF($U$2:U1359,1),"")</f>
        <v/>
      </c>
      <c r="X1359" s="29" t="str">
        <f t="shared" si="73"/>
        <v/>
      </c>
      <c r="Y1359" s="29" t="str">
        <f>IF(AND(LEFT($B1359,7)="SBA 26/",$D1359&lt;&gt;"",$F1359&lt;&gt;""),COUNTIFS($D$2:$D1359,$D1359,$B$2:$B1359,"SBA 26/*",$F$2:$F1359,"&lt;&gt;"),"")</f>
        <v/>
      </c>
      <c r="Z1359" s="29" t="str">
        <f>IF(Y1359=1,COUNTIF($Y$2:Y1359,1),"")</f>
        <v/>
      </c>
      <c r="AA1359" s="29" t="str">
        <f>IF(AND(LEFT($B1359,7)="SBA 26/",$C1359&lt;&gt;"",$F1359&lt;&gt;""),COUNTIFS($C$2:$C1359,$C1359,$B$2:$B1359,"SBA 26/*",$F$2:$F1359,"&lt;&gt;"),"")</f>
        <v/>
      </c>
      <c r="AB1359" s="29" t="str">
        <f>IF(AA1359=1,COUNTIF($AA$2:AA1359,1),"")</f>
        <v/>
      </c>
    </row>
    <row r="1360" spans="6:28" ht="31.5" customHeight="1" x14ac:dyDescent="0.2">
      <c r="F1360" s="45" t="s">
        <v>4036</v>
      </c>
      <c r="T1360" s="41"/>
      <c r="U1360" s="29" t="str">
        <f>IF($C1360&lt;&gt;"",COUNTIF($C$2:C1360,C1360),"")</f>
        <v/>
      </c>
      <c r="V1360" s="29" t="str">
        <f t="shared" si="74"/>
        <v/>
      </c>
      <c r="W1360" s="29" t="str">
        <f>IF(U1360=1,COUNTIF($U$2:U1360,1),"")</f>
        <v/>
      </c>
      <c r="X1360" s="29" t="str">
        <f t="shared" si="73"/>
        <v/>
      </c>
      <c r="Y1360" s="29" t="str">
        <f>IF(AND(LEFT($B1360,7)="SBA 26/",$D1360&lt;&gt;"",$F1360&lt;&gt;""),COUNTIFS($D$2:$D1360,$D1360,$B$2:$B1360,"SBA 26/*",$F$2:$F1360,"&lt;&gt;"),"")</f>
        <v/>
      </c>
      <c r="Z1360" s="29" t="str">
        <f>IF(Y1360=1,COUNTIF($Y$2:Y1360,1),"")</f>
        <v/>
      </c>
      <c r="AA1360" s="29" t="str">
        <f>IF(AND(LEFT($B1360,7)="SBA 26/",$C1360&lt;&gt;"",$F1360&lt;&gt;""),COUNTIFS($C$2:$C1360,$C1360,$B$2:$B1360,"SBA 26/*",$F$2:$F1360,"&lt;&gt;"),"")</f>
        <v/>
      </c>
      <c r="AB1360" s="29" t="str">
        <f>IF(AA1360=1,COUNTIF($AA$2:AA1360,1),"")</f>
        <v/>
      </c>
    </row>
    <row r="1361" spans="6:28" ht="47.25" customHeight="1" x14ac:dyDescent="0.2">
      <c r="F1361" s="45" t="s">
        <v>4037</v>
      </c>
      <c r="T1361" s="41"/>
      <c r="U1361" s="29" t="str">
        <f>IF($C1361&lt;&gt;"",COUNTIF($C$2:C1361,C1361),"")</f>
        <v/>
      </c>
      <c r="V1361" s="29" t="str">
        <f t="shared" si="74"/>
        <v/>
      </c>
      <c r="W1361" s="29" t="str">
        <f>IF(U1361=1,COUNTIF($U$2:U1361,1),"")</f>
        <v/>
      </c>
      <c r="X1361" s="29" t="str">
        <f t="shared" si="73"/>
        <v/>
      </c>
      <c r="Y1361" s="29" t="str">
        <f>IF(AND(LEFT($B1361,7)="SBA 26/",$D1361&lt;&gt;"",$F1361&lt;&gt;""),COUNTIFS($D$2:$D1361,$D1361,$B$2:$B1361,"SBA 26/*",$F$2:$F1361,"&lt;&gt;"),"")</f>
        <v/>
      </c>
      <c r="Z1361" s="29" t="str">
        <f>IF(Y1361=1,COUNTIF($Y$2:Y1361,1),"")</f>
        <v/>
      </c>
      <c r="AA1361" s="29" t="str">
        <f>IF(AND(LEFT($B1361,7)="SBA 26/",$C1361&lt;&gt;"",$F1361&lt;&gt;""),COUNTIFS($C$2:$C1361,$C1361,$B$2:$B1361,"SBA 26/*",$F$2:$F1361,"&lt;&gt;"),"")</f>
        <v/>
      </c>
      <c r="AB1361" s="29" t="str">
        <f>IF(AA1361=1,COUNTIF($AA$2:AA1361,1),"")</f>
        <v/>
      </c>
    </row>
    <row r="1362" spans="6:28" ht="31.5" customHeight="1" x14ac:dyDescent="0.2">
      <c r="F1362" s="45" t="s">
        <v>4038</v>
      </c>
      <c r="T1362" s="41"/>
      <c r="U1362" s="29" t="str">
        <f>IF($C1362&lt;&gt;"",COUNTIF($C$2:C1362,C1362),"")</f>
        <v/>
      </c>
      <c r="V1362" s="29" t="str">
        <f t="shared" si="74"/>
        <v/>
      </c>
      <c r="W1362" s="29" t="str">
        <f>IF(U1362=1,COUNTIF($U$2:U1362,1),"")</f>
        <v/>
      </c>
      <c r="X1362" s="29" t="str">
        <f t="shared" si="73"/>
        <v/>
      </c>
      <c r="Y1362" s="29" t="str">
        <f>IF(AND(LEFT($B1362,7)="SBA 26/",$D1362&lt;&gt;"",$F1362&lt;&gt;""),COUNTIFS($D$2:$D1362,$D1362,$B$2:$B1362,"SBA 26/*",$F$2:$F1362,"&lt;&gt;"),"")</f>
        <v/>
      </c>
      <c r="Z1362" s="29" t="str">
        <f>IF(Y1362=1,COUNTIF($Y$2:Y1362,1),"")</f>
        <v/>
      </c>
      <c r="AA1362" s="29" t="str">
        <f>IF(AND(LEFT($B1362,7)="SBA 26/",$C1362&lt;&gt;"",$F1362&lt;&gt;""),COUNTIFS($C$2:$C1362,$C1362,$B$2:$B1362,"SBA 26/*",$F$2:$F1362,"&lt;&gt;"),"")</f>
        <v/>
      </c>
      <c r="AB1362" s="29" t="str">
        <f>IF(AA1362=1,COUNTIF($AA$2:AA1362,1),"")</f>
        <v/>
      </c>
    </row>
    <row r="1363" spans="6:28" ht="47.25" customHeight="1" x14ac:dyDescent="0.2">
      <c r="F1363" s="45" t="s">
        <v>4039</v>
      </c>
      <c r="T1363" s="41"/>
      <c r="U1363" s="29" t="str">
        <f>IF($C1363&lt;&gt;"",COUNTIF($C$2:C1363,C1363),"")</f>
        <v/>
      </c>
      <c r="V1363" s="29" t="str">
        <f t="shared" si="74"/>
        <v/>
      </c>
      <c r="W1363" s="29" t="str">
        <f>IF(U1363=1,COUNTIF($U$2:U1363,1),"")</f>
        <v/>
      </c>
      <c r="X1363" s="29" t="str">
        <f t="shared" si="73"/>
        <v/>
      </c>
      <c r="Y1363" s="29" t="str">
        <f>IF(AND(LEFT($B1363,7)="SBA 26/",$D1363&lt;&gt;"",$F1363&lt;&gt;""),COUNTIFS($D$2:$D1363,$D1363,$B$2:$B1363,"SBA 26/*",$F$2:$F1363,"&lt;&gt;"),"")</f>
        <v/>
      </c>
      <c r="Z1363" s="29" t="str">
        <f>IF(Y1363=1,COUNTIF($Y$2:Y1363,1),"")</f>
        <v/>
      </c>
      <c r="AA1363" s="29" t="str">
        <f>IF(AND(LEFT($B1363,7)="SBA 26/",$C1363&lt;&gt;"",$F1363&lt;&gt;""),COUNTIFS($C$2:$C1363,$C1363,$B$2:$B1363,"SBA 26/*",$F$2:$F1363,"&lt;&gt;"),"")</f>
        <v/>
      </c>
      <c r="AB1363" s="29" t="str">
        <f>IF(AA1363=1,COUNTIF($AA$2:AA1363,1),"")</f>
        <v/>
      </c>
    </row>
    <row r="1364" spans="6:28" ht="47.25" customHeight="1" x14ac:dyDescent="0.2">
      <c r="F1364" s="45" t="s">
        <v>4040</v>
      </c>
      <c r="T1364" s="41"/>
      <c r="U1364" s="29" t="str">
        <f>IF($C1364&lt;&gt;"",COUNTIF($C$2:C1364,C1364),"")</f>
        <v/>
      </c>
      <c r="V1364" s="29" t="str">
        <f t="shared" si="74"/>
        <v/>
      </c>
      <c r="W1364" s="29" t="str">
        <f>IF(U1364=1,COUNTIF($U$2:U1364,1),"")</f>
        <v/>
      </c>
      <c r="X1364" s="29" t="str">
        <f t="shared" si="73"/>
        <v/>
      </c>
      <c r="Y1364" s="29" t="str">
        <f>IF(AND(LEFT($B1364,7)="SBA 26/",$D1364&lt;&gt;"",$F1364&lt;&gt;""),COUNTIFS($D$2:$D1364,$D1364,$B$2:$B1364,"SBA 26/*",$F$2:$F1364,"&lt;&gt;"),"")</f>
        <v/>
      </c>
      <c r="Z1364" s="29" t="str">
        <f>IF(Y1364=1,COUNTIF($Y$2:Y1364,1),"")</f>
        <v/>
      </c>
      <c r="AA1364" s="29" t="str">
        <f>IF(AND(LEFT($B1364,7)="SBA 26/",$C1364&lt;&gt;"",$F1364&lt;&gt;""),COUNTIFS($C$2:$C1364,$C1364,$B$2:$B1364,"SBA 26/*",$F$2:$F1364,"&lt;&gt;"),"")</f>
        <v/>
      </c>
      <c r="AB1364" s="29" t="str">
        <f>IF(AA1364=1,COUNTIF($AA$2:AA1364,1),"")</f>
        <v/>
      </c>
    </row>
    <row r="1365" spans="6:28" ht="47.25" customHeight="1" x14ac:dyDescent="0.2">
      <c r="F1365" s="45" t="s">
        <v>4041</v>
      </c>
      <c r="T1365" s="41"/>
      <c r="U1365" s="29" t="str">
        <f>IF($C1365&lt;&gt;"",COUNTIF($C$2:C1365,C1365),"")</f>
        <v/>
      </c>
      <c r="V1365" s="29" t="str">
        <f t="shared" si="74"/>
        <v/>
      </c>
      <c r="W1365" s="29" t="str">
        <f>IF(U1365=1,COUNTIF($U$2:U1365,1),"")</f>
        <v/>
      </c>
      <c r="X1365" s="29" t="str">
        <f t="shared" si="73"/>
        <v/>
      </c>
      <c r="Y1365" s="29" t="str">
        <f>IF(AND(LEFT($B1365,7)="SBA 26/",$D1365&lt;&gt;"",$F1365&lt;&gt;""),COUNTIFS($D$2:$D1365,$D1365,$B$2:$B1365,"SBA 26/*",$F$2:$F1365,"&lt;&gt;"),"")</f>
        <v/>
      </c>
      <c r="Z1365" s="29" t="str">
        <f>IF(Y1365=1,COUNTIF($Y$2:Y1365,1),"")</f>
        <v/>
      </c>
      <c r="AA1365" s="29" t="str">
        <f>IF(AND(LEFT($B1365,7)="SBA 26/",$C1365&lt;&gt;"",$F1365&lt;&gt;""),COUNTIFS($C$2:$C1365,$C1365,$B$2:$B1365,"SBA 26/*",$F$2:$F1365,"&lt;&gt;"),"")</f>
        <v/>
      </c>
      <c r="AB1365" s="29" t="str">
        <f>IF(AA1365=1,COUNTIF($AA$2:AA1365,1),"")</f>
        <v/>
      </c>
    </row>
    <row r="1366" spans="6:28" ht="31.5" customHeight="1" x14ac:dyDescent="0.2">
      <c r="F1366" s="45" t="s">
        <v>4042</v>
      </c>
      <c r="T1366" s="41"/>
      <c r="U1366" s="29" t="str">
        <f>IF($C1366&lt;&gt;"",COUNTIF($C$2:C1366,C1366),"")</f>
        <v/>
      </c>
      <c r="V1366" s="29" t="str">
        <f t="shared" si="74"/>
        <v/>
      </c>
      <c r="W1366" s="29" t="str">
        <f>IF(U1366=1,COUNTIF($U$2:U1366,1),"")</f>
        <v/>
      </c>
      <c r="X1366" s="29" t="str">
        <f t="shared" si="73"/>
        <v/>
      </c>
      <c r="Y1366" s="29" t="str">
        <f>IF(AND(LEFT($B1366,7)="SBA 26/",$D1366&lt;&gt;"",$F1366&lt;&gt;""),COUNTIFS($D$2:$D1366,$D1366,$B$2:$B1366,"SBA 26/*",$F$2:$F1366,"&lt;&gt;"),"")</f>
        <v/>
      </c>
      <c r="Z1366" s="29" t="str">
        <f>IF(Y1366=1,COUNTIF($Y$2:Y1366,1),"")</f>
        <v/>
      </c>
      <c r="AA1366" s="29" t="str">
        <f>IF(AND(LEFT($B1366,7)="SBA 26/",$C1366&lt;&gt;"",$F1366&lt;&gt;""),COUNTIFS($C$2:$C1366,$C1366,$B$2:$B1366,"SBA 26/*",$F$2:$F1366,"&lt;&gt;"),"")</f>
        <v/>
      </c>
      <c r="AB1366" s="29" t="str">
        <f>IF(AA1366=1,COUNTIF($AA$2:AA1366,1),"")</f>
        <v/>
      </c>
    </row>
    <row r="1367" spans="6:28" ht="31.5" customHeight="1" x14ac:dyDescent="0.2">
      <c r="F1367" s="45" t="s">
        <v>4043</v>
      </c>
      <c r="T1367" s="41"/>
      <c r="U1367" s="29" t="str">
        <f>IF($C1367&lt;&gt;"",COUNTIF($C$2:C1367,C1367),"")</f>
        <v/>
      </c>
      <c r="V1367" s="29" t="str">
        <f t="shared" si="74"/>
        <v/>
      </c>
      <c r="W1367" s="29" t="str">
        <f>IF(U1367=1,COUNTIF($U$2:U1367,1),"")</f>
        <v/>
      </c>
      <c r="X1367" s="29" t="str">
        <f t="shared" si="73"/>
        <v/>
      </c>
      <c r="Y1367" s="29" t="str">
        <f>IF(AND(LEFT($B1367,7)="SBA 26/",$D1367&lt;&gt;"",$F1367&lt;&gt;""),COUNTIFS($D$2:$D1367,$D1367,$B$2:$B1367,"SBA 26/*",$F$2:$F1367,"&lt;&gt;"),"")</f>
        <v/>
      </c>
      <c r="Z1367" s="29" t="str">
        <f>IF(Y1367=1,COUNTIF($Y$2:Y1367,1),"")</f>
        <v/>
      </c>
      <c r="AA1367" s="29" t="str">
        <f>IF(AND(LEFT($B1367,7)="SBA 26/",$C1367&lt;&gt;"",$F1367&lt;&gt;""),COUNTIFS($C$2:$C1367,$C1367,$B$2:$B1367,"SBA 26/*",$F$2:$F1367,"&lt;&gt;"),"")</f>
        <v/>
      </c>
      <c r="AB1367" s="29" t="str">
        <f>IF(AA1367=1,COUNTIF($AA$2:AA1367,1),"")</f>
        <v/>
      </c>
    </row>
    <row r="1368" spans="6:28" ht="47.25" customHeight="1" x14ac:dyDescent="0.2">
      <c r="F1368" s="45" t="s">
        <v>4044</v>
      </c>
      <c r="T1368" s="41"/>
      <c r="U1368" s="29" t="str">
        <f>IF($C1368&lt;&gt;"",COUNTIF($C$2:C1368,C1368),"")</f>
        <v/>
      </c>
      <c r="V1368" s="29" t="str">
        <f t="shared" si="74"/>
        <v/>
      </c>
      <c r="W1368" s="29" t="str">
        <f>IF(U1368=1,COUNTIF($U$2:U1368,1),"")</f>
        <v/>
      </c>
      <c r="X1368" s="29" t="str">
        <f t="shared" si="73"/>
        <v/>
      </c>
      <c r="Y1368" s="29" t="str">
        <f>IF(AND(LEFT($B1368,7)="SBA 26/",$D1368&lt;&gt;"",$F1368&lt;&gt;""),COUNTIFS($D$2:$D1368,$D1368,$B$2:$B1368,"SBA 26/*",$F$2:$F1368,"&lt;&gt;"),"")</f>
        <v/>
      </c>
      <c r="Z1368" s="29" t="str">
        <f>IF(Y1368=1,COUNTIF($Y$2:Y1368,1),"")</f>
        <v/>
      </c>
      <c r="AA1368" s="29" t="str">
        <f>IF(AND(LEFT($B1368,7)="SBA 26/",$C1368&lt;&gt;"",$F1368&lt;&gt;""),COUNTIFS($C$2:$C1368,$C1368,$B$2:$B1368,"SBA 26/*",$F$2:$F1368,"&lt;&gt;"),"")</f>
        <v/>
      </c>
      <c r="AB1368" s="29" t="str">
        <f>IF(AA1368=1,COUNTIF($AA$2:AA1368,1),"")</f>
        <v/>
      </c>
    </row>
    <row r="1369" spans="6:28" ht="31.5" customHeight="1" x14ac:dyDescent="0.2">
      <c r="F1369" s="45" t="s">
        <v>4045</v>
      </c>
      <c r="T1369" s="41"/>
      <c r="U1369" s="29" t="str">
        <f>IF($C1369&lt;&gt;"",COUNTIF($C$2:C1369,C1369),"")</f>
        <v/>
      </c>
      <c r="V1369" s="29" t="str">
        <f t="shared" si="74"/>
        <v/>
      </c>
      <c r="W1369" s="29" t="str">
        <f>IF(U1369=1,COUNTIF($U$2:U1369,1),"")</f>
        <v/>
      </c>
      <c r="X1369" s="29" t="str">
        <f t="shared" si="73"/>
        <v/>
      </c>
      <c r="Y1369" s="29" t="str">
        <f>IF(AND(LEFT($B1369,7)="SBA 26/",$D1369&lt;&gt;"",$F1369&lt;&gt;""),COUNTIFS($D$2:$D1369,$D1369,$B$2:$B1369,"SBA 26/*",$F$2:$F1369,"&lt;&gt;"),"")</f>
        <v/>
      </c>
      <c r="Z1369" s="29" t="str">
        <f>IF(Y1369=1,COUNTIF($Y$2:Y1369,1),"")</f>
        <v/>
      </c>
      <c r="AA1369" s="29" t="str">
        <f>IF(AND(LEFT($B1369,7)="SBA 26/",$C1369&lt;&gt;"",$F1369&lt;&gt;""),COUNTIFS($C$2:$C1369,$C1369,$B$2:$B1369,"SBA 26/*",$F$2:$F1369,"&lt;&gt;"),"")</f>
        <v/>
      </c>
      <c r="AB1369" s="29" t="str">
        <f>IF(AA1369=1,COUNTIF($AA$2:AA1369,1),"")</f>
        <v/>
      </c>
    </row>
    <row r="1370" spans="6:28" ht="31.5" customHeight="1" x14ac:dyDescent="0.2">
      <c r="F1370" s="45" t="s">
        <v>4046</v>
      </c>
      <c r="T1370" s="41"/>
      <c r="U1370" s="29" t="str">
        <f>IF($C1370&lt;&gt;"",COUNTIF($C$2:C1370,C1370),"")</f>
        <v/>
      </c>
      <c r="V1370" s="29" t="str">
        <f t="shared" si="74"/>
        <v/>
      </c>
      <c r="W1370" s="29" t="str">
        <f>IF(U1370=1,COUNTIF($U$2:U1370,1),"")</f>
        <v/>
      </c>
      <c r="X1370" s="29" t="str">
        <f t="shared" si="73"/>
        <v/>
      </c>
      <c r="Y1370" s="29" t="str">
        <f>IF(AND(LEFT($B1370,7)="SBA 26/",$D1370&lt;&gt;"",$F1370&lt;&gt;""),COUNTIFS($D$2:$D1370,$D1370,$B$2:$B1370,"SBA 26/*",$F$2:$F1370,"&lt;&gt;"),"")</f>
        <v/>
      </c>
      <c r="Z1370" s="29" t="str">
        <f>IF(Y1370=1,COUNTIF($Y$2:Y1370,1),"")</f>
        <v/>
      </c>
      <c r="AA1370" s="29" t="str">
        <f>IF(AND(LEFT($B1370,7)="SBA 26/",$C1370&lt;&gt;"",$F1370&lt;&gt;""),COUNTIFS($C$2:$C1370,$C1370,$B$2:$B1370,"SBA 26/*",$F$2:$F1370,"&lt;&gt;"),"")</f>
        <v/>
      </c>
      <c r="AB1370" s="29" t="str">
        <f>IF(AA1370=1,COUNTIF($AA$2:AA1370,1),"")</f>
        <v/>
      </c>
    </row>
    <row r="1371" spans="6:28" ht="78.75" customHeight="1" x14ac:dyDescent="0.2">
      <c r="F1371" s="45" t="s">
        <v>4047</v>
      </c>
      <c r="T1371" s="41"/>
      <c r="U1371" s="29" t="str">
        <f>IF($C1371&lt;&gt;"",COUNTIF($C$2:C1371,C1371),"")</f>
        <v/>
      </c>
      <c r="V1371" s="29" t="str">
        <f t="shared" si="74"/>
        <v/>
      </c>
      <c r="W1371" s="29" t="str">
        <f>IF(U1371=1,COUNTIF($U$2:U1371,1),"")</f>
        <v/>
      </c>
      <c r="X1371" s="29" t="str">
        <f t="shared" si="73"/>
        <v/>
      </c>
      <c r="Y1371" s="29" t="str">
        <f>IF(AND(LEFT($B1371,7)="SBA 26/",$D1371&lt;&gt;"",$F1371&lt;&gt;""),COUNTIFS($D$2:$D1371,$D1371,$B$2:$B1371,"SBA 26/*",$F$2:$F1371,"&lt;&gt;"),"")</f>
        <v/>
      </c>
      <c r="Z1371" s="29" t="str">
        <f>IF(Y1371=1,COUNTIF($Y$2:Y1371,1),"")</f>
        <v/>
      </c>
      <c r="AA1371" s="29" t="str">
        <f>IF(AND(LEFT($B1371,7)="SBA 26/",$C1371&lt;&gt;"",$F1371&lt;&gt;""),COUNTIFS($C$2:$C1371,$C1371,$B$2:$B1371,"SBA 26/*",$F$2:$F1371,"&lt;&gt;"),"")</f>
        <v/>
      </c>
      <c r="AB1371" s="29" t="str">
        <f>IF(AA1371=1,COUNTIF($AA$2:AA1371,1),"")</f>
        <v/>
      </c>
    </row>
    <row r="1372" spans="6:28" ht="47.25" customHeight="1" x14ac:dyDescent="0.2">
      <c r="F1372" s="45" t="s">
        <v>4048</v>
      </c>
      <c r="T1372" s="41"/>
      <c r="U1372" s="29" t="str">
        <f>IF($C1372&lt;&gt;"",COUNTIF($C$2:C1372,C1372),"")</f>
        <v/>
      </c>
      <c r="V1372" s="29" t="str">
        <f t="shared" si="74"/>
        <v/>
      </c>
      <c r="W1372" s="29" t="str">
        <f>IF(U1372=1,COUNTIF($U$2:U1372,1),"")</f>
        <v/>
      </c>
      <c r="X1372" s="29" t="str">
        <f t="shared" si="73"/>
        <v/>
      </c>
      <c r="Y1372" s="29" t="str">
        <f>IF(AND(LEFT($B1372,7)="SBA 26/",$D1372&lt;&gt;"",$F1372&lt;&gt;""),COUNTIFS($D$2:$D1372,$D1372,$B$2:$B1372,"SBA 26/*",$F$2:$F1372,"&lt;&gt;"),"")</f>
        <v/>
      </c>
      <c r="Z1372" s="29" t="str">
        <f>IF(Y1372=1,COUNTIF($Y$2:Y1372,1),"")</f>
        <v/>
      </c>
      <c r="AA1372" s="29" t="str">
        <f>IF(AND(LEFT($B1372,7)="SBA 26/",$C1372&lt;&gt;"",$F1372&lt;&gt;""),COUNTIFS($C$2:$C1372,$C1372,$B$2:$B1372,"SBA 26/*",$F$2:$F1372,"&lt;&gt;"),"")</f>
        <v/>
      </c>
      <c r="AB1372" s="29" t="str">
        <f>IF(AA1372=1,COUNTIF($AA$2:AA1372,1),"")</f>
        <v/>
      </c>
    </row>
    <row r="1373" spans="6:28" ht="47.25" customHeight="1" x14ac:dyDescent="0.2">
      <c r="F1373" s="45" t="s">
        <v>4049</v>
      </c>
      <c r="T1373" s="41"/>
      <c r="U1373" s="29" t="str">
        <f>IF($C1373&lt;&gt;"",COUNTIF($C$2:C1373,C1373),"")</f>
        <v/>
      </c>
      <c r="V1373" s="29" t="str">
        <f t="shared" si="74"/>
        <v/>
      </c>
      <c r="W1373" s="29" t="str">
        <f>IF(U1373=1,COUNTIF($U$2:U1373,1),"")</f>
        <v/>
      </c>
      <c r="X1373" s="29" t="str">
        <f t="shared" si="73"/>
        <v/>
      </c>
      <c r="Y1373" s="29" t="str">
        <f>IF(AND(LEFT($B1373,7)="SBA 26/",$D1373&lt;&gt;"",$F1373&lt;&gt;""),COUNTIFS($D$2:$D1373,$D1373,$B$2:$B1373,"SBA 26/*",$F$2:$F1373,"&lt;&gt;"),"")</f>
        <v/>
      </c>
      <c r="Z1373" s="29" t="str">
        <f>IF(Y1373=1,COUNTIF($Y$2:Y1373,1),"")</f>
        <v/>
      </c>
      <c r="AA1373" s="29" t="str">
        <f>IF(AND(LEFT($B1373,7)="SBA 26/",$C1373&lt;&gt;"",$F1373&lt;&gt;""),COUNTIFS($C$2:$C1373,$C1373,$B$2:$B1373,"SBA 26/*",$F$2:$F1373,"&lt;&gt;"),"")</f>
        <v/>
      </c>
      <c r="AB1373" s="29" t="str">
        <f>IF(AA1373=1,COUNTIF($AA$2:AA1373,1),"")</f>
        <v/>
      </c>
    </row>
    <row r="1374" spans="6:28" ht="31.5" customHeight="1" x14ac:dyDescent="0.2">
      <c r="F1374" s="45" t="s">
        <v>4050</v>
      </c>
      <c r="T1374" s="41"/>
      <c r="U1374" s="29" t="str">
        <f>IF($C1374&lt;&gt;"",COUNTIF($C$2:C1374,C1374),"")</f>
        <v/>
      </c>
      <c r="V1374" s="29" t="str">
        <f t="shared" si="74"/>
        <v/>
      </c>
      <c r="W1374" s="29" t="str">
        <f>IF(U1374=1,COUNTIF($U$2:U1374,1),"")</f>
        <v/>
      </c>
      <c r="X1374" s="29" t="str">
        <f t="shared" si="73"/>
        <v/>
      </c>
      <c r="Y1374" s="29" t="str">
        <f>IF(AND(LEFT($B1374,7)="SBA 26/",$D1374&lt;&gt;"",$F1374&lt;&gt;""),COUNTIFS($D$2:$D1374,$D1374,$B$2:$B1374,"SBA 26/*",$F$2:$F1374,"&lt;&gt;"),"")</f>
        <v/>
      </c>
      <c r="Z1374" s="29" t="str">
        <f>IF(Y1374=1,COUNTIF($Y$2:Y1374,1),"")</f>
        <v/>
      </c>
      <c r="AA1374" s="29" t="str">
        <f>IF(AND(LEFT($B1374,7)="SBA 26/",$C1374&lt;&gt;"",$F1374&lt;&gt;""),COUNTIFS($C$2:$C1374,$C1374,$B$2:$B1374,"SBA 26/*",$F$2:$F1374,"&lt;&gt;"),"")</f>
        <v/>
      </c>
      <c r="AB1374" s="29" t="str">
        <f>IF(AA1374=1,COUNTIF($AA$2:AA1374,1),"")</f>
        <v/>
      </c>
    </row>
    <row r="1375" spans="6:28" ht="63" customHeight="1" x14ac:dyDescent="0.2">
      <c r="F1375" s="45" t="s">
        <v>4051</v>
      </c>
      <c r="T1375" s="41"/>
      <c r="U1375" s="29" t="str">
        <f>IF($C1375&lt;&gt;"",COUNTIF($C$2:C1375,C1375),"")</f>
        <v/>
      </c>
      <c r="V1375" s="29" t="str">
        <f t="shared" si="74"/>
        <v/>
      </c>
      <c r="W1375" s="29" t="str">
        <f>IF(U1375=1,COUNTIF($U$2:U1375,1),"")</f>
        <v/>
      </c>
      <c r="X1375" s="29" t="str">
        <f t="shared" si="73"/>
        <v/>
      </c>
      <c r="Y1375" s="29" t="str">
        <f>IF(AND(LEFT($B1375,7)="SBA 26/",$D1375&lt;&gt;"",$F1375&lt;&gt;""),COUNTIFS($D$2:$D1375,$D1375,$B$2:$B1375,"SBA 26/*",$F$2:$F1375,"&lt;&gt;"),"")</f>
        <v/>
      </c>
      <c r="Z1375" s="29" t="str">
        <f>IF(Y1375=1,COUNTIF($Y$2:Y1375,1),"")</f>
        <v/>
      </c>
      <c r="AA1375" s="29" t="str">
        <f>IF(AND(LEFT($B1375,7)="SBA 26/",$C1375&lt;&gt;"",$F1375&lt;&gt;""),COUNTIFS($C$2:$C1375,$C1375,$B$2:$B1375,"SBA 26/*",$F$2:$F1375,"&lt;&gt;"),"")</f>
        <v/>
      </c>
      <c r="AB1375" s="29" t="str">
        <f>IF(AA1375=1,COUNTIF($AA$2:AA1375,1),"")</f>
        <v/>
      </c>
    </row>
    <row r="1376" spans="6:28" ht="47.25" customHeight="1" x14ac:dyDescent="0.2">
      <c r="F1376" s="45" t="s">
        <v>4052</v>
      </c>
      <c r="T1376" s="41"/>
      <c r="U1376" s="29" t="str">
        <f>IF($C1376&lt;&gt;"",COUNTIF($C$2:C1376,C1376),"")</f>
        <v/>
      </c>
      <c r="V1376" s="29" t="str">
        <f t="shared" si="74"/>
        <v/>
      </c>
      <c r="W1376" s="29" t="str">
        <f>IF(U1376=1,COUNTIF($U$2:U1376,1),"")</f>
        <v/>
      </c>
      <c r="X1376" s="29" t="str">
        <f t="shared" si="73"/>
        <v/>
      </c>
      <c r="Y1376" s="29" t="str">
        <f>IF(AND(LEFT($B1376,7)="SBA 26/",$D1376&lt;&gt;"",$F1376&lt;&gt;""),COUNTIFS($D$2:$D1376,$D1376,$B$2:$B1376,"SBA 26/*",$F$2:$F1376,"&lt;&gt;"),"")</f>
        <v/>
      </c>
      <c r="Z1376" s="29" t="str">
        <f>IF(Y1376=1,COUNTIF($Y$2:Y1376,1),"")</f>
        <v/>
      </c>
      <c r="AA1376" s="29" t="str">
        <f>IF(AND(LEFT($B1376,7)="SBA 26/",$C1376&lt;&gt;"",$F1376&lt;&gt;""),COUNTIFS($C$2:$C1376,$C1376,$B$2:$B1376,"SBA 26/*",$F$2:$F1376,"&lt;&gt;"),"")</f>
        <v/>
      </c>
      <c r="AB1376" s="29" t="str">
        <f>IF(AA1376=1,COUNTIF($AA$2:AA1376,1),"")</f>
        <v/>
      </c>
    </row>
    <row r="1377" spans="6:28" ht="47.25" customHeight="1" x14ac:dyDescent="0.2">
      <c r="F1377" s="45" t="s">
        <v>4053</v>
      </c>
      <c r="T1377" s="41"/>
      <c r="U1377" s="29" t="str">
        <f>IF($C1377&lt;&gt;"",COUNTIF($C$2:C1377,C1377),"")</f>
        <v/>
      </c>
      <c r="V1377" s="29" t="str">
        <f t="shared" si="74"/>
        <v/>
      </c>
      <c r="W1377" s="29" t="str">
        <f>IF(U1377=1,COUNTIF($U$2:U1377,1),"")</f>
        <v/>
      </c>
      <c r="X1377" s="29" t="str">
        <f t="shared" si="73"/>
        <v/>
      </c>
      <c r="Y1377" s="29" t="str">
        <f>IF(AND(LEFT($B1377,7)="SBA 26/",$D1377&lt;&gt;"",$F1377&lt;&gt;""),COUNTIFS($D$2:$D1377,$D1377,$B$2:$B1377,"SBA 26/*",$F$2:$F1377,"&lt;&gt;"),"")</f>
        <v/>
      </c>
      <c r="Z1377" s="29" t="str">
        <f>IF(Y1377=1,COUNTIF($Y$2:Y1377,1),"")</f>
        <v/>
      </c>
      <c r="AA1377" s="29" t="str">
        <f>IF(AND(LEFT($B1377,7)="SBA 26/",$C1377&lt;&gt;"",$F1377&lt;&gt;""),COUNTIFS($C$2:$C1377,$C1377,$B$2:$B1377,"SBA 26/*",$F$2:$F1377,"&lt;&gt;"),"")</f>
        <v/>
      </c>
      <c r="AB1377" s="29" t="str">
        <f>IF(AA1377=1,COUNTIF($AA$2:AA1377,1),"")</f>
        <v/>
      </c>
    </row>
    <row r="1378" spans="6:28" ht="47.25" customHeight="1" x14ac:dyDescent="0.2">
      <c r="F1378" s="45" t="s">
        <v>4054</v>
      </c>
      <c r="T1378" s="41"/>
      <c r="U1378" s="29" t="str">
        <f>IF($C1378&lt;&gt;"",COUNTIF($C$2:C1378,C1378),"")</f>
        <v/>
      </c>
      <c r="V1378" s="29" t="str">
        <f t="shared" si="74"/>
        <v/>
      </c>
      <c r="W1378" s="29" t="str">
        <f>IF(U1378=1,COUNTIF($U$2:U1378,1),"")</f>
        <v/>
      </c>
      <c r="X1378" s="29" t="str">
        <f t="shared" si="73"/>
        <v/>
      </c>
      <c r="Y1378" s="29" t="str">
        <f>IF(AND(LEFT($B1378,7)="SBA 26/",$D1378&lt;&gt;"",$F1378&lt;&gt;""),COUNTIFS($D$2:$D1378,$D1378,$B$2:$B1378,"SBA 26/*",$F$2:$F1378,"&lt;&gt;"),"")</f>
        <v/>
      </c>
      <c r="Z1378" s="29" t="str">
        <f>IF(Y1378=1,COUNTIF($Y$2:Y1378,1),"")</f>
        <v/>
      </c>
      <c r="AA1378" s="29" t="str">
        <f>IF(AND(LEFT($B1378,7)="SBA 26/",$C1378&lt;&gt;"",$F1378&lt;&gt;""),COUNTIFS($C$2:$C1378,$C1378,$B$2:$B1378,"SBA 26/*",$F$2:$F1378,"&lt;&gt;"),"")</f>
        <v/>
      </c>
      <c r="AB1378" s="29" t="str">
        <f>IF(AA1378=1,COUNTIF($AA$2:AA1378,1),"")</f>
        <v/>
      </c>
    </row>
    <row r="1379" spans="6:28" ht="31.5" customHeight="1" x14ac:dyDescent="0.2">
      <c r="F1379" s="45" t="s">
        <v>4055</v>
      </c>
      <c r="T1379" s="41"/>
      <c r="U1379" s="29" t="str">
        <f>IF($C1379&lt;&gt;"",COUNTIF($C$2:C1379,C1379),"")</f>
        <v/>
      </c>
      <c r="V1379" s="29" t="str">
        <f t="shared" si="74"/>
        <v/>
      </c>
      <c r="W1379" s="29" t="str">
        <f>IF(U1379=1,COUNTIF($U$2:U1379,1),"")</f>
        <v/>
      </c>
      <c r="X1379" s="29" t="str">
        <f t="shared" si="73"/>
        <v/>
      </c>
      <c r="Y1379" s="29" t="str">
        <f>IF(AND(LEFT($B1379,7)="SBA 26/",$D1379&lt;&gt;"",$F1379&lt;&gt;""),COUNTIFS($D$2:$D1379,$D1379,$B$2:$B1379,"SBA 26/*",$F$2:$F1379,"&lt;&gt;"),"")</f>
        <v/>
      </c>
      <c r="Z1379" s="29" t="str">
        <f>IF(Y1379=1,COUNTIF($Y$2:Y1379,1),"")</f>
        <v/>
      </c>
      <c r="AA1379" s="29" t="str">
        <f>IF(AND(LEFT($B1379,7)="SBA 26/",$C1379&lt;&gt;"",$F1379&lt;&gt;""),COUNTIFS($C$2:$C1379,$C1379,$B$2:$B1379,"SBA 26/*",$F$2:$F1379,"&lt;&gt;"),"")</f>
        <v/>
      </c>
      <c r="AB1379" s="29" t="str">
        <f>IF(AA1379=1,COUNTIF($AA$2:AA1379,1),"")</f>
        <v/>
      </c>
    </row>
    <row r="1380" spans="6:28" ht="31.5" customHeight="1" x14ac:dyDescent="0.2">
      <c r="F1380" s="45" t="s">
        <v>4056</v>
      </c>
      <c r="T1380" s="41"/>
      <c r="U1380" s="29" t="str">
        <f>IF($C1380&lt;&gt;"",COUNTIF($C$2:C1380,C1380),"")</f>
        <v/>
      </c>
      <c r="V1380" s="29" t="str">
        <f t="shared" si="74"/>
        <v/>
      </c>
      <c r="W1380" s="29" t="str">
        <f>IF(U1380=1,COUNTIF($U$2:U1380,1),"")</f>
        <v/>
      </c>
      <c r="X1380" s="29" t="str">
        <f t="shared" si="73"/>
        <v/>
      </c>
      <c r="Y1380" s="29" t="str">
        <f>IF(AND(LEFT($B1380,7)="SBA 26/",$D1380&lt;&gt;"",$F1380&lt;&gt;""),COUNTIFS($D$2:$D1380,$D1380,$B$2:$B1380,"SBA 26/*",$F$2:$F1380,"&lt;&gt;"),"")</f>
        <v/>
      </c>
      <c r="Z1380" s="29" t="str">
        <f>IF(Y1380=1,COUNTIF($Y$2:Y1380,1),"")</f>
        <v/>
      </c>
      <c r="AA1380" s="29" t="str">
        <f>IF(AND(LEFT($B1380,7)="SBA 26/",$C1380&lt;&gt;"",$F1380&lt;&gt;""),COUNTIFS($C$2:$C1380,$C1380,$B$2:$B1380,"SBA 26/*",$F$2:$F1380,"&lt;&gt;"),"")</f>
        <v/>
      </c>
      <c r="AB1380" s="29" t="str">
        <f>IF(AA1380=1,COUNTIF($AA$2:AA1380,1),"")</f>
        <v/>
      </c>
    </row>
    <row r="1381" spans="6:28" ht="47.25" customHeight="1" x14ac:dyDescent="0.2">
      <c r="F1381" s="45" t="s">
        <v>4057</v>
      </c>
      <c r="T1381" s="41"/>
      <c r="U1381" s="29" t="str">
        <f>IF($C1381&lt;&gt;"",COUNTIF($C$2:C1381,C1381),"")</f>
        <v/>
      </c>
      <c r="V1381" s="29" t="str">
        <f t="shared" si="74"/>
        <v/>
      </c>
      <c r="W1381" s="29" t="str">
        <f>IF(U1381=1,COUNTIF($U$2:U1381,1),"")</f>
        <v/>
      </c>
      <c r="X1381" s="29" t="str">
        <f t="shared" si="73"/>
        <v/>
      </c>
      <c r="Y1381" s="29" t="str">
        <f>IF(AND(LEFT($B1381,7)="SBA 26/",$D1381&lt;&gt;"",$F1381&lt;&gt;""),COUNTIFS($D$2:$D1381,$D1381,$B$2:$B1381,"SBA 26/*",$F$2:$F1381,"&lt;&gt;"),"")</f>
        <v/>
      </c>
      <c r="Z1381" s="29" t="str">
        <f>IF(Y1381=1,COUNTIF($Y$2:Y1381,1),"")</f>
        <v/>
      </c>
      <c r="AA1381" s="29" t="str">
        <f>IF(AND(LEFT($B1381,7)="SBA 26/",$C1381&lt;&gt;"",$F1381&lt;&gt;""),COUNTIFS($C$2:$C1381,$C1381,$B$2:$B1381,"SBA 26/*",$F$2:$F1381,"&lt;&gt;"),"")</f>
        <v/>
      </c>
      <c r="AB1381" s="29" t="str">
        <f>IF(AA1381=1,COUNTIF($AA$2:AA1381,1),"")</f>
        <v/>
      </c>
    </row>
    <row r="1382" spans="6:28" ht="47.25" customHeight="1" x14ac:dyDescent="0.2">
      <c r="F1382" s="45" t="s">
        <v>4058</v>
      </c>
      <c r="T1382" s="41"/>
      <c r="U1382" s="29" t="str">
        <f>IF($C1382&lt;&gt;"",COUNTIF($C$2:C1382,C1382),"")</f>
        <v/>
      </c>
      <c r="V1382" s="29" t="str">
        <f t="shared" si="74"/>
        <v/>
      </c>
      <c r="W1382" s="29" t="str">
        <f>IF(U1382=1,COUNTIF($U$2:U1382,1),"")</f>
        <v/>
      </c>
      <c r="X1382" s="29" t="str">
        <f t="shared" si="73"/>
        <v/>
      </c>
      <c r="Y1382" s="29" t="str">
        <f>IF(AND(LEFT($B1382,7)="SBA 26/",$D1382&lt;&gt;"",$F1382&lt;&gt;""),COUNTIFS($D$2:$D1382,$D1382,$B$2:$B1382,"SBA 26/*",$F$2:$F1382,"&lt;&gt;"),"")</f>
        <v/>
      </c>
      <c r="Z1382" s="29" t="str">
        <f>IF(Y1382=1,COUNTIF($Y$2:Y1382,1),"")</f>
        <v/>
      </c>
      <c r="AA1382" s="29" t="str">
        <f>IF(AND(LEFT($B1382,7)="SBA 26/",$C1382&lt;&gt;"",$F1382&lt;&gt;""),COUNTIFS($C$2:$C1382,$C1382,$B$2:$B1382,"SBA 26/*",$F$2:$F1382,"&lt;&gt;"),"")</f>
        <v/>
      </c>
      <c r="AB1382" s="29" t="str">
        <f>IF(AA1382=1,COUNTIF($AA$2:AA1382,1),"")</f>
        <v/>
      </c>
    </row>
    <row r="1383" spans="6:28" ht="63" customHeight="1" x14ac:dyDescent="0.2">
      <c r="F1383" s="45" t="s">
        <v>4059</v>
      </c>
      <c r="T1383" s="41"/>
      <c r="U1383" s="29" t="str">
        <f>IF($C1383&lt;&gt;"",COUNTIF($C$2:C1383,C1383),"")</f>
        <v/>
      </c>
      <c r="V1383" s="29" t="str">
        <f t="shared" si="74"/>
        <v/>
      </c>
      <c r="W1383" s="29" t="str">
        <f>IF(U1383=1,COUNTIF($U$2:U1383,1),"")</f>
        <v/>
      </c>
      <c r="X1383" s="29" t="str">
        <f t="shared" si="73"/>
        <v/>
      </c>
      <c r="Y1383" s="29" t="str">
        <f>IF(AND(LEFT($B1383,7)="SBA 26/",$D1383&lt;&gt;"",$F1383&lt;&gt;""),COUNTIFS($D$2:$D1383,$D1383,$B$2:$B1383,"SBA 26/*",$F$2:$F1383,"&lt;&gt;"),"")</f>
        <v/>
      </c>
      <c r="Z1383" s="29" t="str">
        <f>IF(Y1383=1,COUNTIF($Y$2:Y1383,1),"")</f>
        <v/>
      </c>
      <c r="AA1383" s="29" t="str">
        <f>IF(AND(LEFT($B1383,7)="SBA 26/",$C1383&lt;&gt;"",$F1383&lt;&gt;""),COUNTIFS($C$2:$C1383,$C1383,$B$2:$B1383,"SBA 26/*",$F$2:$F1383,"&lt;&gt;"),"")</f>
        <v/>
      </c>
      <c r="AB1383" s="29" t="str">
        <f>IF(AA1383=1,COUNTIF($AA$2:AA1383,1),"")</f>
        <v/>
      </c>
    </row>
    <row r="1384" spans="6:28" ht="47.25" customHeight="1" x14ac:dyDescent="0.2">
      <c r="F1384" s="45" t="s">
        <v>4060</v>
      </c>
      <c r="T1384" s="41"/>
      <c r="U1384" s="29" t="str">
        <f>IF($C1384&lt;&gt;"",COUNTIF($C$2:C1384,C1384),"")</f>
        <v/>
      </c>
      <c r="V1384" s="29" t="str">
        <f t="shared" si="74"/>
        <v/>
      </c>
      <c r="W1384" s="29" t="str">
        <f>IF(U1384=1,COUNTIF($U$2:U1384,1),"")</f>
        <v/>
      </c>
      <c r="X1384" s="29" t="str">
        <f t="shared" si="73"/>
        <v/>
      </c>
      <c r="Y1384" s="29" t="str">
        <f>IF(AND(LEFT($B1384,7)="SBA 26/",$D1384&lt;&gt;"",$F1384&lt;&gt;""),COUNTIFS($D$2:$D1384,$D1384,$B$2:$B1384,"SBA 26/*",$F$2:$F1384,"&lt;&gt;"),"")</f>
        <v/>
      </c>
      <c r="Z1384" s="29" t="str">
        <f>IF(Y1384=1,COUNTIF($Y$2:Y1384,1),"")</f>
        <v/>
      </c>
      <c r="AA1384" s="29" t="str">
        <f>IF(AND(LEFT($B1384,7)="SBA 26/",$C1384&lt;&gt;"",$F1384&lt;&gt;""),COUNTIFS($C$2:$C1384,$C1384,$B$2:$B1384,"SBA 26/*",$F$2:$F1384,"&lt;&gt;"),"")</f>
        <v/>
      </c>
      <c r="AB1384" s="29" t="str">
        <f>IF(AA1384=1,COUNTIF($AA$2:AA1384,1),"")</f>
        <v/>
      </c>
    </row>
    <row r="1385" spans="6:28" ht="63" customHeight="1" x14ac:dyDescent="0.2">
      <c r="F1385" s="45" t="s">
        <v>4061</v>
      </c>
      <c r="T1385" s="41"/>
      <c r="U1385" s="29" t="str">
        <f>IF($C1385&lt;&gt;"",COUNTIF($C$2:C1385,C1385),"")</f>
        <v/>
      </c>
      <c r="V1385" s="29" t="str">
        <f t="shared" si="74"/>
        <v/>
      </c>
      <c r="W1385" s="29" t="str">
        <f>IF(U1385=1,COUNTIF($U$2:U1385,1),"")</f>
        <v/>
      </c>
      <c r="X1385" s="29" t="str">
        <f t="shared" si="73"/>
        <v/>
      </c>
      <c r="Y1385" s="29" t="str">
        <f>IF(AND(LEFT($B1385,7)="SBA 26/",$D1385&lt;&gt;"",$F1385&lt;&gt;""),COUNTIFS($D$2:$D1385,$D1385,$B$2:$B1385,"SBA 26/*",$F$2:$F1385,"&lt;&gt;"),"")</f>
        <v/>
      </c>
      <c r="Z1385" s="29" t="str">
        <f>IF(Y1385=1,COUNTIF($Y$2:Y1385,1),"")</f>
        <v/>
      </c>
      <c r="AA1385" s="29" t="str">
        <f>IF(AND(LEFT($B1385,7)="SBA 26/",$C1385&lt;&gt;"",$F1385&lt;&gt;""),COUNTIFS($C$2:$C1385,$C1385,$B$2:$B1385,"SBA 26/*",$F$2:$F1385,"&lt;&gt;"),"")</f>
        <v/>
      </c>
      <c r="AB1385" s="29" t="str">
        <f>IF(AA1385=1,COUNTIF($AA$2:AA1385,1),"")</f>
        <v/>
      </c>
    </row>
    <row r="1386" spans="6:28" ht="31.5" customHeight="1" x14ac:dyDescent="0.2">
      <c r="F1386" s="45" t="s">
        <v>4062</v>
      </c>
      <c r="T1386" s="41"/>
      <c r="U1386" s="29" t="str">
        <f>IF($C1386&lt;&gt;"",COUNTIF($C$2:C1386,C1386),"")</f>
        <v/>
      </c>
      <c r="V1386" s="29" t="str">
        <f t="shared" si="74"/>
        <v/>
      </c>
      <c r="W1386" s="29" t="str">
        <f>IF(U1386=1,COUNTIF($U$2:U1386,1),"")</f>
        <v/>
      </c>
      <c r="X1386" s="29" t="str">
        <f t="shared" si="73"/>
        <v/>
      </c>
      <c r="Y1386" s="29" t="str">
        <f>IF(AND(LEFT($B1386,7)="SBA 26/",$D1386&lt;&gt;"",$F1386&lt;&gt;""),COUNTIFS($D$2:$D1386,$D1386,$B$2:$B1386,"SBA 26/*",$F$2:$F1386,"&lt;&gt;"),"")</f>
        <v/>
      </c>
      <c r="Z1386" s="29" t="str">
        <f>IF(Y1386=1,COUNTIF($Y$2:Y1386,1),"")</f>
        <v/>
      </c>
      <c r="AA1386" s="29" t="str">
        <f>IF(AND(LEFT($B1386,7)="SBA 26/",$C1386&lt;&gt;"",$F1386&lt;&gt;""),COUNTIFS($C$2:$C1386,$C1386,$B$2:$B1386,"SBA 26/*",$F$2:$F1386,"&lt;&gt;"),"")</f>
        <v/>
      </c>
      <c r="AB1386" s="29" t="str">
        <f>IF(AA1386=1,COUNTIF($AA$2:AA1386,1),"")</f>
        <v/>
      </c>
    </row>
    <row r="1387" spans="6:28" ht="31.5" customHeight="1" x14ac:dyDescent="0.2">
      <c r="F1387" s="45" t="s">
        <v>4063</v>
      </c>
      <c r="T1387" s="41"/>
      <c r="U1387" s="29" t="str">
        <f>IF($C1387&lt;&gt;"",COUNTIF($C$2:C1387,C1387),"")</f>
        <v/>
      </c>
      <c r="V1387" s="29" t="str">
        <f t="shared" si="74"/>
        <v/>
      </c>
      <c r="W1387" s="29" t="str">
        <f>IF(U1387=1,COUNTIF($U$2:U1387,1),"")</f>
        <v/>
      </c>
      <c r="X1387" s="29" t="str">
        <f t="shared" si="73"/>
        <v/>
      </c>
      <c r="Y1387" s="29" t="str">
        <f>IF(AND(LEFT($B1387,7)="SBA 26/",$D1387&lt;&gt;"",$F1387&lt;&gt;""),COUNTIFS($D$2:$D1387,$D1387,$B$2:$B1387,"SBA 26/*",$F$2:$F1387,"&lt;&gt;"),"")</f>
        <v/>
      </c>
      <c r="Z1387" s="29" t="str">
        <f>IF(Y1387=1,COUNTIF($Y$2:Y1387,1),"")</f>
        <v/>
      </c>
      <c r="AA1387" s="29" t="str">
        <f>IF(AND(LEFT($B1387,7)="SBA 26/",$C1387&lt;&gt;"",$F1387&lt;&gt;""),COUNTIFS($C$2:$C1387,$C1387,$B$2:$B1387,"SBA 26/*",$F$2:$F1387,"&lt;&gt;"),"")</f>
        <v/>
      </c>
      <c r="AB1387" s="29" t="str">
        <f>IF(AA1387=1,COUNTIF($AA$2:AA1387,1),"")</f>
        <v/>
      </c>
    </row>
    <row r="1388" spans="6:28" ht="31.5" customHeight="1" x14ac:dyDescent="0.2">
      <c r="F1388" s="45" t="s">
        <v>4064</v>
      </c>
      <c r="T1388" s="41"/>
      <c r="U1388" s="29" t="str">
        <f>IF($C1388&lt;&gt;"",COUNTIF($C$2:C1388,C1388),"")</f>
        <v/>
      </c>
      <c r="V1388" s="29" t="str">
        <f t="shared" si="74"/>
        <v/>
      </c>
      <c r="W1388" s="29" t="str">
        <f>IF(U1388=1,COUNTIF($U$2:U1388,1),"")</f>
        <v/>
      </c>
      <c r="X1388" s="29" t="str">
        <f t="shared" si="73"/>
        <v/>
      </c>
      <c r="Y1388" s="29" t="str">
        <f>IF(AND(LEFT($B1388,7)="SBA 26/",$D1388&lt;&gt;"",$F1388&lt;&gt;""),COUNTIFS($D$2:$D1388,$D1388,$B$2:$B1388,"SBA 26/*",$F$2:$F1388,"&lt;&gt;"),"")</f>
        <v/>
      </c>
      <c r="Z1388" s="29" t="str">
        <f>IF(Y1388=1,COUNTIF($Y$2:Y1388,1),"")</f>
        <v/>
      </c>
      <c r="AA1388" s="29" t="str">
        <f>IF(AND(LEFT($B1388,7)="SBA 26/",$C1388&lt;&gt;"",$F1388&lt;&gt;""),COUNTIFS($C$2:$C1388,$C1388,$B$2:$B1388,"SBA 26/*",$F$2:$F1388,"&lt;&gt;"),"")</f>
        <v/>
      </c>
      <c r="AB1388" s="29" t="str">
        <f>IF(AA1388=1,COUNTIF($AA$2:AA1388,1),"")</f>
        <v/>
      </c>
    </row>
    <row r="1389" spans="6:28" ht="63" customHeight="1" x14ac:dyDescent="0.2">
      <c r="F1389" s="45" t="s">
        <v>4065</v>
      </c>
      <c r="T1389" s="41"/>
      <c r="U1389" s="29" t="str">
        <f>IF($C1389&lt;&gt;"",COUNTIF($C$2:C1389,C1389),"")</f>
        <v/>
      </c>
      <c r="V1389" s="29" t="str">
        <f t="shared" si="74"/>
        <v/>
      </c>
      <c r="W1389" s="29" t="str">
        <f>IF(U1389=1,COUNTIF($U$2:U1389,1),"")</f>
        <v/>
      </c>
      <c r="X1389" s="29" t="str">
        <f t="shared" ref="X1389:X1452" si="75">IF(U1389=1,SUMPRODUCT(($U$2:$U$1833=1)*($C$2:$C$1833&lt;C1389))+1,"")</f>
        <v/>
      </c>
      <c r="Y1389" s="29" t="str">
        <f>IF(AND(LEFT($B1389,7)="SBA 26/",$D1389&lt;&gt;"",$F1389&lt;&gt;""),COUNTIFS($D$2:$D1389,$D1389,$B$2:$B1389,"SBA 26/*",$F$2:$F1389,"&lt;&gt;"),"")</f>
        <v/>
      </c>
      <c r="Z1389" s="29" t="str">
        <f>IF(Y1389=1,COUNTIF($Y$2:Y1389,1),"")</f>
        <v/>
      </c>
      <c r="AA1389" s="29" t="str">
        <f>IF(AND(LEFT($B1389,7)="SBA 26/",$C1389&lt;&gt;"",$F1389&lt;&gt;""),COUNTIFS($C$2:$C1389,$C1389,$B$2:$B1389,"SBA 26/*",$F$2:$F1389,"&lt;&gt;"),"")</f>
        <v/>
      </c>
      <c r="AB1389" s="29" t="str">
        <f>IF(AA1389=1,COUNTIF($AA$2:AA1389,1),"")</f>
        <v/>
      </c>
    </row>
    <row r="1390" spans="6:28" ht="31.5" customHeight="1" x14ac:dyDescent="0.2">
      <c r="F1390" s="45" t="s">
        <v>4066</v>
      </c>
      <c r="T1390" s="41"/>
      <c r="U1390" s="29" t="str">
        <f>IF($C1390&lt;&gt;"",COUNTIF($C$2:C1390,C1390),"")</f>
        <v/>
      </c>
      <c r="V1390" s="29" t="str">
        <f t="shared" si="74"/>
        <v/>
      </c>
      <c r="W1390" s="29" t="str">
        <f>IF(U1390=1,COUNTIF($U$2:U1390,1),"")</f>
        <v/>
      </c>
      <c r="X1390" s="29" t="str">
        <f t="shared" si="75"/>
        <v/>
      </c>
      <c r="Y1390" s="29" t="str">
        <f>IF(AND(LEFT($B1390,7)="SBA 26/",$D1390&lt;&gt;"",$F1390&lt;&gt;""),COUNTIFS($D$2:$D1390,$D1390,$B$2:$B1390,"SBA 26/*",$F$2:$F1390,"&lt;&gt;"),"")</f>
        <v/>
      </c>
      <c r="Z1390" s="29" t="str">
        <f>IF(Y1390=1,COUNTIF($Y$2:Y1390,1),"")</f>
        <v/>
      </c>
      <c r="AA1390" s="29" t="str">
        <f>IF(AND(LEFT($B1390,7)="SBA 26/",$C1390&lt;&gt;"",$F1390&lt;&gt;""),COUNTIFS($C$2:$C1390,$C1390,$B$2:$B1390,"SBA 26/*",$F$2:$F1390,"&lt;&gt;"),"")</f>
        <v/>
      </c>
      <c r="AB1390" s="29" t="str">
        <f>IF(AA1390=1,COUNTIF($AA$2:AA1390,1),"")</f>
        <v/>
      </c>
    </row>
    <row r="1391" spans="6:28" ht="63" customHeight="1" x14ac:dyDescent="0.2">
      <c r="F1391" s="45" t="s">
        <v>4067</v>
      </c>
      <c r="T1391" s="41"/>
      <c r="U1391" s="29" t="str">
        <f>IF($C1391&lt;&gt;"",COUNTIF($C$2:C1391,C1391),"")</f>
        <v/>
      </c>
      <c r="V1391" s="29" t="str">
        <f t="shared" si="74"/>
        <v/>
      </c>
      <c r="W1391" s="29" t="str">
        <f>IF(U1391=1,COUNTIF($U$2:U1391,1),"")</f>
        <v/>
      </c>
      <c r="X1391" s="29" t="str">
        <f t="shared" si="75"/>
        <v/>
      </c>
      <c r="Y1391" s="29" t="str">
        <f>IF(AND(LEFT($B1391,7)="SBA 26/",$D1391&lt;&gt;"",$F1391&lt;&gt;""),COUNTIFS($D$2:$D1391,$D1391,$B$2:$B1391,"SBA 26/*",$F$2:$F1391,"&lt;&gt;"),"")</f>
        <v/>
      </c>
      <c r="Z1391" s="29" t="str">
        <f>IF(Y1391=1,COUNTIF($Y$2:Y1391,1),"")</f>
        <v/>
      </c>
      <c r="AA1391" s="29" t="str">
        <f>IF(AND(LEFT($B1391,7)="SBA 26/",$C1391&lt;&gt;"",$F1391&lt;&gt;""),COUNTIFS($C$2:$C1391,$C1391,$B$2:$B1391,"SBA 26/*",$F$2:$F1391,"&lt;&gt;"),"")</f>
        <v/>
      </c>
      <c r="AB1391" s="29" t="str">
        <f>IF(AA1391=1,COUNTIF($AA$2:AA1391,1),"")</f>
        <v/>
      </c>
    </row>
    <row r="1392" spans="6:28" ht="47.25" customHeight="1" x14ac:dyDescent="0.2">
      <c r="F1392" s="45" t="s">
        <v>4068</v>
      </c>
      <c r="T1392" s="41"/>
      <c r="U1392" s="29" t="str">
        <f>IF($C1392&lt;&gt;"",COUNTIF($C$2:C1392,C1392),"")</f>
        <v/>
      </c>
      <c r="V1392" s="29" t="str">
        <f t="shared" si="74"/>
        <v/>
      </c>
      <c r="W1392" s="29" t="str">
        <f>IF(U1392=1,COUNTIF($U$2:U1392,1),"")</f>
        <v/>
      </c>
      <c r="X1392" s="29" t="str">
        <f t="shared" si="75"/>
        <v/>
      </c>
      <c r="Y1392" s="29" t="str">
        <f>IF(AND(LEFT($B1392,7)="SBA 26/",$D1392&lt;&gt;"",$F1392&lt;&gt;""),COUNTIFS($D$2:$D1392,$D1392,$B$2:$B1392,"SBA 26/*",$F$2:$F1392,"&lt;&gt;"),"")</f>
        <v/>
      </c>
      <c r="Z1392" s="29" t="str">
        <f>IF(Y1392=1,COUNTIF($Y$2:Y1392,1),"")</f>
        <v/>
      </c>
      <c r="AA1392" s="29" t="str">
        <f>IF(AND(LEFT($B1392,7)="SBA 26/",$C1392&lt;&gt;"",$F1392&lt;&gt;""),COUNTIFS($C$2:$C1392,$C1392,$B$2:$B1392,"SBA 26/*",$F$2:$F1392,"&lt;&gt;"),"")</f>
        <v/>
      </c>
      <c r="AB1392" s="29" t="str">
        <f>IF(AA1392=1,COUNTIF($AA$2:AA1392,1),"")</f>
        <v/>
      </c>
    </row>
    <row r="1393" spans="6:28" ht="47.25" customHeight="1" x14ac:dyDescent="0.2">
      <c r="F1393" s="45" t="s">
        <v>4069</v>
      </c>
      <c r="T1393" s="41"/>
      <c r="U1393" s="29" t="str">
        <f>IF($C1393&lt;&gt;"",COUNTIF($C$2:C1393,C1393),"")</f>
        <v/>
      </c>
      <c r="V1393" s="29" t="str">
        <f t="shared" si="74"/>
        <v/>
      </c>
      <c r="W1393" s="29" t="str">
        <f>IF(U1393=1,COUNTIF($U$2:U1393,1),"")</f>
        <v/>
      </c>
      <c r="X1393" s="29" t="str">
        <f t="shared" si="75"/>
        <v/>
      </c>
      <c r="Y1393" s="29" t="str">
        <f>IF(AND(LEFT($B1393,7)="SBA 26/",$D1393&lt;&gt;"",$F1393&lt;&gt;""),COUNTIFS($D$2:$D1393,$D1393,$B$2:$B1393,"SBA 26/*",$F$2:$F1393,"&lt;&gt;"),"")</f>
        <v/>
      </c>
      <c r="Z1393" s="29" t="str">
        <f>IF(Y1393=1,COUNTIF($Y$2:Y1393,1),"")</f>
        <v/>
      </c>
      <c r="AA1393" s="29" t="str">
        <f>IF(AND(LEFT($B1393,7)="SBA 26/",$C1393&lt;&gt;"",$F1393&lt;&gt;""),COUNTIFS($C$2:$C1393,$C1393,$B$2:$B1393,"SBA 26/*",$F$2:$F1393,"&lt;&gt;"),"")</f>
        <v/>
      </c>
      <c r="AB1393" s="29" t="str">
        <f>IF(AA1393=1,COUNTIF($AA$2:AA1393,1),"")</f>
        <v/>
      </c>
    </row>
    <row r="1394" spans="6:28" ht="47.25" customHeight="1" x14ac:dyDescent="0.2">
      <c r="F1394" s="45" t="s">
        <v>4070</v>
      </c>
      <c r="T1394" s="41"/>
      <c r="U1394" s="29" t="str">
        <f>IF($C1394&lt;&gt;"",COUNTIF($C$2:C1394,C1394),"")</f>
        <v/>
      </c>
      <c r="V1394" s="29" t="str">
        <f t="shared" si="74"/>
        <v/>
      </c>
      <c r="W1394" s="29" t="str">
        <f>IF(U1394=1,COUNTIF($U$2:U1394,1),"")</f>
        <v/>
      </c>
      <c r="X1394" s="29" t="str">
        <f t="shared" si="75"/>
        <v/>
      </c>
      <c r="Y1394" s="29" t="str">
        <f>IF(AND(LEFT($B1394,7)="SBA 26/",$D1394&lt;&gt;"",$F1394&lt;&gt;""),COUNTIFS($D$2:$D1394,$D1394,$B$2:$B1394,"SBA 26/*",$F$2:$F1394,"&lt;&gt;"),"")</f>
        <v/>
      </c>
      <c r="Z1394" s="29" t="str">
        <f>IF(Y1394=1,COUNTIF($Y$2:Y1394,1),"")</f>
        <v/>
      </c>
      <c r="AA1394" s="29" t="str">
        <f>IF(AND(LEFT($B1394,7)="SBA 26/",$C1394&lt;&gt;"",$F1394&lt;&gt;""),COUNTIFS($C$2:$C1394,$C1394,$B$2:$B1394,"SBA 26/*",$F$2:$F1394,"&lt;&gt;"),"")</f>
        <v/>
      </c>
      <c r="AB1394" s="29" t="str">
        <f>IF(AA1394=1,COUNTIF($AA$2:AA1394,1),"")</f>
        <v/>
      </c>
    </row>
    <row r="1395" spans="6:28" ht="47.25" customHeight="1" x14ac:dyDescent="0.2">
      <c r="F1395" s="45" t="s">
        <v>4071</v>
      </c>
      <c r="T1395" s="41"/>
      <c r="U1395" s="29" t="str">
        <f>IF($C1395&lt;&gt;"",COUNTIF($C$2:C1395,C1395),"")</f>
        <v/>
      </c>
      <c r="V1395" s="29" t="str">
        <f t="shared" si="74"/>
        <v/>
      </c>
      <c r="W1395" s="29" t="str">
        <f>IF(U1395=1,COUNTIF($U$2:U1395,1),"")</f>
        <v/>
      </c>
      <c r="X1395" s="29" t="str">
        <f t="shared" si="75"/>
        <v/>
      </c>
      <c r="Y1395" s="29" t="str">
        <f>IF(AND(LEFT($B1395,7)="SBA 26/",$D1395&lt;&gt;"",$F1395&lt;&gt;""),COUNTIFS($D$2:$D1395,$D1395,$B$2:$B1395,"SBA 26/*",$F$2:$F1395,"&lt;&gt;"),"")</f>
        <v/>
      </c>
      <c r="Z1395" s="29" t="str">
        <f>IF(Y1395=1,COUNTIF($Y$2:Y1395,1),"")</f>
        <v/>
      </c>
      <c r="AA1395" s="29" t="str">
        <f>IF(AND(LEFT($B1395,7)="SBA 26/",$C1395&lt;&gt;"",$F1395&lt;&gt;""),COUNTIFS($C$2:$C1395,$C1395,$B$2:$B1395,"SBA 26/*",$F$2:$F1395,"&lt;&gt;"),"")</f>
        <v/>
      </c>
      <c r="AB1395" s="29" t="str">
        <f>IF(AA1395=1,COUNTIF($AA$2:AA1395,1),"")</f>
        <v/>
      </c>
    </row>
    <row r="1396" spans="6:28" ht="63" customHeight="1" x14ac:dyDescent="0.2">
      <c r="F1396" s="45" t="s">
        <v>4072</v>
      </c>
      <c r="T1396" s="41"/>
      <c r="U1396" s="29" t="str">
        <f>IF($C1396&lt;&gt;"",COUNTIF($C$2:C1396,C1396),"")</f>
        <v/>
      </c>
      <c r="V1396" s="29" t="str">
        <f t="shared" si="74"/>
        <v/>
      </c>
      <c r="W1396" s="29" t="str">
        <f>IF(U1396=1,COUNTIF($U$2:U1396,1),"")</f>
        <v/>
      </c>
      <c r="X1396" s="29" t="str">
        <f t="shared" si="75"/>
        <v/>
      </c>
      <c r="Y1396" s="29" t="str">
        <f>IF(AND(LEFT($B1396,7)="SBA 26/",$D1396&lt;&gt;"",$F1396&lt;&gt;""),COUNTIFS($D$2:$D1396,$D1396,$B$2:$B1396,"SBA 26/*",$F$2:$F1396,"&lt;&gt;"),"")</f>
        <v/>
      </c>
      <c r="Z1396" s="29" t="str">
        <f>IF(Y1396=1,COUNTIF($Y$2:Y1396,1),"")</f>
        <v/>
      </c>
      <c r="AA1396" s="29" t="str">
        <f>IF(AND(LEFT($B1396,7)="SBA 26/",$C1396&lt;&gt;"",$F1396&lt;&gt;""),COUNTIFS($C$2:$C1396,$C1396,$B$2:$B1396,"SBA 26/*",$F$2:$F1396,"&lt;&gt;"),"")</f>
        <v/>
      </c>
      <c r="AB1396" s="29" t="str">
        <f>IF(AA1396=1,COUNTIF($AA$2:AA1396,1),"")</f>
        <v/>
      </c>
    </row>
    <row r="1397" spans="6:28" ht="94.5" customHeight="1" x14ac:dyDescent="0.2">
      <c r="F1397" s="45" t="s">
        <v>4073</v>
      </c>
      <c r="T1397" s="41"/>
      <c r="U1397" s="29" t="str">
        <f>IF($C1397&lt;&gt;"",COUNTIF($C$2:C1397,C1397),"")</f>
        <v/>
      </c>
      <c r="V1397" s="29" t="str">
        <f t="shared" si="74"/>
        <v/>
      </c>
      <c r="W1397" s="29" t="str">
        <f>IF(U1397=1,COUNTIF($U$2:U1397,1),"")</f>
        <v/>
      </c>
      <c r="X1397" s="29" t="str">
        <f t="shared" si="75"/>
        <v/>
      </c>
      <c r="Y1397" s="29" t="str">
        <f>IF(AND(LEFT($B1397,7)="SBA 26/",$D1397&lt;&gt;"",$F1397&lt;&gt;""),COUNTIFS($D$2:$D1397,$D1397,$B$2:$B1397,"SBA 26/*",$F$2:$F1397,"&lt;&gt;"),"")</f>
        <v/>
      </c>
      <c r="Z1397" s="29" t="str">
        <f>IF(Y1397=1,COUNTIF($Y$2:Y1397,1),"")</f>
        <v/>
      </c>
      <c r="AA1397" s="29" t="str">
        <f>IF(AND(LEFT($B1397,7)="SBA 26/",$C1397&lt;&gt;"",$F1397&lt;&gt;""),COUNTIFS($C$2:$C1397,$C1397,$B$2:$B1397,"SBA 26/*",$F$2:$F1397,"&lt;&gt;"),"")</f>
        <v/>
      </c>
      <c r="AB1397" s="29" t="str">
        <f>IF(AA1397=1,COUNTIF($AA$2:AA1397,1),"")</f>
        <v/>
      </c>
    </row>
    <row r="1398" spans="6:28" ht="47.25" customHeight="1" x14ac:dyDescent="0.2">
      <c r="F1398" s="45" t="s">
        <v>4074</v>
      </c>
      <c r="T1398" s="41"/>
      <c r="U1398" s="29" t="str">
        <f>IF($C1398&lt;&gt;"",COUNTIF($C$2:C1398,C1398),"")</f>
        <v/>
      </c>
      <c r="V1398" s="29" t="str">
        <f t="shared" si="74"/>
        <v/>
      </c>
      <c r="W1398" s="29" t="str">
        <f>IF(U1398=1,COUNTIF($U$2:U1398,1),"")</f>
        <v/>
      </c>
      <c r="X1398" s="29" t="str">
        <f t="shared" si="75"/>
        <v/>
      </c>
      <c r="Y1398" s="29" t="str">
        <f>IF(AND(LEFT($B1398,7)="SBA 26/",$D1398&lt;&gt;"",$F1398&lt;&gt;""),COUNTIFS($D$2:$D1398,$D1398,$B$2:$B1398,"SBA 26/*",$F$2:$F1398,"&lt;&gt;"),"")</f>
        <v/>
      </c>
      <c r="Z1398" s="29" t="str">
        <f>IF(Y1398=1,COUNTIF($Y$2:Y1398,1),"")</f>
        <v/>
      </c>
      <c r="AA1398" s="29" t="str">
        <f>IF(AND(LEFT($B1398,7)="SBA 26/",$C1398&lt;&gt;"",$F1398&lt;&gt;""),COUNTIFS($C$2:$C1398,$C1398,$B$2:$B1398,"SBA 26/*",$F$2:$F1398,"&lt;&gt;"),"")</f>
        <v/>
      </c>
      <c r="AB1398" s="29" t="str">
        <f>IF(AA1398=1,COUNTIF($AA$2:AA1398,1),"")</f>
        <v/>
      </c>
    </row>
    <row r="1399" spans="6:28" ht="63" customHeight="1" x14ac:dyDescent="0.2">
      <c r="F1399" s="45" t="s">
        <v>4075</v>
      </c>
      <c r="T1399" s="41"/>
      <c r="U1399" s="29" t="str">
        <f>IF($C1399&lt;&gt;"",COUNTIF($C$2:C1399,C1399),"")</f>
        <v/>
      </c>
      <c r="V1399" s="29" t="str">
        <f t="shared" si="74"/>
        <v/>
      </c>
      <c r="W1399" s="29" t="str">
        <f>IF(U1399=1,COUNTIF($U$2:U1399,1),"")</f>
        <v/>
      </c>
      <c r="X1399" s="29" t="str">
        <f t="shared" si="75"/>
        <v/>
      </c>
      <c r="Y1399" s="29" t="str">
        <f>IF(AND(LEFT($B1399,7)="SBA 26/",$D1399&lt;&gt;"",$F1399&lt;&gt;""),COUNTIFS($D$2:$D1399,$D1399,$B$2:$B1399,"SBA 26/*",$F$2:$F1399,"&lt;&gt;"),"")</f>
        <v/>
      </c>
      <c r="Z1399" s="29" t="str">
        <f>IF(Y1399=1,COUNTIF($Y$2:Y1399,1),"")</f>
        <v/>
      </c>
      <c r="AA1399" s="29" t="str">
        <f>IF(AND(LEFT($B1399,7)="SBA 26/",$C1399&lt;&gt;"",$F1399&lt;&gt;""),COUNTIFS($C$2:$C1399,$C1399,$B$2:$B1399,"SBA 26/*",$F$2:$F1399,"&lt;&gt;"),"")</f>
        <v/>
      </c>
      <c r="AB1399" s="29" t="str">
        <f>IF(AA1399=1,COUNTIF($AA$2:AA1399,1),"")</f>
        <v/>
      </c>
    </row>
    <row r="1400" spans="6:28" ht="20.25" customHeight="1" x14ac:dyDescent="0.2">
      <c r="F1400" s="45" t="s">
        <v>4076</v>
      </c>
      <c r="T1400" s="41"/>
      <c r="U1400" s="29" t="str">
        <f>IF($C1400&lt;&gt;"",COUNTIF($C$2:C1400,C1400),"")</f>
        <v/>
      </c>
      <c r="V1400" s="29" t="str">
        <f t="shared" si="74"/>
        <v/>
      </c>
      <c r="W1400" s="29" t="str">
        <f>IF(U1400=1,COUNTIF($U$2:U1400,1),"")</f>
        <v/>
      </c>
      <c r="X1400" s="29" t="str">
        <f t="shared" si="75"/>
        <v/>
      </c>
      <c r="Y1400" s="29" t="str">
        <f>IF(AND(LEFT($B1400,7)="SBA 26/",$D1400&lt;&gt;"",$F1400&lt;&gt;""),COUNTIFS($D$2:$D1400,$D1400,$B$2:$B1400,"SBA 26/*",$F$2:$F1400,"&lt;&gt;"),"")</f>
        <v/>
      </c>
      <c r="Z1400" s="29" t="str">
        <f>IF(Y1400=1,COUNTIF($Y$2:Y1400,1),"")</f>
        <v/>
      </c>
      <c r="AA1400" s="29" t="str">
        <f>IF(AND(LEFT($B1400,7)="SBA 26/",$C1400&lt;&gt;"",$F1400&lt;&gt;""),COUNTIFS($C$2:$C1400,$C1400,$B$2:$B1400,"SBA 26/*",$F$2:$F1400,"&lt;&gt;"),"")</f>
        <v/>
      </c>
      <c r="AB1400" s="29" t="str">
        <f>IF(AA1400=1,COUNTIF($AA$2:AA1400,1),"")</f>
        <v/>
      </c>
    </row>
    <row r="1401" spans="6:28" ht="47.25" customHeight="1" x14ac:dyDescent="0.2">
      <c r="F1401" s="45" t="s">
        <v>4077</v>
      </c>
      <c r="T1401" s="41"/>
      <c r="U1401" s="29" t="str">
        <f>IF($C1401&lt;&gt;"",COUNTIF($C$2:C1401,C1401),"")</f>
        <v/>
      </c>
      <c r="V1401" s="29" t="str">
        <f t="shared" si="74"/>
        <v/>
      </c>
      <c r="W1401" s="29" t="str">
        <f>IF(U1401=1,COUNTIF($U$2:U1401,1),"")</f>
        <v/>
      </c>
      <c r="X1401" s="29" t="str">
        <f t="shared" si="75"/>
        <v/>
      </c>
      <c r="Y1401" s="29" t="str">
        <f>IF(AND(LEFT($B1401,7)="SBA 26/",$D1401&lt;&gt;"",$F1401&lt;&gt;""),COUNTIFS($D$2:$D1401,$D1401,$B$2:$B1401,"SBA 26/*",$F$2:$F1401,"&lt;&gt;"),"")</f>
        <v/>
      </c>
      <c r="Z1401" s="29" t="str">
        <f>IF(Y1401=1,COUNTIF($Y$2:Y1401,1),"")</f>
        <v/>
      </c>
      <c r="AA1401" s="29" t="str">
        <f>IF(AND(LEFT($B1401,7)="SBA 26/",$C1401&lt;&gt;"",$F1401&lt;&gt;""),COUNTIFS($C$2:$C1401,$C1401,$B$2:$B1401,"SBA 26/*",$F$2:$F1401,"&lt;&gt;"),"")</f>
        <v/>
      </c>
      <c r="AB1401" s="29" t="str">
        <f>IF(AA1401=1,COUNTIF($AA$2:AA1401,1),"")</f>
        <v/>
      </c>
    </row>
    <row r="1402" spans="6:28" ht="47.25" customHeight="1" x14ac:dyDescent="0.2">
      <c r="F1402" s="45" t="s">
        <v>4078</v>
      </c>
      <c r="T1402" s="41"/>
      <c r="U1402" s="29" t="str">
        <f>IF($C1402&lt;&gt;"",COUNTIF($C$2:C1402,C1402),"")</f>
        <v/>
      </c>
      <c r="V1402" s="29" t="str">
        <f t="shared" si="74"/>
        <v/>
      </c>
      <c r="W1402" s="29" t="str">
        <f>IF(U1402=1,COUNTIF($U$2:U1402,1),"")</f>
        <v/>
      </c>
      <c r="X1402" s="29" t="str">
        <f t="shared" si="75"/>
        <v/>
      </c>
      <c r="Y1402" s="29" t="str">
        <f>IF(AND(LEFT($B1402,7)="SBA 26/",$D1402&lt;&gt;"",$F1402&lt;&gt;""),COUNTIFS($D$2:$D1402,$D1402,$B$2:$B1402,"SBA 26/*",$F$2:$F1402,"&lt;&gt;"),"")</f>
        <v/>
      </c>
      <c r="Z1402" s="29" t="str">
        <f>IF(Y1402=1,COUNTIF($Y$2:Y1402,1),"")</f>
        <v/>
      </c>
      <c r="AA1402" s="29" t="str">
        <f>IF(AND(LEFT($B1402,7)="SBA 26/",$C1402&lt;&gt;"",$F1402&lt;&gt;""),COUNTIFS($C$2:$C1402,$C1402,$B$2:$B1402,"SBA 26/*",$F$2:$F1402,"&lt;&gt;"),"")</f>
        <v/>
      </c>
      <c r="AB1402" s="29" t="str">
        <f>IF(AA1402=1,COUNTIF($AA$2:AA1402,1),"")</f>
        <v/>
      </c>
    </row>
    <row r="1403" spans="6:28" ht="47.25" customHeight="1" x14ac:dyDescent="0.2">
      <c r="F1403" s="45" t="s">
        <v>4079</v>
      </c>
      <c r="T1403" s="41"/>
      <c r="U1403" s="29" t="str">
        <f>IF($C1403&lt;&gt;"",COUNTIF($C$2:C1403,C1403),"")</f>
        <v/>
      </c>
      <c r="V1403" s="29" t="str">
        <f t="shared" si="74"/>
        <v/>
      </c>
      <c r="W1403" s="29" t="str">
        <f>IF(U1403=1,COUNTIF($U$2:U1403,1),"")</f>
        <v/>
      </c>
      <c r="X1403" s="29" t="str">
        <f t="shared" si="75"/>
        <v/>
      </c>
      <c r="Y1403" s="29" t="str">
        <f>IF(AND(LEFT($B1403,7)="SBA 26/",$D1403&lt;&gt;"",$F1403&lt;&gt;""),COUNTIFS($D$2:$D1403,$D1403,$B$2:$B1403,"SBA 26/*",$F$2:$F1403,"&lt;&gt;"),"")</f>
        <v/>
      </c>
      <c r="Z1403" s="29" t="str">
        <f>IF(Y1403=1,COUNTIF($Y$2:Y1403,1),"")</f>
        <v/>
      </c>
      <c r="AA1403" s="29" t="str">
        <f>IF(AND(LEFT($B1403,7)="SBA 26/",$C1403&lt;&gt;"",$F1403&lt;&gt;""),COUNTIFS($C$2:$C1403,$C1403,$B$2:$B1403,"SBA 26/*",$F$2:$F1403,"&lt;&gt;"),"")</f>
        <v/>
      </c>
      <c r="AB1403" s="29" t="str">
        <f>IF(AA1403=1,COUNTIF($AA$2:AA1403,1),"")</f>
        <v/>
      </c>
    </row>
    <row r="1404" spans="6:28" ht="63" customHeight="1" x14ac:dyDescent="0.2">
      <c r="F1404" s="45" t="s">
        <v>4080</v>
      </c>
      <c r="T1404" s="41"/>
      <c r="U1404" s="29" t="str">
        <f>IF($C1404&lt;&gt;"",COUNTIF($C$2:C1404,C1404),"")</f>
        <v/>
      </c>
      <c r="V1404" s="29" t="str">
        <f t="shared" si="74"/>
        <v/>
      </c>
      <c r="W1404" s="29" t="str">
        <f>IF(U1404=1,COUNTIF($U$2:U1404,1),"")</f>
        <v/>
      </c>
      <c r="X1404" s="29" t="str">
        <f t="shared" si="75"/>
        <v/>
      </c>
      <c r="Y1404" s="29" t="str">
        <f>IF(AND(LEFT($B1404,7)="SBA 26/",$D1404&lt;&gt;"",$F1404&lt;&gt;""),COUNTIFS($D$2:$D1404,$D1404,$B$2:$B1404,"SBA 26/*",$F$2:$F1404,"&lt;&gt;"),"")</f>
        <v/>
      </c>
      <c r="Z1404" s="29" t="str">
        <f>IF(Y1404=1,COUNTIF($Y$2:Y1404,1),"")</f>
        <v/>
      </c>
      <c r="AA1404" s="29" t="str">
        <f>IF(AND(LEFT($B1404,7)="SBA 26/",$C1404&lt;&gt;"",$F1404&lt;&gt;""),COUNTIFS($C$2:$C1404,$C1404,$B$2:$B1404,"SBA 26/*",$F$2:$F1404,"&lt;&gt;"),"")</f>
        <v/>
      </c>
      <c r="AB1404" s="29" t="str">
        <f>IF(AA1404=1,COUNTIF($AA$2:AA1404,1),"")</f>
        <v/>
      </c>
    </row>
    <row r="1405" spans="6:28" ht="63" customHeight="1" x14ac:dyDescent="0.2">
      <c r="F1405" s="45" t="s">
        <v>4081</v>
      </c>
      <c r="T1405" s="41"/>
      <c r="U1405" s="29" t="str">
        <f>IF($C1405&lt;&gt;"",COUNTIF($C$2:C1405,C1405),"")</f>
        <v/>
      </c>
      <c r="V1405" s="29" t="str">
        <f t="shared" si="74"/>
        <v/>
      </c>
      <c r="W1405" s="29" t="str">
        <f>IF(U1405=1,COUNTIF($U$2:U1405,1),"")</f>
        <v/>
      </c>
      <c r="X1405" s="29" t="str">
        <f t="shared" si="75"/>
        <v/>
      </c>
      <c r="Y1405" s="29" t="str">
        <f>IF(AND(LEFT($B1405,7)="SBA 26/",$D1405&lt;&gt;"",$F1405&lt;&gt;""),COUNTIFS($D$2:$D1405,$D1405,$B$2:$B1405,"SBA 26/*",$F$2:$F1405,"&lt;&gt;"),"")</f>
        <v/>
      </c>
      <c r="Z1405" s="29" t="str">
        <f>IF(Y1405=1,COUNTIF($Y$2:Y1405,1),"")</f>
        <v/>
      </c>
      <c r="AA1405" s="29" t="str">
        <f>IF(AND(LEFT($B1405,7)="SBA 26/",$C1405&lt;&gt;"",$F1405&lt;&gt;""),COUNTIFS($C$2:$C1405,$C1405,$B$2:$B1405,"SBA 26/*",$F$2:$F1405,"&lt;&gt;"),"")</f>
        <v/>
      </c>
      <c r="AB1405" s="29" t="str">
        <f>IF(AA1405=1,COUNTIF($AA$2:AA1405,1),"")</f>
        <v/>
      </c>
    </row>
    <row r="1406" spans="6:28" ht="47.25" customHeight="1" x14ac:dyDescent="0.2">
      <c r="F1406" s="45" t="s">
        <v>4082</v>
      </c>
      <c r="T1406" s="41"/>
      <c r="U1406" s="29" t="str">
        <f>IF($C1406&lt;&gt;"",COUNTIF($C$2:C1406,C1406),"")</f>
        <v/>
      </c>
      <c r="V1406" s="29" t="str">
        <f t="shared" si="74"/>
        <v/>
      </c>
      <c r="W1406" s="29" t="str">
        <f>IF(U1406=1,COUNTIF($U$2:U1406,1),"")</f>
        <v/>
      </c>
      <c r="X1406" s="29" t="str">
        <f t="shared" si="75"/>
        <v/>
      </c>
      <c r="Y1406" s="29" t="str">
        <f>IF(AND(LEFT($B1406,7)="SBA 26/",$D1406&lt;&gt;"",$F1406&lt;&gt;""),COUNTIFS($D$2:$D1406,$D1406,$B$2:$B1406,"SBA 26/*",$F$2:$F1406,"&lt;&gt;"),"")</f>
        <v/>
      </c>
      <c r="Z1406" s="29" t="str">
        <f>IF(Y1406=1,COUNTIF($Y$2:Y1406,1),"")</f>
        <v/>
      </c>
      <c r="AA1406" s="29" t="str">
        <f>IF(AND(LEFT($B1406,7)="SBA 26/",$C1406&lt;&gt;"",$F1406&lt;&gt;""),COUNTIFS($C$2:$C1406,$C1406,$B$2:$B1406,"SBA 26/*",$F$2:$F1406,"&lt;&gt;"),"")</f>
        <v/>
      </c>
      <c r="AB1406" s="29" t="str">
        <f>IF(AA1406=1,COUNTIF($AA$2:AA1406,1),"")</f>
        <v/>
      </c>
    </row>
    <row r="1407" spans="6:28" ht="47.25" customHeight="1" x14ac:dyDescent="0.2">
      <c r="F1407" s="45" t="s">
        <v>4083</v>
      </c>
      <c r="T1407" s="41"/>
      <c r="U1407" s="29" t="str">
        <f>IF($C1407&lt;&gt;"",COUNTIF($C$2:C1407,C1407),"")</f>
        <v/>
      </c>
      <c r="V1407" s="29" t="str">
        <f t="shared" si="74"/>
        <v/>
      </c>
      <c r="W1407" s="29" t="str">
        <f>IF(U1407=1,COUNTIF($U$2:U1407,1),"")</f>
        <v/>
      </c>
      <c r="X1407" s="29" t="str">
        <f t="shared" si="75"/>
        <v/>
      </c>
      <c r="Y1407" s="29" t="str">
        <f>IF(AND(LEFT($B1407,7)="SBA 26/",$D1407&lt;&gt;"",$F1407&lt;&gt;""),COUNTIFS($D$2:$D1407,$D1407,$B$2:$B1407,"SBA 26/*",$F$2:$F1407,"&lt;&gt;"),"")</f>
        <v/>
      </c>
      <c r="Z1407" s="29" t="str">
        <f>IF(Y1407=1,COUNTIF($Y$2:Y1407,1),"")</f>
        <v/>
      </c>
      <c r="AA1407" s="29" t="str">
        <f>IF(AND(LEFT($B1407,7)="SBA 26/",$C1407&lt;&gt;"",$F1407&lt;&gt;""),COUNTIFS($C$2:$C1407,$C1407,$B$2:$B1407,"SBA 26/*",$F$2:$F1407,"&lt;&gt;"),"")</f>
        <v/>
      </c>
      <c r="AB1407" s="29" t="str">
        <f>IF(AA1407=1,COUNTIF($AA$2:AA1407,1),"")</f>
        <v/>
      </c>
    </row>
    <row r="1408" spans="6:28" ht="31.5" customHeight="1" x14ac:dyDescent="0.2">
      <c r="F1408" s="45" t="s">
        <v>4084</v>
      </c>
      <c r="T1408" s="41"/>
      <c r="U1408" s="29" t="str">
        <f>IF($C1408&lt;&gt;"",COUNTIF($C$2:C1408,C1408),"")</f>
        <v/>
      </c>
      <c r="V1408" s="29" t="str">
        <f t="shared" si="74"/>
        <v/>
      </c>
      <c r="W1408" s="29" t="str">
        <f>IF(U1408=1,COUNTIF($U$2:U1408,1),"")</f>
        <v/>
      </c>
      <c r="X1408" s="29" t="str">
        <f t="shared" si="75"/>
        <v/>
      </c>
      <c r="Y1408" s="29" t="str">
        <f>IF(AND(LEFT($B1408,7)="SBA 26/",$D1408&lt;&gt;"",$F1408&lt;&gt;""),COUNTIFS($D$2:$D1408,$D1408,$B$2:$B1408,"SBA 26/*",$F$2:$F1408,"&lt;&gt;"),"")</f>
        <v/>
      </c>
      <c r="Z1408" s="29" t="str">
        <f>IF(Y1408=1,COUNTIF($Y$2:Y1408,1),"")</f>
        <v/>
      </c>
      <c r="AA1408" s="29" t="str">
        <f>IF(AND(LEFT($B1408,7)="SBA 26/",$C1408&lt;&gt;"",$F1408&lt;&gt;""),COUNTIFS($C$2:$C1408,$C1408,$B$2:$B1408,"SBA 26/*",$F$2:$F1408,"&lt;&gt;"),"")</f>
        <v/>
      </c>
      <c r="AB1408" s="29" t="str">
        <f>IF(AA1408=1,COUNTIF($AA$2:AA1408,1),"")</f>
        <v/>
      </c>
    </row>
    <row r="1409" spans="6:28" ht="47.25" customHeight="1" x14ac:dyDescent="0.2">
      <c r="F1409" s="45" t="s">
        <v>4085</v>
      </c>
      <c r="T1409" s="41"/>
      <c r="U1409" s="29" t="str">
        <f>IF($C1409&lt;&gt;"",COUNTIF($C$2:C1409,C1409),"")</f>
        <v/>
      </c>
      <c r="V1409" s="29" t="str">
        <f t="shared" si="74"/>
        <v/>
      </c>
      <c r="W1409" s="29" t="str">
        <f>IF(U1409=1,COUNTIF($U$2:U1409,1),"")</f>
        <v/>
      </c>
      <c r="X1409" s="29" t="str">
        <f t="shared" si="75"/>
        <v/>
      </c>
      <c r="Y1409" s="29" t="str">
        <f>IF(AND(LEFT($B1409,7)="SBA 26/",$D1409&lt;&gt;"",$F1409&lt;&gt;""),COUNTIFS($D$2:$D1409,$D1409,$B$2:$B1409,"SBA 26/*",$F$2:$F1409,"&lt;&gt;"),"")</f>
        <v/>
      </c>
      <c r="Z1409" s="29" t="str">
        <f>IF(Y1409=1,COUNTIF($Y$2:Y1409,1),"")</f>
        <v/>
      </c>
      <c r="AA1409" s="29" t="str">
        <f>IF(AND(LEFT($B1409,7)="SBA 26/",$C1409&lt;&gt;"",$F1409&lt;&gt;""),COUNTIFS($C$2:$C1409,$C1409,$B$2:$B1409,"SBA 26/*",$F$2:$F1409,"&lt;&gt;"),"")</f>
        <v/>
      </c>
      <c r="AB1409" s="29" t="str">
        <f>IF(AA1409=1,COUNTIF($AA$2:AA1409,1),"")</f>
        <v/>
      </c>
    </row>
    <row r="1410" spans="6:28" ht="63" customHeight="1" x14ac:dyDescent="0.2">
      <c r="F1410" s="45" t="s">
        <v>4086</v>
      </c>
      <c r="T1410" s="41"/>
      <c r="U1410" s="29" t="str">
        <f>IF($C1410&lt;&gt;"",COUNTIF($C$2:C1410,C1410),"")</f>
        <v/>
      </c>
      <c r="V1410" s="29" t="str">
        <f t="shared" ref="V1410:V1473" si="76">IF($C1410&lt;&gt;"",C1410&amp;"§"&amp;U1410,"")</f>
        <v/>
      </c>
      <c r="W1410" s="29" t="str">
        <f>IF(U1410=1,COUNTIF($U$2:U1410,1),"")</f>
        <v/>
      </c>
      <c r="X1410" s="29" t="str">
        <f t="shared" si="75"/>
        <v/>
      </c>
      <c r="Y1410" s="29" t="str">
        <f>IF(AND(LEFT($B1410,7)="SBA 26/",$D1410&lt;&gt;"",$F1410&lt;&gt;""),COUNTIFS($D$2:$D1410,$D1410,$B$2:$B1410,"SBA 26/*",$F$2:$F1410,"&lt;&gt;"),"")</f>
        <v/>
      </c>
      <c r="Z1410" s="29" t="str">
        <f>IF(Y1410=1,COUNTIF($Y$2:Y1410,1),"")</f>
        <v/>
      </c>
      <c r="AA1410" s="29" t="str">
        <f>IF(AND(LEFT($B1410,7)="SBA 26/",$C1410&lt;&gt;"",$F1410&lt;&gt;""),COUNTIFS($C$2:$C1410,$C1410,$B$2:$B1410,"SBA 26/*",$F$2:$F1410,"&lt;&gt;"),"")</f>
        <v/>
      </c>
      <c r="AB1410" s="29" t="str">
        <f>IF(AA1410=1,COUNTIF($AA$2:AA1410,1),"")</f>
        <v/>
      </c>
    </row>
    <row r="1411" spans="6:28" ht="47.25" customHeight="1" x14ac:dyDescent="0.2">
      <c r="F1411" s="45" t="s">
        <v>4087</v>
      </c>
      <c r="T1411" s="41"/>
      <c r="U1411" s="29" t="str">
        <f>IF($C1411&lt;&gt;"",COUNTIF($C$2:C1411,C1411),"")</f>
        <v/>
      </c>
      <c r="V1411" s="29" t="str">
        <f t="shared" si="76"/>
        <v/>
      </c>
      <c r="W1411" s="29" t="str">
        <f>IF(U1411=1,COUNTIF($U$2:U1411,1),"")</f>
        <v/>
      </c>
      <c r="X1411" s="29" t="str">
        <f t="shared" si="75"/>
        <v/>
      </c>
      <c r="Y1411" s="29" t="str">
        <f>IF(AND(LEFT($B1411,7)="SBA 26/",$D1411&lt;&gt;"",$F1411&lt;&gt;""),COUNTIFS($D$2:$D1411,$D1411,$B$2:$B1411,"SBA 26/*",$F$2:$F1411,"&lt;&gt;"),"")</f>
        <v/>
      </c>
      <c r="Z1411" s="29" t="str">
        <f>IF(Y1411=1,COUNTIF($Y$2:Y1411,1),"")</f>
        <v/>
      </c>
      <c r="AA1411" s="29" t="str">
        <f>IF(AND(LEFT($B1411,7)="SBA 26/",$C1411&lt;&gt;"",$F1411&lt;&gt;""),COUNTIFS($C$2:$C1411,$C1411,$B$2:$B1411,"SBA 26/*",$F$2:$F1411,"&lt;&gt;"),"")</f>
        <v/>
      </c>
      <c r="AB1411" s="29" t="str">
        <f>IF(AA1411=1,COUNTIF($AA$2:AA1411,1),"")</f>
        <v/>
      </c>
    </row>
    <row r="1412" spans="6:28" ht="31.5" customHeight="1" x14ac:dyDescent="0.2">
      <c r="F1412" s="45" t="s">
        <v>4088</v>
      </c>
      <c r="T1412" s="41"/>
      <c r="U1412" s="29" t="str">
        <f>IF($C1412&lt;&gt;"",COUNTIF($C$2:C1412,C1412),"")</f>
        <v/>
      </c>
      <c r="V1412" s="29" t="str">
        <f t="shared" si="76"/>
        <v/>
      </c>
      <c r="W1412" s="29" t="str">
        <f>IF(U1412=1,COUNTIF($U$2:U1412,1),"")</f>
        <v/>
      </c>
      <c r="X1412" s="29" t="str">
        <f t="shared" si="75"/>
        <v/>
      </c>
      <c r="Y1412" s="29" t="str">
        <f>IF(AND(LEFT($B1412,7)="SBA 26/",$D1412&lt;&gt;"",$F1412&lt;&gt;""),COUNTIFS($D$2:$D1412,$D1412,$B$2:$B1412,"SBA 26/*",$F$2:$F1412,"&lt;&gt;"),"")</f>
        <v/>
      </c>
      <c r="Z1412" s="29" t="str">
        <f>IF(Y1412=1,COUNTIF($Y$2:Y1412,1),"")</f>
        <v/>
      </c>
      <c r="AA1412" s="29" t="str">
        <f>IF(AND(LEFT($B1412,7)="SBA 26/",$C1412&lt;&gt;"",$F1412&lt;&gt;""),COUNTIFS($C$2:$C1412,$C1412,$B$2:$B1412,"SBA 26/*",$F$2:$F1412,"&lt;&gt;"),"")</f>
        <v/>
      </c>
      <c r="AB1412" s="29" t="str">
        <f>IF(AA1412=1,COUNTIF($AA$2:AA1412,1),"")</f>
        <v/>
      </c>
    </row>
    <row r="1413" spans="6:28" ht="47.25" customHeight="1" x14ac:dyDescent="0.2">
      <c r="F1413" s="45" t="s">
        <v>4089</v>
      </c>
      <c r="T1413" s="41"/>
      <c r="U1413" s="29" t="str">
        <f>IF($C1413&lt;&gt;"",COUNTIF($C$2:C1413,C1413),"")</f>
        <v/>
      </c>
      <c r="V1413" s="29" t="str">
        <f t="shared" si="76"/>
        <v/>
      </c>
      <c r="W1413" s="29" t="str">
        <f>IF(U1413=1,COUNTIF($U$2:U1413,1),"")</f>
        <v/>
      </c>
      <c r="X1413" s="29" t="str">
        <f t="shared" si="75"/>
        <v/>
      </c>
      <c r="Y1413" s="29" t="str">
        <f>IF(AND(LEFT($B1413,7)="SBA 26/",$D1413&lt;&gt;"",$F1413&lt;&gt;""),COUNTIFS($D$2:$D1413,$D1413,$B$2:$B1413,"SBA 26/*",$F$2:$F1413,"&lt;&gt;"),"")</f>
        <v/>
      </c>
      <c r="Z1413" s="29" t="str">
        <f>IF(Y1413=1,COUNTIF($Y$2:Y1413,1),"")</f>
        <v/>
      </c>
      <c r="AA1413" s="29" t="str">
        <f>IF(AND(LEFT($B1413,7)="SBA 26/",$C1413&lt;&gt;"",$F1413&lt;&gt;""),COUNTIFS($C$2:$C1413,$C1413,$B$2:$B1413,"SBA 26/*",$F$2:$F1413,"&lt;&gt;"),"")</f>
        <v/>
      </c>
      <c r="AB1413" s="29" t="str">
        <f>IF(AA1413=1,COUNTIF($AA$2:AA1413,1),"")</f>
        <v/>
      </c>
    </row>
    <row r="1414" spans="6:28" ht="31.5" customHeight="1" x14ac:dyDescent="0.2">
      <c r="F1414" s="45" t="s">
        <v>4090</v>
      </c>
      <c r="T1414" s="41"/>
      <c r="U1414" s="29" t="str">
        <f>IF($C1414&lt;&gt;"",COUNTIF($C$2:C1414,C1414),"")</f>
        <v/>
      </c>
      <c r="V1414" s="29" t="str">
        <f t="shared" si="76"/>
        <v/>
      </c>
      <c r="W1414" s="29" t="str">
        <f>IF(U1414=1,COUNTIF($U$2:U1414,1),"")</f>
        <v/>
      </c>
      <c r="X1414" s="29" t="str">
        <f t="shared" si="75"/>
        <v/>
      </c>
      <c r="Y1414" s="29" t="str">
        <f>IF(AND(LEFT($B1414,7)="SBA 26/",$D1414&lt;&gt;"",$F1414&lt;&gt;""),COUNTIFS($D$2:$D1414,$D1414,$B$2:$B1414,"SBA 26/*",$F$2:$F1414,"&lt;&gt;"),"")</f>
        <v/>
      </c>
      <c r="Z1414" s="29" t="str">
        <f>IF(Y1414=1,COUNTIF($Y$2:Y1414,1),"")</f>
        <v/>
      </c>
      <c r="AA1414" s="29" t="str">
        <f>IF(AND(LEFT($B1414,7)="SBA 26/",$C1414&lt;&gt;"",$F1414&lt;&gt;""),COUNTIFS($C$2:$C1414,$C1414,$B$2:$B1414,"SBA 26/*",$F$2:$F1414,"&lt;&gt;"),"")</f>
        <v/>
      </c>
      <c r="AB1414" s="29" t="str">
        <f>IF(AA1414=1,COUNTIF($AA$2:AA1414,1),"")</f>
        <v/>
      </c>
    </row>
    <row r="1415" spans="6:28" ht="31.5" customHeight="1" x14ac:dyDescent="0.2">
      <c r="F1415" s="45" t="s">
        <v>4091</v>
      </c>
      <c r="T1415" s="41"/>
      <c r="U1415" s="29" t="str">
        <f>IF($C1415&lt;&gt;"",COUNTIF($C$2:C1415,C1415),"")</f>
        <v/>
      </c>
      <c r="V1415" s="29" t="str">
        <f t="shared" si="76"/>
        <v/>
      </c>
      <c r="W1415" s="29" t="str">
        <f>IF(U1415=1,COUNTIF($U$2:U1415,1),"")</f>
        <v/>
      </c>
      <c r="X1415" s="29" t="str">
        <f t="shared" si="75"/>
        <v/>
      </c>
      <c r="Y1415" s="29" t="str">
        <f>IF(AND(LEFT($B1415,7)="SBA 26/",$D1415&lt;&gt;"",$F1415&lt;&gt;""),COUNTIFS($D$2:$D1415,$D1415,$B$2:$B1415,"SBA 26/*",$F$2:$F1415,"&lt;&gt;"),"")</f>
        <v/>
      </c>
      <c r="Z1415" s="29" t="str">
        <f>IF(Y1415=1,COUNTIF($Y$2:Y1415,1),"")</f>
        <v/>
      </c>
      <c r="AA1415" s="29" t="str">
        <f>IF(AND(LEFT($B1415,7)="SBA 26/",$C1415&lt;&gt;"",$F1415&lt;&gt;""),COUNTIFS($C$2:$C1415,$C1415,$B$2:$B1415,"SBA 26/*",$F$2:$F1415,"&lt;&gt;"),"")</f>
        <v/>
      </c>
      <c r="AB1415" s="29" t="str">
        <f>IF(AA1415=1,COUNTIF($AA$2:AA1415,1),"")</f>
        <v/>
      </c>
    </row>
    <row r="1416" spans="6:28" ht="47.25" customHeight="1" x14ac:dyDescent="0.2">
      <c r="F1416" s="45" t="s">
        <v>4092</v>
      </c>
      <c r="T1416" s="41"/>
      <c r="U1416" s="29" t="str">
        <f>IF($C1416&lt;&gt;"",COUNTIF($C$2:C1416,C1416),"")</f>
        <v/>
      </c>
      <c r="V1416" s="29" t="str">
        <f t="shared" si="76"/>
        <v/>
      </c>
      <c r="W1416" s="29" t="str">
        <f>IF(U1416=1,COUNTIF($U$2:U1416,1),"")</f>
        <v/>
      </c>
      <c r="X1416" s="29" t="str">
        <f t="shared" si="75"/>
        <v/>
      </c>
      <c r="Y1416" s="29" t="str">
        <f>IF(AND(LEFT($B1416,7)="SBA 26/",$D1416&lt;&gt;"",$F1416&lt;&gt;""),COUNTIFS($D$2:$D1416,$D1416,$B$2:$B1416,"SBA 26/*",$F$2:$F1416,"&lt;&gt;"),"")</f>
        <v/>
      </c>
      <c r="Z1416" s="29" t="str">
        <f>IF(Y1416=1,COUNTIF($Y$2:Y1416,1),"")</f>
        <v/>
      </c>
      <c r="AA1416" s="29" t="str">
        <f>IF(AND(LEFT($B1416,7)="SBA 26/",$C1416&lt;&gt;"",$F1416&lt;&gt;""),COUNTIFS($C$2:$C1416,$C1416,$B$2:$B1416,"SBA 26/*",$F$2:$F1416,"&lt;&gt;"),"")</f>
        <v/>
      </c>
      <c r="AB1416" s="29" t="str">
        <f>IF(AA1416=1,COUNTIF($AA$2:AA1416,1),"")</f>
        <v/>
      </c>
    </row>
    <row r="1417" spans="6:28" ht="31.5" customHeight="1" x14ac:dyDescent="0.2">
      <c r="F1417" s="45" t="s">
        <v>4093</v>
      </c>
      <c r="T1417" s="41"/>
      <c r="U1417" s="29" t="str">
        <f>IF($C1417&lt;&gt;"",COUNTIF($C$2:C1417,C1417),"")</f>
        <v/>
      </c>
      <c r="V1417" s="29" t="str">
        <f t="shared" si="76"/>
        <v/>
      </c>
      <c r="W1417" s="29" t="str">
        <f>IF(U1417=1,COUNTIF($U$2:U1417,1),"")</f>
        <v/>
      </c>
      <c r="X1417" s="29" t="str">
        <f t="shared" si="75"/>
        <v/>
      </c>
      <c r="Y1417" s="29" t="str">
        <f>IF(AND(LEFT($B1417,7)="SBA 26/",$D1417&lt;&gt;"",$F1417&lt;&gt;""),COUNTIFS($D$2:$D1417,$D1417,$B$2:$B1417,"SBA 26/*",$F$2:$F1417,"&lt;&gt;"),"")</f>
        <v/>
      </c>
      <c r="Z1417" s="29" t="str">
        <f>IF(Y1417=1,COUNTIF($Y$2:Y1417,1),"")</f>
        <v/>
      </c>
      <c r="AA1417" s="29" t="str">
        <f>IF(AND(LEFT($B1417,7)="SBA 26/",$C1417&lt;&gt;"",$F1417&lt;&gt;""),COUNTIFS($C$2:$C1417,$C1417,$B$2:$B1417,"SBA 26/*",$F$2:$F1417,"&lt;&gt;"),"")</f>
        <v/>
      </c>
      <c r="AB1417" s="29" t="str">
        <f>IF(AA1417=1,COUNTIF($AA$2:AA1417,1),"")</f>
        <v/>
      </c>
    </row>
    <row r="1418" spans="6:28" ht="47.25" customHeight="1" x14ac:dyDescent="0.2">
      <c r="F1418" s="45" t="s">
        <v>4094</v>
      </c>
      <c r="T1418" s="41"/>
      <c r="U1418" s="29" t="str">
        <f>IF($C1418&lt;&gt;"",COUNTIF($C$2:C1418,C1418),"")</f>
        <v/>
      </c>
      <c r="V1418" s="29" t="str">
        <f t="shared" si="76"/>
        <v/>
      </c>
      <c r="W1418" s="29" t="str">
        <f>IF(U1418=1,COUNTIF($U$2:U1418,1),"")</f>
        <v/>
      </c>
      <c r="X1418" s="29" t="str">
        <f t="shared" si="75"/>
        <v/>
      </c>
      <c r="Y1418" s="29" t="str">
        <f>IF(AND(LEFT($B1418,7)="SBA 26/",$D1418&lt;&gt;"",$F1418&lt;&gt;""),COUNTIFS($D$2:$D1418,$D1418,$B$2:$B1418,"SBA 26/*",$F$2:$F1418,"&lt;&gt;"),"")</f>
        <v/>
      </c>
      <c r="Z1418" s="29" t="str">
        <f>IF(Y1418=1,COUNTIF($Y$2:Y1418,1),"")</f>
        <v/>
      </c>
      <c r="AA1418" s="29" t="str">
        <f>IF(AND(LEFT($B1418,7)="SBA 26/",$C1418&lt;&gt;"",$F1418&lt;&gt;""),COUNTIFS($C$2:$C1418,$C1418,$B$2:$B1418,"SBA 26/*",$F$2:$F1418,"&lt;&gt;"),"")</f>
        <v/>
      </c>
      <c r="AB1418" s="29" t="str">
        <f>IF(AA1418=1,COUNTIF($AA$2:AA1418,1),"")</f>
        <v/>
      </c>
    </row>
    <row r="1419" spans="6:28" ht="47.25" customHeight="1" x14ac:dyDescent="0.2">
      <c r="F1419" s="45" t="s">
        <v>4095</v>
      </c>
      <c r="T1419" s="41"/>
      <c r="U1419" s="29" t="str">
        <f>IF($C1419&lt;&gt;"",COUNTIF($C$2:C1419,C1419),"")</f>
        <v/>
      </c>
      <c r="V1419" s="29" t="str">
        <f t="shared" si="76"/>
        <v/>
      </c>
      <c r="W1419" s="29" t="str">
        <f>IF(U1419=1,COUNTIF($U$2:U1419,1),"")</f>
        <v/>
      </c>
      <c r="X1419" s="29" t="str">
        <f t="shared" si="75"/>
        <v/>
      </c>
      <c r="Y1419" s="29" t="str">
        <f>IF(AND(LEFT($B1419,7)="SBA 26/",$D1419&lt;&gt;"",$F1419&lt;&gt;""),COUNTIFS($D$2:$D1419,$D1419,$B$2:$B1419,"SBA 26/*",$F$2:$F1419,"&lt;&gt;"),"")</f>
        <v/>
      </c>
      <c r="Z1419" s="29" t="str">
        <f>IF(Y1419=1,COUNTIF($Y$2:Y1419,1),"")</f>
        <v/>
      </c>
      <c r="AA1419" s="29" t="str">
        <f>IF(AND(LEFT($B1419,7)="SBA 26/",$C1419&lt;&gt;"",$F1419&lt;&gt;""),COUNTIFS($C$2:$C1419,$C1419,$B$2:$B1419,"SBA 26/*",$F$2:$F1419,"&lt;&gt;"),"")</f>
        <v/>
      </c>
      <c r="AB1419" s="29" t="str">
        <f>IF(AA1419=1,COUNTIF($AA$2:AA1419,1),"")</f>
        <v/>
      </c>
    </row>
    <row r="1420" spans="6:28" ht="63" customHeight="1" x14ac:dyDescent="0.2">
      <c r="F1420" s="45" t="s">
        <v>4096</v>
      </c>
      <c r="T1420" s="41"/>
      <c r="U1420" s="29" t="str">
        <f>IF($C1420&lt;&gt;"",COUNTIF($C$2:C1420,C1420),"")</f>
        <v/>
      </c>
      <c r="V1420" s="29" t="str">
        <f t="shared" si="76"/>
        <v/>
      </c>
      <c r="W1420" s="29" t="str">
        <f>IF(U1420=1,COUNTIF($U$2:U1420,1),"")</f>
        <v/>
      </c>
      <c r="X1420" s="29" t="str">
        <f t="shared" si="75"/>
        <v/>
      </c>
      <c r="Y1420" s="29" t="str">
        <f>IF(AND(LEFT($B1420,7)="SBA 26/",$D1420&lt;&gt;"",$F1420&lt;&gt;""),COUNTIFS($D$2:$D1420,$D1420,$B$2:$B1420,"SBA 26/*",$F$2:$F1420,"&lt;&gt;"),"")</f>
        <v/>
      </c>
      <c r="Z1420" s="29" t="str">
        <f>IF(Y1420=1,COUNTIF($Y$2:Y1420,1),"")</f>
        <v/>
      </c>
      <c r="AA1420" s="29" t="str">
        <f>IF(AND(LEFT($B1420,7)="SBA 26/",$C1420&lt;&gt;"",$F1420&lt;&gt;""),COUNTIFS($C$2:$C1420,$C1420,$B$2:$B1420,"SBA 26/*",$F$2:$F1420,"&lt;&gt;"),"")</f>
        <v/>
      </c>
      <c r="AB1420" s="29" t="str">
        <f>IF(AA1420=1,COUNTIF($AA$2:AA1420,1),"")</f>
        <v/>
      </c>
    </row>
    <row r="1421" spans="6:28" ht="31.5" customHeight="1" x14ac:dyDescent="0.2">
      <c r="F1421" s="45" t="s">
        <v>4097</v>
      </c>
      <c r="T1421" s="41"/>
      <c r="U1421" s="29" t="str">
        <f>IF($C1421&lt;&gt;"",COUNTIF($C$2:C1421,C1421),"")</f>
        <v/>
      </c>
      <c r="V1421" s="29" t="str">
        <f t="shared" si="76"/>
        <v/>
      </c>
      <c r="W1421" s="29" t="str">
        <f>IF(U1421=1,COUNTIF($U$2:U1421,1),"")</f>
        <v/>
      </c>
      <c r="X1421" s="29" t="str">
        <f t="shared" si="75"/>
        <v/>
      </c>
      <c r="Y1421" s="29" t="str">
        <f>IF(AND(LEFT($B1421,7)="SBA 26/",$D1421&lt;&gt;"",$F1421&lt;&gt;""),COUNTIFS($D$2:$D1421,$D1421,$B$2:$B1421,"SBA 26/*",$F$2:$F1421,"&lt;&gt;"),"")</f>
        <v/>
      </c>
      <c r="Z1421" s="29" t="str">
        <f>IF(Y1421=1,COUNTIF($Y$2:Y1421,1),"")</f>
        <v/>
      </c>
      <c r="AA1421" s="29" t="str">
        <f>IF(AND(LEFT($B1421,7)="SBA 26/",$C1421&lt;&gt;"",$F1421&lt;&gt;""),COUNTIFS($C$2:$C1421,$C1421,$B$2:$B1421,"SBA 26/*",$F$2:$F1421,"&lt;&gt;"),"")</f>
        <v/>
      </c>
      <c r="AB1421" s="29" t="str">
        <f>IF(AA1421=1,COUNTIF($AA$2:AA1421,1),"")</f>
        <v/>
      </c>
    </row>
    <row r="1422" spans="6:28" ht="31.5" customHeight="1" x14ac:dyDescent="0.2">
      <c r="F1422" s="45" t="s">
        <v>4098</v>
      </c>
      <c r="T1422" s="41"/>
      <c r="U1422" s="29" t="str">
        <f>IF($C1422&lt;&gt;"",COUNTIF($C$2:C1422,C1422),"")</f>
        <v/>
      </c>
      <c r="V1422" s="29" t="str">
        <f t="shared" si="76"/>
        <v/>
      </c>
      <c r="W1422" s="29" t="str">
        <f>IF(U1422=1,COUNTIF($U$2:U1422,1),"")</f>
        <v/>
      </c>
      <c r="X1422" s="29" t="str">
        <f t="shared" si="75"/>
        <v/>
      </c>
      <c r="Y1422" s="29" t="str">
        <f>IF(AND(LEFT($B1422,7)="SBA 26/",$D1422&lt;&gt;"",$F1422&lt;&gt;""),COUNTIFS($D$2:$D1422,$D1422,$B$2:$B1422,"SBA 26/*",$F$2:$F1422,"&lt;&gt;"),"")</f>
        <v/>
      </c>
      <c r="Z1422" s="29" t="str">
        <f>IF(Y1422=1,COUNTIF($Y$2:Y1422,1),"")</f>
        <v/>
      </c>
      <c r="AA1422" s="29" t="str">
        <f>IF(AND(LEFT($B1422,7)="SBA 26/",$C1422&lt;&gt;"",$F1422&lt;&gt;""),COUNTIFS($C$2:$C1422,$C1422,$B$2:$B1422,"SBA 26/*",$F$2:$F1422,"&lt;&gt;"),"")</f>
        <v/>
      </c>
      <c r="AB1422" s="29" t="str">
        <f>IF(AA1422=1,COUNTIF($AA$2:AA1422,1),"")</f>
        <v/>
      </c>
    </row>
    <row r="1423" spans="6:28" ht="31.5" customHeight="1" x14ac:dyDescent="0.2">
      <c r="F1423" s="45" t="s">
        <v>4099</v>
      </c>
      <c r="T1423" s="41"/>
      <c r="U1423" s="29" t="str">
        <f>IF($C1423&lt;&gt;"",COUNTIF($C$2:C1423,C1423),"")</f>
        <v/>
      </c>
      <c r="V1423" s="29" t="str">
        <f t="shared" si="76"/>
        <v/>
      </c>
      <c r="W1423" s="29" t="str">
        <f>IF(U1423=1,COUNTIF($U$2:U1423,1),"")</f>
        <v/>
      </c>
      <c r="X1423" s="29" t="str">
        <f t="shared" si="75"/>
        <v/>
      </c>
      <c r="Y1423" s="29" t="str">
        <f>IF(AND(LEFT($B1423,7)="SBA 26/",$D1423&lt;&gt;"",$F1423&lt;&gt;""),COUNTIFS($D$2:$D1423,$D1423,$B$2:$B1423,"SBA 26/*",$F$2:$F1423,"&lt;&gt;"),"")</f>
        <v/>
      </c>
      <c r="Z1423" s="29" t="str">
        <f>IF(Y1423=1,COUNTIF($Y$2:Y1423,1),"")</f>
        <v/>
      </c>
      <c r="AA1423" s="29" t="str">
        <f>IF(AND(LEFT($B1423,7)="SBA 26/",$C1423&lt;&gt;"",$F1423&lt;&gt;""),COUNTIFS($C$2:$C1423,$C1423,$B$2:$B1423,"SBA 26/*",$F$2:$F1423,"&lt;&gt;"),"")</f>
        <v/>
      </c>
      <c r="AB1423" s="29" t="str">
        <f>IF(AA1423=1,COUNTIF($AA$2:AA1423,1),"")</f>
        <v/>
      </c>
    </row>
    <row r="1424" spans="6:28" ht="63" customHeight="1" x14ac:dyDescent="0.2">
      <c r="F1424" s="45" t="s">
        <v>4100</v>
      </c>
      <c r="T1424" s="41"/>
      <c r="U1424" s="29" t="str">
        <f>IF($C1424&lt;&gt;"",COUNTIF($C$2:C1424,C1424),"")</f>
        <v/>
      </c>
      <c r="V1424" s="29" t="str">
        <f t="shared" si="76"/>
        <v/>
      </c>
      <c r="W1424" s="29" t="str">
        <f>IF(U1424=1,COUNTIF($U$2:U1424,1),"")</f>
        <v/>
      </c>
      <c r="X1424" s="29" t="str">
        <f t="shared" si="75"/>
        <v/>
      </c>
      <c r="Y1424" s="29" t="str">
        <f>IF(AND(LEFT($B1424,7)="SBA 26/",$D1424&lt;&gt;"",$F1424&lt;&gt;""),COUNTIFS($D$2:$D1424,$D1424,$B$2:$B1424,"SBA 26/*",$F$2:$F1424,"&lt;&gt;"),"")</f>
        <v/>
      </c>
      <c r="Z1424" s="29" t="str">
        <f>IF(Y1424=1,COUNTIF($Y$2:Y1424,1),"")</f>
        <v/>
      </c>
      <c r="AA1424" s="29" t="str">
        <f>IF(AND(LEFT($B1424,7)="SBA 26/",$C1424&lt;&gt;"",$F1424&lt;&gt;""),COUNTIFS($C$2:$C1424,$C1424,$B$2:$B1424,"SBA 26/*",$F$2:$F1424,"&lt;&gt;"),"")</f>
        <v/>
      </c>
      <c r="AB1424" s="29" t="str">
        <f>IF(AA1424=1,COUNTIF($AA$2:AA1424,1),"")</f>
        <v/>
      </c>
    </row>
    <row r="1425" spans="6:28" ht="47.25" customHeight="1" x14ac:dyDescent="0.2">
      <c r="F1425" s="45" t="s">
        <v>4101</v>
      </c>
      <c r="T1425" s="41"/>
      <c r="U1425" s="29" t="str">
        <f>IF($C1425&lt;&gt;"",COUNTIF($C$2:C1425,C1425),"")</f>
        <v/>
      </c>
      <c r="V1425" s="29" t="str">
        <f t="shared" si="76"/>
        <v/>
      </c>
      <c r="W1425" s="29" t="str">
        <f>IF(U1425=1,COUNTIF($U$2:U1425,1),"")</f>
        <v/>
      </c>
      <c r="X1425" s="29" t="str">
        <f t="shared" si="75"/>
        <v/>
      </c>
      <c r="Y1425" s="29" t="str">
        <f>IF(AND(LEFT($B1425,7)="SBA 26/",$D1425&lt;&gt;"",$F1425&lt;&gt;""),COUNTIFS($D$2:$D1425,$D1425,$B$2:$B1425,"SBA 26/*",$F$2:$F1425,"&lt;&gt;"),"")</f>
        <v/>
      </c>
      <c r="Z1425" s="29" t="str">
        <f>IF(Y1425=1,COUNTIF($Y$2:Y1425,1),"")</f>
        <v/>
      </c>
      <c r="AA1425" s="29" t="str">
        <f>IF(AND(LEFT($B1425,7)="SBA 26/",$C1425&lt;&gt;"",$F1425&lt;&gt;""),COUNTIFS($C$2:$C1425,$C1425,$B$2:$B1425,"SBA 26/*",$F$2:$F1425,"&lt;&gt;"),"")</f>
        <v/>
      </c>
      <c r="AB1425" s="29" t="str">
        <f>IF(AA1425=1,COUNTIF($AA$2:AA1425,1),"")</f>
        <v/>
      </c>
    </row>
    <row r="1426" spans="6:28" ht="63" customHeight="1" x14ac:dyDescent="0.2">
      <c r="F1426" s="45" t="s">
        <v>4102</v>
      </c>
      <c r="T1426" s="41"/>
      <c r="U1426" s="29" t="str">
        <f>IF($C1426&lt;&gt;"",COUNTIF($C$2:C1426,C1426),"")</f>
        <v/>
      </c>
      <c r="V1426" s="29" t="str">
        <f t="shared" si="76"/>
        <v/>
      </c>
      <c r="W1426" s="29" t="str">
        <f>IF(U1426=1,COUNTIF($U$2:U1426,1),"")</f>
        <v/>
      </c>
      <c r="X1426" s="29" t="str">
        <f t="shared" si="75"/>
        <v/>
      </c>
      <c r="Y1426" s="29" t="str">
        <f>IF(AND(LEFT($B1426,7)="SBA 26/",$D1426&lt;&gt;"",$F1426&lt;&gt;""),COUNTIFS($D$2:$D1426,$D1426,$B$2:$B1426,"SBA 26/*",$F$2:$F1426,"&lt;&gt;"),"")</f>
        <v/>
      </c>
      <c r="Z1426" s="29" t="str">
        <f>IF(Y1426=1,COUNTIF($Y$2:Y1426,1),"")</f>
        <v/>
      </c>
      <c r="AA1426" s="29" t="str">
        <f>IF(AND(LEFT($B1426,7)="SBA 26/",$C1426&lt;&gt;"",$F1426&lt;&gt;""),COUNTIFS($C$2:$C1426,$C1426,$B$2:$B1426,"SBA 26/*",$F$2:$F1426,"&lt;&gt;"),"")</f>
        <v/>
      </c>
      <c r="AB1426" s="29" t="str">
        <f>IF(AA1426=1,COUNTIF($AA$2:AA1426,1),"")</f>
        <v/>
      </c>
    </row>
    <row r="1427" spans="6:28" ht="63" customHeight="1" x14ac:dyDescent="0.2">
      <c r="F1427" s="45" t="s">
        <v>4103</v>
      </c>
      <c r="T1427" s="41"/>
      <c r="U1427" s="29" t="str">
        <f>IF($C1427&lt;&gt;"",COUNTIF($C$2:C1427,C1427),"")</f>
        <v/>
      </c>
      <c r="V1427" s="29" t="str">
        <f t="shared" si="76"/>
        <v/>
      </c>
      <c r="W1427" s="29" t="str">
        <f>IF(U1427=1,COUNTIF($U$2:U1427,1),"")</f>
        <v/>
      </c>
      <c r="X1427" s="29" t="str">
        <f t="shared" si="75"/>
        <v/>
      </c>
      <c r="Y1427" s="29" t="str">
        <f>IF(AND(LEFT($B1427,7)="SBA 26/",$D1427&lt;&gt;"",$F1427&lt;&gt;""),COUNTIFS($D$2:$D1427,$D1427,$B$2:$B1427,"SBA 26/*",$F$2:$F1427,"&lt;&gt;"),"")</f>
        <v/>
      </c>
      <c r="Z1427" s="29" t="str">
        <f>IF(Y1427=1,COUNTIF($Y$2:Y1427,1),"")</f>
        <v/>
      </c>
      <c r="AA1427" s="29" t="str">
        <f>IF(AND(LEFT($B1427,7)="SBA 26/",$C1427&lt;&gt;"",$F1427&lt;&gt;""),COUNTIFS($C$2:$C1427,$C1427,$B$2:$B1427,"SBA 26/*",$F$2:$F1427,"&lt;&gt;"),"")</f>
        <v/>
      </c>
      <c r="AB1427" s="29" t="str">
        <f>IF(AA1427=1,COUNTIF($AA$2:AA1427,1),"")</f>
        <v/>
      </c>
    </row>
    <row r="1428" spans="6:28" ht="47.25" customHeight="1" x14ac:dyDescent="0.2">
      <c r="F1428" s="45" t="s">
        <v>4104</v>
      </c>
      <c r="T1428" s="41"/>
      <c r="U1428" s="29" t="str">
        <f>IF($C1428&lt;&gt;"",COUNTIF($C$2:C1428,C1428),"")</f>
        <v/>
      </c>
      <c r="V1428" s="29" t="str">
        <f t="shared" si="76"/>
        <v/>
      </c>
      <c r="W1428" s="29" t="str">
        <f>IF(U1428=1,COUNTIF($U$2:U1428,1),"")</f>
        <v/>
      </c>
      <c r="X1428" s="29" t="str">
        <f t="shared" si="75"/>
        <v/>
      </c>
      <c r="Y1428" s="29" t="str">
        <f>IF(AND(LEFT($B1428,7)="SBA 26/",$D1428&lt;&gt;"",$F1428&lt;&gt;""),COUNTIFS($D$2:$D1428,$D1428,$B$2:$B1428,"SBA 26/*",$F$2:$F1428,"&lt;&gt;"),"")</f>
        <v/>
      </c>
      <c r="Z1428" s="29" t="str">
        <f>IF(Y1428=1,COUNTIF($Y$2:Y1428,1),"")</f>
        <v/>
      </c>
      <c r="AA1428" s="29" t="str">
        <f>IF(AND(LEFT($B1428,7)="SBA 26/",$C1428&lt;&gt;"",$F1428&lt;&gt;""),COUNTIFS($C$2:$C1428,$C1428,$B$2:$B1428,"SBA 26/*",$F$2:$F1428,"&lt;&gt;"),"")</f>
        <v/>
      </c>
      <c r="AB1428" s="29" t="str">
        <f>IF(AA1428=1,COUNTIF($AA$2:AA1428,1),"")</f>
        <v/>
      </c>
    </row>
    <row r="1429" spans="6:28" ht="31.5" customHeight="1" x14ac:dyDescent="0.2">
      <c r="F1429" s="45" t="s">
        <v>4105</v>
      </c>
      <c r="T1429" s="41"/>
      <c r="U1429" s="29" t="str">
        <f>IF($C1429&lt;&gt;"",COUNTIF($C$2:C1429,C1429),"")</f>
        <v/>
      </c>
      <c r="V1429" s="29" t="str">
        <f t="shared" si="76"/>
        <v/>
      </c>
      <c r="W1429" s="29" t="str">
        <f>IF(U1429=1,COUNTIF($U$2:U1429,1),"")</f>
        <v/>
      </c>
      <c r="X1429" s="29" t="str">
        <f t="shared" si="75"/>
        <v/>
      </c>
      <c r="Y1429" s="29" t="str">
        <f>IF(AND(LEFT($B1429,7)="SBA 26/",$D1429&lt;&gt;"",$F1429&lt;&gt;""),COUNTIFS($D$2:$D1429,$D1429,$B$2:$B1429,"SBA 26/*",$F$2:$F1429,"&lt;&gt;"),"")</f>
        <v/>
      </c>
      <c r="Z1429" s="29" t="str">
        <f>IF(Y1429=1,COUNTIF($Y$2:Y1429,1),"")</f>
        <v/>
      </c>
      <c r="AA1429" s="29" t="str">
        <f>IF(AND(LEFT($B1429,7)="SBA 26/",$C1429&lt;&gt;"",$F1429&lt;&gt;""),COUNTIFS($C$2:$C1429,$C1429,$B$2:$B1429,"SBA 26/*",$F$2:$F1429,"&lt;&gt;"),"")</f>
        <v/>
      </c>
      <c r="AB1429" s="29" t="str">
        <f>IF(AA1429=1,COUNTIF($AA$2:AA1429,1),"")</f>
        <v/>
      </c>
    </row>
    <row r="1430" spans="6:28" ht="31.5" customHeight="1" x14ac:dyDescent="0.2">
      <c r="F1430" s="45" t="s">
        <v>4106</v>
      </c>
      <c r="T1430" s="41"/>
      <c r="U1430" s="29" t="str">
        <f>IF($C1430&lt;&gt;"",COUNTIF($C$2:C1430,C1430),"")</f>
        <v/>
      </c>
      <c r="V1430" s="29" t="str">
        <f t="shared" si="76"/>
        <v/>
      </c>
      <c r="W1430" s="29" t="str">
        <f>IF(U1430=1,COUNTIF($U$2:U1430,1),"")</f>
        <v/>
      </c>
      <c r="X1430" s="29" t="str">
        <f t="shared" si="75"/>
        <v/>
      </c>
      <c r="Y1430" s="29" t="str">
        <f>IF(AND(LEFT($B1430,7)="SBA 26/",$D1430&lt;&gt;"",$F1430&lt;&gt;""),COUNTIFS($D$2:$D1430,$D1430,$B$2:$B1430,"SBA 26/*",$F$2:$F1430,"&lt;&gt;"),"")</f>
        <v/>
      </c>
      <c r="Z1430" s="29" t="str">
        <f>IF(Y1430=1,COUNTIF($Y$2:Y1430,1),"")</f>
        <v/>
      </c>
      <c r="AA1430" s="29" t="str">
        <f>IF(AND(LEFT($B1430,7)="SBA 26/",$C1430&lt;&gt;"",$F1430&lt;&gt;""),COUNTIFS($C$2:$C1430,$C1430,$B$2:$B1430,"SBA 26/*",$F$2:$F1430,"&lt;&gt;"),"")</f>
        <v/>
      </c>
      <c r="AB1430" s="29" t="str">
        <f>IF(AA1430=1,COUNTIF($AA$2:AA1430,1),"")</f>
        <v/>
      </c>
    </row>
    <row r="1431" spans="6:28" ht="47.25" customHeight="1" x14ac:dyDescent="0.2">
      <c r="F1431" s="45" t="s">
        <v>4107</v>
      </c>
      <c r="T1431" s="41"/>
      <c r="U1431" s="29" t="str">
        <f>IF($C1431&lt;&gt;"",COUNTIF($C$2:C1431,C1431),"")</f>
        <v/>
      </c>
      <c r="V1431" s="29" t="str">
        <f t="shared" si="76"/>
        <v/>
      </c>
      <c r="W1431" s="29" t="str">
        <f>IF(U1431=1,COUNTIF($U$2:U1431,1),"")</f>
        <v/>
      </c>
      <c r="X1431" s="29" t="str">
        <f t="shared" si="75"/>
        <v/>
      </c>
      <c r="Y1431" s="29" t="str">
        <f>IF(AND(LEFT($B1431,7)="SBA 26/",$D1431&lt;&gt;"",$F1431&lt;&gt;""),COUNTIFS($D$2:$D1431,$D1431,$B$2:$B1431,"SBA 26/*",$F$2:$F1431,"&lt;&gt;"),"")</f>
        <v/>
      </c>
      <c r="Z1431" s="29" t="str">
        <f>IF(Y1431=1,COUNTIF($Y$2:Y1431,1),"")</f>
        <v/>
      </c>
      <c r="AA1431" s="29" t="str">
        <f>IF(AND(LEFT($B1431,7)="SBA 26/",$C1431&lt;&gt;"",$F1431&lt;&gt;""),COUNTIFS($C$2:$C1431,$C1431,$B$2:$B1431,"SBA 26/*",$F$2:$F1431,"&lt;&gt;"),"")</f>
        <v/>
      </c>
      <c r="AB1431" s="29" t="str">
        <f>IF(AA1431=1,COUNTIF($AA$2:AA1431,1),"")</f>
        <v/>
      </c>
    </row>
    <row r="1432" spans="6:28" ht="31.5" customHeight="1" x14ac:dyDescent="0.2">
      <c r="F1432" s="45" t="s">
        <v>4108</v>
      </c>
      <c r="T1432" s="41"/>
      <c r="U1432" s="29" t="str">
        <f>IF($C1432&lt;&gt;"",COUNTIF($C$2:C1432,C1432),"")</f>
        <v/>
      </c>
      <c r="V1432" s="29" t="str">
        <f t="shared" si="76"/>
        <v/>
      </c>
      <c r="W1432" s="29" t="str">
        <f>IF(U1432=1,COUNTIF($U$2:U1432,1),"")</f>
        <v/>
      </c>
      <c r="X1432" s="29" t="str">
        <f t="shared" si="75"/>
        <v/>
      </c>
      <c r="Y1432" s="29" t="str">
        <f>IF(AND(LEFT($B1432,7)="SBA 26/",$D1432&lt;&gt;"",$F1432&lt;&gt;""),COUNTIFS($D$2:$D1432,$D1432,$B$2:$B1432,"SBA 26/*",$F$2:$F1432,"&lt;&gt;"),"")</f>
        <v/>
      </c>
      <c r="Z1432" s="29" t="str">
        <f>IF(Y1432=1,COUNTIF($Y$2:Y1432,1),"")</f>
        <v/>
      </c>
      <c r="AA1432" s="29" t="str">
        <f>IF(AND(LEFT($B1432,7)="SBA 26/",$C1432&lt;&gt;"",$F1432&lt;&gt;""),COUNTIFS($C$2:$C1432,$C1432,$B$2:$B1432,"SBA 26/*",$F$2:$F1432,"&lt;&gt;"),"")</f>
        <v/>
      </c>
      <c r="AB1432" s="29" t="str">
        <f>IF(AA1432=1,COUNTIF($AA$2:AA1432,1),"")</f>
        <v/>
      </c>
    </row>
    <row r="1433" spans="6:28" ht="47.25" customHeight="1" x14ac:dyDescent="0.2">
      <c r="F1433" s="45" t="s">
        <v>4109</v>
      </c>
      <c r="T1433" s="41"/>
      <c r="U1433" s="29" t="str">
        <f>IF($C1433&lt;&gt;"",COUNTIF($C$2:C1433,C1433),"")</f>
        <v/>
      </c>
      <c r="V1433" s="29" t="str">
        <f t="shared" si="76"/>
        <v/>
      </c>
      <c r="W1433" s="29" t="str">
        <f>IF(U1433=1,COUNTIF($U$2:U1433,1),"")</f>
        <v/>
      </c>
      <c r="X1433" s="29" t="str">
        <f t="shared" si="75"/>
        <v/>
      </c>
      <c r="Y1433" s="29" t="str">
        <f>IF(AND(LEFT($B1433,7)="SBA 26/",$D1433&lt;&gt;"",$F1433&lt;&gt;""),COUNTIFS($D$2:$D1433,$D1433,$B$2:$B1433,"SBA 26/*",$F$2:$F1433,"&lt;&gt;"),"")</f>
        <v/>
      </c>
      <c r="Z1433" s="29" t="str">
        <f>IF(Y1433=1,COUNTIF($Y$2:Y1433,1),"")</f>
        <v/>
      </c>
      <c r="AA1433" s="29" t="str">
        <f>IF(AND(LEFT($B1433,7)="SBA 26/",$C1433&lt;&gt;"",$F1433&lt;&gt;""),COUNTIFS($C$2:$C1433,$C1433,$B$2:$B1433,"SBA 26/*",$F$2:$F1433,"&lt;&gt;"),"")</f>
        <v/>
      </c>
      <c r="AB1433" s="29" t="str">
        <f>IF(AA1433=1,COUNTIF($AA$2:AA1433,1),"")</f>
        <v/>
      </c>
    </row>
    <row r="1434" spans="6:28" ht="31.5" customHeight="1" x14ac:dyDescent="0.2">
      <c r="F1434" s="45" t="s">
        <v>4110</v>
      </c>
      <c r="T1434" s="41"/>
      <c r="U1434" s="29" t="str">
        <f>IF($C1434&lt;&gt;"",COUNTIF($C$2:C1434,C1434),"")</f>
        <v/>
      </c>
      <c r="V1434" s="29" t="str">
        <f t="shared" si="76"/>
        <v/>
      </c>
      <c r="W1434" s="29" t="str">
        <f>IF(U1434=1,COUNTIF($U$2:U1434,1),"")</f>
        <v/>
      </c>
      <c r="X1434" s="29" t="str">
        <f t="shared" si="75"/>
        <v/>
      </c>
      <c r="Y1434" s="29" t="str">
        <f>IF(AND(LEFT($B1434,7)="SBA 26/",$D1434&lt;&gt;"",$F1434&lt;&gt;""),COUNTIFS($D$2:$D1434,$D1434,$B$2:$B1434,"SBA 26/*",$F$2:$F1434,"&lt;&gt;"),"")</f>
        <v/>
      </c>
      <c r="Z1434" s="29" t="str">
        <f>IF(Y1434=1,COUNTIF($Y$2:Y1434,1),"")</f>
        <v/>
      </c>
      <c r="AA1434" s="29" t="str">
        <f>IF(AND(LEFT($B1434,7)="SBA 26/",$C1434&lt;&gt;"",$F1434&lt;&gt;""),COUNTIFS($C$2:$C1434,$C1434,$B$2:$B1434,"SBA 26/*",$F$2:$F1434,"&lt;&gt;"),"")</f>
        <v/>
      </c>
      <c r="AB1434" s="29" t="str">
        <f>IF(AA1434=1,COUNTIF($AA$2:AA1434,1),"")</f>
        <v/>
      </c>
    </row>
    <row r="1435" spans="6:28" ht="31.5" customHeight="1" x14ac:dyDescent="0.2">
      <c r="F1435" s="45" t="s">
        <v>4111</v>
      </c>
      <c r="T1435" s="41"/>
      <c r="U1435" s="29" t="str">
        <f>IF($C1435&lt;&gt;"",COUNTIF($C$2:C1435,C1435),"")</f>
        <v/>
      </c>
      <c r="V1435" s="29" t="str">
        <f t="shared" si="76"/>
        <v/>
      </c>
      <c r="W1435" s="29" t="str">
        <f>IF(U1435=1,COUNTIF($U$2:U1435,1),"")</f>
        <v/>
      </c>
      <c r="X1435" s="29" t="str">
        <f t="shared" si="75"/>
        <v/>
      </c>
      <c r="Y1435" s="29" t="str">
        <f>IF(AND(LEFT($B1435,7)="SBA 26/",$D1435&lt;&gt;"",$F1435&lt;&gt;""),COUNTIFS($D$2:$D1435,$D1435,$B$2:$B1435,"SBA 26/*",$F$2:$F1435,"&lt;&gt;"),"")</f>
        <v/>
      </c>
      <c r="Z1435" s="29" t="str">
        <f>IF(Y1435=1,COUNTIF($Y$2:Y1435,1),"")</f>
        <v/>
      </c>
      <c r="AA1435" s="29" t="str">
        <f>IF(AND(LEFT($B1435,7)="SBA 26/",$C1435&lt;&gt;"",$F1435&lt;&gt;""),COUNTIFS($C$2:$C1435,$C1435,$B$2:$B1435,"SBA 26/*",$F$2:$F1435,"&lt;&gt;"),"")</f>
        <v/>
      </c>
      <c r="AB1435" s="29" t="str">
        <f>IF(AA1435=1,COUNTIF($AA$2:AA1435,1),"")</f>
        <v/>
      </c>
    </row>
    <row r="1436" spans="6:28" ht="31.5" customHeight="1" x14ac:dyDescent="0.2">
      <c r="F1436" s="45" t="s">
        <v>4112</v>
      </c>
      <c r="T1436" s="41"/>
      <c r="U1436" s="29" t="str">
        <f>IF($C1436&lt;&gt;"",COUNTIF($C$2:C1436,C1436),"")</f>
        <v/>
      </c>
      <c r="V1436" s="29" t="str">
        <f t="shared" si="76"/>
        <v/>
      </c>
      <c r="W1436" s="29" t="str">
        <f>IF(U1436=1,COUNTIF($U$2:U1436,1),"")</f>
        <v/>
      </c>
      <c r="X1436" s="29" t="str">
        <f t="shared" si="75"/>
        <v/>
      </c>
      <c r="Y1436" s="29" t="str">
        <f>IF(AND(LEFT($B1436,7)="SBA 26/",$D1436&lt;&gt;"",$F1436&lt;&gt;""),COUNTIFS($D$2:$D1436,$D1436,$B$2:$B1436,"SBA 26/*",$F$2:$F1436,"&lt;&gt;"),"")</f>
        <v/>
      </c>
      <c r="Z1436" s="29" t="str">
        <f>IF(Y1436=1,COUNTIF($Y$2:Y1436,1),"")</f>
        <v/>
      </c>
      <c r="AA1436" s="29" t="str">
        <f>IF(AND(LEFT($B1436,7)="SBA 26/",$C1436&lt;&gt;"",$F1436&lt;&gt;""),COUNTIFS($C$2:$C1436,$C1436,$B$2:$B1436,"SBA 26/*",$F$2:$F1436,"&lt;&gt;"),"")</f>
        <v/>
      </c>
      <c r="AB1436" s="29" t="str">
        <f>IF(AA1436=1,COUNTIF($AA$2:AA1436,1),"")</f>
        <v/>
      </c>
    </row>
    <row r="1437" spans="6:28" ht="31.5" customHeight="1" x14ac:dyDescent="0.2">
      <c r="F1437" s="45" t="s">
        <v>4113</v>
      </c>
      <c r="T1437" s="41"/>
      <c r="U1437" s="29" t="str">
        <f>IF($C1437&lt;&gt;"",COUNTIF($C$2:C1437,C1437),"")</f>
        <v/>
      </c>
      <c r="V1437" s="29" t="str">
        <f t="shared" si="76"/>
        <v/>
      </c>
      <c r="W1437" s="29" t="str">
        <f>IF(U1437=1,COUNTIF($U$2:U1437,1),"")</f>
        <v/>
      </c>
      <c r="X1437" s="29" t="str">
        <f t="shared" si="75"/>
        <v/>
      </c>
      <c r="Y1437" s="29" t="str">
        <f>IF(AND(LEFT($B1437,7)="SBA 26/",$D1437&lt;&gt;"",$F1437&lt;&gt;""),COUNTIFS($D$2:$D1437,$D1437,$B$2:$B1437,"SBA 26/*",$F$2:$F1437,"&lt;&gt;"),"")</f>
        <v/>
      </c>
      <c r="Z1437" s="29" t="str">
        <f>IF(Y1437=1,COUNTIF($Y$2:Y1437,1),"")</f>
        <v/>
      </c>
      <c r="AA1437" s="29" t="str">
        <f>IF(AND(LEFT($B1437,7)="SBA 26/",$C1437&lt;&gt;"",$F1437&lt;&gt;""),COUNTIFS($C$2:$C1437,$C1437,$B$2:$B1437,"SBA 26/*",$F$2:$F1437,"&lt;&gt;"),"")</f>
        <v/>
      </c>
      <c r="AB1437" s="29" t="str">
        <f>IF(AA1437=1,COUNTIF($AA$2:AA1437,1),"")</f>
        <v/>
      </c>
    </row>
    <row r="1438" spans="6:28" ht="31.5" customHeight="1" x14ac:dyDescent="0.2">
      <c r="F1438" s="45" t="s">
        <v>4114</v>
      </c>
      <c r="T1438" s="41"/>
      <c r="U1438" s="29" t="str">
        <f>IF($C1438&lt;&gt;"",COUNTIF($C$2:C1438,C1438),"")</f>
        <v/>
      </c>
      <c r="V1438" s="29" t="str">
        <f t="shared" si="76"/>
        <v/>
      </c>
      <c r="W1438" s="29" t="str">
        <f>IF(U1438=1,COUNTIF($U$2:U1438,1),"")</f>
        <v/>
      </c>
      <c r="X1438" s="29" t="str">
        <f t="shared" si="75"/>
        <v/>
      </c>
      <c r="Y1438" s="29" t="str">
        <f>IF(AND(LEFT($B1438,7)="SBA 26/",$D1438&lt;&gt;"",$F1438&lt;&gt;""),COUNTIFS($D$2:$D1438,$D1438,$B$2:$B1438,"SBA 26/*",$F$2:$F1438,"&lt;&gt;"),"")</f>
        <v/>
      </c>
      <c r="Z1438" s="29" t="str">
        <f>IF(Y1438=1,COUNTIF($Y$2:Y1438,1),"")</f>
        <v/>
      </c>
      <c r="AA1438" s="29" t="str">
        <f>IF(AND(LEFT($B1438,7)="SBA 26/",$C1438&lt;&gt;"",$F1438&lt;&gt;""),COUNTIFS($C$2:$C1438,$C1438,$B$2:$B1438,"SBA 26/*",$F$2:$F1438,"&lt;&gt;"),"")</f>
        <v/>
      </c>
      <c r="AB1438" s="29" t="str">
        <f>IF(AA1438=1,COUNTIF($AA$2:AA1438,1),"")</f>
        <v/>
      </c>
    </row>
    <row r="1439" spans="6:28" ht="47.25" customHeight="1" x14ac:dyDescent="0.2">
      <c r="F1439" s="45" t="s">
        <v>4115</v>
      </c>
      <c r="T1439" s="41"/>
      <c r="U1439" s="29" t="str">
        <f>IF($C1439&lt;&gt;"",COUNTIF($C$2:C1439,C1439),"")</f>
        <v/>
      </c>
      <c r="V1439" s="29" t="str">
        <f t="shared" si="76"/>
        <v/>
      </c>
      <c r="W1439" s="29" t="str">
        <f>IF(U1439=1,COUNTIF($U$2:U1439,1),"")</f>
        <v/>
      </c>
      <c r="X1439" s="29" t="str">
        <f t="shared" si="75"/>
        <v/>
      </c>
      <c r="Y1439" s="29" t="str">
        <f>IF(AND(LEFT($B1439,7)="SBA 26/",$D1439&lt;&gt;"",$F1439&lt;&gt;""),COUNTIFS($D$2:$D1439,$D1439,$B$2:$B1439,"SBA 26/*",$F$2:$F1439,"&lt;&gt;"),"")</f>
        <v/>
      </c>
      <c r="Z1439" s="29" t="str">
        <f>IF(Y1439=1,COUNTIF($Y$2:Y1439,1),"")</f>
        <v/>
      </c>
      <c r="AA1439" s="29" t="str">
        <f>IF(AND(LEFT($B1439,7)="SBA 26/",$C1439&lt;&gt;"",$F1439&lt;&gt;""),COUNTIFS($C$2:$C1439,$C1439,$B$2:$B1439,"SBA 26/*",$F$2:$F1439,"&lt;&gt;"),"")</f>
        <v/>
      </c>
      <c r="AB1439" s="29" t="str">
        <f>IF(AA1439=1,COUNTIF($AA$2:AA1439,1),"")</f>
        <v/>
      </c>
    </row>
    <row r="1440" spans="6:28" ht="47.25" customHeight="1" x14ac:dyDescent="0.2">
      <c r="F1440" s="45" t="s">
        <v>4116</v>
      </c>
      <c r="T1440" s="41"/>
      <c r="U1440" s="29" t="str">
        <f>IF($C1440&lt;&gt;"",COUNTIF($C$2:C1440,C1440),"")</f>
        <v/>
      </c>
      <c r="V1440" s="29" t="str">
        <f t="shared" si="76"/>
        <v/>
      </c>
      <c r="W1440" s="29" t="str">
        <f>IF(U1440=1,COUNTIF($U$2:U1440,1),"")</f>
        <v/>
      </c>
      <c r="X1440" s="29" t="str">
        <f t="shared" si="75"/>
        <v/>
      </c>
      <c r="Y1440" s="29" t="str">
        <f>IF(AND(LEFT($B1440,7)="SBA 26/",$D1440&lt;&gt;"",$F1440&lt;&gt;""),COUNTIFS($D$2:$D1440,$D1440,$B$2:$B1440,"SBA 26/*",$F$2:$F1440,"&lt;&gt;"),"")</f>
        <v/>
      </c>
      <c r="Z1440" s="29" t="str">
        <f>IF(Y1440=1,COUNTIF($Y$2:Y1440,1),"")</f>
        <v/>
      </c>
      <c r="AA1440" s="29" t="str">
        <f>IF(AND(LEFT($B1440,7)="SBA 26/",$C1440&lt;&gt;"",$F1440&lt;&gt;""),COUNTIFS($C$2:$C1440,$C1440,$B$2:$B1440,"SBA 26/*",$F$2:$F1440,"&lt;&gt;"),"")</f>
        <v/>
      </c>
      <c r="AB1440" s="29" t="str">
        <f>IF(AA1440=1,COUNTIF($AA$2:AA1440,1),"")</f>
        <v/>
      </c>
    </row>
    <row r="1441" spans="6:28" ht="47.25" customHeight="1" x14ac:dyDescent="0.2">
      <c r="F1441" s="45" t="s">
        <v>4117</v>
      </c>
      <c r="T1441" s="41"/>
      <c r="U1441" s="29" t="str">
        <f>IF($C1441&lt;&gt;"",COUNTIF($C$2:C1441,C1441),"")</f>
        <v/>
      </c>
      <c r="V1441" s="29" t="str">
        <f t="shared" si="76"/>
        <v/>
      </c>
      <c r="W1441" s="29" t="str">
        <f>IF(U1441=1,COUNTIF($U$2:U1441,1),"")</f>
        <v/>
      </c>
      <c r="X1441" s="29" t="str">
        <f t="shared" si="75"/>
        <v/>
      </c>
      <c r="Y1441" s="29" t="str">
        <f>IF(AND(LEFT($B1441,7)="SBA 26/",$D1441&lt;&gt;"",$F1441&lt;&gt;""),COUNTIFS($D$2:$D1441,$D1441,$B$2:$B1441,"SBA 26/*",$F$2:$F1441,"&lt;&gt;"),"")</f>
        <v/>
      </c>
      <c r="Z1441" s="29" t="str">
        <f>IF(Y1441=1,COUNTIF($Y$2:Y1441,1),"")</f>
        <v/>
      </c>
      <c r="AA1441" s="29" t="str">
        <f>IF(AND(LEFT($B1441,7)="SBA 26/",$C1441&lt;&gt;"",$F1441&lt;&gt;""),COUNTIFS($C$2:$C1441,$C1441,$B$2:$B1441,"SBA 26/*",$F$2:$F1441,"&lt;&gt;"),"")</f>
        <v/>
      </c>
      <c r="AB1441" s="29" t="str">
        <f>IF(AA1441=1,COUNTIF($AA$2:AA1441,1),"")</f>
        <v/>
      </c>
    </row>
    <row r="1442" spans="6:28" ht="63" customHeight="1" x14ac:dyDescent="0.2">
      <c r="F1442" s="45" t="s">
        <v>4118</v>
      </c>
      <c r="T1442" s="41"/>
      <c r="U1442" s="29" t="str">
        <f>IF($C1442&lt;&gt;"",COUNTIF($C$2:C1442,C1442),"")</f>
        <v/>
      </c>
      <c r="V1442" s="29" t="str">
        <f t="shared" si="76"/>
        <v/>
      </c>
      <c r="W1442" s="29" t="str">
        <f>IF(U1442=1,COUNTIF($U$2:U1442,1),"")</f>
        <v/>
      </c>
      <c r="X1442" s="29" t="str">
        <f t="shared" si="75"/>
        <v/>
      </c>
      <c r="Y1442" s="29" t="str">
        <f>IF(AND(LEFT($B1442,7)="SBA 26/",$D1442&lt;&gt;"",$F1442&lt;&gt;""),COUNTIFS($D$2:$D1442,$D1442,$B$2:$B1442,"SBA 26/*",$F$2:$F1442,"&lt;&gt;"),"")</f>
        <v/>
      </c>
      <c r="Z1442" s="29" t="str">
        <f>IF(Y1442=1,COUNTIF($Y$2:Y1442,1),"")</f>
        <v/>
      </c>
      <c r="AA1442" s="29" t="str">
        <f>IF(AND(LEFT($B1442,7)="SBA 26/",$C1442&lt;&gt;"",$F1442&lt;&gt;""),COUNTIFS($C$2:$C1442,$C1442,$B$2:$B1442,"SBA 26/*",$F$2:$F1442,"&lt;&gt;"),"")</f>
        <v/>
      </c>
      <c r="AB1442" s="29" t="str">
        <f>IF(AA1442=1,COUNTIF($AA$2:AA1442,1),"")</f>
        <v/>
      </c>
    </row>
    <row r="1443" spans="6:28" ht="47.25" customHeight="1" x14ac:dyDescent="0.2">
      <c r="F1443" s="45" t="s">
        <v>4119</v>
      </c>
      <c r="T1443" s="41"/>
      <c r="U1443" s="29" t="str">
        <f>IF($C1443&lt;&gt;"",COUNTIF($C$2:C1443,C1443),"")</f>
        <v/>
      </c>
      <c r="V1443" s="29" t="str">
        <f t="shared" si="76"/>
        <v/>
      </c>
      <c r="W1443" s="29" t="str">
        <f>IF(U1443=1,COUNTIF($U$2:U1443,1),"")</f>
        <v/>
      </c>
      <c r="X1443" s="29" t="str">
        <f t="shared" si="75"/>
        <v/>
      </c>
      <c r="Y1443" s="29" t="str">
        <f>IF(AND(LEFT($B1443,7)="SBA 26/",$D1443&lt;&gt;"",$F1443&lt;&gt;""),COUNTIFS($D$2:$D1443,$D1443,$B$2:$B1443,"SBA 26/*",$F$2:$F1443,"&lt;&gt;"),"")</f>
        <v/>
      </c>
      <c r="Z1443" s="29" t="str">
        <f>IF(Y1443=1,COUNTIF($Y$2:Y1443,1),"")</f>
        <v/>
      </c>
      <c r="AA1443" s="29" t="str">
        <f>IF(AND(LEFT($B1443,7)="SBA 26/",$C1443&lt;&gt;"",$F1443&lt;&gt;""),COUNTIFS($C$2:$C1443,$C1443,$B$2:$B1443,"SBA 26/*",$F$2:$F1443,"&lt;&gt;"),"")</f>
        <v/>
      </c>
      <c r="AB1443" s="29" t="str">
        <f>IF(AA1443=1,COUNTIF($AA$2:AA1443,1),"")</f>
        <v/>
      </c>
    </row>
    <row r="1444" spans="6:28" ht="47.25" customHeight="1" x14ac:dyDescent="0.2">
      <c r="F1444" s="45" t="s">
        <v>4120</v>
      </c>
      <c r="T1444" s="41"/>
      <c r="U1444" s="29" t="str">
        <f>IF($C1444&lt;&gt;"",COUNTIF($C$2:C1444,C1444),"")</f>
        <v/>
      </c>
      <c r="V1444" s="29" t="str">
        <f t="shared" si="76"/>
        <v/>
      </c>
      <c r="W1444" s="29" t="str">
        <f>IF(U1444=1,COUNTIF($U$2:U1444,1),"")</f>
        <v/>
      </c>
      <c r="X1444" s="29" t="str">
        <f t="shared" si="75"/>
        <v/>
      </c>
      <c r="Y1444" s="29" t="str">
        <f>IF(AND(LEFT($B1444,7)="SBA 26/",$D1444&lt;&gt;"",$F1444&lt;&gt;""),COUNTIFS($D$2:$D1444,$D1444,$B$2:$B1444,"SBA 26/*",$F$2:$F1444,"&lt;&gt;"),"")</f>
        <v/>
      </c>
      <c r="Z1444" s="29" t="str">
        <f>IF(Y1444=1,COUNTIF($Y$2:Y1444,1),"")</f>
        <v/>
      </c>
      <c r="AA1444" s="29" t="str">
        <f>IF(AND(LEFT($B1444,7)="SBA 26/",$C1444&lt;&gt;"",$F1444&lt;&gt;""),COUNTIFS($C$2:$C1444,$C1444,$B$2:$B1444,"SBA 26/*",$F$2:$F1444,"&lt;&gt;"),"")</f>
        <v/>
      </c>
      <c r="AB1444" s="29" t="str">
        <f>IF(AA1444=1,COUNTIF($AA$2:AA1444,1),"")</f>
        <v/>
      </c>
    </row>
    <row r="1445" spans="6:28" ht="63" customHeight="1" x14ac:dyDescent="0.2">
      <c r="F1445" s="45" t="s">
        <v>4121</v>
      </c>
      <c r="T1445" s="41"/>
      <c r="U1445" s="29" t="str">
        <f>IF($C1445&lt;&gt;"",COUNTIF($C$2:C1445,C1445),"")</f>
        <v/>
      </c>
      <c r="V1445" s="29" t="str">
        <f t="shared" si="76"/>
        <v/>
      </c>
      <c r="W1445" s="29" t="str">
        <f>IF(U1445=1,COUNTIF($U$2:U1445,1),"")</f>
        <v/>
      </c>
      <c r="X1445" s="29" t="str">
        <f t="shared" si="75"/>
        <v/>
      </c>
      <c r="Y1445" s="29" t="str">
        <f>IF(AND(LEFT($B1445,7)="SBA 26/",$D1445&lt;&gt;"",$F1445&lt;&gt;""),COUNTIFS($D$2:$D1445,$D1445,$B$2:$B1445,"SBA 26/*",$F$2:$F1445,"&lt;&gt;"),"")</f>
        <v/>
      </c>
      <c r="Z1445" s="29" t="str">
        <f>IF(Y1445=1,COUNTIF($Y$2:Y1445,1),"")</f>
        <v/>
      </c>
      <c r="AA1445" s="29" t="str">
        <f>IF(AND(LEFT($B1445,7)="SBA 26/",$C1445&lt;&gt;"",$F1445&lt;&gt;""),COUNTIFS($C$2:$C1445,$C1445,$B$2:$B1445,"SBA 26/*",$F$2:$F1445,"&lt;&gt;"),"")</f>
        <v/>
      </c>
      <c r="AB1445" s="29" t="str">
        <f>IF(AA1445=1,COUNTIF($AA$2:AA1445,1),"")</f>
        <v/>
      </c>
    </row>
    <row r="1446" spans="6:28" ht="47.25" customHeight="1" x14ac:dyDescent="0.2">
      <c r="F1446" s="45" t="s">
        <v>4122</v>
      </c>
      <c r="T1446" s="41"/>
      <c r="U1446" s="29" t="str">
        <f>IF($C1446&lt;&gt;"",COUNTIF($C$2:C1446,C1446),"")</f>
        <v/>
      </c>
      <c r="V1446" s="29" t="str">
        <f t="shared" si="76"/>
        <v/>
      </c>
      <c r="W1446" s="29" t="str">
        <f>IF(U1446=1,COUNTIF($U$2:U1446,1),"")</f>
        <v/>
      </c>
      <c r="X1446" s="29" t="str">
        <f t="shared" si="75"/>
        <v/>
      </c>
      <c r="Y1446" s="29" t="str">
        <f>IF(AND(LEFT($B1446,7)="SBA 26/",$D1446&lt;&gt;"",$F1446&lt;&gt;""),COUNTIFS($D$2:$D1446,$D1446,$B$2:$B1446,"SBA 26/*",$F$2:$F1446,"&lt;&gt;"),"")</f>
        <v/>
      </c>
      <c r="Z1446" s="29" t="str">
        <f>IF(Y1446=1,COUNTIF($Y$2:Y1446,1),"")</f>
        <v/>
      </c>
      <c r="AA1446" s="29" t="str">
        <f>IF(AND(LEFT($B1446,7)="SBA 26/",$C1446&lt;&gt;"",$F1446&lt;&gt;""),COUNTIFS($C$2:$C1446,$C1446,$B$2:$B1446,"SBA 26/*",$F$2:$F1446,"&lt;&gt;"),"")</f>
        <v/>
      </c>
      <c r="AB1446" s="29" t="str">
        <f>IF(AA1446=1,COUNTIF($AA$2:AA1446,1),"")</f>
        <v/>
      </c>
    </row>
    <row r="1447" spans="6:28" ht="47.25" customHeight="1" x14ac:dyDescent="0.2">
      <c r="F1447" s="45" t="s">
        <v>4123</v>
      </c>
      <c r="T1447" s="41"/>
      <c r="U1447" s="29" t="str">
        <f>IF($C1447&lt;&gt;"",COUNTIF($C$2:C1447,C1447),"")</f>
        <v/>
      </c>
      <c r="V1447" s="29" t="str">
        <f t="shared" si="76"/>
        <v/>
      </c>
      <c r="W1447" s="29" t="str">
        <f>IF(U1447=1,COUNTIF($U$2:U1447,1),"")</f>
        <v/>
      </c>
      <c r="X1447" s="29" t="str">
        <f t="shared" si="75"/>
        <v/>
      </c>
      <c r="Y1447" s="29" t="str">
        <f>IF(AND(LEFT($B1447,7)="SBA 26/",$D1447&lt;&gt;"",$F1447&lt;&gt;""),COUNTIFS($D$2:$D1447,$D1447,$B$2:$B1447,"SBA 26/*",$F$2:$F1447,"&lt;&gt;"),"")</f>
        <v/>
      </c>
      <c r="Z1447" s="29" t="str">
        <f>IF(Y1447=1,COUNTIF($Y$2:Y1447,1),"")</f>
        <v/>
      </c>
      <c r="AA1447" s="29" t="str">
        <f>IF(AND(LEFT($B1447,7)="SBA 26/",$C1447&lt;&gt;"",$F1447&lt;&gt;""),COUNTIFS($C$2:$C1447,$C1447,$B$2:$B1447,"SBA 26/*",$F$2:$F1447,"&lt;&gt;"),"")</f>
        <v/>
      </c>
      <c r="AB1447" s="29" t="str">
        <f>IF(AA1447=1,COUNTIF($AA$2:AA1447,1),"")</f>
        <v/>
      </c>
    </row>
    <row r="1448" spans="6:28" ht="63" customHeight="1" x14ac:dyDescent="0.2">
      <c r="F1448" s="45" t="s">
        <v>4124</v>
      </c>
      <c r="T1448" s="41"/>
      <c r="U1448" s="29" t="str">
        <f>IF($C1448&lt;&gt;"",COUNTIF($C$2:C1448,C1448),"")</f>
        <v/>
      </c>
      <c r="V1448" s="29" t="str">
        <f t="shared" si="76"/>
        <v/>
      </c>
      <c r="W1448" s="29" t="str">
        <f>IF(U1448=1,COUNTIF($U$2:U1448,1),"")</f>
        <v/>
      </c>
      <c r="X1448" s="29" t="str">
        <f t="shared" si="75"/>
        <v/>
      </c>
      <c r="Y1448" s="29" t="str">
        <f>IF(AND(LEFT($B1448,7)="SBA 26/",$D1448&lt;&gt;"",$F1448&lt;&gt;""),COUNTIFS($D$2:$D1448,$D1448,$B$2:$B1448,"SBA 26/*",$F$2:$F1448,"&lt;&gt;"),"")</f>
        <v/>
      </c>
      <c r="Z1448" s="29" t="str">
        <f>IF(Y1448=1,COUNTIF($Y$2:Y1448,1),"")</f>
        <v/>
      </c>
      <c r="AA1448" s="29" t="str">
        <f>IF(AND(LEFT($B1448,7)="SBA 26/",$C1448&lt;&gt;"",$F1448&lt;&gt;""),COUNTIFS($C$2:$C1448,$C1448,$B$2:$B1448,"SBA 26/*",$F$2:$F1448,"&lt;&gt;"),"")</f>
        <v/>
      </c>
      <c r="AB1448" s="29" t="str">
        <f>IF(AA1448=1,COUNTIF($AA$2:AA1448,1),"")</f>
        <v/>
      </c>
    </row>
    <row r="1449" spans="6:28" ht="63" customHeight="1" x14ac:dyDescent="0.2">
      <c r="F1449" s="45" t="s">
        <v>4125</v>
      </c>
      <c r="T1449" s="41"/>
      <c r="U1449" s="29" t="str">
        <f>IF($C1449&lt;&gt;"",COUNTIF($C$2:C1449,C1449),"")</f>
        <v/>
      </c>
      <c r="V1449" s="29" t="str">
        <f t="shared" si="76"/>
        <v/>
      </c>
      <c r="W1449" s="29" t="str">
        <f>IF(U1449=1,COUNTIF($U$2:U1449,1),"")</f>
        <v/>
      </c>
      <c r="X1449" s="29" t="str">
        <f t="shared" si="75"/>
        <v/>
      </c>
      <c r="Y1449" s="29" t="str">
        <f>IF(AND(LEFT($B1449,7)="SBA 26/",$D1449&lt;&gt;"",$F1449&lt;&gt;""),COUNTIFS($D$2:$D1449,$D1449,$B$2:$B1449,"SBA 26/*",$F$2:$F1449,"&lt;&gt;"),"")</f>
        <v/>
      </c>
      <c r="Z1449" s="29" t="str">
        <f>IF(Y1449=1,COUNTIF($Y$2:Y1449,1),"")</f>
        <v/>
      </c>
      <c r="AA1449" s="29" t="str">
        <f>IF(AND(LEFT($B1449,7)="SBA 26/",$C1449&lt;&gt;"",$F1449&lt;&gt;""),COUNTIFS($C$2:$C1449,$C1449,$B$2:$B1449,"SBA 26/*",$F$2:$F1449,"&lt;&gt;"),"")</f>
        <v/>
      </c>
      <c r="AB1449" s="29" t="str">
        <f>IF(AA1449=1,COUNTIF($AA$2:AA1449,1),"")</f>
        <v/>
      </c>
    </row>
    <row r="1450" spans="6:28" ht="47.25" customHeight="1" x14ac:dyDescent="0.2">
      <c r="F1450" s="45" t="s">
        <v>4126</v>
      </c>
      <c r="T1450" s="41"/>
      <c r="U1450" s="29" t="str">
        <f>IF($C1450&lt;&gt;"",COUNTIF($C$2:C1450,C1450),"")</f>
        <v/>
      </c>
      <c r="V1450" s="29" t="str">
        <f t="shared" si="76"/>
        <v/>
      </c>
      <c r="W1450" s="29" t="str">
        <f>IF(U1450=1,COUNTIF($U$2:U1450,1),"")</f>
        <v/>
      </c>
      <c r="X1450" s="29" t="str">
        <f t="shared" si="75"/>
        <v/>
      </c>
      <c r="Y1450" s="29" t="str">
        <f>IF(AND(LEFT($B1450,7)="SBA 26/",$D1450&lt;&gt;"",$F1450&lt;&gt;""),COUNTIFS($D$2:$D1450,$D1450,$B$2:$B1450,"SBA 26/*",$F$2:$F1450,"&lt;&gt;"),"")</f>
        <v/>
      </c>
      <c r="Z1450" s="29" t="str">
        <f>IF(Y1450=1,COUNTIF($Y$2:Y1450,1),"")</f>
        <v/>
      </c>
      <c r="AA1450" s="29" t="str">
        <f>IF(AND(LEFT($B1450,7)="SBA 26/",$C1450&lt;&gt;"",$F1450&lt;&gt;""),COUNTIFS($C$2:$C1450,$C1450,$B$2:$B1450,"SBA 26/*",$F$2:$F1450,"&lt;&gt;"),"")</f>
        <v/>
      </c>
      <c r="AB1450" s="29" t="str">
        <f>IF(AA1450=1,COUNTIF($AA$2:AA1450,1),"")</f>
        <v/>
      </c>
    </row>
    <row r="1451" spans="6:28" ht="47.25" customHeight="1" x14ac:dyDescent="0.2">
      <c r="F1451" s="45" t="s">
        <v>4127</v>
      </c>
      <c r="T1451" s="41"/>
      <c r="U1451" s="29" t="str">
        <f>IF($C1451&lt;&gt;"",COUNTIF($C$2:C1451,C1451),"")</f>
        <v/>
      </c>
      <c r="V1451" s="29" t="str">
        <f t="shared" si="76"/>
        <v/>
      </c>
      <c r="W1451" s="29" t="str">
        <f>IF(U1451=1,COUNTIF($U$2:U1451,1),"")</f>
        <v/>
      </c>
      <c r="X1451" s="29" t="str">
        <f t="shared" si="75"/>
        <v/>
      </c>
      <c r="Y1451" s="29" t="str">
        <f>IF(AND(LEFT($B1451,7)="SBA 26/",$D1451&lt;&gt;"",$F1451&lt;&gt;""),COUNTIFS($D$2:$D1451,$D1451,$B$2:$B1451,"SBA 26/*",$F$2:$F1451,"&lt;&gt;"),"")</f>
        <v/>
      </c>
      <c r="Z1451" s="29" t="str">
        <f>IF(Y1451=1,COUNTIF($Y$2:Y1451,1),"")</f>
        <v/>
      </c>
      <c r="AA1451" s="29" t="str">
        <f>IF(AND(LEFT($B1451,7)="SBA 26/",$C1451&lt;&gt;"",$F1451&lt;&gt;""),COUNTIFS($C$2:$C1451,$C1451,$B$2:$B1451,"SBA 26/*",$F$2:$F1451,"&lt;&gt;"),"")</f>
        <v/>
      </c>
      <c r="AB1451" s="29" t="str">
        <f>IF(AA1451=1,COUNTIF($AA$2:AA1451,1),"")</f>
        <v/>
      </c>
    </row>
    <row r="1452" spans="6:28" ht="31.5" customHeight="1" x14ac:dyDescent="0.2">
      <c r="F1452" s="45" t="s">
        <v>4128</v>
      </c>
      <c r="T1452" s="41"/>
      <c r="U1452" s="29" t="str">
        <f>IF($C1452&lt;&gt;"",COUNTIF($C$2:C1452,C1452),"")</f>
        <v/>
      </c>
      <c r="V1452" s="29" t="str">
        <f t="shared" si="76"/>
        <v/>
      </c>
      <c r="W1452" s="29" t="str">
        <f>IF(U1452=1,COUNTIF($U$2:U1452,1),"")</f>
        <v/>
      </c>
      <c r="X1452" s="29" t="str">
        <f t="shared" si="75"/>
        <v/>
      </c>
      <c r="Y1452" s="29" t="str">
        <f>IF(AND(LEFT($B1452,7)="SBA 26/",$D1452&lt;&gt;"",$F1452&lt;&gt;""),COUNTIFS($D$2:$D1452,$D1452,$B$2:$B1452,"SBA 26/*",$F$2:$F1452,"&lt;&gt;"),"")</f>
        <v/>
      </c>
      <c r="Z1452" s="29" t="str">
        <f>IF(Y1452=1,COUNTIF($Y$2:Y1452,1),"")</f>
        <v/>
      </c>
      <c r="AA1452" s="29" t="str">
        <f>IF(AND(LEFT($B1452,7)="SBA 26/",$C1452&lt;&gt;"",$F1452&lt;&gt;""),COUNTIFS($C$2:$C1452,$C1452,$B$2:$B1452,"SBA 26/*",$F$2:$F1452,"&lt;&gt;"),"")</f>
        <v/>
      </c>
      <c r="AB1452" s="29" t="str">
        <f>IF(AA1452=1,COUNTIF($AA$2:AA1452,1),"")</f>
        <v/>
      </c>
    </row>
    <row r="1453" spans="6:28" ht="47.25" customHeight="1" x14ac:dyDescent="0.2">
      <c r="F1453" s="45" t="s">
        <v>4129</v>
      </c>
      <c r="T1453" s="41"/>
      <c r="U1453" s="29" t="str">
        <f>IF($C1453&lt;&gt;"",COUNTIF($C$2:C1453,C1453),"")</f>
        <v/>
      </c>
      <c r="V1453" s="29" t="str">
        <f t="shared" si="76"/>
        <v/>
      </c>
      <c r="W1453" s="29" t="str">
        <f>IF(U1453=1,COUNTIF($U$2:U1453,1),"")</f>
        <v/>
      </c>
      <c r="X1453" s="29" t="str">
        <f t="shared" ref="X1453:X1516" si="77">IF(U1453=1,SUMPRODUCT(($U$2:$U$1833=1)*($C$2:$C$1833&lt;C1453))+1,"")</f>
        <v/>
      </c>
      <c r="Y1453" s="29" t="str">
        <f>IF(AND(LEFT($B1453,7)="SBA 26/",$D1453&lt;&gt;"",$F1453&lt;&gt;""),COUNTIFS($D$2:$D1453,$D1453,$B$2:$B1453,"SBA 26/*",$F$2:$F1453,"&lt;&gt;"),"")</f>
        <v/>
      </c>
      <c r="Z1453" s="29" t="str">
        <f>IF(Y1453=1,COUNTIF($Y$2:Y1453,1),"")</f>
        <v/>
      </c>
      <c r="AA1453" s="29" t="str">
        <f>IF(AND(LEFT($B1453,7)="SBA 26/",$C1453&lt;&gt;"",$F1453&lt;&gt;""),COUNTIFS($C$2:$C1453,$C1453,$B$2:$B1453,"SBA 26/*",$F$2:$F1453,"&lt;&gt;"),"")</f>
        <v/>
      </c>
      <c r="AB1453" s="29" t="str">
        <f>IF(AA1453=1,COUNTIF($AA$2:AA1453,1),"")</f>
        <v/>
      </c>
    </row>
    <row r="1454" spans="6:28" ht="63" customHeight="1" x14ac:dyDescent="0.2">
      <c r="F1454" s="45" t="s">
        <v>4130</v>
      </c>
      <c r="T1454" s="41"/>
      <c r="U1454" s="29" t="str">
        <f>IF($C1454&lt;&gt;"",COUNTIF($C$2:C1454,C1454),"")</f>
        <v/>
      </c>
      <c r="V1454" s="29" t="str">
        <f t="shared" si="76"/>
        <v/>
      </c>
      <c r="W1454" s="29" t="str">
        <f>IF(U1454=1,COUNTIF($U$2:U1454,1),"")</f>
        <v/>
      </c>
      <c r="X1454" s="29" t="str">
        <f t="shared" si="77"/>
        <v/>
      </c>
      <c r="Y1454" s="29" t="str">
        <f>IF(AND(LEFT($B1454,7)="SBA 26/",$D1454&lt;&gt;"",$F1454&lt;&gt;""),COUNTIFS($D$2:$D1454,$D1454,$B$2:$B1454,"SBA 26/*",$F$2:$F1454,"&lt;&gt;"),"")</f>
        <v/>
      </c>
      <c r="Z1454" s="29" t="str">
        <f>IF(Y1454=1,COUNTIF($Y$2:Y1454,1),"")</f>
        <v/>
      </c>
      <c r="AA1454" s="29" t="str">
        <f>IF(AND(LEFT($B1454,7)="SBA 26/",$C1454&lt;&gt;"",$F1454&lt;&gt;""),COUNTIFS($C$2:$C1454,$C1454,$B$2:$B1454,"SBA 26/*",$F$2:$F1454,"&lt;&gt;"),"")</f>
        <v/>
      </c>
      <c r="AB1454" s="29" t="str">
        <f>IF(AA1454=1,COUNTIF($AA$2:AA1454,1),"")</f>
        <v/>
      </c>
    </row>
    <row r="1455" spans="6:28" ht="31.5" customHeight="1" x14ac:dyDescent="0.2">
      <c r="F1455" s="45" t="s">
        <v>4131</v>
      </c>
      <c r="T1455" s="41"/>
      <c r="U1455" s="29" t="str">
        <f>IF($C1455&lt;&gt;"",COUNTIF($C$2:C1455,C1455),"")</f>
        <v/>
      </c>
      <c r="V1455" s="29" t="str">
        <f t="shared" si="76"/>
        <v/>
      </c>
      <c r="W1455" s="29" t="str">
        <f>IF(U1455=1,COUNTIF($U$2:U1455,1),"")</f>
        <v/>
      </c>
      <c r="X1455" s="29" t="str">
        <f t="shared" si="77"/>
        <v/>
      </c>
      <c r="Y1455" s="29" t="str">
        <f>IF(AND(LEFT($B1455,7)="SBA 26/",$D1455&lt;&gt;"",$F1455&lt;&gt;""),COUNTIFS($D$2:$D1455,$D1455,$B$2:$B1455,"SBA 26/*",$F$2:$F1455,"&lt;&gt;"),"")</f>
        <v/>
      </c>
      <c r="Z1455" s="29" t="str">
        <f>IF(Y1455=1,COUNTIF($Y$2:Y1455,1),"")</f>
        <v/>
      </c>
      <c r="AA1455" s="29" t="str">
        <f>IF(AND(LEFT($B1455,7)="SBA 26/",$C1455&lt;&gt;"",$F1455&lt;&gt;""),COUNTIFS($C$2:$C1455,$C1455,$B$2:$B1455,"SBA 26/*",$F$2:$F1455,"&lt;&gt;"),"")</f>
        <v/>
      </c>
      <c r="AB1455" s="29" t="str">
        <f>IF(AA1455=1,COUNTIF($AA$2:AA1455,1),"")</f>
        <v/>
      </c>
    </row>
    <row r="1456" spans="6:28" ht="31.5" customHeight="1" x14ac:dyDescent="0.2">
      <c r="F1456" s="45" t="s">
        <v>4132</v>
      </c>
      <c r="T1456" s="41"/>
      <c r="U1456" s="29" t="str">
        <f>IF($C1456&lt;&gt;"",COUNTIF($C$2:C1456,C1456),"")</f>
        <v/>
      </c>
      <c r="V1456" s="29" t="str">
        <f t="shared" si="76"/>
        <v/>
      </c>
      <c r="W1456" s="29" t="str">
        <f>IF(U1456=1,COUNTIF($U$2:U1456,1),"")</f>
        <v/>
      </c>
      <c r="X1456" s="29" t="str">
        <f t="shared" si="77"/>
        <v/>
      </c>
      <c r="Y1456" s="29" t="str">
        <f>IF(AND(LEFT($B1456,7)="SBA 26/",$D1456&lt;&gt;"",$F1456&lt;&gt;""),COUNTIFS($D$2:$D1456,$D1456,$B$2:$B1456,"SBA 26/*",$F$2:$F1456,"&lt;&gt;"),"")</f>
        <v/>
      </c>
      <c r="Z1456" s="29" t="str">
        <f>IF(Y1456=1,COUNTIF($Y$2:Y1456,1),"")</f>
        <v/>
      </c>
      <c r="AA1456" s="29" t="str">
        <f>IF(AND(LEFT($B1456,7)="SBA 26/",$C1456&lt;&gt;"",$F1456&lt;&gt;""),COUNTIFS($C$2:$C1456,$C1456,$B$2:$B1456,"SBA 26/*",$F$2:$F1456,"&lt;&gt;"),"")</f>
        <v/>
      </c>
      <c r="AB1456" s="29" t="str">
        <f>IF(AA1456=1,COUNTIF($AA$2:AA1456,1),"")</f>
        <v/>
      </c>
    </row>
    <row r="1457" spans="6:28" ht="63" customHeight="1" x14ac:dyDescent="0.2">
      <c r="F1457" s="45" t="s">
        <v>4133</v>
      </c>
      <c r="T1457" s="41"/>
      <c r="U1457" s="29" t="str">
        <f>IF($C1457&lt;&gt;"",COUNTIF($C$2:C1457,C1457),"")</f>
        <v/>
      </c>
      <c r="V1457" s="29" t="str">
        <f t="shared" si="76"/>
        <v/>
      </c>
      <c r="W1457" s="29" t="str">
        <f>IF(U1457=1,COUNTIF($U$2:U1457,1),"")</f>
        <v/>
      </c>
      <c r="X1457" s="29" t="str">
        <f t="shared" si="77"/>
        <v/>
      </c>
      <c r="Y1457" s="29" t="str">
        <f>IF(AND(LEFT($B1457,7)="SBA 26/",$D1457&lt;&gt;"",$F1457&lt;&gt;""),COUNTIFS($D$2:$D1457,$D1457,$B$2:$B1457,"SBA 26/*",$F$2:$F1457,"&lt;&gt;"),"")</f>
        <v/>
      </c>
      <c r="Z1457" s="29" t="str">
        <f>IF(Y1457=1,COUNTIF($Y$2:Y1457,1),"")</f>
        <v/>
      </c>
      <c r="AA1457" s="29" t="str">
        <f>IF(AND(LEFT($B1457,7)="SBA 26/",$C1457&lt;&gt;"",$F1457&lt;&gt;""),COUNTIFS($C$2:$C1457,$C1457,$B$2:$B1457,"SBA 26/*",$F$2:$F1457,"&lt;&gt;"),"")</f>
        <v/>
      </c>
      <c r="AB1457" s="29" t="str">
        <f>IF(AA1457=1,COUNTIF($AA$2:AA1457,1),"")</f>
        <v/>
      </c>
    </row>
    <row r="1458" spans="6:28" ht="31.5" customHeight="1" x14ac:dyDescent="0.2">
      <c r="F1458" s="45" t="s">
        <v>4134</v>
      </c>
      <c r="T1458" s="41"/>
      <c r="U1458" s="29" t="str">
        <f>IF($C1458&lt;&gt;"",COUNTIF($C$2:C1458,C1458),"")</f>
        <v/>
      </c>
      <c r="V1458" s="29" t="str">
        <f t="shared" si="76"/>
        <v/>
      </c>
      <c r="W1458" s="29" t="str">
        <f>IF(U1458=1,COUNTIF($U$2:U1458,1),"")</f>
        <v/>
      </c>
      <c r="X1458" s="29" t="str">
        <f t="shared" si="77"/>
        <v/>
      </c>
      <c r="Y1458" s="29" t="str">
        <f>IF(AND(LEFT($B1458,7)="SBA 26/",$D1458&lt;&gt;"",$F1458&lt;&gt;""),COUNTIFS($D$2:$D1458,$D1458,$B$2:$B1458,"SBA 26/*",$F$2:$F1458,"&lt;&gt;"),"")</f>
        <v/>
      </c>
      <c r="Z1458" s="29" t="str">
        <f>IF(Y1458=1,COUNTIF($Y$2:Y1458,1),"")</f>
        <v/>
      </c>
      <c r="AA1458" s="29" t="str">
        <f>IF(AND(LEFT($B1458,7)="SBA 26/",$C1458&lt;&gt;"",$F1458&lt;&gt;""),COUNTIFS($C$2:$C1458,$C1458,$B$2:$B1458,"SBA 26/*",$F$2:$F1458,"&lt;&gt;"),"")</f>
        <v/>
      </c>
      <c r="AB1458" s="29" t="str">
        <f>IF(AA1458=1,COUNTIF($AA$2:AA1458,1),"")</f>
        <v/>
      </c>
    </row>
    <row r="1459" spans="6:28" ht="63" customHeight="1" x14ac:dyDescent="0.2">
      <c r="F1459" s="45" t="s">
        <v>4135</v>
      </c>
      <c r="T1459" s="41"/>
      <c r="U1459" s="29" t="str">
        <f>IF($C1459&lt;&gt;"",COUNTIF($C$2:C1459,C1459),"")</f>
        <v/>
      </c>
      <c r="V1459" s="29" t="str">
        <f t="shared" si="76"/>
        <v/>
      </c>
      <c r="W1459" s="29" t="str">
        <f>IF(U1459=1,COUNTIF($U$2:U1459,1),"")</f>
        <v/>
      </c>
      <c r="X1459" s="29" t="str">
        <f t="shared" si="77"/>
        <v/>
      </c>
      <c r="Y1459" s="29" t="str">
        <f>IF(AND(LEFT($B1459,7)="SBA 26/",$D1459&lt;&gt;"",$F1459&lt;&gt;""),COUNTIFS($D$2:$D1459,$D1459,$B$2:$B1459,"SBA 26/*",$F$2:$F1459,"&lt;&gt;"),"")</f>
        <v/>
      </c>
      <c r="Z1459" s="29" t="str">
        <f>IF(Y1459=1,COUNTIF($Y$2:Y1459,1),"")</f>
        <v/>
      </c>
      <c r="AA1459" s="29" t="str">
        <f>IF(AND(LEFT($B1459,7)="SBA 26/",$C1459&lt;&gt;"",$F1459&lt;&gt;""),COUNTIFS($C$2:$C1459,$C1459,$B$2:$B1459,"SBA 26/*",$F$2:$F1459,"&lt;&gt;"),"")</f>
        <v/>
      </c>
      <c r="AB1459" s="29" t="str">
        <f>IF(AA1459=1,COUNTIF($AA$2:AA1459,1),"")</f>
        <v/>
      </c>
    </row>
    <row r="1460" spans="6:28" ht="47.25" customHeight="1" x14ac:dyDescent="0.2">
      <c r="F1460" s="45" t="s">
        <v>4136</v>
      </c>
      <c r="T1460" s="41"/>
      <c r="U1460" s="29" t="str">
        <f>IF($C1460&lt;&gt;"",COUNTIF($C$2:C1460,C1460),"")</f>
        <v/>
      </c>
      <c r="V1460" s="29" t="str">
        <f t="shared" si="76"/>
        <v/>
      </c>
      <c r="W1460" s="29" t="str">
        <f>IF(U1460=1,COUNTIF($U$2:U1460,1),"")</f>
        <v/>
      </c>
      <c r="X1460" s="29" t="str">
        <f t="shared" si="77"/>
        <v/>
      </c>
      <c r="Y1460" s="29" t="str">
        <f>IF(AND(LEFT($B1460,7)="SBA 26/",$D1460&lt;&gt;"",$F1460&lt;&gt;""),COUNTIFS($D$2:$D1460,$D1460,$B$2:$B1460,"SBA 26/*",$F$2:$F1460,"&lt;&gt;"),"")</f>
        <v/>
      </c>
      <c r="Z1460" s="29" t="str">
        <f>IF(Y1460=1,COUNTIF($Y$2:Y1460,1),"")</f>
        <v/>
      </c>
      <c r="AA1460" s="29" t="str">
        <f>IF(AND(LEFT($B1460,7)="SBA 26/",$C1460&lt;&gt;"",$F1460&lt;&gt;""),COUNTIFS($C$2:$C1460,$C1460,$B$2:$B1460,"SBA 26/*",$F$2:$F1460,"&lt;&gt;"),"")</f>
        <v/>
      </c>
      <c r="AB1460" s="29" t="str">
        <f>IF(AA1460=1,COUNTIF($AA$2:AA1460,1),"")</f>
        <v/>
      </c>
    </row>
    <row r="1461" spans="6:28" ht="31.5" customHeight="1" x14ac:dyDescent="0.2">
      <c r="F1461" s="45" t="s">
        <v>4137</v>
      </c>
      <c r="T1461" s="41"/>
      <c r="U1461" s="29" t="str">
        <f>IF($C1461&lt;&gt;"",COUNTIF($C$2:C1461,C1461),"")</f>
        <v/>
      </c>
      <c r="V1461" s="29" t="str">
        <f t="shared" si="76"/>
        <v/>
      </c>
      <c r="W1461" s="29" t="str">
        <f>IF(U1461=1,COUNTIF($U$2:U1461,1),"")</f>
        <v/>
      </c>
      <c r="X1461" s="29" t="str">
        <f t="shared" si="77"/>
        <v/>
      </c>
      <c r="Y1461" s="29" t="str">
        <f>IF(AND(LEFT($B1461,7)="SBA 26/",$D1461&lt;&gt;"",$F1461&lt;&gt;""),COUNTIFS($D$2:$D1461,$D1461,$B$2:$B1461,"SBA 26/*",$F$2:$F1461,"&lt;&gt;"),"")</f>
        <v/>
      </c>
      <c r="Z1461" s="29" t="str">
        <f>IF(Y1461=1,COUNTIF($Y$2:Y1461,1),"")</f>
        <v/>
      </c>
      <c r="AA1461" s="29" t="str">
        <f>IF(AND(LEFT($B1461,7)="SBA 26/",$C1461&lt;&gt;"",$F1461&lt;&gt;""),COUNTIFS($C$2:$C1461,$C1461,$B$2:$B1461,"SBA 26/*",$F$2:$F1461,"&lt;&gt;"),"")</f>
        <v/>
      </c>
      <c r="AB1461" s="29" t="str">
        <f>IF(AA1461=1,COUNTIF($AA$2:AA1461,1),"")</f>
        <v/>
      </c>
    </row>
    <row r="1462" spans="6:28" ht="63" customHeight="1" x14ac:dyDescent="0.2">
      <c r="F1462" s="45" t="s">
        <v>4138</v>
      </c>
      <c r="T1462" s="41"/>
      <c r="U1462" s="29" t="str">
        <f>IF($C1462&lt;&gt;"",COUNTIF($C$2:C1462,C1462),"")</f>
        <v/>
      </c>
      <c r="V1462" s="29" t="str">
        <f t="shared" si="76"/>
        <v/>
      </c>
      <c r="W1462" s="29" t="str">
        <f>IF(U1462=1,COUNTIF($U$2:U1462,1),"")</f>
        <v/>
      </c>
      <c r="X1462" s="29" t="str">
        <f t="shared" si="77"/>
        <v/>
      </c>
      <c r="Y1462" s="29" t="str">
        <f>IF(AND(LEFT($B1462,7)="SBA 26/",$D1462&lt;&gt;"",$F1462&lt;&gt;""),COUNTIFS($D$2:$D1462,$D1462,$B$2:$B1462,"SBA 26/*",$F$2:$F1462,"&lt;&gt;"),"")</f>
        <v/>
      </c>
      <c r="Z1462" s="29" t="str">
        <f>IF(Y1462=1,COUNTIF($Y$2:Y1462,1),"")</f>
        <v/>
      </c>
      <c r="AA1462" s="29" t="str">
        <f>IF(AND(LEFT($B1462,7)="SBA 26/",$C1462&lt;&gt;"",$F1462&lt;&gt;""),COUNTIFS($C$2:$C1462,$C1462,$B$2:$B1462,"SBA 26/*",$F$2:$F1462,"&lt;&gt;"),"")</f>
        <v/>
      </c>
      <c r="AB1462" s="29" t="str">
        <f>IF(AA1462=1,COUNTIF($AA$2:AA1462,1),"")</f>
        <v/>
      </c>
    </row>
    <row r="1463" spans="6:28" ht="47.25" customHeight="1" x14ac:dyDescent="0.2">
      <c r="F1463" s="45" t="s">
        <v>4139</v>
      </c>
      <c r="T1463" s="41"/>
      <c r="U1463" s="29" t="str">
        <f>IF($C1463&lt;&gt;"",COUNTIF($C$2:C1463,C1463),"")</f>
        <v/>
      </c>
      <c r="V1463" s="29" t="str">
        <f t="shared" si="76"/>
        <v/>
      </c>
      <c r="W1463" s="29" t="str">
        <f>IF(U1463=1,COUNTIF($U$2:U1463,1),"")</f>
        <v/>
      </c>
      <c r="X1463" s="29" t="str">
        <f t="shared" si="77"/>
        <v/>
      </c>
      <c r="Y1463" s="29" t="str">
        <f>IF(AND(LEFT($B1463,7)="SBA 26/",$D1463&lt;&gt;"",$F1463&lt;&gt;""),COUNTIFS($D$2:$D1463,$D1463,$B$2:$B1463,"SBA 26/*",$F$2:$F1463,"&lt;&gt;"),"")</f>
        <v/>
      </c>
      <c r="Z1463" s="29" t="str">
        <f>IF(Y1463=1,COUNTIF($Y$2:Y1463,1),"")</f>
        <v/>
      </c>
      <c r="AA1463" s="29" t="str">
        <f>IF(AND(LEFT($B1463,7)="SBA 26/",$C1463&lt;&gt;"",$F1463&lt;&gt;""),COUNTIFS($C$2:$C1463,$C1463,$B$2:$B1463,"SBA 26/*",$F$2:$F1463,"&lt;&gt;"),"")</f>
        <v/>
      </c>
      <c r="AB1463" s="29" t="str">
        <f>IF(AA1463=1,COUNTIF($AA$2:AA1463,1),"")</f>
        <v/>
      </c>
    </row>
    <row r="1464" spans="6:28" ht="31.5" customHeight="1" x14ac:dyDescent="0.2">
      <c r="F1464" s="45" t="s">
        <v>4140</v>
      </c>
      <c r="T1464" s="41"/>
      <c r="U1464" s="29" t="str">
        <f>IF($C1464&lt;&gt;"",COUNTIF($C$2:C1464,C1464),"")</f>
        <v/>
      </c>
      <c r="V1464" s="29" t="str">
        <f t="shared" si="76"/>
        <v/>
      </c>
      <c r="W1464" s="29" t="str">
        <f>IF(U1464=1,COUNTIF($U$2:U1464,1),"")</f>
        <v/>
      </c>
      <c r="X1464" s="29" t="str">
        <f t="shared" si="77"/>
        <v/>
      </c>
      <c r="Y1464" s="29" t="str">
        <f>IF(AND(LEFT($B1464,7)="SBA 26/",$D1464&lt;&gt;"",$F1464&lt;&gt;""),COUNTIFS($D$2:$D1464,$D1464,$B$2:$B1464,"SBA 26/*",$F$2:$F1464,"&lt;&gt;"),"")</f>
        <v/>
      </c>
      <c r="Z1464" s="29" t="str">
        <f>IF(Y1464=1,COUNTIF($Y$2:Y1464,1),"")</f>
        <v/>
      </c>
      <c r="AA1464" s="29" t="str">
        <f>IF(AND(LEFT($B1464,7)="SBA 26/",$C1464&lt;&gt;"",$F1464&lt;&gt;""),COUNTIFS($C$2:$C1464,$C1464,$B$2:$B1464,"SBA 26/*",$F$2:$F1464,"&lt;&gt;"),"")</f>
        <v/>
      </c>
      <c r="AB1464" s="29" t="str">
        <f>IF(AA1464=1,COUNTIF($AA$2:AA1464,1),"")</f>
        <v/>
      </c>
    </row>
    <row r="1465" spans="6:28" ht="47.25" customHeight="1" x14ac:dyDescent="0.2">
      <c r="F1465" s="45" t="s">
        <v>4141</v>
      </c>
      <c r="T1465" s="41"/>
      <c r="U1465" s="29" t="str">
        <f>IF($C1465&lt;&gt;"",COUNTIF($C$2:C1465,C1465),"")</f>
        <v/>
      </c>
      <c r="V1465" s="29" t="str">
        <f t="shared" si="76"/>
        <v/>
      </c>
      <c r="W1465" s="29" t="str">
        <f>IF(U1465=1,COUNTIF($U$2:U1465,1),"")</f>
        <v/>
      </c>
      <c r="X1465" s="29" t="str">
        <f t="shared" si="77"/>
        <v/>
      </c>
      <c r="Y1465" s="29" t="str">
        <f>IF(AND(LEFT($B1465,7)="SBA 26/",$D1465&lt;&gt;"",$F1465&lt;&gt;""),COUNTIFS($D$2:$D1465,$D1465,$B$2:$B1465,"SBA 26/*",$F$2:$F1465,"&lt;&gt;"),"")</f>
        <v/>
      </c>
      <c r="Z1465" s="29" t="str">
        <f>IF(Y1465=1,COUNTIF($Y$2:Y1465,1),"")</f>
        <v/>
      </c>
      <c r="AA1465" s="29" t="str">
        <f>IF(AND(LEFT($B1465,7)="SBA 26/",$C1465&lt;&gt;"",$F1465&lt;&gt;""),COUNTIFS($C$2:$C1465,$C1465,$B$2:$B1465,"SBA 26/*",$F$2:$F1465,"&lt;&gt;"),"")</f>
        <v/>
      </c>
      <c r="AB1465" s="29" t="str">
        <f>IF(AA1465=1,COUNTIF($AA$2:AA1465,1),"")</f>
        <v/>
      </c>
    </row>
    <row r="1466" spans="6:28" ht="31.5" customHeight="1" x14ac:dyDescent="0.2">
      <c r="F1466" s="45" t="s">
        <v>4142</v>
      </c>
      <c r="T1466" s="41"/>
      <c r="U1466" s="29" t="str">
        <f>IF($C1466&lt;&gt;"",COUNTIF($C$2:C1466,C1466),"")</f>
        <v/>
      </c>
      <c r="V1466" s="29" t="str">
        <f t="shared" si="76"/>
        <v/>
      </c>
      <c r="W1466" s="29" t="str">
        <f>IF(U1466=1,COUNTIF($U$2:U1466,1),"")</f>
        <v/>
      </c>
      <c r="X1466" s="29" t="str">
        <f t="shared" si="77"/>
        <v/>
      </c>
      <c r="Y1466" s="29" t="str">
        <f>IF(AND(LEFT($B1466,7)="SBA 26/",$D1466&lt;&gt;"",$F1466&lt;&gt;""),COUNTIFS($D$2:$D1466,$D1466,$B$2:$B1466,"SBA 26/*",$F$2:$F1466,"&lt;&gt;"),"")</f>
        <v/>
      </c>
      <c r="Z1466" s="29" t="str">
        <f>IF(Y1466=1,COUNTIF($Y$2:Y1466,1),"")</f>
        <v/>
      </c>
      <c r="AA1466" s="29" t="str">
        <f>IF(AND(LEFT($B1466,7)="SBA 26/",$C1466&lt;&gt;"",$F1466&lt;&gt;""),COUNTIFS($C$2:$C1466,$C1466,$B$2:$B1466,"SBA 26/*",$F$2:$F1466,"&lt;&gt;"),"")</f>
        <v/>
      </c>
      <c r="AB1466" s="29" t="str">
        <f>IF(AA1466=1,COUNTIF($AA$2:AA1466,1),"")</f>
        <v/>
      </c>
    </row>
    <row r="1467" spans="6:28" ht="78.75" customHeight="1" x14ac:dyDescent="0.2">
      <c r="F1467" s="45" t="s">
        <v>4143</v>
      </c>
      <c r="T1467" s="41"/>
      <c r="U1467" s="29" t="str">
        <f>IF($C1467&lt;&gt;"",COUNTIF($C$2:C1467,C1467),"")</f>
        <v/>
      </c>
      <c r="V1467" s="29" t="str">
        <f t="shared" si="76"/>
        <v/>
      </c>
      <c r="W1467" s="29" t="str">
        <f>IF(U1467=1,COUNTIF($U$2:U1467,1),"")</f>
        <v/>
      </c>
      <c r="X1467" s="29" t="str">
        <f t="shared" si="77"/>
        <v/>
      </c>
      <c r="Y1467" s="29" t="str">
        <f>IF(AND(LEFT($B1467,7)="SBA 26/",$D1467&lt;&gt;"",$F1467&lt;&gt;""),COUNTIFS($D$2:$D1467,$D1467,$B$2:$B1467,"SBA 26/*",$F$2:$F1467,"&lt;&gt;"),"")</f>
        <v/>
      </c>
      <c r="Z1467" s="29" t="str">
        <f>IF(Y1467=1,COUNTIF($Y$2:Y1467,1),"")</f>
        <v/>
      </c>
      <c r="AA1467" s="29" t="str">
        <f>IF(AND(LEFT($B1467,7)="SBA 26/",$C1467&lt;&gt;"",$F1467&lt;&gt;""),COUNTIFS($C$2:$C1467,$C1467,$B$2:$B1467,"SBA 26/*",$F$2:$F1467,"&lt;&gt;"),"")</f>
        <v/>
      </c>
      <c r="AB1467" s="29" t="str">
        <f>IF(AA1467=1,COUNTIF($AA$2:AA1467,1),"")</f>
        <v/>
      </c>
    </row>
    <row r="1468" spans="6:28" ht="47.25" customHeight="1" x14ac:dyDescent="0.2">
      <c r="F1468" s="45" t="s">
        <v>4144</v>
      </c>
      <c r="T1468" s="41"/>
      <c r="U1468" s="29" t="str">
        <f>IF($C1468&lt;&gt;"",COUNTIF($C$2:C1468,C1468),"")</f>
        <v/>
      </c>
      <c r="V1468" s="29" t="str">
        <f t="shared" si="76"/>
        <v/>
      </c>
      <c r="W1468" s="29" t="str">
        <f>IF(U1468=1,COUNTIF($U$2:U1468,1),"")</f>
        <v/>
      </c>
      <c r="X1468" s="29" t="str">
        <f t="shared" si="77"/>
        <v/>
      </c>
      <c r="Y1468" s="29" t="str">
        <f>IF(AND(LEFT($B1468,7)="SBA 26/",$D1468&lt;&gt;"",$F1468&lt;&gt;""),COUNTIFS($D$2:$D1468,$D1468,$B$2:$B1468,"SBA 26/*",$F$2:$F1468,"&lt;&gt;"),"")</f>
        <v/>
      </c>
      <c r="Z1468" s="29" t="str">
        <f>IF(Y1468=1,COUNTIF($Y$2:Y1468,1),"")</f>
        <v/>
      </c>
      <c r="AA1468" s="29" t="str">
        <f>IF(AND(LEFT($B1468,7)="SBA 26/",$C1468&lt;&gt;"",$F1468&lt;&gt;""),COUNTIFS($C$2:$C1468,$C1468,$B$2:$B1468,"SBA 26/*",$F$2:$F1468,"&lt;&gt;"),"")</f>
        <v/>
      </c>
      <c r="AB1468" s="29" t="str">
        <f>IF(AA1468=1,COUNTIF($AA$2:AA1468,1),"")</f>
        <v/>
      </c>
    </row>
    <row r="1469" spans="6:28" ht="31.5" customHeight="1" x14ac:dyDescent="0.2">
      <c r="F1469" s="45" t="s">
        <v>4145</v>
      </c>
      <c r="T1469" s="41"/>
      <c r="U1469" s="29" t="str">
        <f>IF($C1469&lt;&gt;"",COUNTIF($C$2:C1469,C1469),"")</f>
        <v/>
      </c>
      <c r="V1469" s="29" t="str">
        <f t="shared" si="76"/>
        <v/>
      </c>
      <c r="W1469" s="29" t="str">
        <f>IF(U1469=1,COUNTIF($U$2:U1469,1),"")</f>
        <v/>
      </c>
      <c r="X1469" s="29" t="str">
        <f t="shared" si="77"/>
        <v/>
      </c>
      <c r="Y1469" s="29" t="str">
        <f>IF(AND(LEFT($B1469,7)="SBA 26/",$D1469&lt;&gt;"",$F1469&lt;&gt;""),COUNTIFS($D$2:$D1469,$D1469,$B$2:$B1469,"SBA 26/*",$F$2:$F1469,"&lt;&gt;"),"")</f>
        <v/>
      </c>
      <c r="Z1469" s="29" t="str">
        <f>IF(Y1469=1,COUNTIF($Y$2:Y1469,1),"")</f>
        <v/>
      </c>
      <c r="AA1469" s="29" t="str">
        <f>IF(AND(LEFT($B1469,7)="SBA 26/",$C1469&lt;&gt;"",$F1469&lt;&gt;""),COUNTIFS($C$2:$C1469,$C1469,$B$2:$B1469,"SBA 26/*",$F$2:$F1469,"&lt;&gt;"),"")</f>
        <v/>
      </c>
      <c r="AB1469" s="29" t="str">
        <f>IF(AA1469=1,COUNTIF($AA$2:AA1469,1),"")</f>
        <v/>
      </c>
    </row>
    <row r="1470" spans="6:28" ht="31.5" customHeight="1" x14ac:dyDescent="0.2">
      <c r="F1470" s="45" t="s">
        <v>4146</v>
      </c>
      <c r="T1470" s="41"/>
      <c r="U1470" s="29" t="str">
        <f>IF($C1470&lt;&gt;"",COUNTIF($C$2:C1470,C1470),"")</f>
        <v/>
      </c>
      <c r="V1470" s="29" t="str">
        <f t="shared" si="76"/>
        <v/>
      </c>
      <c r="W1470" s="29" t="str">
        <f>IF(U1470=1,COUNTIF($U$2:U1470,1),"")</f>
        <v/>
      </c>
      <c r="X1470" s="29" t="str">
        <f t="shared" si="77"/>
        <v/>
      </c>
      <c r="Y1470" s="29" t="str">
        <f>IF(AND(LEFT($B1470,7)="SBA 26/",$D1470&lt;&gt;"",$F1470&lt;&gt;""),COUNTIFS($D$2:$D1470,$D1470,$B$2:$B1470,"SBA 26/*",$F$2:$F1470,"&lt;&gt;"),"")</f>
        <v/>
      </c>
      <c r="Z1470" s="29" t="str">
        <f>IF(Y1470=1,COUNTIF($Y$2:Y1470,1),"")</f>
        <v/>
      </c>
      <c r="AA1470" s="29" t="str">
        <f>IF(AND(LEFT($B1470,7)="SBA 26/",$C1470&lt;&gt;"",$F1470&lt;&gt;""),COUNTIFS($C$2:$C1470,$C1470,$B$2:$B1470,"SBA 26/*",$F$2:$F1470,"&lt;&gt;"),"")</f>
        <v/>
      </c>
      <c r="AB1470" s="29" t="str">
        <f>IF(AA1470=1,COUNTIF($AA$2:AA1470,1),"")</f>
        <v/>
      </c>
    </row>
    <row r="1471" spans="6:28" ht="47.25" customHeight="1" x14ac:dyDescent="0.2">
      <c r="F1471" s="45" t="s">
        <v>4147</v>
      </c>
      <c r="T1471" s="41"/>
      <c r="U1471" s="29" t="str">
        <f>IF($C1471&lt;&gt;"",COUNTIF($C$2:C1471,C1471),"")</f>
        <v/>
      </c>
      <c r="V1471" s="29" t="str">
        <f t="shared" si="76"/>
        <v/>
      </c>
      <c r="W1471" s="29" t="str">
        <f>IF(U1471=1,COUNTIF($U$2:U1471,1),"")</f>
        <v/>
      </c>
      <c r="X1471" s="29" t="str">
        <f t="shared" si="77"/>
        <v/>
      </c>
      <c r="Y1471" s="29" t="str">
        <f>IF(AND(LEFT($B1471,7)="SBA 26/",$D1471&lt;&gt;"",$F1471&lt;&gt;""),COUNTIFS($D$2:$D1471,$D1471,$B$2:$B1471,"SBA 26/*",$F$2:$F1471,"&lt;&gt;"),"")</f>
        <v/>
      </c>
      <c r="Z1471" s="29" t="str">
        <f>IF(Y1471=1,COUNTIF($Y$2:Y1471,1),"")</f>
        <v/>
      </c>
      <c r="AA1471" s="29" t="str">
        <f>IF(AND(LEFT($B1471,7)="SBA 26/",$C1471&lt;&gt;"",$F1471&lt;&gt;""),COUNTIFS($C$2:$C1471,$C1471,$B$2:$B1471,"SBA 26/*",$F$2:$F1471,"&lt;&gt;"),"")</f>
        <v/>
      </c>
      <c r="AB1471" s="29" t="str">
        <f>IF(AA1471=1,COUNTIF($AA$2:AA1471,1),"")</f>
        <v/>
      </c>
    </row>
    <row r="1472" spans="6:28" ht="63" customHeight="1" x14ac:dyDescent="0.2">
      <c r="F1472" s="45" t="s">
        <v>4148</v>
      </c>
      <c r="T1472" s="41"/>
      <c r="U1472" s="29" t="str">
        <f>IF($C1472&lt;&gt;"",COUNTIF($C$2:C1472,C1472),"")</f>
        <v/>
      </c>
      <c r="V1472" s="29" t="str">
        <f t="shared" si="76"/>
        <v/>
      </c>
      <c r="W1472" s="29" t="str">
        <f>IF(U1472=1,COUNTIF($U$2:U1472,1),"")</f>
        <v/>
      </c>
      <c r="X1472" s="29" t="str">
        <f t="shared" si="77"/>
        <v/>
      </c>
      <c r="Y1472" s="29" t="str">
        <f>IF(AND(LEFT($B1472,7)="SBA 26/",$D1472&lt;&gt;"",$F1472&lt;&gt;""),COUNTIFS($D$2:$D1472,$D1472,$B$2:$B1472,"SBA 26/*",$F$2:$F1472,"&lt;&gt;"),"")</f>
        <v/>
      </c>
      <c r="Z1472" s="29" t="str">
        <f>IF(Y1472=1,COUNTIF($Y$2:Y1472,1),"")</f>
        <v/>
      </c>
      <c r="AA1472" s="29" t="str">
        <f>IF(AND(LEFT($B1472,7)="SBA 26/",$C1472&lt;&gt;"",$F1472&lt;&gt;""),COUNTIFS($C$2:$C1472,$C1472,$B$2:$B1472,"SBA 26/*",$F$2:$F1472,"&lt;&gt;"),"")</f>
        <v/>
      </c>
      <c r="AB1472" s="29" t="str">
        <f>IF(AA1472=1,COUNTIF($AA$2:AA1472,1),"")</f>
        <v/>
      </c>
    </row>
    <row r="1473" spans="6:28" ht="47.25" customHeight="1" x14ac:dyDescent="0.2">
      <c r="F1473" s="45" t="s">
        <v>4149</v>
      </c>
      <c r="T1473" s="41"/>
      <c r="U1473" s="29" t="str">
        <f>IF($C1473&lt;&gt;"",COUNTIF($C$2:C1473,C1473),"")</f>
        <v/>
      </c>
      <c r="V1473" s="29" t="str">
        <f t="shared" si="76"/>
        <v/>
      </c>
      <c r="W1473" s="29" t="str">
        <f>IF(U1473=1,COUNTIF($U$2:U1473,1),"")</f>
        <v/>
      </c>
      <c r="X1473" s="29" t="str">
        <f t="shared" si="77"/>
        <v/>
      </c>
      <c r="Y1473" s="29" t="str">
        <f>IF(AND(LEFT($B1473,7)="SBA 26/",$D1473&lt;&gt;"",$F1473&lt;&gt;""),COUNTIFS($D$2:$D1473,$D1473,$B$2:$B1473,"SBA 26/*",$F$2:$F1473,"&lt;&gt;"),"")</f>
        <v/>
      </c>
      <c r="Z1473" s="29" t="str">
        <f>IF(Y1473=1,COUNTIF($Y$2:Y1473,1),"")</f>
        <v/>
      </c>
      <c r="AA1473" s="29" t="str">
        <f>IF(AND(LEFT($B1473,7)="SBA 26/",$C1473&lt;&gt;"",$F1473&lt;&gt;""),COUNTIFS($C$2:$C1473,$C1473,$B$2:$B1473,"SBA 26/*",$F$2:$F1473,"&lt;&gt;"),"")</f>
        <v/>
      </c>
      <c r="AB1473" s="29" t="str">
        <f>IF(AA1473=1,COUNTIF($AA$2:AA1473,1),"")</f>
        <v/>
      </c>
    </row>
    <row r="1474" spans="6:28" ht="47.25" customHeight="1" x14ac:dyDescent="0.2">
      <c r="F1474" s="45" t="s">
        <v>4150</v>
      </c>
      <c r="T1474" s="41"/>
      <c r="U1474" s="29" t="str">
        <f>IF($C1474&lt;&gt;"",COUNTIF($C$2:C1474,C1474),"")</f>
        <v/>
      </c>
      <c r="V1474" s="29" t="str">
        <f t="shared" ref="V1474:V1537" si="78">IF($C1474&lt;&gt;"",C1474&amp;"§"&amp;U1474,"")</f>
        <v/>
      </c>
      <c r="W1474" s="29" t="str">
        <f>IF(U1474=1,COUNTIF($U$2:U1474,1),"")</f>
        <v/>
      </c>
      <c r="X1474" s="29" t="str">
        <f t="shared" si="77"/>
        <v/>
      </c>
      <c r="Y1474" s="29" t="str">
        <f>IF(AND(LEFT($B1474,7)="SBA 26/",$D1474&lt;&gt;"",$F1474&lt;&gt;""),COUNTIFS($D$2:$D1474,$D1474,$B$2:$B1474,"SBA 26/*",$F$2:$F1474,"&lt;&gt;"),"")</f>
        <v/>
      </c>
      <c r="Z1474" s="29" t="str">
        <f>IF(Y1474=1,COUNTIF($Y$2:Y1474,1),"")</f>
        <v/>
      </c>
      <c r="AA1474" s="29" t="str">
        <f>IF(AND(LEFT($B1474,7)="SBA 26/",$C1474&lt;&gt;"",$F1474&lt;&gt;""),COUNTIFS($C$2:$C1474,$C1474,$B$2:$B1474,"SBA 26/*",$F$2:$F1474,"&lt;&gt;"),"")</f>
        <v/>
      </c>
      <c r="AB1474" s="29" t="str">
        <f>IF(AA1474=1,COUNTIF($AA$2:AA1474,1),"")</f>
        <v/>
      </c>
    </row>
    <row r="1475" spans="6:28" ht="47.25" customHeight="1" x14ac:dyDescent="0.2">
      <c r="F1475" s="45" t="s">
        <v>4151</v>
      </c>
      <c r="T1475" s="41"/>
      <c r="U1475" s="29" t="str">
        <f>IF($C1475&lt;&gt;"",COUNTIF($C$2:C1475,C1475),"")</f>
        <v/>
      </c>
      <c r="V1475" s="29" t="str">
        <f t="shared" si="78"/>
        <v/>
      </c>
      <c r="W1475" s="29" t="str">
        <f>IF(U1475=1,COUNTIF($U$2:U1475,1),"")</f>
        <v/>
      </c>
      <c r="X1475" s="29" t="str">
        <f t="shared" si="77"/>
        <v/>
      </c>
      <c r="Y1475" s="29" t="str">
        <f>IF(AND(LEFT($B1475,7)="SBA 26/",$D1475&lt;&gt;"",$F1475&lt;&gt;""),COUNTIFS($D$2:$D1475,$D1475,$B$2:$B1475,"SBA 26/*",$F$2:$F1475,"&lt;&gt;"),"")</f>
        <v/>
      </c>
      <c r="Z1475" s="29" t="str">
        <f>IF(Y1475=1,COUNTIF($Y$2:Y1475,1),"")</f>
        <v/>
      </c>
      <c r="AA1475" s="29" t="str">
        <f>IF(AND(LEFT($B1475,7)="SBA 26/",$C1475&lt;&gt;"",$F1475&lt;&gt;""),COUNTIFS($C$2:$C1475,$C1475,$B$2:$B1475,"SBA 26/*",$F$2:$F1475,"&lt;&gt;"),"")</f>
        <v/>
      </c>
      <c r="AB1475" s="29" t="str">
        <f>IF(AA1475=1,COUNTIF($AA$2:AA1475,1),"")</f>
        <v/>
      </c>
    </row>
    <row r="1476" spans="6:28" ht="47.25" customHeight="1" x14ac:dyDescent="0.2">
      <c r="F1476" s="45" t="s">
        <v>4152</v>
      </c>
      <c r="T1476" s="41"/>
      <c r="U1476" s="29" t="str">
        <f>IF($C1476&lt;&gt;"",COUNTIF($C$2:C1476,C1476),"")</f>
        <v/>
      </c>
      <c r="V1476" s="29" t="str">
        <f t="shared" si="78"/>
        <v/>
      </c>
      <c r="W1476" s="29" t="str">
        <f>IF(U1476=1,COUNTIF($U$2:U1476,1),"")</f>
        <v/>
      </c>
      <c r="X1476" s="29" t="str">
        <f t="shared" si="77"/>
        <v/>
      </c>
      <c r="Y1476" s="29" t="str">
        <f>IF(AND(LEFT($B1476,7)="SBA 26/",$D1476&lt;&gt;"",$F1476&lt;&gt;""),COUNTIFS($D$2:$D1476,$D1476,$B$2:$B1476,"SBA 26/*",$F$2:$F1476,"&lt;&gt;"),"")</f>
        <v/>
      </c>
      <c r="Z1476" s="29" t="str">
        <f>IF(Y1476=1,COUNTIF($Y$2:Y1476,1),"")</f>
        <v/>
      </c>
      <c r="AA1476" s="29" t="str">
        <f>IF(AND(LEFT($B1476,7)="SBA 26/",$C1476&lt;&gt;"",$F1476&lt;&gt;""),COUNTIFS($C$2:$C1476,$C1476,$B$2:$B1476,"SBA 26/*",$F$2:$F1476,"&lt;&gt;"),"")</f>
        <v/>
      </c>
      <c r="AB1476" s="29" t="str">
        <f>IF(AA1476=1,COUNTIF($AA$2:AA1476,1),"")</f>
        <v/>
      </c>
    </row>
    <row r="1477" spans="6:28" ht="47.25" customHeight="1" x14ac:dyDescent="0.2">
      <c r="F1477" s="45" t="s">
        <v>4153</v>
      </c>
      <c r="T1477" s="41"/>
      <c r="U1477" s="29" t="str">
        <f>IF($C1477&lt;&gt;"",COUNTIF($C$2:C1477,C1477),"")</f>
        <v/>
      </c>
      <c r="V1477" s="29" t="str">
        <f t="shared" si="78"/>
        <v/>
      </c>
      <c r="W1477" s="29" t="str">
        <f>IF(U1477=1,COUNTIF($U$2:U1477,1),"")</f>
        <v/>
      </c>
      <c r="X1477" s="29" t="str">
        <f t="shared" si="77"/>
        <v/>
      </c>
      <c r="Y1477" s="29" t="str">
        <f>IF(AND(LEFT($B1477,7)="SBA 26/",$D1477&lt;&gt;"",$F1477&lt;&gt;""),COUNTIFS($D$2:$D1477,$D1477,$B$2:$B1477,"SBA 26/*",$F$2:$F1477,"&lt;&gt;"),"")</f>
        <v/>
      </c>
      <c r="Z1477" s="29" t="str">
        <f>IF(Y1477=1,COUNTIF($Y$2:Y1477,1),"")</f>
        <v/>
      </c>
      <c r="AA1477" s="29" t="str">
        <f>IF(AND(LEFT($B1477,7)="SBA 26/",$C1477&lt;&gt;"",$F1477&lt;&gt;""),COUNTIFS($C$2:$C1477,$C1477,$B$2:$B1477,"SBA 26/*",$F$2:$F1477,"&lt;&gt;"),"")</f>
        <v/>
      </c>
      <c r="AB1477" s="29" t="str">
        <f>IF(AA1477=1,COUNTIF($AA$2:AA1477,1),"")</f>
        <v/>
      </c>
    </row>
    <row r="1478" spans="6:28" ht="63" customHeight="1" x14ac:dyDescent="0.2">
      <c r="F1478" s="45" t="s">
        <v>4154</v>
      </c>
      <c r="T1478" s="41"/>
      <c r="U1478" s="29" t="str">
        <f>IF($C1478&lt;&gt;"",COUNTIF($C$2:C1478,C1478),"")</f>
        <v/>
      </c>
      <c r="V1478" s="29" t="str">
        <f t="shared" si="78"/>
        <v/>
      </c>
      <c r="W1478" s="29" t="str">
        <f>IF(U1478=1,COUNTIF($U$2:U1478,1),"")</f>
        <v/>
      </c>
      <c r="X1478" s="29" t="str">
        <f t="shared" si="77"/>
        <v/>
      </c>
      <c r="Y1478" s="29" t="str">
        <f>IF(AND(LEFT($B1478,7)="SBA 26/",$D1478&lt;&gt;"",$F1478&lt;&gt;""),COUNTIFS($D$2:$D1478,$D1478,$B$2:$B1478,"SBA 26/*",$F$2:$F1478,"&lt;&gt;"),"")</f>
        <v/>
      </c>
      <c r="Z1478" s="29" t="str">
        <f>IF(Y1478=1,COUNTIF($Y$2:Y1478,1),"")</f>
        <v/>
      </c>
      <c r="AA1478" s="29" t="str">
        <f>IF(AND(LEFT($B1478,7)="SBA 26/",$C1478&lt;&gt;"",$F1478&lt;&gt;""),COUNTIFS($C$2:$C1478,$C1478,$B$2:$B1478,"SBA 26/*",$F$2:$F1478,"&lt;&gt;"),"")</f>
        <v/>
      </c>
      <c r="AB1478" s="29" t="str">
        <f>IF(AA1478=1,COUNTIF($AA$2:AA1478,1),"")</f>
        <v/>
      </c>
    </row>
    <row r="1479" spans="6:28" ht="31.5" customHeight="1" x14ac:dyDescent="0.2">
      <c r="F1479" s="45" t="s">
        <v>4155</v>
      </c>
      <c r="T1479" s="41"/>
      <c r="U1479" s="29" t="str">
        <f>IF($C1479&lt;&gt;"",COUNTIF($C$2:C1479,C1479),"")</f>
        <v/>
      </c>
      <c r="V1479" s="29" t="str">
        <f t="shared" si="78"/>
        <v/>
      </c>
      <c r="W1479" s="29" t="str">
        <f>IF(U1479=1,COUNTIF($U$2:U1479,1),"")</f>
        <v/>
      </c>
      <c r="X1479" s="29" t="str">
        <f t="shared" si="77"/>
        <v/>
      </c>
      <c r="Y1479" s="29" t="str">
        <f>IF(AND(LEFT($B1479,7)="SBA 26/",$D1479&lt;&gt;"",$F1479&lt;&gt;""),COUNTIFS($D$2:$D1479,$D1479,$B$2:$B1479,"SBA 26/*",$F$2:$F1479,"&lt;&gt;"),"")</f>
        <v/>
      </c>
      <c r="Z1479" s="29" t="str">
        <f>IF(Y1479=1,COUNTIF($Y$2:Y1479,1),"")</f>
        <v/>
      </c>
      <c r="AA1479" s="29" t="str">
        <f>IF(AND(LEFT($B1479,7)="SBA 26/",$C1479&lt;&gt;"",$F1479&lt;&gt;""),COUNTIFS($C$2:$C1479,$C1479,$B$2:$B1479,"SBA 26/*",$F$2:$F1479,"&lt;&gt;"),"")</f>
        <v/>
      </c>
      <c r="AB1479" s="29" t="str">
        <f>IF(AA1479=1,COUNTIF($AA$2:AA1479,1),"")</f>
        <v/>
      </c>
    </row>
    <row r="1480" spans="6:28" ht="31.5" customHeight="1" x14ac:dyDescent="0.2">
      <c r="F1480" s="45" t="s">
        <v>4156</v>
      </c>
      <c r="T1480" s="41"/>
      <c r="U1480" s="29" t="str">
        <f>IF($C1480&lt;&gt;"",COUNTIF($C$2:C1480,C1480),"")</f>
        <v/>
      </c>
      <c r="V1480" s="29" t="str">
        <f t="shared" si="78"/>
        <v/>
      </c>
      <c r="W1480" s="29" t="str">
        <f>IF(U1480=1,COUNTIF($U$2:U1480,1),"")</f>
        <v/>
      </c>
      <c r="X1480" s="29" t="str">
        <f t="shared" si="77"/>
        <v/>
      </c>
      <c r="Y1480" s="29" t="str">
        <f>IF(AND(LEFT($B1480,7)="SBA 26/",$D1480&lt;&gt;"",$F1480&lt;&gt;""),COUNTIFS($D$2:$D1480,$D1480,$B$2:$B1480,"SBA 26/*",$F$2:$F1480,"&lt;&gt;"),"")</f>
        <v/>
      </c>
      <c r="Z1480" s="29" t="str">
        <f>IF(Y1480=1,COUNTIF($Y$2:Y1480,1),"")</f>
        <v/>
      </c>
      <c r="AA1480" s="29" t="str">
        <f>IF(AND(LEFT($B1480,7)="SBA 26/",$C1480&lt;&gt;"",$F1480&lt;&gt;""),COUNTIFS($C$2:$C1480,$C1480,$B$2:$B1480,"SBA 26/*",$F$2:$F1480,"&lt;&gt;"),"")</f>
        <v/>
      </c>
      <c r="AB1480" s="29" t="str">
        <f>IF(AA1480=1,COUNTIF($AA$2:AA1480,1),"")</f>
        <v/>
      </c>
    </row>
    <row r="1481" spans="6:28" ht="31.5" customHeight="1" x14ac:dyDescent="0.2">
      <c r="F1481" s="45" t="s">
        <v>4157</v>
      </c>
      <c r="T1481" s="41"/>
      <c r="U1481" s="29" t="str">
        <f>IF($C1481&lt;&gt;"",COUNTIF($C$2:C1481,C1481),"")</f>
        <v/>
      </c>
      <c r="V1481" s="29" t="str">
        <f t="shared" si="78"/>
        <v/>
      </c>
      <c r="W1481" s="29" t="str">
        <f>IF(U1481=1,COUNTIF($U$2:U1481,1),"")</f>
        <v/>
      </c>
      <c r="X1481" s="29" t="str">
        <f t="shared" si="77"/>
        <v/>
      </c>
      <c r="Y1481" s="29" t="str">
        <f>IF(AND(LEFT($B1481,7)="SBA 26/",$D1481&lt;&gt;"",$F1481&lt;&gt;""),COUNTIFS($D$2:$D1481,$D1481,$B$2:$B1481,"SBA 26/*",$F$2:$F1481,"&lt;&gt;"),"")</f>
        <v/>
      </c>
      <c r="Z1481" s="29" t="str">
        <f>IF(Y1481=1,COUNTIF($Y$2:Y1481,1),"")</f>
        <v/>
      </c>
      <c r="AA1481" s="29" t="str">
        <f>IF(AND(LEFT($B1481,7)="SBA 26/",$C1481&lt;&gt;"",$F1481&lt;&gt;""),COUNTIFS($C$2:$C1481,$C1481,$B$2:$B1481,"SBA 26/*",$F$2:$F1481,"&lt;&gt;"),"")</f>
        <v/>
      </c>
      <c r="AB1481" s="29" t="str">
        <f>IF(AA1481=1,COUNTIF($AA$2:AA1481,1),"")</f>
        <v/>
      </c>
    </row>
    <row r="1482" spans="6:28" ht="47.25" customHeight="1" x14ac:dyDescent="0.2">
      <c r="F1482" s="45" t="s">
        <v>4158</v>
      </c>
      <c r="T1482" s="41"/>
      <c r="U1482" s="29" t="str">
        <f>IF($C1482&lt;&gt;"",COUNTIF($C$2:C1482,C1482),"")</f>
        <v/>
      </c>
      <c r="V1482" s="29" t="str">
        <f t="shared" si="78"/>
        <v/>
      </c>
      <c r="W1482" s="29" t="str">
        <f>IF(U1482=1,COUNTIF($U$2:U1482,1),"")</f>
        <v/>
      </c>
      <c r="X1482" s="29" t="str">
        <f t="shared" si="77"/>
        <v/>
      </c>
      <c r="Y1482" s="29" t="str">
        <f>IF(AND(LEFT($B1482,7)="SBA 26/",$D1482&lt;&gt;"",$F1482&lt;&gt;""),COUNTIFS($D$2:$D1482,$D1482,$B$2:$B1482,"SBA 26/*",$F$2:$F1482,"&lt;&gt;"),"")</f>
        <v/>
      </c>
      <c r="Z1482" s="29" t="str">
        <f>IF(Y1482=1,COUNTIF($Y$2:Y1482,1),"")</f>
        <v/>
      </c>
      <c r="AA1482" s="29" t="str">
        <f>IF(AND(LEFT($B1482,7)="SBA 26/",$C1482&lt;&gt;"",$F1482&lt;&gt;""),COUNTIFS($C$2:$C1482,$C1482,$B$2:$B1482,"SBA 26/*",$F$2:$F1482,"&lt;&gt;"),"")</f>
        <v/>
      </c>
      <c r="AB1482" s="29" t="str">
        <f>IF(AA1482=1,COUNTIF($AA$2:AA1482,1),"")</f>
        <v/>
      </c>
    </row>
    <row r="1483" spans="6:28" ht="31.5" customHeight="1" x14ac:dyDescent="0.2">
      <c r="F1483" s="45" t="s">
        <v>4159</v>
      </c>
      <c r="T1483" s="41"/>
      <c r="U1483" s="29" t="str">
        <f>IF($C1483&lt;&gt;"",COUNTIF($C$2:C1483,C1483),"")</f>
        <v/>
      </c>
      <c r="V1483" s="29" t="str">
        <f t="shared" si="78"/>
        <v/>
      </c>
      <c r="W1483" s="29" t="str">
        <f>IF(U1483=1,COUNTIF($U$2:U1483,1),"")</f>
        <v/>
      </c>
      <c r="X1483" s="29" t="str">
        <f t="shared" si="77"/>
        <v/>
      </c>
      <c r="Y1483" s="29" t="str">
        <f>IF(AND(LEFT($B1483,7)="SBA 26/",$D1483&lt;&gt;"",$F1483&lt;&gt;""),COUNTIFS($D$2:$D1483,$D1483,$B$2:$B1483,"SBA 26/*",$F$2:$F1483,"&lt;&gt;"),"")</f>
        <v/>
      </c>
      <c r="Z1483" s="29" t="str">
        <f>IF(Y1483=1,COUNTIF($Y$2:Y1483,1),"")</f>
        <v/>
      </c>
      <c r="AA1483" s="29" t="str">
        <f>IF(AND(LEFT($B1483,7)="SBA 26/",$C1483&lt;&gt;"",$F1483&lt;&gt;""),COUNTIFS($C$2:$C1483,$C1483,$B$2:$B1483,"SBA 26/*",$F$2:$F1483,"&lt;&gt;"),"")</f>
        <v/>
      </c>
      <c r="AB1483" s="29" t="str">
        <f>IF(AA1483=1,COUNTIF($AA$2:AA1483,1),"")</f>
        <v/>
      </c>
    </row>
    <row r="1484" spans="6:28" ht="31.5" customHeight="1" x14ac:dyDescent="0.2">
      <c r="F1484" s="45" t="s">
        <v>4160</v>
      </c>
      <c r="T1484" s="41"/>
      <c r="U1484" s="29" t="str">
        <f>IF($C1484&lt;&gt;"",COUNTIF($C$2:C1484,C1484),"")</f>
        <v/>
      </c>
      <c r="V1484" s="29" t="str">
        <f t="shared" si="78"/>
        <v/>
      </c>
      <c r="W1484" s="29" t="str">
        <f>IF(U1484=1,COUNTIF($U$2:U1484,1),"")</f>
        <v/>
      </c>
      <c r="X1484" s="29" t="str">
        <f t="shared" si="77"/>
        <v/>
      </c>
      <c r="Y1484" s="29" t="str">
        <f>IF(AND(LEFT($B1484,7)="SBA 26/",$D1484&lt;&gt;"",$F1484&lt;&gt;""),COUNTIFS($D$2:$D1484,$D1484,$B$2:$B1484,"SBA 26/*",$F$2:$F1484,"&lt;&gt;"),"")</f>
        <v/>
      </c>
      <c r="Z1484" s="29" t="str">
        <f>IF(Y1484=1,COUNTIF($Y$2:Y1484,1),"")</f>
        <v/>
      </c>
      <c r="AA1484" s="29" t="str">
        <f>IF(AND(LEFT($B1484,7)="SBA 26/",$C1484&lt;&gt;"",$F1484&lt;&gt;""),COUNTIFS($C$2:$C1484,$C1484,$B$2:$B1484,"SBA 26/*",$F$2:$F1484,"&lt;&gt;"),"")</f>
        <v/>
      </c>
      <c r="AB1484" s="29" t="str">
        <f>IF(AA1484=1,COUNTIF($AA$2:AA1484,1),"")</f>
        <v/>
      </c>
    </row>
    <row r="1485" spans="6:28" ht="47.25" customHeight="1" x14ac:dyDescent="0.2">
      <c r="F1485" s="45" t="s">
        <v>4161</v>
      </c>
      <c r="T1485" s="41"/>
      <c r="U1485" s="29" t="str">
        <f>IF($C1485&lt;&gt;"",COUNTIF($C$2:C1485,C1485),"")</f>
        <v/>
      </c>
      <c r="V1485" s="29" t="str">
        <f t="shared" si="78"/>
        <v/>
      </c>
      <c r="W1485" s="29" t="str">
        <f>IF(U1485=1,COUNTIF($U$2:U1485,1),"")</f>
        <v/>
      </c>
      <c r="X1485" s="29" t="str">
        <f t="shared" si="77"/>
        <v/>
      </c>
      <c r="Y1485" s="29" t="str">
        <f>IF(AND(LEFT($B1485,7)="SBA 26/",$D1485&lt;&gt;"",$F1485&lt;&gt;""),COUNTIFS($D$2:$D1485,$D1485,$B$2:$B1485,"SBA 26/*",$F$2:$F1485,"&lt;&gt;"),"")</f>
        <v/>
      </c>
      <c r="Z1485" s="29" t="str">
        <f>IF(Y1485=1,COUNTIF($Y$2:Y1485,1),"")</f>
        <v/>
      </c>
      <c r="AA1485" s="29" t="str">
        <f>IF(AND(LEFT($B1485,7)="SBA 26/",$C1485&lt;&gt;"",$F1485&lt;&gt;""),COUNTIFS($C$2:$C1485,$C1485,$B$2:$B1485,"SBA 26/*",$F$2:$F1485,"&lt;&gt;"),"")</f>
        <v/>
      </c>
      <c r="AB1485" s="29" t="str">
        <f>IF(AA1485=1,COUNTIF($AA$2:AA1485,1),"")</f>
        <v/>
      </c>
    </row>
    <row r="1486" spans="6:28" ht="31.5" customHeight="1" x14ac:dyDescent="0.2">
      <c r="F1486" s="45" t="s">
        <v>4162</v>
      </c>
      <c r="T1486" s="41"/>
      <c r="U1486" s="29" t="str">
        <f>IF($C1486&lt;&gt;"",COUNTIF($C$2:C1486,C1486),"")</f>
        <v/>
      </c>
      <c r="V1486" s="29" t="str">
        <f t="shared" si="78"/>
        <v/>
      </c>
      <c r="W1486" s="29" t="str">
        <f>IF(U1486=1,COUNTIF($U$2:U1486,1),"")</f>
        <v/>
      </c>
      <c r="X1486" s="29" t="str">
        <f t="shared" si="77"/>
        <v/>
      </c>
      <c r="Y1486" s="29" t="str">
        <f>IF(AND(LEFT($B1486,7)="SBA 26/",$D1486&lt;&gt;"",$F1486&lt;&gt;""),COUNTIFS($D$2:$D1486,$D1486,$B$2:$B1486,"SBA 26/*",$F$2:$F1486,"&lt;&gt;"),"")</f>
        <v/>
      </c>
      <c r="Z1486" s="29" t="str">
        <f>IF(Y1486=1,COUNTIF($Y$2:Y1486,1),"")</f>
        <v/>
      </c>
      <c r="AA1486" s="29" t="str">
        <f>IF(AND(LEFT($B1486,7)="SBA 26/",$C1486&lt;&gt;"",$F1486&lt;&gt;""),COUNTIFS($C$2:$C1486,$C1486,$B$2:$B1486,"SBA 26/*",$F$2:$F1486,"&lt;&gt;"),"")</f>
        <v/>
      </c>
      <c r="AB1486" s="29" t="str">
        <f>IF(AA1486=1,COUNTIF($AA$2:AA1486,1),"")</f>
        <v/>
      </c>
    </row>
    <row r="1487" spans="6:28" ht="31.5" customHeight="1" x14ac:dyDescent="0.2">
      <c r="F1487" s="45" t="s">
        <v>4163</v>
      </c>
      <c r="T1487" s="41"/>
      <c r="U1487" s="29" t="str">
        <f>IF($C1487&lt;&gt;"",COUNTIF($C$2:C1487,C1487),"")</f>
        <v/>
      </c>
      <c r="V1487" s="29" t="str">
        <f t="shared" si="78"/>
        <v/>
      </c>
      <c r="W1487" s="29" t="str">
        <f>IF(U1487=1,COUNTIF($U$2:U1487,1),"")</f>
        <v/>
      </c>
      <c r="X1487" s="29" t="str">
        <f t="shared" si="77"/>
        <v/>
      </c>
      <c r="Y1487" s="29" t="str">
        <f>IF(AND(LEFT($B1487,7)="SBA 26/",$D1487&lt;&gt;"",$F1487&lt;&gt;""),COUNTIFS($D$2:$D1487,$D1487,$B$2:$B1487,"SBA 26/*",$F$2:$F1487,"&lt;&gt;"),"")</f>
        <v/>
      </c>
      <c r="Z1487" s="29" t="str">
        <f>IF(Y1487=1,COUNTIF($Y$2:Y1487,1),"")</f>
        <v/>
      </c>
      <c r="AA1487" s="29" t="str">
        <f>IF(AND(LEFT($B1487,7)="SBA 26/",$C1487&lt;&gt;"",$F1487&lt;&gt;""),COUNTIFS($C$2:$C1487,$C1487,$B$2:$B1487,"SBA 26/*",$F$2:$F1487,"&lt;&gt;"),"")</f>
        <v/>
      </c>
      <c r="AB1487" s="29" t="str">
        <f>IF(AA1487=1,COUNTIF($AA$2:AA1487,1),"")</f>
        <v/>
      </c>
    </row>
    <row r="1488" spans="6:28" ht="31.5" customHeight="1" x14ac:dyDescent="0.2">
      <c r="F1488" s="45" t="s">
        <v>4164</v>
      </c>
      <c r="T1488" s="41"/>
      <c r="U1488" s="29" t="str">
        <f>IF($C1488&lt;&gt;"",COUNTIF($C$2:C1488,C1488),"")</f>
        <v/>
      </c>
      <c r="V1488" s="29" t="str">
        <f t="shared" si="78"/>
        <v/>
      </c>
      <c r="W1488" s="29" t="str">
        <f>IF(U1488=1,COUNTIF($U$2:U1488,1),"")</f>
        <v/>
      </c>
      <c r="X1488" s="29" t="str">
        <f t="shared" si="77"/>
        <v/>
      </c>
      <c r="Y1488" s="29" t="str">
        <f>IF(AND(LEFT($B1488,7)="SBA 26/",$D1488&lt;&gt;"",$F1488&lt;&gt;""),COUNTIFS($D$2:$D1488,$D1488,$B$2:$B1488,"SBA 26/*",$F$2:$F1488,"&lt;&gt;"),"")</f>
        <v/>
      </c>
      <c r="Z1488" s="29" t="str">
        <f>IF(Y1488=1,COUNTIF($Y$2:Y1488,1),"")</f>
        <v/>
      </c>
      <c r="AA1488" s="29" t="str">
        <f>IF(AND(LEFT($B1488,7)="SBA 26/",$C1488&lt;&gt;"",$F1488&lt;&gt;""),COUNTIFS($C$2:$C1488,$C1488,$B$2:$B1488,"SBA 26/*",$F$2:$F1488,"&lt;&gt;"),"")</f>
        <v/>
      </c>
      <c r="AB1488" s="29" t="str">
        <f>IF(AA1488=1,COUNTIF($AA$2:AA1488,1),"")</f>
        <v/>
      </c>
    </row>
    <row r="1489" spans="6:28" ht="31.5" customHeight="1" x14ac:dyDescent="0.2">
      <c r="F1489" s="45" t="s">
        <v>4165</v>
      </c>
      <c r="T1489" s="41"/>
      <c r="U1489" s="29" t="str">
        <f>IF($C1489&lt;&gt;"",COUNTIF($C$2:C1489,C1489),"")</f>
        <v/>
      </c>
      <c r="V1489" s="29" t="str">
        <f t="shared" si="78"/>
        <v/>
      </c>
      <c r="W1489" s="29" t="str">
        <f>IF(U1489=1,COUNTIF($U$2:U1489,1),"")</f>
        <v/>
      </c>
      <c r="X1489" s="29" t="str">
        <f t="shared" si="77"/>
        <v/>
      </c>
      <c r="Y1489" s="29" t="str">
        <f>IF(AND(LEFT($B1489,7)="SBA 26/",$D1489&lt;&gt;"",$F1489&lt;&gt;""),COUNTIFS($D$2:$D1489,$D1489,$B$2:$B1489,"SBA 26/*",$F$2:$F1489,"&lt;&gt;"),"")</f>
        <v/>
      </c>
      <c r="Z1489" s="29" t="str">
        <f>IF(Y1489=1,COUNTIF($Y$2:Y1489,1),"")</f>
        <v/>
      </c>
      <c r="AA1489" s="29" t="str">
        <f>IF(AND(LEFT($B1489,7)="SBA 26/",$C1489&lt;&gt;"",$F1489&lt;&gt;""),COUNTIFS($C$2:$C1489,$C1489,$B$2:$B1489,"SBA 26/*",$F$2:$F1489,"&lt;&gt;"),"")</f>
        <v/>
      </c>
      <c r="AB1489" s="29" t="str">
        <f>IF(AA1489=1,COUNTIF($AA$2:AA1489,1),"")</f>
        <v/>
      </c>
    </row>
    <row r="1490" spans="6:28" ht="47.25" customHeight="1" x14ac:dyDescent="0.2">
      <c r="F1490" s="45" t="s">
        <v>4166</v>
      </c>
      <c r="T1490" s="41"/>
      <c r="U1490" s="29" t="str">
        <f>IF($C1490&lt;&gt;"",COUNTIF($C$2:C1490,C1490),"")</f>
        <v/>
      </c>
      <c r="V1490" s="29" t="str">
        <f t="shared" si="78"/>
        <v/>
      </c>
      <c r="W1490" s="29" t="str">
        <f>IF(U1490=1,COUNTIF($U$2:U1490,1),"")</f>
        <v/>
      </c>
      <c r="X1490" s="29" t="str">
        <f t="shared" si="77"/>
        <v/>
      </c>
      <c r="Y1490" s="29" t="str">
        <f>IF(AND(LEFT($B1490,7)="SBA 26/",$D1490&lt;&gt;"",$F1490&lt;&gt;""),COUNTIFS($D$2:$D1490,$D1490,$B$2:$B1490,"SBA 26/*",$F$2:$F1490,"&lt;&gt;"),"")</f>
        <v/>
      </c>
      <c r="Z1490" s="29" t="str">
        <f>IF(Y1490=1,COUNTIF($Y$2:Y1490,1),"")</f>
        <v/>
      </c>
      <c r="AA1490" s="29" t="str">
        <f>IF(AND(LEFT($B1490,7)="SBA 26/",$C1490&lt;&gt;"",$F1490&lt;&gt;""),COUNTIFS($C$2:$C1490,$C1490,$B$2:$B1490,"SBA 26/*",$F$2:$F1490,"&lt;&gt;"),"")</f>
        <v/>
      </c>
      <c r="AB1490" s="29" t="str">
        <f>IF(AA1490=1,COUNTIF($AA$2:AA1490,1),"")</f>
        <v/>
      </c>
    </row>
    <row r="1491" spans="6:28" ht="31.5" customHeight="1" x14ac:dyDescent="0.2">
      <c r="F1491" s="45" t="s">
        <v>4167</v>
      </c>
      <c r="T1491" s="41"/>
      <c r="U1491" s="29" t="str">
        <f>IF($C1491&lt;&gt;"",COUNTIF($C$2:C1491,C1491),"")</f>
        <v/>
      </c>
      <c r="V1491" s="29" t="str">
        <f t="shared" si="78"/>
        <v/>
      </c>
      <c r="W1491" s="29" t="str">
        <f>IF(U1491=1,COUNTIF($U$2:U1491,1),"")</f>
        <v/>
      </c>
      <c r="X1491" s="29" t="str">
        <f t="shared" si="77"/>
        <v/>
      </c>
      <c r="Y1491" s="29" t="str">
        <f>IF(AND(LEFT($B1491,7)="SBA 26/",$D1491&lt;&gt;"",$F1491&lt;&gt;""),COUNTIFS($D$2:$D1491,$D1491,$B$2:$B1491,"SBA 26/*",$F$2:$F1491,"&lt;&gt;"),"")</f>
        <v/>
      </c>
      <c r="Z1491" s="29" t="str">
        <f>IF(Y1491=1,COUNTIF($Y$2:Y1491,1),"")</f>
        <v/>
      </c>
      <c r="AA1491" s="29" t="str">
        <f>IF(AND(LEFT($B1491,7)="SBA 26/",$C1491&lt;&gt;"",$F1491&lt;&gt;""),COUNTIFS($C$2:$C1491,$C1491,$B$2:$B1491,"SBA 26/*",$F$2:$F1491,"&lt;&gt;"),"")</f>
        <v/>
      </c>
      <c r="AB1491" s="29" t="str">
        <f>IF(AA1491=1,COUNTIF($AA$2:AA1491,1),"")</f>
        <v/>
      </c>
    </row>
    <row r="1492" spans="6:28" ht="31.5" customHeight="1" x14ac:dyDescent="0.2">
      <c r="F1492" s="45" t="s">
        <v>4168</v>
      </c>
      <c r="T1492" s="41"/>
      <c r="U1492" s="29" t="str">
        <f>IF($C1492&lt;&gt;"",COUNTIF($C$2:C1492,C1492),"")</f>
        <v/>
      </c>
      <c r="V1492" s="29" t="str">
        <f t="shared" si="78"/>
        <v/>
      </c>
      <c r="W1492" s="29" t="str">
        <f>IF(U1492=1,COUNTIF($U$2:U1492,1),"")</f>
        <v/>
      </c>
      <c r="X1492" s="29" t="str">
        <f t="shared" si="77"/>
        <v/>
      </c>
      <c r="Y1492" s="29" t="str">
        <f>IF(AND(LEFT($B1492,7)="SBA 26/",$D1492&lt;&gt;"",$F1492&lt;&gt;""),COUNTIFS($D$2:$D1492,$D1492,$B$2:$B1492,"SBA 26/*",$F$2:$F1492,"&lt;&gt;"),"")</f>
        <v/>
      </c>
      <c r="Z1492" s="29" t="str">
        <f>IF(Y1492=1,COUNTIF($Y$2:Y1492,1),"")</f>
        <v/>
      </c>
      <c r="AA1492" s="29" t="str">
        <f>IF(AND(LEFT($B1492,7)="SBA 26/",$C1492&lt;&gt;"",$F1492&lt;&gt;""),COUNTIFS($C$2:$C1492,$C1492,$B$2:$B1492,"SBA 26/*",$F$2:$F1492,"&lt;&gt;"),"")</f>
        <v/>
      </c>
      <c r="AB1492" s="29" t="str">
        <f>IF(AA1492=1,COUNTIF($AA$2:AA1492,1),"")</f>
        <v/>
      </c>
    </row>
    <row r="1493" spans="6:28" ht="31.5" customHeight="1" x14ac:dyDescent="0.2">
      <c r="F1493" s="45" t="s">
        <v>4169</v>
      </c>
      <c r="T1493" s="41"/>
      <c r="U1493" s="29" t="str">
        <f>IF($C1493&lt;&gt;"",COUNTIF($C$2:C1493,C1493),"")</f>
        <v/>
      </c>
      <c r="V1493" s="29" t="str">
        <f t="shared" si="78"/>
        <v/>
      </c>
      <c r="W1493" s="29" t="str">
        <f>IF(U1493=1,COUNTIF($U$2:U1493,1),"")</f>
        <v/>
      </c>
      <c r="X1493" s="29" t="str">
        <f t="shared" si="77"/>
        <v/>
      </c>
      <c r="Y1493" s="29" t="str">
        <f>IF(AND(LEFT($B1493,7)="SBA 26/",$D1493&lt;&gt;"",$F1493&lt;&gt;""),COUNTIFS($D$2:$D1493,$D1493,$B$2:$B1493,"SBA 26/*",$F$2:$F1493,"&lt;&gt;"),"")</f>
        <v/>
      </c>
      <c r="Z1493" s="29" t="str">
        <f>IF(Y1493=1,COUNTIF($Y$2:Y1493,1),"")</f>
        <v/>
      </c>
      <c r="AA1493" s="29" t="str">
        <f>IF(AND(LEFT($B1493,7)="SBA 26/",$C1493&lt;&gt;"",$F1493&lt;&gt;""),COUNTIFS($C$2:$C1493,$C1493,$B$2:$B1493,"SBA 26/*",$F$2:$F1493,"&lt;&gt;"),"")</f>
        <v/>
      </c>
      <c r="AB1493" s="29" t="str">
        <f>IF(AA1493=1,COUNTIF($AA$2:AA1493,1),"")</f>
        <v/>
      </c>
    </row>
    <row r="1494" spans="6:28" ht="47.25" customHeight="1" x14ac:dyDescent="0.2">
      <c r="F1494" s="45" t="s">
        <v>4170</v>
      </c>
      <c r="T1494" s="41"/>
      <c r="U1494" s="29" t="str">
        <f>IF($C1494&lt;&gt;"",COUNTIF($C$2:C1494,C1494),"")</f>
        <v/>
      </c>
      <c r="V1494" s="29" t="str">
        <f t="shared" si="78"/>
        <v/>
      </c>
      <c r="W1494" s="29" t="str">
        <f>IF(U1494=1,COUNTIF($U$2:U1494,1),"")</f>
        <v/>
      </c>
      <c r="X1494" s="29" t="str">
        <f t="shared" si="77"/>
        <v/>
      </c>
      <c r="Y1494" s="29" t="str">
        <f>IF(AND(LEFT($B1494,7)="SBA 26/",$D1494&lt;&gt;"",$F1494&lt;&gt;""),COUNTIFS($D$2:$D1494,$D1494,$B$2:$B1494,"SBA 26/*",$F$2:$F1494,"&lt;&gt;"),"")</f>
        <v/>
      </c>
      <c r="Z1494" s="29" t="str">
        <f>IF(Y1494=1,COUNTIF($Y$2:Y1494,1),"")</f>
        <v/>
      </c>
      <c r="AA1494" s="29" t="str">
        <f>IF(AND(LEFT($B1494,7)="SBA 26/",$C1494&lt;&gt;"",$F1494&lt;&gt;""),COUNTIFS($C$2:$C1494,$C1494,$B$2:$B1494,"SBA 26/*",$F$2:$F1494,"&lt;&gt;"),"")</f>
        <v/>
      </c>
      <c r="AB1494" s="29" t="str">
        <f>IF(AA1494=1,COUNTIF($AA$2:AA1494,1),"")</f>
        <v/>
      </c>
    </row>
    <row r="1495" spans="6:28" ht="31.5" customHeight="1" x14ac:dyDescent="0.2">
      <c r="F1495" s="45" t="s">
        <v>4171</v>
      </c>
      <c r="T1495" s="41"/>
      <c r="U1495" s="29" t="str">
        <f>IF($C1495&lt;&gt;"",COUNTIF($C$2:C1495,C1495),"")</f>
        <v/>
      </c>
      <c r="V1495" s="29" t="str">
        <f t="shared" si="78"/>
        <v/>
      </c>
      <c r="W1495" s="29" t="str">
        <f>IF(U1495=1,COUNTIF($U$2:U1495,1),"")</f>
        <v/>
      </c>
      <c r="X1495" s="29" t="str">
        <f t="shared" si="77"/>
        <v/>
      </c>
      <c r="Y1495" s="29" t="str">
        <f>IF(AND(LEFT($B1495,7)="SBA 26/",$D1495&lt;&gt;"",$F1495&lt;&gt;""),COUNTIFS($D$2:$D1495,$D1495,$B$2:$B1495,"SBA 26/*",$F$2:$F1495,"&lt;&gt;"),"")</f>
        <v/>
      </c>
      <c r="Z1495" s="29" t="str">
        <f>IF(Y1495=1,COUNTIF($Y$2:Y1495,1),"")</f>
        <v/>
      </c>
      <c r="AA1495" s="29" t="str">
        <f>IF(AND(LEFT($B1495,7)="SBA 26/",$C1495&lt;&gt;"",$F1495&lt;&gt;""),COUNTIFS($C$2:$C1495,$C1495,$B$2:$B1495,"SBA 26/*",$F$2:$F1495,"&lt;&gt;"),"")</f>
        <v/>
      </c>
      <c r="AB1495" s="29" t="str">
        <f>IF(AA1495=1,COUNTIF($AA$2:AA1495,1),"")</f>
        <v/>
      </c>
    </row>
    <row r="1496" spans="6:28" ht="78.75" customHeight="1" x14ac:dyDescent="0.2">
      <c r="F1496" s="45" t="s">
        <v>4172</v>
      </c>
      <c r="T1496" s="41"/>
      <c r="U1496" s="29" t="str">
        <f>IF($C1496&lt;&gt;"",COUNTIF($C$2:C1496,C1496),"")</f>
        <v/>
      </c>
      <c r="V1496" s="29" t="str">
        <f t="shared" si="78"/>
        <v/>
      </c>
      <c r="W1496" s="29" t="str">
        <f>IF(U1496=1,COUNTIF($U$2:U1496,1),"")</f>
        <v/>
      </c>
      <c r="X1496" s="29" t="str">
        <f t="shared" si="77"/>
        <v/>
      </c>
      <c r="Y1496" s="29" t="str">
        <f>IF(AND(LEFT($B1496,7)="SBA 26/",$D1496&lt;&gt;"",$F1496&lt;&gt;""),COUNTIFS($D$2:$D1496,$D1496,$B$2:$B1496,"SBA 26/*",$F$2:$F1496,"&lt;&gt;"),"")</f>
        <v/>
      </c>
      <c r="Z1496" s="29" t="str">
        <f>IF(Y1496=1,COUNTIF($Y$2:Y1496,1),"")</f>
        <v/>
      </c>
      <c r="AA1496" s="29" t="str">
        <f>IF(AND(LEFT($B1496,7)="SBA 26/",$C1496&lt;&gt;"",$F1496&lt;&gt;""),COUNTIFS($C$2:$C1496,$C1496,$B$2:$B1496,"SBA 26/*",$F$2:$F1496,"&lt;&gt;"),"")</f>
        <v/>
      </c>
      <c r="AB1496" s="29" t="str">
        <f>IF(AA1496=1,COUNTIF($AA$2:AA1496,1),"")</f>
        <v/>
      </c>
    </row>
    <row r="1497" spans="6:28" ht="31.5" customHeight="1" x14ac:dyDescent="0.2">
      <c r="F1497" s="45" t="s">
        <v>4173</v>
      </c>
      <c r="T1497" s="41"/>
      <c r="U1497" s="29" t="str">
        <f>IF($C1497&lt;&gt;"",COUNTIF($C$2:C1497,C1497),"")</f>
        <v/>
      </c>
      <c r="V1497" s="29" t="str">
        <f t="shared" si="78"/>
        <v/>
      </c>
      <c r="W1497" s="29" t="str">
        <f>IF(U1497=1,COUNTIF($U$2:U1497,1),"")</f>
        <v/>
      </c>
      <c r="X1497" s="29" t="str">
        <f t="shared" si="77"/>
        <v/>
      </c>
      <c r="Y1497" s="29" t="str">
        <f>IF(AND(LEFT($B1497,7)="SBA 26/",$D1497&lt;&gt;"",$F1497&lt;&gt;""),COUNTIFS($D$2:$D1497,$D1497,$B$2:$B1497,"SBA 26/*",$F$2:$F1497,"&lt;&gt;"),"")</f>
        <v/>
      </c>
      <c r="Z1497" s="29" t="str">
        <f>IF(Y1497=1,COUNTIF($Y$2:Y1497,1),"")</f>
        <v/>
      </c>
      <c r="AA1497" s="29" t="str">
        <f>IF(AND(LEFT($B1497,7)="SBA 26/",$C1497&lt;&gt;"",$F1497&lt;&gt;""),COUNTIFS($C$2:$C1497,$C1497,$B$2:$B1497,"SBA 26/*",$F$2:$F1497,"&lt;&gt;"),"")</f>
        <v/>
      </c>
      <c r="AB1497" s="29" t="str">
        <f>IF(AA1497=1,COUNTIF($AA$2:AA1497,1),"")</f>
        <v/>
      </c>
    </row>
    <row r="1498" spans="6:28" ht="63" customHeight="1" x14ac:dyDescent="0.2">
      <c r="F1498" s="45" t="s">
        <v>4174</v>
      </c>
      <c r="T1498" s="41"/>
      <c r="U1498" s="29" t="str">
        <f>IF($C1498&lt;&gt;"",COUNTIF($C$2:C1498,C1498),"")</f>
        <v/>
      </c>
      <c r="V1498" s="29" t="str">
        <f t="shared" si="78"/>
        <v/>
      </c>
      <c r="W1498" s="29" t="str">
        <f>IF(U1498=1,COUNTIF($U$2:U1498,1),"")</f>
        <v/>
      </c>
      <c r="X1498" s="29" t="str">
        <f t="shared" si="77"/>
        <v/>
      </c>
      <c r="Y1498" s="29" t="str">
        <f>IF(AND(LEFT($B1498,7)="SBA 26/",$D1498&lt;&gt;"",$F1498&lt;&gt;""),COUNTIFS($D$2:$D1498,$D1498,$B$2:$B1498,"SBA 26/*",$F$2:$F1498,"&lt;&gt;"),"")</f>
        <v/>
      </c>
      <c r="Z1498" s="29" t="str">
        <f>IF(Y1498=1,COUNTIF($Y$2:Y1498,1),"")</f>
        <v/>
      </c>
      <c r="AA1498" s="29" t="str">
        <f>IF(AND(LEFT($B1498,7)="SBA 26/",$C1498&lt;&gt;"",$F1498&lt;&gt;""),COUNTIFS($C$2:$C1498,$C1498,$B$2:$B1498,"SBA 26/*",$F$2:$F1498,"&lt;&gt;"),"")</f>
        <v/>
      </c>
      <c r="AB1498" s="29" t="str">
        <f>IF(AA1498=1,COUNTIF($AA$2:AA1498,1),"")</f>
        <v/>
      </c>
    </row>
    <row r="1499" spans="6:28" ht="31.5" customHeight="1" x14ac:dyDescent="0.2">
      <c r="F1499" s="45" t="s">
        <v>4175</v>
      </c>
      <c r="T1499" s="41"/>
      <c r="U1499" s="29" t="str">
        <f>IF($C1499&lt;&gt;"",COUNTIF($C$2:C1499,C1499),"")</f>
        <v/>
      </c>
      <c r="V1499" s="29" t="str">
        <f t="shared" si="78"/>
        <v/>
      </c>
      <c r="W1499" s="29" t="str">
        <f>IF(U1499=1,COUNTIF($U$2:U1499,1),"")</f>
        <v/>
      </c>
      <c r="X1499" s="29" t="str">
        <f t="shared" si="77"/>
        <v/>
      </c>
      <c r="Y1499" s="29" t="str">
        <f>IF(AND(LEFT($B1499,7)="SBA 26/",$D1499&lt;&gt;"",$F1499&lt;&gt;""),COUNTIFS($D$2:$D1499,$D1499,$B$2:$B1499,"SBA 26/*",$F$2:$F1499,"&lt;&gt;"),"")</f>
        <v/>
      </c>
      <c r="Z1499" s="29" t="str">
        <f>IF(Y1499=1,COUNTIF($Y$2:Y1499,1),"")</f>
        <v/>
      </c>
      <c r="AA1499" s="29" t="str">
        <f>IF(AND(LEFT($B1499,7)="SBA 26/",$C1499&lt;&gt;"",$F1499&lt;&gt;""),COUNTIFS($C$2:$C1499,$C1499,$B$2:$B1499,"SBA 26/*",$F$2:$F1499,"&lt;&gt;"),"")</f>
        <v/>
      </c>
      <c r="AB1499" s="29" t="str">
        <f>IF(AA1499=1,COUNTIF($AA$2:AA1499,1),"")</f>
        <v/>
      </c>
    </row>
    <row r="1500" spans="6:28" ht="31.5" customHeight="1" x14ac:dyDescent="0.2">
      <c r="F1500" s="45" t="s">
        <v>4176</v>
      </c>
      <c r="T1500" s="41"/>
      <c r="U1500" s="29" t="str">
        <f>IF($C1500&lt;&gt;"",COUNTIF($C$2:C1500,C1500),"")</f>
        <v/>
      </c>
      <c r="V1500" s="29" t="str">
        <f t="shared" si="78"/>
        <v/>
      </c>
      <c r="W1500" s="29" t="str">
        <f>IF(U1500=1,COUNTIF($U$2:U1500,1),"")</f>
        <v/>
      </c>
      <c r="X1500" s="29" t="str">
        <f t="shared" si="77"/>
        <v/>
      </c>
      <c r="Y1500" s="29" t="str">
        <f>IF(AND(LEFT($B1500,7)="SBA 26/",$D1500&lt;&gt;"",$F1500&lt;&gt;""),COUNTIFS($D$2:$D1500,$D1500,$B$2:$B1500,"SBA 26/*",$F$2:$F1500,"&lt;&gt;"),"")</f>
        <v/>
      </c>
      <c r="Z1500" s="29" t="str">
        <f>IF(Y1500=1,COUNTIF($Y$2:Y1500,1),"")</f>
        <v/>
      </c>
      <c r="AA1500" s="29" t="str">
        <f>IF(AND(LEFT($B1500,7)="SBA 26/",$C1500&lt;&gt;"",$F1500&lt;&gt;""),COUNTIFS($C$2:$C1500,$C1500,$B$2:$B1500,"SBA 26/*",$F$2:$F1500,"&lt;&gt;"),"")</f>
        <v/>
      </c>
      <c r="AB1500" s="29" t="str">
        <f>IF(AA1500=1,COUNTIF($AA$2:AA1500,1),"")</f>
        <v/>
      </c>
    </row>
    <row r="1501" spans="6:28" ht="47.25" customHeight="1" x14ac:dyDescent="0.2">
      <c r="F1501" s="45" t="s">
        <v>4177</v>
      </c>
      <c r="T1501" s="41"/>
      <c r="U1501" s="29" t="str">
        <f>IF($C1501&lt;&gt;"",COUNTIF($C$2:C1501,C1501),"")</f>
        <v/>
      </c>
      <c r="V1501" s="29" t="str">
        <f t="shared" si="78"/>
        <v/>
      </c>
      <c r="W1501" s="29" t="str">
        <f>IF(U1501=1,COUNTIF($U$2:U1501,1),"")</f>
        <v/>
      </c>
      <c r="X1501" s="29" t="str">
        <f t="shared" si="77"/>
        <v/>
      </c>
      <c r="Y1501" s="29" t="str">
        <f>IF(AND(LEFT($B1501,7)="SBA 26/",$D1501&lt;&gt;"",$F1501&lt;&gt;""),COUNTIFS($D$2:$D1501,$D1501,$B$2:$B1501,"SBA 26/*",$F$2:$F1501,"&lt;&gt;"),"")</f>
        <v/>
      </c>
      <c r="Z1501" s="29" t="str">
        <f>IF(Y1501=1,COUNTIF($Y$2:Y1501,1),"")</f>
        <v/>
      </c>
      <c r="AA1501" s="29" t="str">
        <f>IF(AND(LEFT($B1501,7)="SBA 26/",$C1501&lt;&gt;"",$F1501&lt;&gt;""),COUNTIFS($C$2:$C1501,$C1501,$B$2:$B1501,"SBA 26/*",$F$2:$F1501,"&lt;&gt;"),"")</f>
        <v/>
      </c>
      <c r="AB1501" s="29" t="str">
        <f>IF(AA1501=1,COUNTIF($AA$2:AA1501,1),"")</f>
        <v/>
      </c>
    </row>
    <row r="1502" spans="6:28" ht="47.25" customHeight="1" x14ac:dyDescent="0.2">
      <c r="F1502" s="45" t="s">
        <v>4178</v>
      </c>
      <c r="T1502" s="41"/>
      <c r="U1502" s="29" t="str">
        <f>IF($C1502&lt;&gt;"",COUNTIF($C$2:C1502,C1502),"")</f>
        <v/>
      </c>
      <c r="V1502" s="29" t="str">
        <f t="shared" si="78"/>
        <v/>
      </c>
      <c r="W1502" s="29" t="str">
        <f>IF(U1502=1,COUNTIF($U$2:U1502,1),"")</f>
        <v/>
      </c>
      <c r="X1502" s="29" t="str">
        <f t="shared" si="77"/>
        <v/>
      </c>
      <c r="Y1502" s="29" t="str">
        <f>IF(AND(LEFT($B1502,7)="SBA 26/",$D1502&lt;&gt;"",$F1502&lt;&gt;""),COUNTIFS($D$2:$D1502,$D1502,$B$2:$B1502,"SBA 26/*",$F$2:$F1502,"&lt;&gt;"),"")</f>
        <v/>
      </c>
      <c r="Z1502" s="29" t="str">
        <f>IF(Y1502=1,COUNTIF($Y$2:Y1502,1),"")</f>
        <v/>
      </c>
      <c r="AA1502" s="29" t="str">
        <f>IF(AND(LEFT($B1502,7)="SBA 26/",$C1502&lt;&gt;"",$F1502&lt;&gt;""),COUNTIFS($C$2:$C1502,$C1502,$B$2:$B1502,"SBA 26/*",$F$2:$F1502,"&lt;&gt;"),"")</f>
        <v/>
      </c>
      <c r="AB1502" s="29" t="str">
        <f>IF(AA1502=1,COUNTIF($AA$2:AA1502,1),"")</f>
        <v/>
      </c>
    </row>
    <row r="1503" spans="6:28" ht="47.25" customHeight="1" x14ac:dyDescent="0.2">
      <c r="F1503" s="45" t="s">
        <v>4179</v>
      </c>
      <c r="T1503" s="41"/>
      <c r="U1503" s="29" t="str">
        <f>IF($C1503&lt;&gt;"",COUNTIF($C$2:C1503,C1503),"")</f>
        <v/>
      </c>
      <c r="V1503" s="29" t="str">
        <f t="shared" si="78"/>
        <v/>
      </c>
      <c r="W1503" s="29" t="str">
        <f>IF(U1503=1,COUNTIF($U$2:U1503,1),"")</f>
        <v/>
      </c>
      <c r="X1503" s="29" t="str">
        <f t="shared" si="77"/>
        <v/>
      </c>
      <c r="Y1503" s="29" t="str">
        <f>IF(AND(LEFT($B1503,7)="SBA 26/",$D1503&lt;&gt;"",$F1503&lt;&gt;""),COUNTIFS($D$2:$D1503,$D1503,$B$2:$B1503,"SBA 26/*",$F$2:$F1503,"&lt;&gt;"),"")</f>
        <v/>
      </c>
      <c r="Z1503" s="29" t="str">
        <f>IF(Y1503=1,COUNTIF($Y$2:Y1503,1),"")</f>
        <v/>
      </c>
      <c r="AA1503" s="29" t="str">
        <f>IF(AND(LEFT($B1503,7)="SBA 26/",$C1503&lt;&gt;"",$F1503&lt;&gt;""),COUNTIFS($C$2:$C1503,$C1503,$B$2:$B1503,"SBA 26/*",$F$2:$F1503,"&lt;&gt;"),"")</f>
        <v/>
      </c>
      <c r="AB1503" s="29" t="str">
        <f>IF(AA1503=1,COUNTIF($AA$2:AA1503,1),"")</f>
        <v/>
      </c>
    </row>
    <row r="1504" spans="6:28" ht="31.5" customHeight="1" x14ac:dyDescent="0.2">
      <c r="F1504" s="45" t="s">
        <v>4180</v>
      </c>
      <c r="T1504" s="41"/>
      <c r="U1504" s="29" t="str">
        <f>IF($C1504&lt;&gt;"",COUNTIF($C$2:C1504,C1504),"")</f>
        <v/>
      </c>
      <c r="V1504" s="29" t="str">
        <f t="shared" si="78"/>
        <v/>
      </c>
      <c r="W1504" s="29" t="str">
        <f>IF(U1504=1,COUNTIF($U$2:U1504,1),"")</f>
        <v/>
      </c>
      <c r="X1504" s="29" t="str">
        <f t="shared" si="77"/>
        <v/>
      </c>
      <c r="Y1504" s="29" t="str">
        <f>IF(AND(LEFT($B1504,7)="SBA 26/",$D1504&lt;&gt;"",$F1504&lt;&gt;""),COUNTIFS($D$2:$D1504,$D1504,$B$2:$B1504,"SBA 26/*",$F$2:$F1504,"&lt;&gt;"),"")</f>
        <v/>
      </c>
      <c r="Z1504" s="29" t="str">
        <f>IF(Y1504=1,COUNTIF($Y$2:Y1504,1),"")</f>
        <v/>
      </c>
      <c r="AA1504" s="29" t="str">
        <f>IF(AND(LEFT($B1504,7)="SBA 26/",$C1504&lt;&gt;"",$F1504&lt;&gt;""),COUNTIFS($C$2:$C1504,$C1504,$B$2:$B1504,"SBA 26/*",$F$2:$F1504,"&lt;&gt;"),"")</f>
        <v/>
      </c>
      <c r="AB1504" s="29" t="str">
        <f>IF(AA1504=1,COUNTIF($AA$2:AA1504,1),"")</f>
        <v/>
      </c>
    </row>
    <row r="1505" spans="6:28" ht="47.25" customHeight="1" x14ac:dyDescent="0.2">
      <c r="F1505" s="45" t="s">
        <v>4181</v>
      </c>
      <c r="T1505" s="41"/>
      <c r="U1505" s="29" t="str">
        <f>IF($C1505&lt;&gt;"",COUNTIF($C$2:C1505,C1505),"")</f>
        <v/>
      </c>
      <c r="V1505" s="29" t="str">
        <f t="shared" si="78"/>
        <v/>
      </c>
      <c r="W1505" s="29" t="str">
        <f>IF(U1505=1,COUNTIF($U$2:U1505,1),"")</f>
        <v/>
      </c>
      <c r="X1505" s="29" t="str">
        <f t="shared" si="77"/>
        <v/>
      </c>
      <c r="Y1505" s="29" t="str">
        <f>IF(AND(LEFT($B1505,7)="SBA 26/",$D1505&lt;&gt;"",$F1505&lt;&gt;""),COUNTIFS($D$2:$D1505,$D1505,$B$2:$B1505,"SBA 26/*",$F$2:$F1505,"&lt;&gt;"),"")</f>
        <v/>
      </c>
      <c r="Z1505" s="29" t="str">
        <f>IF(Y1505=1,COUNTIF($Y$2:Y1505,1),"")</f>
        <v/>
      </c>
      <c r="AA1505" s="29" t="str">
        <f>IF(AND(LEFT($B1505,7)="SBA 26/",$C1505&lt;&gt;"",$F1505&lt;&gt;""),COUNTIFS($C$2:$C1505,$C1505,$B$2:$B1505,"SBA 26/*",$F$2:$F1505,"&lt;&gt;"),"")</f>
        <v/>
      </c>
      <c r="AB1505" s="29" t="str">
        <f>IF(AA1505=1,COUNTIF($AA$2:AA1505,1),"")</f>
        <v/>
      </c>
    </row>
    <row r="1506" spans="6:28" ht="31.5" customHeight="1" x14ac:dyDescent="0.2">
      <c r="F1506" s="45" t="s">
        <v>4182</v>
      </c>
      <c r="T1506" s="41"/>
      <c r="U1506" s="29" t="str">
        <f>IF($C1506&lt;&gt;"",COUNTIF($C$2:C1506,C1506),"")</f>
        <v/>
      </c>
      <c r="V1506" s="29" t="str">
        <f t="shared" si="78"/>
        <v/>
      </c>
      <c r="W1506" s="29" t="str">
        <f>IF(U1506=1,COUNTIF($U$2:U1506,1),"")</f>
        <v/>
      </c>
      <c r="X1506" s="29" t="str">
        <f t="shared" si="77"/>
        <v/>
      </c>
      <c r="Y1506" s="29" t="str">
        <f>IF(AND(LEFT($B1506,7)="SBA 26/",$D1506&lt;&gt;"",$F1506&lt;&gt;""),COUNTIFS($D$2:$D1506,$D1506,$B$2:$B1506,"SBA 26/*",$F$2:$F1506,"&lt;&gt;"),"")</f>
        <v/>
      </c>
      <c r="Z1506" s="29" t="str">
        <f>IF(Y1506=1,COUNTIF($Y$2:Y1506,1),"")</f>
        <v/>
      </c>
      <c r="AA1506" s="29" t="str">
        <f>IF(AND(LEFT($B1506,7)="SBA 26/",$C1506&lt;&gt;"",$F1506&lt;&gt;""),COUNTIFS($C$2:$C1506,$C1506,$B$2:$B1506,"SBA 26/*",$F$2:$F1506,"&lt;&gt;"),"")</f>
        <v/>
      </c>
      <c r="AB1506" s="29" t="str">
        <f>IF(AA1506=1,COUNTIF($AA$2:AA1506,1),"")</f>
        <v/>
      </c>
    </row>
    <row r="1507" spans="6:28" ht="31.5" customHeight="1" x14ac:dyDescent="0.2">
      <c r="F1507" s="45" t="s">
        <v>4183</v>
      </c>
      <c r="T1507" s="41"/>
      <c r="U1507" s="29" t="str">
        <f>IF($C1507&lt;&gt;"",COUNTIF($C$2:C1507,C1507),"")</f>
        <v/>
      </c>
      <c r="V1507" s="29" t="str">
        <f t="shared" si="78"/>
        <v/>
      </c>
      <c r="W1507" s="29" t="str">
        <f>IF(U1507=1,COUNTIF($U$2:U1507,1),"")</f>
        <v/>
      </c>
      <c r="X1507" s="29" t="str">
        <f t="shared" si="77"/>
        <v/>
      </c>
      <c r="Y1507" s="29" t="str">
        <f>IF(AND(LEFT($B1507,7)="SBA 26/",$D1507&lt;&gt;"",$F1507&lt;&gt;""),COUNTIFS($D$2:$D1507,$D1507,$B$2:$B1507,"SBA 26/*",$F$2:$F1507,"&lt;&gt;"),"")</f>
        <v/>
      </c>
      <c r="Z1507" s="29" t="str">
        <f>IF(Y1507=1,COUNTIF($Y$2:Y1507,1),"")</f>
        <v/>
      </c>
      <c r="AA1507" s="29" t="str">
        <f>IF(AND(LEFT($B1507,7)="SBA 26/",$C1507&lt;&gt;"",$F1507&lt;&gt;""),COUNTIFS($C$2:$C1507,$C1507,$B$2:$B1507,"SBA 26/*",$F$2:$F1507,"&lt;&gt;"),"")</f>
        <v/>
      </c>
      <c r="AB1507" s="29" t="str">
        <f>IF(AA1507=1,COUNTIF($AA$2:AA1507,1),"")</f>
        <v/>
      </c>
    </row>
    <row r="1508" spans="6:28" ht="47.25" customHeight="1" x14ac:dyDescent="0.2">
      <c r="F1508" s="45" t="s">
        <v>4184</v>
      </c>
      <c r="T1508" s="41"/>
      <c r="U1508" s="29" t="str">
        <f>IF($C1508&lt;&gt;"",COUNTIF($C$2:C1508,C1508),"")</f>
        <v/>
      </c>
      <c r="V1508" s="29" t="str">
        <f t="shared" si="78"/>
        <v/>
      </c>
      <c r="W1508" s="29" t="str">
        <f>IF(U1508=1,COUNTIF($U$2:U1508,1),"")</f>
        <v/>
      </c>
      <c r="X1508" s="29" t="str">
        <f t="shared" si="77"/>
        <v/>
      </c>
      <c r="Y1508" s="29" t="str">
        <f>IF(AND(LEFT($B1508,7)="SBA 26/",$D1508&lt;&gt;"",$F1508&lt;&gt;""),COUNTIFS($D$2:$D1508,$D1508,$B$2:$B1508,"SBA 26/*",$F$2:$F1508,"&lt;&gt;"),"")</f>
        <v/>
      </c>
      <c r="Z1508" s="29" t="str">
        <f>IF(Y1508=1,COUNTIF($Y$2:Y1508,1),"")</f>
        <v/>
      </c>
      <c r="AA1508" s="29" t="str">
        <f>IF(AND(LEFT($B1508,7)="SBA 26/",$C1508&lt;&gt;"",$F1508&lt;&gt;""),COUNTIFS($C$2:$C1508,$C1508,$B$2:$B1508,"SBA 26/*",$F$2:$F1508,"&lt;&gt;"),"")</f>
        <v/>
      </c>
      <c r="AB1508" s="29" t="str">
        <f>IF(AA1508=1,COUNTIF($AA$2:AA1508,1),"")</f>
        <v/>
      </c>
    </row>
    <row r="1509" spans="6:28" ht="31.5" customHeight="1" x14ac:dyDescent="0.2">
      <c r="F1509" s="45" t="s">
        <v>4185</v>
      </c>
      <c r="T1509" s="41"/>
      <c r="U1509" s="29" t="str">
        <f>IF($C1509&lt;&gt;"",COUNTIF($C$2:C1509,C1509),"")</f>
        <v/>
      </c>
      <c r="V1509" s="29" t="str">
        <f t="shared" si="78"/>
        <v/>
      </c>
      <c r="W1509" s="29" t="str">
        <f>IF(U1509=1,COUNTIF($U$2:U1509,1),"")</f>
        <v/>
      </c>
      <c r="X1509" s="29" t="str">
        <f t="shared" si="77"/>
        <v/>
      </c>
      <c r="Y1509" s="29" t="str">
        <f>IF(AND(LEFT($B1509,7)="SBA 26/",$D1509&lt;&gt;"",$F1509&lt;&gt;""),COUNTIFS($D$2:$D1509,$D1509,$B$2:$B1509,"SBA 26/*",$F$2:$F1509,"&lt;&gt;"),"")</f>
        <v/>
      </c>
      <c r="Z1509" s="29" t="str">
        <f>IF(Y1509=1,COUNTIF($Y$2:Y1509,1),"")</f>
        <v/>
      </c>
      <c r="AA1509" s="29" t="str">
        <f>IF(AND(LEFT($B1509,7)="SBA 26/",$C1509&lt;&gt;"",$F1509&lt;&gt;""),COUNTIFS($C$2:$C1509,$C1509,$B$2:$B1509,"SBA 26/*",$F$2:$F1509,"&lt;&gt;"),"")</f>
        <v/>
      </c>
      <c r="AB1509" s="29" t="str">
        <f>IF(AA1509=1,COUNTIF($AA$2:AA1509,1),"")</f>
        <v/>
      </c>
    </row>
    <row r="1510" spans="6:28" ht="63" customHeight="1" x14ac:dyDescent="0.2">
      <c r="F1510" s="45" t="s">
        <v>4186</v>
      </c>
      <c r="T1510" s="41"/>
      <c r="U1510" s="29" t="str">
        <f>IF($C1510&lt;&gt;"",COUNTIF($C$2:C1510,C1510),"")</f>
        <v/>
      </c>
      <c r="V1510" s="29" t="str">
        <f t="shared" si="78"/>
        <v/>
      </c>
      <c r="W1510" s="29" t="str">
        <f>IF(U1510=1,COUNTIF($U$2:U1510,1),"")</f>
        <v/>
      </c>
      <c r="X1510" s="29" t="str">
        <f t="shared" si="77"/>
        <v/>
      </c>
      <c r="Y1510" s="29" t="str">
        <f>IF(AND(LEFT($B1510,7)="SBA 26/",$D1510&lt;&gt;"",$F1510&lt;&gt;""),COUNTIFS($D$2:$D1510,$D1510,$B$2:$B1510,"SBA 26/*",$F$2:$F1510,"&lt;&gt;"),"")</f>
        <v/>
      </c>
      <c r="Z1510" s="29" t="str">
        <f>IF(Y1510=1,COUNTIF($Y$2:Y1510,1),"")</f>
        <v/>
      </c>
      <c r="AA1510" s="29" t="str">
        <f>IF(AND(LEFT($B1510,7)="SBA 26/",$C1510&lt;&gt;"",$F1510&lt;&gt;""),COUNTIFS($C$2:$C1510,$C1510,$B$2:$B1510,"SBA 26/*",$F$2:$F1510,"&lt;&gt;"),"")</f>
        <v/>
      </c>
      <c r="AB1510" s="29" t="str">
        <f>IF(AA1510=1,COUNTIF($AA$2:AA1510,1),"")</f>
        <v/>
      </c>
    </row>
    <row r="1511" spans="6:28" ht="47.25" customHeight="1" x14ac:dyDescent="0.2">
      <c r="F1511" s="45" t="s">
        <v>4187</v>
      </c>
      <c r="T1511" s="41"/>
      <c r="U1511" s="29" t="str">
        <f>IF($C1511&lt;&gt;"",COUNTIF($C$2:C1511,C1511),"")</f>
        <v/>
      </c>
      <c r="V1511" s="29" t="str">
        <f t="shared" si="78"/>
        <v/>
      </c>
      <c r="W1511" s="29" t="str">
        <f>IF(U1511=1,COUNTIF($U$2:U1511,1),"")</f>
        <v/>
      </c>
      <c r="X1511" s="29" t="str">
        <f t="shared" si="77"/>
        <v/>
      </c>
      <c r="Y1511" s="29" t="str">
        <f>IF(AND(LEFT($B1511,7)="SBA 26/",$D1511&lt;&gt;"",$F1511&lt;&gt;""),COUNTIFS($D$2:$D1511,$D1511,$B$2:$B1511,"SBA 26/*",$F$2:$F1511,"&lt;&gt;"),"")</f>
        <v/>
      </c>
      <c r="Z1511" s="29" t="str">
        <f>IF(Y1511=1,COUNTIF($Y$2:Y1511,1),"")</f>
        <v/>
      </c>
      <c r="AA1511" s="29" t="str">
        <f>IF(AND(LEFT($B1511,7)="SBA 26/",$C1511&lt;&gt;"",$F1511&lt;&gt;""),COUNTIFS($C$2:$C1511,$C1511,$B$2:$B1511,"SBA 26/*",$F$2:$F1511,"&lt;&gt;"),"")</f>
        <v/>
      </c>
      <c r="AB1511" s="29" t="str">
        <f>IF(AA1511=1,COUNTIF($AA$2:AA1511,1),"")</f>
        <v/>
      </c>
    </row>
    <row r="1512" spans="6:28" ht="47.25" customHeight="1" x14ac:dyDescent="0.2">
      <c r="F1512" s="45" t="s">
        <v>4188</v>
      </c>
      <c r="T1512" s="41"/>
      <c r="U1512" s="29" t="str">
        <f>IF($C1512&lt;&gt;"",COUNTIF($C$2:C1512,C1512),"")</f>
        <v/>
      </c>
      <c r="V1512" s="29" t="str">
        <f t="shared" si="78"/>
        <v/>
      </c>
      <c r="W1512" s="29" t="str">
        <f>IF(U1512=1,COUNTIF($U$2:U1512,1),"")</f>
        <v/>
      </c>
      <c r="X1512" s="29" t="str">
        <f t="shared" si="77"/>
        <v/>
      </c>
      <c r="Y1512" s="29" t="str">
        <f>IF(AND(LEFT($B1512,7)="SBA 26/",$D1512&lt;&gt;"",$F1512&lt;&gt;""),COUNTIFS($D$2:$D1512,$D1512,$B$2:$B1512,"SBA 26/*",$F$2:$F1512,"&lt;&gt;"),"")</f>
        <v/>
      </c>
      <c r="Z1512" s="29" t="str">
        <f>IF(Y1512=1,COUNTIF($Y$2:Y1512,1),"")</f>
        <v/>
      </c>
      <c r="AA1512" s="29" t="str">
        <f>IF(AND(LEFT($B1512,7)="SBA 26/",$C1512&lt;&gt;"",$F1512&lt;&gt;""),COUNTIFS($C$2:$C1512,$C1512,$B$2:$B1512,"SBA 26/*",$F$2:$F1512,"&lt;&gt;"),"")</f>
        <v/>
      </c>
      <c r="AB1512" s="29" t="str">
        <f>IF(AA1512=1,COUNTIF($AA$2:AA1512,1),"")</f>
        <v/>
      </c>
    </row>
    <row r="1513" spans="6:28" ht="47.25" customHeight="1" x14ac:dyDescent="0.2">
      <c r="F1513" s="45" t="s">
        <v>4189</v>
      </c>
      <c r="T1513" s="41"/>
      <c r="U1513" s="29" t="str">
        <f>IF($C1513&lt;&gt;"",COUNTIF($C$2:C1513,C1513),"")</f>
        <v/>
      </c>
      <c r="V1513" s="29" t="str">
        <f t="shared" si="78"/>
        <v/>
      </c>
      <c r="W1513" s="29" t="str">
        <f>IF(U1513=1,COUNTIF($U$2:U1513,1),"")</f>
        <v/>
      </c>
      <c r="X1513" s="29" t="str">
        <f t="shared" si="77"/>
        <v/>
      </c>
      <c r="Y1513" s="29" t="str">
        <f>IF(AND(LEFT($B1513,7)="SBA 26/",$D1513&lt;&gt;"",$F1513&lt;&gt;""),COUNTIFS($D$2:$D1513,$D1513,$B$2:$B1513,"SBA 26/*",$F$2:$F1513,"&lt;&gt;"),"")</f>
        <v/>
      </c>
      <c r="Z1513" s="29" t="str">
        <f>IF(Y1513=1,COUNTIF($Y$2:Y1513,1),"")</f>
        <v/>
      </c>
      <c r="AA1513" s="29" t="str">
        <f>IF(AND(LEFT($B1513,7)="SBA 26/",$C1513&lt;&gt;"",$F1513&lt;&gt;""),COUNTIFS($C$2:$C1513,$C1513,$B$2:$B1513,"SBA 26/*",$F$2:$F1513,"&lt;&gt;"),"")</f>
        <v/>
      </c>
      <c r="AB1513" s="29" t="str">
        <f>IF(AA1513=1,COUNTIF($AA$2:AA1513,1),"")</f>
        <v/>
      </c>
    </row>
    <row r="1514" spans="6:28" ht="31.5" customHeight="1" x14ac:dyDescent="0.2">
      <c r="F1514" s="45" t="s">
        <v>4190</v>
      </c>
      <c r="T1514" s="41"/>
      <c r="U1514" s="29" t="str">
        <f>IF($C1514&lt;&gt;"",COUNTIF($C$2:C1514,C1514),"")</f>
        <v/>
      </c>
      <c r="V1514" s="29" t="str">
        <f t="shared" si="78"/>
        <v/>
      </c>
      <c r="W1514" s="29" t="str">
        <f>IF(U1514=1,COUNTIF($U$2:U1514,1),"")</f>
        <v/>
      </c>
      <c r="X1514" s="29" t="str">
        <f t="shared" si="77"/>
        <v/>
      </c>
      <c r="Y1514" s="29" t="str">
        <f>IF(AND(LEFT($B1514,7)="SBA 26/",$D1514&lt;&gt;"",$F1514&lt;&gt;""),COUNTIFS($D$2:$D1514,$D1514,$B$2:$B1514,"SBA 26/*",$F$2:$F1514,"&lt;&gt;"),"")</f>
        <v/>
      </c>
      <c r="Z1514" s="29" t="str">
        <f>IF(Y1514=1,COUNTIF($Y$2:Y1514,1),"")</f>
        <v/>
      </c>
      <c r="AA1514" s="29" t="str">
        <f>IF(AND(LEFT($B1514,7)="SBA 26/",$C1514&lt;&gt;"",$F1514&lt;&gt;""),COUNTIFS($C$2:$C1514,$C1514,$B$2:$B1514,"SBA 26/*",$F$2:$F1514,"&lt;&gt;"),"")</f>
        <v/>
      </c>
      <c r="AB1514" s="29" t="str">
        <f>IF(AA1514=1,COUNTIF($AA$2:AA1514,1),"")</f>
        <v/>
      </c>
    </row>
    <row r="1515" spans="6:28" ht="47.25" customHeight="1" x14ac:dyDescent="0.2">
      <c r="F1515" s="45" t="s">
        <v>4191</v>
      </c>
      <c r="T1515" s="41"/>
      <c r="U1515" s="29" t="str">
        <f>IF($C1515&lt;&gt;"",COUNTIF($C$2:C1515,C1515),"")</f>
        <v/>
      </c>
      <c r="V1515" s="29" t="str">
        <f t="shared" si="78"/>
        <v/>
      </c>
      <c r="W1515" s="29" t="str">
        <f>IF(U1515=1,COUNTIF($U$2:U1515,1),"")</f>
        <v/>
      </c>
      <c r="X1515" s="29" t="str">
        <f t="shared" si="77"/>
        <v/>
      </c>
      <c r="Y1515" s="29" t="str">
        <f>IF(AND(LEFT($B1515,7)="SBA 26/",$D1515&lt;&gt;"",$F1515&lt;&gt;""),COUNTIFS($D$2:$D1515,$D1515,$B$2:$B1515,"SBA 26/*",$F$2:$F1515,"&lt;&gt;"),"")</f>
        <v/>
      </c>
      <c r="Z1515" s="29" t="str">
        <f>IF(Y1515=1,COUNTIF($Y$2:Y1515,1),"")</f>
        <v/>
      </c>
      <c r="AA1515" s="29" t="str">
        <f>IF(AND(LEFT($B1515,7)="SBA 26/",$C1515&lt;&gt;"",$F1515&lt;&gt;""),COUNTIFS($C$2:$C1515,$C1515,$B$2:$B1515,"SBA 26/*",$F$2:$F1515,"&lt;&gt;"),"")</f>
        <v/>
      </c>
      <c r="AB1515" s="29" t="str">
        <f>IF(AA1515=1,COUNTIF($AA$2:AA1515,1),"")</f>
        <v/>
      </c>
    </row>
    <row r="1516" spans="6:28" ht="31.5" customHeight="1" x14ac:dyDescent="0.2">
      <c r="F1516" s="45" t="s">
        <v>4192</v>
      </c>
      <c r="T1516" s="41"/>
      <c r="U1516" s="29" t="str">
        <f>IF($C1516&lt;&gt;"",COUNTIF($C$2:C1516,C1516),"")</f>
        <v/>
      </c>
      <c r="V1516" s="29" t="str">
        <f t="shared" si="78"/>
        <v/>
      </c>
      <c r="W1516" s="29" t="str">
        <f>IF(U1516=1,COUNTIF($U$2:U1516,1),"")</f>
        <v/>
      </c>
      <c r="X1516" s="29" t="str">
        <f t="shared" si="77"/>
        <v/>
      </c>
      <c r="Y1516" s="29" t="str">
        <f>IF(AND(LEFT($B1516,7)="SBA 26/",$D1516&lt;&gt;"",$F1516&lt;&gt;""),COUNTIFS($D$2:$D1516,$D1516,$B$2:$B1516,"SBA 26/*",$F$2:$F1516,"&lt;&gt;"),"")</f>
        <v/>
      </c>
      <c r="Z1516" s="29" t="str">
        <f>IF(Y1516=1,COUNTIF($Y$2:Y1516,1),"")</f>
        <v/>
      </c>
      <c r="AA1516" s="29" t="str">
        <f>IF(AND(LEFT($B1516,7)="SBA 26/",$C1516&lt;&gt;"",$F1516&lt;&gt;""),COUNTIFS($C$2:$C1516,$C1516,$B$2:$B1516,"SBA 26/*",$F$2:$F1516,"&lt;&gt;"),"")</f>
        <v/>
      </c>
      <c r="AB1516" s="29" t="str">
        <f>IF(AA1516=1,COUNTIF($AA$2:AA1516,1),"")</f>
        <v/>
      </c>
    </row>
    <row r="1517" spans="6:28" ht="31.5" customHeight="1" x14ac:dyDescent="0.2">
      <c r="F1517" s="45" t="s">
        <v>4193</v>
      </c>
      <c r="T1517" s="41"/>
      <c r="U1517" s="29" t="str">
        <f>IF($C1517&lt;&gt;"",COUNTIF($C$2:C1517,C1517),"")</f>
        <v/>
      </c>
      <c r="V1517" s="29" t="str">
        <f t="shared" si="78"/>
        <v/>
      </c>
      <c r="W1517" s="29" t="str">
        <f>IF(U1517=1,COUNTIF($U$2:U1517,1),"")</f>
        <v/>
      </c>
      <c r="X1517" s="29" t="str">
        <f t="shared" ref="X1517:X1580" si="79">IF(U1517=1,SUMPRODUCT(($U$2:$U$1833=1)*($C$2:$C$1833&lt;C1517))+1,"")</f>
        <v/>
      </c>
      <c r="Y1517" s="29" t="str">
        <f>IF(AND(LEFT($B1517,7)="SBA 26/",$D1517&lt;&gt;"",$F1517&lt;&gt;""),COUNTIFS($D$2:$D1517,$D1517,$B$2:$B1517,"SBA 26/*",$F$2:$F1517,"&lt;&gt;"),"")</f>
        <v/>
      </c>
      <c r="Z1517" s="29" t="str">
        <f>IF(Y1517=1,COUNTIF($Y$2:Y1517,1),"")</f>
        <v/>
      </c>
      <c r="AA1517" s="29" t="str">
        <f>IF(AND(LEFT($B1517,7)="SBA 26/",$C1517&lt;&gt;"",$F1517&lt;&gt;""),COUNTIFS($C$2:$C1517,$C1517,$B$2:$B1517,"SBA 26/*",$F$2:$F1517,"&lt;&gt;"),"")</f>
        <v/>
      </c>
      <c r="AB1517" s="29" t="str">
        <f>IF(AA1517=1,COUNTIF($AA$2:AA1517,1),"")</f>
        <v/>
      </c>
    </row>
    <row r="1518" spans="6:28" ht="47.25" customHeight="1" x14ac:dyDescent="0.2">
      <c r="F1518" s="45" t="s">
        <v>4194</v>
      </c>
      <c r="T1518" s="41"/>
      <c r="U1518" s="29" t="str">
        <f>IF($C1518&lt;&gt;"",COUNTIF($C$2:C1518,C1518),"")</f>
        <v/>
      </c>
      <c r="V1518" s="29" t="str">
        <f t="shared" si="78"/>
        <v/>
      </c>
      <c r="W1518" s="29" t="str">
        <f>IF(U1518=1,COUNTIF($U$2:U1518,1),"")</f>
        <v/>
      </c>
      <c r="X1518" s="29" t="str">
        <f t="shared" si="79"/>
        <v/>
      </c>
      <c r="Y1518" s="29" t="str">
        <f>IF(AND(LEFT($B1518,7)="SBA 26/",$D1518&lt;&gt;"",$F1518&lt;&gt;""),COUNTIFS($D$2:$D1518,$D1518,$B$2:$B1518,"SBA 26/*",$F$2:$F1518,"&lt;&gt;"),"")</f>
        <v/>
      </c>
      <c r="Z1518" s="29" t="str">
        <f>IF(Y1518=1,COUNTIF($Y$2:Y1518,1),"")</f>
        <v/>
      </c>
      <c r="AA1518" s="29" t="str">
        <f>IF(AND(LEFT($B1518,7)="SBA 26/",$C1518&lt;&gt;"",$F1518&lt;&gt;""),COUNTIFS($C$2:$C1518,$C1518,$B$2:$B1518,"SBA 26/*",$F$2:$F1518,"&lt;&gt;"),"")</f>
        <v/>
      </c>
      <c r="AB1518" s="29" t="str">
        <f>IF(AA1518=1,COUNTIF($AA$2:AA1518,1),"")</f>
        <v/>
      </c>
    </row>
    <row r="1519" spans="6:28" ht="31.5" customHeight="1" x14ac:dyDescent="0.2">
      <c r="F1519" s="45" t="s">
        <v>4195</v>
      </c>
      <c r="T1519" s="41"/>
      <c r="U1519" s="29" t="str">
        <f>IF($C1519&lt;&gt;"",COUNTIF($C$2:C1519,C1519),"")</f>
        <v/>
      </c>
      <c r="V1519" s="29" t="str">
        <f t="shared" si="78"/>
        <v/>
      </c>
      <c r="W1519" s="29" t="str">
        <f>IF(U1519=1,COUNTIF($U$2:U1519,1),"")</f>
        <v/>
      </c>
      <c r="X1519" s="29" t="str">
        <f t="shared" si="79"/>
        <v/>
      </c>
      <c r="Y1519" s="29" t="str">
        <f>IF(AND(LEFT($B1519,7)="SBA 26/",$D1519&lt;&gt;"",$F1519&lt;&gt;""),COUNTIFS($D$2:$D1519,$D1519,$B$2:$B1519,"SBA 26/*",$F$2:$F1519,"&lt;&gt;"),"")</f>
        <v/>
      </c>
      <c r="Z1519" s="29" t="str">
        <f>IF(Y1519=1,COUNTIF($Y$2:Y1519,1),"")</f>
        <v/>
      </c>
      <c r="AA1519" s="29" t="str">
        <f>IF(AND(LEFT($B1519,7)="SBA 26/",$C1519&lt;&gt;"",$F1519&lt;&gt;""),COUNTIFS($C$2:$C1519,$C1519,$B$2:$B1519,"SBA 26/*",$F$2:$F1519,"&lt;&gt;"),"")</f>
        <v/>
      </c>
      <c r="AB1519" s="29" t="str">
        <f>IF(AA1519=1,COUNTIF($AA$2:AA1519,1),"")</f>
        <v/>
      </c>
    </row>
    <row r="1520" spans="6:28" ht="47.25" customHeight="1" x14ac:dyDescent="0.2">
      <c r="F1520" s="45" t="s">
        <v>4196</v>
      </c>
      <c r="T1520" s="41"/>
      <c r="U1520" s="29" t="str">
        <f>IF($C1520&lt;&gt;"",COUNTIF($C$2:C1520,C1520),"")</f>
        <v/>
      </c>
      <c r="V1520" s="29" t="str">
        <f t="shared" si="78"/>
        <v/>
      </c>
      <c r="W1520" s="29" t="str">
        <f>IF(U1520=1,COUNTIF($U$2:U1520,1),"")</f>
        <v/>
      </c>
      <c r="X1520" s="29" t="str">
        <f t="shared" si="79"/>
        <v/>
      </c>
      <c r="Y1520" s="29" t="str">
        <f>IF(AND(LEFT($B1520,7)="SBA 26/",$D1520&lt;&gt;"",$F1520&lt;&gt;""),COUNTIFS($D$2:$D1520,$D1520,$B$2:$B1520,"SBA 26/*",$F$2:$F1520,"&lt;&gt;"),"")</f>
        <v/>
      </c>
      <c r="Z1520" s="29" t="str">
        <f>IF(Y1520=1,COUNTIF($Y$2:Y1520,1),"")</f>
        <v/>
      </c>
      <c r="AA1520" s="29" t="str">
        <f>IF(AND(LEFT($B1520,7)="SBA 26/",$C1520&lt;&gt;"",$F1520&lt;&gt;""),COUNTIFS($C$2:$C1520,$C1520,$B$2:$B1520,"SBA 26/*",$F$2:$F1520,"&lt;&gt;"),"")</f>
        <v/>
      </c>
      <c r="AB1520" s="29" t="str">
        <f>IF(AA1520=1,COUNTIF($AA$2:AA1520,1),"")</f>
        <v/>
      </c>
    </row>
    <row r="1521" spans="6:28" ht="47.25" customHeight="1" x14ac:dyDescent="0.2">
      <c r="F1521" s="45" t="s">
        <v>4197</v>
      </c>
      <c r="T1521" s="41"/>
      <c r="U1521" s="29" t="str">
        <f>IF($C1521&lt;&gt;"",COUNTIF($C$2:C1521,C1521),"")</f>
        <v/>
      </c>
      <c r="V1521" s="29" t="str">
        <f t="shared" si="78"/>
        <v/>
      </c>
      <c r="W1521" s="29" t="str">
        <f>IF(U1521=1,COUNTIF($U$2:U1521,1),"")</f>
        <v/>
      </c>
      <c r="X1521" s="29" t="str">
        <f t="shared" si="79"/>
        <v/>
      </c>
      <c r="Y1521" s="29" t="str">
        <f>IF(AND(LEFT($B1521,7)="SBA 26/",$D1521&lt;&gt;"",$F1521&lt;&gt;""),COUNTIFS($D$2:$D1521,$D1521,$B$2:$B1521,"SBA 26/*",$F$2:$F1521,"&lt;&gt;"),"")</f>
        <v/>
      </c>
      <c r="Z1521" s="29" t="str">
        <f>IF(Y1521=1,COUNTIF($Y$2:Y1521,1),"")</f>
        <v/>
      </c>
      <c r="AA1521" s="29" t="str">
        <f>IF(AND(LEFT($B1521,7)="SBA 26/",$C1521&lt;&gt;"",$F1521&lt;&gt;""),COUNTIFS($C$2:$C1521,$C1521,$B$2:$B1521,"SBA 26/*",$F$2:$F1521,"&lt;&gt;"),"")</f>
        <v/>
      </c>
      <c r="AB1521" s="29" t="str">
        <f>IF(AA1521=1,COUNTIF($AA$2:AA1521,1),"")</f>
        <v/>
      </c>
    </row>
    <row r="1522" spans="6:28" ht="31.5" customHeight="1" x14ac:dyDescent="0.2">
      <c r="F1522" s="45" t="s">
        <v>4198</v>
      </c>
      <c r="T1522" s="41"/>
      <c r="U1522" s="29" t="str">
        <f>IF($C1522&lt;&gt;"",COUNTIF($C$2:C1522,C1522),"")</f>
        <v/>
      </c>
      <c r="V1522" s="29" t="str">
        <f t="shared" si="78"/>
        <v/>
      </c>
      <c r="W1522" s="29" t="str">
        <f>IF(U1522=1,COUNTIF($U$2:U1522,1),"")</f>
        <v/>
      </c>
      <c r="X1522" s="29" t="str">
        <f t="shared" si="79"/>
        <v/>
      </c>
      <c r="Y1522" s="29" t="str">
        <f>IF(AND(LEFT($B1522,7)="SBA 26/",$D1522&lt;&gt;"",$F1522&lt;&gt;""),COUNTIFS($D$2:$D1522,$D1522,$B$2:$B1522,"SBA 26/*",$F$2:$F1522,"&lt;&gt;"),"")</f>
        <v/>
      </c>
      <c r="Z1522" s="29" t="str">
        <f>IF(Y1522=1,COUNTIF($Y$2:Y1522,1),"")</f>
        <v/>
      </c>
      <c r="AA1522" s="29" t="str">
        <f>IF(AND(LEFT($B1522,7)="SBA 26/",$C1522&lt;&gt;"",$F1522&lt;&gt;""),COUNTIFS($C$2:$C1522,$C1522,$B$2:$B1522,"SBA 26/*",$F$2:$F1522,"&lt;&gt;"),"")</f>
        <v/>
      </c>
      <c r="AB1522" s="29" t="str">
        <f>IF(AA1522=1,COUNTIF($AA$2:AA1522,1),"")</f>
        <v/>
      </c>
    </row>
    <row r="1523" spans="6:28" ht="63" customHeight="1" x14ac:dyDescent="0.2">
      <c r="F1523" s="45" t="s">
        <v>4199</v>
      </c>
      <c r="T1523" s="41"/>
      <c r="U1523" s="29" t="str">
        <f>IF($C1523&lt;&gt;"",COUNTIF($C$2:C1523,C1523),"")</f>
        <v/>
      </c>
      <c r="V1523" s="29" t="str">
        <f t="shared" si="78"/>
        <v/>
      </c>
      <c r="W1523" s="29" t="str">
        <f>IF(U1523=1,COUNTIF($U$2:U1523,1),"")</f>
        <v/>
      </c>
      <c r="X1523" s="29" t="str">
        <f t="shared" si="79"/>
        <v/>
      </c>
      <c r="Y1523" s="29" t="str">
        <f>IF(AND(LEFT($B1523,7)="SBA 26/",$D1523&lt;&gt;"",$F1523&lt;&gt;""),COUNTIFS($D$2:$D1523,$D1523,$B$2:$B1523,"SBA 26/*",$F$2:$F1523,"&lt;&gt;"),"")</f>
        <v/>
      </c>
      <c r="Z1523" s="29" t="str">
        <f>IF(Y1523=1,COUNTIF($Y$2:Y1523,1),"")</f>
        <v/>
      </c>
      <c r="AA1523" s="29" t="str">
        <f>IF(AND(LEFT($B1523,7)="SBA 26/",$C1523&lt;&gt;"",$F1523&lt;&gt;""),COUNTIFS($C$2:$C1523,$C1523,$B$2:$B1523,"SBA 26/*",$F$2:$F1523,"&lt;&gt;"),"")</f>
        <v/>
      </c>
      <c r="AB1523" s="29" t="str">
        <f>IF(AA1523=1,COUNTIF($AA$2:AA1523,1),"")</f>
        <v/>
      </c>
    </row>
    <row r="1524" spans="6:28" ht="47.25" customHeight="1" x14ac:dyDescent="0.2">
      <c r="F1524" s="45" t="s">
        <v>4200</v>
      </c>
      <c r="T1524" s="41"/>
      <c r="U1524" s="29" t="str">
        <f>IF($C1524&lt;&gt;"",COUNTIF($C$2:C1524,C1524),"")</f>
        <v/>
      </c>
      <c r="V1524" s="29" t="str">
        <f t="shared" si="78"/>
        <v/>
      </c>
      <c r="W1524" s="29" t="str">
        <f>IF(U1524=1,COUNTIF($U$2:U1524,1),"")</f>
        <v/>
      </c>
      <c r="X1524" s="29" t="str">
        <f t="shared" si="79"/>
        <v/>
      </c>
      <c r="Y1524" s="29" t="str">
        <f>IF(AND(LEFT($B1524,7)="SBA 26/",$D1524&lt;&gt;"",$F1524&lt;&gt;""),COUNTIFS($D$2:$D1524,$D1524,$B$2:$B1524,"SBA 26/*",$F$2:$F1524,"&lt;&gt;"),"")</f>
        <v/>
      </c>
      <c r="Z1524" s="29" t="str">
        <f>IF(Y1524=1,COUNTIF($Y$2:Y1524,1),"")</f>
        <v/>
      </c>
      <c r="AA1524" s="29" t="str">
        <f>IF(AND(LEFT($B1524,7)="SBA 26/",$C1524&lt;&gt;"",$F1524&lt;&gt;""),COUNTIFS($C$2:$C1524,$C1524,$B$2:$B1524,"SBA 26/*",$F$2:$F1524,"&lt;&gt;"),"")</f>
        <v/>
      </c>
      <c r="AB1524" s="29" t="str">
        <f>IF(AA1524=1,COUNTIF($AA$2:AA1524,1),"")</f>
        <v/>
      </c>
    </row>
    <row r="1525" spans="6:28" ht="31.5" customHeight="1" x14ac:dyDescent="0.2">
      <c r="F1525" s="45" t="s">
        <v>4201</v>
      </c>
      <c r="T1525" s="41"/>
      <c r="U1525" s="29" t="str">
        <f>IF($C1525&lt;&gt;"",COUNTIF($C$2:C1525,C1525),"")</f>
        <v/>
      </c>
      <c r="V1525" s="29" t="str">
        <f t="shared" si="78"/>
        <v/>
      </c>
      <c r="W1525" s="29" t="str">
        <f>IF(U1525=1,COUNTIF($U$2:U1525,1),"")</f>
        <v/>
      </c>
      <c r="X1525" s="29" t="str">
        <f t="shared" si="79"/>
        <v/>
      </c>
      <c r="Y1525" s="29" t="str">
        <f>IF(AND(LEFT($B1525,7)="SBA 26/",$D1525&lt;&gt;"",$F1525&lt;&gt;""),COUNTIFS($D$2:$D1525,$D1525,$B$2:$B1525,"SBA 26/*",$F$2:$F1525,"&lt;&gt;"),"")</f>
        <v/>
      </c>
      <c r="Z1525" s="29" t="str">
        <f>IF(Y1525=1,COUNTIF($Y$2:Y1525,1),"")</f>
        <v/>
      </c>
      <c r="AA1525" s="29" t="str">
        <f>IF(AND(LEFT($B1525,7)="SBA 26/",$C1525&lt;&gt;"",$F1525&lt;&gt;""),COUNTIFS($C$2:$C1525,$C1525,$B$2:$B1525,"SBA 26/*",$F$2:$F1525,"&lt;&gt;"),"")</f>
        <v/>
      </c>
      <c r="AB1525" s="29" t="str">
        <f>IF(AA1525=1,COUNTIF($AA$2:AA1525,1),"")</f>
        <v/>
      </c>
    </row>
    <row r="1526" spans="6:28" ht="47.25" customHeight="1" x14ac:dyDescent="0.2">
      <c r="F1526" s="45" t="s">
        <v>4202</v>
      </c>
      <c r="T1526" s="41"/>
      <c r="U1526" s="29" t="str">
        <f>IF($C1526&lt;&gt;"",COUNTIF($C$2:C1526,C1526),"")</f>
        <v/>
      </c>
      <c r="V1526" s="29" t="str">
        <f t="shared" si="78"/>
        <v/>
      </c>
      <c r="W1526" s="29" t="str">
        <f>IF(U1526=1,COUNTIF($U$2:U1526,1),"")</f>
        <v/>
      </c>
      <c r="X1526" s="29" t="str">
        <f t="shared" si="79"/>
        <v/>
      </c>
      <c r="Y1526" s="29" t="str">
        <f>IF(AND(LEFT($B1526,7)="SBA 26/",$D1526&lt;&gt;"",$F1526&lt;&gt;""),COUNTIFS($D$2:$D1526,$D1526,$B$2:$B1526,"SBA 26/*",$F$2:$F1526,"&lt;&gt;"),"")</f>
        <v/>
      </c>
      <c r="Z1526" s="29" t="str">
        <f>IF(Y1526=1,COUNTIF($Y$2:Y1526,1),"")</f>
        <v/>
      </c>
      <c r="AA1526" s="29" t="str">
        <f>IF(AND(LEFT($B1526,7)="SBA 26/",$C1526&lt;&gt;"",$F1526&lt;&gt;""),COUNTIFS($C$2:$C1526,$C1526,$B$2:$B1526,"SBA 26/*",$F$2:$F1526,"&lt;&gt;"),"")</f>
        <v/>
      </c>
      <c r="AB1526" s="29" t="str">
        <f>IF(AA1526=1,COUNTIF($AA$2:AA1526,1),"")</f>
        <v/>
      </c>
    </row>
    <row r="1527" spans="6:28" ht="47.25" customHeight="1" x14ac:dyDescent="0.2">
      <c r="F1527" s="45" t="s">
        <v>4203</v>
      </c>
      <c r="T1527" s="41"/>
      <c r="U1527" s="29" t="str">
        <f>IF($C1527&lt;&gt;"",COUNTIF($C$2:C1527,C1527),"")</f>
        <v/>
      </c>
      <c r="V1527" s="29" t="str">
        <f t="shared" si="78"/>
        <v/>
      </c>
      <c r="W1527" s="29" t="str">
        <f>IF(U1527=1,COUNTIF($U$2:U1527,1),"")</f>
        <v/>
      </c>
      <c r="X1527" s="29" t="str">
        <f t="shared" si="79"/>
        <v/>
      </c>
      <c r="Y1527" s="29" t="str">
        <f>IF(AND(LEFT($B1527,7)="SBA 26/",$D1527&lt;&gt;"",$F1527&lt;&gt;""),COUNTIFS($D$2:$D1527,$D1527,$B$2:$B1527,"SBA 26/*",$F$2:$F1527,"&lt;&gt;"),"")</f>
        <v/>
      </c>
      <c r="Z1527" s="29" t="str">
        <f>IF(Y1527=1,COUNTIF($Y$2:Y1527,1),"")</f>
        <v/>
      </c>
      <c r="AA1527" s="29" t="str">
        <f>IF(AND(LEFT($B1527,7)="SBA 26/",$C1527&lt;&gt;"",$F1527&lt;&gt;""),COUNTIFS($C$2:$C1527,$C1527,$B$2:$B1527,"SBA 26/*",$F$2:$F1527,"&lt;&gt;"),"")</f>
        <v/>
      </c>
      <c r="AB1527" s="29" t="str">
        <f>IF(AA1527=1,COUNTIF($AA$2:AA1527,1),"")</f>
        <v/>
      </c>
    </row>
    <row r="1528" spans="6:28" ht="47.25" customHeight="1" x14ac:dyDescent="0.2">
      <c r="F1528" s="45" t="s">
        <v>4204</v>
      </c>
      <c r="T1528" s="41"/>
      <c r="U1528" s="29" t="str">
        <f>IF($C1528&lt;&gt;"",COUNTIF($C$2:C1528,C1528),"")</f>
        <v/>
      </c>
      <c r="V1528" s="29" t="str">
        <f t="shared" si="78"/>
        <v/>
      </c>
      <c r="W1528" s="29" t="str">
        <f>IF(U1528=1,COUNTIF($U$2:U1528,1),"")</f>
        <v/>
      </c>
      <c r="X1528" s="29" t="str">
        <f t="shared" si="79"/>
        <v/>
      </c>
      <c r="Y1528" s="29" t="str">
        <f>IF(AND(LEFT($B1528,7)="SBA 26/",$D1528&lt;&gt;"",$F1528&lt;&gt;""),COUNTIFS($D$2:$D1528,$D1528,$B$2:$B1528,"SBA 26/*",$F$2:$F1528,"&lt;&gt;"),"")</f>
        <v/>
      </c>
      <c r="Z1528" s="29" t="str">
        <f>IF(Y1528=1,COUNTIF($Y$2:Y1528,1),"")</f>
        <v/>
      </c>
      <c r="AA1528" s="29" t="str">
        <f>IF(AND(LEFT($B1528,7)="SBA 26/",$C1528&lt;&gt;"",$F1528&lt;&gt;""),COUNTIFS($C$2:$C1528,$C1528,$B$2:$B1528,"SBA 26/*",$F$2:$F1528,"&lt;&gt;"),"")</f>
        <v/>
      </c>
      <c r="AB1528" s="29" t="str">
        <f>IF(AA1528=1,COUNTIF($AA$2:AA1528,1),"")</f>
        <v/>
      </c>
    </row>
    <row r="1529" spans="6:28" ht="63" customHeight="1" x14ac:dyDescent="0.2">
      <c r="F1529" s="45" t="s">
        <v>4205</v>
      </c>
      <c r="T1529" s="41"/>
      <c r="U1529" s="29" t="str">
        <f>IF($C1529&lt;&gt;"",COUNTIF($C$2:C1529,C1529),"")</f>
        <v/>
      </c>
      <c r="V1529" s="29" t="str">
        <f t="shared" si="78"/>
        <v/>
      </c>
      <c r="W1529" s="29" t="str">
        <f>IF(U1529=1,COUNTIF($U$2:U1529,1),"")</f>
        <v/>
      </c>
      <c r="X1529" s="29" t="str">
        <f t="shared" si="79"/>
        <v/>
      </c>
      <c r="Y1529" s="29" t="str">
        <f>IF(AND(LEFT($B1529,7)="SBA 26/",$D1529&lt;&gt;"",$F1529&lt;&gt;""),COUNTIFS($D$2:$D1529,$D1529,$B$2:$B1529,"SBA 26/*",$F$2:$F1529,"&lt;&gt;"),"")</f>
        <v/>
      </c>
      <c r="Z1529" s="29" t="str">
        <f>IF(Y1529=1,COUNTIF($Y$2:Y1529,1),"")</f>
        <v/>
      </c>
      <c r="AA1529" s="29" t="str">
        <f>IF(AND(LEFT($B1529,7)="SBA 26/",$C1529&lt;&gt;"",$F1529&lt;&gt;""),COUNTIFS($C$2:$C1529,$C1529,$B$2:$B1529,"SBA 26/*",$F$2:$F1529,"&lt;&gt;"),"")</f>
        <v/>
      </c>
      <c r="AB1529" s="29" t="str">
        <f>IF(AA1529=1,COUNTIF($AA$2:AA1529,1),"")</f>
        <v/>
      </c>
    </row>
    <row r="1530" spans="6:28" ht="63" customHeight="1" x14ac:dyDescent="0.2">
      <c r="F1530" s="45" t="s">
        <v>4206</v>
      </c>
      <c r="T1530" s="41"/>
      <c r="U1530" s="29" t="str">
        <f>IF($C1530&lt;&gt;"",COUNTIF($C$2:C1530,C1530),"")</f>
        <v/>
      </c>
      <c r="V1530" s="29" t="str">
        <f t="shared" si="78"/>
        <v/>
      </c>
      <c r="W1530" s="29" t="str">
        <f>IF(U1530=1,COUNTIF($U$2:U1530,1),"")</f>
        <v/>
      </c>
      <c r="X1530" s="29" t="str">
        <f t="shared" si="79"/>
        <v/>
      </c>
      <c r="Y1530" s="29" t="str">
        <f>IF(AND(LEFT($B1530,7)="SBA 26/",$D1530&lt;&gt;"",$F1530&lt;&gt;""),COUNTIFS($D$2:$D1530,$D1530,$B$2:$B1530,"SBA 26/*",$F$2:$F1530,"&lt;&gt;"),"")</f>
        <v/>
      </c>
      <c r="Z1530" s="29" t="str">
        <f>IF(Y1530=1,COUNTIF($Y$2:Y1530,1),"")</f>
        <v/>
      </c>
      <c r="AA1530" s="29" t="str">
        <f>IF(AND(LEFT($B1530,7)="SBA 26/",$C1530&lt;&gt;"",$F1530&lt;&gt;""),COUNTIFS($C$2:$C1530,$C1530,$B$2:$B1530,"SBA 26/*",$F$2:$F1530,"&lt;&gt;"),"")</f>
        <v/>
      </c>
      <c r="AB1530" s="29" t="str">
        <f>IF(AA1530=1,COUNTIF($AA$2:AA1530,1),"")</f>
        <v/>
      </c>
    </row>
    <row r="1531" spans="6:28" ht="31.5" customHeight="1" x14ac:dyDescent="0.2">
      <c r="F1531" s="45" t="s">
        <v>4207</v>
      </c>
      <c r="T1531" s="41"/>
      <c r="U1531" s="29" t="str">
        <f>IF($C1531&lt;&gt;"",COUNTIF($C$2:C1531,C1531),"")</f>
        <v/>
      </c>
      <c r="V1531" s="29" t="str">
        <f t="shared" si="78"/>
        <v/>
      </c>
      <c r="W1531" s="29" t="str">
        <f>IF(U1531=1,COUNTIF($U$2:U1531,1),"")</f>
        <v/>
      </c>
      <c r="X1531" s="29" t="str">
        <f t="shared" si="79"/>
        <v/>
      </c>
      <c r="Y1531" s="29" t="str">
        <f>IF(AND(LEFT($B1531,7)="SBA 26/",$D1531&lt;&gt;"",$F1531&lt;&gt;""),COUNTIFS($D$2:$D1531,$D1531,$B$2:$B1531,"SBA 26/*",$F$2:$F1531,"&lt;&gt;"),"")</f>
        <v/>
      </c>
      <c r="Z1531" s="29" t="str">
        <f>IF(Y1531=1,COUNTIF($Y$2:Y1531,1),"")</f>
        <v/>
      </c>
      <c r="AA1531" s="29" t="str">
        <f>IF(AND(LEFT($B1531,7)="SBA 26/",$C1531&lt;&gt;"",$F1531&lt;&gt;""),COUNTIFS($C$2:$C1531,$C1531,$B$2:$B1531,"SBA 26/*",$F$2:$F1531,"&lt;&gt;"),"")</f>
        <v/>
      </c>
      <c r="AB1531" s="29" t="str">
        <f>IF(AA1531=1,COUNTIF($AA$2:AA1531,1),"")</f>
        <v/>
      </c>
    </row>
    <row r="1532" spans="6:28" ht="31.5" customHeight="1" x14ac:dyDescent="0.2">
      <c r="F1532" s="45" t="s">
        <v>4208</v>
      </c>
      <c r="T1532" s="41"/>
      <c r="U1532" s="29" t="str">
        <f>IF($C1532&lt;&gt;"",COUNTIF($C$2:C1532,C1532),"")</f>
        <v/>
      </c>
      <c r="V1532" s="29" t="str">
        <f t="shared" si="78"/>
        <v/>
      </c>
      <c r="W1532" s="29" t="str">
        <f>IF(U1532=1,COUNTIF($U$2:U1532,1),"")</f>
        <v/>
      </c>
      <c r="X1532" s="29" t="str">
        <f t="shared" si="79"/>
        <v/>
      </c>
      <c r="Y1532" s="29" t="str">
        <f>IF(AND(LEFT($B1532,7)="SBA 26/",$D1532&lt;&gt;"",$F1532&lt;&gt;""),COUNTIFS($D$2:$D1532,$D1532,$B$2:$B1532,"SBA 26/*",$F$2:$F1532,"&lt;&gt;"),"")</f>
        <v/>
      </c>
      <c r="Z1532" s="29" t="str">
        <f>IF(Y1532=1,COUNTIF($Y$2:Y1532,1),"")</f>
        <v/>
      </c>
      <c r="AA1532" s="29" t="str">
        <f>IF(AND(LEFT($B1532,7)="SBA 26/",$C1532&lt;&gt;"",$F1532&lt;&gt;""),COUNTIFS($C$2:$C1532,$C1532,$B$2:$B1532,"SBA 26/*",$F$2:$F1532,"&lt;&gt;"),"")</f>
        <v/>
      </c>
      <c r="AB1532" s="29" t="str">
        <f>IF(AA1532=1,COUNTIF($AA$2:AA1532,1),"")</f>
        <v/>
      </c>
    </row>
    <row r="1533" spans="6:28" ht="47.25" customHeight="1" x14ac:dyDescent="0.2">
      <c r="F1533" s="45" t="s">
        <v>4209</v>
      </c>
      <c r="T1533" s="41"/>
      <c r="U1533" s="29" t="str">
        <f>IF($C1533&lt;&gt;"",COUNTIF($C$2:C1533,C1533),"")</f>
        <v/>
      </c>
      <c r="V1533" s="29" t="str">
        <f t="shared" si="78"/>
        <v/>
      </c>
      <c r="W1533" s="29" t="str">
        <f>IF(U1533=1,COUNTIF($U$2:U1533,1),"")</f>
        <v/>
      </c>
      <c r="X1533" s="29" t="str">
        <f t="shared" si="79"/>
        <v/>
      </c>
      <c r="Y1533" s="29" t="str">
        <f>IF(AND(LEFT($B1533,7)="SBA 26/",$D1533&lt;&gt;"",$F1533&lt;&gt;""),COUNTIFS($D$2:$D1533,$D1533,$B$2:$B1533,"SBA 26/*",$F$2:$F1533,"&lt;&gt;"),"")</f>
        <v/>
      </c>
      <c r="Z1533" s="29" t="str">
        <f>IF(Y1533=1,COUNTIF($Y$2:Y1533,1),"")</f>
        <v/>
      </c>
      <c r="AA1533" s="29" t="str">
        <f>IF(AND(LEFT($B1533,7)="SBA 26/",$C1533&lt;&gt;"",$F1533&lt;&gt;""),COUNTIFS($C$2:$C1533,$C1533,$B$2:$B1533,"SBA 26/*",$F$2:$F1533,"&lt;&gt;"),"")</f>
        <v/>
      </c>
      <c r="AB1533" s="29" t="str">
        <f>IF(AA1533=1,COUNTIF($AA$2:AA1533,1),"")</f>
        <v/>
      </c>
    </row>
    <row r="1534" spans="6:28" ht="47.25" customHeight="1" x14ac:dyDescent="0.2">
      <c r="F1534" s="45" t="s">
        <v>4210</v>
      </c>
      <c r="T1534" s="41"/>
      <c r="U1534" s="29" t="str">
        <f>IF($C1534&lt;&gt;"",COUNTIF($C$2:C1534,C1534),"")</f>
        <v/>
      </c>
      <c r="V1534" s="29" t="str">
        <f t="shared" si="78"/>
        <v/>
      </c>
      <c r="W1534" s="29" t="str">
        <f>IF(U1534=1,COUNTIF($U$2:U1534,1),"")</f>
        <v/>
      </c>
      <c r="X1534" s="29" t="str">
        <f t="shared" si="79"/>
        <v/>
      </c>
      <c r="Y1534" s="29" t="str">
        <f>IF(AND(LEFT($B1534,7)="SBA 26/",$D1534&lt;&gt;"",$F1534&lt;&gt;""),COUNTIFS($D$2:$D1534,$D1534,$B$2:$B1534,"SBA 26/*",$F$2:$F1534,"&lt;&gt;"),"")</f>
        <v/>
      </c>
      <c r="Z1534" s="29" t="str">
        <f>IF(Y1534=1,COUNTIF($Y$2:Y1534,1),"")</f>
        <v/>
      </c>
      <c r="AA1534" s="29" t="str">
        <f>IF(AND(LEFT($B1534,7)="SBA 26/",$C1534&lt;&gt;"",$F1534&lt;&gt;""),COUNTIFS($C$2:$C1534,$C1534,$B$2:$B1534,"SBA 26/*",$F$2:$F1534,"&lt;&gt;"),"")</f>
        <v/>
      </c>
      <c r="AB1534" s="29" t="str">
        <f>IF(AA1534=1,COUNTIF($AA$2:AA1534,1),"")</f>
        <v/>
      </c>
    </row>
    <row r="1535" spans="6:28" ht="31.5" customHeight="1" x14ac:dyDescent="0.2">
      <c r="F1535" s="45" t="s">
        <v>4211</v>
      </c>
      <c r="T1535" s="41"/>
      <c r="U1535" s="29" t="str">
        <f>IF($C1535&lt;&gt;"",COUNTIF($C$2:C1535,C1535),"")</f>
        <v/>
      </c>
      <c r="V1535" s="29" t="str">
        <f t="shared" si="78"/>
        <v/>
      </c>
      <c r="W1535" s="29" t="str">
        <f>IF(U1535=1,COUNTIF($U$2:U1535,1),"")</f>
        <v/>
      </c>
      <c r="X1535" s="29" t="str">
        <f t="shared" si="79"/>
        <v/>
      </c>
      <c r="Y1535" s="29" t="str">
        <f>IF(AND(LEFT($B1535,7)="SBA 26/",$D1535&lt;&gt;"",$F1535&lt;&gt;""),COUNTIFS($D$2:$D1535,$D1535,$B$2:$B1535,"SBA 26/*",$F$2:$F1535,"&lt;&gt;"),"")</f>
        <v/>
      </c>
      <c r="Z1535" s="29" t="str">
        <f>IF(Y1535=1,COUNTIF($Y$2:Y1535,1),"")</f>
        <v/>
      </c>
      <c r="AA1535" s="29" t="str">
        <f>IF(AND(LEFT($B1535,7)="SBA 26/",$C1535&lt;&gt;"",$F1535&lt;&gt;""),COUNTIFS($C$2:$C1535,$C1535,$B$2:$B1535,"SBA 26/*",$F$2:$F1535,"&lt;&gt;"),"")</f>
        <v/>
      </c>
      <c r="AB1535" s="29" t="str">
        <f>IF(AA1535=1,COUNTIF($AA$2:AA1535,1),"")</f>
        <v/>
      </c>
    </row>
    <row r="1536" spans="6:28" ht="47.25" customHeight="1" x14ac:dyDescent="0.2">
      <c r="F1536" s="45" t="s">
        <v>4212</v>
      </c>
      <c r="T1536" s="41"/>
      <c r="U1536" s="29" t="str">
        <f>IF($C1536&lt;&gt;"",COUNTIF($C$2:C1536,C1536),"")</f>
        <v/>
      </c>
      <c r="V1536" s="29" t="str">
        <f t="shared" si="78"/>
        <v/>
      </c>
      <c r="W1536" s="29" t="str">
        <f>IF(U1536=1,COUNTIF($U$2:U1536,1),"")</f>
        <v/>
      </c>
      <c r="X1536" s="29" t="str">
        <f t="shared" si="79"/>
        <v/>
      </c>
      <c r="Y1536" s="29" t="str">
        <f>IF(AND(LEFT($B1536,7)="SBA 26/",$D1536&lt;&gt;"",$F1536&lt;&gt;""),COUNTIFS($D$2:$D1536,$D1536,$B$2:$B1536,"SBA 26/*",$F$2:$F1536,"&lt;&gt;"),"")</f>
        <v/>
      </c>
      <c r="Z1536" s="29" t="str">
        <f>IF(Y1536=1,COUNTIF($Y$2:Y1536,1),"")</f>
        <v/>
      </c>
      <c r="AA1536" s="29" t="str">
        <f>IF(AND(LEFT($B1536,7)="SBA 26/",$C1536&lt;&gt;"",$F1536&lt;&gt;""),COUNTIFS($C$2:$C1536,$C1536,$B$2:$B1536,"SBA 26/*",$F$2:$F1536,"&lt;&gt;"),"")</f>
        <v/>
      </c>
      <c r="AB1536" s="29" t="str">
        <f>IF(AA1536=1,COUNTIF($AA$2:AA1536,1),"")</f>
        <v/>
      </c>
    </row>
    <row r="1537" spans="6:28" ht="31.5" customHeight="1" x14ac:dyDescent="0.2">
      <c r="F1537" s="45" t="s">
        <v>4213</v>
      </c>
      <c r="T1537" s="41"/>
      <c r="U1537" s="29" t="str">
        <f>IF($C1537&lt;&gt;"",COUNTIF($C$2:C1537,C1537),"")</f>
        <v/>
      </c>
      <c r="V1537" s="29" t="str">
        <f t="shared" si="78"/>
        <v/>
      </c>
      <c r="W1537" s="29" t="str">
        <f>IF(U1537=1,COUNTIF($U$2:U1537,1),"")</f>
        <v/>
      </c>
      <c r="X1537" s="29" t="str">
        <f t="shared" si="79"/>
        <v/>
      </c>
      <c r="Y1537" s="29" t="str">
        <f>IF(AND(LEFT($B1537,7)="SBA 26/",$D1537&lt;&gt;"",$F1537&lt;&gt;""),COUNTIFS($D$2:$D1537,$D1537,$B$2:$B1537,"SBA 26/*",$F$2:$F1537,"&lt;&gt;"),"")</f>
        <v/>
      </c>
      <c r="Z1537" s="29" t="str">
        <f>IF(Y1537=1,COUNTIF($Y$2:Y1537,1),"")</f>
        <v/>
      </c>
      <c r="AA1537" s="29" t="str">
        <f>IF(AND(LEFT($B1537,7)="SBA 26/",$C1537&lt;&gt;"",$F1537&lt;&gt;""),COUNTIFS($C$2:$C1537,$C1537,$B$2:$B1537,"SBA 26/*",$F$2:$F1537,"&lt;&gt;"),"")</f>
        <v/>
      </c>
      <c r="AB1537" s="29" t="str">
        <f>IF(AA1537=1,COUNTIF($AA$2:AA1537,1),"")</f>
        <v/>
      </c>
    </row>
    <row r="1538" spans="6:28" ht="47.25" customHeight="1" x14ac:dyDescent="0.2">
      <c r="F1538" s="45" t="s">
        <v>4214</v>
      </c>
      <c r="T1538" s="41"/>
      <c r="U1538" s="29" t="str">
        <f>IF($C1538&lt;&gt;"",COUNTIF($C$2:C1538,C1538),"")</f>
        <v/>
      </c>
      <c r="V1538" s="29" t="str">
        <f t="shared" ref="V1538:V1601" si="80">IF($C1538&lt;&gt;"",C1538&amp;"§"&amp;U1538,"")</f>
        <v/>
      </c>
      <c r="W1538" s="29" t="str">
        <f>IF(U1538=1,COUNTIF($U$2:U1538,1),"")</f>
        <v/>
      </c>
      <c r="X1538" s="29" t="str">
        <f t="shared" si="79"/>
        <v/>
      </c>
      <c r="Y1538" s="29" t="str">
        <f>IF(AND(LEFT($B1538,7)="SBA 26/",$D1538&lt;&gt;"",$F1538&lt;&gt;""),COUNTIFS($D$2:$D1538,$D1538,$B$2:$B1538,"SBA 26/*",$F$2:$F1538,"&lt;&gt;"),"")</f>
        <v/>
      </c>
      <c r="Z1538" s="29" t="str">
        <f>IF(Y1538=1,COUNTIF($Y$2:Y1538,1),"")</f>
        <v/>
      </c>
      <c r="AA1538" s="29" t="str">
        <f>IF(AND(LEFT($B1538,7)="SBA 26/",$C1538&lt;&gt;"",$F1538&lt;&gt;""),COUNTIFS($C$2:$C1538,$C1538,$B$2:$B1538,"SBA 26/*",$F$2:$F1538,"&lt;&gt;"),"")</f>
        <v/>
      </c>
      <c r="AB1538" s="29" t="str">
        <f>IF(AA1538=1,COUNTIF($AA$2:AA1538,1),"")</f>
        <v/>
      </c>
    </row>
    <row r="1539" spans="6:28" ht="47.25" customHeight="1" x14ac:dyDescent="0.2">
      <c r="F1539" s="45" t="s">
        <v>4215</v>
      </c>
      <c r="T1539" s="41"/>
      <c r="U1539" s="29" t="str">
        <f>IF($C1539&lt;&gt;"",COUNTIF($C$2:C1539,C1539),"")</f>
        <v/>
      </c>
      <c r="V1539" s="29" t="str">
        <f t="shared" si="80"/>
        <v/>
      </c>
      <c r="W1539" s="29" t="str">
        <f>IF(U1539=1,COUNTIF($U$2:U1539,1),"")</f>
        <v/>
      </c>
      <c r="X1539" s="29" t="str">
        <f t="shared" si="79"/>
        <v/>
      </c>
      <c r="Y1539" s="29" t="str">
        <f>IF(AND(LEFT($B1539,7)="SBA 26/",$D1539&lt;&gt;"",$F1539&lt;&gt;""),COUNTIFS($D$2:$D1539,$D1539,$B$2:$B1539,"SBA 26/*",$F$2:$F1539,"&lt;&gt;"),"")</f>
        <v/>
      </c>
      <c r="Z1539" s="29" t="str">
        <f>IF(Y1539=1,COUNTIF($Y$2:Y1539,1),"")</f>
        <v/>
      </c>
      <c r="AA1539" s="29" t="str">
        <f>IF(AND(LEFT($B1539,7)="SBA 26/",$C1539&lt;&gt;"",$F1539&lt;&gt;""),COUNTIFS($C$2:$C1539,$C1539,$B$2:$B1539,"SBA 26/*",$F$2:$F1539,"&lt;&gt;"),"")</f>
        <v/>
      </c>
      <c r="AB1539" s="29" t="str">
        <f>IF(AA1539=1,COUNTIF($AA$2:AA1539,1),"")</f>
        <v/>
      </c>
    </row>
    <row r="1540" spans="6:28" ht="47.25" customHeight="1" x14ac:dyDescent="0.2">
      <c r="F1540" s="45" t="s">
        <v>4216</v>
      </c>
      <c r="T1540" s="41"/>
      <c r="U1540" s="29" t="str">
        <f>IF($C1540&lt;&gt;"",COUNTIF($C$2:C1540,C1540),"")</f>
        <v/>
      </c>
      <c r="V1540" s="29" t="str">
        <f t="shared" si="80"/>
        <v/>
      </c>
      <c r="W1540" s="29" t="str">
        <f>IF(U1540=1,COUNTIF($U$2:U1540,1),"")</f>
        <v/>
      </c>
      <c r="X1540" s="29" t="str">
        <f t="shared" si="79"/>
        <v/>
      </c>
      <c r="Y1540" s="29" t="str">
        <f>IF(AND(LEFT($B1540,7)="SBA 26/",$D1540&lt;&gt;"",$F1540&lt;&gt;""),COUNTIFS($D$2:$D1540,$D1540,$B$2:$B1540,"SBA 26/*",$F$2:$F1540,"&lt;&gt;"),"")</f>
        <v/>
      </c>
      <c r="Z1540" s="29" t="str">
        <f>IF(Y1540=1,COUNTIF($Y$2:Y1540,1),"")</f>
        <v/>
      </c>
      <c r="AA1540" s="29" t="str">
        <f>IF(AND(LEFT($B1540,7)="SBA 26/",$C1540&lt;&gt;"",$F1540&lt;&gt;""),COUNTIFS($C$2:$C1540,$C1540,$B$2:$B1540,"SBA 26/*",$F$2:$F1540,"&lt;&gt;"),"")</f>
        <v/>
      </c>
      <c r="AB1540" s="29" t="str">
        <f>IF(AA1540=1,COUNTIF($AA$2:AA1540,1),"")</f>
        <v/>
      </c>
    </row>
    <row r="1541" spans="6:28" ht="31.5" customHeight="1" x14ac:dyDescent="0.2">
      <c r="F1541" s="45" t="s">
        <v>4217</v>
      </c>
      <c r="T1541" s="41"/>
      <c r="U1541" s="29" t="str">
        <f>IF($C1541&lt;&gt;"",COUNTIF($C$2:C1541,C1541),"")</f>
        <v/>
      </c>
      <c r="V1541" s="29" t="str">
        <f t="shared" si="80"/>
        <v/>
      </c>
      <c r="W1541" s="29" t="str">
        <f>IF(U1541=1,COUNTIF($U$2:U1541,1),"")</f>
        <v/>
      </c>
      <c r="X1541" s="29" t="str">
        <f t="shared" si="79"/>
        <v/>
      </c>
      <c r="Y1541" s="29" t="str">
        <f>IF(AND(LEFT($B1541,7)="SBA 26/",$D1541&lt;&gt;"",$F1541&lt;&gt;""),COUNTIFS($D$2:$D1541,$D1541,$B$2:$B1541,"SBA 26/*",$F$2:$F1541,"&lt;&gt;"),"")</f>
        <v/>
      </c>
      <c r="Z1541" s="29" t="str">
        <f>IF(Y1541=1,COUNTIF($Y$2:Y1541,1),"")</f>
        <v/>
      </c>
      <c r="AA1541" s="29" t="str">
        <f>IF(AND(LEFT($B1541,7)="SBA 26/",$C1541&lt;&gt;"",$F1541&lt;&gt;""),COUNTIFS($C$2:$C1541,$C1541,$B$2:$B1541,"SBA 26/*",$F$2:$F1541,"&lt;&gt;"),"")</f>
        <v/>
      </c>
      <c r="AB1541" s="29" t="str">
        <f>IF(AA1541=1,COUNTIF($AA$2:AA1541,1),"")</f>
        <v/>
      </c>
    </row>
    <row r="1542" spans="6:28" ht="47.25" customHeight="1" x14ac:dyDescent="0.2">
      <c r="F1542" s="45" t="s">
        <v>4218</v>
      </c>
      <c r="T1542" s="41"/>
      <c r="U1542" s="29" t="str">
        <f>IF($C1542&lt;&gt;"",COUNTIF($C$2:C1542,C1542),"")</f>
        <v/>
      </c>
      <c r="V1542" s="29" t="str">
        <f t="shared" si="80"/>
        <v/>
      </c>
      <c r="W1542" s="29" t="str">
        <f>IF(U1542=1,COUNTIF($U$2:U1542,1),"")</f>
        <v/>
      </c>
      <c r="X1542" s="29" t="str">
        <f t="shared" si="79"/>
        <v/>
      </c>
      <c r="Y1542" s="29" t="str">
        <f>IF(AND(LEFT($B1542,7)="SBA 26/",$D1542&lt;&gt;"",$F1542&lt;&gt;""),COUNTIFS($D$2:$D1542,$D1542,$B$2:$B1542,"SBA 26/*",$F$2:$F1542,"&lt;&gt;"),"")</f>
        <v/>
      </c>
      <c r="Z1542" s="29" t="str">
        <f>IF(Y1542=1,COUNTIF($Y$2:Y1542,1),"")</f>
        <v/>
      </c>
      <c r="AA1542" s="29" t="str">
        <f>IF(AND(LEFT($B1542,7)="SBA 26/",$C1542&lt;&gt;"",$F1542&lt;&gt;""),COUNTIFS($C$2:$C1542,$C1542,$B$2:$B1542,"SBA 26/*",$F$2:$F1542,"&lt;&gt;"),"")</f>
        <v/>
      </c>
      <c r="AB1542" s="29" t="str">
        <f>IF(AA1542=1,COUNTIF($AA$2:AA1542,1),"")</f>
        <v/>
      </c>
    </row>
    <row r="1543" spans="6:28" ht="31.5" customHeight="1" x14ac:dyDescent="0.2">
      <c r="F1543" s="45" t="s">
        <v>4219</v>
      </c>
      <c r="T1543" s="41"/>
      <c r="U1543" s="29" t="str">
        <f>IF($C1543&lt;&gt;"",COUNTIF($C$2:C1543,C1543),"")</f>
        <v/>
      </c>
      <c r="V1543" s="29" t="str">
        <f t="shared" si="80"/>
        <v/>
      </c>
      <c r="W1543" s="29" t="str">
        <f>IF(U1543=1,COUNTIF($U$2:U1543,1),"")</f>
        <v/>
      </c>
      <c r="X1543" s="29" t="str">
        <f t="shared" si="79"/>
        <v/>
      </c>
      <c r="Y1543" s="29" t="str">
        <f>IF(AND(LEFT($B1543,7)="SBA 26/",$D1543&lt;&gt;"",$F1543&lt;&gt;""),COUNTIFS($D$2:$D1543,$D1543,$B$2:$B1543,"SBA 26/*",$F$2:$F1543,"&lt;&gt;"),"")</f>
        <v/>
      </c>
      <c r="Z1543" s="29" t="str">
        <f>IF(Y1543=1,COUNTIF($Y$2:Y1543,1),"")</f>
        <v/>
      </c>
      <c r="AA1543" s="29" t="str">
        <f>IF(AND(LEFT($B1543,7)="SBA 26/",$C1543&lt;&gt;"",$F1543&lt;&gt;""),COUNTIFS($C$2:$C1543,$C1543,$B$2:$B1543,"SBA 26/*",$F$2:$F1543,"&lt;&gt;"),"")</f>
        <v/>
      </c>
      <c r="AB1543" s="29" t="str">
        <f>IF(AA1543=1,COUNTIF($AA$2:AA1543,1),"")</f>
        <v/>
      </c>
    </row>
    <row r="1544" spans="6:28" ht="47.25" customHeight="1" x14ac:dyDescent="0.2">
      <c r="F1544" s="45" t="s">
        <v>4220</v>
      </c>
      <c r="T1544" s="41"/>
      <c r="U1544" s="29" t="str">
        <f>IF($C1544&lt;&gt;"",COUNTIF($C$2:C1544,C1544),"")</f>
        <v/>
      </c>
      <c r="V1544" s="29" t="str">
        <f t="shared" si="80"/>
        <v/>
      </c>
      <c r="W1544" s="29" t="str">
        <f>IF(U1544=1,COUNTIF($U$2:U1544,1),"")</f>
        <v/>
      </c>
      <c r="X1544" s="29" t="str">
        <f t="shared" si="79"/>
        <v/>
      </c>
      <c r="Y1544" s="29" t="str">
        <f>IF(AND(LEFT($B1544,7)="SBA 26/",$D1544&lt;&gt;"",$F1544&lt;&gt;""),COUNTIFS($D$2:$D1544,$D1544,$B$2:$B1544,"SBA 26/*",$F$2:$F1544,"&lt;&gt;"),"")</f>
        <v/>
      </c>
      <c r="Z1544" s="29" t="str">
        <f>IF(Y1544=1,COUNTIF($Y$2:Y1544,1),"")</f>
        <v/>
      </c>
      <c r="AA1544" s="29" t="str">
        <f>IF(AND(LEFT($B1544,7)="SBA 26/",$C1544&lt;&gt;"",$F1544&lt;&gt;""),COUNTIFS($C$2:$C1544,$C1544,$B$2:$B1544,"SBA 26/*",$F$2:$F1544,"&lt;&gt;"),"")</f>
        <v/>
      </c>
      <c r="AB1544" s="29" t="str">
        <f>IF(AA1544=1,COUNTIF($AA$2:AA1544,1),"")</f>
        <v/>
      </c>
    </row>
    <row r="1545" spans="6:28" ht="47.25" customHeight="1" x14ac:dyDescent="0.2">
      <c r="F1545" s="45" t="s">
        <v>4221</v>
      </c>
      <c r="T1545" s="41"/>
      <c r="U1545" s="29" t="str">
        <f>IF($C1545&lt;&gt;"",COUNTIF($C$2:C1545,C1545),"")</f>
        <v/>
      </c>
      <c r="V1545" s="29" t="str">
        <f t="shared" si="80"/>
        <v/>
      </c>
      <c r="W1545" s="29" t="str">
        <f>IF(U1545=1,COUNTIF($U$2:U1545,1),"")</f>
        <v/>
      </c>
      <c r="X1545" s="29" t="str">
        <f t="shared" si="79"/>
        <v/>
      </c>
      <c r="Y1545" s="29" t="str">
        <f>IF(AND(LEFT($B1545,7)="SBA 26/",$D1545&lt;&gt;"",$F1545&lt;&gt;""),COUNTIFS($D$2:$D1545,$D1545,$B$2:$B1545,"SBA 26/*",$F$2:$F1545,"&lt;&gt;"),"")</f>
        <v/>
      </c>
      <c r="Z1545" s="29" t="str">
        <f>IF(Y1545=1,COUNTIF($Y$2:Y1545,1),"")</f>
        <v/>
      </c>
      <c r="AA1545" s="29" t="str">
        <f>IF(AND(LEFT($B1545,7)="SBA 26/",$C1545&lt;&gt;"",$F1545&lt;&gt;""),COUNTIFS($C$2:$C1545,$C1545,$B$2:$B1545,"SBA 26/*",$F$2:$F1545,"&lt;&gt;"),"")</f>
        <v/>
      </c>
      <c r="AB1545" s="29" t="str">
        <f>IF(AA1545=1,COUNTIF($AA$2:AA1545,1),"")</f>
        <v/>
      </c>
    </row>
    <row r="1546" spans="6:28" ht="63" customHeight="1" x14ac:dyDescent="0.2">
      <c r="F1546" s="45" t="s">
        <v>4222</v>
      </c>
      <c r="T1546" s="41"/>
      <c r="U1546" s="29" t="str">
        <f>IF($C1546&lt;&gt;"",COUNTIF($C$2:C1546,C1546),"")</f>
        <v/>
      </c>
      <c r="V1546" s="29" t="str">
        <f t="shared" si="80"/>
        <v/>
      </c>
      <c r="W1546" s="29" t="str">
        <f>IF(U1546=1,COUNTIF($U$2:U1546,1),"")</f>
        <v/>
      </c>
      <c r="X1546" s="29" t="str">
        <f t="shared" si="79"/>
        <v/>
      </c>
      <c r="Y1546" s="29" t="str">
        <f>IF(AND(LEFT($B1546,7)="SBA 26/",$D1546&lt;&gt;"",$F1546&lt;&gt;""),COUNTIFS($D$2:$D1546,$D1546,$B$2:$B1546,"SBA 26/*",$F$2:$F1546,"&lt;&gt;"),"")</f>
        <v/>
      </c>
      <c r="Z1546" s="29" t="str">
        <f>IF(Y1546=1,COUNTIF($Y$2:Y1546,1),"")</f>
        <v/>
      </c>
      <c r="AA1546" s="29" t="str">
        <f>IF(AND(LEFT($B1546,7)="SBA 26/",$C1546&lt;&gt;"",$F1546&lt;&gt;""),COUNTIFS($C$2:$C1546,$C1546,$B$2:$B1546,"SBA 26/*",$F$2:$F1546,"&lt;&gt;"),"")</f>
        <v/>
      </c>
      <c r="AB1546" s="29" t="str">
        <f>IF(AA1546=1,COUNTIF($AA$2:AA1546,1),"")</f>
        <v/>
      </c>
    </row>
    <row r="1547" spans="6:28" ht="63" customHeight="1" x14ac:dyDescent="0.2">
      <c r="F1547" s="45" t="s">
        <v>4223</v>
      </c>
      <c r="T1547" s="41"/>
      <c r="U1547" s="29" t="str">
        <f>IF($C1547&lt;&gt;"",COUNTIF($C$2:C1547,C1547),"")</f>
        <v/>
      </c>
      <c r="V1547" s="29" t="str">
        <f t="shared" si="80"/>
        <v/>
      </c>
      <c r="W1547" s="29" t="str">
        <f>IF(U1547=1,COUNTIF($U$2:U1547,1),"")</f>
        <v/>
      </c>
      <c r="X1547" s="29" t="str">
        <f t="shared" si="79"/>
        <v/>
      </c>
      <c r="Y1547" s="29" t="str">
        <f>IF(AND(LEFT($B1547,7)="SBA 26/",$D1547&lt;&gt;"",$F1547&lt;&gt;""),COUNTIFS($D$2:$D1547,$D1547,$B$2:$B1547,"SBA 26/*",$F$2:$F1547,"&lt;&gt;"),"")</f>
        <v/>
      </c>
      <c r="Z1547" s="29" t="str">
        <f>IF(Y1547=1,COUNTIF($Y$2:Y1547,1),"")</f>
        <v/>
      </c>
      <c r="AA1547" s="29" t="str">
        <f>IF(AND(LEFT($B1547,7)="SBA 26/",$C1547&lt;&gt;"",$F1547&lt;&gt;""),COUNTIFS($C$2:$C1547,$C1547,$B$2:$B1547,"SBA 26/*",$F$2:$F1547,"&lt;&gt;"),"")</f>
        <v/>
      </c>
      <c r="AB1547" s="29" t="str">
        <f>IF(AA1547=1,COUNTIF($AA$2:AA1547,1),"")</f>
        <v/>
      </c>
    </row>
    <row r="1548" spans="6:28" ht="47.25" customHeight="1" x14ac:dyDescent="0.2">
      <c r="F1548" s="45" t="s">
        <v>4224</v>
      </c>
      <c r="T1548" s="41"/>
      <c r="U1548" s="29" t="str">
        <f>IF($C1548&lt;&gt;"",COUNTIF($C$2:C1548,C1548),"")</f>
        <v/>
      </c>
      <c r="V1548" s="29" t="str">
        <f t="shared" si="80"/>
        <v/>
      </c>
      <c r="W1548" s="29" t="str">
        <f>IF(U1548=1,COUNTIF($U$2:U1548,1),"")</f>
        <v/>
      </c>
      <c r="X1548" s="29" t="str">
        <f t="shared" si="79"/>
        <v/>
      </c>
      <c r="Y1548" s="29" t="str">
        <f>IF(AND(LEFT($B1548,7)="SBA 26/",$D1548&lt;&gt;"",$F1548&lt;&gt;""),COUNTIFS($D$2:$D1548,$D1548,$B$2:$B1548,"SBA 26/*",$F$2:$F1548,"&lt;&gt;"),"")</f>
        <v/>
      </c>
      <c r="Z1548" s="29" t="str">
        <f>IF(Y1548=1,COUNTIF($Y$2:Y1548,1),"")</f>
        <v/>
      </c>
      <c r="AA1548" s="29" t="str">
        <f>IF(AND(LEFT($B1548,7)="SBA 26/",$C1548&lt;&gt;"",$F1548&lt;&gt;""),COUNTIFS($C$2:$C1548,$C1548,$B$2:$B1548,"SBA 26/*",$F$2:$F1548,"&lt;&gt;"),"")</f>
        <v/>
      </c>
      <c r="AB1548" s="29" t="str">
        <f>IF(AA1548=1,COUNTIF($AA$2:AA1548,1),"")</f>
        <v/>
      </c>
    </row>
    <row r="1549" spans="6:28" ht="78.75" customHeight="1" x14ac:dyDescent="0.2">
      <c r="F1549" s="45" t="s">
        <v>4225</v>
      </c>
      <c r="T1549" s="41"/>
      <c r="U1549" s="29" t="str">
        <f>IF($C1549&lt;&gt;"",COUNTIF($C$2:C1549,C1549),"")</f>
        <v/>
      </c>
      <c r="V1549" s="29" t="str">
        <f t="shared" si="80"/>
        <v/>
      </c>
      <c r="W1549" s="29" t="str">
        <f>IF(U1549=1,COUNTIF($U$2:U1549,1),"")</f>
        <v/>
      </c>
      <c r="X1549" s="29" t="str">
        <f t="shared" si="79"/>
        <v/>
      </c>
      <c r="Y1549" s="29" t="str">
        <f>IF(AND(LEFT($B1549,7)="SBA 26/",$D1549&lt;&gt;"",$F1549&lt;&gt;""),COUNTIFS($D$2:$D1549,$D1549,$B$2:$B1549,"SBA 26/*",$F$2:$F1549,"&lt;&gt;"),"")</f>
        <v/>
      </c>
      <c r="Z1549" s="29" t="str">
        <f>IF(Y1549=1,COUNTIF($Y$2:Y1549,1),"")</f>
        <v/>
      </c>
      <c r="AA1549" s="29" t="str">
        <f>IF(AND(LEFT($B1549,7)="SBA 26/",$C1549&lt;&gt;"",$F1549&lt;&gt;""),COUNTIFS($C$2:$C1549,$C1549,$B$2:$B1549,"SBA 26/*",$F$2:$F1549,"&lt;&gt;"),"")</f>
        <v/>
      </c>
      <c r="AB1549" s="29" t="str">
        <f>IF(AA1549=1,COUNTIF($AA$2:AA1549,1),"")</f>
        <v/>
      </c>
    </row>
    <row r="1550" spans="6:28" ht="63" customHeight="1" x14ac:dyDescent="0.2">
      <c r="F1550" s="45" t="s">
        <v>4226</v>
      </c>
      <c r="T1550" s="41"/>
      <c r="U1550" s="29" t="str">
        <f>IF($C1550&lt;&gt;"",COUNTIF($C$2:C1550,C1550),"")</f>
        <v/>
      </c>
      <c r="V1550" s="29" t="str">
        <f t="shared" si="80"/>
        <v/>
      </c>
      <c r="W1550" s="29" t="str">
        <f>IF(U1550=1,COUNTIF($U$2:U1550,1),"")</f>
        <v/>
      </c>
      <c r="X1550" s="29" t="str">
        <f t="shared" si="79"/>
        <v/>
      </c>
      <c r="Y1550" s="29" t="str">
        <f>IF(AND(LEFT($B1550,7)="SBA 26/",$D1550&lt;&gt;"",$F1550&lt;&gt;""),COUNTIFS($D$2:$D1550,$D1550,$B$2:$B1550,"SBA 26/*",$F$2:$F1550,"&lt;&gt;"),"")</f>
        <v/>
      </c>
      <c r="Z1550" s="29" t="str">
        <f>IF(Y1550=1,COUNTIF($Y$2:Y1550,1),"")</f>
        <v/>
      </c>
      <c r="AA1550" s="29" t="str">
        <f>IF(AND(LEFT($B1550,7)="SBA 26/",$C1550&lt;&gt;"",$F1550&lt;&gt;""),COUNTIFS($C$2:$C1550,$C1550,$B$2:$B1550,"SBA 26/*",$F$2:$F1550,"&lt;&gt;"),"")</f>
        <v/>
      </c>
      <c r="AB1550" s="29" t="str">
        <f>IF(AA1550=1,COUNTIF($AA$2:AA1550,1),"")</f>
        <v/>
      </c>
    </row>
    <row r="1551" spans="6:28" ht="31.5" customHeight="1" x14ac:dyDescent="0.2">
      <c r="F1551" s="45" t="s">
        <v>4227</v>
      </c>
      <c r="T1551" s="41"/>
      <c r="U1551" s="29" t="str">
        <f>IF($C1551&lt;&gt;"",COUNTIF($C$2:C1551,C1551),"")</f>
        <v/>
      </c>
      <c r="V1551" s="29" t="str">
        <f t="shared" si="80"/>
        <v/>
      </c>
      <c r="W1551" s="29" t="str">
        <f>IF(U1551=1,COUNTIF($U$2:U1551,1),"")</f>
        <v/>
      </c>
      <c r="X1551" s="29" t="str">
        <f t="shared" si="79"/>
        <v/>
      </c>
      <c r="Y1551" s="29" t="str">
        <f>IF(AND(LEFT($B1551,7)="SBA 26/",$D1551&lt;&gt;"",$F1551&lt;&gt;""),COUNTIFS($D$2:$D1551,$D1551,$B$2:$B1551,"SBA 26/*",$F$2:$F1551,"&lt;&gt;"),"")</f>
        <v/>
      </c>
      <c r="Z1551" s="29" t="str">
        <f>IF(Y1551=1,COUNTIF($Y$2:Y1551,1),"")</f>
        <v/>
      </c>
      <c r="AA1551" s="29" t="str">
        <f>IF(AND(LEFT($B1551,7)="SBA 26/",$C1551&lt;&gt;"",$F1551&lt;&gt;""),COUNTIFS($C$2:$C1551,$C1551,$B$2:$B1551,"SBA 26/*",$F$2:$F1551,"&lt;&gt;"),"")</f>
        <v/>
      </c>
      <c r="AB1551" s="29" t="str">
        <f>IF(AA1551=1,COUNTIF($AA$2:AA1551,1),"")</f>
        <v/>
      </c>
    </row>
    <row r="1552" spans="6:28" ht="31.5" customHeight="1" x14ac:dyDescent="0.2">
      <c r="F1552" s="45" t="s">
        <v>4228</v>
      </c>
      <c r="T1552" s="41"/>
      <c r="U1552" s="29" t="str">
        <f>IF($C1552&lt;&gt;"",COUNTIF($C$2:C1552,C1552),"")</f>
        <v/>
      </c>
      <c r="V1552" s="29" t="str">
        <f t="shared" si="80"/>
        <v/>
      </c>
      <c r="W1552" s="29" t="str">
        <f>IF(U1552=1,COUNTIF($U$2:U1552,1),"")</f>
        <v/>
      </c>
      <c r="X1552" s="29" t="str">
        <f t="shared" si="79"/>
        <v/>
      </c>
      <c r="Y1552" s="29" t="str">
        <f>IF(AND(LEFT($B1552,7)="SBA 26/",$D1552&lt;&gt;"",$F1552&lt;&gt;""),COUNTIFS($D$2:$D1552,$D1552,$B$2:$B1552,"SBA 26/*",$F$2:$F1552,"&lt;&gt;"),"")</f>
        <v/>
      </c>
      <c r="Z1552" s="29" t="str">
        <f>IF(Y1552=1,COUNTIF($Y$2:Y1552,1),"")</f>
        <v/>
      </c>
      <c r="AA1552" s="29" t="str">
        <f>IF(AND(LEFT($B1552,7)="SBA 26/",$C1552&lt;&gt;"",$F1552&lt;&gt;""),COUNTIFS($C$2:$C1552,$C1552,$B$2:$B1552,"SBA 26/*",$F$2:$F1552,"&lt;&gt;"),"")</f>
        <v/>
      </c>
      <c r="AB1552" s="29" t="str">
        <f>IF(AA1552=1,COUNTIF($AA$2:AA1552,1),"")</f>
        <v/>
      </c>
    </row>
    <row r="1553" spans="6:28" ht="47.25" customHeight="1" x14ac:dyDescent="0.2">
      <c r="F1553" s="45" t="s">
        <v>4229</v>
      </c>
      <c r="T1553" s="41"/>
      <c r="U1553" s="29" t="str">
        <f>IF($C1553&lt;&gt;"",COUNTIF($C$2:C1553,C1553),"")</f>
        <v/>
      </c>
      <c r="V1553" s="29" t="str">
        <f t="shared" si="80"/>
        <v/>
      </c>
      <c r="W1553" s="29" t="str">
        <f>IF(U1553=1,COUNTIF($U$2:U1553,1),"")</f>
        <v/>
      </c>
      <c r="X1553" s="29" t="str">
        <f t="shared" si="79"/>
        <v/>
      </c>
      <c r="Y1553" s="29" t="str">
        <f>IF(AND(LEFT($B1553,7)="SBA 26/",$D1553&lt;&gt;"",$F1553&lt;&gt;""),COUNTIFS($D$2:$D1553,$D1553,$B$2:$B1553,"SBA 26/*",$F$2:$F1553,"&lt;&gt;"),"")</f>
        <v/>
      </c>
      <c r="Z1553" s="29" t="str">
        <f>IF(Y1553=1,COUNTIF($Y$2:Y1553,1),"")</f>
        <v/>
      </c>
      <c r="AA1553" s="29" t="str">
        <f>IF(AND(LEFT($B1553,7)="SBA 26/",$C1553&lt;&gt;"",$F1553&lt;&gt;""),COUNTIFS($C$2:$C1553,$C1553,$B$2:$B1553,"SBA 26/*",$F$2:$F1553,"&lt;&gt;"),"")</f>
        <v/>
      </c>
      <c r="AB1553" s="29" t="str">
        <f>IF(AA1553=1,COUNTIF($AA$2:AA1553,1),"")</f>
        <v/>
      </c>
    </row>
    <row r="1554" spans="6:28" ht="31.5" customHeight="1" x14ac:dyDescent="0.2">
      <c r="F1554" s="45" t="s">
        <v>4230</v>
      </c>
      <c r="T1554" s="41"/>
      <c r="U1554" s="29" t="str">
        <f>IF($C1554&lt;&gt;"",COUNTIF($C$2:C1554,C1554),"")</f>
        <v/>
      </c>
      <c r="V1554" s="29" t="str">
        <f t="shared" si="80"/>
        <v/>
      </c>
      <c r="W1554" s="29" t="str">
        <f>IF(U1554=1,COUNTIF($U$2:U1554,1),"")</f>
        <v/>
      </c>
      <c r="X1554" s="29" t="str">
        <f t="shared" si="79"/>
        <v/>
      </c>
      <c r="Y1554" s="29" t="str">
        <f>IF(AND(LEFT($B1554,7)="SBA 26/",$D1554&lt;&gt;"",$F1554&lt;&gt;""),COUNTIFS($D$2:$D1554,$D1554,$B$2:$B1554,"SBA 26/*",$F$2:$F1554,"&lt;&gt;"),"")</f>
        <v/>
      </c>
      <c r="Z1554" s="29" t="str">
        <f>IF(Y1554=1,COUNTIF($Y$2:Y1554,1),"")</f>
        <v/>
      </c>
      <c r="AA1554" s="29" t="str">
        <f>IF(AND(LEFT($B1554,7)="SBA 26/",$C1554&lt;&gt;"",$F1554&lt;&gt;""),COUNTIFS($C$2:$C1554,$C1554,$B$2:$B1554,"SBA 26/*",$F$2:$F1554,"&lt;&gt;"),"")</f>
        <v/>
      </c>
      <c r="AB1554" s="29" t="str">
        <f>IF(AA1554=1,COUNTIF($AA$2:AA1554,1),"")</f>
        <v/>
      </c>
    </row>
    <row r="1555" spans="6:28" ht="47.25" customHeight="1" x14ac:dyDescent="0.2">
      <c r="F1555" s="45" t="s">
        <v>4231</v>
      </c>
      <c r="T1555" s="41"/>
      <c r="U1555" s="29" t="str">
        <f>IF($C1555&lt;&gt;"",COUNTIF($C$2:C1555,C1555),"")</f>
        <v/>
      </c>
      <c r="V1555" s="29" t="str">
        <f t="shared" si="80"/>
        <v/>
      </c>
      <c r="W1555" s="29" t="str">
        <f>IF(U1555=1,COUNTIF($U$2:U1555,1),"")</f>
        <v/>
      </c>
      <c r="X1555" s="29" t="str">
        <f t="shared" si="79"/>
        <v/>
      </c>
      <c r="Y1555" s="29" t="str">
        <f>IF(AND(LEFT($B1555,7)="SBA 26/",$D1555&lt;&gt;"",$F1555&lt;&gt;""),COUNTIFS($D$2:$D1555,$D1555,$B$2:$B1555,"SBA 26/*",$F$2:$F1555,"&lt;&gt;"),"")</f>
        <v/>
      </c>
      <c r="Z1555" s="29" t="str">
        <f>IF(Y1555=1,COUNTIF($Y$2:Y1555,1),"")</f>
        <v/>
      </c>
      <c r="AA1555" s="29" t="str">
        <f>IF(AND(LEFT($B1555,7)="SBA 26/",$C1555&lt;&gt;"",$F1555&lt;&gt;""),COUNTIFS($C$2:$C1555,$C1555,$B$2:$B1555,"SBA 26/*",$F$2:$F1555,"&lt;&gt;"),"")</f>
        <v/>
      </c>
      <c r="AB1555" s="29" t="str">
        <f>IF(AA1555=1,COUNTIF($AA$2:AA1555,1),"")</f>
        <v/>
      </c>
    </row>
    <row r="1556" spans="6:28" ht="47.25" customHeight="1" x14ac:dyDescent="0.2">
      <c r="F1556" s="45" t="s">
        <v>4232</v>
      </c>
      <c r="T1556" s="41"/>
      <c r="U1556" s="29" t="str">
        <f>IF($C1556&lt;&gt;"",COUNTIF($C$2:C1556,C1556),"")</f>
        <v/>
      </c>
      <c r="V1556" s="29" t="str">
        <f t="shared" si="80"/>
        <v/>
      </c>
      <c r="W1556" s="29" t="str">
        <f>IF(U1556=1,COUNTIF($U$2:U1556,1),"")</f>
        <v/>
      </c>
      <c r="X1556" s="29" t="str">
        <f t="shared" si="79"/>
        <v/>
      </c>
      <c r="Y1556" s="29" t="str">
        <f>IF(AND(LEFT($B1556,7)="SBA 26/",$D1556&lt;&gt;"",$F1556&lt;&gt;""),COUNTIFS($D$2:$D1556,$D1556,$B$2:$B1556,"SBA 26/*",$F$2:$F1556,"&lt;&gt;"),"")</f>
        <v/>
      </c>
      <c r="Z1556" s="29" t="str">
        <f>IF(Y1556=1,COUNTIF($Y$2:Y1556,1),"")</f>
        <v/>
      </c>
      <c r="AA1556" s="29" t="str">
        <f>IF(AND(LEFT($B1556,7)="SBA 26/",$C1556&lt;&gt;"",$F1556&lt;&gt;""),COUNTIFS($C$2:$C1556,$C1556,$B$2:$B1556,"SBA 26/*",$F$2:$F1556,"&lt;&gt;"),"")</f>
        <v/>
      </c>
      <c r="AB1556" s="29" t="str">
        <f>IF(AA1556=1,COUNTIF($AA$2:AA1556,1),"")</f>
        <v/>
      </c>
    </row>
    <row r="1557" spans="6:28" ht="47.25" customHeight="1" x14ac:dyDescent="0.2">
      <c r="F1557" s="45" t="s">
        <v>4233</v>
      </c>
      <c r="T1557" s="41"/>
      <c r="U1557" s="29" t="str">
        <f>IF($C1557&lt;&gt;"",COUNTIF($C$2:C1557,C1557),"")</f>
        <v/>
      </c>
      <c r="V1557" s="29" t="str">
        <f t="shared" si="80"/>
        <v/>
      </c>
      <c r="W1557" s="29" t="str">
        <f>IF(U1557=1,COUNTIF($U$2:U1557,1),"")</f>
        <v/>
      </c>
      <c r="X1557" s="29" t="str">
        <f t="shared" si="79"/>
        <v/>
      </c>
      <c r="Y1557" s="29" t="str">
        <f>IF(AND(LEFT($B1557,7)="SBA 26/",$D1557&lt;&gt;"",$F1557&lt;&gt;""),COUNTIFS($D$2:$D1557,$D1557,$B$2:$B1557,"SBA 26/*",$F$2:$F1557,"&lt;&gt;"),"")</f>
        <v/>
      </c>
      <c r="Z1557" s="29" t="str">
        <f>IF(Y1557=1,COUNTIF($Y$2:Y1557,1),"")</f>
        <v/>
      </c>
      <c r="AA1557" s="29" t="str">
        <f>IF(AND(LEFT($B1557,7)="SBA 26/",$C1557&lt;&gt;"",$F1557&lt;&gt;""),COUNTIFS($C$2:$C1557,$C1557,$B$2:$B1557,"SBA 26/*",$F$2:$F1557,"&lt;&gt;"),"")</f>
        <v/>
      </c>
      <c r="AB1557" s="29" t="str">
        <f>IF(AA1557=1,COUNTIF($AA$2:AA1557,1),"")</f>
        <v/>
      </c>
    </row>
    <row r="1558" spans="6:28" ht="47.25" customHeight="1" x14ac:dyDescent="0.2">
      <c r="F1558" s="45" t="s">
        <v>4234</v>
      </c>
      <c r="T1558" s="41"/>
      <c r="U1558" s="29" t="str">
        <f>IF($C1558&lt;&gt;"",COUNTIF($C$2:C1558,C1558),"")</f>
        <v/>
      </c>
      <c r="V1558" s="29" t="str">
        <f t="shared" si="80"/>
        <v/>
      </c>
      <c r="W1558" s="29" t="str">
        <f>IF(U1558=1,COUNTIF($U$2:U1558,1),"")</f>
        <v/>
      </c>
      <c r="X1558" s="29" t="str">
        <f t="shared" si="79"/>
        <v/>
      </c>
      <c r="Y1558" s="29" t="str">
        <f>IF(AND(LEFT($B1558,7)="SBA 26/",$D1558&lt;&gt;"",$F1558&lt;&gt;""),COUNTIFS($D$2:$D1558,$D1558,$B$2:$B1558,"SBA 26/*",$F$2:$F1558,"&lt;&gt;"),"")</f>
        <v/>
      </c>
      <c r="Z1558" s="29" t="str">
        <f>IF(Y1558=1,COUNTIF($Y$2:Y1558,1),"")</f>
        <v/>
      </c>
      <c r="AA1558" s="29" t="str">
        <f>IF(AND(LEFT($B1558,7)="SBA 26/",$C1558&lt;&gt;"",$F1558&lt;&gt;""),COUNTIFS($C$2:$C1558,$C1558,$B$2:$B1558,"SBA 26/*",$F$2:$F1558,"&lt;&gt;"),"")</f>
        <v/>
      </c>
      <c r="AB1558" s="29" t="str">
        <f>IF(AA1558=1,COUNTIF($AA$2:AA1558,1),"")</f>
        <v/>
      </c>
    </row>
    <row r="1559" spans="6:28" ht="63" customHeight="1" x14ac:dyDescent="0.2">
      <c r="F1559" s="45" t="s">
        <v>4235</v>
      </c>
      <c r="T1559" s="41"/>
      <c r="U1559" s="29" t="str">
        <f>IF($C1559&lt;&gt;"",COUNTIF($C$2:C1559,C1559),"")</f>
        <v/>
      </c>
      <c r="V1559" s="29" t="str">
        <f t="shared" si="80"/>
        <v/>
      </c>
      <c r="W1559" s="29" t="str">
        <f>IF(U1559=1,COUNTIF($U$2:U1559,1),"")</f>
        <v/>
      </c>
      <c r="X1559" s="29" t="str">
        <f t="shared" si="79"/>
        <v/>
      </c>
      <c r="Y1559" s="29" t="str">
        <f>IF(AND(LEFT($B1559,7)="SBA 26/",$D1559&lt;&gt;"",$F1559&lt;&gt;""),COUNTIFS($D$2:$D1559,$D1559,$B$2:$B1559,"SBA 26/*",$F$2:$F1559,"&lt;&gt;"),"")</f>
        <v/>
      </c>
      <c r="Z1559" s="29" t="str">
        <f>IF(Y1559=1,COUNTIF($Y$2:Y1559,1),"")</f>
        <v/>
      </c>
      <c r="AA1559" s="29" t="str">
        <f>IF(AND(LEFT($B1559,7)="SBA 26/",$C1559&lt;&gt;"",$F1559&lt;&gt;""),COUNTIFS($C$2:$C1559,$C1559,$B$2:$B1559,"SBA 26/*",$F$2:$F1559,"&lt;&gt;"),"")</f>
        <v/>
      </c>
      <c r="AB1559" s="29" t="str">
        <f>IF(AA1559=1,COUNTIF($AA$2:AA1559,1),"")</f>
        <v/>
      </c>
    </row>
    <row r="1560" spans="6:28" ht="47.25" customHeight="1" x14ac:dyDescent="0.2">
      <c r="F1560" s="45" t="s">
        <v>4236</v>
      </c>
      <c r="T1560" s="41"/>
      <c r="U1560" s="29" t="str">
        <f>IF($C1560&lt;&gt;"",COUNTIF($C$2:C1560,C1560),"")</f>
        <v/>
      </c>
      <c r="V1560" s="29" t="str">
        <f t="shared" si="80"/>
        <v/>
      </c>
      <c r="W1560" s="29" t="str">
        <f>IF(U1560=1,COUNTIF($U$2:U1560,1),"")</f>
        <v/>
      </c>
      <c r="X1560" s="29" t="str">
        <f t="shared" si="79"/>
        <v/>
      </c>
      <c r="Y1560" s="29" t="str">
        <f>IF(AND(LEFT($B1560,7)="SBA 26/",$D1560&lt;&gt;"",$F1560&lt;&gt;""),COUNTIFS($D$2:$D1560,$D1560,$B$2:$B1560,"SBA 26/*",$F$2:$F1560,"&lt;&gt;"),"")</f>
        <v/>
      </c>
      <c r="Z1560" s="29" t="str">
        <f>IF(Y1560=1,COUNTIF($Y$2:Y1560,1),"")</f>
        <v/>
      </c>
      <c r="AA1560" s="29" t="str">
        <f>IF(AND(LEFT($B1560,7)="SBA 26/",$C1560&lt;&gt;"",$F1560&lt;&gt;""),COUNTIFS($C$2:$C1560,$C1560,$B$2:$B1560,"SBA 26/*",$F$2:$F1560,"&lt;&gt;"),"")</f>
        <v/>
      </c>
      <c r="AB1560" s="29" t="str">
        <f>IF(AA1560=1,COUNTIF($AA$2:AA1560,1),"")</f>
        <v/>
      </c>
    </row>
    <row r="1561" spans="6:28" ht="47.25" customHeight="1" x14ac:dyDescent="0.2">
      <c r="F1561" s="45" t="s">
        <v>4237</v>
      </c>
      <c r="T1561" s="41"/>
      <c r="U1561" s="29" t="str">
        <f>IF($C1561&lt;&gt;"",COUNTIF($C$2:C1561,C1561),"")</f>
        <v/>
      </c>
      <c r="V1561" s="29" t="str">
        <f t="shared" si="80"/>
        <v/>
      </c>
      <c r="W1561" s="29" t="str">
        <f>IF(U1561=1,COUNTIF($U$2:U1561,1),"")</f>
        <v/>
      </c>
      <c r="X1561" s="29" t="str">
        <f t="shared" si="79"/>
        <v/>
      </c>
      <c r="Y1561" s="29" t="str">
        <f>IF(AND(LEFT($B1561,7)="SBA 26/",$D1561&lt;&gt;"",$F1561&lt;&gt;""),COUNTIFS($D$2:$D1561,$D1561,$B$2:$B1561,"SBA 26/*",$F$2:$F1561,"&lt;&gt;"),"")</f>
        <v/>
      </c>
      <c r="Z1561" s="29" t="str">
        <f>IF(Y1561=1,COUNTIF($Y$2:Y1561,1),"")</f>
        <v/>
      </c>
      <c r="AA1561" s="29" t="str">
        <f>IF(AND(LEFT($B1561,7)="SBA 26/",$C1561&lt;&gt;"",$F1561&lt;&gt;""),COUNTIFS($C$2:$C1561,$C1561,$B$2:$B1561,"SBA 26/*",$F$2:$F1561,"&lt;&gt;"),"")</f>
        <v/>
      </c>
      <c r="AB1561" s="29" t="str">
        <f>IF(AA1561=1,COUNTIF($AA$2:AA1561,1),"")</f>
        <v/>
      </c>
    </row>
    <row r="1562" spans="6:28" ht="47.25" customHeight="1" x14ac:dyDescent="0.2">
      <c r="F1562" s="45" t="s">
        <v>4238</v>
      </c>
      <c r="T1562" s="41"/>
      <c r="U1562" s="29" t="str">
        <f>IF($C1562&lt;&gt;"",COUNTIF($C$2:C1562,C1562),"")</f>
        <v/>
      </c>
      <c r="V1562" s="29" t="str">
        <f t="shared" si="80"/>
        <v/>
      </c>
      <c r="W1562" s="29" t="str">
        <f>IF(U1562=1,COUNTIF($U$2:U1562,1),"")</f>
        <v/>
      </c>
      <c r="X1562" s="29" t="str">
        <f t="shared" si="79"/>
        <v/>
      </c>
      <c r="Y1562" s="29" t="str">
        <f>IF(AND(LEFT($B1562,7)="SBA 26/",$D1562&lt;&gt;"",$F1562&lt;&gt;""),COUNTIFS($D$2:$D1562,$D1562,$B$2:$B1562,"SBA 26/*",$F$2:$F1562,"&lt;&gt;"),"")</f>
        <v/>
      </c>
      <c r="Z1562" s="29" t="str">
        <f>IF(Y1562=1,COUNTIF($Y$2:Y1562,1),"")</f>
        <v/>
      </c>
      <c r="AA1562" s="29" t="str">
        <f>IF(AND(LEFT($B1562,7)="SBA 26/",$C1562&lt;&gt;"",$F1562&lt;&gt;""),COUNTIFS($C$2:$C1562,$C1562,$B$2:$B1562,"SBA 26/*",$F$2:$F1562,"&lt;&gt;"),"")</f>
        <v/>
      </c>
      <c r="AB1562" s="29" t="str">
        <f>IF(AA1562=1,COUNTIF($AA$2:AA1562,1),"")</f>
        <v/>
      </c>
    </row>
    <row r="1563" spans="6:28" ht="47.25" customHeight="1" x14ac:dyDescent="0.2">
      <c r="F1563" s="45" t="s">
        <v>4239</v>
      </c>
      <c r="T1563" s="41"/>
      <c r="U1563" s="29" t="str">
        <f>IF($C1563&lt;&gt;"",COUNTIF($C$2:C1563,C1563),"")</f>
        <v/>
      </c>
      <c r="V1563" s="29" t="str">
        <f t="shared" si="80"/>
        <v/>
      </c>
      <c r="W1563" s="29" t="str">
        <f>IF(U1563=1,COUNTIF($U$2:U1563,1),"")</f>
        <v/>
      </c>
      <c r="X1563" s="29" t="str">
        <f t="shared" si="79"/>
        <v/>
      </c>
      <c r="Y1563" s="29" t="str">
        <f>IF(AND(LEFT($B1563,7)="SBA 26/",$D1563&lt;&gt;"",$F1563&lt;&gt;""),COUNTIFS($D$2:$D1563,$D1563,$B$2:$B1563,"SBA 26/*",$F$2:$F1563,"&lt;&gt;"),"")</f>
        <v/>
      </c>
      <c r="Z1563" s="29" t="str">
        <f>IF(Y1563=1,COUNTIF($Y$2:Y1563,1),"")</f>
        <v/>
      </c>
      <c r="AA1563" s="29" t="str">
        <f>IF(AND(LEFT($B1563,7)="SBA 26/",$C1563&lt;&gt;"",$F1563&lt;&gt;""),COUNTIFS($C$2:$C1563,$C1563,$B$2:$B1563,"SBA 26/*",$F$2:$F1563,"&lt;&gt;"),"")</f>
        <v/>
      </c>
      <c r="AB1563" s="29" t="str">
        <f>IF(AA1563=1,COUNTIF($AA$2:AA1563,1),"")</f>
        <v/>
      </c>
    </row>
    <row r="1564" spans="6:28" ht="47.25" customHeight="1" x14ac:dyDescent="0.2">
      <c r="F1564" s="45" t="s">
        <v>4240</v>
      </c>
      <c r="T1564" s="41"/>
      <c r="U1564" s="29" t="str">
        <f>IF($C1564&lt;&gt;"",COUNTIF($C$2:C1564,C1564),"")</f>
        <v/>
      </c>
      <c r="V1564" s="29" t="str">
        <f t="shared" si="80"/>
        <v/>
      </c>
      <c r="W1564" s="29" t="str">
        <f>IF(U1564=1,COUNTIF($U$2:U1564,1),"")</f>
        <v/>
      </c>
      <c r="X1564" s="29" t="str">
        <f t="shared" si="79"/>
        <v/>
      </c>
      <c r="Y1564" s="29" t="str">
        <f>IF(AND(LEFT($B1564,7)="SBA 26/",$D1564&lt;&gt;"",$F1564&lt;&gt;""),COUNTIFS($D$2:$D1564,$D1564,$B$2:$B1564,"SBA 26/*",$F$2:$F1564,"&lt;&gt;"),"")</f>
        <v/>
      </c>
      <c r="Z1564" s="29" t="str">
        <f>IF(Y1564=1,COUNTIF($Y$2:Y1564,1),"")</f>
        <v/>
      </c>
      <c r="AA1564" s="29" t="str">
        <f>IF(AND(LEFT($B1564,7)="SBA 26/",$C1564&lt;&gt;"",$F1564&lt;&gt;""),COUNTIFS($C$2:$C1564,$C1564,$B$2:$B1564,"SBA 26/*",$F$2:$F1564,"&lt;&gt;"),"")</f>
        <v/>
      </c>
      <c r="AB1564" s="29" t="str">
        <f>IF(AA1564=1,COUNTIF($AA$2:AA1564,1),"")</f>
        <v/>
      </c>
    </row>
    <row r="1565" spans="6:28" ht="63" customHeight="1" x14ac:dyDescent="0.2">
      <c r="F1565" s="45" t="s">
        <v>4241</v>
      </c>
      <c r="T1565" s="41"/>
      <c r="U1565" s="29" t="str">
        <f>IF($C1565&lt;&gt;"",COUNTIF($C$2:C1565,C1565),"")</f>
        <v/>
      </c>
      <c r="V1565" s="29" t="str">
        <f t="shared" si="80"/>
        <v/>
      </c>
      <c r="W1565" s="29" t="str">
        <f>IF(U1565=1,COUNTIF($U$2:U1565,1),"")</f>
        <v/>
      </c>
      <c r="X1565" s="29" t="str">
        <f t="shared" si="79"/>
        <v/>
      </c>
      <c r="Y1565" s="29" t="str">
        <f>IF(AND(LEFT($B1565,7)="SBA 26/",$D1565&lt;&gt;"",$F1565&lt;&gt;""),COUNTIFS($D$2:$D1565,$D1565,$B$2:$B1565,"SBA 26/*",$F$2:$F1565,"&lt;&gt;"),"")</f>
        <v/>
      </c>
      <c r="Z1565" s="29" t="str">
        <f>IF(Y1565=1,COUNTIF($Y$2:Y1565,1),"")</f>
        <v/>
      </c>
      <c r="AA1565" s="29" t="str">
        <f>IF(AND(LEFT($B1565,7)="SBA 26/",$C1565&lt;&gt;"",$F1565&lt;&gt;""),COUNTIFS($C$2:$C1565,$C1565,$B$2:$B1565,"SBA 26/*",$F$2:$F1565,"&lt;&gt;"),"")</f>
        <v/>
      </c>
      <c r="AB1565" s="29" t="str">
        <f>IF(AA1565=1,COUNTIF($AA$2:AA1565,1),"")</f>
        <v/>
      </c>
    </row>
    <row r="1566" spans="6:28" ht="31.5" customHeight="1" x14ac:dyDescent="0.2">
      <c r="F1566" s="45" t="s">
        <v>4242</v>
      </c>
      <c r="T1566" s="41"/>
      <c r="U1566" s="29" t="str">
        <f>IF($C1566&lt;&gt;"",COUNTIF($C$2:C1566,C1566),"")</f>
        <v/>
      </c>
      <c r="V1566" s="29" t="str">
        <f t="shared" si="80"/>
        <v/>
      </c>
      <c r="W1566" s="29" t="str">
        <f>IF(U1566=1,COUNTIF($U$2:U1566,1),"")</f>
        <v/>
      </c>
      <c r="X1566" s="29" t="str">
        <f t="shared" si="79"/>
        <v/>
      </c>
      <c r="Y1566" s="29" t="str">
        <f>IF(AND(LEFT($B1566,7)="SBA 26/",$D1566&lt;&gt;"",$F1566&lt;&gt;""),COUNTIFS($D$2:$D1566,$D1566,$B$2:$B1566,"SBA 26/*",$F$2:$F1566,"&lt;&gt;"),"")</f>
        <v/>
      </c>
      <c r="Z1566" s="29" t="str">
        <f>IF(Y1566=1,COUNTIF($Y$2:Y1566,1),"")</f>
        <v/>
      </c>
      <c r="AA1566" s="29" t="str">
        <f>IF(AND(LEFT($B1566,7)="SBA 26/",$C1566&lt;&gt;"",$F1566&lt;&gt;""),COUNTIFS($C$2:$C1566,$C1566,$B$2:$B1566,"SBA 26/*",$F$2:$F1566,"&lt;&gt;"),"")</f>
        <v/>
      </c>
      <c r="AB1566" s="29" t="str">
        <f>IF(AA1566=1,COUNTIF($AA$2:AA1566,1),"")</f>
        <v/>
      </c>
    </row>
    <row r="1567" spans="6:28" ht="78.75" customHeight="1" x14ac:dyDescent="0.2">
      <c r="F1567" s="45" t="s">
        <v>4243</v>
      </c>
      <c r="T1567" s="41"/>
      <c r="U1567" s="29" t="str">
        <f>IF($C1567&lt;&gt;"",COUNTIF($C$2:C1567,C1567),"")</f>
        <v/>
      </c>
      <c r="V1567" s="29" t="str">
        <f t="shared" si="80"/>
        <v/>
      </c>
      <c r="W1567" s="29" t="str">
        <f>IF(U1567=1,COUNTIF($U$2:U1567,1),"")</f>
        <v/>
      </c>
      <c r="X1567" s="29" t="str">
        <f t="shared" si="79"/>
        <v/>
      </c>
      <c r="Y1567" s="29" t="str">
        <f>IF(AND(LEFT($B1567,7)="SBA 26/",$D1567&lt;&gt;"",$F1567&lt;&gt;""),COUNTIFS($D$2:$D1567,$D1567,$B$2:$B1567,"SBA 26/*",$F$2:$F1567,"&lt;&gt;"),"")</f>
        <v/>
      </c>
      <c r="Z1567" s="29" t="str">
        <f>IF(Y1567=1,COUNTIF($Y$2:Y1567,1),"")</f>
        <v/>
      </c>
      <c r="AA1567" s="29" t="str">
        <f>IF(AND(LEFT($B1567,7)="SBA 26/",$C1567&lt;&gt;"",$F1567&lt;&gt;""),COUNTIFS($C$2:$C1567,$C1567,$B$2:$B1567,"SBA 26/*",$F$2:$F1567,"&lt;&gt;"),"")</f>
        <v/>
      </c>
      <c r="AB1567" s="29" t="str">
        <f>IF(AA1567=1,COUNTIF($AA$2:AA1567,1),"")</f>
        <v/>
      </c>
    </row>
    <row r="1568" spans="6:28" ht="63" customHeight="1" x14ac:dyDescent="0.2">
      <c r="F1568" s="45" t="s">
        <v>4244</v>
      </c>
      <c r="T1568" s="41"/>
      <c r="U1568" s="29" t="str">
        <f>IF($C1568&lt;&gt;"",COUNTIF($C$2:C1568,C1568),"")</f>
        <v/>
      </c>
      <c r="V1568" s="29" t="str">
        <f t="shared" si="80"/>
        <v/>
      </c>
      <c r="W1568" s="29" t="str">
        <f>IF(U1568=1,COUNTIF($U$2:U1568,1),"")</f>
        <v/>
      </c>
      <c r="X1568" s="29" t="str">
        <f t="shared" si="79"/>
        <v/>
      </c>
      <c r="Y1568" s="29" t="str">
        <f>IF(AND(LEFT($B1568,7)="SBA 26/",$D1568&lt;&gt;"",$F1568&lt;&gt;""),COUNTIFS($D$2:$D1568,$D1568,$B$2:$B1568,"SBA 26/*",$F$2:$F1568,"&lt;&gt;"),"")</f>
        <v/>
      </c>
      <c r="Z1568" s="29" t="str">
        <f>IF(Y1568=1,COUNTIF($Y$2:Y1568,1),"")</f>
        <v/>
      </c>
      <c r="AA1568" s="29" t="str">
        <f>IF(AND(LEFT($B1568,7)="SBA 26/",$C1568&lt;&gt;"",$F1568&lt;&gt;""),COUNTIFS($C$2:$C1568,$C1568,$B$2:$B1568,"SBA 26/*",$F$2:$F1568,"&lt;&gt;"),"")</f>
        <v/>
      </c>
      <c r="AB1568" s="29" t="str">
        <f>IF(AA1568=1,COUNTIF($AA$2:AA1568,1),"")</f>
        <v/>
      </c>
    </row>
    <row r="1569" spans="6:28" ht="78.75" customHeight="1" x14ac:dyDescent="0.2">
      <c r="F1569" s="45" t="s">
        <v>4245</v>
      </c>
      <c r="T1569" s="41"/>
      <c r="U1569" s="29" t="str">
        <f>IF($C1569&lt;&gt;"",COUNTIF($C$2:C1569,C1569),"")</f>
        <v/>
      </c>
      <c r="V1569" s="29" t="str">
        <f t="shared" si="80"/>
        <v/>
      </c>
      <c r="W1569" s="29" t="str">
        <f>IF(U1569=1,COUNTIF($U$2:U1569,1),"")</f>
        <v/>
      </c>
      <c r="X1569" s="29" t="str">
        <f t="shared" si="79"/>
        <v/>
      </c>
      <c r="Y1569" s="29" t="str">
        <f>IF(AND(LEFT($B1569,7)="SBA 26/",$D1569&lt;&gt;"",$F1569&lt;&gt;""),COUNTIFS($D$2:$D1569,$D1569,$B$2:$B1569,"SBA 26/*",$F$2:$F1569,"&lt;&gt;"),"")</f>
        <v/>
      </c>
      <c r="Z1569" s="29" t="str">
        <f>IF(Y1569=1,COUNTIF($Y$2:Y1569,1),"")</f>
        <v/>
      </c>
      <c r="AA1569" s="29" t="str">
        <f>IF(AND(LEFT($B1569,7)="SBA 26/",$C1569&lt;&gt;"",$F1569&lt;&gt;""),COUNTIFS($C$2:$C1569,$C1569,$B$2:$B1569,"SBA 26/*",$F$2:$F1569,"&lt;&gt;"),"")</f>
        <v/>
      </c>
      <c r="AB1569" s="29" t="str">
        <f>IF(AA1569=1,COUNTIF($AA$2:AA1569,1),"")</f>
        <v/>
      </c>
    </row>
    <row r="1570" spans="6:28" ht="31.5" customHeight="1" x14ac:dyDescent="0.2">
      <c r="F1570" s="45" t="s">
        <v>4246</v>
      </c>
      <c r="T1570" s="41"/>
      <c r="U1570" s="29" t="str">
        <f>IF($C1570&lt;&gt;"",COUNTIF($C$2:C1570,C1570),"")</f>
        <v/>
      </c>
      <c r="V1570" s="29" t="str">
        <f t="shared" si="80"/>
        <v/>
      </c>
      <c r="W1570" s="29" t="str">
        <f>IF(U1570=1,COUNTIF($U$2:U1570,1),"")</f>
        <v/>
      </c>
      <c r="X1570" s="29" t="str">
        <f t="shared" si="79"/>
        <v/>
      </c>
      <c r="Y1570" s="29" t="str">
        <f>IF(AND(LEFT($B1570,7)="SBA 26/",$D1570&lt;&gt;"",$F1570&lt;&gt;""),COUNTIFS($D$2:$D1570,$D1570,$B$2:$B1570,"SBA 26/*",$F$2:$F1570,"&lt;&gt;"),"")</f>
        <v/>
      </c>
      <c r="Z1570" s="29" t="str">
        <f>IF(Y1570=1,COUNTIF($Y$2:Y1570,1),"")</f>
        <v/>
      </c>
      <c r="AA1570" s="29" t="str">
        <f>IF(AND(LEFT($B1570,7)="SBA 26/",$C1570&lt;&gt;"",$F1570&lt;&gt;""),COUNTIFS($C$2:$C1570,$C1570,$B$2:$B1570,"SBA 26/*",$F$2:$F1570,"&lt;&gt;"),"")</f>
        <v/>
      </c>
      <c r="AB1570" s="29" t="str">
        <f>IF(AA1570=1,COUNTIF($AA$2:AA1570,1),"")</f>
        <v/>
      </c>
    </row>
    <row r="1571" spans="6:28" ht="31.5" customHeight="1" x14ac:dyDescent="0.2">
      <c r="F1571" s="45" t="s">
        <v>4247</v>
      </c>
      <c r="T1571" s="41"/>
      <c r="U1571" s="29" t="str">
        <f>IF($C1571&lt;&gt;"",COUNTIF($C$2:C1571,C1571),"")</f>
        <v/>
      </c>
      <c r="V1571" s="29" t="str">
        <f t="shared" si="80"/>
        <v/>
      </c>
      <c r="W1571" s="29" t="str">
        <f>IF(U1571=1,COUNTIF($U$2:U1571,1),"")</f>
        <v/>
      </c>
      <c r="X1571" s="29" t="str">
        <f t="shared" si="79"/>
        <v/>
      </c>
      <c r="Y1571" s="29" t="str">
        <f>IF(AND(LEFT($B1571,7)="SBA 26/",$D1571&lt;&gt;"",$F1571&lt;&gt;""),COUNTIFS($D$2:$D1571,$D1571,$B$2:$B1571,"SBA 26/*",$F$2:$F1571,"&lt;&gt;"),"")</f>
        <v/>
      </c>
      <c r="Z1571" s="29" t="str">
        <f>IF(Y1571=1,COUNTIF($Y$2:Y1571,1),"")</f>
        <v/>
      </c>
      <c r="AA1571" s="29" t="str">
        <f>IF(AND(LEFT($B1571,7)="SBA 26/",$C1571&lt;&gt;"",$F1571&lt;&gt;""),COUNTIFS($C$2:$C1571,$C1571,$B$2:$B1571,"SBA 26/*",$F$2:$F1571,"&lt;&gt;"),"")</f>
        <v/>
      </c>
      <c r="AB1571" s="29" t="str">
        <f>IF(AA1571=1,COUNTIF($AA$2:AA1571,1),"")</f>
        <v/>
      </c>
    </row>
    <row r="1572" spans="6:28" ht="47.25" customHeight="1" x14ac:dyDescent="0.2">
      <c r="F1572" s="45" t="s">
        <v>4248</v>
      </c>
      <c r="T1572" s="41"/>
      <c r="U1572" s="29" t="str">
        <f>IF($C1572&lt;&gt;"",COUNTIF($C$2:C1572,C1572),"")</f>
        <v/>
      </c>
      <c r="V1572" s="29" t="str">
        <f t="shared" si="80"/>
        <v/>
      </c>
      <c r="W1572" s="29" t="str">
        <f>IF(U1572=1,COUNTIF($U$2:U1572,1),"")</f>
        <v/>
      </c>
      <c r="X1572" s="29" t="str">
        <f t="shared" si="79"/>
        <v/>
      </c>
      <c r="Y1572" s="29" t="str">
        <f>IF(AND(LEFT($B1572,7)="SBA 26/",$D1572&lt;&gt;"",$F1572&lt;&gt;""),COUNTIFS($D$2:$D1572,$D1572,$B$2:$B1572,"SBA 26/*",$F$2:$F1572,"&lt;&gt;"),"")</f>
        <v/>
      </c>
      <c r="Z1572" s="29" t="str">
        <f>IF(Y1572=1,COUNTIF($Y$2:Y1572,1),"")</f>
        <v/>
      </c>
      <c r="AA1572" s="29" t="str">
        <f>IF(AND(LEFT($B1572,7)="SBA 26/",$C1572&lt;&gt;"",$F1572&lt;&gt;""),COUNTIFS($C$2:$C1572,$C1572,$B$2:$B1572,"SBA 26/*",$F$2:$F1572,"&lt;&gt;"),"")</f>
        <v/>
      </c>
      <c r="AB1572" s="29" t="str">
        <f>IF(AA1572=1,COUNTIF($AA$2:AA1572,1),"")</f>
        <v/>
      </c>
    </row>
    <row r="1573" spans="6:28" ht="63" customHeight="1" x14ac:dyDescent="0.2">
      <c r="F1573" s="45" t="s">
        <v>4249</v>
      </c>
      <c r="T1573" s="41"/>
      <c r="U1573" s="29" t="str">
        <f>IF($C1573&lt;&gt;"",COUNTIF($C$2:C1573,C1573),"")</f>
        <v/>
      </c>
      <c r="V1573" s="29" t="str">
        <f t="shared" si="80"/>
        <v/>
      </c>
      <c r="W1573" s="29" t="str">
        <f>IF(U1573=1,COUNTIF($U$2:U1573,1),"")</f>
        <v/>
      </c>
      <c r="X1573" s="29" t="str">
        <f t="shared" si="79"/>
        <v/>
      </c>
      <c r="Y1573" s="29" t="str">
        <f>IF(AND(LEFT($B1573,7)="SBA 26/",$D1573&lt;&gt;"",$F1573&lt;&gt;""),COUNTIFS($D$2:$D1573,$D1573,$B$2:$B1573,"SBA 26/*",$F$2:$F1573,"&lt;&gt;"),"")</f>
        <v/>
      </c>
      <c r="Z1573" s="29" t="str">
        <f>IF(Y1573=1,COUNTIF($Y$2:Y1573,1),"")</f>
        <v/>
      </c>
      <c r="AA1573" s="29" t="str">
        <f>IF(AND(LEFT($B1573,7)="SBA 26/",$C1573&lt;&gt;"",$F1573&lt;&gt;""),COUNTIFS($C$2:$C1573,$C1573,$B$2:$B1573,"SBA 26/*",$F$2:$F1573,"&lt;&gt;"),"")</f>
        <v/>
      </c>
      <c r="AB1573" s="29" t="str">
        <f>IF(AA1573=1,COUNTIF($AA$2:AA1573,1),"")</f>
        <v/>
      </c>
    </row>
    <row r="1574" spans="6:28" ht="31.5" customHeight="1" x14ac:dyDescent="0.2">
      <c r="F1574" s="45" t="s">
        <v>4250</v>
      </c>
      <c r="T1574" s="41"/>
      <c r="U1574" s="29" t="str">
        <f>IF($C1574&lt;&gt;"",COUNTIF($C$2:C1574,C1574),"")</f>
        <v/>
      </c>
      <c r="V1574" s="29" t="str">
        <f t="shared" si="80"/>
        <v/>
      </c>
      <c r="W1574" s="29" t="str">
        <f>IF(U1574=1,COUNTIF($U$2:U1574,1),"")</f>
        <v/>
      </c>
      <c r="X1574" s="29" t="str">
        <f t="shared" si="79"/>
        <v/>
      </c>
      <c r="Y1574" s="29" t="str">
        <f>IF(AND(LEFT($B1574,7)="SBA 26/",$D1574&lt;&gt;"",$F1574&lt;&gt;""),COUNTIFS($D$2:$D1574,$D1574,$B$2:$B1574,"SBA 26/*",$F$2:$F1574,"&lt;&gt;"),"")</f>
        <v/>
      </c>
      <c r="Z1574" s="29" t="str">
        <f>IF(Y1574=1,COUNTIF($Y$2:Y1574,1),"")</f>
        <v/>
      </c>
      <c r="AA1574" s="29" t="str">
        <f>IF(AND(LEFT($B1574,7)="SBA 26/",$C1574&lt;&gt;"",$F1574&lt;&gt;""),COUNTIFS($C$2:$C1574,$C1574,$B$2:$B1574,"SBA 26/*",$F$2:$F1574,"&lt;&gt;"),"")</f>
        <v/>
      </c>
      <c r="AB1574" s="29" t="str">
        <f>IF(AA1574=1,COUNTIF($AA$2:AA1574,1),"")</f>
        <v/>
      </c>
    </row>
    <row r="1575" spans="6:28" ht="31.5" customHeight="1" x14ac:dyDescent="0.2">
      <c r="F1575" s="45" t="s">
        <v>4251</v>
      </c>
      <c r="T1575" s="41"/>
      <c r="U1575" s="29" t="str">
        <f>IF($C1575&lt;&gt;"",COUNTIF($C$2:C1575,C1575),"")</f>
        <v/>
      </c>
      <c r="V1575" s="29" t="str">
        <f t="shared" si="80"/>
        <v/>
      </c>
      <c r="W1575" s="29" t="str">
        <f>IF(U1575=1,COUNTIF($U$2:U1575,1),"")</f>
        <v/>
      </c>
      <c r="X1575" s="29" t="str">
        <f t="shared" si="79"/>
        <v/>
      </c>
      <c r="Y1575" s="29" t="str">
        <f>IF(AND(LEFT($B1575,7)="SBA 26/",$D1575&lt;&gt;"",$F1575&lt;&gt;""),COUNTIFS($D$2:$D1575,$D1575,$B$2:$B1575,"SBA 26/*",$F$2:$F1575,"&lt;&gt;"),"")</f>
        <v/>
      </c>
      <c r="Z1575" s="29" t="str">
        <f>IF(Y1575=1,COUNTIF($Y$2:Y1575,1),"")</f>
        <v/>
      </c>
      <c r="AA1575" s="29" t="str">
        <f>IF(AND(LEFT($B1575,7)="SBA 26/",$C1575&lt;&gt;"",$F1575&lt;&gt;""),COUNTIFS($C$2:$C1575,$C1575,$B$2:$B1575,"SBA 26/*",$F$2:$F1575,"&lt;&gt;"),"")</f>
        <v/>
      </c>
      <c r="AB1575" s="29" t="str">
        <f>IF(AA1575=1,COUNTIF($AA$2:AA1575,1),"")</f>
        <v/>
      </c>
    </row>
    <row r="1576" spans="6:28" ht="20.25" customHeight="1" x14ac:dyDescent="0.2">
      <c r="F1576" s="45" t="s">
        <v>4252</v>
      </c>
      <c r="T1576" s="41"/>
      <c r="U1576" s="29" t="str">
        <f>IF($C1576&lt;&gt;"",COUNTIF($C$2:C1576,C1576),"")</f>
        <v/>
      </c>
      <c r="V1576" s="29" t="str">
        <f t="shared" si="80"/>
        <v/>
      </c>
      <c r="W1576" s="29" t="str">
        <f>IF(U1576=1,COUNTIF($U$2:U1576,1),"")</f>
        <v/>
      </c>
      <c r="X1576" s="29" t="str">
        <f t="shared" si="79"/>
        <v/>
      </c>
      <c r="Y1576" s="29" t="str">
        <f>IF(AND(LEFT($B1576,7)="SBA 26/",$D1576&lt;&gt;"",$F1576&lt;&gt;""),COUNTIFS($D$2:$D1576,$D1576,$B$2:$B1576,"SBA 26/*",$F$2:$F1576,"&lt;&gt;"),"")</f>
        <v/>
      </c>
      <c r="Z1576" s="29" t="str">
        <f>IF(Y1576=1,COUNTIF($Y$2:Y1576,1),"")</f>
        <v/>
      </c>
      <c r="AA1576" s="29" t="str">
        <f>IF(AND(LEFT($B1576,7)="SBA 26/",$C1576&lt;&gt;"",$F1576&lt;&gt;""),COUNTIFS($C$2:$C1576,$C1576,$B$2:$B1576,"SBA 26/*",$F$2:$F1576,"&lt;&gt;"),"")</f>
        <v/>
      </c>
      <c r="AB1576" s="29" t="str">
        <f>IF(AA1576=1,COUNTIF($AA$2:AA1576,1),"")</f>
        <v/>
      </c>
    </row>
    <row r="1577" spans="6:28" ht="31.5" customHeight="1" x14ac:dyDescent="0.2">
      <c r="F1577" s="45" t="s">
        <v>4253</v>
      </c>
      <c r="T1577" s="41"/>
      <c r="U1577" s="29" t="str">
        <f>IF($C1577&lt;&gt;"",COUNTIF($C$2:C1577,C1577),"")</f>
        <v/>
      </c>
      <c r="V1577" s="29" t="str">
        <f t="shared" si="80"/>
        <v/>
      </c>
      <c r="W1577" s="29" t="str">
        <f>IF(U1577=1,COUNTIF($U$2:U1577,1),"")</f>
        <v/>
      </c>
      <c r="X1577" s="29" t="str">
        <f t="shared" si="79"/>
        <v/>
      </c>
      <c r="Y1577" s="29" t="str">
        <f>IF(AND(LEFT($B1577,7)="SBA 26/",$D1577&lt;&gt;"",$F1577&lt;&gt;""),COUNTIFS($D$2:$D1577,$D1577,$B$2:$B1577,"SBA 26/*",$F$2:$F1577,"&lt;&gt;"),"")</f>
        <v/>
      </c>
      <c r="Z1577" s="29" t="str">
        <f>IF(Y1577=1,COUNTIF($Y$2:Y1577,1),"")</f>
        <v/>
      </c>
      <c r="AA1577" s="29" t="str">
        <f>IF(AND(LEFT($B1577,7)="SBA 26/",$C1577&lt;&gt;"",$F1577&lt;&gt;""),COUNTIFS($C$2:$C1577,$C1577,$B$2:$B1577,"SBA 26/*",$F$2:$F1577,"&lt;&gt;"),"")</f>
        <v/>
      </c>
      <c r="AB1577" s="29" t="str">
        <f>IF(AA1577=1,COUNTIF($AA$2:AA1577,1),"")</f>
        <v/>
      </c>
    </row>
    <row r="1578" spans="6:28" ht="63" customHeight="1" x14ac:dyDescent="0.2">
      <c r="F1578" s="45" t="s">
        <v>4254</v>
      </c>
      <c r="T1578" s="41"/>
      <c r="U1578" s="29" t="str">
        <f>IF($C1578&lt;&gt;"",COUNTIF($C$2:C1578,C1578),"")</f>
        <v/>
      </c>
      <c r="V1578" s="29" t="str">
        <f t="shared" si="80"/>
        <v/>
      </c>
      <c r="W1578" s="29" t="str">
        <f>IF(U1578=1,COUNTIF($U$2:U1578,1),"")</f>
        <v/>
      </c>
      <c r="X1578" s="29" t="str">
        <f t="shared" si="79"/>
        <v/>
      </c>
      <c r="Y1578" s="29" t="str">
        <f>IF(AND(LEFT($B1578,7)="SBA 26/",$D1578&lt;&gt;"",$F1578&lt;&gt;""),COUNTIFS($D$2:$D1578,$D1578,$B$2:$B1578,"SBA 26/*",$F$2:$F1578,"&lt;&gt;"),"")</f>
        <v/>
      </c>
      <c r="Z1578" s="29" t="str">
        <f>IF(Y1578=1,COUNTIF($Y$2:Y1578,1),"")</f>
        <v/>
      </c>
      <c r="AA1578" s="29" t="str">
        <f>IF(AND(LEFT($B1578,7)="SBA 26/",$C1578&lt;&gt;"",$F1578&lt;&gt;""),COUNTIFS($C$2:$C1578,$C1578,$B$2:$B1578,"SBA 26/*",$F$2:$F1578,"&lt;&gt;"),"")</f>
        <v/>
      </c>
      <c r="AB1578" s="29" t="str">
        <f>IF(AA1578=1,COUNTIF($AA$2:AA1578,1),"")</f>
        <v/>
      </c>
    </row>
    <row r="1579" spans="6:28" ht="78.75" customHeight="1" x14ac:dyDescent="0.2">
      <c r="F1579" s="45" t="s">
        <v>4255</v>
      </c>
      <c r="T1579" s="41"/>
      <c r="U1579" s="29" t="str">
        <f>IF($C1579&lt;&gt;"",COUNTIF($C$2:C1579,C1579),"")</f>
        <v/>
      </c>
      <c r="V1579" s="29" t="str">
        <f t="shared" si="80"/>
        <v/>
      </c>
      <c r="W1579" s="29" t="str">
        <f>IF(U1579=1,COUNTIF($U$2:U1579,1),"")</f>
        <v/>
      </c>
      <c r="X1579" s="29" t="str">
        <f t="shared" si="79"/>
        <v/>
      </c>
      <c r="Y1579" s="29" t="str">
        <f>IF(AND(LEFT($B1579,7)="SBA 26/",$D1579&lt;&gt;"",$F1579&lt;&gt;""),COUNTIFS($D$2:$D1579,$D1579,$B$2:$B1579,"SBA 26/*",$F$2:$F1579,"&lt;&gt;"),"")</f>
        <v/>
      </c>
      <c r="Z1579" s="29" t="str">
        <f>IF(Y1579=1,COUNTIF($Y$2:Y1579,1),"")</f>
        <v/>
      </c>
      <c r="AA1579" s="29" t="str">
        <f>IF(AND(LEFT($B1579,7)="SBA 26/",$C1579&lt;&gt;"",$F1579&lt;&gt;""),COUNTIFS($C$2:$C1579,$C1579,$B$2:$B1579,"SBA 26/*",$F$2:$F1579,"&lt;&gt;"),"")</f>
        <v/>
      </c>
      <c r="AB1579" s="29" t="str">
        <f>IF(AA1579=1,COUNTIF($AA$2:AA1579,1),"")</f>
        <v/>
      </c>
    </row>
    <row r="1580" spans="6:28" ht="47.25" customHeight="1" x14ac:dyDescent="0.2">
      <c r="F1580" s="45" t="s">
        <v>4256</v>
      </c>
      <c r="T1580" s="41"/>
      <c r="U1580" s="29" t="str">
        <f>IF($C1580&lt;&gt;"",COUNTIF($C$2:C1580,C1580),"")</f>
        <v/>
      </c>
      <c r="V1580" s="29" t="str">
        <f t="shared" si="80"/>
        <v/>
      </c>
      <c r="W1580" s="29" t="str">
        <f>IF(U1580=1,COUNTIF($U$2:U1580,1),"")</f>
        <v/>
      </c>
      <c r="X1580" s="29" t="str">
        <f t="shared" si="79"/>
        <v/>
      </c>
      <c r="Y1580" s="29" t="str">
        <f>IF(AND(LEFT($B1580,7)="SBA 26/",$D1580&lt;&gt;"",$F1580&lt;&gt;""),COUNTIFS($D$2:$D1580,$D1580,$B$2:$B1580,"SBA 26/*",$F$2:$F1580,"&lt;&gt;"),"")</f>
        <v/>
      </c>
      <c r="Z1580" s="29" t="str">
        <f>IF(Y1580=1,COUNTIF($Y$2:Y1580,1),"")</f>
        <v/>
      </c>
      <c r="AA1580" s="29" t="str">
        <f>IF(AND(LEFT($B1580,7)="SBA 26/",$C1580&lt;&gt;"",$F1580&lt;&gt;""),COUNTIFS($C$2:$C1580,$C1580,$B$2:$B1580,"SBA 26/*",$F$2:$F1580,"&lt;&gt;"),"")</f>
        <v/>
      </c>
      <c r="AB1580" s="29" t="str">
        <f>IF(AA1580=1,COUNTIF($AA$2:AA1580,1),"")</f>
        <v/>
      </c>
    </row>
    <row r="1581" spans="6:28" ht="31.5" customHeight="1" x14ac:dyDescent="0.2">
      <c r="F1581" s="45" t="s">
        <v>4257</v>
      </c>
      <c r="T1581" s="41"/>
      <c r="U1581" s="29" t="str">
        <f>IF($C1581&lt;&gt;"",COUNTIF($C$2:C1581,C1581),"")</f>
        <v/>
      </c>
      <c r="V1581" s="29" t="str">
        <f t="shared" si="80"/>
        <v/>
      </c>
      <c r="W1581" s="29" t="str">
        <f>IF(U1581=1,COUNTIF($U$2:U1581,1),"")</f>
        <v/>
      </c>
      <c r="X1581" s="29" t="str">
        <f t="shared" ref="X1581:X1644" si="81">IF(U1581=1,SUMPRODUCT(($U$2:$U$1833=1)*($C$2:$C$1833&lt;C1581))+1,"")</f>
        <v/>
      </c>
      <c r="Y1581" s="29" t="str">
        <f>IF(AND(LEFT($B1581,7)="SBA 26/",$D1581&lt;&gt;"",$F1581&lt;&gt;""),COUNTIFS($D$2:$D1581,$D1581,$B$2:$B1581,"SBA 26/*",$F$2:$F1581,"&lt;&gt;"),"")</f>
        <v/>
      </c>
      <c r="Z1581" s="29" t="str">
        <f>IF(Y1581=1,COUNTIF($Y$2:Y1581,1),"")</f>
        <v/>
      </c>
      <c r="AA1581" s="29" t="str">
        <f>IF(AND(LEFT($B1581,7)="SBA 26/",$C1581&lt;&gt;"",$F1581&lt;&gt;""),COUNTIFS($C$2:$C1581,$C1581,$B$2:$B1581,"SBA 26/*",$F$2:$F1581,"&lt;&gt;"),"")</f>
        <v/>
      </c>
      <c r="AB1581" s="29" t="str">
        <f>IF(AA1581=1,COUNTIF($AA$2:AA1581,1),"")</f>
        <v/>
      </c>
    </row>
    <row r="1582" spans="6:28" ht="63" customHeight="1" x14ac:dyDescent="0.2">
      <c r="F1582" s="45" t="s">
        <v>4258</v>
      </c>
      <c r="T1582" s="41"/>
      <c r="U1582" s="29" t="str">
        <f>IF($C1582&lt;&gt;"",COUNTIF($C$2:C1582,C1582),"")</f>
        <v/>
      </c>
      <c r="V1582" s="29" t="str">
        <f t="shared" si="80"/>
        <v/>
      </c>
      <c r="W1582" s="29" t="str">
        <f>IF(U1582=1,COUNTIF($U$2:U1582,1),"")</f>
        <v/>
      </c>
      <c r="X1582" s="29" t="str">
        <f t="shared" si="81"/>
        <v/>
      </c>
      <c r="Y1582" s="29" t="str">
        <f>IF(AND(LEFT($B1582,7)="SBA 26/",$D1582&lt;&gt;"",$F1582&lt;&gt;""),COUNTIFS($D$2:$D1582,$D1582,$B$2:$B1582,"SBA 26/*",$F$2:$F1582,"&lt;&gt;"),"")</f>
        <v/>
      </c>
      <c r="Z1582" s="29" t="str">
        <f>IF(Y1582=1,COUNTIF($Y$2:Y1582,1),"")</f>
        <v/>
      </c>
      <c r="AA1582" s="29" t="str">
        <f>IF(AND(LEFT($B1582,7)="SBA 26/",$C1582&lt;&gt;"",$F1582&lt;&gt;""),COUNTIFS($C$2:$C1582,$C1582,$B$2:$B1582,"SBA 26/*",$F$2:$F1582,"&lt;&gt;"),"")</f>
        <v/>
      </c>
      <c r="AB1582" s="29" t="str">
        <f>IF(AA1582=1,COUNTIF($AA$2:AA1582,1),"")</f>
        <v/>
      </c>
    </row>
    <row r="1583" spans="6:28" ht="47.25" customHeight="1" x14ac:dyDescent="0.2">
      <c r="F1583" s="45" t="s">
        <v>4259</v>
      </c>
      <c r="T1583" s="41"/>
      <c r="U1583" s="29" t="str">
        <f>IF($C1583&lt;&gt;"",COUNTIF($C$2:C1583,C1583),"")</f>
        <v/>
      </c>
      <c r="V1583" s="29" t="str">
        <f t="shared" si="80"/>
        <v/>
      </c>
      <c r="W1583" s="29" t="str">
        <f>IF(U1583=1,COUNTIF($U$2:U1583,1),"")</f>
        <v/>
      </c>
      <c r="X1583" s="29" t="str">
        <f t="shared" si="81"/>
        <v/>
      </c>
      <c r="Y1583" s="29" t="str">
        <f>IF(AND(LEFT($B1583,7)="SBA 26/",$D1583&lt;&gt;"",$F1583&lt;&gt;""),COUNTIFS($D$2:$D1583,$D1583,$B$2:$B1583,"SBA 26/*",$F$2:$F1583,"&lt;&gt;"),"")</f>
        <v/>
      </c>
      <c r="Z1583" s="29" t="str">
        <f>IF(Y1583=1,COUNTIF($Y$2:Y1583,1),"")</f>
        <v/>
      </c>
      <c r="AA1583" s="29" t="str">
        <f>IF(AND(LEFT($B1583,7)="SBA 26/",$C1583&lt;&gt;"",$F1583&lt;&gt;""),COUNTIFS($C$2:$C1583,$C1583,$B$2:$B1583,"SBA 26/*",$F$2:$F1583,"&lt;&gt;"),"")</f>
        <v/>
      </c>
      <c r="AB1583" s="29" t="str">
        <f>IF(AA1583=1,COUNTIF($AA$2:AA1583,1),"")</f>
        <v/>
      </c>
    </row>
    <row r="1584" spans="6:28" ht="63" customHeight="1" x14ac:dyDescent="0.2">
      <c r="F1584" s="45" t="s">
        <v>4260</v>
      </c>
      <c r="T1584" s="41"/>
      <c r="U1584" s="29" t="str">
        <f>IF($C1584&lt;&gt;"",COUNTIF($C$2:C1584,C1584),"")</f>
        <v/>
      </c>
      <c r="V1584" s="29" t="str">
        <f t="shared" si="80"/>
        <v/>
      </c>
      <c r="W1584" s="29" t="str">
        <f>IF(U1584=1,COUNTIF($U$2:U1584,1),"")</f>
        <v/>
      </c>
      <c r="X1584" s="29" t="str">
        <f t="shared" si="81"/>
        <v/>
      </c>
      <c r="Y1584" s="29" t="str">
        <f>IF(AND(LEFT($B1584,7)="SBA 26/",$D1584&lt;&gt;"",$F1584&lt;&gt;""),COUNTIFS($D$2:$D1584,$D1584,$B$2:$B1584,"SBA 26/*",$F$2:$F1584,"&lt;&gt;"),"")</f>
        <v/>
      </c>
      <c r="Z1584" s="29" t="str">
        <f>IF(Y1584=1,COUNTIF($Y$2:Y1584,1),"")</f>
        <v/>
      </c>
      <c r="AA1584" s="29" t="str">
        <f>IF(AND(LEFT($B1584,7)="SBA 26/",$C1584&lt;&gt;"",$F1584&lt;&gt;""),COUNTIFS($C$2:$C1584,$C1584,$B$2:$B1584,"SBA 26/*",$F$2:$F1584,"&lt;&gt;"),"")</f>
        <v/>
      </c>
      <c r="AB1584" s="29" t="str">
        <f>IF(AA1584=1,COUNTIF($AA$2:AA1584,1),"")</f>
        <v/>
      </c>
    </row>
    <row r="1585" spans="6:28" ht="31.5" customHeight="1" x14ac:dyDescent="0.2">
      <c r="F1585" s="45" t="s">
        <v>4261</v>
      </c>
      <c r="T1585" s="41"/>
      <c r="U1585" s="29" t="str">
        <f>IF($C1585&lt;&gt;"",COUNTIF($C$2:C1585,C1585),"")</f>
        <v/>
      </c>
      <c r="V1585" s="29" t="str">
        <f t="shared" si="80"/>
        <v/>
      </c>
      <c r="W1585" s="29" t="str">
        <f>IF(U1585=1,COUNTIF($U$2:U1585,1),"")</f>
        <v/>
      </c>
      <c r="X1585" s="29" t="str">
        <f t="shared" si="81"/>
        <v/>
      </c>
      <c r="Y1585" s="29" t="str">
        <f>IF(AND(LEFT($B1585,7)="SBA 26/",$D1585&lt;&gt;"",$F1585&lt;&gt;""),COUNTIFS($D$2:$D1585,$D1585,$B$2:$B1585,"SBA 26/*",$F$2:$F1585,"&lt;&gt;"),"")</f>
        <v/>
      </c>
      <c r="Z1585" s="29" t="str">
        <f>IF(Y1585=1,COUNTIF($Y$2:Y1585,1),"")</f>
        <v/>
      </c>
      <c r="AA1585" s="29" t="str">
        <f>IF(AND(LEFT($B1585,7)="SBA 26/",$C1585&lt;&gt;"",$F1585&lt;&gt;""),COUNTIFS($C$2:$C1585,$C1585,$B$2:$B1585,"SBA 26/*",$F$2:$F1585,"&lt;&gt;"),"")</f>
        <v/>
      </c>
      <c r="AB1585" s="29" t="str">
        <f>IF(AA1585=1,COUNTIF($AA$2:AA1585,1),"")</f>
        <v/>
      </c>
    </row>
    <row r="1586" spans="6:28" ht="31.5" customHeight="1" x14ac:dyDescent="0.2">
      <c r="F1586" s="45" t="s">
        <v>4262</v>
      </c>
      <c r="T1586" s="41"/>
      <c r="U1586" s="29" t="str">
        <f>IF($C1586&lt;&gt;"",COUNTIF($C$2:C1586,C1586),"")</f>
        <v/>
      </c>
      <c r="V1586" s="29" t="str">
        <f t="shared" si="80"/>
        <v/>
      </c>
      <c r="W1586" s="29" t="str">
        <f>IF(U1586=1,COUNTIF($U$2:U1586,1),"")</f>
        <v/>
      </c>
      <c r="X1586" s="29" t="str">
        <f t="shared" si="81"/>
        <v/>
      </c>
      <c r="Y1586" s="29" t="str">
        <f>IF(AND(LEFT($B1586,7)="SBA 26/",$D1586&lt;&gt;"",$F1586&lt;&gt;""),COUNTIFS($D$2:$D1586,$D1586,$B$2:$B1586,"SBA 26/*",$F$2:$F1586,"&lt;&gt;"),"")</f>
        <v/>
      </c>
      <c r="Z1586" s="29" t="str">
        <f>IF(Y1586=1,COUNTIF($Y$2:Y1586,1),"")</f>
        <v/>
      </c>
      <c r="AA1586" s="29" t="str">
        <f>IF(AND(LEFT($B1586,7)="SBA 26/",$C1586&lt;&gt;"",$F1586&lt;&gt;""),COUNTIFS($C$2:$C1586,$C1586,$B$2:$B1586,"SBA 26/*",$F$2:$F1586,"&lt;&gt;"),"")</f>
        <v/>
      </c>
      <c r="AB1586" s="29" t="str">
        <f>IF(AA1586=1,COUNTIF($AA$2:AA1586,1),"")</f>
        <v/>
      </c>
    </row>
    <row r="1587" spans="6:28" ht="47.25" customHeight="1" x14ac:dyDescent="0.2">
      <c r="F1587" s="45" t="s">
        <v>4263</v>
      </c>
      <c r="T1587" s="41"/>
      <c r="U1587" s="29" t="str">
        <f>IF($C1587&lt;&gt;"",COUNTIF($C$2:C1587,C1587),"")</f>
        <v/>
      </c>
      <c r="V1587" s="29" t="str">
        <f t="shared" si="80"/>
        <v/>
      </c>
      <c r="W1587" s="29" t="str">
        <f>IF(U1587=1,COUNTIF($U$2:U1587,1),"")</f>
        <v/>
      </c>
      <c r="X1587" s="29" t="str">
        <f t="shared" si="81"/>
        <v/>
      </c>
      <c r="Y1587" s="29" t="str">
        <f>IF(AND(LEFT($B1587,7)="SBA 26/",$D1587&lt;&gt;"",$F1587&lt;&gt;""),COUNTIFS($D$2:$D1587,$D1587,$B$2:$B1587,"SBA 26/*",$F$2:$F1587,"&lt;&gt;"),"")</f>
        <v/>
      </c>
      <c r="Z1587" s="29" t="str">
        <f>IF(Y1587=1,COUNTIF($Y$2:Y1587,1),"")</f>
        <v/>
      </c>
      <c r="AA1587" s="29" t="str">
        <f>IF(AND(LEFT($B1587,7)="SBA 26/",$C1587&lt;&gt;"",$F1587&lt;&gt;""),COUNTIFS($C$2:$C1587,$C1587,$B$2:$B1587,"SBA 26/*",$F$2:$F1587,"&lt;&gt;"),"")</f>
        <v/>
      </c>
      <c r="AB1587" s="29" t="str">
        <f>IF(AA1587=1,COUNTIF($AA$2:AA1587,1),"")</f>
        <v/>
      </c>
    </row>
    <row r="1588" spans="6:28" ht="47.25" customHeight="1" x14ac:dyDescent="0.2">
      <c r="F1588" s="45" t="s">
        <v>4264</v>
      </c>
      <c r="T1588" s="41"/>
      <c r="U1588" s="29" t="str">
        <f>IF($C1588&lt;&gt;"",COUNTIF($C$2:C1588,C1588),"")</f>
        <v/>
      </c>
      <c r="V1588" s="29" t="str">
        <f t="shared" si="80"/>
        <v/>
      </c>
      <c r="W1588" s="29" t="str">
        <f>IF(U1588=1,COUNTIF($U$2:U1588,1),"")</f>
        <v/>
      </c>
      <c r="X1588" s="29" t="str">
        <f t="shared" si="81"/>
        <v/>
      </c>
      <c r="Y1588" s="29" t="str">
        <f>IF(AND(LEFT($B1588,7)="SBA 26/",$D1588&lt;&gt;"",$F1588&lt;&gt;""),COUNTIFS($D$2:$D1588,$D1588,$B$2:$B1588,"SBA 26/*",$F$2:$F1588,"&lt;&gt;"),"")</f>
        <v/>
      </c>
      <c r="Z1588" s="29" t="str">
        <f>IF(Y1588=1,COUNTIF($Y$2:Y1588,1),"")</f>
        <v/>
      </c>
      <c r="AA1588" s="29" t="str">
        <f>IF(AND(LEFT($B1588,7)="SBA 26/",$C1588&lt;&gt;"",$F1588&lt;&gt;""),COUNTIFS($C$2:$C1588,$C1588,$B$2:$B1588,"SBA 26/*",$F$2:$F1588,"&lt;&gt;"),"")</f>
        <v/>
      </c>
      <c r="AB1588" s="29" t="str">
        <f>IF(AA1588=1,COUNTIF($AA$2:AA1588,1),"")</f>
        <v/>
      </c>
    </row>
    <row r="1589" spans="6:28" ht="63" customHeight="1" x14ac:dyDescent="0.2">
      <c r="F1589" s="45" t="s">
        <v>4265</v>
      </c>
      <c r="T1589" s="41"/>
      <c r="U1589" s="29" t="str">
        <f>IF($C1589&lt;&gt;"",COUNTIF($C$2:C1589,C1589),"")</f>
        <v/>
      </c>
      <c r="V1589" s="29" t="str">
        <f t="shared" si="80"/>
        <v/>
      </c>
      <c r="W1589" s="29" t="str">
        <f>IF(U1589=1,COUNTIF($U$2:U1589,1),"")</f>
        <v/>
      </c>
      <c r="X1589" s="29" t="str">
        <f t="shared" si="81"/>
        <v/>
      </c>
      <c r="Y1589" s="29" t="str">
        <f>IF(AND(LEFT($B1589,7)="SBA 26/",$D1589&lt;&gt;"",$F1589&lt;&gt;""),COUNTIFS($D$2:$D1589,$D1589,$B$2:$B1589,"SBA 26/*",$F$2:$F1589,"&lt;&gt;"),"")</f>
        <v/>
      </c>
      <c r="Z1589" s="29" t="str">
        <f>IF(Y1589=1,COUNTIF($Y$2:Y1589,1),"")</f>
        <v/>
      </c>
      <c r="AA1589" s="29" t="str">
        <f>IF(AND(LEFT($B1589,7)="SBA 26/",$C1589&lt;&gt;"",$F1589&lt;&gt;""),COUNTIFS($C$2:$C1589,$C1589,$B$2:$B1589,"SBA 26/*",$F$2:$F1589,"&lt;&gt;"),"")</f>
        <v/>
      </c>
      <c r="AB1589" s="29" t="str">
        <f>IF(AA1589=1,COUNTIF($AA$2:AA1589,1),"")</f>
        <v/>
      </c>
    </row>
    <row r="1590" spans="6:28" ht="31.5" customHeight="1" x14ac:dyDescent="0.2">
      <c r="F1590" s="45" t="s">
        <v>4266</v>
      </c>
      <c r="T1590" s="41"/>
      <c r="U1590" s="29" t="str">
        <f>IF($C1590&lt;&gt;"",COUNTIF($C$2:C1590,C1590),"")</f>
        <v/>
      </c>
      <c r="V1590" s="29" t="str">
        <f t="shared" si="80"/>
        <v/>
      </c>
      <c r="W1590" s="29" t="str">
        <f>IF(U1590=1,COUNTIF($U$2:U1590,1),"")</f>
        <v/>
      </c>
      <c r="X1590" s="29" t="str">
        <f t="shared" si="81"/>
        <v/>
      </c>
      <c r="Y1590" s="29" t="str">
        <f>IF(AND(LEFT($B1590,7)="SBA 26/",$D1590&lt;&gt;"",$F1590&lt;&gt;""),COUNTIFS($D$2:$D1590,$D1590,$B$2:$B1590,"SBA 26/*",$F$2:$F1590,"&lt;&gt;"),"")</f>
        <v/>
      </c>
      <c r="Z1590" s="29" t="str">
        <f>IF(Y1590=1,COUNTIF($Y$2:Y1590,1),"")</f>
        <v/>
      </c>
      <c r="AA1590" s="29" t="str">
        <f>IF(AND(LEFT($B1590,7)="SBA 26/",$C1590&lt;&gt;"",$F1590&lt;&gt;""),COUNTIFS($C$2:$C1590,$C1590,$B$2:$B1590,"SBA 26/*",$F$2:$F1590,"&lt;&gt;"),"")</f>
        <v/>
      </c>
      <c r="AB1590" s="29" t="str">
        <f>IF(AA1590=1,COUNTIF($AA$2:AA1590,1),"")</f>
        <v/>
      </c>
    </row>
    <row r="1591" spans="6:28" ht="47.25" customHeight="1" x14ac:dyDescent="0.2">
      <c r="F1591" s="45" t="s">
        <v>4267</v>
      </c>
      <c r="T1591" s="41"/>
      <c r="U1591" s="29" t="str">
        <f>IF($C1591&lt;&gt;"",COUNTIF($C$2:C1591,C1591),"")</f>
        <v/>
      </c>
      <c r="V1591" s="29" t="str">
        <f t="shared" si="80"/>
        <v/>
      </c>
      <c r="W1591" s="29" t="str">
        <f>IF(U1591=1,COUNTIF($U$2:U1591,1),"")</f>
        <v/>
      </c>
      <c r="X1591" s="29" t="str">
        <f t="shared" si="81"/>
        <v/>
      </c>
      <c r="Y1591" s="29" t="str">
        <f>IF(AND(LEFT($B1591,7)="SBA 26/",$D1591&lt;&gt;"",$F1591&lt;&gt;""),COUNTIFS($D$2:$D1591,$D1591,$B$2:$B1591,"SBA 26/*",$F$2:$F1591,"&lt;&gt;"),"")</f>
        <v/>
      </c>
      <c r="Z1591" s="29" t="str">
        <f>IF(Y1591=1,COUNTIF($Y$2:Y1591,1),"")</f>
        <v/>
      </c>
      <c r="AA1591" s="29" t="str">
        <f>IF(AND(LEFT($B1591,7)="SBA 26/",$C1591&lt;&gt;"",$F1591&lt;&gt;""),COUNTIFS($C$2:$C1591,$C1591,$B$2:$B1591,"SBA 26/*",$F$2:$F1591,"&lt;&gt;"),"")</f>
        <v/>
      </c>
      <c r="AB1591" s="29" t="str">
        <f>IF(AA1591=1,COUNTIF($AA$2:AA1591,1),"")</f>
        <v/>
      </c>
    </row>
    <row r="1592" spans="6:28" ht="31.5" customHeight="1" x14ac:dyDescent="0.2">
      <c r="F1592" s="45" t="s">
        <v>4268</v>
      </c>
      <c r="T1592" s="41"/>
      <c r="U1592" s="29" t="str">
        <f>IF($C1592&lt;&gt;"",COUNTIF($C$2:C1592,C1592),"")</f>
        <v/>
      </c>
      <c r="V1592" s="29" t="str">
        <f t="shared" si="80"/>
        <v/>
      </c>
      <c r="W1592" s="29" t="str">
        <f>IF(U1592=1,COUNTIF($U$2:U1592,1),"")</f>
        <v/>
      </c>
      <c r="X1592" s="29" t="str">
        <f t="shared" si="81"/>
        <v/>
      </c>
      <c r="Y1592" s="29" t="str">
        <f>IF(AND(LEFT($B1592,7)="SBA 26/",$D1592&lt;&gt;"",$F1592&lt;&gt;""),COUNTIFS($D$2:$D1592,$D1592,$B$2:$B1592,"SBA 26/*",$F$2:$F1592,"&lt;&gt;"),"")</f>
        <v/>
      </c>
      <c r="Z1592" s="29" t="str">
        <f>IF(Y1592=1,COUNTIF($Y$2:Y1592,1),"")</f>
        <v/>
      </c>
      <c r="AA1592" s="29" t="str">
        <f>IF(AND(LEFT($B1592,7)="SBA 26/",$C1592&lt;&gt;"",$F1592&lt;&gt;""),COUNTIFS($C$2:$C1592,$C1592,$B$2:$B1592,"SBA 26/*",$F$2:$F1592,"&lt;&gt;"),"")</f>
        <v/>
      </c>
      <c r="AB1592" s="29" t="str">
        <f>IF(AA1592=1,COUNTIF($AA$2:AA1592,1),"")</f>
        <v/>
      </c>
    </row>
    <row r="1593" spans="6:28" ht="63" customHeight="1" x14ac:dyDescent="0.2">
      <c r="F1593" s="45" t="s">
        <v>4269</v>
      </c>
      <c r="T1593" s="41"/>
      <c r="U1593" s="29" t="str">
        <f>IF($C1593&lt;&gt;"",COUNTIF($C$2:C1593,C1593),"")</f>
        <v/>
      </c>
      <c r="V1593" s="29" t="str">
        <f t="shared" si="80"/>
        <v/>
      </c>
      <c r="W1593" s="29" t="str">
        <f>IF(U1593=1,COUNTIF($U$2:U1593,1),"")</f>
        <v/>
      </c>
      <c r="X1593" s="29" t="str">
        <f t="shared" si="81"/>
        <v/>
      </c>
      <c r="Y1593" s="29" t="str">
        <f>IF(AND(LEFT($B1593,7)="SBA 26/",$D1593&lt;&gt;"",$F1593&lt;&gt;""),COUNTIFS($D$2:$D1593,$D1593,$B$2:$B1593,"SBA 26/*",$F$2:$F1593,"&lt;&gt;"),"")</f>
        <v/>
      </c>
      <c r="Z1593" s="29" t="str">
        <f>IF(Y1593=1,COUNTIF($Y$2:Y1593,1),"")</f>
        <v/>
      </c>
      <c r="AA1593" s="29" t="str">
        <f>IF(AND(LEFT($B1593,7)="SBA 26/",$C1593&lt;&gt;"",$F1593&lt;&gt;""),COUNTIFS($C$2:$C1593,$C1593,$B$2:$B1593,"SBA 26/*",$F$2:$F1593,"&lt;&gt;"),"")</f>
        <v/>
      </c>
      <c r="AB1593" s="29" t="str">
        <f>IF(AA1593=1,COUNTIF($AA$2:AA1593,1),"")</f>
        <v/>
      </c>
    </row>
    <row r="1594" spans="6:28" ht="47.25" customHeight="1" x14ac:dyDescent="0.2">
      <c r="F1594" s="45" t="s">
        <v>4270</v>
      </c>
      <c r="T1594" s="41"/>
      <c r="U1594" s="29" t="str">
        <f>IF($C1594&lt;&gt;"",COUNTIF($C$2:C1594,C1594),"")</f>
        <v/>
      </c>
      <c r="V1594" s="29" t="str">
        <f t="shared" si="80"/>
        <v/>
      </c>
      <c r="W1594" s="29" t="str">
        <f>IF(U1594=1,COUNTIF($U$2:U1594,1),"")</f>
        <v/>
      </c>
      <c r="X1594" s="29" t="str">
        <f t="shared" si="81"/>
        <v/>
      </c>
      <c r="Y1594" s="29" t="str">
        <f>IF(AND(LEFT($B1594,7)="SBA 26/",$D1594&lt;&gt;"",$F1594&lt;&gt;""),COUNTIFS($D$2:$D1594,$D1594,$B$2:$B1594,"SBA 26/*",$F$2:$F1594,"&lt;&gt;"),"")</f>
        <v/>
      </c>
      <c r="Z1594" s="29" t="str">
        <f>IF(Y1594=1,COUNTIF($Y$2:Y1594,1),"")</f>
        <v/>
      </c>
      <c r="AA1594" s="29" t="str">
        <f>IF(AND(LEFT($B1594,7)="SBA 26/",$C1594&lt;&gt;"",$F1594&lt;&gt;""),COUNTIFS($C$2:$C1594,$C1594,$B$2:$B1594,"SBA 26/*",$F$2:$F1594,"&lt;&gt;"),"")</f>
        <v/>
      </c>
      <c r="AB1594" s="29" t="str">
        <f>IF(AA1594=1,COUNTIF($AA$2:AA1594,1),"")</f>
        <v/>
      </c>
    </row>
    <row r="1595" spans="6:28" ht="63" customHeight="1" x14ac:dyDescent="0.2">
      <c r="F1595" s="45" t="s">
        <v>4271</v>
      </c>
      <c r="T1595" s="41"/>
      <c r="U1595" s="29" t="str">
        <f>IF($C1595&lt;&gt;"",COUNTIF($C$2:C1595,C1595),"")</f>
        <v/>
      </c>
      <c r="V1595" s="29" t="str">
        <f t="shared" si="80"/>
        <v/>
      </c>
      <c r="W1595" s="29" t="str">
        <f>IF(U1595=1,COUNTIF($U$2:U1595,1),"")</f>
        <v/>
      </c>
      <c r="X1595" s="29" t="str">
        <f t="shared" si="81"/>
        <v/>
      </c>
      <c r="Y1595" s="29" t="str">
        <f>IF(AND(LEFT($B1595,7)="SBA 26/",$D1595&lt;&gt;"",$F1595&lt;&gt;""),COUNTIFS($D$2:$D1595,$D1595,$B$2:$B1595,"SBA 26/*",$F$2:$F1595,"&lt;&gt;"),"")</f>
        <v/>
      </c>
      <c r="Z1595" s="29" t="str">
        <f>IF(Y1595=1,COUNTIF($Y$2:Y1595,1),"")</f>
        <v/>
      </c>
      <c r="AA1595" s="29" t="str">
        <f>IF(AND(LEFT($B1595,7)="SBA 26/",$C1595&lt;&gt;"",$F1595&lt;&gt;""),COUNTIFS($C$2:$C1595,$C1595,$B$2:$B1595,"SBA 26/*",$F$2:$F1595,"&lt;&gt;"),"")</f>
        <v/>
      </c>
      <c r="AB1595" s="29" t="str">
        <f>IF(AA1595=1,COUNTIF($AA$2:AA1595,1),"")</f>
        <v/>
      </c>
    </row>
    <row r="1596" spans="6:28" ht="31.5" customHeight="1" x14ac:dyDescent="0.2">
      <c r="F1596" s="45" t="s">
        <v>4272</v>
      </c>
      <c r="T1596" s="41"/>
      <c r="U1596" s="29" t="str">
        <f>IF($C1596&lt;&gt;"",COUNTIF($C$2:C1596,C1596),"")</f>
        <v/>
      </c>
      <c r="V1596" s="29" t="str">
        <f t="shared" si="80"/>
        <v/>
      </c>
      <c r="W1596" s="29" t="str">
        <f>IF(U1596=1,COUNTIF($U$2:U1596,1),"")</f>
        <v/>
      </c>
      <c r="X1596" s="29" t="str">
        <f t="shared" si="81"/>
        <v/>
      </c>
      <c r="Y1596" s="29" t="str">
        <f>IF(AND(LEFT($B1596,7)="SBA 26/",$D1596&lt;&gt;"",$F1596&lt;&gt;""),COUNTIFS($D$2:$D1596,$D1596,$B$2:$B1596,"SBA 26/*",$F$2:$F1596,"&lt;&gt;"),"")</f>
        <v/>
      </c>
      <c r="Z1596" s="29" t="str">
        <f>IF(Y1596=1,COUNTIF($Y$2:Y1596,1),"")</f>
        <v/>
      </c>
      <c r="AA1596" s="29" t="str">
        <f>IF(AND(LEFT($B1596,7)="SBA 26/",$C1596&lt;&gt;"",$F1596&lt;&gt;""),COUNTIFS($C$2:$C1596,$C1596,$B$2:$B1596,"SBA 26/*",$F$2:$F1596,"&lt;&gt;"),"")</f>
        <v/>
      </c>
      <c r="AB1596" s="29" t="str">
        <f>IF(AA1596=1,COUNTIF($AA$2:AA1596,1),"")</f>
        <v/>
      </c>
    </row>
    <row r="1597" spans="6:28" ht="31.5" customHeight="1" x14ac:dyDescent="0.2">
      <c r="F1597" s="45" t="s">
        <v>4273</v>
      </c>
      <c r="T1597" s="41"/>
      <c r="U1597" s="29" t="str">
        <f>IF($C1597&lt;&gt;"",COUNTIF($C$2:C1597,C1597),"")</f>
        <v/>
      </c>
      <c r="V1597" s="29" t="str">
        <f t="shared" si="80"/>
        <v/>
      </c>
      <c r="W1597" s="29" t="str">
        <f>IF(U1597=1,COUNTIF($U$2:U1597,1),"")</f>
        <v/>
      </c>
      <c r="X1597" s="29" t="str">
        <f t="shared" si="81"/>
        <v/>
      </c>
      <c r="Y1597" s="29" t="str">
        <f>IF(AND(LEFT($B1597,7)="SBA 26/",$D1597&lt;&gt;"",$F1597&lt;&gt;""),COUNTIFS($D$2:$D1597,$D1597,$B$2:$B1597,"SBA 26/*",$F$2:$F1597,"&lt;&gt;"),"")</f>
        <v/>
      </c>
      <c r="Z1597" s="29" t="str">
        <f>IF(Y1597=1,COUNTIF($Y$2:Y1597,1),"")</f>
        <v/>
      </c>
      <c r="AA1597" s="29" t="str">
        <f>IF(AND(LEFT($B1597,7)="SBA 26/",$C1597&lt;&gt;"",$F1597&lt;&gt;""),COUNTIFS($C$2:$C1597,$C1597,$B$2:$B1597,"SBA 26/*",$F$2:$F1597,"&lt;&gt;"),"")</f>
        <v/>
      </c>
      <c r="AB1597" s="29" t="str">
        <f>IF(AA1597=1,COUNTIF($AA$2:AA1597,1),"")</f>
        <v/>
      </c>
    </row>
    <row r="1598" spans="6:28" ht="63" customHeight="1" x14ac:dyDescent="0.2">
      <c r="F1598" s="45" t="s">
        <v>4274</v>
      </c>
      <c r="T1598" s="41"/>
      <c r="U1598" s="29" t="str">
        <f>IF($C1598&lt;&gt;"",COUNTIF($C$2:C1598,C1598),"")</f>
        <v/>
      </c>
      <c r="V1598" s="29" t="str">
        <f t="shared" si="80"/>
        <v/>
      </c>
      <c r="W1598" s="29" t="str">
        <f>IF(U1598=1,COUNTIF($U$2:U1598,1),"")</f>
        <v/>
      </c>
      <c r="X1598" s="29" t="str">
        <f t="shared" si="81"/>
        <v/>
      </c>
      <c r="Y1598" s="29" t="str">
        <f>IF(AND(LEFT($B1598,7)="SBA 26/",$D1598&lt;&gt;"",$F1598&lt;&gt;""),COUNTIFS($D$2:$D1598,$D1598,$B$2:$B1598,"SBA 26/*",$F$2:$F1598,"&lt;&gt;"),"")</f>
        <v/>
      </c>
      <c r="Z1598" s="29" t="str">
        <f>IF(Y1598=1,COUNTIF($Y$2:Y1598,1),"")</f>
        <v/>
      </c>
      <c r="AA1598" s="29" t="str">
        <f>IF(AND(LEFT($B1598,7)="SBA 26/",$C1598&lt;&gt;"",$F1598&lt;&gt;""),COUNTIFS($C$2:$C1598,$C1598,$B$2:$B1598,"SBA 26/*",$F$2:$F1598,"&lt;&gt;"),"")</f>
        <v/>
      </c>
      <c r="AB1598" s="29" t="str">
        <f>IF(AA1598=1,COUNTIF($AA$2:AA1598,1),"")</f>
        <v/>
      </c>
    </row>
    <row r="1599" spans="6:28" ht="31.5" customHeight="1" x14ac:dyDescent="0.2">
      <c r="F1599" s="45" t="s">
        <v>4275</v>
      </c>
      <c r="T1599" s="41"/>
      <c r="U1599" s="29" t="str">
        <f>IF($C1599&lt;&gt;"",COUNTIF($C$2:C1599,C1599),"")</f>
        <v/>
      </c>
      <c r="V1599" s="29" t="str">
        <f t="shared" si="80"/>
        <v/>
      </c>
      <c r="W1599" s="29" t="str">
        <f>IF(U1599=1,COUNTIF($U$2:U1599,1),"")</f>
        <v/>
      </c>
      <c r="X1599" s="29" t="str">
        <f t="shared" si="81"/>
        <v/>
      </c>
      <c r="Y1599" s="29" t="str">
        <f>IF(AND(LEFT($B1599,7)="SBA 26/",$D1599&lt;&gt;"",$F1599&lt;&gt;""),COUNTIFS($D$2:$D1599,$D1599,$B$2:$B1599,"SBA 26/*",$F$2:$F1599,"&lt;&gt;"),"")</f>
        <v/>
      </c>
      <c r="Z1599" s="29" t="str">
        <f>IF(Y1599=1,COUNTIF($Y$2:Y1599,1),"")</f>
        <v/>
      </c>
      <c r="AA1599" s="29" t="str">
        <f>IF(AND(LEFT($B1599,7)="SBA 26/",$C1599&lt;&gt;"",$F1599&lt;&gt;""),COUNTIFS($C$2:$C1599,$C1599,$B$2:$B1599,"SBA 26/*",$F$2:$F1599,"&lt;&gt;"),"")</f>
        <v/>
      </c>
      <c r="AB1599" s="29" t="str">
        <f>IF(AA1599=1,COUNTIF($AA$2:AA1599,1),"")</f>
        <v/>
      </c>
    </row>
    <row r="1600" spans="6:28" ht="47.25" customHeight="1" x14ac:dyDescent="0.2">
      <c r="F1600" s="45" t="s">
        <v>4276</v>
      </c>
      <c r="T1600" s="41"/>
      <c r="U1600" s="29" t="str">
        <f>IF($C1600&lt;&gt;"",COUNTIF($C$2:C1600,C1600),"")</f>
        <v/>
      </c>
      <c r="V1600" s="29" t="str">
        <f t="shared" si="80"/>
        <v/>
      </c>
      <c r="W1600" s="29" t="str">
        <f>IF(U1600=1,COUNTIF($U$2:U1600,1),"")</f>
        <v/>
      </c>
      <c r="X1600" s="29" t="str">
        <f t="shared" si="81"/>
        <v/>
      </c>
      <c r="Y1600" s="29" t="str">
        <f>IF(AND(LEFT($B1600,7)="SBA 26/",$D1600&lt;&gt;"",$F1600&lt;&gt;""),COUNTIFS($D$2:$D1600,$D1600,$B$2:$B1600,"SBA 26/*",$F$2:$F1600,"&lt;&gt;"),"")</f>
        <v/>
      </c>
      <c r="Z1600" s="29" t="str">
        <f>IF(Y1600=1,COUNTIF($Y$2:Y1600,1),"")</f>
        <v/>
      </c>
      <c r="AA1600" s="29" t="str">
        <f>IF(AND(LEFT($B1600,7)="SBA 26/",$C1600&lt;&gt;"",$F1600&lt;&gt;""),COUNTIFS($C$2:$C1600,$C1600,$B$2:$B1600,"SBA 26/*",$F$2:$F1600,"&lt;&gt;"),"")</f>
        <v/>
      </c>
      <c r="AB1600" s="29" t="str">
        <f>IF(AA1600=1,COUNTIF($AA$2:AA1600,1),"")</f>
        <v/>
      </c>
    </row>
    <row r="1601" spans="6:28" ht="31.5" customHeight="1" x14ac:dyDescent="0.2">
      <c r="F1601" s="45" t="s">
        <v>4277</v>
      </c>
      <c r="T1601" s="41"/>
      <c r="U1601" s="29" t="str">
        <f>IF($C1601&lt;&gt;"",COUNTIF($C$2:C1601,C1601),"")</f>
        <v/>
      </c>
      <c r="V1601" s="29" t="str">
        <f t="shared" si="80"/>
        <v/>
      </c>
      <c r="W1601" s="29" t="str">
        <f>IF(U1601=1,COUNTIF($U$2:U1601,1),"")</f>
        <v/>
      </c>
      <c r="X1601" s="29" t="str">
        <f t="shared" si="81"/>
        <v/>
      </c>
      <c r="Y1601" s="29" t="str">
        <f>IF(AND(LEFT($B1601,7)="SBA 26/",$D1601&lt;&gt;"",$F1601&lt;&gt;""),COUNTIFS($D$2:$D1601,$D1601,$B$2:$B1601,"SBA 26/*",$F$2:$F1601,"&lt;&gt;"),"")</f>
        <v/>
      </c>
      <c r="Z1601" s="29" t="str">
        <f>IF(Y1601=1,COUNTIF($Y$2:Y1601,1),"")</f>
        <v/>
      </c>
      <c r="AA1601" s="29" t="str">
        <f>IF(AND(LEFT($B1601,7)="SBA 26/",$C1601&lt;&gt;"",$F1601&lt;&gt;""),COUNTIFS($C$2:$C1601,$C1601,$B$2:$B1601,"SBA 26/*",$F$2:$F1601,"&lt;&gt;"),"")</f>
        <v/>
      </c>
      <c r="AB1601" s="29" t="str">
        <f>IF(AA1601=1,COUNTIF($AA$2:AA1601,1),"")</f>
        <v/>
      </c>
    </row>
    <row r="1602" spans="6:28" ht="31.5" customHeight="1" x14ac:dyDescent="0.2">
      <c r="F1602" s="45" t="s">
        <v>4278</v>
      </c>
      <c r="T1602" s="41"/>
      <c r="U1602" s="29" t="str">
        <f>IF($C1602&lt;&gt;"",COUNTIF($C$2:C1602,C1602),"")</f>
        <v/>
      </c>
      <c r="V1602" s="29" t="str">
        <f t="shared" ref="V1602:V1665" si="82">IF($C1602&lt;&gt;"",C1602&amp;"§"&amp;U1602,"")</f>
        <v/>
      </c>
      <c r="W1602" s="29" t="str">
        <f>IF(U1602=1,COUNTIF($U$2:U1602,1),"")</f>
        <v/>
      </c>
      <c r="X1602" s="29" t="str">
        <f t="shared" si="81"/>
        <v/>
      </c>
      <c r="Y1602" s="29" t="str">
        <f>IF(AND(LEFT($B1602,7)="SBA 26/",$D1602&lt;&gt;"",$F1602&lt;&gt;""),COUNTIFS($D$2:$D1602,$D1602,$B$2:$B1602,"SBA 26/*",$F$2:$F1602,"&lt;&gt;"),"")</f>
        <v/>
      </c>
      <c r="Z1602" s="29" t="str">
        <f>IF(Y1602=1,COUNTIF($Y$2:Y1602,1),"")</f>
        <v/>
      </c>
      <c r="AA1602" s="29" t="str">
        <f>IF(AND(LEFT($B1602,7)="SBA 26/",$C1602&lt;&gt;"",$F1602&lt;&gt;""),COUNTIFS($C$2:$C1602,$C1602,$B$2:$B1602,"SBA 26/*",$F$2:$F1602,"&lt;&gt;"),"")</f>
        <v/>
      </c>
      <c r="AB1602" s="29" t="str">
        <f>IF(AA1602=1,COUNTIF($AA$2:AA1602,1),"")</f>
        <v/>
      </c>
    </row>
    <row r="1603" spans="6:28" ht="47.25" customHeight="1" x14ac:dyDescent="0.2">
      <c r="F1603" s="45" t="s">
        <v>4279</v>
      </c>
      <c r="T1603" s="41"/>
      <c r="U1603" s="29" t="str">
        <f>IF($C1603&lt;&gt;"",COUNTIF($C$2:C1603,C1603),"")</f>
        <v/>
      </c>
      <c r="V1603" s="29" t="str">
        <f t="shared" si="82"/>
        <v/>
      </c>
      <c r="W1603" s="29" t="str">
        <f>IF(U1603=1,COUNTIF($U$2:U1603,1),"")</f>
        <v/>
      </c>
      <c r="X1603" s="29" t="str">
        <f t="shared" si="81"/>
        <v/>
      </c>
      <c r="Y1603" s="29" t="str">
        <f>IF(AND(LEFT($B1603,7)="SBA 26/",$D1603&lt;&gt;"",$F1603&lt;&gt;""),COUNTIFS($D$2:$D1603,$D1603,$B$2:$B1603,"SBA 26/*",$F$2:$F1603,"&lt;&gt;"),"")</f>
        <v/>
      </c>
      <c r="Z1603" s="29" t="str">
        <f>IF(Y1603=1,COUNTIF($Y$2:Y1603,1),"")</f>
        <v/>
      </c>
      <c r="AA1603" s="29" t="str">
        <f>IF(AND(LEFT($B1603,7)="SBA 26/",$C1603&lt;&gt;"",$F1603&lt;&gt;""),COUNTIFS($C$2:$C1603,$C1603,$B$2:$B1603,"SBA 26/*",$F$2:$F1603,"&lt;&gt;"),"")</f>
        <v/>
      </c>
      <c r="AB1603" s="29" t="str">
        <f>IF(AA1603=1,COUNTIF($AA$2:AA1603,1),"")</f>
        <v/>
      </c>
    </row>
    <row r="1604" spans="6:28" ht="31.5" customHeight="1" x14ac:dyDescent="0.2">
      <c r="F1604" s="45" t="s">
        <v>4280</v>
      </c>
      <c r="T1604" s="41"/>
      <c r="U1604" s="29" t="str">
        <f>IF($C1604&lt;&gt;"",COUNTIF($C$2:C1604,C1604),"")</f>
        <v/>
      </c>
      <c r="V1604" s="29" t="str">
        <f t="shared" si="82"/>
        <v/>
      </c>
      <c r="W1604" s="29" t="str">
        <f>IF(U1604=1,COUNTIF($U$2:U1604,1),"")</f>
        <v/>
      </c>
      <c r="X1604" s="29" t="str">
        <f t="shared" si="81"/>
        <v/>
      </c>
      <c r="Y1604" s="29" t="str">
        <f>IF(AND(LEFT($B1604,7)="SBA 26/",$D1604&lt;&gt;"",$F1604&lt;&gt;""),COUNTIFS($D$2:$D1604,$D1604,$B$2:$B1604,"SBA 26/*",$F$2:$F1604,"&lt;&gt;"),"")</f>
        <v/>
      </c>
      <c r="Z1604" s="29" t="str">
        <f>IF(Y1604=1,COUNTIF($Y$2:Y1604,1),"")</f>
        <v/>
      </c>
      <c r="AA1604" s="29" t="str">
        <f>IF(AND(LEFT($B1604,7)="SBA 26/",$C1604&lt;&gt;"",$F1604&lt;&gt;""),COUNTIFS($C$2:$C1604,$C1604,$B$2:$B1604,"SBA 26/*",$F$2:$F1604,"&lt;&gt;"),"")</f>
        <v/>
      </c>
      <c r="AB1604" s="29" t="str">
        <f>IF(AA1604=1,COUNTIF($AA$2:AA1604,1),"")</f>
        <v/>
      </c>
    </row>
    <row r="1605" spans="6:28" ht="63" customHeight="1" x14ac:dyDescent="0.2">
      <c r="F1605" s="45" t="s">
        <v>4281</v>
      </c>
      <c r="T1605" s="41"/>
      <c r="U1605" s="29" t="str">
        <f>IF($C1605&lt;&gt;"",COUNTIF($C$2:C1605,C1605),"")</f>
        <v/>
      </c>
      <c r="V1605" s="29" t="str">
        <f t="shared" si="82"/>
        <v/>
      </c>
      <c r="W1605" s="29" t="str">
        <f>IF(U1605=1,COUNTIF($U$2:U1605,1),"")</f>
        <v/>
      </c>
      <c r="X1605" s="29" t="str">
        <f t="shared" si="81"/>
        <v/>
      </c>
      <c r="Y1605" s="29" t="str">
        <f>IF(AND(LEFT($B1605,7)="SBA 26/",$D1605&lt;&gt;"",$F1605&lt;&gt;""),COUNTIFS($D$2:$D1605,$D1605,$B$2:$B1605,"SBA 26/*",$F$2:$F1605,"&lt;&gt;"),"")</f>
        <v/>
      </c>
      <c r="Z1605" s="29" t="str">
        <f>IF(Y1605=1,COUNTIF($Y$2:Y1605,1),"")</f>
        <v/>
      </c>
      <c r="AA1605" s="29" t="str">
        <f>IF(AND(LEFT($B1605,7)="SBA 26/",$C1605&lt;&gt;"",$F1605&lt;&gt;""),COUNTIFS($C$2:$C1605,$C1605,$B$2:$B1605,"SBA 26/*",$F$2:$F1605,"&lt;&gt;"),"")</f>
        <v/>
      </c>
      <c r="AB1605" s="29" t="str">
        <f>IF(AA1605=1,COUNTIF($AA$2:AA1605,1),"")</f>
        <v/>
      </c>
    </row>
    <row r="1606" spans="6:28" ht="31.5" customHeight="1" x14ac:dyDescent="0.2">
      <c r="F1606" s="45" t="s">
        <v>4282</v>
      </c>
      <c r="T1606" s="41"/>
      <c r="U1606" s="29" t="str">
        <f>IF($C1606&lt;&gt;"",COUNTIF($C$2:C1606,C1606),"")</f>
        <v/>
      </c>
      <c r="V1606" s="29" t="str">
        <f t="shared" si="82"/>
        <v/>
      </c>
      <c r="W1606" s="29" t="str">
        <f>IF(U1606=1,COUNTIF($U$2:U1606,1),"")</f>
        <v/>
      </c>
      <c r="X1606" s="29" t="str">
        <f t="shared" si="81"/>
        <v/>
      </c>
      <c r="Y1606" s="29" t="str">
        <f>IF(AND(LEFT($B1606,7)="SBA 26/",$D1606&lt;&gt;"",$F1606&lt;&gt;""),COUNTIFS($D$2:$D1606,$D1606,$B$2:$B1606,"SBA 26/*",$F$2:$F1606,"&lt;&gt;"),"")</f>
        <v/>
      </c>
      <c r="Z1606" s="29" t="str">
        <f>IF(Y1606=1,COUNTIF($Y$2:Y1606,1),"")</f>
        <v/>
      </c>
      <c r="AA1606" s="29" t="str">
        <f>IF(AND(LEFT($B1606,7)="SBA 26/",$C1606&lt;&gt;"",$F1606&lt;&gt;""),COUNTIFS($C$2:$C1606,$C1606,$B$2:$B1606,"SBA 26/*",$F$2:$F1606,"&lt;&gt;"),"")</f>
        <v/>
      </c>
      <c r="AB1606" s="29" t="str">
        <f>IF(AA1606=1,COUNTIF($AA$2:AA1606,1),"")</f>
        <v/>
      </c>
    </row>
    <row r="1607" spans="6:28" ht="31.5" customHeight="1" x14ac:dyDescent="0.2">
      <c r="F1607" s="45" t="s">
        <v>4283</v>
      </c>
      <c r="T1607" s="41"/>
      <c r="U1607" s="29" t="str">
        <f>IF($C1607&lt;&gt;"",COUNTIF($C$2:C1607,C1607),"")</f>
        <v/>
      </c>
      <c r="V1607" s="29" t="str">
        <f t="shared" si="82"/>
        <v/>
      </c>
      <c r="W1607" s="29" t="str">
        <f>IF(U1607=1,COUNTIF($U$2:U1607,1),"")</f>
        <v/>
      </c>
      <c r="X1607" s="29" t="str">
        <f t="shared" si="81"/>
        <v/>
      </c>
      <c r="Y1607" s="29" t="str">
        <f>IF(AND(LEFT($B1607,7)="SBA 26/",$D1607&lt;&gt;"",$F1607&lt;&gt;""),COUNTIFS($D$2:$D1607,$D1607,$B$2:$B1607,"SBA 26/*",$F$2:$F1607,"&lt;&gt;"),"")</f>
        <v/>
      </c>
      <c r="Z1607" s="29" t="str">
        <f>IF(Y1607=1,COUNTIF($Y$2:Y1607,1),"")</f>
        <v/>
      </c>
      <c r="AA1607" s="29" t="str">
        <f>IF(AND(LEFT($B1607,7)="SBA 26/",$C1607&lt;&gt;"",$F1607&lt;&gt;""),COUNTIFS($C$2:$C1607,$C1607,$B$2:$B1607,"SBA 26/*",$F$2:$F1607,"&lt;&gt;"),"")</f>
        <v/>
      </c>
      <c r="AB1607" s="29" t="str">
        <f>IF(AA1607=1,COUNTIF($AA$2:AA1607,1),"")</f>
        <v/>
      </c>
    </row>
    <row r="1608" spans="6:28" ht="47.25" customHeight="1" x14ac:dyDescent="0.2">
      <c r="F1608" s="45" t="s">
        <v>4284</v>
      </c>
      <c r="T1608" s="41"/>
      <c r="U1608" s="29" t="str">
        <f>IF($C1608&lt;&gt;"",COUNTIF($C$2:C1608,C1608),"")</f>
        <v/>
      </c>
      <c r="V1608" s="29" t="str">
        <f t="shared" si="82"/>
        <v/>
      </c>
      <c r="W1608" s="29" t="str">
        <f>IF(U1608=1,COUNTIF($U$2:U1608,1),"")</f>
        <v/>
      </c>
      <c r="X1608" s="29" t="str">
        <f t="shared" si="81"/>
        <v/>
      </c>
      <c r="Y1608" s="29" t="str">
        <f>IF(AND(LEFT($B1608,7)="SBA 26/",$D1608&lt;&gt;"",$F1608&lt;&gt;""),COUNTIFS($D$2:$D1608,$D1608,$B$2:$B1608,"SBA 26/*",$F$2:$F1608,"&lt;&gt;"),"")</f>
        <v/>
      </c>
      <c r="Z1608" s="29" t="str">
        <f>IF(Y1608=1,COUNTIF($Y$2:Y1608,1),"")</f>
        <v/>
      </c>
      <c r="AA1608" s="29" t="str">
        <f>IF(AND(LEFT($B1608,7)="SBA 26/",$C1608&lt;&gt;"",$F1608&lt;&gt;""),COUNTIFS($C$2:$C1608,$C1608,$B$2:$B1608,"SBA 26/*",$F$2:$F1608,"&lt;&gt;"),"")</f>
        <v/>
      </c>
      <c r="AB1608" s="29" t="str">
        <f>IF(AA1608=1,COUNTIF($AA$2:AA1608,1),"")</f>
        <v/>
      </c>
    </row>
    <row r="1609" spans="6:28" ht="63" customHeight="1" x14ac:dyDescent="0.2">
      <c r="F1609" s="45" t="s">
        <v>4285</v>
      </c>
      <c r="T1609" s="41"/>
      <c r="U1609" s="29" t="str">
        <f>IF($C1609&lt;&gt;"",COUNTIF($C$2:C1609,C1609),"")</f>
        <v/>
      </c>
      <c r="V1609" s="29" t="str">
        <f t="shared" si="82"/>
        <v/>
      </c>
      <c r="W1609" s="29" t="str">
        <f>IF(U1609=1,COUNTIF($U$2:U1609,1),"")</f>
        <v/>
      </c>
      <c r="X1609" s="29" t="str">
        <f t="shared" si="81"/>
        <v/>
      </c>
      <c r="Y1609" s="29" t="str">
        <f>IF(AND(LEFT($B1609,7)="SBA 26/",$D1609&lt;&gt;"",$F1609&lt;&gt;""),COUNTIFS($D$2:$D1609,$D1609,$B$2:$B1609,"SBA 26/*",$F$2:$F1609,"&lt;&gt;"),"")</f>
        <v/>
      </c>
      <c r="Z1609" s="29" t="str">
        <f>IF(Y1609=1,COUNTIF($Y$2:Y1609,1),"")</f>
        <v/>
      </c>
      <c r="AA1609" s="29" t="str">
        <f>IF(AND(LEFT($B1609,7)="SBA 26/",$C1609&lt;&gt;"",$F1609&lt;&gt;""),COUNTIFS($C$2:$C1609,$C1609,$B$2:$B1609,"SBA 26/*",$F$2:$F1609,"&lt;&gt;"),"")</f>
        <v/>
      </c>
      <c r="AB1609" s="29" t="str">
        <f>IF(AA1609=1,COUNTIF($AA$2:AA1609,1),"")</f>
        <v/>
      </c>
    </row>
    <row r="1610" spans="6:28" ht="31.5" customHeight="1" x14ac:dyDescent="0.2">
      <c r="F1610" s="45" t="s">
        <v>4286</v>
      </c>
      <c r="T1610" s="41"/>
      <c r="U1610" s="29" t="str">
        <f>IF($C1610&lt;&gt;"",COUNTIF($C$2:C1610,C1610),"")</f>
        <v/>
      </c>
      <c r="V1610" s="29" t="str">
        <f t="shared" si="82"/>
        <v/>
      </c>
      <c r="W1610" s="29" t="str">
        <f>IF(U1610=1,COUNTIF($U$2:U1610,1),"")</f>
        <v/>
      </c>
      <c r="X1610" s="29" t="str">
        <f t="shared" si="81"/>
        <v/>
      </c>
      <c r="Y1610" s="29" t="str">
        <f>IF(AND(LEFT($B1610,7)="SBA 26/",$D1610&lt;&gt;"",$F1610&lt;&gt;""),COUNTIFS($D$2:$D1610,$D1610,$B$2:$B1610,"SBA 26/*",$F$2:$F1610,"&lt;&gt;"),"")</f>
        <v/>
      </c>
      <c r="Z1610" s="29" t="str">
        <f>IF(Y1610=1,COUNTIF($Y$2:Y1610,1),"")</f>
        <v/>
      </c>
      <c r="AA1610" s="29" t="str">
        <f>IF(AND(LEFT($B1610,7)="SBA 26/",$C1610&lt;&gt;"",$F1610&lt;&gt;""),COUNTIFS($C$2:$C1610,$C1610,$B$2:$B1610,"SBA 26/*",$F$2:$F1610,"&lt;&gt;"),"")</f>
        <v/>
      </c>
      <c r="AB1610" s="29" t="str">
        <f>IF(AA1610=1,COUNTIF($AA$2:AA1610,1),"")</f>
        <v/>
      </c>
    </row>
    <row r="1611" spans="6:28" ht="47.25" customHeight="1" x14ac:dyDescent="0.2">
      <c r="F1611" s="45" t="s">
        <v>4287</v>
      </c>
      <c r="T1611" s="41"/>
      <c r="U1611" s="29" t="str">
        <f>IF($C1611&lt;&gt;"",COUNTIF($C$2:C1611,C1611),"")</f>
        <v/>
      </c>
      <c r="V1611" s="29" t="str">
        <f t="shared" si="82"/>
        <v/>
      </c>
      <c r="W1611" s="29" t="str">
        <f>IF(U1611=1,COUNTIF($U$2:U1611,1),"")</f>
        <v/>
      </c>
      <c r="X1611" s="29" t="str">
        <f t="shared" si="81"/>
        <v/>
      </c>
      <c r="Y1611" s="29" t="str">
        <f>IF(AND(LEFT($B1611,7)="SBA 26/",$D1611&lt;&gt;"",$F1611&lt;&gt;""),COUNTIFS($D$2:$D1611,$D1611,$B$2:$B1611,"SBA 26/*",$F$2:$F1611,"&lt;&gt;"),"")</f>
        <v/>
      </c>
      <c r="Z1611" s="29" t="str">
        <f>IF(Y1611=1,COUNTIF($Y$2:Y1611,1),"")</f>
        <v/>
      </c>
      <c r="AA1611" s="29" t="str">
        <f>IF(AND(LEFT($B1611,7)="SBA 26/",$C1611&lt;&gt;"",$F1611&lt;&gt;""),COUNTIFS($C$2:$C1611,$C1611,$B$2:$B1611,"SBA 26/*",$F$2:$F1611,"&lt;&gt;"),"")</f>
        <v/>
      </c>
      <c r="AB1611" s="29" t="str">
        <f>IF(AA1611=1,COUNTIF($AA$2:AA1611,1),"")</f>
        <v/>
      </c>
    </row>
    <row r="1612" spans="6:28" ht="47.25" customHeight="1" x14ac:dyDescent="0.2">
      <c r="F1612" s="45" t="s">
        <v>4288</v>
      </c>
      <c r="T1612" s="41"/>
      <c r="U1612" s="29" t="str">
        <f>IF($C1612&lt;&gt;"",COUNTIF($C$2:C1612,C1612),"")</f>
        <v/>
      </c>
      <c r="V1612" s="29" t="str">
        <f t="shared" si="82"/>
        <v/>
      </c>
      <c r="W1612" s="29" t="str">
        <f>IF(U1612=1,COUNTIF($U$2:U1612,1),"")</f>
        <v/>
      </c>
      <c r="X1612" s="29" t="str">
        <f t="shared" si="81"/>
        <v/>
      </c>
      <c r="Y1612" s="29" t="str">
        <f>IF(AND(LEFT($B1612,7)="SBA 26/",$D1612&lt;&gt;"",$F1612&lt;&gt;""),COUNTIFS($D$2:$D1612,$D1612,$B$2:$B1612,"SBA 26/*",$F$2:$F1612,"&lt;&gt;"),"")</f>
        <v/>
      </c>
      <c r="Z1612" s="29" t="str">
        <f>IF(Y1612=1,COUNTIF($Y$2:Y1612,1),"")</f>
        <v/>
      </c>
      <c r="AA1612" s="29" t="str">
        <f>IF(AND(LEFT($B1612,7)="SBA 26/",$C1612&lt;&gt;"",$F1612&lt;&gt;""),COUNTIFS($C$2:$C1612,$C1612,$B$2:$B1612,"SBA 26/*",$F$2:$F1612,"&lt;&gt;"),"")</f>
        <v/>
      </c>
      <c r="AB1612" s="29" t="str">
        <f>IF(AA1612=1,COUNTIF($AA$2:AA1612,1),"")</f>
        <v/>
      </c>
    </row>
    <row r="1613" spans="6:28" ht="31.5" customHeight="1" x14ac:dyDescent="0.2">
      <c r="F1613" s="45" t="s">
        <v>4289</v>
      </c>
      <c r="T1613" s="41"/>
      <c r="U1613" s="29" t="str">
        <f>IF($C1613&lt;&gt;"",COUNTIF($C$2:C1613,C1613),"")</f>
        <v/>
      </c>
      <c r="V1613" s="29" t="str">
        <f t="shared" si="82"/>
        <v/>
      </c>
      <c r="W1613" s="29" t="str">
        <f>IF(U1613=1,COUNTIF($U$2:U1613,1),"")</f>
        <v/>
      </c>
      <c r="X1613" s="29" t="str">
        <f t="shared" si="81"/>
        <v/>
      </c>
      <c r="Y1613" s="29" t="str">
        <f>IF(AND(LEFT($B1613,7)="SBA 26/",$D1613&lt;&gt;"",$F1613&lt;&gt;""),COUNTIFS($D$2:$D1613,$D1613,$B$2:$B1613,"SBA 26/*",$F$2:$F1613,"&lt;&gt;"),"")</f>
        <v/>
      </c>
      <c r="Z1613" s="29" t="str">
        <f>IF(Y1613=1,COUNTIF($Y$2:Y1613,1),"")</f>
        <v/>
      </c>
      <c r="AA1613" s="29" t="str">
        <f>IF(AND(LEFT($B1613,7)="SBA 26/",$C1613&lt;&gt;"",$F1613&lt;&gt;""),COUNTIFS($C$2:$C1613,$C1613,$B$2:$B1613,"SBA 26/*",$F$2:$F1613,"&lt;&gt;"),"")</f>
        <v/>
      </c>
      <c r="AB1613" s="29" t="str">
        <f>IF(AA1613=1,COUNTIF($AA$2:AA1613,1),"")</f>
        <v/>
      </c>
    </row>
    <row r="1614" spans="6:28" ht="47.25" customHeight="1" x14ac:dyDescent="0.2">
      <c r="F1614" s="45" t="s">
        <v>4290</v>
      </c>
      <c r="T1614" s="41"/>
      <c r="U1614" s="29" t="str">
        <f>IF($C1614&lt;&gt;"",COUNTIF($C$2:C1614,C1614),"")</f>
        <v/>
      </c>
      <c r="V1614" s="29" t="str">
        <f t="shared" si="82"/>
        <v/>
      </c>
      <c r="W1614" s="29" t="str">
        <f>IF(U1614=1,COUNTIF($U$2:U1614,1),"")</f>
        <v/>
      </c>
      <c r="X1614" s="29" t="str">
        <f t="shared" si="81"/>
        <v/>
      </c>
      <c r="Y1614" s="29" t="str">
        <f>IF(AND(LEFT($B1614,7)="SBA 26/",$D1614&lt;&gt;"",$F1614&lt;&gt;""),COUNTIFS($D$2:$D1614,$D1614,$B$2:$B1614,"SBA 26/*",$F$2:$F1614,"&lt;&gt;"),"")</f>
        <v/>
      </c>
      <c r="Z1614" s="29" t="str">
        <f>IF(Y1614=1,COUNTIF($Y$2:Y1614,1),"")</f>
        <v/>
      </c>
      <c r="AA1614" s="29" t="str">
        <f>IF(AND(LEFT($B1614,7)="SBA 26/",$C1614&lt;&gt;"",$F1614&lt;&gt;""),COUNTIFS($C$2:$C1614,$C1614,$B$2:$B1614,"SBA 26/*",$F$2:$F1614,"&lt;&gt;"),"")</f>
        <v/>
      </c>
      <c r="AB1614" s="29" t="str">
        <f>IF(AA1614=1,COUNTIF($AA$2:AA1614,1),"")</f>
        <v/>
      </c>
    </row>
    <row r="1615" spans="6:28" ht="47.25" customHeight="1" x14ac:dyDescent="0.2">
      <c r="F1615" s="45" t="s">
        <v>4291</v>
      </c>
      <c r="T1615" s="41"/>
      <c r="U1615" s="29" t="str">
        <f>IF($C1615&lt;&gt;"",COUNTIF($C$2:C1615,C1615),"")</f>
        <v/>
      </c>
      <c r="V1615" s="29" t="str">
        <f t="shared" si="82"/>
        <v/>
      </c>
      <c r="W1615" s="29" t="str">
        <f>IF(U1615=1,COUNTIF($U$2:U1615,1),"")</f>
        <v/>
      </c>
      <c r="X1615" s="29" t="str">
        <f t="shared" si="81"/>
        <v/>
      </c>
      <c r="Y1615" s="29" t="str">
        <f>IF(AND(LEFT($B1615,7)="SBA 26/",$D1615&lt;&gt;"",$F1615&lt;&gt;""),COUNTIFS($D$2:$D1615,$D1615,$B$2:$B1615,"SBA 26/*",$F$2:$F1615,"&lt;&gt;"),"")</f>
        <v/>
      </c>
      <c r="Z1615" s="29" t="str">
        <f>IF(Y1615=1,COUNTIF($Y$2:Y1615,1),"")</f>
        <v/>
      </c>
      <c r="AA1615" s="29" t="str">
        <f>IF(AND(LEFT($B1615,7)="SBA 26/",$C1615&lt;&gt;"",$F1615&lt;&gt;""),COUNTIFS($C$2:$C1615,$C1615,$B$2:$B1615,"SBA 26/*",$F$2:$F1615,"&lt;&gt;"),"")</f>
        <v/>
      </c>
      <c r="AB1615" s="29" t="str">
        <f>IF(AA1615=1,COUNTIF($AA$2:AA1615,1),"")</f>
        <v/>
      </c>
    </row>
    <row r="1616" spans="6:28" ht="31.5" customHeight="1" x14ac:dyDescent="0.2">
      <c r="F1616" s="45" t="s">
        <v>4292</v>
      </c>
      <c r="T1616" s="41"/>
      <c r="U1616" s="29" t="str">
        <f>IF($C1616&lt;&gt;"",COUNTIF($C$2:C1616,C1616),"")</f>
        <v/>
      </c>
      <c r="V1616" s="29" t="str">
        <f t="shared" si="82"/>
        <v/>
      </c>
      <c r="W1616" s="29" t="str">
        <f>IF(U1616=1,COUNTIF($U$2:U1616,1),"")</f>
        <v/>
      </c>
      <c r="X1616" s="29" t="str">
        <f t="shared" si="81"/>
        <v/>
      </c>
      <c r="Y1616" s="29" t="str">
        <f>IF(AND(LEFT($B1616,7)="SBA 26/",$D1616&lt;&gt;"",$F1616&lt;&gt;""),COUNTIFS($D$2:$D1616,$D1616,$B$2:$B1616,"SBA 26/*",$F$2:$F1616,"&lt;&gt;"),"")</f>
        <v/>
      </c>
      <c r="Z1616" s="29" t="str">
        <f>IF(Y1616=1,COUNTIF($Y$2:Y1616,1),"")</f>
        <v/>
      </c>
      <c r="AA1616" s="29" t="str">
        <f>IF(AND(LEFT($B1616,7)="SBA 26/",$C1616&lt;&gt;"",$F1616&lt;&gt;""),COUNTIFS($C$2:$C1616,$C1616,$B$2:$B1616,"SBA 26/*",$F$2:$F1616,"&lt;&gt;"),"")</f>
        <v/>
      </c>
      <c r="AB1616" s="29" t="str">
        <f>IF(AA1616=1,COUNTIF($AA$2:AA1616,1),"")</f>
        <v/>
      </c>
    </row>
    <row r="1617" spans="6:28" ht="31.5" customHeight="1" x14ac:dyDescent="0.2">
      <c r="F1617" s="45" t="s">
        <v>4293</v>
      </c>
      <c r="T1617" s="41"/>
      <c r="U1617" s="29" t="str">
        <f>IF($C1617&lt;&gt;"",COUNTIF($C$2:C1617,C1617),"")</f>
        <v/>
      </c>
      <c r="V1617" s="29" t="str">
        <f t="shared" si="82"/>
        <v/>
      </c>
      <c r="W1617" s="29" t="str">
        <f>IF(U1617=1,COUNTIF($U$2:U1617,1),"")</f>
        <v/>
      </c>
      <c r="X1617" s="29" t="str">
        <f t="shared" si="81"/>
        <v/>
      </c>
      <c r="Y1617" s="29" t="str">
        <f>IF(AND(LEFT($B1617,7)="SBA 26/",$D1617&lt;&gt;"",$F1617&lt;&gt;""),COUNTIFS($D$2:$D1617,$D1617,$B$2:$B1617,"SBA 26/*",$F$2:$F1617,"&lt;&gt;"),"")</f>
        <v/>
      </c>
      <c r="Z1617" s="29" t="str">
        <f>IF(Y1617=1,COUNTIF($Y$2:Y1617,1),"")</f>
        <v/>
      </c>
      <c r="AA1617" s="29" t="str">
        <f>IF(AND(LEFT($B1617,7)="SBA 26/",$C1617&lt;&gt;"",$F1617&lt;&gt;""),COUNTIFS($C$2:$C1617,$C1617,$B$2:$B1617,"SBA 26/*",$F$2:$F1617,"&lt;&gt;"),"")</f>
        <v/>
      </c>
      <c r="AB1617" s="29" t="str">
        <f>IF(AA1617=1,COUNTIF($AA$2:AA1617,1),"")</f>
        <v/>
      </c>
    </row>
    <row r="1618" spans="6:28" ht="47.25" customHeight="1" x14ac:dyDescent="0.2">
      <c r="F1618" s="45" t="s">
        <v>4294</v>
      </c>
      <c r="T1618" s="41"/>
      <c r="U1618" s="29" t="str">
        <f>IF($C1618&lt;&gt;"",COUNTIF($C$2:C1618,C1618),"")</f>
        <v/>
      </c>
      <c r="V1618" s="29" t="str">
        <f t="shared" si="82"/>
        <v/>
      </c>
      <c r="W1618" s="29" t="str">
        <f>IF(U1618=1,COUNTIF($U$2:U1618,1),"")</f>
        <v/>
      </c>
      <c r="X1618" s="29" t="str">
        <f t="shared" si="81"/>
        <v/>
      </c>
      <c r="Y1618" s="29" t="str">
        <f>IF(AND(LEFT($B1618,7)="SBA 26/",$D1618&lt;&gt;"",$F1618&lt;&gt;""),COUNTIFS($D$2:$D1618,$D1618,$B$2:$B1618,"SBA 26/*",$F$2:$F1618,"&lt;&gt;"),"")</f>
        <v/>
      </c>
      <c r="Z1618" s="29" t="str">
        <f>IF(Y1618=1,COUNTIF($Y$2:Y1618,1),"")</f>
        <v/>
      </c>
      <c r="AA1618" s="29" t="str">
        <f>IF(AND(LEFT($B1618,7)="SBA 26/",$C1618&lt;&gt;"",$F1618&lt;&gt;""),COUNTIFS($C$2:$C1618,$C1618,$B$2:$B1618,"SBA 26/*",$F$2:$F1618,"&lt;&gt;"),"")</f>
        <v/>
      </c>
      <c r="AB1618" s="29" t="str">
        <f>IF(AA1618=1,COUNTIF($AA$2:AA1618,1),"")</f>
        <v/>
      </c>
    </row>
    <row r="1619" spans="6:28" ht="47.25" customHeight="1" x14ac:dyDescent="0.2">
      <c r="F1619" s="45" t="s">
        <v>4295</v>
      </c>
      <c r="T1619" s="41"/>
      <c r="U1619" s="29" t="str">
        <f>IF($C1619&lt;&gt;"",COUNTIF($C$2:C1619,C1619),"")</f>
        <v/>
      </c>
      <c r="V1619" s="29" t="str">
        <f t="shared" si="82"/>
        <v/>
      </c>
      <c r="W1619" s="29" t="str">
        <f>IF(U1619=1,COUNTIF($U$2:U1619,1),"")</f>
        <v/>
      </c>
      <c r="X1619" s="29" t="str">
        <f t="shared" si="81"/>
        <v/>
      </c>
      <c r="Y1619" s="29" t="str">
        <f>IF(AND(LEFT($B1619,7)="SBA 26/",$D1619&lt;&gt;"",$F1619&lt;&gt;""),COUNTIFS($D$2:$D1619,$D1619,$B$2:$B1619,"SBA 26/*",$F$2:$F1619,"&lt;&gt;"),"")</f>
        <v/>
      </c>
      <c r="Z1619" s="29" t="str">
        <f>IF(Y1619=1,COUNTIF($Y$2:Y1619,1),"")</f>
        <v/>
      </c>
      <c r="AA1619" s="29" t="str">
        <f>IF(AND(LEFT($B1619,7)="SBA 26/",$C1619&lt;&gt;"",$F1619&lt;&gt;""),COUNTIFS($C$2:$C1619,$C1619,$B$2:$B1619,"SBA 26/*",$F$2:$F1619,"&lt;&gt;"),"")</f>
        <v/>
      </c>
      <c r="AB1619" s="29" t="str">
        <f>IF(AA1619=1,COUNTIF($AA$2:AA1619,1),"")</f>
        <v/>
      </c>
    </row>
    <row r="1620" spans="6:28" ht="63" customHeight="1" x14ac:dyDescent="0.2">
      <c r="F1620" s="45" t="s">
        <v>4296</v>
      </c>
      <c r="T1620" s="41"/>
      <c r="U1620" s="29" t="str">
        <f>IF($C1620&lt;&gt;"",COUNTIF($C$2:C1620,C1620),"")</f>
        <v/>
      </c>
      <c r="V1620" s="29" t="str">
        <f t="shared" si="82"/>
        <v/>
      </c>
      <c r="W1620" s="29" t="str">
        <f>IF(U1620=1,COUNTIF($U$2:U1620,1),"")</f>
        <v/>
      </c>
      <c r="X1620" s="29" t="str">
        <f t="shared" si="81"/>
        <v/>
      </c>
      <c r="Y1620" s="29" t="str">
        <f>IF(AND(LEFT($B1620,7)="SBA 26/",$D1620&lt;&gt;"",$F1620&lt;&gt;""),COUNTIFS($D$2:$D1620,$D1620,$B$2:$B1620,"SBA 26/*",$F$2:$F1620,"&lt;&gt;"),"")</f>
        <v/>
      </c>
      <c r="Z1620" s="29" t="str">
        <f>IF(Y1620=1,COUNTIF($Y$2:Y1620,1),"")</f>
        <v/>
      </c>
      <c r="AA1620" s="29" t="str">
        <f>IF(AND(LEFT($B1620,7)="SBA 26/",$C1620&lt;&gt;"",$F1620&lt;&gt;""),COUNTIFS($C$2:$C1620,$C1620,$B$2:$B1620,"SBA 26/*",$F$2:$F1620,"&lt;&gt;"),"")</f>
        <v/>
      </c>
      <c r="AB1620" s="29" t="str">
        <f>IF(AA1620=1,COUNTIF($AA$2:AA1620,1),"")</f>
        <v/>
      </c>
    </row>
    <row r="1621" spans="6:28" ht="47.25" customHeight="1" x14ac:dyDescent="0.2">
      <c r="F1621" s="45" t="s">
        <v>4297</v>
      </c>
      <c r="T1621" s="41"/>
      <c r="U1621" s="29" t="str">
        <f>IF($C1621&lt;&gt;"",COUNTIF($C$2:C1621,C1621),"")</f>
        <v/>
      </c>
      <c r="V1621" s="29" t="str">
        <f t="shared" si="82"/>
        <v/>
      </c>
      <c r="W1621" s="29" t="str">
        <f>IF(U1621=1,COUNTIF($U$2:U1621,1),"")</f>
        <v/>
      </c>
      <c r="X1621" s="29" t="str">
        <f t="shared" si="81"/>
        <v/>
      </c>
      <c r="Y1621" s="29" t="str">
        <f>IF(AND(LEFT($B1621,7)="SBA 26/",$D1621&lt;&gt;"",$F1621&lt;&gt;""),COUNTIFS($D$2:$D1621,$D1621,$B$2:$B1621,"SBA 26/*",$F$2:$F1621,"&lt;&gt;"),"")</f>
        <v/>
      </c>
      <c r="Z1621" s="29" t="str">
        <f>IF(Y1621=1,COUNTIF($Y$2:Y1621,1),"")</f>
        <v/>
      </c>
      <c r="AA1621" s="29" t="str">
        <f>IF(AND(LEFT($B1621,7)="SBA 26/",$C1621&lt;&gt;"",$F1621&lt;&gt;""),COUNTIFS($C$2:$C1621,$C1621,$B$2:$B1621,"SBA 26/*",$F$2:$F1621,"&lt;&gt;"),"")</f>
        <v/>
      </c>
      <c r="AB1621" s="29" t="str">
        <f>IF(AA1621=1,COUNTIF($AA$2:AA1621,1),"")</f>
        <v/>
      </c>
    </row>
    <row r="1622" spans="6:28" ht="31.5" customHeight="1" x14ac:dyDescent="0.2">
      <c r="F1622" s="45" t="s">
        <v>4298</v>
      </c>
      <c r="T1622" s="41"/>
      <c r="U1622" s="29" t="str">
        <f>IF($C1622&lt;&gt;"",COUNTIF($C$2:C1622,C1622),"")</f>
        <v/>
      </c>
      <c r="V1622" s="29" t="str">
        <f t="shared" si="82"/>
        <v/>
      </c>
      <c r="W1622" s="29" t="str">
        <f>IF(U1622=1,COUNTIF($U$2:U1622,1),"")</f>
        <v/>
      </c>
      <c r="X1622" s="29" t="str">
        <f t="shared" si="81"/>
        <v/>
      </c>
      <c r="Y1622" s="29" t="str">
        <f>IF(AND(LEFT($B1622,7)="SBA 26/",$D1622&lt;&gt;"",$F1622&lt;&gt;""),COUNTIFS($D$2:$D1622,$D1622,$B$2:$B1622,"SBA 26/*",$F$2:$F1622,"&lt;&gt;"),"")</f>
        <v/>
      </c>
      <c r="Z1622" s="29" t="str">
        <f>IF(Y1622=1,COUNTIF($Y$2:Y1622,1),"")</f>
        <v/>
      </c>
      <c r="AA1622" s="29" t="str">
        <f>IF(AND(LEFT($B1622,7)="SBA 26/",$C1622&lt;&gt;"",$F1622&lt;&gt;""),COUNTIFS($C$2:$C1622,$C1622,$B$2:$B1622,"SBA 26/*",$F$2:$F1622,"&lt;&gt;"),"")</f>
        <v/>
      </c>
      <c r="AB1622" s="29" t="str">
        <f>IF(AA1622=1,COUNTIF($AA$2:AA1622,1),"")</f>
        <v/>
      </c>
    </row>
    <row r="1623" spans="6:28" ht="31.5" customHeight="1" x14ac:dyDescent="0.2">
      <c r="F1623" s="45" t="s">
        <v>4299</v>
      </c>
      <c r="T1623" s="41"/>
      <c r="U1623" s="29" t="str">
        <f>IF($C1623&lt;&gt;"",COUNTIF($C$2:C1623,C1623),"")</f>
        <v/>
      </c>
      <c r="V1623" s="29" t="str">
        <f t="shared" si="82"/>
        <v/>
      </c>
      <c r="W1623" s="29" t="str">
        <f>IF(U1623=1,COUNTIF($U$2:U1623,1),"")</f>
        <v/>
      </c>
      <c r="X1623" s="29" t="str">
        <f t="shared" si="81"/>
        <v/>
      </c>
      <c r="Y1623" s="29" t="str">
        <f>IF(AND(LEFT($B1623,7)="SBA 26/",$D1623&lt;&gt;"",$F1623&lt;&gt;""),COUNTIFS($D$2:$D1623,$D1623,$B$2:$B1623,"SBA 26/*",$F$2:$F1623,"&lt;&gt;"),"")</f>
        <v/>
      </c>
      <c r="Z1623" s="29" t="str">
        <f>IF(Y1623=1,COUNTIF($Y$2:Y1623,1),"")</f>
        <v/>
      </c>
      <c r="AA1623" s="29" t="str">
        <f>IF(AND(LEFT($B1623,7)="SBA 26/",$C1623&lt;&gt;"",$F1623&lt;&gt;""),COUNTIFS($C$2:$C1623,$C1623,$B$2:$B1623,"SBA 26/*",$F$2:$F1623,"&lt;&gt;"),"")</f>
        <v/>
      </c>
      <c r="AB1623" s="29" t="str">
        <f>IF(AA1623=1,COUNTIF($AA$2:AA1623,1),"")</f>
        <v/>
      </c>
    </row>
    <row r="1624" spans="6:28" ht="31.5" customHeight="1" x14ac:dyDescent="0.2">
      <c r="F1624" s="45" t="s">
        <v>4300</v>
      </c>
      <c r="T1624" s="41"/>
      <c r="U1624" s="29" t="str">
        <f>IF($C1624&lt;&gt;"",COUNTIF($C$2:C1624,C1624),"")</f>
        <v/>
      </c>
      <c r="V1624" s="29" t="str">
        <f t="shared" si="82"/>
        <v/>
      </c>
      <c r="W1624" s="29" t="str">
        <f>IF(U1624=1,COUNTIF($U$2:U1624,1),"")</f>
        <v/>
      </c>
      <c r="X1624" s="29" t="str">
        <f t="shared" si="81"/>
        <v/>
      </c>
      <c r="Y1624" s="29" t="str">
        <f>IF(AND(LEFT($B1624,7)="SBA 26/",$D1624&lt;&gt;"",$F1624&lt;&gt;""),COUNTIFS($D$2:$D1624,$D1624,$B$2:$B1624,"SBA 26/*",$F$2:$F1624,"&lt;&gt;"),"")</f>
        <v/>
      </c>
      <c r="Z1624" s="29" t="str">
        <f>IF(Y1624=1,COUNTIF($Y$2:Y1624,1),"")</f>
        <v/>
      </c>
      <c r="AA1624" s="29" t="str">
        <f>IF(AND(LEFT($B1624,7)="SBA 26/",$C1624&lt;&gt;"",$F1624&lt;&gt;""),COUNTIFS($C$2:$C1624,$C1624,$B$2:$B1624,"SBA 26/*",$F$2:$F1624,"&lt;&gt;"),"")</f>
        <v/>
      </c>
      <c r="AB1624" s="29" t="str">
        <f>IF(AA1624=1,COUNTIF($AA$2:AA1624,1),"")</f>
        <v/>
      </c>
    </row>
    <row r="1625" spans="6:28" ht="31.5" customHeight="1" x14ac:dyDescent="0.2">
      <c r="F1625" s="45" t="s">
        <v>4301</v>
      </c>
      <c r="T1625" s="41"/>
      <c r="U1625" s="29" t="str">
        <f>IF($C1625&lt;&gt;"",COUNTIF($C$2:C1625,C1625),"")</f>
        <v/>
      </c>
      <c r="V1625" s="29" t="str">
        <f t="shared" si="82"/>
        <v/>
      </c>
      <c r="W1625" s="29" t="str">
        <f>IF(U1625=1,COUNTIF($U$2:U1625,1),"")</f>
        <v/>
      </c>
      <c r="X1625" s="29" t="str">
        <f t="shared" si="81"/>
        <v/>
      </c>
      <c r="Y1625" s="29" t="str">
        <f>IF(AND(LEFT($B1625,7)="SBA 26/",$D1625&lt;&gt;"",$F1625&lt;&gt;""),COUNTIFS($D$2:$D1625,$D1625,$B$2:$B1625,"SBA 26/*",$F$2:$F1625,"&lt;&gt;"),"")</f>
        <v/>
      </c>
      <c r="Z1625" s="29" t="str">
        <f>IF(Y1625=1,COUNTIF($Y$2:Y1625,1),"")</f>
        <v/>
      </c>
      <c r="AA1625" s="29" t="str">
        <f>IF(AND(LEFT($B1625,7)="SBA 26/",$C1625&lt;&gt;"",$F1625&lt;&gt;""),COUNTIFS($C$2:$C1625,$C1625,$B$2:$B1625,"SBA 26/*",$F$2:$F1625,"&lt;&gt;"),"")</f>
        <v/>
      </c>
      <c r="AB1625" s="29" t="str">
        <f>IF(AA1625=1,COUNTIF($AA$2:AA1625,1),"")</f>
        <v/>
      </c>
    </row>
    <row r="1626" spans="6:28" ht="47.25" customHeight="1" x14ac:dyDescent="0.2">
      <c r="F1626" s="45" t="s">
        <v>4302</v>
      </c>
      <c r="T1626" s="41"/>
      <c r="U1626" s="29" t="str">
        <f>IF($C1626&lt;&gt;"",COUNTIF($C$2:C1626,C1626),"")</f>
        <v/>
      </c>
      <c r="V1626" s="29" t="str">
        <f t="shared" si="82"/>
        <v/>
      </c>
      <c r="W1626" s="29" t="str">
        <f>IF(U1626=1,COUNTIF($U$2:U1626,1),"")</f>
        <v/>
      </c>
      <c r="X1626" s="29" t="str">
        <f t="shared" si="81"/>
        <v/>
      </c>
      <c r="Y1626" s="29" t="str">
        <f>IF(AND(LEFT($B1626,7)="SBA 26/",$D1626&lt;&gt;"",$F1626&lt;&gt;""),COUNTIFS($D$2:$D1626,$D1626,$B$2:$B1626,"SBA 26/*",$F$2:$F1626,"&lt;&gt;"),"")</f>
        <v/>
      </c>
      <c r="Z1626" s="29" t="str">
        <f>IF(Y1626=1,COUNTIF($Y$2:Y1626,1),"")</f>
        <v/>
      </c>
      <c r="AA1626" s="29" t="str">
        <f>IF(AND(LEFT($B1626,7)="SBA 26/",$C1626&lt;&gt;"",$F1626&lt;&gt;""),COUNTIFS($C$2:$C1626,$C1626,$B$2:$B1626,"SBA 26/*",$F$2:$F1626,"&lt;&gt;"),"")</f>
        <v/>
      </c>
      <c r="AB1626" s="29" t="str">
        <f>IF(AA1626=1,COUNTIF($AA$2:AA1626,1),"")</f>
        <v/>
      </c>
    </row>
    <row r="1627" spans="6:28" ht="31.5" customHeight="1" x14ac:dyDescent="0.2">
      <c r="F1627" s="45" t="s">
        <v>4303</v>
      </c>
      <c r="T1627" s="41"/>
      <c r="U1627" s="29" t="str">
        <f>IF($C1627&lt;&gt;"",COUNTIF($C$2:C1627,C1627),"")</f>
        <v/>
      </c>
      <c r="V1627" s="29" t="str">
        <f t="shared" si="82"/>
        <v/>
      </c>
      <c r="W1627" s="29" t="str">
        <f>IF(U1627=1,COUNTIF($U$2:U1627,1),"")</f>
        <v/>
      </c>
      <c r="X1627" s="29" t="str">
        <f t="shared" si="81"/>
        <v/>
      </c>
      <c r="Y1627" s="29" t="str">
        <f>IF(AND(LEFT($B1627,7)="SBA 26/",$D1627&lt;&gt;"",$F1627&lt;&gt;""),COUNTIFS($D$2:$D1627,$D1627,$B$2:$B1627,"SBA 26/*",$F$2:$F1627,"&lt;&gt;"),"")</f>
        <v/>
      </c>
      <c r="Z1627" s="29" t="str">
        <f>IF(Y1627=1,COUNTIF($Y$2:Y1627,1),"")</f>
        <v/>
      </c>
      <c r="AA1627" s="29" t="str">
        <f>IF(AND(LEFT($B1627,7)="SBA 26/",$C1627&lt;&gt;"",$F1627&lt;&gt;""),COUNTIFS($C$2:$C1627,$C1627,$B$2:$B1627,"SBA 26/*",$F$2:$F1627,"&lt;&gt;"),"")</f>
        <v/>
      </c>
      <c r="AB1627" s="29" t="str">
        <f>IF(AA1627=1,COUNTIF($AA$2:AA1627,1),"")</f>
        <v/>
      </c>
    </row>
    <row r="1628" spans="6:28" ht="47.25" customHeight="1" x14ac:dyDescent="0.2">
      <c r="F1628" s="45" t="s">
        <v>4304</v>
      </c>
      <c r="T1628" s="41"/>
      <c r="U1628" s="29" t="str">
        <f>IF($C1628&lt;&gt;"",COUNTIF($C$2:C1628,C1628),"")</f>
        <v/>
      </c>
      <c r="V1628" s="29" t="str">
        <f t="shared" si="82"/>
        <v/>
      </c>
      <c r="W1628" s="29" t="str">
        <f>IF(U1628=1,COUNTIF($U$2:U1628,1),"")</f>
        <v/>
      </c>
      <c r="X1628" s="29" t="str">
        <f t="shared" si="81"/>
        <v/>
      </c>
      <c r="Y1628" s="29" t="str">
        <f>IF(AND(LEFT($B1628,7)="SBA 26/",$D1628&lt;&gt;"",$F1628&lt;&gt;""),COUNTIFS($D$2:$D1628,$D1628,$B$2:$B1628,"SBA 26/*",$F$2:$F1628,"&lt;&gt;"),"")</f>
        <v/>
      </c>
      <c r="Z1628" s="29" t="str">
        <f>IF(Y1628=1,COUNTIF($Y$2:Y1628,1),"")</f>
        <v/>
      </c>
      <c r="AA1628" s="29" t="str">
        <f>IF(AND(LEFT($B1628,7)="SBA 26/",$C1628&lt;&gt;"",$F1628&lt;&gt;""),COUNTIFS($C$2:$C1628,$C1628,$B$2:$B1628,"SBA 26/*",$F$2:$F1628,"&lt;&gt;"),"")</f>
        <v/>
      </c>
      <c r="AB1628" s="29" t="str">
        <f>IF(AA1628=1,COUNTIF($AA$2:AA1628,1),"")</f>
        <v/>
      </c>
    </row>
    <row r="1629" spans="6:28" ht="31.5" customHeight="1" x14ac:dyDescent="0.2">
      <c r="F1629" s="45" t="s">
        <v>4305</v>
      </c>
      <c r="T1629" s="41"/>
      <c r="U1629" s="29" t="str">
        <f>IF($C1629&lt;&gt;"",COUNTIF($C$2:C1629,C1629),"")</f>
        <v/>
      </c>
      <c r="V1629" s="29" t="str">
        <f t="shared" si="82"/>
        <v/>
      </c>
      <c r="W1629" s="29" t="str">
        <f>IF(U1629=1,COUNTIF($U$2:U1629,1),"")</f>
        <v/>
      </c>
      <c r="X1629" s="29" t="str">
        <f t="shared" si="81"/>
        <v/>
      </c>
      <c r="Y1629" s="29" t="str">
        <f>IF(AND(LEFT($B1629,7)="SBA 26/",$D1629&lt;&gt;"",$F1629&lt;&gt;""),COUNTIFS($D$2:$D1629,$D1629,$B$2:$B1629,"SBA 26/*",$F$2:$F1629,"&lt;&gt;"),"")</f>
        <v/>
      </c>
      <c r="Z1629" s="29" t="str">
        <f>IF(Y1629=1,COUNTIF($Y$2:Y1629,1),"")</f>
        <v/>
      </c>
      <c r="AA1629" s="29" t="str">
        <f>IF(AND(LEFT($B1629,7)="SBA 26/",$C1629&lt;&gt;"",$F1629&lt;&gt;""),COUNTIFS($C$2:$C1629,$C1629,$B$2:$B1629,"SBA 26/*",$F$2:$F1629,"&lt;&gt;"),"")</f>
        <v/>
      </c>
      <c r="AB1629" s="29" t="str">
        <f>IF(AA1629=1,COUNTIF($AA$2:AA1629,1),"")</f>
        <v/>
      </c>
    </row>
    <row r="1630" spans="6:28" ht="47.25" customHeight="1" x14ac:dyDescent="0.2">
      <c r="F1630" s="45" t="s">
        <v>4306</v>
      </c>
      <c r="T1630" s="41"/>
      <c r="U1630" s="29" t="str">
        <f>IF($C1630&lt;&gt;"",COUNTIF($C$2:C1630,C1630),"")</f>
        <v/>
      </c>
      <c r="V1630" s="29" t="str">
        <f t="shared" si="82"/>
        <v/>
      </c>
      <c r="W1630" s="29" t="str">
        <f>IF(U1630=1,COUNTIF($U$2:U1630,1),"")</f>
        <v/>
      </c>
      <c r="X1630" s="29" t="str">
        <f t="shared" si="81"/>
        <v/>
      </c>
      <c r="Y1630" s="29" t="str">
        <f>IF(AND(LEFT($B1630,7)="SBA 26/",$D1630&lt;&gt;"",$F1630&lt;&gt;""),COUNTIFS($D$2:$D1630,$D1630,$B$2:$B1630,"SBA 26/*",$F$2:$F1630,"&lt;&gt;"),"")</f>
        <v/>
      </c>
      <c r="Z1630" s="29" t="str">
        <f>IF(Y1630=1,COUNTIF($Y$2:Y1630,1),"")</f>
        <v/>
      </c>
      <c r="AA1630" s="29" t="str">
        <f>IF(AND(LEFT($B1630,7)="SBA 26/",$C1630&lt;&gt;"",$F1630&lt;&gt;""),COUNTIFS($C$2:$C1630,$C1630,$B$2:$B1630,"SBA 26/*",$F$2:$F1630,"&lt;&gt;"),"")</f>
        <v/>
      </c>
      <c r="AB1630" s="29" t="str">
        <f>IF(AA1630=1,COUNTIF($AA$2:AA1630,1),"")</f>
        <v/>
      </c>
    </row>
    <row r="1631" spans="6:28" ht="63" customHeight="1" x14ac:dyDescent="0.2">
      <c r="F1631" s="45" t="s">
        <v>4307</v>
      </c>
      <c r="T1631" s="41"/>
      <c r="U1631" s="29" t="str">
        <f>IF($C1631&lt;&gt;"",COUNTIF($C$2:C1631,C1631),"")</f>
        <v/>
      </c>
      <c r="V1631" s="29" t="str">
        <f t="shared" si="82"/>
        <v/>
      </c>
      <c r="W1631" s="29" t="str">
        <f>IF(U1631=1,COUNTIF($U$2:U1631,1),"")</f>
        <v/>
      </c>
      <c r="X1631" s="29" t="str">
        <f t="shared" si="81"/>
        <v/>
      </c>
      <c r="Y1631" s="29" t="str">
        <f>IF(AND(LEFT($B1631,7)="SBA 26/",$D1631&lt;&gt;"",$F1631&lt;&gt;""),COUNTIFS($D$2:$D1631,$D1631,$B$2:$B1631,"SBA 26/*",$F$2:$F1631,"&lt;&gt;"),"")</f>
        <v/>
      </c>
      <c r="Z1631" s="29" t="str">
        <f>IF(Y1631=1,COUNTIF($Y$2:Y1631,1),"")</f>
        <v/>
      </c>
      <c r="AA1631" s="29" t="str">
        <f>IF(AND(LEFT($B1631,7)="SBA 26/",$C1631&lt;&gt;"",$F1631&lt;&gt;""),COUNTIFS($C$2:$C1631,$C1631,$B$2:$B1631,"SBA 26/*",$F$2:$F1631,"&lt;&gt;"),"")</f>
        <v/>
      </c>
      <c r="AB1631" s="29" t="str">
        <f>IF(AA1631=1,COUNTIF($AA$2:AA1631,1),"")</f>
        <v/>
      </c>
    </row>
    <row r="1632" spans="6:28" ht="63" customHeight="1" x14ac:dyDescent="0.2">
      <c r="F1632" s="45" t="s">
        <v>4308</v>
      </c>
      <c r="T1632" s="41"/>
      <c r="U1632" s="29" t="str">
        <f>IF($C1632&lt;&gt;"",COUNTIF($C$2:C1632,C1632),"")</f>
        <v/>
      </c>
      <c r="V1632" s="29" t="str">
        <f t="shared" si="82"/>
        <v/>
      </c>
      <c r="W1632" s="29" t="str">
        <f>IF(U1632=1,COUNTIF($U$2:U1632,1),"")</f>
        <v/>
      </c>
      <c r="X1632" s="29" t="str">
        <f t="shared" si="81"/>
        <v/>
      </c>
      <c r="Y1632" s="29" t="str">
        <f>IF(AND(LEFT($B1632,7)="SBA 26/",$D1632&lt;&gt;"",$F1632&lt;&gt;""),COUNTIFS($D$2:$D1632,$D1632,$B$2:$B1632,"SBA 26/*",$F$2:$F1632,"&lt;&gt;"),"")</f>
        <v/>
      </c>
      <c r="Z1632" s="29" t="str">
        <f>IF(Y1632=1,COUNTIF($Y$2:Y1632,1),"")</f>
        <v/>
      </c>
      <c r="AA1632" s="29" t="str">
        <f>IF(AND(LEFT($B1632,7)="SBA 26/",$C1632&lt;&gt;"",$F1632&lt;&gt;""),COUNTIFS($C$2:$C1632,$C1632,$B$2:$B1632,"SBA 26/*",$F$2:$F1632,"&lt;&gt;"),"")</f>
        <v/>
      </c>
      <c r="AB1632" s="29" t="str">
        <f>IF(AA1632=1,COUNTIF($AA$2:AA1632,1),"")</f>
        <v/>
      </c>
    </row>
    <row r="1633" spans="6:28" ht="63" customHeight="1" x14ac:dyDescent="0.2">
      <c r="F1633" s="45" t="s">
        <v>4309</v>
      </c>
      <c r="T1633" s="41"/>
      <c r="U1633" s="29" t="str">
        <f>IF($C1633&lt;&gt;"",COUNTIF($C$2:C1633,C1633),"")</f>
        <v/>
      </c>
      <c r="V1633" s="29" t="str">
        <f t="shared" si="82"/>
        <v/>
      </c>
      <c r="W1633" s="29" t="str">
        <f>IF(U1633=1,COUNTIF($U$2:U1633,1),"")</f>
        <v/>
      </c>
      <c r="X1633" s="29" t="str">
        <f t="shared" si="81"/>
        <v/>
      </c>
      <c r="Y1633" s="29" t="str">
        <f>IF(AND(LEFT($B1633,7)="SBA 26/",$D1633&lt;&gt;"",$F1633&lt;&gt;""),COUNTIFS($D$2:$D1633,$D1633,$B$2:$B1633,"SBA 26/*",$F$2:$F1633,"&lt;&gt;"),"")</f>
        <v/>
      </c>
      <c r="Z1633" s="29" t="str">
        <f>IF(Y1633=1,COUNTIF($Y$2:Y1633,1),"")</f>
        <v/>
      </c>
      <c r="AA1633" s="29" t="str">
        <f>IF(AND(LEFT($B1633,7)="SBA 26/",$C1633&lt;&gt;"",$F1633&lt;&gt;""),COUNTIFS($C$2:$C1633,$C1633,$B$2:$B1633,"SBA 26/*",$F$2:$F1633,"&lt;&gt;"),"")</f>
        <v/>
      </c>
      <c r="AB1633" s="29" t="str">
        <f>IF(AA1633=1,COUNTIF($AA$2:AA1633,1),"")</f>
        <v/>
      </c>
    </row>
    <row r="1634" spans="6:28" ht="63" customHeight="1" x14ac:dyDescent="0.2">
      <c r="F1634" s="45" t="s">
        <v>4310</v>
      </c>
      <c r="T1634" s="41"/>
      <c r="U1634" s="29" t="str">
        <f>IF($C1634&lt;&gt;"",COUNTIF($C$2:C1634,C1634),"")</f>
        <v/>
      </c>
      <c r="V1634" s="29" t="str">
        <f t="shared" si="82"/>
        <v/>
      </c>
      <c r="W1634" s="29" t="str">
        <f>IF(U1634=1,COUNTIF($U$2:U1634,1),"")</f>
        <v/>
      </c>
      <c r="X1634" s="29" t="str">
        <f t="shared" si="81"/>
        <v/>
      </c>
      <c r="Y1634" s="29" t="str">
        <f>IF(AND(LEFT($B1634,7)="SBA 26/",$D1634&lt;&gt;"",$F1634&lt;&gt;""),COUNTIFS($D$2:$D1634,$D1634,$B$2:$B1634,"SBA 26/*",$F$2:$F1634,"&lt;&gt;"),"")</f>
        <v/>
      </c>
      <c r="Z1634" s="29" t="str">
        <f>IF(Y1634=1,COUNTIF($Y$2:Y1634,1),"")</f>
        <v/>
      </c>
      <c r="AA1634" s="29" t="str">
        <f>IF(AND(LEFT($B1634,7)="SBA 26/",$C1634&lt;&gt;"",$F1634&lt;&gt;""),COUNTIFS($C$2:$C1634,$C1634,$B$2:$B1634,"SBA 26/*",$F$2:$F1634,"&lt;&gt;"),"")</f>
        <v/>
      </c>
      <c r="AB1634" s="29" t="str">
        <f>IF(AA1634=1,COUNTIF($AA$2:AA1634,1),"")</f>
        <v/>
      </c>
    </row>
    <row r="1635" spans="6:28" ht="63" customHeight="1" x14ac:dyDescent="0.2">
      <c r="F1635" s="45" t="s">
        <v>4311</v>
      </c>
      <c r="T1635" s="41"/>
      <c r="U1635" s="29" t="str">
        <f>IF($C1635&lt;&gt;"",COUNTIF($C$2:C1635,C1635),"")</f>
        <v/>
      </c>
      <c r="V1635" s="29" t="str">
        <f t="shared" si="82"/>
        <v/>
      </c>
      <c r="W1635" s="29" t="str">
        <f>IF(U1635=1,COUNTIF($U$2:U1635,1),"")</f>
        <v/>
      </c>
      <c r="X1635" s="29" t="str">
        <f t="shared" si="81"/>
        <v/>
      </c>
      <c r="Y1635" s="29" t="str">
        <f>IF(AND(LEFT($B1635,7)="SBA 26/",$D1635&lt;&gt;"",$F1635&lt;&gt;""),COUNTIFS($D$2:$D1635,$D1635,$B$2:$B1635,"SBA 26/*",$F$2:$F1635,"&lt;&gt;"),"")</f>
        <v/>
      </c>
      <c r="Z1635" s="29" t="str">
        <f>IF(Y1635=1,COUNTIF($Y$2:Y1635,1),"")</f>
        <v/>
      </c>
      <c r="AA1635" s="29" t="str">
        <f>IF(AND(LEFT($B1635,7)="SBA 26/",$C1635&lt;&gt;"",$F1635&lt;&gt;""),COUNTIFS($C$2:$C1635,$C1635,$B$2:$B1635,"SBA 26/*",$F$2:$F1635,"&lt;&gt;"),"")</f>
        <v/>
      </c>
      <c r="AB1635" s="29" t="str">
        <f>IF(AA1635=1,COUNTIF($AA$2:AA1635,1),"")</f>
        <v/>
      </c>
    </row>
    <row r="1636" spans="6:28" ht="47.25" customHeight="1" x14ac:dyDescent="0.2">
      <c r="F1636" s="45" t="s">
        <v>4312</v>
      </c>
      <c r="T1636" s="41"/>
      <c r="U1636" s="29" t="str">
        <f>IF($C1636&lt;&gt;"",COUNTIF($C$2:C1636,C1636),"")</f>
        <v/>
      </c>
      <c r="V1636" s="29" t="str">
        <f t="shared" si="82"/>
        <v/>
      </c>
      <c r="W1636" s="29" t="str">
        <f>IF(U1636=1,COUNTIF($U$2:U1636,1),"")</f>
        <v/>
      </c>
      <c r="X1636" s="29" t="str">
        <f t="shared" si="81"/>
        <v/>
      </c>
      <c r="Y1636" s="29" t="str">
        <f>IF(AND(LEFT($B1636,7)="SBA 26/",$D1636&lt;&gt;"",$F1636&lt;&gt;""),COUNTIFS($D$2:$D1636,$D1636,$B$2:$B1636,"SBA 26/*",$F$2:$F1636,"&lt;&gt;"),"")</f>
        <v/>
      </c>
      <c r="Z1636" s="29" t="str">
        <f>IF(Y1636=1,COUNTIF($Y$2:Y1636,1),"")</f>
        <v/>
      </c>
      <c r="AA1636" s="29" t="str">
        <f>IF(AND(LEFT($B1636,7)="SBA 26/",$C1636&lt;&gt;"",$F1636&lt;&gt;""),COUNTIFS($C$2:$C1636,$C1636,$B$2:$B1636,"SBA 26/*",$F$2:$F1636,"&lt;&gt;"),"")</f>
        <v/>
      </c>
      <c r="AB1636" s="29" t="str">
        <f>IF(AA1636=1,COUNTIF($AA$2:AA1636,1),"")</f>
        <v/>
      </c>
    </row>
    <row r="1637" spans="6:28" ht="47.25" customHeight="1" x14ac:dyDescent="0.2">
      <c r="F1637" s="45" t="s">
        <v>4313</v>
      </c>
      <c r="T1637" s="41"/>
      <c r="U1637" s="29" t="str">
        <f>IF($C1637&lt;&gt;"",COUNTIF($C$2:C1637,C1637),"")</f>
        <v/>
      </c>
      <c r="V1637" s="29" t="str">
        <f t="shared" si="82"/>
        <v/>
      </c>
      <c r="W1637" s="29" t="str">
        <f>IF(U1637=1,COUNTIF($U$2:U1637,1),"")</f>
        <v/>
      </c>
      <c r="X1637" s="29" t="str">
        <f t="shared" si="81"/>
        <v/>
      </c>
      <c r="Y1637" s="29" t="str">
        <f>IF(AND(LEFT($B1637,7)="SBA 26/",$D1637&lt;&gt;"",$F1637&lt;&gt;""),COUNTIFS($D$2:$D1637,$D1637,$B$2:$B1637,"SBA 26/*",$F$2:$F1637,"&lt;&gt;"),"")</f>
        <v/>
      </c>
      <c r="Z1637" s="29" t="str">
        <f>IF(Y1637=1,COUNTIF($Y$2:Y1637,1),"")</f>
        <v/>
      </c>
      <c r="AA1637" s="29" t="str">
        <f>IF(AND(LEFT($B1637,7)="SBA 26/",$C1637&lt;&gt;"",$F1637&lt;&gt;""),COUNTIFS($C$2:$C1637,$C1637,$B$2:$B1637,"SBA 26/*",$F$2:$F1637,"&lt;&gt;"),"")</f>
        <v/>
      </c>
      <c r="AB1637" s="29" t="str">
        <f>IF(AA1637=1,COUNTIF($AA$2:AA1637,1),"")</f>
        <v/>
      </c>
    </row>
    <row r="1638" spans="6:28" ht="47.25" customHeight="1" x14ac:dyDescent="0.2">
      <c r="F1638" s="45" t="s">
        <v>4314</v>
      </c>
      <c r="T1638" s="41"/>
      <c r="U1638" s="29" t="str">
        <f>IF($C1638&lt;&gt;"",COUNTIF($C$2:C1638,C1638),"")</f>
        <v/>
      </c>
      <c r="V1638" s="29" t="str">
        <f t="shared" si="82"/>
        <v/>
      </c>
      <c r="W1638" s="29" t="str">
        <f>IF(U1638=1,COUNTIF($U$2:U1638,1),"")</f>
        <v/>
      </c>
      <c r="X1638" s="29" t="str">
        <f t="shared" si="81"/>
        <v/>
      </c>
      <c r="Y1638" s="29" t="str">
        <f>IF(AND(LEFT($B1638,7)="SBA 26/",$D1638&lt;&gt;"",$F1638&lt;&gt;""),COUNTIFS($D$2:$D1638,$D1638,$B$2:$B1638,"SBA 26/*",$F$2:$F1638,"&lt;&gt;"),"")</f>
        <v/>
      </c>
      <c r="Z1638" s="29" t="str">
        <f>IF(Y1638=1,COUNTIF($Y$2:Y1638,1),"")</f>
        <v/>
      </c>
      <c r="AA1638" s="29" t="str">
        <f>IF(AND(LEFT($B1638,7)="SBA 26/",$C1638&lt;&gt;"",$F1638&lt;&gt;""),COUNTIFS($C$2:$C1638,$C1638,$B$2:$B1638,"SBA 26/*",$F$2:$F1638,"&lt;&gt;"),"")</f>
        <v/>
      </c>
      <c r="AB1638" s="29" t="str">
        <f>IF(AA1638=1,COUNTIF($AA$2:AA1638,1),"")</f>
        <v/>
      </c>
    </row>
    <row r="1639" spans="6:28" ht="31.5" customHeight="1" x14ac:dyDescent="0.2">
      <c r="F1639" s="45" t="s">
        <v>4315</v>
      </c>
      <c r="T1639" s="41"/>
      <c r="U1639" s="29" t="str">
        <f>IF($C1639&lt;&gt;"",COUNTIF($C$2:C1639,C1639),"")</f>
        <v/>
      </c>
      <c r="V1639" s="29" t="str">
        <f t="shared" si="82"/>
        <v/>
      </c>
      <c r="W1639" s="29" t="str">
        <f>IF(U1639=1,COUNTIF($U$2:U1639,1),"")</f>
        <v/>
      </c>
      <c r="X1639" s="29" t="str">
        <f t="shared" si="81"/>
        <v/>
      </c>
      <c r="Y1639" s="29" t="str">
        <f>IF(AND(LEFT($B1639,7)="SBA 26/",$D1639&lt;&gt;"",$F1639&lt;&gt;""),COUNTIFS($D$2:$D1639,$D1639,$B$2:$B1639,"SBA 26/*",$F$2:$F1639,"&lt;&gt;"),"")</f>
        <v/>
      </c>
      <c r="Z1639" s="29" t="str">
        <f>IF(Y1639=1,COUNTIF($Y$2:Y1639,1),"")</f>
        <v/>
      </c>
      <c r="AA1639" s="29" t="str">
        <f>IF(AND(LEFT($B1639,7)="SBA 26/",$C1639&lt;&gt;"",$F1639&lt;&gt;""),COUNTIFS($C$2:$C1639,$C1639,$B$2:$B1639,"SBA 26/*",$F$2:$F1639,"&lt;&gt;"),"")</f>
        <v/>
      </c>
      <c r="AB1639" s="29" t="str">
        <f>IF(AA1639=1,COUNTIF($AA$2:AA1639,1),"")</f>
        <v/>
      </c>
    </row>
    <row r="1640" spans="6:28" ht="31.5" customHeight="1" x14ac:dyDescent="0.2">
      <c r="F1640" s="45" t="s">
        <v>4316</v>
      </c>
      <c r="T1640" s="41"/>
      <c r="U1640" s="29" t="str">
        <f>IF($C1640&lt;&gt;"",COUNTIF($C$2:C1640,C1640),"")</f>
        <v/>
      </c>
      <c r="V1640" s="29" t="str">
        <f t="shared" si="82"/>
        <v/>
      </c>
      <c r="W1640" s="29" t="str">
        <f>IF(U1640=1,COUNTIF($U$2:U1640,1),"")</f>
        <v/>
      </c>
      <c r="X1640" s="29" t="str">
        <f t="shared" si="81"/>
        <v/>
      </c>
      <c r="Y1640" s="29" t="str">
        <f>IF(AND(LEFT($B1640,7)="SBA 26/",$D1640&lt;&gt;"",$F1640&lt;&gt;""),COUNTIFS($D$2:$D1640,$D1640,$B$2:$B1640,"SBA 26/*",$F$2:$F1640,"&lt;&gt;"),"")</f>
        <v/>
      </c>
      <c r="Z1640" s="29" t="str">
        <f>IF(Y1640=1,COUNTIF($Y$2:Y1640,1),"")</f>
        <v/>
      </c>
      <c r="AA1640" s="29" t="str">
        <f>IF(AND(LEFT($B1640,7)="SBA 26/",$C1640&lt;&gt;"",$F1640&lt;&gt;""),COUNTIFS($C$2:$C1640,$C1640,$B$2:$B1640,"SBA 26/*",$F$2:$F1640,"&lt;&gt;"),"")</f>
        <v/>
      </c>
      <c r="AB1640" s="29" t="str">
        <f>IF(AA1640=1,COUNTIF($AA$2:AA1640,1),"")</f>
        <v/>
      </c>
    </row>
    <row r="1641" spans="6:28" ht="31.5" customHeight="1" x14ac:dyDescent="0.2">
      <c r="F1641" s="45" t="s">
        <v>4317</v>
      </c>
      <c r="T1641" s="41"/>
      <c r="U1641" s="29" t="str">
        <f>IF($C1641&lt;&gt;"",COUNTIF($C$2:C1641,C1641),"")</f>
        <v/>
      </c>
      <c r="V1641" s="29" t="str">
        <f t="shared" si="82"/>
        <v/>
      </c>
      <c r="W1641" s="29" t="str">
        <f>IF(U1641=1,COUNTIF($U$2:U1641,1),"")</f>
        <v/>
      </c>
      <c r="X1641" s="29" t="str">
        <f t="shared" si="81"/>
        <v/>
      </c>
      <c r="Y1641" s="29" t="str">
        <f>IF(AND(LEFT($B1641,7)="SBA 26/",$D1641&lt;&gt;"",$F1641&lt;&gt;""),COUNTIFS($D$2:$D1641,$D1641,$B$2:$B1641,"SBA 26/*",$F$2:$F1641,"&lt;&gt;"),"")</f>
        <v/>
      </c>
      <c r="Z1641" s="29" t="str">
        <f>IF(Y1641=1,COUNTIF($Y$2:Y1641,1),"")</f>
        <v/>
      </c>
      <c r="AA1641" s="29" t="str">
        <f>IF(AND(LEFT($B1641,7)="SBA 26/",$C1641&lt;&gt;"",$F1641&lt;&gt;""),COUNTIFS($C$2:$C1641,$C1641,$B$2:$B1641,"SBA 26/*",$F$2:$F1641,"&lt;&gt;"),"")</f>
        <v/>
      </c>
      <c r="AB1641" s="29" t="str">
        <f>IF(AA1641=1,COUNTIF($AA$2:AA1641,1),"")</f>
        <v/>
      </c>
    </row>
    <row r="1642" spans="6:28" ht="31.5" customHeight="1" x14ac:dyDescent="0.2">
      <c r="F1642" s="45" t="s">
        <v>4318</v>
      </c>
      <c r="T1642" s="41"/>
      <c r="U1642" s="29" t="str">
        <f>IF($C1642&lt;&gt;"",COUNTIF($C$2:C1642,C1642),"")</f>
        <v/>
      </c>
      <c r="V1642" s="29" t="str">
        <f t="shared" si="82"/>
        <v/>
      </c>
      <c r="W1642" s="29" t="str">
        <f>IF(U1642=1,COUNTIF($U$2:U1642,1),"")</f>
        <v/>
      </c>
      <c r="X1642" s="29" t="str">
        <f t="shared" si="81"/>
        <v/>
      </c>
      <c r="Y1642" s="29" t="str">
        <f>IF(AND(LEFT($B1642,7)="SBA 26/",$D1642&lt;&gt;"",$F1642&lt;&gt;""),COUNTIFS($D$2:$D1642,$D1642,$B$2:$B1642,"SBA 26/*",$F$2:$F1642,"&lt;&gt;"),"")</f>
        <v/>
      </c>
      <c r="Z1642" s="29" t="str">
        <f>IF(Y1642=1,COUNTIF($Y$2:Y1642,1),"")</f>
        <v/>
      </c>
      <c r="AA1642" s="29" t="str">
        <f>IF(AND(LEFT($B1642,7)="SBA 26/",$C1642&lt;&gt;"",$F1642&lt;&gt;""),COUNTIFS($C$2:$C1642,$C1642,$B$2:$B1642,"SBA 26/*",$F$2:$F1642,"&lt;&gt;"),"")</f>
        <v/>
      </c>
      <c r="AB1642" s="29" t="str">
        <f>IF(AA1642=1,COUNTIF($AA$2:AA1642,1),"")</f>
        <v/>
      </c>
    </row>
    <row r="1643" spans="6:28" ht="31.5" customHeight="1" x14ac:dyDescent="0.2">
      <c r="F1643" s="45" t="s">
        <v>4319</v>
      </c>
      <c r="T1643" s="41"/>
      <c r="U1643" s="29" t="str">
        <f>IF($C1643&lt;&gt;"",COUNTIF($C$2:C1643,C1643),"")</f>
        <v/>
      </c>
      <c r="V1643" s="29" t="str">
        <f t="shared" si="82"/>
        <v/>
      </c>
      <c r="W1643" s="29" t="str">
        <f>IF(U1643=1,COUNTIF($U$2:U1643,1),"")</f>
        <v/>
      </c>
      <c r="X1643" s="29" t="str">
        <f t="shared" si="81"/>
        <v/>
      </c>
      <c r="Y1643" s="29" t="str">
        <f>IF(AND(LEFT($B1643,7)="SBA 26/",$D1643&lt;&gt;"",$F1643&lt;&gt;""),COUNTIFS($D$2:$D1643,$D1643,$B$2:$B1643,"SBA 26/*",$F$2:$F1643,"&lt;&gt;"),"")</f>
        <v/>
      </c>
      <c r="Z1643" s="29" t="str">
        <f>IF(Y1643=1,COUNTIF($Y$2:Y1643,1),"")</f>
        <v/>
      </c>
      <c r="AA1643" s="29" t="str">
        <f>IF(AND(LEFT($B1643,7)="SBA 26/",$C1643&lt;&gt;"",$F1643&lt;&gt;""),COUNTIFS($C$2:$C1643,$C1643,$B$2:$B1643,"SBA 26/*",$F$2:$F1643,"&lt;&gt;"),"")</f>
        <v/>
      </c>
      <c r="AB1643" s="29" t="str">
        <f>IF(AA1643=1,COUNTIF($AA$2:AA1643,1),"")</f>
        <v/>
      </c>
    </row>
    <row r="1644" spans="6:28" ht="47.25" customHeight="1" x14ac:dyDescent="0.2">
      <c r="F1644" s="45" t="s">
        <v>4320</v>
      </c>
      <c r="T1644" s="41"/>
      <c r="U1644" s="29" t="str">
        <f>IF($C1644&lt;&gt;"",COUNTIF($C$2:C1644,C1644),"")</f>
        <v/>
      </c>
      <c r="V1644" s="29" t="str">
        <f t="shared" si="82"/>
        <v/>
      </c>
      <c r="W1644" s="29" t="str">
        <f>IF(U1644=1,COUNTIF($U$2:U1644,1),"")</f>
        <v/>
      </c>
      <c r="X1644" s="29" t="str">
        <f t="shared" si="81"/>
        <v/>
      </c>
      <c r="Y1644" s="29" t="str">
        <f>IF(AND(LEFT($B1644,7)="SBA 26/",$D1644&lt;&gt;"",$F1644&lt;&gt;""),COUNTIFS($D$2:$D1644,$D1644,$B$2:$B1644,"SBA 26/*",$F$2:$F1644,"&lt;&gt;"),"")</f>
        <v/>
      </c>
      <c r="Z1644" s="29" t="str">
        <f>IF(Y1644=1,COUNTIF($Y$2:Y1644,1),"")</f>
        <v/>
      </c>
      <c r="AA1644" s="29" t="str">
        <f>IF(AND(LEFT($B1644,7)="SBA 26/",$C1644&lt;&gt;"",$F1644&lt;&gt;""),COUNTIFS($C$2:$C1644,$C1644,$B$2:$B1644,"SBA 26/*",$F$2:$F1644,"&lt;&gt;"),"")</f>
        <v/>
      </c>
      <c r="AB1644" s="29" t="str">
        <f>IF(AA1644=1,COUNTIF($AA$2:AA1644,1),"")</f>
        <v/>
      </c>
    </row>
    <row r="1645" spans="6:28" ht="47.25" customHeight="1" x14ac:dyDescent="0.2">
      <c r="F1645" s="45" t="s">
        <v>4321</v>
      </c>
      <c r="T1645" s="41"/>
      <c r="U1645" s="29" t="str">
        <f>IF($C1645&lt;&gt;"",COUNTIF($C$2:C1645,C1645),"")</f>
        <v/>
      </c>
      <c r="V1645" s="29" t="str">
        <f t="shared" si="82"/>
        <v/>
      </c>
      <c r="W1645" s="29" t="str">
        <f>IF(U1645=1,COUNTIF($U$2:U1645,1),"")</f>
        <v/>
      </c>
      <c r="X1645" s="29" t="str">
        <f t="shared" ref="X1645:X1708" si="83">IF(U1645=1,SUMPRODUCT(($U$2:$U$1833=1)*($C$2:$C$1833&lt;C1645))+1,"")</f>
        <v/>
      </c>
      <c r="Y1645" s="29" t="str">
        <f>IF(AND(LEFT($B1645,7)="SBA 26/",$D1645&lt;&gt;"",$F1645&lt;&gt;""),COUNTIFS($D$2:$D1645,$D1645,$B$2:$B1645,"SBA 26/*",$F$2:$F1645,"&lt;&gt;"),"")</f>
        <v/>
      </c>
      <c r="Z1645" s="29" t="str">
        <f>IF(Y1645=1,COUNTIF($Y$2:Y1645,1),"")</f>
        <v/>
      </c>
      <c r="AA1645" s="29" t="str">
        <f>IF(AND(LEFT($B1645,7)="SBA 26/",$C1645&lt;&gt;"",$F1645&lt;&gt;""),COUNTIFS($C$2:$C1645,$C1645,$B$2:$B1645,"SBA 26/*",$F$2:$F1645,"&lt;&gt;"),"")</f>
        <v/>
      </c>
      <c r="AB1645" s="29" t="str">
        <f>IF(AA1645=1,COUNTIF($AA$2:AA1645,1),"")</f>
        <v/>
      </c>
    </row>
    <row r="1646" spans="6:28" ht="31.5" customHeight="1" x14ac:dyDescent="0.2">
      <c r="F1646" s="45" t="s">
        <v>4322</v>
      </c>
      <c r="T1646" s="41"/>
      <c r="U1646" s="29" t="str">
        <f>IF($C1646&lt;&gt;"",COUNTIF($C$2:C1646,C1646),"")</f>
        <v/>
      </c>
      <c r="V1646" s="29" t="str">
        <f t="shared" si="82"/>
        <v/>
      </c>
      <c r="W1646" s="29" t="str">
        <f>IF(U1646=1,COUNTIF($U$2:U1646,1),"")</f>
        <v/>
      </c>
      <c r="X1646" s="29" t="str">
        <f t="shared" si="83"/>
        <v/>
      </c>
      <c r="Y1646" s="29" t="str">
        <f>IF(AND(LEFT($B1646,7)="SBA 26/",$D1646&lt;&gt;"",$F1646&lt;&gt;""),COUNTIFS($D$2:$D1646,$D1646,$B$2:$B1646,"SBA 26/*",$F$2:$F1646,"&lt;&gt;"),"")</f>
        <v/>
      </c>
      <c r="Z1646" s="29" t="str">
        <f>IF(Y1646=1,COUNTIF($Y$2:Y1646,1),"")</f>
        <v/>
      </c>
      <c r="AA1646" s="29" t="str">
        <f>IF(AND(LEFT($B1646,7)="SBA 26/",$C1646&lt;&gt;"",$F1646&lt;&gt;""),COUNTIFS($C$2:$C1646,$C1646,$B$2:$B1646,"SBA 26/*",$F$2:$F1646,"&lt;&gt;"),"")</f>
        <v/>
      </c>
      <c r="AB1646" s="29" t="str">
        <f>IF(AA1646=1,COUNTIF($AA$2:AA1646,1),"")</f>
        <v/>
      </c>
    </row>
    <row r="1647" spans="6:28" ht="63" customHeight="1" x14ac:dyDescent="0.2">
      <c r="F1647" s="45" t="s">
        <v>4323</v>
      </c>
      <c r="T1647" s="41"/>
      <c r="U1647" s="29" t="str">
        <f>IF($C1647&lt;&gt;"",COUNTIF($C$2:C1647,C1647),"")</f>
        <v/>
      </c>
      <c r="V1647" s="29" t="str">
        <f t="shared" si="82"/>
        <v/>
      </c>
      <c r="W1647" s="29" t="str">
        <f>IF(U1647=1,COUNTIF($U$2:U1647,1),"")</f>
        <v/>
      </c>
      <c r="X1647" s="29" t="str">
        <f t="shared" si="83"/>
        <v/>
      </c>
      <c r="Y1647" s="29" t="str">
        <f>IF(AND(LEFT($B1647,7)="SBA 26/",$D1647&lt;&gt;"",$F1647&lt;&gt;""),COUNTIFS($D$2:$D1647,$D1647,$B$2:$B1647,"SBA 26/*",$F$2:$F1647,"&lt;&gt;"),"")</f>
        <v/>
      </c>
      <c r="Z1647" s="29" t="str">
        <f>IF(Y1647=1,COUNTIF($Y$2:Y1647,1),"")</f>
        <v/>
      </c>
      <c r="AA1647" s="29" t="str">
        <f>IF(AND(LEFT($B1647,7)="SBA 26/",$C1647&lt;&gt;"",$F1647&lt;&gt;""),COUNTIFS($C$2:$C1647,$C1647,$B$2:$B1647,"SBA 26/*",$F$2:$F1647,"&lt;&gt;"),"")</f>
        <v/>
      </c>
      <c r="AB1647" s="29" t="str">
        <f>IF(AA1647=1,COUNTIF($AA$2:AA1647,1),"")</f>
        <v/>
      </c>
    </row>
    <row r="1648" spans="6:28" ht="47.25" customHeight="1" x14ac:dyDescent="0.2">
      <c r="F1648" s="45" t="s">
        <v>4324</v>
      </c>
      <c r="T1648" s="41"/>
      <c r="U1648" s="29" t="str">
        <f>IF($C1648&lt;&gt;"",COUNTIF($C$2:C1648,C1648),"")</f>
        <v/>
      </c>
      <c r="V1648" s="29" t="str">
        <f t="shared" si="82"/>
        <v/>
      </c>
      <c r="W1648" s="29" t="str">
        <f>IF(U1648=1,COUNTIF($U$2:U1648,1),"")</f>
        <v/>
      </c>
      <c r="X1648" s="29" t="str">
        <f t="shared" si="83"/>
        <v/>
      </c>
      <c r="Y1648" s="29" t="str">
        <f>IF(AND(LEFT($B1648,7)="SBA 26/",$D1648&lt;&gt;"",$F1648&lt;&gt;""),COUNTIFS($D$2:$D1648,$D1648,$B$2:$B1648,"SBA 26/*",$F$2:$F1648,"&lt;&gt;"),"")</f>
        <v/>
      </c>
      <c r="Z1648" s="29" t="str">
        <f>IF(Y1648=1,COUNTIF($Y$2:Y1648,1),"")</f>
        <v/>
      </c>
      <c r="AA1648" s="29" t="str">
        <f>IF(AND(LEFT($B1648,7)="SBA 26/",$C1648&lt;&gt;"",$F1648&lt;&gt;""),COUNTIFS($C$2:$C1648,$C1648,$B$2:$B1648,"SBA 26/*",$F$2:$F1648,"&lt;&gt;"),"")</f>
        <v/>
      </c>
      <c r="AB1648" s="29" t="str">
        <f>IF(AA1648=1,COUNTIF($AA$2:AA1648,1),"")</f>
        <v/>
      </c>
    </row>
    <row r="1649" spans="6:28" ht="47.25" customHeight="1" x14ac:dyDescent="0.2">
      <c r="F1649" s="45" t="s">
        <v>4325</v>
      </c>
      <c r="T1649" s="41"/>
      <c r="U1649" s="29" t="str">
        <f>IF($C1649&lt;&gt;"",COUNTIF($C$2:C1649,C1649),"")</f>
        <v/>
      </c>
      <c r="V1649" s="29" t="str">
        <f t="shared" si="82"/>
        <v/>
      </c>
      <c r="W1649" s="29" t="str">
        <f>IF(U1649=1,COUNTIF($U$2:U1649,1),"")</f>
        <v/>
      </c>
      <c r="X1649" s="29" t="str">
        <f t="shared" si="83"/>
        <v/>
      </c>
      <c r="Y1649" s="29" t="str">
        <f>IF(AND(LEFT($B1649,7)="SBA 26/",$D1649&lt;&gt;"",$F1649&lt;&gt;""),COUNTIFS($D$2:$D1649,$D1649,$B$2:$B1649,"SBA 26/*",$F$2:$F1649,"&lt;&gt;"),"")</f>
        <v/>
      </c>
      <c r="Z1649" s="29" t="str">
        <f>IF(Y1649=1,COUNTIF($Y$2:Y1649,1),"")</f>
        <v/>
      </c>
      <c r="AA1649" s="29" t="str">
        <f>IF(AND(LEFT($B1649,7)="SBA 26/",$C1649&lt;&gt;"",$F1649&lt;&gt;""),COUNTIFS($C$2:$C1649,$C1649,$B$2:$B1649,"SBA 26/*",$F$2:$F1649,"&lt;&gt;"),"")</f>
        <v/>
      </c>
      <c r="AB1649" s="29" t="str">
        <f>IF(AA1649=1,COUNTIF($AA$2:AA1649,1),"")</f>
        <v/>
      </c>
    </row>
    <row r="1650" spans="6:28" ht="63" customHeight="1" x14ac:dyDescent="0.2">
      <c r="F1650" s="45" t="s">
        <v>4326</v>
      </c>
      <c r="T1650" s="41"/>
      <c r="U1650" s="29" t="str">
        <f>IF($C1650&lt;&gt;"",COUNTIF($C$2:C1650,C1650),"")</f>
        <v/>
      </c>
      <c r="V1650" s="29" t="str">
        <f t="shared" si="82"/>
        <v/>
      </c>
      <c r="W1650" s="29" t="str">
        <f>IF(U1650=1,COUNTIF($U$2:U1650,1),"")</f>
        <v/>
      </c>
      <c r="X1650" s="29" t="str">
        <f t="shared" si="83"/>
        <v/>
      </c>
      <c r="Y1650" s="29" t="str">
        <f>IF(AND(LEFT($B1650,7)="SBA 26/",$D1650&lt;&gt;"",$F1650&lt;&gt;""),COUNTIFS($D$2:$D1650,$D1650,$B$2:$B1650,"SBA 26/*",$F$2:$F1650,"&lt;&gt;"),"")</f>
        <v/>
      </c>
      <c r="Z1650" s="29" t="str">
        <f>IF(Y1650=1,COUNTIF($Y$2:Y1650,1),"")</f>
        <v/>
      </c>
      <c r="AA1650" s="29" t="str">
        <f>IF(AND(LEFT($B1650,7)="SBA 26/",$C1650&lt;&gt;"",$F1650&lt;&gt;""),COUNTIFS($C$2:$C1650,$C1650,$B$2:$B1650,"SBA 26/*",$F$2:$F1650,"&lt;&gt;"),"")</f>
        <v/>
      </c>
      <c r="AB1650" s="29" t="str">
        <f>IF(AA1650=1,COUNTIF($AA$2:AA1650,1),"")</f>
        <v/>
      </c>
    </row>
    <row r="1651" spans="6:28" ht="47.25" customHeight="1" x14ac:dyDescent="0.2">
      <c r="F1651" s="45" t="s">
        <v>4327</v>
      </c>
      <c r="T1651" s="41"/>
      <c r="U1651" s="29" t="str">
        <f>IF($C1651&lt;&gt;"",COUNTIF($C$2:C1651,C1651),"")</f>
        <v/>
      </c>
      <c r="V1651" s="29" t="str">
        <f t="shared" si="82"/>
        <v/>
      </c>
      <c r="W1651" s="29" t="str">
        <f>IF(U1651=1,COUNTIF($U$2:U1651,1),"")</f>
        <v/>
      </c>
      <c r="X1651" s="29" t="str">
        <f t="shared" si="83"/>
        <v/>
      </c>
      <c r="Y1651" s="29" t="str">
        <f>IF(AND(LEFT($B1651,7)="SBA 26/",$D1651&lt;&gt;"",$F1651&lt;&gt;""),COUNTIFS($D$2:$D1651,$D1651,$B$2:$B1651,"SBA 26/*",$F$2:$F1651,"&lt;&gt;"),"")</f>
        <v/>
      </c>
      <c r="Z1651" s="29" t="str">
        <f>IF(Y1651=1,COUNTIF($Y$2:Y1651,1),"")</f>
        <v/>
      </c>
      <c r="AA1651" s="29" t="str">
        <f>IF(AND(LEFT($B1651,7)="SBA 26/",$C1651&lt;&gt;"",$F1651&lt;&gt;""),COUNTIFS($C$2:$C1651,$C1651,$B$2:$B1651,"SBA 26/*",$F$2:$F1651,"&lt;&gt;"),"")</f>
        <v/>
      </c>
      <c r="AB1651" s="29" t="str">
        <f>IF(AA1651=1,COUNTIF($AA$2:AA1651,1),"")</f>
        <v/>
      </c>
    </row>
    <row r="1652" spans="6:28" ht="47.25" customHeight="1" x14ac:dyDescent="0.2">
      <c r="F1652" s="45" t="s">
        <v>4328</v>
      </c>
      <c r="T1652" s="41"/>
      <c r="U1652" s="29" t="str">
        <f>IF($C1652&lt;&gt;"",COUNTIF($C$2:C1652,C1652),"")</f>
        <v/>
      </c>
      <c r="V1652" s="29" t="str">
        <f t="shared" si="82"/>
        <v/>
      </c>
      <c r="W1652" s="29" t="str">
        <f>IF(U1652=1,COUNTIF($U$2:U1652,1),"")</f>
        <v/>
      </c>
      <c r="X1652" s="29" t="str">
        <f t="shared" si="83"/>
        <v/>
      </c>
      <c r="Y1652" s="29" t="str">
        <f>IF(AND(LEFT($B1652,7)="SBA 26/",$D1652&lt;&gt;"",$F1652&lt;&gt;""),COUNTIFS($D$2:$D1652,$D1652,$B$2:$B1652,"SBA 26/*",$F$2:$F1652,"&lt;&gt;"),"")</f>
        <v/>
      </c>
      <c r="Z1652" s="29" t="str">
        <f>IF(Y1652=1,COUNTIF($Y$2:Y1652,1),"")</f>
        <v/>
      </c>
      <c r="AA1652" s="29" t="str">
        <f>IF(AND(LEFT($B1652,7)="SBA 26/",$C1652&lt;&gt;"",$F1652&lt;&gt;""),COUNTIFS($C$2:$C1652,$C1652,$B$2:$B1652,"SBA 26/*",$F$2:$F1652,"&lt;&gt;"),"")</f>
        <v/>
      </c>
      <c r="AB1652" s="29" t="str">
        <f>IF(AA1652=1,COUNTIF($AA$2:AA1652,1),"")</f>
        <v/>
      </c>
    </row>
    <row r="1653" spans="6:28" ht="31.5" customHeight="1" x14ac:dyDescent="0.2">
      <c r="F1653" s="45" t="s">
        <v>4329</v>
      </c>
      <c r="T1653" s="41"/>
      <c r="U1653" s="29" t="str">
        <f>IF($C1653&lt;&gt;"",COUNTIF($C$2:C1653,C1653),"")</f>
        <v/>
      </c>
      <c r="V1653" s="29" t="str">
        <f t="shared" si="82"/>
        <v/>
      </c>
      <c r="W1653" s="29" t="str">
        <f>IF(U1653=1,COUNTIF($U$2:U1653,1),"")</f>
        <v/>
      </c>
      <c r="X1653" s="29" t="str">
        <f t="shared" si="83"/>
        <v/>
      </c>
      <c r="Y1653" s="29" t="str">
        <f>IF(AND(LEFT($B1653,7)="SBA 26/",$D1653&lt;&gt;"",$F1653&lt;&gt;""),COUNTIFS($D$2:$D1653,$D1653,$B$2:$B1653,"SBA 26/*",$F$2:$F1653,"&lt;&gt;"),"")</f>
        <v/>
      </c>
      <c r="Z1653" s="29" t="str">
        <f>IF(Y1653=1,COUNTIF($Y$2:Y1653,1),"")</f>
        <v/>
      </c>
      <c r="AA1653" s="29" t="str">
        <f>IF(AND(LEFT($B1653,7)="SBA 26/",$C1653&lt;&gt;"",$F1653&lt;&gt;""),COUNTIFS($C$2:$C1653,$C1653,$B$2:$B1653,"SBA 26/*",$F$2:$F1653,"&lt;&gt;"),"")</f>
        <v/>
      </c>
      <c r="AB1653" s="29" t="str">
        <f>IF(AA1653=1,COUNTIF($AA$2:AA1653,1),"")</f>
        <v/>
      </c>
    </row>
    <row r="1654" spans="6:28" ht="63" customHeight="1" x14ac:dyDescent="0.2">
      <c r="F1654" s="45" t="s">
        <v>4330</v>
      </c>
      <c r="T1654" s="41"/>
      <c r="U1654" s="29" t="str">
        <f>IF($C1654&lt;&gt;"",COUNTIF($C$2:C1654,C1654),"")</f>
        <v/>
      </c>
      <c r="V1654" s="29" t="str">
        <f t="shared" si="82"/>
        <v/>
      </c>
      <c r="W1654" s="29" t="str">
        <f>IF(U1654=1,COUNTIF($U$2:U1654,1),"")</f>
        <v/>
      </c>
      <c r="X1654" s="29" t="str">
        <f t="shared" si="83"/>
        <v/>
      </c>
      <c r="Y1654" s="29" t="str">
        <f>IF(AND(LEFT($B1654,7)="SBA 26/",$D1654&lt;&gt;"",$F1654&lt;&gt;""),COUNTIFS($D$2:$D1654,$D1654,$B$2:$B1654,"SBA 26/*",$F$2:$F1654,"&lt;&gt;"),"")</f>
        <v/>
      </c>
      <c r="Z1654" s="29" t="str">
        <f>IF(Y1654=1,COUNTIF($Y$2:Y1654,1),"")</f>
        <v/>
      </c>
      <c r="AA1654" s="29" t="str">
        <f>IF(AND(LEFT($B1654,7)="SBA 26/",$C1654&lt;&gt;"",$F1654&lt;&gt;""),COUNTIFS($C$2:$C1654,$C1654,$B$2:$B1654,"SBA 26/*",$F$2:$F1654,"&lt;&gt;"),"")</f>
        <v/>
      </c>
      <c r="AB1654" s="29" t="str">
        <f>IF(AA1654=1,COUNTIF($AA$2:AA1654,1),"")</f>
        <v/>
      </c>
    </row>
    <row r="1655" spans="6:28" ht="47.25" customHeight="1" x14ac:dyDescent="0.2">
      <c r="F1655" s="45" t="s">
        <v>4331</v>
      </c>
      <c r="T1655" s="41"/>
      <c r="U1655" s="29" t="str">
        <f>IF($C1655&lt;&gt;"",COUNTIF($C$2:C1655,C1655),"")</f>
        <v/>
      </c>
      <c r="V1655" s="29" t="str">
        <f t="shared" si="82"/>
        <v/>
      </c>
      <c r="W1655" s="29" t="str">
        <f>IF(U1655=1,COUNTIF($U$2:U1655,1),"")</f>
        <v/>
      </c>
      <c r="X1655" s="29" t="str">
        <f t="shared" si="83"/>
        <v/>
      </c>
      <c r="Y1655" s="29" t="str">
        <f>IF(AND(LEFT($B1655,7)="SBA 26/",$D1655&lt;&gt;"",$F1655&lt;&gt;""),COUNTIFS($D$2:$D1655,$D1655,$B$2:$B1655,"SBA 26/*",$F$2:$F1655,"&lt;&gt;"),"")</f>
        <v/>
      </c>
      <c r="Z1655" s="29" t="str">
        <f>IF(Y1655=1,COUNTIF($Y$2:Y1655,1),"")</f>
        <v/>
      </c>
      <c r="AA1655" s="29" t="str">
        <f>IF(AND(LEFT($B1655,7)="SBA 26/",$C1655&lt;&gt;"",$F1655&lt;&gt;""),COUNTIFS($C$2:$C1655,$C1655,$B$2:$B1655,"SBA 26/*",$F$2:$F1655,"&lt;&gt;"),"")</f>
        <v/>
      </c>
      <c r="AB1655" s="29" t="str">
        <f>IF(AA1655=1,COUNTIF($AA$2:AA1655,1),"")</f>
        <v/>
      </c>
    </row>
    <row r="1656" spans="6:28" ht="47.25" customHeight="1" x14ac:dyDescent="0.2">
      <c r="F1656" s="45" t="s">
        <v>4332</v>
      </c>
      <c r="T1656" s="41"/>
      <c r="U1656" s="29" t="str">
        <f>IF($C1656&lt;&gt;"",COUNTIF($C$2:C1656,C1656),"")</f>
        <v/>
      </c>
      <c r="V1656" s="29" t="str">
        <f t="shared" si="82"/>
        <v/>
      </c>
      <c r="W1656" s="29" t="str">
        <f>IF(U1656=1,COUNTIF($U$2:U1656,1),"")</f>
        <v/>
      </c>
      <c r="X1656" s="29" t="str">
        <f t="shared" si="83"/>
        <v/>
      </c>
      <c r="Y1656" s="29" t="str">
        <f>IF(AND(LEFT($B1656,7)="SBA 26/",$D1656&lt;&gt;"",$F1656&lt;&gt;""),COUNTIFS($D$2:$D1656,$D1656,$B$2:$B1656,"SBA 26/*",$F$2:$F1656,"&lt;&gt;"),"")</f>
        <v/>
      </c>
      <c r="Z1656" s="29" t="str">
        <f>IF(Y1656=1,COUNTIF($Y$2:Y1656,1),"")</f>
        <v/>
      </c>
      <c r="AA1656" s="29" t="str">
        <f>IF(AND(LEFT($B1656,7)="SBA 26/",$C1656&lt;&gt;"",$F1656&lt;&gt;""),COUNTIFS($C$2:$C1656,$C1656,$B$2:$B1656,"SBA 26/*",$F$2:$F1656,"&lt;&gt;"),"")</f>
        <v/>
      </c>
      <c r="AB1656" s="29" t="str">
        <f>IF(AA1656=1,COUNTIF($AA$2:AA1656,1),"")</f>
        <v/>
      </c>
    </row>
    <row r="1657" spans="6:28" ht="47.25" customHeight="1" x14ac:dyDescent="0.2">
      <c r="F1657" s="45" t="s">
        <v>4333</v>
      </c>
      <c r="T1657" s="41"/>
      <c r="U1657" s="29" t="str">
        <f>IF($C1657&lt;&gt;"",COUNTIF($C$2:C1657,C1657),"")</f>
        <v/>
      </c>
      <c r="V1657" s="29" t="str">
        <f t="shared" si="82"/>
        <v/>
      </c>
      <c r="W1657" s="29" t="str">
        <f>IF(U1657=1,COUNTIF($U$2:U1657,1),"")</f>
        <v/>
      </c>
      <c r="X1657" s="29" t="str">
        <f t="shared" si="83"/>
        <v/>
      </c>
      <c r="Y1657" s="29" t="str">
        <f>IF(AND(LEFT($B1657,7)="SBA 26/",$D1657&lt;&gt;"",$F1657&lt;&gt;""),COUNTIFS($D$2:$D1657,$D1657,$B$2:$B1657,"SBA 26/*",$F$2:$F1657,"&lt;&gt;"),"")</f>
        <v/>
      </c>
      <c r="Z1657" s="29" t="str">
        <f>IF(Y1657=1,COUNTIF($Y$2:Y1657,1),"")</f>
        <v/>
      </c>
      <c r="AA1657" s="29" t="str">
        <f>IF(AND(LEFT($B1657,7)="SBA 26/",$C1657&lt;&gt;"",$F1657&lt;&gt;""),COUNTIFS($C$2:$C1657,$C1657,$B$2:$B1657,"SBA 26/*",$F$2:$F1657,"&lt;&gt;"),"")</f>
        <v/>
      </c>
      <c r="AB1657" s="29" t="str">
        <f>IF(AA1657=1,COUNTIF($AA$2:AA1657,1),"")</f>
        <v/>
      </c>
    </row>
    <row r="1658" spans="6:28" ht="31.5" customHeight="1" x14ac:dyDescent="0.2">
      <c r="F1658" s="45" t="s">
        <v>4334</v>
      </c>
      <c r="T1658" s="41"/>
      <c r="U1658" s="29" t="str">
        <f>IF($C1658&lt;&gt;"",COUNTIF($C$2:C1658,C1658),"")</f>
        <v/>
      </c>
      <c r="V1658" s="29" t="str">
        <f t="shared" si="82"/>
        <v/>
      </c>
      <c r="W1658" s="29" t="str">
        <f>IF(U1658=1,COUNTIF($U$2:U1658,1),"")</f>
        <v/>
      </c>
      <c r="X1658" s="29" t="str">
        <f t="shared" si="83"/>
        <v/>
      </c>
      <c r="Y1658" s="29" t="str">
        <f>IF(AND(LEFT($B1658,7)="SBA 26/",$D1658&lt;&gt;"",$F1658&lt;&gt;""),COUNTIFS($D$2:$D1658,$D1658,$B$2:$B1658,"SBA 26/*",$F$2:$F1658,"&lt;&gt;"),"")</f>
        <v/>
      </c>
      <c r="Z1658" s="29" t="str">
        <f>IF(Y1658=1,COUNTIF($Y$2:Y1658,1),"")</f>
        <v/>
      </c>
      <c r="AA1658" s="29" t="str">
        <f>IF(AND(LEFT($B1658,7)="SBA 26/",$C1658&lt;&gt;"",$F1658&lt;&gt;""),COUNTIFS($C$2:$C1658,$C1658,$B$2:$B1658,"SBA 26/*",$F$2:$F1658,"&lt;&gt;"),"")</f>
        <v/>
      </c>
      <c r="AB1658" s="29" t="str">
        <f>IF(AA1658=1,COUNTIF($AA$2:AA1658,1),"")</f>
        <v/>
      </c>
    </row>
    <row r="1659" spans="6:28" ht="31.5" customHeight="1" x14ac:dyDescent="0.2">
      <c r="F1659" s="45" t="s">
        <v>4335</v>
      </c>
      <c r="T1659" s="41"/>
      <c r="U1659" s="29" t="str">
        <f>IF($C1659&lt;&gt;"",COUNTIF($C$2:C1659,C1659),"")</f>
        <v/>
      </c>
      <c r="V1659" s="29" t="str">
        <f t="shared" si="82"/>
        <v/>
      </c>
      <c r="W1659" s="29" t="str">
        <f>IF(U1659=1,COUNTIF($U$2:U1659,1),"")</f>
        <v/>
      </c>
      <c r="X1659" s="29" t="str">
        <f t="shared" si="83"/>
        <v/>
      </c>
      <c r="Y1659" s="29" t="str">
        <f>IF(AND(LEFT($B1659,7)="SBA 26/",$D1659&lt;&gt;"",$F1659&lt;&gt;""),COUNTIFS($D$2:$D1659,$D1659,$B$2:$B1659,"SBA 26/*",$F$2:$F1659,"&lt;&gt;"),"")</f>
        <v/>
      </c>
      <c r="Z1659" s="29" t="str">
        <f>IF(Y1659=1,COUNTIF($Y$2:Y1659,1),"")</f>
        <v/>
      </c>
      <c r="AA1659" s="29" t="str">
        <f>IF(AND(LEFT($B1659,7)="SBA 26/",$C1659&lt;&gt;"",$F1659&lt;&gt;""),COUNTIFS($C$2:$C1659,$C1659,$B$2:$B1659,"SBA 26/*",$F$2:$F1659,"&lt;&gt;"),"")</f>
        <v/>
      </c>
      <c r="AB1659" s="29" t="str">
        <f>IF(AA1659=1,COUNTIF($AA$2:AA1659,1),"")</f>
        <v/>
      </c>
    </row>
    <row r="1660" spans="6:28" ht="47.25" customHeight="1" x14ac:dyDescent="0.2">
      <c r="F1660" s="45" t="s">
        <v>4336</v>
      </c>
      <c r="T1660" s="41"/>
      <c r="U1660" s="29" t="str">
        <f>IF($C1660&lt;&gt;"",COUNTIF($C$2:C1660,C1660),"")</f>
        <v/>
      </c>
      <c r="V1660" s="29" t="str">
        <f t="shared" si="82"/>
        <v/>
      </c>
      <c r="W1660" s="29" t="str">
        <f>IF(U1660=1,COUNTIF($U$2:U1660,1),"")</f>
        <v/>
      </c>
      <c r="X1660" s="29" t="str">
        <f t="shared" si="83"/>
        <v/>
      </c>
      <c r="Y1660" s="29" t="str">
        <f>IF(AND(LEFT($B1660,7)="SBA 26/",$D1660&lt;&gt;"",$F1660&lt;&gt;""),COUNTIFS($D$2:$D1660,$D1660,$B$2:$B1660,"SBA 26/*",$F$2:$F1660,"&lt;&gt;"),"")</f>
        <v/>
      </c>
      <c r="Z1660" s="29" t="str">
        <f>IF(Y1660=1,COUNTIF($Y$2:Y1660,1),"")</f>
        <v/>
      </c>
      <c r="AA1660" s="29" t="str">
        <f>IF(AND(LEFT($B1660,7)="SBA 26/",$C1660&lt;&gt;"",$F1660&lt;&gt;""),COUNTIFS($C$2:$C1660,$C1660,$B$2:$B1660,"SBA 26/*",$F$2:$F1660,"&lt;&gt;"),"")</f>
        <v/>
      </c>
      <c r="AB1660" s="29" t="str">
        <f>IF(AA1660=1,COUNTIF($AA$2:AA1660,1),"")</f>
        <v/>
      </c>
    </row>
    <row r="1661" spans="6:28" ht="78.75" customHeight="1" x14ac:dyDescent="0.2">
      <c r="F1661" s="45" t="s">
        <v>4337</v>
      </c>
      <c r="T1661" s="41"/>
      <c r="U1661" s="29" t="str">
        <f>IF($C1661&lt;&gt;"",COUNTIF($C$2:C1661,C1661),"")</f>
        <v/>
      </c>
      <c r="V1661" s="29" t="str">
        <f t="shared" si="82"/>
        <v/>
      </c>
      <c r="W1661" s="29" t="str">
        <f>IF(U1661=1,COUNTIF($U$2:U1661,1),"")</f>
        <v/>
      </c>
      <c r="X1661" s="29" t="str">
        <f t="shared" si="83"/>
        <v/>
      </c>
      <c r="Y1661" s="29" t="str">
        <f>IF(AND(LEFT($B1661,7)="SBA 26/",$D1661&lt;&gt;"",$F1661&lt;&gt;""),COUNTIFS($D$2:$D1661,$D1661,$B$2:$B1661,"SBA 26/*",$F$2:$F1661,"&lt;&gt;"),"")</f>
        <v/>
      </c>
      <c r="Z1661" s="29" t="str">
        <f>IF(Y1661=1,COUNTIF($Y$2:Y1661,1),"")</f>
        <v/>
      </c>
      <c r="AA1661" s="29" t="str">
        <f>IF(AND(LEFT($B1661,7)="SBA 26/",$C1661&lt;&gt;"",$F1661&lt;&gt;""),COUNTIFS($C$2:$C1661,$C1661,$B$2:$B1661,"SBA 26/*",$F$2:$F1661,"&lt;&gt;"),"")</f>
        <v/>
      </c>
      <c r="AB1661" s="29" t="str">
        <f>IF(AA1661=1,COUNTIF($AA$2:AA1661,1),"")</f>
        <v/>
      </c>
    </row>
    <row r="1662" spans="6:28" ht="31.5" customHeight="1" x14ac:dyDescent="0.2">
      <c r="F1662" s="45" t="s">
        <v>4338</v>
      </c>
      <c r="T1662" s="41"/>
      <c r="U1662" s="29" t="str">
        <f>IF($C1662&lt;&gt;"",COUNTIF($C$2:C1662,C1662),"")</f>
        <v/>
      </c>
      <c r="V1662" s="29" t="str">
        <f t="shared" si="82"/>
        <v/>
      </c>
      <c r="W1662" s="29" t="str">
        <f>IF(U1662=1,COUNTIF($U$2:U1662,1),"")</f>
        <v/>
      </c>
      <c r="X1662" s="29" t="str">
        <f t="shared" si="83"/>
        <v/>
      </c>
      <c r="Y1662" s="29" t="str">
        <f>IF(AND(LEFT($B1662,7)="SBA 26/",$D1662&lt;&gt;"",$F1662&lt;&gt;""),COUNTIFS($D$2:$D1662,$D1662,$B$2:$B1662,"SBA 26/*",$F$2:$F1662,"&lt;&gt;"),"")</f>
        <v/>
      </c>
      <c r="Z1662" s="29" t="str">
        <f>IF(Y1662=1,COUNTIF($Y$2:Y1662,1),"")</f>
        <v/>
      </c>
      <c r="AA1662" s="29" t="str">
        <f>IF(AND(LEFT($B1662,7)="SBA 26/",$C1662&lt;&gt;"",$F1662&lt;&gt;""),COUNTIFS($C$2:$C1662,$C1662,$B$2:$B1662,"SBA 26/*",$F$2:$F1662,"&lt;&gt;"),"")</f>
        <v/>
      </c>
      <c r="AB1662" s="29" t="str">
        <f>IF(AA1662=1,COUNTIF($AA$2:AA1662,1),"")</f>
        <v/>
      </c>
    </row>
    <row r="1663" spans="6:28" ht="47.25" customHeight="1" x14ac:dyDescent="0.2">
      <c r="F1663" s="45" t="s">
        <v>4339</v>
      </c>
      <c r="T1663" s="41"/>
      <c r="U1663" s="29" t="str">
        <f>IF($C1663&lt;&gt;"",COUNTIF($C$2:C1663,C1663),"")</f>
        <v/>
      </c>
      <c r="V1663" s="29" t="str">
        <f t="shared" si="82"/>
        <v/>
      </c>
      <c r="W1663" s="29" t="str">
        <f>IF(U1663=1,COUNTIF($U$2:U1663,1),"")</f>
        <v/>
      </c>
      <c r="X1663" s="29" t="str">
        <f t="shared" si="83"/>
        <v/>
      </c>
      <c r="Y1663" s="29" t="str">
        <f>IF(AND(LEFT($B1663,7)="SBA 26/",$D1663&lt;&gt;"",$F1663&lt;&gt;""),COUNTIFS($D$2:$D1663,$D1663,$B$2:$B1663,"SBA 26/*",$F$2:$F1663,"&lt;&gt;"),"")</f>
        <v/>
      </c>
      <c r="Z1663" s="29" t="str">
        <f>IF(Y1663=1,COUNTIF($Y$2:Y1663,1),"")</f>
        <v/>
      </c>
      <c r="AA1663" s="29" t="str">
        <f>IF(AND(LEFT($B1663,7)="SBA 26/",$C1663&lt;&gt;"",$F1663&lt;&gt;""),COUNTIFS($C$2:$C1663,$C1663,$B$2:$B1663,"SBA 26/*",$F$2:$F1663,"&lt;&gt;"),"")</f>
        <v/>
      </c>
      <c r="AB1663" s="29" t="str">
        <f>IF(AA1663=1,COUNTIF($AA$2:AA1663,1),"")</f>
        <v/>
      </c>
    </row>
    <row r="1664" spans="6:28" ht="31.5" customHeight="1" x14ac:dyDescent="0.2">
      <c r="F1664" s="45" t="s">
        <v>4340</v>
      </c>
      <c r="T1664" s="41"/>
      <c r="U1664" s="29" t="str">
        <f>IF($C1664&lt;&gt;"",COUNTIF($C$2:C1664,C1664),"")</f>
        <v/>
      </c>
      <c r="V1664" s="29" t="str">
        <f t="shared" si="82"/>
        <v/>
      </c>
      <c r="W1664" s="29" t="str">
        <f>IF(U1664=1,COUNTIF($U$2:U1664,1),"")</f>
        <v/>
      </c>
      <c r="X1664" s="29" t="str">
        <f t="shared" si="83"/>
        <v/>
      </c>
      <c r="Y1664" s="29" t="str">
        <f>IF(AND(LEFT($B1664,7)="SBA 26/",$D1664&lt;&gt;"",$F1664&lt;&gt;""),COUNTIFS($D$2:$D1664,$D1664,$B$2:$B1664,"SBA 26/*",$F$2:$F1664,"&lt;&gt;"),"")</f>
        <v/>
      </c>
      <c r="Z1664" s="29" t="str">
        <f>IF(Y1664=1,COUNTIF($Y$2:Y1664,1),"")</f>
        <v/>
      </c>
      <c r="AA1664" s="29" t="str">
        <f>IF(AND(LEFT($B1664,7)="SBA 26/",$C1664&lt;&gt;"",$F1664&lt;&gt;""),COUNTIFS($C$2:$C1664,$C1664,$B$2:$B1664,"SBA 26/*",$F$2:$F1664,"&lt;&gt;"),"")</f>
        <v/>
      </c>
      <c r="AB1664" s="29" t="str">
        <f>IF(AA1664=1,COUNTIF($AA$2:AA1664,1),"")</f>
        <v/>
      </c>
    </row>
    <row r="1665" spans="6:28" ht="31.5" customHeight="1" x14ac:dyDescent="0.2">
      <c r="F1665" s="45" t="s">
        <v>4341</v>
      </c>
      <c r="T1665" s="41"/>
      <c r="U1665" s="29" t="str">
        <f>IF($C1665&lt;&gt;"",COUNTIF($C$2:C1665,C1665),"")</f>
        <v/>
      </c>
      <c r="V1665" s="29" t="str">
        <f t="shared" si="82"/>
        <v/>
      </c>
      <c r="W1665" s="29" t="str">
        <f>IF(U1665=1,COUNTIF($U$2:U1665,1),"")</f>
        <v/>
      </c>
      <c r="X1665" s="29" t="str">
        <f t="shared" si="83"/>
        <v/>
      </c>
      <c r="Y1665" s="29" t="str">
        <f>IF(AND(LEFT($B1665,7)="SBA 26/",$D1665&lt;&gt;"",$F1665&lt;&gt;""),COUNTIFS($D$2:$D1665,$D1665,$B$2:$B1665,"SBA 26/*",$F$2:$F1665,"&lt;&gt;"),"")</f>
        <v/>
      </c>
      <c r="Z1665" s="29" t="str">
        <f>IF(Y1665=1,COUNTIF($Y$2:Y1665,1),"")</f>
        <v/>
      </c>
      <c r="AA1665" s="29" t="str">
        <f>IF(AND(LEFT($B1665,7)="SBA 26/",$C1665&lt;&gt;"",$F1665&lt;&gt;""),COUNTIFS($C$2:$C1665,$C1665,$B$2:$B1665,"SBA 26/*",$F$2:$F1665,"&lt;&gt;"),"")</f>
        <v/>
      </c>
      <c r="AB1665" s="29" t="str">
        <f>IF(AA1665=1,COUNTIF($AA$2:AA1665,1),"")</f>
        <v/>
      </c>
    </row>
    <row r="1666" spans="6:28" ht="31.5" customHeight="1" x14ac:dyDescent="0.2">
      <c r="F1666" s="45" t="s">
        <v>4342</v>
      </c>
      <c r="T1666" s="41"/>
      <c r="U1666" s="29" t="str">
        <f>IF($C1666&lt;&gt;"",COUNTIF($C$2:C1666,C1666),"")</f>
        <v/>
      </c>
      <c r="V1666" s="29" t="str">
        <f t="shared" ref="V1666:V1729" si="84">IF($C1666&lt;&gt;"",C1666&amp;"§"&amp;U1666,"")</f>
        <v/>
      </c>
      <c r="W1666" s="29" t="str">
        <f>IF(U1666=1,COUNTIF($U$2:U1666,1),"")</f>
        <v/>
      </c>
      <c r="X1666" s="29" t="str">
        <f t="shared" si="83"/>
        <v/>
      </c>
      <c r="Y1666" s="29" t="str">
        <f>IF(AND(LEFT($B1666,7)="SBA 26/",$D1666&lt;&gt;"",$F1666&lt;&gt;""),COUNTIFS($D$2:$D1666,$D1666,$B$2:$B1666,"SBA 26/*",$F$2:$F1666,"&lt;&gt;"),"")</f>
        <v/>
      </c>
      <c r="Z1666" s="29" t="str">
        <f>IF(Y1666=1,COUNTIF($Y$2:Y1666,1),"")</f>
        <v/>
      </c>
      <c r="AA1666" s="29" t="str">
        <f>IF(AND(LEFT($B1666,7)="SBA 26/",$C1666&lt;&gt;"",$F1666&lt;&gt;""),COUNTIFS($C$2:$C1666,$C1666,$B$2:$B1666,"SBA 26/*",$F$2:$F1666,"&lt;&gt;"),"")</f>
        <v/>
      </c>
      <c r="AB1666" s="29" t="str">
        <f>IF(AA1666=1,COUNTIF($AA$2:AA1666,1),"")</f>
        <v/>
      </c>
    </row>
    <row r="1667" spans="6:28" ht="47.25" customHeight="1" x14ac:dyDescent="0.2">
      <c r="F1667" s="45" t="s">
        <v>4343</v>
      </c>
      <c r="T1667" s="41"/>
      <c r="U1667" s="29" t="str">
        <f>IF($C1667&lt;&gt;"",COUNTIF($C$2:C1667,C1667),"")</f>
        <v/>
      </c>
      <c r="V1667" s="29" t="str">
        <f t="shared" si="84"/>
        <v/>
      </c>
      <c r="W1667" s="29" t="str">
        <f>IF(U1667=1,COUNTIF($U$2:U1667,1),"")</f>
        <v/>
      </c>
      <c r="X1667" s="29" t="str">
        <f t="shared" si="83"/>
        <v/>
      </c>
      <c r="Y1667" s="29" t="str">
        <f>IF(AND(LEFT($B1667,7)="SBA 26/",$D1667&lt;&gt;"",$F1667&lt;&gt;""),COUNTIFS($D$2:$D1667,$D1667,$B$2:$B1667,"SBA 26/*",$F$2:$F1667,"&lt;&gt;"),"")</f>
        <v/>
      </c>
      <c r="Z1667" s="29" t="str">
        <f>IF(Y1667=1,COUNTIF($Y$2:Y1667,1),"")</f>
        <v/>
      </c>
      <c r="AA1667" s="29" t="str">
        <f>IF(AND(LEFT($B1667,7)="SBA 26/",$C1667&lt;&gt;"",$F1667&lt;&gt;""),COUNTIFS($C$2:$C1667,$C1667,$B$2:$B1667,"SBA 26/*",$F$2:$F1667,"&lt;&gt;"),"")</f>
        <v/>
      </c>
      <c r="AB1667" s="29" t="str">
        <f>IF(AA1667=1,COUNTIF($AA$2:AA1667,1),"")</f>
        <v/>
      </c>
    </row>
    <row r="1668" spans="6:28" ht="31.5" customHeight="1" x14ac:dyDescent="0.2">
      <c r="F1668" s="45" t="s">
        <v>4344</v>
      </c>
      <c r="T1668" s="41"/>
      <c r="U1668" s="29" t="str">
        <f>IF($C1668&lt;&gt;"",COUNTIF($C$2:C1668,C1668),"")</f>
        <v/>
      </c>
      <c r="V1668" s="29" t="str">
        <f t="shared" si="84"/>
        <v/>
      </c>
      <c r="W1668" s="29" t="str">
        <f>IF(U1668=1,COUNTIF($U$2:U1668,1),"")</f>
        <v/>
      </c>
      <c r="X1668" s="29" t="str">
        <f t="shared" si="83"/>
        <v/>
      </c>
      <c r="Y1668" s="29" t="str">
        <f>IF(AND(LEFT($B1668,7)="SBA 26/",$D1668&lt;&gt;"",$F1668&lt;&gt;""),COUNTIFS($D$2:$D1668,$D1668,$B$2:$B1668,"SBA 26/*",$F$2:$F1668,"&lt;&gt;"),"")</f>
        <v/>
      </c>
      <c r="Z1668" s="29" t="str">
        <f>IF(Y1668=1,COUNTIF($Y$2:Y1668,1),"")</f>
        <v/>
      </c>
      <c r="AA1668" s="29" t="str">
        <f>IF(AND(LEFT($B1668,7)="SBA 26/",$C1668&lt;&gt;"",$F1668&lt;&gt;""),COUNTIFS($C$2:$C1668,$C1668,$B$2:$B1668,"SBA 26/*",$F$2:$F1668,"&lt;&gt;"),"")</f>
        <v/>
      </c>
      <c r="AB1668" s="29" t="str">
        <f>IF(AA1668=1,COUNTIF($AA$2:AA1668,1),"")</f>
        <v/>
      </c>
    </row>
    <row r="1669" spans="6:28" ht="31.5" customHeight="1" x14ac:dyDescent="0.2">
      <c r="F1669" s="45" t="s">
        <v>4345</v>
      </c>
      <c r="T1669" s="41"/>
      <c r="U1669" s="29" t="str">
        <f>IF($C1669&lt;&gt;"",COUNTIF($C$2:C1669,C1669),"")</f>
        <v/>
      </c>
      <c r="V1669" s="29" t="str">
        <f t="shared" si="84"/>
        <v/>
      </c>
      <c r="W1669" s="29" t="str">
        <f>IF(U1669=1,COUNTIF($U$2:U1669,1),"")</f>
        <v/>
      </c>
      <c r="X1669" s="29" t="str">
        <f t="shared" si="83"/>
        <v/>
      </c>
      <c r="Y1669" s="29" t="str">
        <f>IF(AND(LEFT($B1669,7)="SBA 26/",$D1669&lt;&gt;"",$F1669&lt;&gt;""),COUNTIFS($D$2:$D1669,$D1669,$B$2:$B1669,"SBA 26/*",$F$2:$F1669,"&lt;&gt;"),"")</f>
        <v/>
      </c>
      <c r="Z1669" s="29" t="str">
        <f>IF(Y1669=1,COUNTIF($Y$2:Y1669,1),"")</f>
        <v/>
      </c>
      <c r="AA1669" s="29" t="str">
        <f>IF(AND(LEFT($B1669,7)="SBA 26/",$C1669&lt;&gt;"",$F1669&lt;&gt;""),COUNTIFS($C$2:$C1669,$C1669,$B$2:$B1669,"SBA 26/*",$F$2:$F1669,"&lt;&gt;"),"")</f>
        <v/>
      </c>
      <c r="AB1669" s="29" t="str">
        <f>IF(AA1669=1,COUNTIF($AA$2:AA1669,1),"")</f>
        <v/>
      </c>
    </row>
    <row r="1670" spans="6:28" ht="47.25" customHeight="1" x14ac:dyDescent="0.2">
      <c r="F1670" s="45" t="s">
        <v>4346</v>
      </c>
      <c r="T1670" s="41"/>
      <c r="U1670" s="29" t="str">
        <f>IF($C1670&lt;&gt;"",COUNTIF($C$2:C1670,C1670),"")</f>
        <v/>
      </c>
      <c r="V1670" s="29" t="str">
        <f t="shared" si="84"/>
        <v/>
      </c>
      <c r="W1670" s="29" t="str">
        <f>IF(U1670=1,COUNTIF($U$2:U1670,1),"")</f>
        <v/>
      </c>
      <c r="X1670" s="29" t="str">
        <f t="shared" si="83"/>
        <v/>
      </c>
      <c r="Y1670" s="29" t="str">
        <f>IF(AND(LEFT($B1670,7)="SBA 26/",$D1670&lt;&gt;"",$F1670&lt;&gt;""),COUNTIFS($D$2:$D1670,$D1670,$B$2:$B1670,"SBA 26/*",$F$2:$F1670,"&lt;&gt;"),"")</f>
        <v/>
      </c>
      <c r="Z1670" s="29" t="str">
        <f>IF(Y1670=1,COUNTIF($Y$2:Y1670,1),"")</f>
        <v/>
      </c>
      <c r="AA1670" s="29" t="str">
        <f>IF(AND(LEFT($B1670,7)="SBA 26/",$C1670&lt;&gt;"",$F1670&lt;&gt;""),COUNTIFS($C$2:$C1670,$C1670,$B$2:$B1670,"SBA 26/*",$F$2:$F1670,"&lt;&gt;"),"")</f>
        <v/>
      </c>
      <c r="AB1670" s="29" t="str">
        <f>IF(AA1670=1,COUNTIF($AA$2:AA1670,1),"")</f>
        <v/>
      </c>
    </row>
    <row r="1671" spans="6:28" ht="31.5" customHeight="1" x14ac:dyDescent="0.2">
      <c r="F1671" s="45" t="s">
        <v>4347</v>
      </c>
      <c r="T1671" s="41"/>
      <c r="U1671" s="29" t="str">
        <f>IF($C1671&lt;&gt;"",COUNTIF($C$2:C1671,C1671),"")</f>
        <v/>
      </c>
      <c r="V1671" s="29" t="str">
        <f t="shared" si="84"/>
        <v/>
      </c>
      <c r="W1671" s="29" t="str">
        <f>IF(U1671=1,COUNTIF($U$2:U1671,1),"")</f>
        <v/>
      </c>
      <c r="X1671" s="29" t="str">
        <f t="shared" si="83"/>
        <v/>
      </c>
      <c r="Y1671" s="29" t="str">
        <f>IF(AND(LEFT($B1671,7)="SBA 26/",$D1671&lt;&gt;"",$F1671&lt;&gt;""),COUNTIFS($D$2:$D1671,$D1671,$B$2:$B1671,"SBA 26/*",$F$2:$F1671,"&lt;&gt;"),"")</f>
        <v/>
      </c>
      <c r="Z1671" s="29" t="str">
        <f>IF(Y1671=1,COUNTIF($Y$2:Y1671,1),"")</f>
        <v/>
      </c>
      <c r="AA1671" s="29" t="str">
        <f>IF(AND(LEFT($B1671,7)="SBA 26/",$C1671&lt;&gt;"",$F1671&lt;&gt;""),COUNTIFS($C$2:$C1671,$C1671,$B$2:$B1671,"SBA 26/*",$F$2:$F1671,"&lt;&gt;"),"")</f>
        <v/>
      </c>
      <c r="AB1671" s="29" t="str">
        <f>IF(AA1671=1,COUNTIF($AA$2:AA1671,1),"")</f>
        <v/>
      </c>
    </row>
    <row r="1672" spans="6:28" ht="31.5" customHeight="1" x14ac:dyDescent="0.2">
      <c r="F1672" s="45" t="s">
        <v>4348</v>
      </c>
      <c r="T1672" s="41"/>
      <c r="U1672" s="29" t="str">
        <f>IF($C1672&lt;&gt;"",COUNTIF($C$2:C1672,C1672),"")</f>
        <v/>
      </c>
      <c r="V1672" s="29" t="str">
        <f t="shared" si="84"/>
        <v/>
      </c>
      <c r="W1672" s="29" t="str">
        <f>IF(U1672=1,COUNTIF($U$2:U1672,1),"")</f>
        <v/>
      </c>
      <c r="X1672" s="29" t="str">
        <f t="shared" si="83"/>
        <v/>
      </c>
      <c r="Y1672" s="29" t="str">
        <f>IF(AND(LEFT($B1672,7)="SBA 26/",$D1672&lt;&gt;"",$F1672&lt;&gt;""),COUNTIFS($D$2:$D1672,$D1672,$B$2:$B1672,"SBA 26/*",$F$2:$F1672,"&lt;&gt;"),"")</f>
        <v/>
      </c>
      <c r="Z1672" s="29" t="str">
        <f>IF(Y1672=1,COUNTIF($Y$2:Y1672,1),"")</f>
        <v/>
      </c>
      <c r="AA1672" s="29" t="str">
        <f>IF(AND(LEFT($B1672,7)="SBA 26/",$C1672&lt;&gt;"",$F1672&lt;&gt;""),COUNTIFS($C$2:$C1672,$C1672,$B$2:$B1672,"SBA 26/*",$F$2:$F1672,"&lt;&gt;"),"")</f>
        <v/>
      </c>
      <c r="AB1672" s="29" t="str">
        <f>IF(AA1672=1,COUNTIF($AA$2:AA1672,1),"")</f>
        <v/>
      </c>
    </row>
    <row r="1673" spans="6:28" ht="31.5" customHeight="1" x14ac:dyDescent="0.2">
      <c r="F1673" s="45" t="s">
        <v>4349</v>
      </c>
      <c r="T1673" s="41"/>
      <c r="U1673" s="29" t="str">
        <f>IF($C1673&lt;&gt;"",COUNTIF($C$2:C1673,C1673),"")</f>
        <v/>
      </c>
      <c r="V1673" s="29" t="str">
        <f t="shared" si="84"/>
        <v/>
      </c>
      <c r="W1673" s="29" t="str">
        <f>IF(U1673=1,COUNTIF($U$2:U1673,1),"")</f>
        <v/>
      </c>
      <c r="X1673" s="29" t="str">
        <f t="shared" si="83"/>
        <v/>
      </c>
      <c r="Y1673" s="29" t="str">
        <f>IF(AND(LEFT($B1673,7)="SBA 26/",$D1673&lt;&gt;"",$F1673&lt;&gt;""),COUNTIFS($D$2:$D1673,$D1673,$B$2:$B1673,"SBA 26/*",$F$2:$F1673,"&lt;&gt;"),"")</f>
        <v/>
      </c>
      <c r="Z1673" s="29" t="str">
        <f>IF(Y1673=1,COUNTIF($Y$2:Y1673,1),"")</f>
        <v/>
      </c>
      <c r="AA1673" s="29" t="str">
        <f>IF(AND(LEFT($B1673,7)="SBA 26/",$C1673&lt;&gt;"",$F1673&lt;&gt;""),COUNTIFS($C$2:$C1673,$C1673,$B$2:$B1673,"SBA 26/*",$F$2:$F1673,"&lt;&gt;"),"")</f>
        <v/>
      </c>
      <c r="AB1673" s="29" t="str">
        <f>IF(AA1673=1,COUNTIF($AA$2:AA1673,1),"")</f>
        <v/>
      </c>
    </row>
    <row r="1674" spans="6:28" ht="63" customHeight="1" x14ac:dyDescent="0.2">
      <c r="F1674" s="45" t="s">
        <v>4350</v>
      </c>
      <c r="T1674" s="41"/>
      <c r="U1674" s="29" t="str">
        <f>IF($C1674&lt;&gt;"",COUNTIF($C$2:C1674,C1674),"")</f>
        <v/>
      </c>
      <c r="V1674" s="29" t="str">
        <f t="shared" si="84"/>
        <v/>
      </c>
      <c r="W1674" s="29" t="str">
        <f>IF(U1674=1,COUNTIF($U$2:U1674,1),"")</f>
        <v/>
      </c>
      <c r="X1674" s="29" t="str">
        <f t="shared" si="83"/>
        <v/>
      </c>
      <c r="Y1674" s="29" t="str">
        <f>IF(AND(LEFT($B1674,7)="SBA 26/",$D1674&lt;&gt;"",$F1674&lt;&gt;""),COUNTIFS($D$2:$D1674,$D1674,$B$2:$B1674,"SBA 26/*",$F$2:$F1674,"&lt;&gt;"),"")</f>
        <v/>
      </c>
      <c r="Z1674" s="29" t="str">
        <f>IF(Y1674=1,COUNTIF($Y$2:Y1674,1),"")</f>
        <v/>
      </c>
      <c r="AA1674" s="29" t="str">
        <f>IF(AND(LEFT($B1674,7)="SBA 26/",$C1674&lt;&gt;"",$F1674&lt;&gt;""),COUNTIFS($C$2:$C1674,$C1674,$B$2:$B1674,"SBA 26/*",$F$2:$F1674,"&lt;&gt;"),"")</f>
        <v/>
      </c>
      <c r="AB1674" s="29" t="str">
        <f>IF(AA1674=1,COUNTIF($AA$2:AA1674,1),"")</f>
        <v/>
      </c>
    </row>
    <row r="1675" spans="6:28" ht="63" customHeight="1" x14ac:dyDescent="0.2">
      <c r="F1675" s="45" t="s">
        <v>4351</v>
      </c>
      <c r="T1675" s="41"/>
      <c r="U1675" s="29" t="str">
        <f>IF($C1675&lt;&gt;"",COUNTIF($C$2:C1675,C1675),"")</f>
        <v/>
      </c>
      <c r="V1675" s="29" t="str">
        <f t="shared" si="84"/>
        <v/>
      </c>
      <c r="W1675" s="29" t="str">
        <f>IF(U1675=1,COUNTIF($U$2:U1675,1),"")</f>
        <v/>
      </c>
      <c r="X1675" s="29" t="str">
        <f t="shared" si="83"/>
        <v/>
      </c>
      <c r="Y1675" s="29" t="str">
        <f>IF(AND(LEFT($B1675,7)="SBA 26/",$D1675&lt;&gt;"",$F1675&lt;&gt;""),COUNTIFS($D$2:$D1675,$D1675,$B$2:$B1675,"SBA 26/*",$F$2:$F1675,"&lt;&gt;"),"")</f>
        <v/>
      </c>
      <c r="Z1675" s="29" t="str">
        <f>IF(Y1675=1,COUNTIF($Y$2:Y1675,1),"")</f>
        <v/>
      </c>
      <c r="AA1675" s="29" t="str">
        <f>IF(AND(LEFT($B1675,7)="SBA 26/",$C1675&lt;&gt;"",$F1675&lt;&gt;""),COUNTIFS($C$2:$C1675,$C1675,$B$2:$B1675,"SBA 26/*",$F$2:$F1675,"&lt;&gt;"),"")</f>
        <v/>
      </c>
      <c r="AB1675" s="29" t="str">
        <f>IF(AA1675=1,COUNTIF($AA$2:AA1675,1),"")</f>
        <v/>
      </c>
    </row>
    <row r="1676" spans="6:28" ht="47.25" customHeight="1" x14ac:dyDescent="0.2">
      <c r="F1676" s="45" t="s">
        <v>4352</v>
      </c>
      <c r="T1676" s="41"/>
      <c r="U1676" s="29" t="str">
        <f>IF($C1676&lt;&gt;"",COUNTIF($C$2:C1676,C1676),"")</f>
        <v/>
      </c>
      <c r="V1676" s="29" t="str">
        <f t="shared" si="84"/>
        <v/>
      </c>
      <c r="W1676" s="29" t="str">
        <f>IF(U1676=1,COUNTIF($U$2:U1676,1),"")</f>
        <v/>
      </c>
      <c r="X1676" s="29" t="str">
        <f t="shared" si="83"/>
        <v/>
      </c>
      <c r="Y1676" s="29" t="str">
        <f>IF(AND(LEFT($B1676,7)="SBA 26/",$D1676&lt;&gt;"",$F1676&lt;&gt;""),COUNTIFS($D$2:$D1676,$D1676,$B$2:$B1676,"SBA 26/*",$F$2:$F1676,"&lt;&gt;"),"")</f>
        <v/>
      </c>
      <c r="Z1676" s="29" t="str">
        <f>IF(Y1676=1,COUNTIF($Y$2:Y1676,1),"")</f>
        <v/>
      </c>
      <c r="AA1676" s="29" t="str">
        <f>IF(AND(LEFT($B1676,7)="SBA 26/",$C1676&lt;&gt;"",$F1676&lt;&gt;""),COUNTIFS($C$2:$C1676,$C1676,$B$2:$B1676,"SBA 26/*",$F$2:$F1676,"&lt;&gt;"),"")</f>
        <v/>
      </c>
      <c r="AB1676" s="29" t="str">
        <f>IF(AA1676=1,COUNTIF($AA$2:AA1676,1),"")</f>
        <v/>
      </c>
    </row>
    <row r="1677" spans="6:28" ht="47.25" customHeight="1" x14ac:dyDescent="0.2">
      <c r="F1677" s="45" t="s">
        <v>4353</v>
      </c>
      <c r="T1677" s="41"/>
      <c r="U1677" s="29" t="str">
        <f>IF($C1677&lt;&gt;"",COUNTIF($C$2:C1677,C1677),"")</f>
        <v/>
      </c>
      <c r="V1677" s="29" t="str">
        <f t="shared" si="84"/>
        <v/>
      </c>
      <c r="W1677" s="29" t="str">
        <f>IF(U1677=1,COUNTIF($U$2:U1677,1),"")</f>
        <v/>
      </c>
      <c r="X1677" s="29" t="str">
        <f t="shared" si="83"/>
        <v/>
      </c>
      <c r="Y1677" s="29" t="str">
        <f>IF(AND(LEFT($B1677,7)="SBA 26/",$D1677&lt;&gt;"",$F1677&lt;&gt;""),COUNTIFS($D$2:$D1677,$D1677,$B$2:$B1677,"SBA 26/*",$F$2:$F1677,"&lt;&gt;"),"")</f>
        <v/>
      </c>
      <c r="Z1677" s="29" t="str">
        <f>IF(Y1677=1,COUNTIF($Y$2:Y1677,1),"")</f>
        <v/>
      </c>
      <c r="AA1677" s="29" t="str">
        <f>IF(AND(LEFT($B1677,7)="SBA 26/",$C1677&lt;&gt;"",$F1677&lt;&gt;""),COUNTIFS($C$2:$C1677,$C1677,$B$2:$B1677,"SBA 26/*",$F$2:$F1677,"&lt;&gt;"),"")</f>
        <v/>
      </c>
      <c r="AB1677" s="29" t="str">
        <f>IF(AA1677=1,COUNTIF($AA$2:AA1677,1),"")</f>
        <v/>
      </c>
    </row>
    <row r="1678" spans="6:28" ht="47.25" customHeight="1" x14ac:dyDescent="0.2">
      <c r="F1678" s="45" t="s">
        <v>4354</v>
      </c>
      <c r="T1678" s="41"/>
      <c r="U1678" s="29" t="str">
        <f>IF($C1678&lt;&gt;"",COUNTIF($C$2:C1678,C1678),"")</f>
        <v/>
      </c>
      <c r="V1678" s="29" t="str">
        <f t="shared" si="84"/>
        <v/>
      </c>
      <c r="W1678" s="29" t="str">
        <f>IF(U1678=1,COUNTIF($U$2:U1678,1),"")</f>
        <v/>
      </c>
      <c r="X1678" s="29" t="str">
        <f t="shared" si="83"/>
        <v/>
      </c>
      <c r="Y1678" s="29" t="str">
        <f>IF(AND(LEFT($B1678,7)="SBA 26/",$D1678&lt;&gt;"",$F1678&lt;&gt;""),COUNTIFS($D$2:$D1678,$D1678,$B$2:$B1678,"SBA 26/*",$F$2:$F1678,"&lt;&gt;"),"")</f>
        <v/>
      </c>
      <c r="Z1678" s="29" t="str">
        <f>IF(Y1678=1,COUNTIF($Y$2:Y1678,1),"")</f>
        <v/>
      </c>
      <c r="AA1678" s="29" t="str">
        <f>IF(AND(LEFT($B1678,7)="SBA 26/",$C1678&lt;&gt;"",$F1678&lt;&gt;""),COUNTIFS($C$2:$C1678,$C1678,$B$2:$B1678,"SBA 26/*",$F$2:$F1678,"&lt;&gt;"),"")</f>
        <v/>
      </c>
      <c r="AB1678" s="29" t="str">
        <f>IF(AA1678=1,COUNTIF($AA$2:AA1678,1),"")</f>
        <v/>
      </c>
    </row>
    <row r="1679" spans="6:28" ht="47.25" customHeight="1" x14ac:dyDescent="0.2">
      <c r="F1679" s="45" t="s">
        <v>4355</v>
      </c>
      <c r="T1679" s="41"/>
      <c r="U1679" s="29" t="str">
        <f>IF($C1679&lt;&gt;"",COUNTIF($C$2:C1679,C1679),"")</f>
        <v/>
      </c>
      <c r="V1679" s="29" t="str">
        <f t="shared" si="84"/>
        <v/>
      </c>
      <c r="W1679" s="29" t="str">
        <f>IF(U1679=1,COUNTIF($U$2:U1679,1),"")</f>
        <v/>
      </c>
      <c r="X1679" s="29" t="str">
        <f t="shared" si="83"/>
        <v/>
      </c>
      <c r="Y1679" s="29" t="str">
        <f>IF(AND(LEFT($B1679,7)="SBA 26/",$D1679&lt;&gt;"",$F1679&lt;&gt;""),COUNTIFS($D$2:$D1679,$D1679,$B$2:$B1679,"SBA 26/*",$F$2:$F1679,"&lt;&gt;"),"")</f>
        <v/>
      </c>
      <c r="Z1679" s="29" t="str">
        <f>IF(Y1679=1,COUNTIF($Y$2:Y1679,1),"")</f>
        <v/>
      </c>
      <c r="AA1679" s="29" t="str">
        <f>IF(AND(LEFT($B1679,7)="SBA 26/",$C1679&lt;&gt;"",$F1679&lt;&gt;""),COUNTIFS($C$2:$C1679,$C1679,$B$2:$B1679,"SBA 26/*",$F$2:$F1679,"&lt;&gt;"),"")</f>
        <v/>
      </c>
      <c r="AB1679" s="29" t="str">
        <f>IF(AA1679=1,COUNTIF($AA$2:AA1679,1),"")</f>
        <v/>
      </c>
    </row>
    <row r="1680" spans="6:28" ht="31.5" customHeight="1" x14ac:dyDescent="0.2">
      <c r="F1680" s="45" t="s">
        <v>4356</v>
      </c>
      <c r="T1680" s="41"/>
      <c r="U1680" s="29" t="str">
        <f>IF($C1680&lt;&gt;"",COUNTIF($C$2:C1680,C1680),"")</f>
        <v/>
      </c>
      <c r="V1680" s="29" t="str">
        <f t="shared" si="84"/>
        <v/>
      </c>
      <c r="W1680" s="29" t="str">
        <f>IF(U1680=1,COUNTIF($U$2:U1680,1),"")</f>
        <v/>
      </c>
      <c r="X1680" s="29" t="str">
        <f t="shared" si="83"/>
        <v/>
      </c>
      <c r="Y1680" s="29" t="str">
        <f>IF(AND(LEFT($B1680,7)="SBA 26/",$D1680&lt;&gt;"",$F1680&lt;&gt;""),COUNTIFS($D$2:$D1680,$D1680,$B$2:$B1680,"SBA 26/*",$F$2:$F1680,"&lt;&gt;"),"")</f>
        <v/>
      </c>
      <c r="Z1680" s="29" t="str">
        <f>IF(Y1680=1,COUNTIF($Y$2:Y1680,1),"")</f>
        <v/>
      </c>
      <c r="AA1680" s="29" t="str">
        <f>IF(AND(LEFT($B1680,7)="SBA 26/",$C1680&lt;&gt;"",$F1680&lt;&gt;""),COUNTIFS($C$2:$C1680,$C1680,$B$2:$B1680,"SBA 26/*",$F$2:$F1680,"&lt;&gt;"),"")</f>
        <v/>
      </c>
      <c r="AB1680" s="29" t="str">
        <f>IF(AA1680=1,COUNTIF($AA$2:AA1680,1),"")</f>
        <v/>
      </c>
    </row>
    <row r="1681" spans="6:28" ht="63" customHeight="1" x14ac:dyDescent="0.2">
      <c r="F1681" s="45" t="s">
        <v>4357</v>
      </c>
      <c r="T1681" s="41"/>
      <c r="U1681" s="29" t="str">
        <f>IF($C1681&lt;&gt;"",COUNTIF($C$2:C1681,C1681),"")</f>
        <v/>
      </c>
      <c r="V1681" s="29" t="str">
        <f t="shared" si="84"/>
        <v/>
      </c>
      <c r="W1681" s="29" t="str">
        <f>IF(U1681=1,COUNTIF($U$2:U1681,1),"")</f>
        <v/>
      </c>
      <c r="X1681" s="29" t="str">
        <f t="shared" si="83"/>
        <v/>
      </c>
      <c r="Y1681" s="29" t="str">
        <f>IF(AND(LEFT($B1681,7)="SBA 26/",$D1681&lt;&gt;"",$F1681&lt;&gt;""),COUNTIFS($D$2:$D1681,$D1681,$B$2:$B1681,"SBA 26/*",$F$2:$F1681,"&lt;&gt;"),"")</f>
        <v/>
      </c>
      <c r="Z1681" s="29" t="str">
        <f>IF(Y1681=1,COUNTIF($Y$2:Y1681,1),"")</f>
        <v/>
      </c>
      <c r="AA1681" s="29" t="str">
        <f>IF(AND(LEFT($B1681,7)="SBA 26/",$C1681&lt;&gt;"",$F1681&lt;&gt;""),COUNTIFS($C$2:$C1681,$C1681,$B$2:$B1681,"SBA 26/*",$F$2:$F1681,"&lt;&gt;"),"")</f>
        <v/>
      </c>
      <c r="AB1681" s="29" t="str">
        <f>IF(AA1681=1,COUNTIF($AA$2:AA1681,1),"")</f>
        <v/>
      </c>
    </row>
    <row r="1682" spans="6:28" ht="47.25" customHeight="1" x14ac:dyDescent="0.2">
      <c r="F1682" s="45" t="s">
        <v>4358</v>
      </c>
      <c r="T1682" s="41"/>
      <c r="U1682" s="29" t="str">
        <f>IF($C1682&lt;&gt;"",COUNTIF($C$2:C1682,C1682),"")</f>
        <v/>
      </c>
      <c r="V1682" s="29" t="str">
        <f t="shared" si="84"/>
        <v/>
      </c>
      <c r="W1682" s="29" t="str">
        <f>IF(U1682=1,COUNTIF($U$2:U1682,1),"")</f>
        <v/>
      </c>
      <c r="X1682" s="29" t="str">
        <f t="shared" si="83"/>
        <v/>
      </c>
      <c r="Y1682" s="29" t="str">
        <f>IF(AND(LEFT($B1682,7)="SBA 26/",$D1682&lt;&gt;"",$F1682&lt;&gt;""),COUNTIFS($D$2:$D1682,$D1682,$B$2:$B1682,"SBA 26/*",$F$2:$F1682,"&lt;&gt;"),"")</f>
        <v/>
      </c>
      <c r="Z1682" s="29" t="str">
        <f>IF(Y1682=1,COUNTIF($Y$2:Y1682,1),"")</f>
        <v/>
      </c>
      <c r="AA1682" s="29" t="str">
        <f>IF(AND(LEFT($B1682,7)="SBA 26/",$C1682&lt;&gt;"",$F1682&lt;&gt;""),COUNTIFS($C$2:$C1682,$C1682,$B$2:$B1682,"SBA 26/*",$F$2:$F1682,"&lt;&gt;"),"")</f>
        <v/>
      </c>
      <c r="AB1682" s="29" t="str">
        <f>IF(AA1682=1,COUNTIF($AA$2:AA1682,1),"")</f>
        <v/>
      </c>
    </row>
    <row r="1683" spans="6:28" ht="31.5" customHeight="1" x14ac:dyDescent="0.2">
      <c r="F1683" s="45" t="s">
        <v>4359</v>
      </c>
      <c r="T1683" s="41"/>
      <c r="U1683" s="29" t="str">
        <f>IF($C1683&lt;&gt;"",COUNTIF($C$2:C1683,C1683),"")</f>
        <v/>
      </c>
      <c r="V1683" s="29" t="str">
        <f t="shared" si="84"/>
        <v/>
      </c>
      <c r="W1683" s="29" t="str">
        <f>IF(U1683=1,COUNTIF($U$2:U1683,1),"")</f>
        <v/>
      </c>
      <c r="X1683" s="29" t="str">
        <f t="shared" si="83"/>
        <v/>
      </c>
      <c r="Y1683" s="29" t="str">
        <f>IF(AND(LEFT($B1683,7)="SBA 26/",$D1683&lt;&gt;"",$F1683&lt;&gt;""),COUNTIFS($D$2:$D1683,$D1683,$B$2:$B1683,"SBA 26/*",$F$2:$F1683,"&lt;&gt;"),"")</f>
        <v/>
      </c>
      <c r="Z1683" s="29" t="str">
        <f>IF(Y1683=1,COUNTIF($Y$2:Y1683,1),"")</f>
        <v/>
      </c>
      <c r="AA1683" s="29" t="str">
        <f>IF(AND(LEFT($B1683,7)="SBA 26/",$C1683&lt;&gt;"",$F1683&lt;&gt;""),COUNTIFS($C$2:$C1683,$C1683,$B$2:$B1683,"SBA 26/*",$F$2:$F1683,"&lt;&gt;"),"")</f>
        <v/>
      </c>
      <c r="AB1683" s="29" t="str">
        <f>IF(AA1683=1,COUNTIF($AA$2:AA1683,1),"")</f>
        <v/>
      </c>
    </row>
    <row r="1684" spans="6:28" ht="47.25" customHeight="1" x14ac:dyDescent="0.2">
      <c r="F1684" s="45" t="s">
        <v>4360</v>
      </c>
      <c r="T1684" s="41"/>
      <c r="U1684" s="29" t="str">
        <f>IF($C1684&lt;&gt;"",COUNTIF($C$2:C1684,C1684),"")</f>
        <v/>
      </c>
      <c r="V1684" s="29" t="str">
        <f t="shared" si="84"/>
        <v/>
      </c>
      <c r="W1684" s="29" t="str">
        <f>IF(U1684=1,COUNTIF($U$2:U1684,1),"")</f>
        <v/>
      </c>
      <c r="X1684" s="29" t="str">
        <f t="shared" si="83"/>
        <v/>
      </c>
      <c r="Y1684" s="29" t="str">
        <f>IF(AND(LEFT($B1684,7)="SBA 26/",$D1684&lt;&gt;"",$F1684&lt;&gt;""),COUNTIFS($D$2:$D1684,$D1684,$B$2:$B1684,"SBA 26/*",$F$2:$F1684,"&lt;&gt;"),"")</f>
        <v/>
      </c>
      <c r="Z1684" s="29" t="str">
        <f>IF(Y1684=1,COUNTIF($Y$2:Y1684,1),"")</f>
        <v/>
      </c>
      <c r="AA1684" s="29" t="str">
        <f>IF(AND(LEFT($B1684,7)="SBA 26/",$C1684&lt;&gt;"",$F1684&lt;&gt;""),COUNTIFS($C$2:$C1684,$C1684,$B$2:$B1684,"SBA 26/*",$F$2:$F1684,"&lt;&gt;"),"")</f>
        <v/>
      </c>
      <c r="AB1684" s="29" t="str">
        <f>IF(AA1684=1,COUNTIF($AA$2:AA1684,1),"")</f>
        <v/>
      </c>
    </row>
    <row r="1685" spans="6:28" ht="31.5" customHeight="1" x14ac:dyDescent="0.2">
      <c r="F1685" s="45" t="s">
        <v>4361</v>
      </c>
      <c r="T1685" s="41"/>
      <c r="U1685" s="29" t="str">
        <f>IF($C1685&lt;&gt;"",COUNTIF($C$2:C1685,C1685),"")</f>
        <v/>
      </c>
      <c r="V1685" s="29" t="str">
        <f t="shared" si="84"/>
        <v/>
      </c>
      <c r="W1685" s="29" t="str">
        <f>IF(U1685=1,COUNTIF($U$2:U1685,1),"")</f>
        <v/>
      </c>
      <c r="X1685" s="29" t="str">
        <f t="shared" si="83"/>
        <v/>
      </c>
      <c r="Y1685" s="29" t="str">
        <f>IF(AND(LEFT($B1685,7)="SBA 26/",$D1685&lt;&gt;"",$F1685&lt;&gt;""),COUNTIFS($D$2:$D1685,$D1685,$B$2:$B1685,"SBA 26/*",$F$2:$F1685,"&lt;&gt;"),"")</f>
        <v/>
      </c>
      <c r="Z1685" s="29" t="str">
        <f>IF(Y1685=1,COUNTIF($Y$2:Y1685,1),"")</f>
        <v/>
      </c>
      <c r="AA1685" s="29" t="str">
        <f>IF(AND(LEFT($B1685,7)="SBA 26/",$C1685&lt;&gt;"",$F1685&lt;&gt;""),COUNTIFS($C$2:$C1685,$C1685,$B$2:$B1685,"SBA 26/*",$F$2:$F1685,"&lt;&gt;"),"")</f>
        <v/>
      </c>
      <c r="AB1685" s="29" t="str">
        <f>IF(AA1685=1,COUNTIF($AA$2:AA1685,1),"")</f>
        <v/>
      </c>
    </row>
    <row r="1686" spans="6:28" ht="47.25" customHeight="1" x14ac:dyDescent="0.2">
      <c r="F1686" s="45" t="s">
        <v>4362</v>
      </c>
      <c r="T1686" s="41"/>
      <c r="U1686" s="29" t="str">
        <f>IF($C1686&lt;&gt;"",COUNTIF($C$2:C1686,C1686),"")</f>
        <v/>
      </c>
      <c r="V1686" s="29" t="str">
        <f t="shared" si="84"/>
        <v/>
      </c>
      <c r="W1686" s="29" t="str">
        <f>IF(U1686=1,COUNTIF($U$2:U1686,1),"")</f>
        <v/>
      </c>
      <c r="X1686" s="29" t="str">
        <f t="shared" si="83"/>
        <v/>
      </c>
      <c r="Y1686" s="29" t="str">
        <f>IF(AND(LEFT($B1686,7)="SBA 26/",$D1686&lt;&gt;"",$F1686&lt;&gt;""),COUNTIFS($D$2:$D1686,$D1686,$B$2:$B1686,"SBA 26/*",$F$2:$F1686,"&lt;&gt;"),"")</f>
        <v/>
      </c>
      <c r="Z1686" s="29" t="str">
        <f>IF(Y1686=1,COUNTIF($Y$2:Y1686,1),"")</f>
        <v/>
      </c>
      <c r="AA1686" s="29" t="str">
        <f>IF(AND(LEFT($B1686,7)="SBA 26/",$C1686&lt;&gt;"",$F1686&lt;&gt;""),COUNTIFS($C$2:$C1686,$C1686,$B$2:$B1686,"SBA 26/*",$F$2:$F1686,"&lt;&gt;"),"")</f>
        <v/>
      </c>
      <c r="AB1686" s="29" t="str">
        <f>IF(AA1686=1,COUNTIF($AA$2:AA1686,1),"")</f>
        <v/>
      </c>
    </row>
    <row r="1687" spans="6:28" ht="47.25" customHeight="1" x14ac:dyDescent="0.2">
      <c r="F1687" s="45" t="s">
        <v>4363</v>
      </c>
      <c r="T1687" s="41"/>
      <c r="U1687" s="29" t="str">
        <f>IF($C1687&lt;&gt;"",COUNTIF($C$2:C1687,C1687),"")</f>
        <v/>
      </c>
      <c r="V1687" s="29" t="str">
        <f t="shared" si="84"/>
        <v/>
      </c>
      <c r="W1687" s="29" t="str">
        <f>IF(U1687=1,COUNTIF($U$2:U1687,1),"")</f>
        <v/>
      </c>
      <c r="X1687" s="29" t="str">
        <f t="shared" si="83"/>
        <v/>
      </c>
      <c r="Y1687" s="29" t="str">
        <f>IF(AND(LEFT($B1687,7)="SBA 26/",$D1687&lt;&gt;"",$F1687&lt;&gt;""),COUNTIFS($D$2:$D1687,$D1687,$B$2:$B1687,"SBA 26/*",$F$2:$F1687,"&lt;&gt;"),"")</f>
        <v/>
      </c>
      <c r="Z1687" s="29" t="str">
        <f>IF(Y1687=1,COUNTIF($Y$2:Y1687,1),"")</f>
        <v/>
      </c>
      <c r="AA1687" s="29" t="str">
        <f>IF(AND(LEFT($B1687,7)="SBA 26/",$C1687&lt;&gt;"",$F1687&lt;&gt;""),COUNTIFS($C$2:$C1687,$C1687,$B$2:$B1687,"SBA 26/*",$F$2:$F1687,"&lt;&gt;"),"")</f>
        <v/>
      </c>
      <c r="AB1687" s="29" t="str">
        <f>IF(AA1687=1,COUNTIF($AA$2:AA1687,1),"")</f>
        <v/>
      </c>
    </row>
    <row r="1688" spans="6:28" ht="31.5" customHeight="1" x14ac:dyDescent="0.2">
      <c r="F1688" s="45" t="s">
        <v>4364</v>
      </c>
      <c r="T1688" s="41"/>
      <c r="U1688" s="29" t="str">
        <f>IF($C1688&lt;&gt;"",COUNTIF($C$2:C1688,C1688),"")</f>
        <v/>
      </c>
      <c r="V1688" s="29" t="str">
        <f t="shared" si="84"/>
        <v/>
      </c>
      <c r="W1688" s="29" t="str">
        <f>IF(U1688=1,COUNTIF($U$2:U1688,1),"")</f>
        <v/>
      </c>
      <c r="X1688" s="29" t="str">
        <f t="shared" si="83"/>
        <v/>
      </c>
      <c r="Y1688" s="29" t="str">
        <f>IF(AND(LEFT($B1688,7)="SBA 26/",$D1688&lt;&gt;"",$F1688&lt;&gt;""),COUNTIFS($D$2:$D1688,$D1688,$B$2:$B1688,"SBA 26/*",$F$2:$F1688,"&lt;&gt;"),"")</f>
        <v/>
      </c>
      <c r="Z1688" s="29" t="str">
        <f>IF(Y1688=1,COUNTIF($Y$2:Y1688,1),"")</f>
        <v/>
      </c>
      <c r="AA1688" s="29" t="str">
        <f>IF(AND(LEFT($B1688,7)="SBA 26/",$C1688&lt;&gt;"",$F1688&lt;&gt;""),COUNTIFS($C$2:$C1688,$C1688,$B$2:$B1688,"SBA 26/*",$F$2:$F1688,"&lt;&gt;"),"")</f>
        <v/>
      </c>
      <c r="AB1688" s="29" t="str">
        <f>IF(AA1688=1,COUNTIF($AA$2:AA1688,1),"")</f>
        <v/>
      </c>
    </row>
    <row r="1689" spans="6:28" ht="47.25" customHeight="1" x14ac:dyDescent="0.2">
      <c r="F1689" s="45" t="s">
        <v>4365</v>
      </c>
      <c r="T1689" s="41"/>
      <c r="U1689" s="29" t="str">
        <f>IF($C1689&lt;&gt;"",COUNTIF($C$2:C1689,C1689),"")</f>
        <v/>
      </c>
      <c r="V1689" s="29" t="str">
        <f t="shared" si="84"/>
        <v/>
      </c>
      <c r="W1689" s="29" t="str">
        <f>IF(U1689=1,COUNTIF($U$2:U1689,1),"")</f>
        <v/>
      </c>
      <c r="X1689" s="29" t="str">
        <f t="shared" si="83"/>
        <v/>
      </c>
      <c r="Y1689" s="29" t="str">
        <f>IF(AND(LEFT($B1689,7)="SBA 26/",$D1689&lt;&gt;"",$F1689&lt;&gt;""),COUNTIFS($D$2:$D1689,$D1689,$B$2:$B1689,"SBA 26/*",$F$2:$F1689,"&lt;&gt;"),"")</f>
        <v/>
      </c>
      <c r="Z1689" s="29" t="str">
        <f>IF(Y1689=1,COUNTIF($Y$2:Y1689,1),"")</f>
        <v/>
      </c>
      <c r="AA1689" s="29" t="str">
        <f>IF(AND(LEFT($B1689,7)="SBA 26/",$C1689&lt;&gt;"",$F1689&lt;&gt;""),COUNTIFS($C$2:$C1689,$C1689,$B$2:$B1689,"SBA 26/*",$F$2:$F1689,"&lt;&gt;"),"")</f>
        <v/>
      </c>
      <c r="AB1689" s="29" t="str">
        <f>IF(AA1689=1,COUNTIF($AA$2:AA1689,1),"")</f>
        <v/>
      </c>
    </row>
    <row r="1690" spans="6:28" ht="47.25" customHeight="1" x14ac:dyDescent="0.2">
      <c r="F1690" s="45" t="s">
        <v>4366</v>
      </c>
      <c r="T1690" s="41"/>
      <c r="U1690" s="29" t="str">
        <f>IF($C1690&lt;&gt;"",COUNTIF($C$2:C1690,C1690),"")</f>
        <v/>
      </c>
      <c r="V1690" s="29" t="str">
        <f t="shared" si="84"/>
        <v/>
      </c>
      <c r="W1690" s="29" t="str">
        <f>IF(U1690=1,COUNTIF($U$2:U1690,1),"")</f>
        <v/>
      </c>
      <c r="X1690" s="29" t="str">
        <f t="shared" si="83"/>
        <v/>
      </c>
      <c r="Y1690" s="29" t="str">
        <f>IF(AND(LEFT($B1690,7)="SBA 26/",$D1690&lt;&gt;"",$F1690&lt;&gt;""),COUNTIFS($D$2:$D1690,$D1690,$B$2:$B1690,"SBA 26/*",$F$2:$F1690,"&lt;&gt;"),"")</f>
        <v/>
      </c>
      <c r="Z1690" s="29" t="str">
        <f>IF(Y1690=1,COUNTIF($Y$2:Y1690,1),"")</f>
        <v/>
      </c>
      <c r="AA1690" s="29" t="str">
        <f>IF(AND(LEFT($B1690,7)="SBA 26/",$C1690&lt;&gt;"",$F1690&lt;&gt;""),COUNTIFS($C$2:$C1690,$C1690,$B$2:$B1690,"SBA 26/*",$F$2:$F1690,"&lt;&gt;"),"")</f>
        <v/>
      </c>
      <c r="AB1690" s="29" t="str">
        <f>IF(AA1690=1,COUNTIF($AA$2:AA1690,1),"")</f>
        <v/>
      </c>
    </row>
    <row r="1691" spans="6:28" ht="31.5" customHeight="1" x14ac:dyDescent="0.2">
      <c r="F1691" s="45" t="s">
        <v>4367</v>
      </c>
      <c r="T1691" s="41"/>
      <c r="U1691" s="29" t="str">
        <f>IF($C1691&lt;&gt;"",COUNTIF($C$2:C1691,C1691),"")</f>
        <v/>
      </c>
      <c r="V1691" s="29" t="str">
        <f t="shared" si="84"/>
        <v/>
      </c>
      <c r="W1691" s="29" t="str">
        <f>IF(U1691=1,COUNTIF($U$2:U1691,1),"")</f>
        <v/>
      </c>
      <c r="X1691" s="29" t="str">
        <f t="shared" si="83"/>
        <v/>
      </c>
      <c r="Y1691" s="29" t="str">
        <f>IF(AND(LEFT($B1691,7)="SBA 26/",$D1691&lt;&gt;"",$F1691&lt;&gt;""),COUNTIFS($D$2:$D1691,$D1691,$B$2:$B1691,"SBA 26/*",$F$2:$F1691,"&lt;&gt;"),"")</f>
        <v/>
      </c>
      <c r="Z1691" s="29" t="str">
        <f>IF(Y1691=1,COUNTIF($Y$2:Y1691,1),"")</f>
        <v/>
      </c>
      <c r="AA1691" s="29" t="str">
        <f>IF(AND(LEFT($B1691,7)="SBA 26/",$C1691&lt;&gt;"",$F1691&lt;&gt;""),COUNTIFS($C$2:$C1691,$C1691,$B$2:$B1691,"SBA 26/*",$F$2:$F1691,"&lt;&gt;"),"")</f>
        <v/>
      </c>
      <c r="AB1691" s="29" t="str">
        <f>IF(AA1691=1,COUNTIF($AA$2:AA1691,1),"")</f>
        <v/>
      </c>
    </row>
    <row r="1692" spans="6:28" ht="31.5" customHeight="1" x14ac:dyDescent="0.2">
      <c r="F1692" s="45" t="s">
        <v>4368</v>
      </c>
      <c r="T1692" s="41"/>
      <c r="U1692" s="29" t="str">
        <f>IF($C1692&lt;&gt;"",COUNTIF($C$2:C1692,C1692),"")</f>
        <v/>
      </c>
      <c r="V1692" s="29" t="str">
        <f t="shared" si="84"/>
        <v/>
      </c>
      <c r="W1692" s="29" t="str">
        <f>IF(U1692=1,COUNTIF($U$2:U1692,1),"")</f>
        <v/>
      </c>
      <c r="X1692" s="29" t="str">
        <f t="shared" si="83"/>
        <v/>
      </c>
      <c r="Y1692" s="29" t="str">
        <f>IF(AND(LEFT($B1692,7)="SBA 26/",$D1692&lt;&gt;"",$F1692&lt;&gt;""),COUNTIFS($D$2:$D1692,$D1692,$B$2:$B1692,"SBA 26/*",$F$2:$F1692,"&lt;&gt;"),"")</f>
        <v/>
      </c>
      <c r="Z1692" s="29" t="str">
        <f>IF(Y1692=1,COUNTIF($Y$2:Y1692,1),"")</f>
        <v/>
      </c>
      <c r="AA1692" s="29" t="str">
        <f>IF(AND(LEFT($B1692,7)="SBA 26/",$C1692&lt;&gt;"",$F1692&lt;&gt;""),COUNTIFS($C$2:$C1692,$C1692,$B$2:$B1692,"SBA 26/*",$F$2:$F1692,"&lt;&gt;"),"")</f>
        <v/>
      </c>
      <c r="AB1692" s="29" t="str">
        <f>IF(AA1692=1,COUNTIF($AA$2:AA1692,1),"")</f>
        <v/>
      </c>
    </row>
    <row r="1693" spans="6:28" ht="63" customHeight="1" x14ac:dyDescent="0.2">
      <c r="F1693" s="45" t="s">
        <v>4369</v>
      </c>
      <c r="T1693" s="41"/>
      <c r="U1693" s="29" t="str">
        <f>IF($C1693&lt;&gt;"",COUNTIF($C$2:C1693,C1693),"")</f>
        <v/>
      </c>
      <c r="V1693" s="29" t="str">
        <f t="shared" si="84"/>
        <v/>
      </c>
      <c r="W1693" s="29" t="str">
        <f>IF(U1693=1,COUNTIF($U$2:U1693,1),"")</f>
        <v/>
      </c>
      <c r="X1693" s="29" t="str">
        <f t="shared" si="83"/>
        <v/>
      </c>
      <c r="Y1693" s="29" t="str">
        <f>IF(AND(LEFT($B1693,7)="SBA 26/",$D1693&lt;&gt;"",$F1693&lt;&gt;""),COUNTIFS($D$2:$D1693,$D1693,$B$2:$B1693,"SBA 26/*",$F$2:$F1693,"&lt;&gt;"),"")</f>
        <v/>
      </c>
      <c r="Z1693" s="29" t="str">
        <f>IF(Y1693=1,COUNTIF($Y$2:Y1693,1),"")</f>
        <v/>
      </c>
      <c r="AA1693" s="29" t="str">
        <f>IF(AND(LEFT($B1693,7)="SBA 26/",$C1693&lt;&gt;"",$F1693&lt;&gt;""),COUNTIFS($C$2:$C1693,$C1693,$B$2:$B1693,"SBA 26/*",$F$2:$F1693,"&lt;&gt;"),"")</f>
        <v/>
      </c>
      <c r="AB1693" s="29" t="str">
        <f>IF(AA1693=1,COUNTIF($AA$2:AA1693,1),"")</f>
        <v/>
      </c>
    </row>
    <row r="1694" spans="6:28" ht="47.25" customHeight="1" x14ac:dyDescent="0.2">
      <c r="F1694" s="45" t="s">
        <v>4370</v>
      </c>
      <c r="T1694" s="41"/>
      <c r="U1694" s="29" t="str">
        <f>IF($C1694&lt;&gt;"",COUNTIF($C$2:C1694,C1694),"")</f>
        <v/>
      </c>
      <c r="V1694" s="29" t="str">
        <f t="shared" si="84"/>
        <v/>
      </c>
      <c r="W1694" s="29" t="str">
        <f>IF(U1694=1,COUNTIF($U$2:U1694,1),"")</f>
        <v/>
      </c>
      <c r="X1694" s="29" t="str">
        <f t="shared" si="83"/>
        <v/>
      </c>
      <c r="Y1694" s="29" t="str">
        <f>IF(AND(LEFT($B1694,7)="SBA 26/",$D1694&lt;&gt;"",$F1694&lt;&gt;""),COUNTIFS($D$2:$D1694,$D1694,$B$2:$B1694,"SBA 26/*",$F$2:$F1694,"&lt;&gt;"),"")</f>
        <v/>
      </c>
      <c r="Z1694" s="29" t="str">
        <f>IF(Y1694=1,COUNTIF($Y$2:Y1694,1),"")</f>
        <v/>
      </c>
      <c r="AA1694" s="29" t="str">
        <f>IF(AND(LEFT($B1694,7)="SBA 26/",$C1694&lt;&gt;"",$F1694&lt;&gt;""),COUNTIFS($C$2:$C1694,$C1694,$B$2:$B1694,"SBA 26/*",$F$2:$F1694,"&lt;&gt;"),"")</f>
        <v/>
      </c>
      <c r="AB1694" s="29" t="str">
        <f>IF(AA1694=1,COUNTIF($AA$2:AA1694,1),"")</f>
        <v/>
      </c>
    </row>
    <row r="1695" spans="6:28" ht="31.5" customHeight="1" x14ac:dyDescent="0.2">
      <c r="F1695" s="45" t="s">
        <v>4371</v>
      </c>
      <c r="T1695" s="41"/>
      <c r="U1695" s="29" t="str">
        <f>IF($C1695&lt;&gt;"",COUNTIF($C$2:C1695,C1695),"")</f>
        <v/>
      </c>
      <c r="V1695" s="29" t="str">
        <f t="shared" si="84"/>
        <v/>
      </c>
      <c r="W1695" s="29" t="str">
        <f>IF(U1695=1,COUNTIF($U$2:U1695,1),"")</f>
        <v/>
      </c>
      <c r="X1695" s="29" t="str">
        <f t="shared" si="83"/>
        <v/>
      </c>
      <c r="Y1695" s="29" t="str">
        <f>IF(AND(LEFT($B1695,7)="SBA 26/",$D1695&lt;&gt;"",$F1695&lt;&gt;""),COUNTIFS($D$2:$D1695,$D1695,$B$2:$B1695,"SBA 26/*",$F$2:$F1695,"&lt;&gt;"),"")</f>
        <v/>
      </c>
      <c r="Z1695" s="29" t="str">
        <f>IF(Y1695=1,COUNTIF($Y$2:Y1695,1),"")</f>
        <v/>
      </c>
      <c r="AA1695" s="29" t="str">
        <f>IF(AND(LEFT($B1695,7)="SBA 26/",$C1695&lt;&gt;"",$F1695&lt;&gt;""),COUNTIFS($C$2:$C1695,$C1695,$B$2:$B1695,"SBA 26/*",$F$2:$F1695,"&lt;&gt;"),"")</f>
        <v/>
      </c>
      <c r="AB1695" s="29" t="str">
        <f>IF(AA1695=1,COUNTIF($AA$2:AA1695,1),"")</f>
        <v/>
      </c>
    </row>
    <row r="1696" spans="6:28" ht="47.25" customHeight="1" x14ac:dyDescent="0.2">
      <c r="F1696" s="45" t="s">
        <v>4372</v>
      </c>
      <c r="T1696" s="41"/>
      <c r="U1696" s="29" t="str">
        <f>IF($C1696&lt;&gt;"",COUNTIF($C$2:C1696,C1696),"")</f>
        <v/>
      </c>
      <c r="V1696" s="29" t="str">
        <f t="shared" si="84"/>
        <v/>
      </c>
      <c r="W1696" s="29" t="str">
        <f>IF(U1696=1,COUNTIF($U$2:U1696,1),"")</f>
        <v/>
      </c>
      <c r="X1696" s="29" t="str">
        <f t="shared" si="83"/>
        <v/>
      </c>
      <c r="Y1696" s="29" t="str">
        <f>IF(AND(LEFT($B1696,7)="SBA 26/",$D1696&lt;&gt;"",$F1696&lt;&gt;""),COUNTIFS($D$2:$D1696,$D1696,$B$2:$B1696,"SBA 26/*",$F$2:$F1696,"&lt;&gt;"),"")</f>
        <v/>
      </c>
      <c r="Z1696" s="29" t="str">
        <f>IF(Y1696=1,COUNTIF($Y$2:Y1696,1),"")</f>
        <v/>
      </c>
      <c r="AA1696" s="29" t="str">
        <f>IF(AND(LEFT($B1696,7)="SBA 26/",$C1696&lt;&gt;"",$F1696&lt;&gt;""),COUNTIFS($C$2:$C1696,$C1696,$B$2:$B1696,"SBA 26/*",$F$2:$F1696,"&lt;&gt;"),"")</f>
        <v/>
      </c>
      <c r="AB1696" s="29" t="str">
        <f>IF(AA1696=1,COUNTIF($AA$2:AA1696,1),"")</f>
        <v/>
      </c>
    </row>
    <row r="1697" spans="6:28" ht="47.25" customHeight="1" x14ac:dyDescent="0.2">
      <c r="F1697" s="45" t="s">
        <v>4373</v>
      </c>
      <c r="T1697" s="41"/>
      <c r="U1697" s="29" t="str">
        <f>IF($C1697&lt;&gt;"",COUNTIF($C$2:C1697,C1697),"")</f>
        <v/>
      </c>
      <c r="V1697" s="29" t="str">
        <f t="shared" si="84"/>
        <v/>
      </c>
      <c r="W1697" s="29" t="str">
        <f>IF(U1697=1,COUNTIF($U$2:U1697,1),"")</f>
        <v/>
      </c>
      <c r="X1697" s="29" t="str">
        <f t="shared" si="83"/>
        <v/>
      </c>
      <c r="Y1697" s="29" t="str">
        <f>IF(AND(LEFT($B1697,7)="SBA 26/",$D1697&lt;&gt;"",$F1697&lt;&gt;""),COUNTIFS($D$2:$D1697,$D1697,$B$2:$B1697,"SBA 26/*",$F$2:$F1697,"&lt;&gt;"),"")</f>
        <v/>
      </c>
      <c r="Z1697" s="29" t="str">
        <f>IF(Y1697=1,COUNTIF($Y$2:Y1697,1),"")</f>
        <v/>
      </c>
      <c r="AA1697" s="29" t="str">
        <f>IF(AND(LEFT($B1697,7)="SBA 26/",$C1697&lt;&gt;"",$F1697&lt;&gt;""),COUNTIFS($C$2:$C1697,$C1697,$B$2:$B1697,"SBA 26/*",$F$2:$F1697,"&lt;&gt;"),"")</f>
        <v/>
      </c>
      <c r="AB1697" s="29" t="str">
        <f>IF(AA1697=1,COUNTIF($AA$2:AA1697,1),"")</f>
        <v/>
      </c>
    </row>
    <row r="1698" spans="6:28" ht="63" customHeight="1" x14ac:dyDescent="0.2">
      <c r="F1698" s="45" t="s">
        <v>4374</v>
      </c>
      <c r="T1698" s="41"/>
      <c r="U1698" s="29" t="str">
        <f>IF($C1698&lt;&gt;"",COUNTIF($C$2:C1698,C1698),"")</f>
        <v/>
      </c>
      <c r="V1698" s="29" t="str">
        <f t="shared" si="84"/>
        <v/>
      </c>
      <c r="W1698" s="29" t="str">
        <f>IF(U1698=1,COUNTIF($U$2:U1698,1),"")</f>
        <v/>
      </c>
      <c r="X1698" s="29" t="str">
        <f t="shared" si="83"/>
        <v/>
      </c>
      <c r="Y1698" s="29" t="str">
        <f>IF(AND(LEFT($B1698,7)="SBA 26/",$D1698&lt;&gt;"",$F1698&lt;&gt;""),COUNTIFS($D$2:$D1698,$D1698,$B$2:$B1698,"SBA 26/*",$F$2:$F1698,"&lt;&gt;"),"")</f>
        <v/>
      </c>
      <c r="Z1698" s="29" t="str">
        <f>IF(Y1698=1,COUNTIF($Y$2:Y1698,1),"")</f>
        <v/>
      </c>
      <c r="AA1698" s="29" t="str">
        <f>IF(AND(LEFT($B1698,7)="SBA 26/",$C1698&lt;&gt;"",$F1698&lt;&gt;""),COUNTIFS($C$2:$C1698,$C1698,$B$2:$B1698,"SBA 26/*",$F$2:$F1698,"&lt;&gt;"),"")</f>
        <v/>
      </c>
      <c r="AB1698" s="29" t="str">
        <f>IF(AA1698=1,COUNTIF($AA$2:AA1698,1),"")</f>
        <v/>
      </c>
    </row>
    <row r="1699" spans="6:28" ht="31.5" customHeight="1" x14ac:dyDescent="0.2">
      <c r="F1699" s="45" t="s">
        <v>4375</v>
      </c>
      <c r="T1699" s="41"/>
      <c r="U1699" s="29" t="str">
        <f>IF($C1699&lt;&gt;"",COUNTIF($C$2:C1699,C1699),"")</f>
        <v/>
      </c>
      <c r="V1699" s="29" t="str">
        <f t="shared" si="84"/>
        <v/>
      </c>
      <c r="W1699" s="29" t="str">
        <f>IF(U1699=1,COUNTIF($U$2:U1699,1),"")</f>
        <v/>
      </c>
      <c r="X1699" s="29" t="str">
        <f t="shared" si="83"/>
        <v/>
      </c>
      <c r="Y1699" s="29" t="str">
        <f>IF(AND(LEFT($B1699,7)="SBA 26/",$D1699&lt;&gt;"",$F1699&lt;&gt;""),COUNTIFS($D$2:$D1699,$D1699,$B$2:$B1699,"SBA 26/*",$F$2:$F1699,"&lt;&gt;"),"")</f>
        <v/>
      </c>
      <c r="Z1699" s="29" t="str">
        <f>IF(Y1699=1,COUNTIF($Y$2:Y1699,1),"")</f>
        <v/>
      </c>
      <c r="AA1699" s="29" t="str">
        <f>IF(AND(LEFT($B1699,7)="SBA 26/",$C1699&lt;&gt;"",$F1699&lt;&gt;""),COUNTIFS($C$2:$C1699,$C1699,$B$2:$B1699,"SBA 26/*",$F$2:$F1699,"&lt;&gt;"),"")</f>
        <v/>
      </c>
      <c r="AB1699" s="29" t="str">
        <f>IF(AA1699=1,COUNTIF($AA$2:AA1699,1),"")</f>
        <v/>
      </c>
    </row>
    <row r="1700" spans="6:28" ht="31.5" customHeight="1" x14ac:dyDescent="0.2">
      <c r="F1700" s="45" t="s">
        <v>4376</v>
      </c>
      <c r="T1700" s="41"/>
      <c r="U1700" s="29" t="str">
        <f>IF($C1700&lt;&gt;"",COUNTIF($C$2:C1700,C1700),"")</f>
        <v/>
      </c>
      <c r="V1700" s="29" t="str">
        <f t="shared" si="84"/>
        <v/>
      </c>
      <c r="W1700" s="29" t="str">
        <f>IF(U1700=1,COUNTIF($U$2:U1700,1),"")</f>
        <v/>
      </c>
      <c r="X1700" s="29" t="str">
        <f t="shared" si="83"/>
        <v/>
      </c>
      <c r="Y1700" s="29" t="str">
        <f>IF(AND(LEFT($B1700,7)="SBA 26/",$D1700&lt;&gt;"",$F1700&lt;&gt;""),COUNTIFS($D$2:$D1700,$D1700,$B$2:$B1700,"SBA 26/*",$F$2:$F1700,"&lt;&gt;"),"")</f>
        <v/>
      </c>
      <c r="Z1700" s="29" t="str">
        <f>IF(Y1700=1,COUNTIF($Y$2:Y1700,1),"")</f>
        <v/>
      </c>
      <c r="AA1700" s="29" t="str">
        <f>IF(AND(LEFT($B1700,7)="SBA 26/",$C1700&lt;&gt;"",$F1700&lt;&gt;""),COUNTIFS($C$2:$C1700,$C1700,$B$2:$B1700,"SBA 26/*",$F$2:$F1700,"&lt;&gt;"),"")</f>
        <v/>
      </c>
      <c r="AB1700" s="29" t="str">
        <f>IF(AA1700=1,COUNTIF($AA$2:AA1700,1),"")</f>
        <v/>
      </c>
    </row>
    <row r="1701" spans="6:28" ht="47.25" customHeight="1" x14ac:dyDescent="0.2">
      <c r="F1701" s="45" t="s">
        <v>4377</v>
      </c>
      <c r="T1701" s="41"/>
      <c r="U1701" s="29" t="str">
        <f>IF($C1701&lt;&gt;"",COUNTIF($C$2:C1701,C1701),"")</f>
        <v/>
      </c>
      <c r="V1701" s="29" t="str">
        <f t="shared" si="84"/>
        <v/>
      </c>
      <c r="W1701" s="29" t="str">
        <f>IF(U1701=1,COUNTIF($U$2:U1701,1),"")</f>
        <v/>
      </c>
      <c r="X1701" s="29" t="str">
        <f t="shared" si="83"/>
        <v/>
      </c>
      <c r="Y1701" s="29" t="str">
        <f>IF(AND(LEFT($B1701,7)="SBA 26/",$D1701&lt;&gt;"",$F1701&lt;&gt;""),COUNTIFS($D$2:$D1701,$D1701,$B$2:$B1701,"SBA 26/*",$F$2:$F1701,"&lt;&gt;"),"")</f>
        <v/>
      </c>
      <c r="Z1701" s="29" t="str">
        <f>IF(Y1701=1,COUNTIF($Y$2:Y1701,1),"")</f>
        <v/>
      </c>
      <c r="AA1701" s="29" t="str">
        <f>IF(AND(LEFT($B1701,7)="SBA 26/",$C1701&lt;&gt;"",$F1701&lt;&gt;""),COUNTIFS($C$2:$C1701,$C1701,$B$2:$B1701,"SBA 26/*",$F$2:$F1701,"&lt;&gt;"),"")</f>
        <v/>
      </c>
      <c r="AB1701" s="29" t="str">
        <f>IF(AA1701=1,COUNTIF($AA$2:AA1701,1),"")</f>
        <v/>
      </c>
    </row>
    <row r="1702" spans="6:28" ht="31.5" customHeight="1" x14ac:dyDescent="0.2">
      <c r="F1702" s="45" t="s">
        <v>4378</v>
      </c>
      <c r="T1702" s="41"/>
      <c r="U1702" s="29" t="str">
        <f>IF($C1702&lt;&gt;"",COUNTIF($C$2:C1702,C1702),"")</f>
        <v/>
      </c>
      <c r="V1702" s="29" t="str">
        <f t="shared" si="84"/>
        <v/>
      </c>
      <c r="W1702" s="29" t="str">
        <f>IF(U1702=1,COUNTIF($U$2:U1702,1),"")</f>
        <v/>
      </c>
      <c r="X1702" s="29" t="str">
        <f t="shared" si="83"/>
        <v/>
      </c>
      <c r="Y1702" s="29" t="str">
        <f>IF(AND(LEFT($B1702,7)="SBA 26/",$D1702&lt;&gt;"",$F1702&lt;&gt;""),COUNTIFS($D$2:$D1702,$D1702,$B$2:$B1702,"SBA 26/*",$F$2:$F1702,"&lt;&gt;"),"")</f>
        <v/>
      </c>
      <c r="Z1702" s="29" t="str">
        <f>IF(Y1702=1,COUNTIF($Y$2:Y1702,1),"")</f>
        <v/>
      </c>
      <c r="AA1702" s="29" t="str">
        <f>IF(AND(LEFT($B1702,7)="SBA 26/",$C1702&lt;&gt;"",$F1702&lt;&gt;""),COUNTIFS($C$2:$C1702,$C1702,$B$2:$B1702,"SBA 26/*",$F$2:$F1702,"&lt;&gt;"),"")</f>
        <v/>
      </c>
      <c r="AB1702" s="29" t="str">
        <f>IF(AA1702=1,COUNTIF($AA$2:AA1702,1),"")</f>
        <v/>
      </c>
    </row>
    <row r="1703" spans="6:28" ht="47.25" customHeight="1" x14ac:dyDescent="0.2">
      <c r="F1703" s="45" t="s">
        <v>4379</v>
      </c>
      <c r="T1703" s="41"/>
      <c r="U1703" s="29" t="str">
        <f>IF($C1703&lt;&gt;"",COUNTIF($C$2:C1703,C1703),"")</f>
        <v/>
      </c>
      <c r="V1703" s="29" t="str">
        <f t="shared" si="84"/>
        <v/>
      </c>
      <c r="W1703" s="29" t="str">
        <f>IF(U1703=1,COUNTIF($U$2:U1703,1),"")</f>
        <v/>
      </c>
      <c r="X1703" s="29" t="str">
        <f t="shared" si="83"/>
        <v/>
      </c>
      <c r="Y1703" s="29" t="str">
        <f>IF(AND(LEFT($B1703,7)="SBA 26/",$D1703&lt;&gt;"",$F1703&lt;&gt;""),COUNTIFS($D$2:$D1703,$D1703,$B$2:$B1703,"SBA 26/*",$F$2:$F1703,"&lt;&gt;"),"")</f>
        <v/>
      </c>
      <c r="Z1703" s="29" t="str">
        <f>IF(Y1703=1,COUNTIF($Y$2:Y1703,1),"")</f>
        <v/>
      </c>
      <c r="AA1703" s="29" t="str">
        <f>IF(AND(LEFT($B1703,7)="SBA 26/",$C1703&lt;&gt;"",$F1703&lt;&gt;""),COUNTIFS($C$2:$C1703,$C1703,$B$2:$B1703,"SBA 26/*",$F$2:$F1703,"&lt;&gt;"),"")</f>
        <v/>
      </c>
      <c r="AB1703" s="29" t="str">
        <f>IF(AA1703=1,COUNTIF($AA$2:AA1703,1),"")</f>
        <v/>
      </c>
    </row>
    <row r="1704" spans="6:28" ht="47.25" customHeight="1" x14ac:dyDescent="0.2">
      <c r="F1704" s="45" t="s">
        <v>4380</v>
      </c>
      <c r="T1704" s="41"/>
      <c r="U1704" s="29" t="str">
        <f>IF($C1704&lt;&gt;"",COUNTIF($C$2:C1704,C1704),"")</f>
        <v/>
      </c>
      <c r="V1704" s="29" t="str">
        <f t="shared" si="84"/>
        <v/>
      </c>
      <c r="W1704" s="29" t="str">
        <f>IF(U1704=1,COUNTIF($U$2:U1704,1),"")</f>
        <v/>
      </c>
      <c r="X1704" s="29" t="str">
        <f t="shared" si="83"/>
        <v/>
      </c>
      <c r="Y1704" s="29" t="str">
        <f>IF(AND(LEFT($B1704,7)="SBA 26/",$D1704&lt;&gt;"",$F1704&lt;&gt;""),COUNTIFS($D$2:$D1704,$D1704,$B$2:$B1704,"SBA 26/*",$F$2:$F1704,"&lt;&gt;"),"")</f>
        <v/>
      </c>
      <c r="Z1704" s="29" t="str">
        <f>IF(Y1704=1,COUNTIF($Y$2:Y1704,1),"")</f>
        <v/>
      </c>
      <c r="AA1704" s="29" t="str">
        <f>IF(AND(LEFT($B1704,7)="SBA 26/",$C1704&lt;&gt;"",$F1704&lt;&gt;""),COUNTIFS($C$2:$C1704,$C1704,$B$2:$B1704,"SBA 26/*",$F$2:$F1704,"&lt;&gt;"),"")</f>
        <v/>
      </c>
      <c r="AB1704" s="29" t="str">
        <f>IF(AA1704=1,COUNTIF($AA$2:AA1704,1),"")</f>
        <v/>
      </c>
    </row>
    <row r="1705" spans="6:28" ht="78.75" customHeight="1" x14ac:dyDescent="0.2">
      <c r="F1705" s="45" t="s">
        <v>4381</v>
      </c>
      <c r="T1705" s="41"/>
      <c r="U1705" s="29" t="str">
        <f>IF($C1705&lt;&gt;"",COUNTIF($C$2:C1705,C1705),"")</f>
        <v/>
      </c>
      <c r="V1705" s="29" t="str">
        <f t="shared" si="84"/>
        <v/>
      </c>
      <c r="W1705" s="29" t="str">
        <f>IF(U1705=1,COUNTIF($U$2:U1705,1),"")</f>
        <v/>
      </c>
      <c r="X1705" s="29" t="str">
        <f t="shared" si="83"/>
        <v/>
      </c>
      <c r="Y1705" s="29" t="str">
        <f>IF(AND(LEFT($B1705,7)="SBA 26/",$D1705&lt;&gt;"",$F1705&lt;&gt;""),COUNTIFS($D$2:$D1705,$D1705,$B$2:$B1705,"SBA 26/*",$F$2:$F1705,"&lt;&gt;"),"")</f>
        <v/>
      </c>
      <c r="Z1705" s="29" t="str">
        <f>IF(Y1705=1,COUNTIF($Y$2:Y1705,1),"")</f>
        <v/>
      </c>
      <c r="AA1705" s="29" t="str">
        <f>IF(AND(LEFT($B1705,7)="SBA 26/",$C1705&lt;&gt;"",$F1705&lt;&gt;""),COUNTIFS($C$2:$C1705,$C1705,$B$2:$B1705,"SBA 26/*",$F$2:$F1705,"&lt;&gt;"),"")</f>
        <v/>
      </c>
      <c r="AB1705" s="29" t="str">
        <f>IF(AA1705=1,COUNTIF($AA$2:AA1705,1),"")</f>
        <v/>
      </c>
    </row>
    <row r="1706" spans="6:28" ht="31.5" customHeight="1" x14ac:dyDescent="0.2">
      <c r="F1706" s="45" t="s">
        <v>4382</v>
      </c>
      <c r="T1706" s="41"/>
      <c r="U1706" s="29" t="str">
        <f>IF($C1706&lt;&gt;"",COUNTIF($C$2:C1706,C1706),"")</f>
        <v/>
      </c>
      <c r="V1706" s="29" t="str">
        <f t="shared" si="84"/>
        <v/>
      </c>
      <c r="W1706" s="29" t="str">
        <f>IF(U1706=1,COUNTIF($U$2:U1706,1),"")</f>
        <v/>
      </c>
      <c r="X1706" s="29" t="str">
        <f t="shared" si="83"/>
        <v/>
      </c>
      <c r="Y1706" s="29" t="str">
        <f>IF(AND(LEFT($B1706,7)="SBA 26/",$D1706&lt;&gt;"",$F1706&lt;&gt;""),COUNTIFS($D$2:$D1706,$D1706,$B$2:$B1706,"SBA 26/*",$F$2:$F1706,"&lt;&gt;"),"")</f>
        <v/>
      </c>
      <c r="Z1706" s="29" t="str">
        <f>IF(Y1706=1,COUNTIF($Y$2:Y1706,1),"")</f>
        <v/>
      </c>
      <c r="AA1706" s="29" t="str">
        <f>IF(AND(LEFT($B1706,7)="SBA 26/",$C1706&lt;&gt;"",$F1706&lt;&gt;""),COUNTIFS($C$2:$C1706,$C1706,$B$2:$B1706,"SBA 26/*",$F$2:$F1706,"&lt;&gt;"),"")</f>
        <v/>
      </c>
      <c r="AB1706" s="29" t="str">
        <f>IF(AA1706=1,COUNTIF($AA$2:AA1706,1),"")</f>
        <v/>
      </c>
    </row>
    <row r="1707" spans="6:28" ht="31.5" customHeight="1" x14ac:dyDescent="0.2">
      <c r="F1707" s="45" t="s">
        <v>4383</v>
      </c>
      <c r="T1707" s="41"/>
      <c r="U1707" s="29" t="str">
        <f>IF($C1707&lt;&gt;"",COUNTIF($C$2:C1707,C1707),"")</f>
        <v/>
      </c>
      <c r="V1707" s="29" t="str">
        <f t="shared" si="84"/>
        <v/>
      </c>
      <c r="W1707" s="29" t="str">
        <f>IF(U1707=1,COUNTIF($U$2:U1707,1),"")</f>
        <v/>
      </c>
      <c r="X1707" s="29" t="str">
        <f t="shared" si="83"/>
        <v/>
      </c>
      <c r="Y1707" s="29" t="str">
        <f>IF(AND(LEFT($B1707,7)="SBA 26/",$D1707&lt;&gt;"",$F1707&lt;&gt;""),COUNTIFS($D$2:$D1707,$D1707,$B$2:$B1707,"SBA 26/*",$F$2:$F1707,"&lt;&gt;"),"")</f>
        <v/>
      </c>
      <c r="Z1707" s="29" t="str">
        <f>IF(Y1707=1,COUNTIF($Y$2:Y1707,1),"")</f>
        <v/>
      </c>
      <c r="AA1707" s="29" t="str">
        <f>IF(AND(LEFT($B1707,7)="SBA 26/",$C1707&lt;&gt;"",$F1707&lt;&gt;""),COUNTIFS($C$2:$C1707,$C1707,$B$2:$B1707,"SBA 26/*",$F$2:$F1707,"&lt;&gt;"),"")</f>
        <v/>
      </c>
      <c r="AB1707" s="29" t="str">
        <f>IF(AA1707=1,COUNTIF($AA$2:AA1707,1),"")</f>
        <v/>
      </c>
    </row>
    <row r="1708" spans="6:28" ht="63" customHeight="1" x14ac:dyDescent="0.2">
      <c r="F1708" s="45" t="s">
        <v>4384</v>
      </c>
      <c r="T1708" s="41"/>
      <c r="U1708" s="29" t="str">
        <f>IF($C1708&lt;&gt;"",COUNTIF($C$2:C1708,C1708),"")</f>
        <v/>
      </c>
      <c r="V1708" s="29" t="str">
        <f t="shared" si="84"/>
        <v/>
      </c>
      <c r="W1708" s="29" t="str">
        <f>IF(U1708=1,COUNTIF($U$2:U1708,1),"")</f>
        <v/>
      </c>
      <c r="X1708" s="29" t="str">
        <f t="shared" si="83"/>
        <v/>
      </c>
      <c r="Y1708" s="29" t="str">
        <f>IF(AND(LEFT($B1708,7)="SBA 26/",$D1708&lt;&gt;"",$F1708&lt;&gt;""),COUNTIFS($D$2:$D1708,$D1708,$B$2:$B1708,"SBA 26/*",$F$2:$F1708,"&lt;&gt;"),"")</f>
        <v/>
      </c>
      <c r="Z1708" s="29" t="str">
        <f>IF(Y1708=1,COUNTIF($Y$2:Y1708,1),"")</f>
        <v/>
      </c>
      <c r="AA1708" s="29" t="str">
        <f>IF(AND(LEFT($B1708,7)="SBA 26/",$C1708&lt;&gt;"",$F1708&lt;&gt;""),COUNTIFS($C$2:$C1708,$C1708,$B$2:$B1708,"SBA 26/*",$F$2:$F1708,"&lt;&gt;"),"")</f>
        <v/>
      </c>
      <c r="AB1708" s="29" t="str">
        <f>IF(AA1708=1,COUNTIF($AA$2:AA1708,1),"")</f>
        <v/>
      </c>
    </row>
    <row r="1709" spans="6:28" ht="31.5" customHeight="1" x14ac:dyDescent="0.2">
      <c r="F1709" s="45" t="s">
        <v>4385</v>
      </c>
      <c r="T1709" s="41"/>
      <c r="U1709" s="29" t="str">
        <f>IF($C1709&lt;&gt;"",COUNTIF($C$2:C1709,C1709),"")</f>
        <v/>
      </c>
      <c r="V1709" s="29" t="str">
        <f t="shared" si="84"/>
        <v/>
      </c>
      <c r="W1709" s="29" t="str">
        <f>IF(U1709=1,COUNTIF($U$2:U1709,1),"")</f>
        <v/>
      </c>
      <c r="X1709" s="29" t="str">
        <f t="shared" ref="X1709:X1772" si="85">IF(U1709=1,SUMPRODUCT(($U$2:$U$1833=1)*($C$2:$C$1833&lt;C1709))+1,"")</f>
        <v/>
      </c>
      <c r="Y1709" s="29" t="str">
        <f>IF(AND(LEFT($B1709,7)="SBA 26/",$D1709&lt;&gt;"",$F1709&lt;&gt;""),COUNTIFS($D$2:$D1709,$D1709,$B$2:$B1709,"SBA 26/*",$F$2:$F1709,"&lt;&gt;"),"")</f>
        <v/>
      </c>
      <c r="Z1709" s="29" t="str">
        <f>IF(Y1709=1,COUNTIF($Y$2:Y1709,1),"")</f>
        <v/>
      </c>
      <c r="AA1709" s="29" t="str">
        <f>IF(AND(LEFT($B1709,7)="SBA 26/",$C1709&lt;&gt;"",$F1709&lt;&gt;""),COUNTIFS($C$2:$C1709,$C1709,$B$2:$B1709,"SBA 26/*",$F$2:$F1709,"&lt;&gt;"),"")</f>
        <v/>
      </c>
      <c r="AB1709" s="29" t="str">
        <f>IF(AA1709=1,COUNTIF($AA$2:AA1709,1),"")</f>
        <v/>
      </c>
    </row>
    <row r="1710" spans="6:28" ht="31.5" customHeight="1" x14ac:dyDescent="0.2">
      <c r="F1710" s="45" t="s">
        <v>4386</v>
      </c>
      <c r="T1710" s="41"/>
      <c r="U1710" s="29" t="str">
        <f>IF($C1710&lt;&gt;"",COUNTIF($C$2:C1710,C1710),"")</f>
        <v/>
      </c>
      <c r="V1710" s="29" t="str">
        <f t="shared" si="84"/>
        <v/>
      </c>
      <c r="W1710" s="29" t="str">
        <f>IF(U1710=1,COUNTIF($U$2:U1710,1),"")</f>
        <v/>
      </c>
      <c r="X1710" s="29" t="str">
        <f t="shared" si="85"/>
        <v/>
      </c>
      <c r="Y1710" s="29" t="str">
        <f>IF(AND(LEFT($B1710,7)="SBA 26/",$D1710&lt;&gt;"",$F1710&lt;&gt;""),COUNTIFS($D$2:$D1710,$D1710,$B$2:$B1710,"SBA 26/*",$F$2:$F1710,"&lt;&gt;"),"")</f>
        <v/>
      </c>
      <c r="Z1710" s="29" t="str">
        <f>IF(Y1710=1,COUNTIF($Y$2:Y1710,1),"")</f>
        <v/>
      </c>
      <c r="AA1710" s="29" t="str">
        <f>IF(AND(LEFT($B1710,7)="SBA 26/",$C1710&lt;&gt;"",$F1710&lt;&gt;""),COUNTIFS($C$2:$C1710,$C1710,$B$2:$B1710,"SBA 26/*",$F$2:$F1710,"&lt;&gt;"),"")</f>
        <v/>
      </c>
      <c r="AB1710" s="29" t="str">
        <f>IF(AA1710=1,COUNTIF($AA$2:AA1710,1),"")</f>
        <v/>
      </c>
    </row>
    <row r="1711" spans="6:28" ht="31.5" customHeight="1" x14ac:dyDescent="0.2">
      <c r="F1711" s="45" t="s">
        <v>4387</v>
      </c>
      <c r="T1711" s="41"/>
      <c r="U1711" s="29" t="str">
        <f>IF($C1711&lt;&gt;"",COUNTIF($C$2:C1711,C1711),"")</f>
        <v/>
      </c>
      <c r="V1711" s="29" t="str">
        <f t="shared" si="84"/>
        <v/>
      </c>
      <c r="W1711" s="29" t="str">
        <f>IF(U1711=1,COUNTIF($U$2:U1711,1),"")</f>
        <v/>
      </c>
      <c r="X1711" s="29" t="str">
        <f t="shared" si="85"/>
        <v/>
      </c>
      <c r="Y1711" s="29" t="str">
        <f>IF(AND(LEFT($B1711,7)="SBA 26/",$D1711&lt;&gt;"",$F1711&lt;&gt;""),COUNTIFS($D$2:$D1711,$D1711,$B$2:$B1711,"SBA 26/*",$F$2:$F1711,"&lt;&gt;"),"")</f>
        <v/>
      </c>
      <c r="Z1711" s="29" t="str">
        <f>IF(Y1711=1,COUNTIF($Y$2:Y1711,1),"")</f>
        <v/>
      </c>
      <c r="AA1711" s="29" t="str">
        <f>IF(AND(LEFT($B1711,7)="SBA 26/",$C1711&lt;&gt;"",$F1711&lt;&gt;""),COUNTIFS($C$2:$C1711,$C1711,$B$2:$B1711,"SBA 26/*",$F$2:$F1711,"&lt;&gt;"),"")</f>
        <v/>
      </c>
      <c r="AB1711" s="29" t="str">
        <f>IF(AA1711=1,COUNTIF($AA$2:AA1711,1),"")</f>
        <v/>
      </c>
    </row>
    <row r="1712" spans="6:28" ht="47.25" customHeight="1" x14ac:dyDescent="0.2">
      <c r="F1712" s="45" t="s">
        <v>4388</v>
      </c>
      <c r="T1712" s="41"/>
      <c r="U1712" s="29" t="str">
        <f>IF($C1712&lt;&gt;"",COUNTIF($C$2:C1712,C1712),"")</f>
        <v/>
      </c>
      <c r="V1712" s="29" t="str">
        <f t="shared" si="84"/>
        <v/>
      </c>
      <c r="W1712" s="29" t="str">
        <f>IF(U1712=1,COUNTIF($U$2:U1712,1),"")</f>
        <v/>
      </c>
      <c r="X1712" s="29" t="str">
        <f t="shared" si="85"/>
        <v/>
      </c>
      <c r="Y1712" s="29" t="str">
        <f>IF(AND(LEFT($B1712,7)="SBA 26/",$D1712&lt;&gt;"",$F1712&lt;&gt;""),COUNTIFS($D$2:$D1712,$D1712,$B$2:$B1712,"SBA 26/*",$F$2:$F1712,"&lt;&gt;"),"")</f>
        <v/>
      </c>
      <c r="Z1712" s="29" t="str">
        <f>IF(Y1712=1,COUNTIF($Y$2:Y1712,1),"")</f>
        <v/>
      </c>
      <c r="AA1712" s="29" t="str">
        <f>IF(AND(LEFT($B1712,7)="SBA 26/",$C1712&lt;&gt;"",$F1712&lt;&gt;""),COUNTIFS($C$2:$C1712,$C1712,$B$2:$B1712,"SBA 26/*",$F$2:$F1712,"&lt;&gt;"),"")</f>
        <v/>
      </c>
      <c r="AB1712" s="29" t="str">
        <f>IF(AA1712=1,COUNTIF($AA$2:AA1712,1),"")</f>
        <v/>
      </c>
    </row>
    <row r="1713" spans="6:28" ht="47.25" customHeight="1" x14ac:dyDescent="0.2">
      <c r="F1713" s="45" t="s">
        <v>4389</v>
      </c>
      <c r="T1713" s="41"/>
      <c r="U1713" s="29" t="str">
        <f>IF($C1713&lt;&gt;"",COUNTIF($C$2:C1713,C1713),"")</f>
        <v/>
      </c>
      <c r="V1713" s="29" t="str">
        <f t="shared" si="84"/>
        <v/>
      </c>
      <c r="W1713" s="29" t="str">
        <f>IF(U1713=1,COUNTIF($U$2:U1713,1),"")</f>
        <v/>
      </c>
      <c r="X1713" s="29" t="str">
        <f t="shared" si="85"/>
        <v/>
      </c>
      <c r="Y1713" s="29" t="str">
        <f>IF(AND(LEFT($B1713,7)="SBA 26/",$D1713&lt;&gt;"",$F1713&lt;&gt;""),COUNTIFS($D$2:$D1713,$D1713,$B$2:$B1713,"SBA 26/*",$F$2:$F1713,"&lt;&gt;"),"")</f>
        <v/>
      </c>
      <c r="Z1713" s="29" t="str">
        <f>IF(Y1713=1,COUNTIF($Y$2:Y1713,1),"")</f>
        <v/>
      </c>
      <c r="AA1713" s="29" t="str">
        <f>IF(AND(LEFT($B1713,7)="SBA 26/",$C1713&lt;&gt;"",$F1713&lt;&gt;""),COUNTIFS($C$2:$C1713,$C1713,$B$2:$B1713,"SBA 26/*",$F$2:$F1713,"&lt;&gt;"),"")</f>
        <v/>
      </c>
      <c r="AB1713" s="29" t="str">
        <f>IF(AA1713=1,COUNTIF($AA$2:AA1713,1),"")</f>
        <v/>
      </c>
    </row>
    <row r="1714" spans="6:28" ht="31.5" customHeight="1" x14ac:dyDescent="0.2">
      <c r="F1714" s="45" t="s">
        <v>4390</v>
      </c>
      <c r="T1714" s="41"/>
      <c r="U1714" s="29" t="str">
        <f>IF($C1714&lt;&gt;"",COUNTIF($C$2:C1714,C1714),"")</f>
        <v/>
      </c>
      <c r="V1714" s="29" t="str">
        <f t="shared" si="84"/>
        <v/>
      </c>
      <c r="W1714" s="29" t="str">
        <f>IF(U1714=1,COUNTIF($U$2:U1714,1),"")</f>
        <v/>
      </c>
      <c r="X1714" s="29" t="str">
        <f t="shared" si="85"/>
        <v/>
      </c>
      <c r="Y1714" s="29" t="str">
        <f>IF(AND(LEFT($B1714,7)="SBA 26/",$D1714&lt;&gt;"",$F1714&lt;&gt;""),COUNTIFS($D$2:$D1714,$D1714,$B$2:$B1714,"SBA 26/*",$F$2:$F1714,"&lt;&gt;"),"")</f>
        <v/>
      </c>
      <c r="Z1714" s="29" t="str">
        <f>IF(Y1714=1,COUNTIF($Y$2:Y1714,1),"")</f>
        <v/>
      </c>
      <c r="AA1714" s="29" t="str">
        <f>IF(AND(LEFT($B1714,7)="SBA 26/",$C1714&lt;&gt;"",$F1714&lt;&gt;""),COUNTIFS($C$2:$C1714,$C1714,$B$2:$B1714,"SBA 26/*",$F$2:$F1714,"&lt;&gt;"),"")</f>
        <v/>
      </c>
      <c r="AB1714" s="29" t="str">
        <f>IF(AA1714=1,COUNTIF($AA$2:AA1714,1),"")</f>
        <v/>
      </c>
    </row>
    <row r="1715" spans="6:28" ht="63" customHeight="1" x14ac:dyDescent="0.2">
      <c r="F1715" s="45" t="s">
        <v>4391</v>
      </c>
      <c r="T1715" s="41"/>
      <c r="U1715" s="29" t="str">
        <f>IF($C1715&lt;&gt;"",COUNTIF($C$2:C1715,C1715),"")</f>
        <v/>
      </c>
      <c r="V1715" s="29" t="str">
        <f t="shared" si="84"/>
        <v/>
      </c>
      <c r="W1715" s="29" t="str">
        <f>IF(U1715=1,COUNTIF($U$2:U1715,1),"")</f>
        <v/>
      </c>
      <c r="X1715" s="29" t="str">
        <f t="shared" si="85"/>
        <v/>
      </c>
      <c r="Y1715" s="29" t="str">
        <f>IF(AND(LEFT($B1715,7)="SBA 26/",$D1715&lt;&gt;"",$F1715&lt;&gt;""),COUNTIFS($D$2:$D1715,$D1715,$B$2:$B1715,"SBA 26/*",$F$2:$F1715,"&lt;&gt;"),"")</f>
        <v/>
      </c>
      <c r="Z1715" s="29" t="str">
        <f>IF(Y1715=1,COUNTIF($Y$2:Y1715,1),"")</f>
        <v/>
      </c>
      <c r="AA1715" s="29" t="str">
        <f>IF(AND(LEFT($B1715,7)="SBA 26/",$C1715&lt;&gt;"",$F1715&lt;&gt;""),COUNTIFS($C$2:$C1715,$C1715,$B$2:$B1715,"SBA 26/*",$F$2:$F1715,"&lt;&gt;"),"")</f>
        <v/>
      </c>
      <c r="AB1715" s="29" t="str">
        <f>IF(AA1715=1,COUNTIF($AA$2:AA1715,1),"")</f>
        <v/>
      </c>
    </row>
    <row r="1716" spans="6:28" ht="47.25" customHeight="1" x14ac:dyDescent="0.2">
      <c r="F1716" s="45" t="s">
        <v>4392</v>
      </c>
      <c r="T1716" s="41"/>
      <c r="U1716" s="29" t="str">
        <f>IF($C1716&lt;&gt;"",COUNTIF($C$2:C1716,C1716),"")</f>
        <v/>
      </c>
      <c r="V1716" s="29" t="str">
        <f t="shared" si="84"/>
        <v/>
      </c>
      <c r="W1716" s="29" t="str">
        <f>IF(U1716=1,COUNTIF($U$2:U1716,1),"")</f>
        <v/>
      </c>
      <c r="X1716" s="29" t="str">
        <f t="shared" si="85"/>
        <v/>
      </c>
      <c r="Y1716" s="29" t="str">
        <f>IF(AND(LEFT($B1716,7)="SBA 26/",$D1716&lt;&gt;"",$F1716&lt;&gt;""),COUNTIFS($D$2:$D1716,$D1716,$B$2:$B1716,"SBA 26/*",$F$2:$F1716,"&lt;&gt;"),"")</f>
        <v/>
      </c>
      <c r="Z1716" s="29" t="str">
        <f>IF(Y1716=1,COUNTIF($Y$2:Y1716,1),"")</f>
        <v/>
      </c>
      <c r="AA1716" s="29" t="str">
        <f>IF(AND(LEFT($B1716,7)="SBA 26/",$C1716&lt;&gt;"",$F1716&lt;&gt;""),COUNTIFS($C$2:$C1716,$C1716,$B$2:$B1716,"SBA 26/*",$F$2:$F1716,"&lt;&gt;"),"")</f>
        <v/>
      </c>
      <c r="AB1716" s="29" t="str">
        <f>IF(AA1716=1,COUNTIF($AA$2:AA1716,1),"")</f>
        <v/>
      </c>
    </row>
    <row r="1717" spans="6:28" ht="63" customHeight="1" x14ac:dyDescent="0.2">
      <c r="F1717" s="45" t="s">
        <v>4393</v>
      </c>
      <c r="T1717" s="41"/>
      <c r="U1717" s="29" t="str">
        <f>IF($C1717&lt;&gt;"",COUNTIF($C$2:C1717,C1717),"")</f>
        <v/>
      </c>
      <c r="V1717" s="29" t="str">
        <f t="shared" si="84"/>
        <v/>
      </c>
      <c r="W1717" s="29" t="str">
        <f>IF(U1717=1,COUNTIF($U$2:U1717,1),"")</f>
        <v/>
      </c>
      <c r="X1717" s="29" t="str">
        <f t="shared" si="85"/>
        <v/>
      </c>
      <c r="Y1717" s="29" t="str">
        <f>IF(AND(LEFT($B1717,7)="SBA 26/",$D1717&lt;&gt;"",$F1717&lt;&gt;""),COUNTIFS($D$2:$D1717,$D1717,$B$2:$B1717,"SBA 26/*",$F$2:$F1717,"&lt;&gt;"),"")</f>
        <v/>
      </c>
      <c r="Z1717" s="29" t="str">
        <f>IF(Y1717=1,COUNTIF($Y$2:Y1717,1),"")</f>
        <v/>
      </c>
      <c r="AA1717" s="29" t="str">
        <f>IF(AND(LEFT($B1717,7)="SBA 26/",$C1717&lt;&gt;"",$F1717&lt;&gt;""),COUNTIFS($C$2:$C1717,$C1717,$B$2:$B1717,"SBA 26/*",$F$2:$F1717,"&lt;&gt;"),"")</f>
        <v/>
      </c>
      <c r="AB1717" s="29" t="str">
        <f>IF(AA1717=1,COUNTIF($AA$2:AA1717,1),"")</f>
        <v/>
      </c>
    </row>
    <row r="1718" spans="6:28" ht="63" customHeight="1" x14ac:dyDescent="0.2">
      <c r="F1718" s="45" t="s">
        <v>4394</v>
      </c>
      <c r="T1718" s="41"/>
      <c r="U1718" s="29" t="str">
        <f>IF($C1718&lt;&gt;"",COUNTIF($C$2:C1718,C1718),"")</f>
        <v/>
      </c>
      <c r="V1718" s="29" t="str">
        <f t="shared" si="84"/>
        <v/>
      </c>
      <c r="W1718" s="29" t="str">
        <f>IF(U1718=1,COUNTIF($U$2:U1718,1),"")</f>
        <v/>
      </c>
      <c r="X1718" s="29" t="str">
        <f t="shared" si="85"/>
        <v/>
      </c>
      <c r="Y1718" s="29" t="str">
        <f>IF(AND(LEFT($B1718,7)="SBA 26/",$D1718&lt;&gt;"",$F1718&lt;&gt;""),COUNTIFS($D$2:$D1718,$D1718,$B$2:$B1718,"SBA 26/*",$F$2:$F1718,"&lt;&gt;"),"")</f>
        <v/>
      </c>
      <c r="Z1718" s="29" t="str">
        <f>IF(Y1718=1,COUNTIF($Y$2:Y1718,1),"")</f>
        <v/>
      </c>
      <c r="AA1718" s="29" t="str">
        <f>IF(AND(LEFT($B1718,7)="SBA 26/",$C1718&lt;&gt;"",$F1718&lt;&gt;""),COUNTIFS($C$2:$C1718,$C1718,$B$2:$B1718,"SBA 26/*",$F$2:$F1718,"&lt;&gt;"),"")</f>
        <v/>
      </c>
      <c r="AB1718" s="29" t="str">
        <f>IF(AA1718=1,COUNTIF($AA$2:AA1718,1),"")</f>
        <v/>
      </c>
    </row>
    <row r="1719" spans="6:28" ht="47.25" customHeight="1" x14ac:dyDescent="0.2">
      <c r="F1719" s="45" t="s">
        <v>4395</v>
      </c>
      <c r="T1719" s="41"/>
      <c r="U1719" s="29" t="str">
        <f>IF($C1719&lt;&gt;"",COUNTIF($C$2:C1719,C1719),"")</f>
        <v/>
      </c>
      <c r="V1719" s="29" t="str">
        <f t="shared" si="84"/>
        <v/>
      </c>
      <c r="W1719" s="29" t="str">
        <f>IF(U1719=1,COUNTIF($U$2:U1719,1),"")</f>
        <v/>
      </c>
      <c r="X1719" s="29" t="str">
        <f t="shared" si="85"/>
        <v/>
      </c>
      <c r="Y1719" s="29" t="str">
        <f>IF(AND(LEFT($B1719,7)="SBA 26/",$D1719&lt;&gt;"",$F1719&lt;&gt;""),COUNTIFS($D$2:$D1719,$D1719,$B$2:$B1719,"SBA 26/*",$F$2:$F1719,"&lt;&gt;"),"")</f>
        <v/>
      </c>
      <c r="Z1719" s="29" t="str">
        <f>IF(Y1719=1,COUNTIF($Y$2:Y1719,1),"")</f>
        <v/>
      </c>
      <c r="AA1719" s="29" t="str">
        <f>IF(AND(LEFT($B1719,7)="SBA 26/",$C1719&lt;&gt;"",$F1719&lt;&gt;""),COUNTIFS($C$2:$C1719,$C1719,$B$2:$B1719,"SBA 26/*",$F$2:$F1719,"&lt;&gt;"),"")</f>
        <v/>
      </c>
      <c r="AB1719" s="29" t="str">
        <f>IF(AA1719=1,COUNTIF($AA$2:AA1719,1),"")</f>
        <v/>
      </c>
    </row>
    <row r="1720" spans="6:28" ht="31.5" customHeight="1" x14ac:dyDescent="0.2">
      <c r="F1720" s="45" t="s">
        <v>4396</v>
      </c>
      <c r="T1720" s="41"/>
      <c r="U1720" s="29" t="str">
        <f>IF($C1720&lt;&gt;"",COUNTIF($C$2:C1720,C1720),"")</f>
        <v/>
      </c>
      <c r="V1720" s="29" t="str">
        <f t="shared" si="84"/>
        <v/>
      </c>
      <c r="W1720" s="29" t="str">
        <f>IF(U1720=1,COUNTIF($U$2:U1720,1),"")</f>
        <v/>
      </c>
      <c r="X1720" s="29" t="str">
        <f t="shared" si="85"/>
        <v/>
      </c>
      <c r="Y1720" s="29" t="str">
        <f>IF(AND(LEFT($B1720,7)="SBA 26/",$D1720&lt;&gt;"",$F1720&lt;&gt;""),COUNTIFS($D$2:$D1720,$D1720,$B$2:$B1720,"SBA 26/*",$F$2:$F1720,"&lt;&gt;"),"")</f>
        <v/>
      </c>
      <c r="Z1720" s="29" t="str">
        <f>IF(Y1720=1,COUNTIF($Y$2:Y1720,1),"")</f>
        <v/>
      </c>
      <c r="AA1720" s="29" t="str">
        <f>IF(AND(LEFT($B1720,7)="SBA 26/",$C1720&lt;&gt;"",$F1720&lt;&gt;""),COUNTIFS($C$2:$C1720,$C1720,$B$2:$B1720,"SBA 26/*",$F$2:$F1720,"&lt;&gt;"),"")</f>
        <v/>
      </c>
      <c r="AB1720" s="29" t="str">
        <f>IF(AA1720=1,COUNTIF($AA$2:AA1720,1),"")</f>
        <v/>
      </c>
    </row>
    <row r="1721" spans="6:28" ht="63" customHeight="1" x14ac:dyDescent="0.2">
      <c r="F1721" s="45" t="s">
        <v>4397</v>
      </c>
      <c r="T1721" s="41"/>
      <c r="U1721" s="29" t="str">
        <f>IF($C1721&lt;&gt;"",COUNTIF($C$2:C1721,C1721),"")</f>
        <v/>
      </c>
      <c r="V1721" s="29" t="str">
        <f t="shared" si="84"/>
        <v/>
      </c>
      <c r="W1721" s="29" t="str">
        <f>IF(U1721=1,COUNTIF($U$2:U1721,1),"")</f>
        <v/>
      </c>
      <c r="X1721" s="29" t="str">
        <f t="shared" si="85"/>
        <v/>
      </c>
      <c r="Y1721" s="29" t="str">
        <f>IF(AND(LEFT($B1721,7)="SBA 26/",$D1721&lt;&gt;"",$F1721&lt;&gt;""),COUNTIFS($D$2:$D1721,$D1721,$B$2:$B1721,"SBA 26/*",$F$2:$F1721,"&lt;&gt;"),"")</f>
        <v/>
      </c>
      <c r="Z1721" s="29" t="str">
        <f>IF(Y1721=1,COUNTIF($Y$2:Y1721,1),"")</f>
        <v/>
      </c>
      <c r="AA1721" s="29" t="str">
        <f>IF(AND(LEFT($B1721,7)="SBA 26/",$C1721&lt;&gt;"",$F1721&lt;&gt;""),COUNTIFS($C$2:$C1721,$C1721,$B$2:$B1721,"SBA 26/*",$F$2:$F1721,"&lt;&gt;"),"")</f>
        <v/>
      </c>
      <c r="AB1721" s="29" t="str">
        <f>IF(AA1721=1,COUNTIF($AA$2:AA1721,1),"")</f>
        <v/>
      </c>
    </row>
    <row r="1722" spans="6:28" ht="47.25" customHeight="1" x14ac:dyDescent="0.2">
      <c r="F1722" s="45" t="s">
        <v>4398</v>
      </c>
      <c r="T1722" s="41"/>
      <c r="U1722" s="29" t="str">
        <f>IF($C1722&lt;&gt;"",COUNTIF($C$2:C1722,C1722),"")</f>
        <v/>
      </c>
      <c r="V1722" s="29" t="str">
        <f t="shared" si="84"/>
        <v/>
      </c>
      <c r="W1722" s="29" t="str">
        <f>IF(U1722=1,COUNTIF($U$2:U1722,1),"")</f>
        <v/>
      </c>
      <c r="X1722" s="29" t="str">
        <f t="shared" si="85"/>
        <v/>
      </c>
      <c r="Y1722" s="29" t="str">
        <f>IF(AND(LEFT($B1722,7)="SBA 26/",$D1722&lt;&gt;"",$F1722&lt;&gt;""),COUNTIFS($D$2:$D1722,$D1722,$B$2:$B1722,"SBA 26/*",$F$2:$F1722,"&lt;&gt;"),"")</f>
        <v/>
      </c>
      <c r="Z1722" s="29" t="str">
        <f>IF(Y1722=1,COUNTIF($Y$2:Y1722,1),"")</f>
        <v/>
      </c>
      <c r="AA1722" s="29" t="str">
        <f>IF(AND(LEFT($B1722,7)="SBA 26/",$C1722&lt;&gt;"",$F1722&lt;&gt;""),COUNTIFS($C$2:$C1722,$C1722,$B$2:$B1722,"SBA 26/*",$F$2:$F1722,"&lt;&gt;"),"")</f>
        <v/>
      </c>
      <c r="AB1722" s="29" t="str">
        <f>IF(AA1722=1,COUNTIF($AA$2:AA1722,1),"")</f>
        <v/>
      </c>
    </row>
    <row r="1723" spans="6:28" ht="63" customHeight="1" x14ac:dyDescent="0.2">
      <c r="F1723" s="45" t="s">
        <v>4399</v>
      </c>
      <c r="T1723" s="41"/>
      <c r="U1723" s="29" t="str">
        <f>IF($C1723&lt;&gt;"",COUNTIF($C$2:C1723,C1723),"")</f>
        <v/>
      </c>
      <c r="V1723" s="29" t="str">
        <f t="shared" si="84"/>
        <v/>
      </c>
      <c r="W1723" s="29" t="str">
        <f>IF(U1723=1,COUNTIF($U$2:U1723,1),"")</f>
        <v/>
      </c>
      <c r="X1723" s="29" t="str">
        <f t="shared" si="85"/>
        <v/>
      </c>
      <c r="Y1723" s="29" t="str">
        <f>IF(AND(LEFT($B1723,7)="SBA 26/",$D1723&lt;&gt;"",$F1723&lt;&gt;""),COUNTIFS($D$2:$D1723,$D1723,$B$2:$B1723,"SBA 26/*",$F$2:$F1723,"&lt;&gt;"),"")</f>
        <v/>
      </c>
      <c r="Z1723" s="29" t="str">
        <f>IF(Y1723=1,COUNTIF($Y$2:Y1723,1),"")</f>
        <v/>
      </c>
      <c r="AA1723" s="29" t="str">
        <f>IF(AND(LEFT($B1723,7)="SBA 26/",$C1723&lt;&gt;"",$F1723&lt;&gt;""),COUNTIFS($C$2:$C1723,$C1723,$B$2:$B1723,"SBA 26/*",$F$2:$F1723,"&lt;&gt;"),"")</f>
        <v/>
      </c>
      <c r="AB1723" s="29" t="str">
        <f>IF(AA1723=1,COUNTIF($AA$2:AA1723,1),"")</f>
        <v/>
      </c>
    </row>
    <row r="1724" spans="6:28" ht="47.25" customHeight="1" x14ac:dyDescent="0.2">
      <c r="F1724" s="45" t="s">
        <v>4400</v>
      </c>
      <c r="T1724" s="41"/>
      <c r="U1724" s="29" t="str">
        <f>IF($C1724&lt;&gt;"",COUNTIF($C$2:C1724,C1724),"")</f>
        <v/>
      </c>
      <c r="V1724" s="29" t="str">
        <f t="shared" si="84"/>
        <v/>
      </c>
      <c r="W1724" s="29" t="str">
        <f>IF(U1724=1,COUNTIF($U$2:U1724,1),"")</f>
        <v/>
      </c>
      <c r="X1724" s="29" t="str">
        <f t="shared" si="85"/>
        <v/>
      </c>
      <c r="Y1724" s="29" t="str">
        <f>IF(AND(LEFT($B1724,7)="SBA 26/",$D1724&lt;&gt;"",$F1724&lt;&gt;""),COUNTIFS($D$2:$D1724,$D1724,$B$2:$B1724,"SBA 26/*",$F$2:$F1724,"&lt;&gt;"),"")</f>
        <v/>
      </c>
      <c r="Z1724" s="29" t="str">
        <f>IF(Y1724=1,COUNTIF($Y$2:Y1724,1),"")</f>
        <v/>
      </c>
      <c r="AA1724" s="29" t="str">
        <f>IF(AND(LEFT($B1724,7)="SBA 26/",$C1724&lt;&gt;"",$F1724&lt;&gt;""),COUNTIFS($C$2:$C1724,$C1724,$B$2:$B1724,"SBA 26/*",$F$2:$F1724,"&lt;&gt;"),"")</f>
        <v/>
      </c>
      <c r="AB1724" s="29" t="str">
        <f>IF(AA1724=1,COUNTIF($AA$2:AA1724,1),"")</f>
        <v/>
      </c>
    </row>
    <row r="1725" spans="6:28" ht="31.5" customHeight="1" x14ac:dyDescent="0.2">
      <c r="F1725" s="45" t="s">
        <v>4401</v>
      </c>
      <c r="T1725" s="41"/>
      <c r="U1725" s="29" t="str">
        <f>IF($C1725&lt;&gt;"",COUNTIF($C$2:C1725,C1725),"")</f>
        <v/>
      </c>
      <c r="V1725" s="29" t="str">
        <f t="shared" si="84"/>
        <v/>
      </c>
      <c r="W1725" s="29" t="str">
        <f>IF(U1725=1,COUNTIF($U$2:U1725,1),"")</f>
        <v/>
      </c>
      <c r="X1725" s="29" t="str">
        <f t="shared" si="85"/>
        <v/>
      </c>
      <c r="Y1725" s="29" t="str">
        <f>IF(AND(LEFT($B1725,7)="SBA 26/",$D1725&lt;&gt;"",$F1725&lt;&gt;""),COUNTIFS($D$2:$D1725,$D1725,$B$2:$B1725,"SBA 26/*",$F$2:$F1725,"&lt;&gt;"),"")</f>
        <v/>
      </c>
      <c r="Z1725" s="29" t="str">
        <f>IF(Y1725=1,COUNTIF($Y$2:Y1725,1),"")</f>
        <v/>
      </c>
      <c r="AA1725" s="29" t="str">
        <f>IF(AND(LEFT($B1725,7)="SBA 26/",$C1725&lt;&gt;"",$F1725&lt;&gt;""),COUNTIFS($C$2:$C1725,$C1725,$B$2:$B1725,"SBA 26/*",$F$2:$F1725,"&lt;&gt;"),"")</f>
        <v/>
      </c>
      <c r="AB1725" s="29" t="str">
        <f>IF(AA1725=1,COUNTIF($AA$2:AA1725,1),"")</f>
        <v/>
      </c>
    </row>
    <row r="1726" spans="6:28" ht="47.25" customHeight="1" x14ac:dyDescent="0.2">
      <c r="F1726" s="45" t="s">
        <v>4402</v>
      </c>
      <c r="T1726" s="41"/>
      <c r="U1726" s="29" t="str">
        <f>IF($C1726&lt;&gt;"",COUNTIF($C$2:C1726,C1726),"")</f>
        <v/>
      </c>
      <c r="V1726" s="29" t="str">
        <f t="shared" si="84"/>
        <v/>
      </c>
      <c r="W1726" s="29" t="str">
        <f>IF(U1726=1,COUNTIF($U$2:U1726,1),"")</f>
        <v/>
      </c>
      <c r="X1726" s="29" t="str">
        <f t="shared" si="85"/>
        <v/>
      </c>
      <c r="Y1726" s="29" t="str">
        <f>IF(AND(LEFT($B1726,7)="SBA 26/",$D1726&lt;&gt;"",$F1726&lt;&gt;""),COUNTIFS($D$2:$D1726,$D1726,$B$2:$B1726,"SBA 26/*",$F$2:$F1726,"&lt;&gt;"),"")</f>
        <v/>
      </c>
      <c r="Z1726" s="29" t="str">
        <f>IF(Y1726=1,COUNTIF($Y$2:Y1726,1),"")</f>
        <v/>
      </c>
      <c r="AA1726" s="29" t="str">
        <f>IF(AND(LEFT($B1726,7)="SBA 26/",$C1726&lt;&gt;"",$F1726&lt;&gt;""),COUNTIFS($C$2:$C1726,$C1726,$B$2:$B1726,"SBA 26/*",$F$2:$F1726,"&lt;&gt;"),"")</f>
        <v/>
      </c>
      <c r="AB1726" s="29" t="str">
        <f>IF(AA1726=1,COUNTIF($AA$2:AA1726,1),"")</f>
        <v/>
      </c>
    </row>
    <row r="1727" spans="6:28" ht="31.5" customHeight="1" x14ac:dyDescent="0.2">
      <c r="F1727" s="45" t="s">
        <v>4403</v>
      </c>
      <c r="T1727" s="41"/>
      <c r="U1727" s="29" t="str">
        <f>IF($C1727&lt;&gt;"",COUNTIF($C$2:C1727,C1727),"")</f>
        <v/>
      </c>
      <c r="V1727" s="29" t="str">
        <f t="shared" si="84"/>
        <v/>
      </c>
      <c r="W1727" s="29" t="str">
        <f>IF(U1727=1,COUNTIF($U$2:U1727,1),"")</f>
        <v/>
      </c>
      <c r="X1727" s="29" t="str">
        <f t="shared" si="85"/>
        <v/>
      </c>
      <c r="Y1727" s="29" t="str">
        <f>IF(AND(LEFT($B1727,7)="SBA 26/",$D1727&lt;&gt;"",$F1727&lt;&gt;""),COUNTIFS($D$2:$D1727,$D1727,$B$2:$B1727,"SBA 26/*",$F$2:$F1727,"&lt;&gt;"),"")</f>
        <v/>
      </c>
      <c r="Z1727" s="29" t="str">
        <f>IF(Y1727=1,COUNTIF($Y$2:Y1727,1),"")</f>
        <v/>
      </c>
      <c r="AA1727" s="29" t="str">
        <f>IF(AND(LEFT($B1727,7)="SBA 26/",$C1727&lt;&gt;"",$F1727&lt;&gt;""),COUNTIFS($C$2:$C1727,$C1727,$B$2:$B1727,"SBA 26/*",$F$2:$F1727,"&lt;&gt;"),"")</f>
        <v/>
      </c>
      <c r="AB1727" s="29" t="str">
        <f>IF(AA1727=1,COUNTIF($AA$2:AA1727,1),"")</f>
        <v/>
      </c>
    </row>
    <row r="1728" spans="6:28" ht="63" customHeight="1" x14ac:dyDescent="0.2">
      <c r="F1728" s="45" t="s">
        <v>4404</v>
      </c>
      <c r="T1728" s="41"/>
      <c r="U1728" s="29" t="str">
        <f>IF($C1728&lt;&gt;"",COUNTIF($C$2:C1728,C1728),"")</f>
        <v/>
      </c>
      <c r="V1728" s="29" t="str">
        <f t="shared" si="84"/>
        <v/>
      </c>
      <c r="W1728" s="29" t="str">
        <f>IF(U1728=1,COUNTIF($U$2:U1728,1),"")</f>
        <v/>
      </c>
      <c r="X1728" s="29" t="str">
        <f t="shared" si="85"/>
        <v/>
      </c>
      <c r="Y1728" s="29" t="str">
        <f>IF(AND(LEFT($B1728,7)="SBA 26/",$D1728&lt;&gt;"",$F1728&lt;&gt;""),COUNTIFS($D$2:$D1728,$D1728,$B$2:$B1728,"SBA 26/*",$F$2:$F1728,"&lt;&gt;"),"")</f>
        <v/>
      </c>
      <c r="Z1728" s="29" t="str">
        <f>IF(Y1728=1,COUNTIF($Y$2:Y1728,1),"")</f>
        <v/>
      </c>
      <c r="AA1728" s="29" t="str">
        <f>IF(AND(LEFT($B1728,7)="SBA 26/",$C1728&lt;&gt;"",$F1728&lt;&gt;""),COUNTIFS($C$2:$C1728,$C1728,$B$2:$B1728,"SBA 26/*",$F$2:$F1728,"&lt;&gt;"),"")</f>
        <v/>
      </c>
      <c r="AB1728" s="29" t="str">
        <f>IF(AA1728=1,COUNTIF($AA$2:AA1728,1),"")</f>
        <v/>
      </c>
    </row>
    <row r="1729" spans="6:28" ht="47.25" customHeight="1" x14ac:dyDescent="0.2">
      <c r="F1729" s="45" t="s">
        <v>4405</v>
      </c>
      <c r="T1729" s="41"/>
      <c r="U1729" s="29" t="str">
        <f>IF($C1729&lt;&gt;"",COUNTIF($C$2:C1729,C1729),"")</f>
        <v/>
      </c>
      <c r="V1729" s="29" t="str">
        <f t="shared" si="84"/>
        <v/>
      </c>
      <c r="W1729" s="29" t="str">
        <f>IF(U1729=1,COUNTIF($U$2:U1729,1),"")</f>
        <v/>
      </c>
      <c r="X1729" s="29" t="str">
        <f t="shared" si="85"/>
        <v/>
      </c>
      <c r="Y1729" s="29" t="str">
        <f>IF(AND(LEFT($B1729,7)="SBA 26/",$D1729&lt;&gt;"",$F1729&lt;&gt;""),COUNTIFS($D$2:$D1729,$D1729,$B$2:$B1729,"SBA 26/*",$F$2:$F1729,"&lt;&gt;"),"")</f>
        <v/>
      </c>
      <c r="Z1729" s="29" t="str">
        <f>IF(Y1729=1,COUNTIF($Y$2:Y1729,1),"")</f>
        <v/>
      </c>
      <c r="AA1729" s="29" t="str">
        <f>IF(AND(LEFT($B1729,7)="SBA 26/",$C1729&lt;&gt;"",$F1729&lt;&gt;""),COUNTIFS($C$2:$C1729,$C1729,$B$2:$B1729,"SBA 26/*",$F$2:$F1729,"&lt;&gt;"),"")</f>
        <v/>
      </c>
      <c r="AB1729" s="29" t="str">
        <f>IF(AA1729=1,COUNTIF($AA$2:AA1729,1),"")</f>
        <v/>
      </c>
    </row>
    <row r="1730" spans="6:28" ht="31.5" customHeight="1" x14ac:dyDescent="0.2">
      <c r="F1730" s="45" t="s">
        <v>4406</v>
      </c>
      <c r="T1730" s="41"/>
      <c r="U1730" s="29" t="str">
        <f>IF($C1730&lt;&gt;"",COUNTIF($C$2:C1730,C1730),"")</f>
        <v/>
      </c>
      <c r="V1730" s="29" t="str">
        <f t="shared" ref="V1730:V1793" si="86">IF($C1730&lt;&gt;"",C1730&amp;"§"&amp;U1730,"")</f>
        <v/>
      </c>
      <c r="W1730" s="29" t="str">
        <f>IF(U1730=1,COUNTIF($U$2:U1730,1),"")</f>
        <v/>
      </c>
      <c r="X1730" s="29" t="str">
        <f t="shared" si="85"/>
        <v/>
      </c>
      <c r="Y1730" s="29" t="str">
        <f>IF(AND(LEFT($B1730,7)="SBA 26/",$D1730&lt;&gt;"",$F1730&lt;&gt;""),COUNTIFS($D$2:$D1730,$D1730,$B$2:$B1730,"SBA 26/*",$F$2:$F1730,"&lt;&gt;"),"")</f>
        <v/>
      </c>
      <c r="Z1730" s="29" t="str">
        <f>IF(Y1730=1,COUNTIF($Y$2:Y1730,1),"")</f>
        <v/>
      </c>
      <c r="AA1730" s="29" t="str">
        <f>IF(AND(LEFT($B1730,7)="SBA 26/",$C1730&lt;&gt;"",$F1730&lt;&gt;""),COUNTIFS($C$2:$C1730,$C1730,$B$2:$B1730,"SBA 26/*",$F$2:$F1730,"&lt;&gt;"),"")</f>
        <v/>
      </c>
      <c r="AB1730" s="29" t="str">
        <f>IF(AA1730=1,COUNTIF($AA$2:AA1730,1),"")</f>
        <v/>
      </c>
    </row>
    <row r="1731" spans="6:28" ht="47.25" customHeight="1" x14ac:dyDescent="0.2">
      <c r="F1731" s="45" t="s">
        <v>4407</v>
      </c>
      <c r="T1731" s="41"/>
      <c r="U1731" s="29" t="str">
        <f>IF($C1731&lt;&gt;"",COUNTIF($C$2:C1731,C1731),"")</f>
        <v/>
      </c>
      <c r="V1731" s="29" t="str">
        <f t="shared" si="86"/>
        <v/>
      </c>
      <c r="W1731" s="29" t="str">
        <f>IF(U1731=1,COUNTIF($U$2:U1731,1),"")</f>
        <v/>
      </c>
      <c r="X1731" s="29" t="str">
        <f t="shared" si="85"/>
        <v/>
      </c>
      <c r="Y1731" s="29" t="str">
        <f>IF(AND(LEFT($B1731,7)="SBA 26/",$D1731&lt;&gt;"",$F1731&lt;&gt;""),COUNTIFS($D$2:$D1731,$D1731,$B$2:$B1731,"SBA 26/*",$F$2:$F1731,"&lt;&gt;"),"")</f>
        <v/>
      </c>
      <c r="Z1731" s="29" t="str">
        <f>IF(Y1731=1,COUNTIF($Y$2:Y1731,1),"")</f>
        <v/>
      </c>
      <c r="AA1731" s="29" t="str">
        <f>IF(AND(LEFT($B1731,7)="SBA 26/",$C1731&lt;&gt;"",$F1731&lt;&gt;""),COUNTIFS($C$2:$C1731,$C1731,$B$2:$B1731,"SBA 26/*",$F$2:$F1731,"&lt;&gt;"),"")</f>
        <v/>
      </c>
      <c r="AB1731" s="29" t="str">
        <f>IF(AA1731=1,COUNTIF($AA$2:AA1731,1),"")</f>
        <v/>
      </c>
    </row>
    <row r="1732" spans="6:28" ht="31.5" customHeight="1" x14ac:dyDescent="0.2">
      <c r="F1732" s="45" t="s">
        <v>4408</v>
      </c>
      <c r="T1732" s="41"/>
      <c r="U1732" s="29" t="str">
        <f>IF($C1732&lt;&gt;"",COUNTIF($C$2:C1732,C1732),"")</f>
        <v/>
      </c>
      <c r="V1732" s="29" t="str">
        <f t="shared" si="86"/>
        <v/>
      </c>
      <c r="W1732" s="29" t="str">
        <f>IF(U1732=1,COUNTIF($U$2:U1732,1),"")</f>
        <v/>
      </c>
      <c r="X1732" s="29" t="str">
        <f t="shared" si="85"/>
        <v/>
      </c>
      <c r="Y1732" s="29" t="str">
        <f>IF(AND(LEFT($B1732,7)="SBA 26/",$D1732&lt;&gt;"",$F1732&lt;&gt;""),COUNTIFS($D$2:$D1732,$D1732,$B$2:$B1732,"SBA 26/*",$F$2:$F1732,"&lt;&gt;"),"")</f>
        <v/>
      </c>
      <c r="Z1732" s="29" t="str">
        <f>IF(Y1732=1,COUNTIF($Y$2:Y1732,1),"")</f>
        <v/>
      </c>
      <c r="AA1732" s="29" t="str">
        <f>IF(AND(LEFT($B1732,7)="SBA 26/",$C1732&lt;&gt;"",$F1732&lt;&gt;""),COUNTIFS($C$2:$C1732,$C1732,$B$2:$B1732,"SBA 26/*",$F$2:$F1732,"&lt;&gt;"),"")</f>
        <v/>
      </c>
      <c r="AB1732" s="29" t="str">
        <f>IF(AA1732=1,COUNTIF($AA$2:AA1732,1),"")</f>
        <v/>
      </c>
    </row>
    <row r="1733" spans="6:28" ht="47.25" customHeight="1" x14ac:dyDescent="0.2">
      <c r="F1733" s="45" t="s">
        <v>4409</v>
      </c>
      <c r="T1733" s="41"/>
      <c r="U1733" s="29" t="str">
        <f>IF($C1733&lt;&gt;"",COUNTIF($C$2:C1733,C1733),"")</f>
        <v/>
      </c>
      <c r="V1733" s="29" t="str">
        <f t="shared" si="86"/>
        <v/>
      </c>
      <c r="W1733" s="29" t="str">
        <f>IF(U1733=1,COUNTIF($U$2:U1733,1),"")</f>
        <v/>
      </c>
      <c r="X1733" s="29" t="str">
        <f t="shared" si="85"/>
        <v/>
      </c>
      <c r="Y1733" s="29" t="str">
        <f>IF(AND(LEFT($B1733,7)="SBA 26/",$D1733&lt;&gt;"",$F1733&lt;&gt;""),COUNTIFS($D$2:$D1733,$D1733,$B$2:$B1733,"SBA 26/*",$F$2:$F1733,"&lt;&gt;"),"")</f>
        <v/>
      </c>
      <c r="Z1733" s="29" t="str">
        <f>IF(Y1733=1,COUNTIF($Y$2:Y1733,1),"")</f>
        <v/>
      </c>
      <c r="AA1733" s="29" t="str">
        <f>IF(AND(LEFT($B1733,7)="SBA 26/",$C1733&lt;&gt;"",$F1733&lt;&gt;""),COUNTIFS($C$2:$C1733,$C1733,$B$2:$B1733,"SBA 26/*",$F$2:$F1733,"&lt;&gt;"),"")</f>
        <v/>
      </c>
      <c r="AB1733" s="29" t="str">
        <f>IF(AA1733=1,COUNTIF($AA$2:AA1733,1),"")</f>
        <v/>
      </c>
    </row>
    <row r="1734" spans="6:28" ht="47.25" customHeight="1" x14ac:dyDescent="0.2">
      <c r="F1734" s="45" t="s">
        <v>4410</v>
      </c>
      <c r="T1734" s="41"/>
      <c r="U1734" s="29" t="str">
        <f>IF($C1734&lt;&gt;"",COUNTIF($C$2:C1734,C1734),"")</f>
        <v/>
      </c>
      <c r="V1734" s="29" t="str">
        <f t="shared" si="86"/>
        <v/>
      </c>
      <c r="W1734" s="29" t="str">
        <f>IF(U1734=1,COUNTIF($U$2:U1734,1),"")</f>
        <v/>
      </c>
      <c r="X1734" s="29" t="str">
        <f t="shared" si="85"/>
        <v/>
      </c>
      <c r="Y1734" s="29" t="str">
        <f>IF(AND(LEFT($B1734,7)="SBA 26/",$D1734&lt;&gt;"",$F1734&lt;&gt;""),COUNTIFS($D$2:$D1734,$D1734,$B$2:$B1734,"SBA 26/*",$F$2:$F1734,"&lt;&gt;"),"")</f>
        <v/>
      </c>
      <c r="Z1734" s="29" t="str">
        <f>IF(Y1734=1,COUNTIF($Y$2:Y1734,1),"")</f>
        <v/>
      </c>
      <c r="AA1734" s="29" t="str">
        <f>IF(AND(LEFT($B1734,7)="SBA 26/",$C1734&lt;&gt;"",$F1734&lt;&gt;""),COUNTIFS($C$2:$C1734,$C1734,$B$2:$B1734,"SBA 26/*",$F$2:$F1734,"&lt;&gt;"),"")</f>
        <v/>
      </c>
      <c r="AB1734" s="29" t="str">
        <f>IF(AA1734=1,COUNTIF($AA$2:AA1734,1),"")</f>
        <v/>
      </c>
    </row>
    <row r="1735" spans="6:28" ht="63" customHeight="1" x14ac:dyDescent="0.2">
      <c r="F1735" s="45" t="s">
        <v>4411</v>
      </c>
      <c r="T1735" s="41"/>
      <c r="U1735" s="29" t="str">
        <f>IF($C1735&lt;&gt;"",COUNTIF($C$2:C1735,C1735),"")</f>
        <v/>
      </c>
      <c r="V1735" s="29" t="str">
        <f t="shared" si="86"/>
        <v/>
      </c>
      <c r="W1735" s="29" t="str">
        <f>IF(U1735=1,COUNTIF($U$2:U1735,1),"")</f>
        <v/>
      </c>
      <c r="X1735" s="29" t="str">
        <f t="shared" si="85"/>
        <v/>
      </c>
      <c r="Y1735" s="29" t="str">
        <f>IF(AND(LEFT($B1735,7)="SBA 26/",$D1735&lt;&gt;"",$F1735&lt;&gt;""),COUNTIFS($D$2:$D1735,$D1735,$B$2:$B1735,"SBA 26/*",$F$2:$F1735,"&lt;&gt;"),"")</f>
        <v/>
      </c>
      <c r="Z1735" s="29" t="str">
        <f>IF(Y1735=1,COUNTIF($Y$2:Y1735,1),"")</f>
        <v/>
      </c>
      <c r="AA1735" s="29" t="str">
        <f>IF(AND(LEFT($B1735,7)="SBA 26/",$C1735&lt;&gt;"",$F1735&lt;&gt;""),COUNTIFS($C$2:$C1735,$C1735,$B$2:$B1735,"SBA 26/*",$F$2:$F1735,"&lt;&gt;"),"")</f>
        <v/>
      </c>
      <c r="AB1735" s="29" t="str">
        <f>IF(AA1735=1,COUNTIF($AA$2:AA1735,1),"")</f>
        <v/>
      </c>
    </row>
    <row r="1736" spans="6:28" ht="47.25" customHeight="1" x14ac:dyDescent="0.2">
      <c r="F1736" s="45" t="s">
        <v>4412</v>
      </c>
      <c r="T1736" s="41"/>
      <c r="U1736" s="29" t="str">
        <f>IF($C1736&lt;&gt;"",COUNTIF($C$2:C1736,C1736),"")</f>
        <v/>
      </c>
      <c r="V1736" s="29" t="str">
        <f t="shared" si="86"/>
        <v/>
      </c>
      <c r="W1736" s="29" t="str">
        <f>IF(U1736=1,COUNTIF($U$2:U1736,1),"")</f>
        <v/>
      </c>
      <c r="X1736" s="29" t="str">
        <f t="shared" si="85"/>
        <v/>
      </c>
      <c r="Y1736" s="29" t="str">
        <f>IF(AND(LEFT($B1736,7)="SBA 26/",$D1736&lt;&gt;"",$F1736&lt;&gt;""),COUNTIFS($D$2:$D1736,$D1736,$B$2:$B1736,"SBA 26/*",$F$2:$F1736,"&lt;&gt;"),"")</f>
        <v/>
      </c>
      <c r="Z1736" s="29" t="str">
        <f>IF(Y1736=1,COUNTIF($Y$2:Y1736,1),"")</f>
        <v/>
      </c>
      <c r="AA1736" s="29" t="str">
        <f>IF(AND(LEFT($B1736,7)="SBA 26/",$C1736&lt;&gt;"",$F1736&lt;&gt;""),COUNTIFS($C$2:$C1736,$C1736,$B$2:$B1736,"SBA 26/*",$F$2:$F1736,"&lt;&gt;"),"")</f>
        <v/>
      </c>
      <c r="AB1736" s="29" t="str">
        <f>IF(AA1736=1,COUNTIF($AA$2:AA1736,1),"")</f>
        <v/>
      </c>
    </row>
    <row r="1737" spans="6:28" ht="78.75" customHeight="1" x14ac:dyDescent="0.2">
      <c r="F1737" s="45" t="s">
        <v>4413</v>
      </c>
      <c r="T1737" s="41"/>
      <c r="U1737" s="29" t="str">
        <f>IF($C1737&lt;&gt;"",COUNTIF($C$2:C1737,C1737),"")</f>
        <v/>
      </c>
      <c r="V1737" s="29" t="str">
        <f t="shared" si="86"/>
        <v/>
      </c>
      <c r="W1737" s="29" t="str">
        <f>IF(U1737=1,COUNTIF($U$2:U1737,1),"")</f>
        <v/>
      </c>
      <c r="X1737" s="29" t="str">
        <f t="shared" si="85"/>
        <v/>
      </c>
      <c r="Y1737" s="29" t="str">
        <f>IF(AND(LEFT($B1737,7)="SBA 26/",$D1737&lt;&gt;"",$F1737&lt;&gt;""),COUNTIFS($D$2:$D1737,$D1737,$B$2:$B1737,"SBA 26/*",$F$2:$F1737,"&lt;&gt;"),"")</f>
        <v/>
      </c>
      <c r="Z1737" s="29" t="str">
        <f>IF(Y1737=1,COUNTIF($Y$2:Y1737,1),"")</f>
        <v/>
      </c>
      <c r="AA1737" s="29" t="str">
        <f>IF(AND(LEFT($B1737,7)="SBA 26/",$C1737&lt;&gt;"",$F1737&lt;&gt;""),COUNTIFS($C$2:$C1737,$C1737,$B$2:$B1737,"SBA 26/*",$F$2:$F1737,"&lt;&gt;"),"")</f>
        <v/>
      </c>
      <c r="AB1737" s="29" t="str">
        <f>IF(AA1737=1,COUNTIF($AA$2:AA1737,1),"")</f>
        <v/>
      </c>
    </row>
    <row r="1738" spans="6:28" ht="31.5" customHeight="1" x14ac:dyDescent="0.2">
      <c r="F1738" s="45" t="s">
        <v>4414</v>
      </c>
      <c r="T1738" s="41"/>
      <c r="U1738" s="29" t="str">
        <f>IF($C1738&lt;&gt;"",COUNTIF($C$2:C1738,C1738),"")</f>
        <v/>
      </c>
      <c r="V1738" s="29" t="str">
        <f t="shared" si="86"/>
        <v/>
      </c>
      <c r="W1738" s="29" t="str">
        <f>IF(U1738=1,COUNTIF($U$2:U1738,1),"")</f>
        <v/>
      </c>
      <c r="X1738" s="29" t="str">
        <f t="shared" si="85"/>
        <v/>
      </c>
      <c r="Y1738" s="29" t="str">
        <f>IF(AND(LEFT($B1738,7)="SBA 26/",$D1738&lt;&gt;"",$F1738&lt;&gt;""),COUNTIFS($D$2:$D1738,$D1738,$B$2:$B1738,"SBA 26/*",$F$2:$F1738,"&lt;&gt;"),"")</f>
        <v/>
      </c>
      <c r="Z1738" s="29" t="str">
        <f>IF(Y1738=1,COUNTIF($Y$2:Y1738,1),"")</f>
        <v/>
      </c>
      <c r="AA1738" s="29" t="str">
        <f>IF(AND(LEFT($B1738,7)="SBA 26/",$C1738&lt;&gt;"",$F1738&lt;&gt;""),COUNTIFS($C$2:$C1738,$C1738,$B$2:$B1738,"SBA 26/*",$F$2:$F1738,"&lt;&gt;"),"")</f>
        <v/>
      </c>
      <c r="AB1738" s="29" t="str">
        <f>IF(AA1738=1,COUNTIF($AA$2:AA1738,1),"")</f>
        <v/>
      </c>
    </row>
    <row r="1739" spans="6:28" ht="47.25" customHeight="1" x14ac:dyDescent="0.2">
      <c r="F1739" s="45" t="s">
        <v>4415</v>
      </c>
      <c r="T1739" s="41"/>
      <c r="U1739" s="29" t="str">
        <f>IF($C1739&lt;&gt;"",COUNTIF($C$2:C1739,C1739),"")</f>
        <v/>
      </c>
      <c r="V1739" s="29" t="str">
        <f t="shared" si="86"/>
        <v/>
      </c>
      <c r="W1739" s="29" t="str">
        <f>IF(U1739=1,COUNTIF($U$2:U1739,1),"")</f>
        <v/>
      </c>
      <c r="X1739" s="29" t="str">
        <f t="shared" si="85"/>
        <v/>
      </c>
      <c r="Y1739" s="29" t="str">
        <f>IF(AND(LEFT($B1739,7)="SBA 26/",$D1739&lt;&gt;"",$F1739&lt;&gt;""),COUNTIFS($D$2:$D1739,$D1739,$B$2:$B1739,"SBA 26/*",$F$2:$F1739,"&lt;&gt;"),"")</f>
        <v/>
      </c>
      <c r="Z1739" s="29" t="str">
        <f>IF(Y1739=1,COUNTIF($Y$2:Y1739,1),"")</f>
        <v/>
      </c>
      <c r="AA1739" s="29" t="str">
        <f>IF(AND(LEFT($B1739,7)="SBA 26/",$C1739&lt;&gt;"",$F1739&lt;&gt;""),COUNTIFS($C$2:$C1739,$C1739,$B$2:$B1739,"SBA 26/*",$F$2:$F1739,"&lt;&gt;"),"")</f>
        <v/>
      </c>
      <c r="AB1739" s="29" t="str">
        <f>IF(AA1739=1,COUNTIF($AA$2:AA1739,1),"")</f>
        <v/>
      </c>
    </row>
    <row r="1740" spans="6:28" ht="47.25" customHeight="1" x14ac:dyDescent="0.2">
      <c r="F1740" s="45" t="s">
        <v>4416</v>
      </c>
      <c r="T1740" s="41"/>
      <c r="U1740" s="29" t="str">
        <f>IF($C1740&lt;&gt;"",COUNTIF($C$2:C1740,C1740),"")</f>
        <v/>
      </c>
      <c r="V1740" s="29" t="str">
        <f t="shared" si="86"/>
        <v/>
      </c>
      <c r="W1740" s="29" t="str">
        <f>IF(U1740=1,COUNTIF($U$2:U1740,1),"")</f>
        <v/>
      </c>
      <c r="X1740" s="29" t="str">
        <f t="shared" si="85"/>
        <v/>
      </c>
      <c r="Y1740" s="29" t="str">
        <f>IF(AND(LEFT($B1740,7)="SBA 26/",$D1740&lt;&gt;"",$F1740&lt;&gt;""),COUNTIFS($D$2:$D1740,$D1740,$B$2:$B1740,"SBA 26/*",$F$2:$F1740,"&lt;&gt;"),"")</f>
        <v/>
      </c>
      <c r="Z1740" s="29" t="str">
        <f>IF(Y1740=1,COUNTIF($Y$2:Y1740,1),"")</f>
        <v/>
      </c>
      <c r="AA1740" s="29" t="str">
        <f>IF(AND(LEFT($B1740,7)="SBA 26/",$C1740&lt;&gt;"",$F1740&lt;&gt;""),COUNTIFS($C$2:$C1740,$C1740,$B$2:$B1740,"SBA 26/*",$F$2:$F1740,"&lt;&gt;"),"")</f>
        <v/>
      </c>
      <c r="AB1740" s="29" t="str">
        <f>IF(AA1740=1,COUNTIF($AA$2:AA1740,1),"")</f>
        <v/>
      </c>
    </row>
    <row r="1741" spans="6:28" ht="31.5" customHeight="1" x14ac:dyDescent="0.2">
      <c r="F1741" s="45" t="s">
        <v>4417</v>
      </c>
      <c r="T1741" s="41"/>
      <c r="U1741" s="29" t="str">
        <f>IF($C1741&lt;&gt;"",COUNTIF($C$2:C1741,C1741),"")</f>
        <v/>
      </c>
      <c r="V1741" s="29" t="str">
        <f t="shared" si="86"/>
        <v/>
      </c>
      <c r="W1741" s="29" t="str">
        <f>IF(U1741=1,COUNTIF($U$2:U1741,1),"")</f>
        <v/>
      </c>
      <c r="X1741" s="29" t="str">
        <f t="shared" si="85"/>
        <v/>
      </c>
      <c r="Y1741" s="29" t="str">
        <f>IF(AND(LEFT($B1741,7)="SBA 26/",$D1741&lt;&gt;"",$F1741&lt;&gt;""),COUNTIFS($D$2:$D1741,$D1741,$B$2:$B1741,"SBA 26/*",$F$2:$F1741,"&lt;&gt;"),"")</f>
        <v/>
      </c>
      <c r="Z1741" s="29" t="str">
        <f>IF(Y1741=1,COUNTIF($Y$2:Y1741,1),"")</f>
        <v/>
      </c>
      <c r="AA1741" s="29" t="str">
        <f>IF(AND(LEFT($B1741,7)="SBA 26/",$C1741&lt;&gt;"",$F1741&lt;&gt;""),COUNTIFS($C$2:$C1741,$C1741,$B$2:$B1741,"SBA 26/*",$F$2:$F1741,"&lt;&gt;"),"")</f>
        <v/>
      </c>
      <c r="AB1741" s="29" t="str">
        <f>IF(AA1741=1,COUNTIF($AA$2:AA1741,1),"")</f>
        <v/>
      </c>
    </row>
    <row r="1742" spans="6:28" ht="47.25" customHeight="1" x14ac:dyDescent="0.2">
      <c r="F1742" s="45" t="s">
        <v>4418</v>
      </c>
      <c r="T1742" s="41"/>
      <c r="U1742" s="29" t="str">
        <f>IF($C1742&lt;&gt;"",COUNTIF($C$2:C1742,C1742),"")</f>
        <v/>
      </c>
      <c r="V1742" s="29" t="str">
        <f t="shared" si="86"/>
        <v/>
      </c>
      <c r="W1742" s="29" t="str">
        <f>IF(U1742=1,COUNTIF($U$2:U1742,1),"")</f>
        <v/>
      </c>
      <c r="X1742" s="29" t="str">
        <f t="shared" si="85"/>
        <v/>
      </c>
      <c r="Y1742" s="29" t="str">
        <f>IF(AND(LEFT($B1742,7)="SBA 26/",$D1742&lt;&gt;"",$F1742&lt;&gt;""),COUNTIFS($D$2:$D1742,$D1742,$B$2:$B1742,"SBA 26/*",$F$2:$F1742,"&lt;&gt;"),"")</f>
        <v/>
      </c>
      <c r="Z1742" s="29" t="str">
        <f>IF(Y1742=1,COUNTIF($Y$2:Y1742,1),"")</f>
        <v/>
      </c>
      <c r="AA1742" s="29" t="str">
        <f>IF(AND(LEFT($B1742,7)="SBA 26/",$C1742&lt;&gt;"",$F1742&lt;&gt;""),COUNTIFS($C$2:$C1742,$C1742,$B$2:$B1742,"SBA 26/*",$F$2:$F1742,"&lt;&gt;"),"")</f>
        <v/>
      </c>
      <c r="AB1742" s="29" t="str">
        <f>IF(AA1742=1,COUNTIF($AA$2:AA1742,1),"")</f>
        <v/>
      </c>
    </row>
    <row r="1743" spans="6:28" ht="47.25" customHeight="1" x14ac:dyDescent="0.2">
      <c r="F1743" s="45" t="s">
        <v>4419</v>
      </c>
      <c r="T1743" s="41"/>
      <c r="U1743" s="29" t="str">
        <f>IF($C1743&lt;&gt;"",COUNTIF($C$2:C1743,C1743),"")</f>
        <v/>
      </c>
      <c r="V1743" s="29" t="str">
        <f t="shared" si="86"/>
        <v/>
      </c>
      <c r="W1743" s="29" t="str">
        <f>IF(U1743=1,COUNTIF($U$2:U1743,1),"")</f>
        <v/>
      </c>
      <c r="X1743" s="29" t="str">
        <f t="shared" si="85"/>
        <v/>
      </c>
      <c r="Y1743" s="29" t="str">
        <f>IF(AND(LEFT($B1743,7)="SBA 26/",$D1743&lt;&gt;"",$F1743&lt;&gt;""),COUNTIFS($D$2:$D1743,$D1743,$B$2:$B1743,"SBA 26/*",$F$2:$F1743,"&lt;&gt;"),"")</f>
        <v/>
      </c>
      <c r="Z1743" s="29" t="str">
        <f>IF(Y1743=1,COUNTIF($Y$2:Y1743,1),"")</f>
        <v/>
      </c>
      <c r="AA1743" s="29" t="str">
        <f>IF(AND(LEFT($B1743,7)="SBA 26/",$C1743&lt;&gt;"",$F1743&lt;&gt;""),COUNTIFS($C$2:$C1743,$C1743,$B$2:$B1743,"SBA 26/*",$F$2:$F1743,"&lt;&gt;"),"")</f>
        <v/>
      </c>
      <c r="AB1743" s="29" t="str">
        <f>IF(AA1743=1,COUNTIF($AA$2:AA1743,1),"")</f>
        <v/>
      </c>
    </row>
    <row r="1744" spans="6:28" ht="47.25" customHeight="1" x14ac:dyDescent="0.2">
      <c r="F1744" s="45" t="s">
        <v>4420</v>
      </c>
      <c r="T1744" s="41"/>
      <c r="U1744" s="29" t="str">
        <f>IF($C1744&lt;&gt;"",COUNTIF($C$2:C1744,C1744),"")</f>
        <v/>
      </c>
      <c r="V1744" s="29" t="str">
        <f t="shared" si="86"/>
        <v/>
      </c>
      <c r="W1744" s="29" t="str">
        <f>IF(U1744=1,COUNTIF($U$2:U1744,1),"")</f>
        <v/>
      </c>
      <c r="X1744" s="29" t="str">
        <f t="shared" si="85"/>
        <v/>
      </c>
      <c r="Y1744" s="29" t="str">
        <f>IF(AND(LEFT($B1744,7)="SBA 26/",$D1744&lt;&gt;"",$F1744&lt;&gt;""),COUNTIFS($D$2:$D1744,$D1744,$B$2:$B1744,"SBA 26/*",$F$2:$F1744,"&lt;&gt;"),"")</f>
        <v/>
      </c>
      <c r="Z1744" s="29" t="str">
        <f>IF(Y1744=1,COUNTIF($Y$2:Y1744,1),"")</f>
        <v/>
      </c>
      <c r="AA1744" s="29" t="str">
        <f>IF(AND(LEFT($B1744,7)="SBA 26/",$C1744&lt;&gt;"",$F1744&lt;&gt;""),COUNTIFS($C$2:$C1744,$C1744,$B$2:$B1744,"SBA 26/*",$F$2:$F1744,"&lt;&gt;"),"")</f>
        <v/>
      </c>
      <c r="AB1744" s="29" t="str">
        <f>IF(AA1744=1,COUNTIF($AA$2:AA1744,1),"")</f>
        <v/>
      </c>
    </row>
    <row r="1745" spans="6:28" ht="63" customHeight="1" x14ac:dyDescent="0.2">
      <c r="F1745" s="45" t="s">
        <v>4421</v>
      </c>
      <c r="T1745" s="41"/>
      <c r="U1745" s="29" t="str">
        <f>IF($C1745&lt;&gt;"",COUNTIF($C$2:C1745,C1745),"")</f>
        <v/>
      </c>
      <c r="V1745" s="29" t="str">
        <f t="shared" si="86"/>
        <v/>
      </c>
      <c r="W1745" s="29" t="str">
        <f>IF(U1745=1,COUNTIF($U$2:U1745,1),"")</f>
        <v/>
      </c>
      <c r="X1745" s="29" t="str">
        <f t="shared" si="85"/>
        <v/>
      </c>
      <c r="Y1745" s="29" t="str">
        <f>IF(AND(LEFT($B1745,7)="SBA 26/",$D1745&lt;&gt;"",$F1745&lt;&gt;""),COUNTIFS($D$2:$D1745,$D1745,$B$2:$B1745,"SBA 26/*",$F$2:$F1745,"&lt;&gt;"),"")</f>
        <v/>
      </c>
      <c r="Z1745" s="29" t="str">
        <f>IF(Y1745=1,COUNTIF($Y$2:Y1745,1),"")</f>
        <v/>
      </c>
      <c r="AA1745" s="29" t="str">
        <f>IF(AND(LEFT($B1745,7)="SBA 26/",$C1745&lt;&gt;"",$F1745&lt;&gt;""),COUNTIFS($C$2:$C1745,$C1745,$B$2:$B1745,"SBA 26/*",$F$2:$F1745,"&lt;&gt;"),"")</f>
        <v/>
      </c>
      <c r="AB1745" s="29" t="str">
        <f>IF(AA1745=1,COUNTIF($AA$2:AA1745,1),"")</f>
        <v/>
      </c>
    </row>
    <row r="1746" spans="6:28" ht="63" customHeight="1" x14ac:dyDescent="0.2">
      <c r="F1746" s="45" t="s">
        <v>4422</v>
      </c>
      <c r="T1746" s="41"/>
      <c r="U1746" s="29" t="str">
        <f>IF($C1746&lt;&gt;"",COUNTIF($C$2:C1746,C1746),"")</f>
        <v/>
      </c>
      <c r="V1746" s="29" t="str">
        <f t="shared" si="86"/>
        <v/>
      </c>
      <c r="W1746" s="29" t="str">
        <f>IF(U1746=1,COUNTIF($U$2:U1746,1),"")</f>
        <v/>
      </c>
      <c r="X1746" s="29" t="str">
        <f t="shared" si="85"/>
        <v/>
      </c>
      <c r="Y1746" s="29" t="str">
        <f>IF(AND(LEFT($B1746,7)="SBA 26/",$D1746&lt;&gt;"",$F1746&lt;&gt;""),COUNTIFS($D$2:$D1746,$D1746,$B$2:$B1746,"SBA 26/*",$F$2:$F1746,"&lt;&gt;"),"")</f>
        <v/>
      </c>
      <c r="Z1746" s="29" t="str">
        <f>IF(Y1746=1,COUNTIF($Y$2:Y1746,1),"")</f>
        <v/>
      </c>
      <c r="AA1746" s="29" t="str">
        <f>IF(AND(LEFT($B1746,7)="SBA 26/",$C1746&lt;&gt;"",$F1746&lt;&gt;""),COUNTIFS($C$2:$C1746,$C1746,$B$2:$B1746,"SBA 26/*",$F$2:$F1746,"&lt;&gt;"),"")</f>
        <v/>
      </c>
      <c r="AB1746" s="29" t="str">
        <f>IF(AA1746=1,COUNTIF($AA$2:AA1746,1),"")</f>
        <v/>
      </c>
    </row>
    <row r="1747" spans="6:28" ht="47.25" customHeight="1" x14ac:dyDescent="0.2">
      <c r="F1747" s="45" t="s">
        <v>4423</v>
      </c>
      <c r="T1747" s="41"/>
      <c r="U1747" s="29" t="str">
        <f>IF($C1747&lt;&gt;"",COUNTIF($C$2:C1747,C1747),"")</f>
        <v/>
      </c>
      <c r="V1747" s="29" t="str">
        <f t="shared" si="86"/>
        <v/>
      </c>
      <c r="W1747" s="29" t="str">
        <f>IF(U1747=1,COUNTIF($U$2:U1747,1),"")</f>
        <v/>
      </c>
      <c r="X1747" s="29" t="str">
        <f t="shared" si="85"/>
        <v/>
      </c>
      <c r="Y1747" s="29" t="str">
        <f>IF(AND(LEFT($B1747,7)="SBA 26/",$D1747&lt;&gt;"",$F1747&lt;&gt;""),COUNTIFS($D$2:$D1747,$D1747,$B$2:$B1747,"SBA 26/*",$F$2:$F1747,"&lt;&gt;"),"")</f>
        <v/>
      </c>
      <c r="Z1747" s="29" t="str">
        <f>IF(Y1747=1,COUNTIF($Y$2:Y1747,1),"")</f>
        <v/>
      </c>
      <c r="AA1747" s="29" t="str">
        <f>IF(AND(LEFT($B1747,7)="SBA 26/",$C1747&lt;&gt;"",$F1747&lt;&gt;""),COUNTIFS($C$2:$C1747,$C1747,$B$2:$B1747,"SBA 26/*",$F$2:$F1747,"&lt;&gt;"),"")</f>
        <v/>
      </c>
      <c r="AB1747" s="29" t="str">
        <f>IF(AA1747=1,COUNTIF($AA$2:AA1747,1),"")</f>
        <v/>
      </c>
    </row>
    <row r="1748" spans="6:28" ht="47.25" customHeight="1" x14ac:dyDescent="0.2">
      <c r="F1748" s="45" t="s">
        <v>4424</v>
      </c>
      <c r="T1748" s="41"/>
      <c r="U1748" s="29" t="str">
        <f>IF($C1748&lt;&gt;"",COUNTIF($C$2:C1748,C1748),"")</f>
        <v/>
      </c>
      <c r="V1748" s="29" t="str">
        <f t="shared" si="86"/>
        <v/>
      </c>
      <c r="W1748" s="29" t="str">
        <f>IF(U1748=1,COUNTIF($U$2:U1748,1),"")</f>
        <v/>
      </c>
      <c r="X1748" s="29" t="str">
        <f t="shared" si="85"/>
        <v/>
      </c>
      <c r="Y1748" s="29" t="str">
        <f>IF(AND(LEFT($B1748,7)="SBA 26/",$D1748&lt;&gt;"",$F1748&lt;&gt;""),COUNTIFS($D$2:$D1748,$D1748,$B$2:$B1748,"SBA 26/*",$F$2:$F1748,"&lt;&gt;"),"")</f>
        <v/>
      </c>
      <c r="Z1748" s="29" t="str">
        <f>IF(Y1748=1,COUNTIF($Y$2:Y1748,1),"")</f>
        <v/>
      </c>
      <c r="AA1748" s="29" t="str">
        <f>IF(AND(LEFT($B1748,7)="SBA 26/",$C1748&lt;&gt;"",$F1748&lt;&gt;""),COUNTIFS($C$2:$C1748,$C1748,$B$2:$B1748,"SBA 26/*",$F$2:$F1748,"&lt;&gt;"),"")</f>
        <v/>
      </c>
      <c r="AB1748" s="29" t="str">
        <f>IF(AA1748=1,COUNTIF($AA$2:AA1748,1),"")</f>
        <v/>
      </c>
    </row>
    <row r="1749" spans="6:28" ht="47.25" customHeight="1" x14ac:dyDescent="0.2">
      <c r="F1749" s="45" t="s">
        <v>4425</v>
      </c>
      <c r="T1749" s="41"/>
      <c r="U1749" s="29" t="str">
        <f>IF($C1749&lt;&gt;"",COUNTIF($C$2:C1749,C1749),"")</f>
        <v/>
      </c>
      <c r="V1749" s="29" t="str">
        <f t="shared" si="86"/>
        <v/>
      </c>
      <c r="W1749" s="29" t="str">
        <f>IF(U1749=1,COUNTIF($U$2:U1749,1),"")</f>
        <v/>
      </c>
      <c r="X1749" s="29" t="str">
        <f t="shared" si="85"/>
        <v/>
      </c>
      <c r="Y1749" s="29" t="str">
        <f>IF(AND(LEFT($B1749,7)="SBA 26/",$D1749&lt;&gt;"",$F1749&lt;&gt;""),COUNTIFS($D$2:$D1749,$D1749,$B$2:$B1749,"SBA 26/*",$F$2:$F1749,"&lt;&gt;"),"")</f>
        <v/>
      </c>
      <c r="Z1749" s="29" t="str">
        <f>IF(Y1749=1,COUNTIF($Y$2:Y1749,1),"")</f>
        <v/>
      </c>
      <c r="AA1749" s="29" t="str">
        <f>IF(AND(LEFT($B1749,7)="SBA 26/",$C1749&lt;&gt;"",$F1749&lt;&gt;""),COUNTIFS($C$2:$C1749,$C1749,$B$2:$B1749,"SBA 26/*",$F$2:$F1749,"&lt;&gt;"),"")</f>
        <v/>
      </c>
      <c r="AB1749" s="29" t="str">
        <f>IF(AA1749=1,COUNTIF($AA$2:AA1749,1),"")</f>
        <v/>
      </c>
    </row>
    <row r="1750" spans="6:28" ht="31.5" customHeight="1" x14ac:dyDescent="0.2">
      <c r="F1750" s="45" t="s">
        <v>4426</v>
      </c>
      <c r="T1750" s="41"/>
      <c r="U1750" s="29" t="str">
        <f>IF($C1750&lt;&gt;"",COUNTIF($C$2:C1750,C1750),"")</f>
        <v/>
      </c>
      <c r="V1750" s="29" t="str">
        <f t="shared" si="86"/>
        <v/>
      </c>
      <c r="W1750" s="29" t="str">
        <f>IF(U1750=1,COUNTIF($U$2:U1750,1),"")</f>
        <v/>
      </c>
      <c r="X1750" s="29" t="str">
        <f t="shared" si="85"/>
        <v/>
      </c>
      <c r="Y1750" s="29" t="str">
        <f>IF(AND(LEFT($B1750,7)="SBA 26/",$D1750&lt;&gt;"",$F1750&lt;&gt;""),COUNTIFS($D$2:$D1750,$D1750,$B$2:$B1750,"SBA 26/*",$F$2:$F1750,"&lt;&gt;"),"")</f>
        <v/>
      </c>
      <c r="Z1750" s="29" t="str">
        <f>IF(Y1750=1,COUNTIF($Y$2:Y1750,1),"")</f>
        <v/>
      </c>
      <c r="AA1750" s="29" t="str">
        <f>IF(AND(LEFT($B1750,7)="SBA 26/",$C1750&lt;&gt;"",$F1750&lt;&gt;""),COUNTIFS($C$2:$C1750,$C1750,$B$2:$B1750,"SBA 26/*",$F$2:$F1750,"&lt;&gt;"),"")</f>
        <v/>
      </c>
      <c r="AB1750" s="29" t="str">
        <f>IF(AA1750=1,COUNTIF($AA$2:AA1750,1),"")</f>
        <v/>
      </c>
    </row>
    <row r="1751" spans="6:28" ht="31.5" customHeight="1" x14ac:dyDescent="0.2">
      <c r="F1751" s="45" t="s">
        <v>4427</v>
      </c>
      <c r="T1751" s="41"/>
      <c r="U1751" s="29" t="str">
        <f>IF($C1751&lt;&gt;"",COUNTIF($C$2:C1751,C1751),"")</f>
        <v/>
      </c>
      <c r="V1751" s="29" t="str">
        <f t="shared" si="86"/>
        <v/>
      </c>
      <c r="W1751" s="29" t="str">
        <f>IF(U1751=1,COUNTIF($U$2:U1751,1),"")</f>
        <v/>
      </c>
      <c r="X1751" s="29" t="str">
        <f t="shared" si="85"/>
        <v/>
      </c>
      <c r="Y1751" s="29" t="str">
        <f>IF(AND(LEFT($B1751,7)="SBA 26/",$D1751&lt;&gt;"",$F1751&lt;&gt;""),COUNTIFS($D$2:$D1751,$D1751,$B$2:$B1751,"SBA 26/*",$F$2:$F1751,"&lt;&gt;"),"")</f>
        <v/>
      </c>
      <c r="Z1751" s="29" t="str">
        <f>IF(Y1751=1,COUNTIF($Y$2:Y1751,1),"")</f>
        <v/>
      </c>
      <c r="AA1751" s="29" t="str">
        <f>IF(AND(LEFT($B1751,7)="SBA 26/",$C1751&lt;&gt;"",$F1751&lt;&gt;""),COUNTIFS($C$2:$C1751,$C1751,$B$2:$B1751,"SBA 26/*",$F$2:$F1751,"&lt;&gt;"),"")</f>
        <v/>
      </c>
      <c r="AB1751" s="29" t="str">
        <f>IF(AA1751=1,COUNTIF($AA$2:AA1751,1),"")</f>
        <v/>
      </c>
    </row>
    <row r="1752" spans="6:28" ht="31.5" customHeight="1" x14ac:dyDescent="0.2">
      <c r="F1752" s="45" t="s">
        <v>4428</v>
      </c>
      <c r="T1752" s="41"/>
      <c r="U1752" s="29" t="str">
        <f>IF($C1752&lt;&gt;"",COUNTIF($C$2:C1752,C1752),"")</f>
        <v/>
      </c>
      <c r="V1752" s="29" t="str">
        <f t="shared" si="86"/>
        <v/>
      </c>
      <c r="W1752" s="29" t="str">
        <f>IF(U1752=1,COUNTIF($U$2:U1752,1),"")</f>
        <v/>
      </c>
      <c r="X1752" s="29" t="str">
        <f t="shared" si="85"/>
        <v/>
      </c>
      <c r="Y1752" s="29" t="str">
        <f>IF(AND(LEFT($B1752,7)="SBA 26/",$D1752&lt;&gt;"",$F1752&lt;&gt;""),COUNTIFS($D$2:$D1752,$D1752,$B$2:$B1752,"SBA 26/*",$F$2:$F1752,"&lt;&gt;"),"")</f>
        <v/>
      </c>
      <c r="Z1752" s="29" t="str">
        <f>IF(Y1752=1,COUNTIF($Y$2:Y1752,1),"")</f>
        <v/>
      </c>
      <c r="AA1752" s="29" t="str">
        <f>IF(AND(LEFT($B1752,7)="SBA 26/",$C1752&lt;&gt;"",$F1752&lt;&gt;""),COUNTIFS($C$2:$C1752,$C1752,$B$2:$B1752,"SBA 26/*",$F$2:$F1752,"&lt;&gt;"),"")</f>
        <v/>
      </c>
      <c r="AB1752" s="29" t="str">
        <f>IF(AA1752=1,COUNTIF($AA$2:AA1752,1),"")</f>
        <v/>
      </c>
    </row>
    <row r="1753" spans="6:28" ht="47.25" customHeight="1" x14ac:dyDescent="0.2">
      <c r="F1753" s="45" t="s">
        <v>4429</v>
      </c>
      <c r="T1753" s="41"/>
      <c r="U1753" s="29" t="str">
        <f>IF($C1753&lt;&gt;"",COUNTIF($C$2:C1753,C1753),"")</f>
        <v/>
      </c>
      <c r="V1753" s="29" t="str">
        <f t="shared" si="86"/>
        <v/>
      </c>
      <c r="W1753" s="29" t="str">
        <f>IF(U1753=1,COUNTIF($U$2:U1753,1),"")</f>
        <v/>
      </c>
      <c r="X1753" s="29" t="str">
        <f t="shared" si="85"/>
        <v/>
      </c>
      <c r="Y1753" s="29" t="str">
        <f>IF(AND(LEFT($B1753,7)="SBA 26/",$D1753&lt;&gt;"",$F1753&lt;&gt;""),COUNTIFS($D$2:$D1753,$D1753,$B$2:$B1753,"SBA 26/*",$F$2:$F1753,"&lt;&gt;"),"")</f>
        <v/>
      </c>
      <c r="Z1753" s="29" t="str">
        <f>IF(Y1753=1,COUNTIF($Y$2:Y1753,1),"")</f>
        <v/>
      </c>
      <c r="AA1753" s="29" t="str">
        <f>IF(AND(LEFT($B1753,7)="SBA 26/",$C1753&lt;&gt;"",$F1753&lt;&gt;""),COUNTIFS($C$2:$C1753,$C1753,$B$2:$B1753,"SBA 26/*",$F$2:$F1753,"&lt;&gt;"),"")</f>
        <v/>
      </c>
      <c r="AB1753" s="29" t="str">
        <f>IF(AA1753=1,COUNTIF($AA$2:AA1753,1),"")</f>
        <v/>
      </c>
    </row>
    <row r="1754" spans="6:28" ht="31.5" customHeight="1" x14ac:dyDescent="0.2">
      <c r="F1754" s="45" t="s">
        <v>4430</v>
      </c>
      <c r="T1754" s="41"/>
      <c r="U1754" s="29" t="str">
        <f>IF($C1754&lt;&gt;"",COUNTIF($C$2:C1754,C1754),"")</f>
        <v/>
      </c>
      <c r="V1754" s="29" t="str">
        <f t="shared" si="86"/>
        <v/>
      </c>
      <c r="W1754" s="29" t="str">
        <f>IF(U1754=1,COUNTIF($U$2:U1754,1),"")</f>
        <v/>
      </c>
      <c r="X1754" s="29" t="str">
        <f t="shared" si="85"/>
        <v/>
      </c>
      <c r="Y1754" s="29" t="str">
        <f>IF(AND(LEFT($B1754,7)="SBA 26/",$D1754&lt;&gt;"",$F1754&lt;&gt;""),COUNTIFS($D$2:$D1754,$D1754,$B$2:$B1754,"SBA 26/*",$F$2:$F1754,"&lt;&gt;"),"")</f>
        <v/>
      </c>
      <c r="Z1754" s="29" t="str">
        <f>IF(Y1754=1,COUNTIF($Y$2:Y1754,1),"")</f>
        <v/>
      </c>
      <c r="AA1754" s="29" t="str">
        <f>IF(AND(LEFT($B1754,7)="SBA 26/",$C1754&lt;&gt;"",$F1754&lt;&gt;""),COUNTIFS($C$2:$C1754,$C1754,$B$2:$B1754,"SBA 26/*",$F$2:$F1754,"&lt;&gt;"),"")</f>
        <v/>
      </c>
      <c r="AB1754" s="29" t="str">
        <f>IF(AA1754=1,COUNTIF($AA$2:AA1754,1),"")</f>
        <v/>
      </c>
    </row>
    <row r="1755" spans="6:28" ht="31.5" customHeight="1" x14ac:dyDescent="0.2">
      <c r="F1755" s="45" t="s">
        <v>4431</v>
      </c>
      <c r="T1755" s="41"/>
      <c r="U1755" s="29" t="str">
        <f>IF($C1755&lt;&gt;"",COUNTIF($C$2:C1755,C1755),"")</f>
        <v/>
      </c>
      <c r="V1755" s="29" t="str">
        <f t="shared" si="86"/>
        <v/>
      </c>
      <c r="W1755" s="29" t="str">
        <f>IF(U1755=1,COUNTIF($U$2:U1755,1),"")</f>
        <v/>
      </c>
      <c r="X1755" s="29" t="str">
        <f t="shared" si="85"/>
        <v/>
      </c>
      <c r="Y1755" s="29" t="str">
        <f>IF(AND(LEFT($B1755,7)="SBA 26/",$D1755&lt;&gt;"",$F1755&lt;&gt;""),COUNTIFS($D$2:$D1755,$D1755,$B$2:$B1755,"SBA 26/*",$F$2:$F1755,"&lt;&gt;"),"")</f>
        <v/>
      </c>
      <c r="Z1755" s="29" t="str">
        <f>IF(Y1755=1,COUNTIF($Y$2:Y1755,1),"")</f>
        <v/>
      </c>
      <c r="AA1755" s="29" t="str">
        <f>IF(AND(LEFT($B1755,7)="SBA 26/",$C1755&lt;&gt;"",$F1755&lt;&gt;""),COUNTIFS($C$2:$C1755,$C1755,$B$2:$B1755,"SBA 26/*",$F$2:$F1755,"&lt;&gt;"),"")</f>
        <v/>
      </c>
      <c r="AB1755" s="29" t="str">
        <f>IF(AA1755=1,COUNTIF($AA$2:AA1755,1),"")</f>
        <v/>
      </c>
    </row>
    <row r="1756" spans="6:28" ht="63" customHeight="1" x14ac:dyDescent="0.2">
      <c r="F1756" s="45" t="s">
        <v>4432</v>
      </c>
      <c r="T1756" s="41"/>
      <c r="U1756" s="29" t="str">
        <f>IF($C1756&lt;&gt;"",COUNTIF($C$2:C1756,C1756),"")</f>
        <v/>
      </c>
      <c r="V1756" s="29" t="str">
        <f t="shared" si="86"/>
        <v/>
      </c>
      <c r="W1756" s="29" t="str">
        <f>IF(U1756=1,COUNTIF($U$2:U1756,1),"")</f>
        <v/>
      </c>
      <c r="X1756" s="29" t="str">
        <f t="shared" si="85"/>
        <v/>
      </c>
      <c r="Y1756" s="29" t="str">
        <f>IF(AND(LEFT($B1756,7)="SBA 26/",$D1756&lt;&gt;"",$F1756&lt;&gt;""),COUNTIFS($D$2:$D1756,$D1756,$B$2:$B1756,"SBA 26/*",$F$2:$F1756,"&lt;&gt;"),"")</f>
        <v/>
      </c>
      <c r="Z1756" s="29" t="str">
        <f>IF(Y1756=1,COUNTIF($Y$2:Y1756,1),"")</f>
        <v/>
      </c>
      <c r="AA1756" s="29" t="str">
        <f>IF(AND(LEFT($B1756,7)="SBA 26/",$C1756&lt;&gt;"",$F1756&lt;&gt;""),COUNTIFS($C$2:$C1756,$C1756,$B$2:$B1756,"SBA 26/*",$F$2:$F1756,"&lt;&gt;"),"")</f>
        <v/>
      </c>
      <c r="AB1756" s="29" t="str">
        <f>IF(AA1756=1,COUNTIF($AA$2:AA1756,1),"")</f>
        <v/>
      </c>
    </row>
    <row r="1757" spans="6:28" ht="47.25" customHeight="1" x14ac:dyDescent="0.2">
      <c r="F1757" s="45" t="s">
        <v>4433</v>
      </c>
      <c r="T1757" s="41"/>
      <c r="U1757" s="29" t="str">
        <f>IF($C1757&lt;&gt;"",COUNTIF($C$2:C1757,C1757),"")</f>
        <v/>
      </c>
      <c r="V1757" s="29" t="str">
        <f t="shared" si="86"/>
        <v/>
      </c>
      <c r="W1757" s="29" t="str">
        <f>IF(U1757=1,COUNTIF($U$2:U1757,1),"")</f>
        <v/>
      </c>
      <c r="X1757" s="29" t="str">
        <f t="shared" si="85"/>
        <v/>
      </c>
      <c r="Y1757" s="29" t="str">
        <f>IF(AND(LEFT($B1757,7)="SBA 26/",$D1757&lt;&gt;"",$F1757&lt;&gt;""),COUNTIFS($D$2:$D1757,$D1757,$B$2:$B1757,"SBA 26/*",$F$2:$F1757,"&lt;&gt;"),"")</f>
        <v/>
      </c>
      <c r="Z1757" s="29" t="str">
        <f>IF(Y1757=1,COUNTIF($Y$2:Y1757,1),"")</f>
        <v/>
      </c>
      <c r="AA1757" s="29" t="str">
        <f>IF(AND(LEFT($B1757,7)="SBA 26/",$C1757&lt;&gt;"",$F1757&lt;&gt;""),COUNTIFS($C$2:$C1757,$C1757,$B$2:$B1757,"SBA 26/*",$F$2:$F1757,"&lt;&gt;"),"")</f>
        <v/>
      </c>
      <c r="AB1757" s="29" t="str">
        <f>IF(AA1757=1,COUNTIF($AA$2:AA1757,1),"")</f>
        <v/>
      </c>
    </row>
    <row r="1758" spans="6:28" ht="31.5" customHeight="1" x14ac:dyDescent="0.2">
      <c r="F1758" s="45" t="s">
        <v>4434</v>
      </c>
      <c r="T1758" s="41"/>
      <c r="U1758" s="29" t="str">
        <f>IF($C1758&lt;&gt;"",COUNTIF($C$2:C1758,C1758),"")</f>
        <v/>
      </c>
      <c r="V1758" s="29" t="str">
        <f t="shared" si="86"/>
        <v/>
      </c>
      <c r="W1758" s="29" t="str">
        <f>IF(U1758=1,COUNTIF($U$2:U1758,1),"")</f>
        <v/>
      </c>
      <c r="X1758" s="29" t="str">
        <f t="shared" si="85"/>
        <v/>
      </c>
      <c r="Y1758" s="29" t="str">
        <f>IF(AND(LEFT($B1758,7)="SBA 26/",$D1758&lt;&gt;"",$F1758&lt;&gt;""),COUNTIFS($D$2:$D1758,$D1758,$B$2:$B1758,"SBA 26/*",$F$2:$F1758,"&lt;&gt;"),"")</f>
        <v/>
      </c>
      <c r="Z1758" s="29" t="str">
        <f>IF(Y1758=1,COUNTIF($Y$2:Y1758,1),"")</f>
        <v/>
      </c>
      <c r="AA1758" s="29" t="str">
        <f>IF(AND(LEFT($B1758,7)="SBA 26/",$C1758&lt;&gt;"",$F1758&lt;&gt;""),COUNTIFS($C$2:$C1758,$C1758,$B$2:$B1758,"SBA 26/*",$F$2:$F1758,"&lt;&gt;"),"")</f>
        <v/>
      </c>
      <c r="AB1758" s="29" t="str">
        <f>IF(AA1758=1,COUNTIF($AA$2:AA1758,1),"")</f>
        <v/>
      </c>
    </row>
    <row r="1759" spans="6:28" ht="31.5" customHeight="1" x14ac:dyDescent="0.2">
      <c r="F1759" s="45" t="s">
        <v>4435</v>
      </c>
      <c r="T1759" s="41"/>
      <c r="U1759" s="29" t="str">
        <f>IF($C1759&lt;&gt;"",COUNTIF($C$2:C1759,C1759),"")</f>
        <v/>
      </c>
      <c r="V1759" s="29" t="str">
        <f t="shared" si="86"/>
        <v/>
      </c>
      <c r="W1759" s="29" t="str">
        <f>IF(U1759=1,COUNTIF($U$2:U1759,1),"")</f>
        <v/>
      </c>
      <c r="X1759" s="29" t="str">
        <f t="shared" si="85"/>
        <v/>
      </c>
      <c r="Y1759" s="29" t="str">
        <f>IF(AND(LEFT($B1759,7)="SBA 26/",$D1759&lt;&gt;"",$F1759&lt;&gt;""),COUNTIFS($D$2:$D1759,$D1759,$B$2:$B1759,"SBA 26/*",$F$2:$F1759,"&lt;&gt;"),"")</f>
        <v/>
      </c>
      <c r="Z1759" s="29" t="str">
        <f>IF(Y1759=1,COUNTIF($Y$2:Y1759,1),"")</f>
        <v/>
      </c>
      <c r="AA1759" s="29" t="str">
        <f>IF(AND(LEFT($B1759,7)="SBA 26/",$C1759&lt;&gt;"",$F1759&lt;&gt;""),COUNTIFS($C$2:$C1759,$C1759,$B$2:$B1759,"SBA 26/*",$F$2:$F1759,"&lt;&gt;"),"")</f>
        <v/>
      </c>
      <c r="AB1759" s="29" t="str">
        <f>IF(AA1759=1,COUNTIF($AA$2:AA1759,1),"")</f>
        <v/>
      </c>
    </row>
    <row r="1760" spans="6:28" ht="31.5" customHeight="1" x14ac:dyDescent="0.2">
      <c r="F1760" s="45" t="s">
        <v>4436</v>
      </c>
      <c r="T1760" s="41"/>
      <c r="U1760" s="29" t="str">
        <f>IF($C1760&lt;&gt;"",COUNTIF($C$2:C1760,C1760),"")</f>
        <v/>
      </c>
      <c r="V1760" s="29" t="str">
        <f t="shared" si="86"/>
        <v/>
      </c>
      <c r="W1760" s="29" t="str">
        <f>IF(U1760=1,COUNTIF($U$2:U1760,1),"")</f>
        <v/>
      </c>
      <c r="X1760" s="29" t="str">
        <f t="shared" si="85"/>
        <v/>
      </c>
      <c r="Y1760" s="29" t="str">
        <f>IF(AND(LEFT($B1760,7)="SBA 26/",$D1760&lt;&gt;"",$F1760&lt;&gt;""),COUNTIFS($D$2:$D1760,$D1760,$B$2:$B1760,"SBA 26/*",$F$2:$F1760,"&lt;&gt;"),"")</f>
        <v/>
      </c>
      <c r="Z1760" s="29" t="str">
        <f>IF(Y1760=1,COUNTIF($Y$2:Y1760,1),"")</f>
        <v/>
      </c>
      <c r="AA1760" s="29" t="str">
        <f>IF(AND(LEFT($B1760,7)="SBA 26/",$C1760&lt;&gt;"",$F1760&lt;&gt;""),COUNTIFS($C$2:$C1760,$C1760,$B$2:$B1760,"SBA 26/*",$F$2:$F1760,"&lt;&gt;"),"")</f>
        <v/>
      </c>
      <c r="AB1760" s="29" t="str">
        <f>IF(AA1760=1,COUNTIF($AA$2:AA1760,1),"")</f>
        <v/>
      </c>
    </row>
    <row r="1761" spans="6:28" ht="31.5" customHeight="1" x14ac:dyDescent="0.2">
      <c r="F1761" s="45" t="s">
        <v>4437</v>
      </c>
      <c r="T1761" s="41"/>
      <c r="U1761" s="29" t="str">
        <f>IF($C1761&lt;&gt;"",COUNTIF($C$2:C1761,C1761),"")</f>
        <v/>
      </c>
      <c r="V1761" s="29" t="str">
        <f t="shared" si="86"/>
        <v/>
      </c>
      <c r="W1761" s="29" t="str">
        <f>IF(U1761=1,COUNTIF($U$2:U1761,1),"")</f>
        <v/>
      </c>
      <c r="X1761" s="29" t="str">
        <f t="shared" si="85"/>
        <v/>
      </c>
      <c r="Y1761" s="29" t="str">
        <f>IF(AND(LEFT($B1761,7)="SBA 26/",$D1761&lt;&gt;"",$F1761&lt;&gt;""),COUNTIFS($D$2:$D1761,$D1761,$B$2:$B1761,"SBA 26/*",$F$2:$F1761,"&lt;&gt;"),"")</f>
        <v/>
      </c>
      <c r="Z1761" s="29" t="str">
        <f>IF(Y1761=1,COUNTIF($Y$2:Y1761,1),"")</f>
        <v/>
      </c>
      <c r="AA1761" s="29" t="str">
        <f>IF(AND(LEFT($B1761,7)="SBA 26/",$C1761&lt;&gt;"",$F1761&lt;&gt;""),COUNTIFS($C$2:$C1761,$C1761,$B$2:$B1761,"SBA 26/*",$F$2:$F1761,"&lt;&gt;"),"")</f>
        <v/>
      </c>
      <c r="AB1761" s="29" t="str">
        <f>IF(AA1761=1,COUNTIF($AA$2:AA1761,1),"")</f>
        <v/>
      </c>
    </row>
    <row r="1762" spans="6:28" ht="31.5" customHeight="1" x14ac:dyDescent="0.2">
      <c r="F1762" s="45" t="s">
        <v>4438</v>
      </c>
      <c r="T1762" s="41"/>
      <c r="U1762" s="29" t="str">
        <f>IF($C1762&lt;&gt;"",COUNTIF($C$2:C1762,C1762),"")</f>
        <v/>
      </c>
      <c r="V1762" s="29" t="str">
        <f t="shared" si="86"/>
        <v/>
      </c>
      <c r="W1762" s="29" t="str">
        <f>IF(U1762=1,COUNTIF($U$2:U1762,1),"")</f>
        <v/>
      </c>
      <c r="X1762" s="29" t="str">
        <f t="shared" si="85"/>
        <v/>
      </c>
      <c r="Y1762" s="29" t="str">
        <f>IF(AND(LEFT($B1762,7)="SBA 26/",$D1762&lt;&gt;"",$F1762&lt;&gt;""),COUNTIFS($D$2:$D1762,$D1762,$B$2:$B1762,"SBA 26/*",$F$2:$F1762,"&lt;&gt;"),"")</f>
        <v/>
      </c>
      <c r="Z1762" s="29" t="str">
        <f>IF(Y1762=1,COUNTIF($Y$2:Y1762,1),"")</f>
        <v/>
      </c>
      <c r="AA1762" s="29" t="str">
        <f>IF(AND(LEFT($B1762,7)="SBA 26/",$C1762&lt;&gt;"",$F1762&lt;&gt;""),COUNTIFS($C$2:$C1762,$C1762,$B$2:$B1762,"SBA 26/*",$F$2:$F1762,"&lt;&gt;"),"")</f>
        <v/>
      </c>
      <c r="AB1762" s="29" t="str">
        <f>IF(AA1762=1,COUNTIF($AA$2:AA1762,1),"")</f>
        <v/>
      </c>
    </row>
    <row r="1763" spans="6:28" ht="47.25" customHeight="1" x14ac:dyDescent="0.2">
      <c r="F1763" s="45" t="s">
        <v>4439</v>
      </c>
      <c r="T1763" s="41"/>
      <c r="U1763" s="29" t="str">
        <f>IF($C1763&lt;&gt;"",COUNTIF($C$2:C1763,C1763),"")</f>
        <v/>
      </c>
      <c r="V1763" s="29" t="str">
        <f t="shared" si="86"/>
        <v/>
      </c>
      <c r="W1763" s="29" t="str">
        <f>IF(U1763=1,COUNTIF($U$2:U1763,1),"")</f>
        <v/>
      </c>
      <c r="X1763" s="29" t="str">
        <f t="shared" si="85"/>
        <v/>
      </c>
      <c r="Y1763" s="29" t="str">
        <f>IF(AND(LEFT($B1763,7)="SBA 26/",$D1763&lt;&gt;"",$F1763&lt;&gt;""),COUNTIFS($D$2:$D1763,$D1763,$B$2:$B1763,"SBA 26/*",$F$2:$F1763,"&lt;&gt;"),"")</f>
        <v/>
      </c>
      <c r="Z1763" s="29" t="str">
        <f>IF(Y1763=1,COUNTIF($Y$2:Y1763,1),"")</f>
        <v/>
      </c>
      <c r="AA1763" s="29" t="str">
        <f>IF(AND(LEFT($B1763,7)="SBA 26/",$C1763&lt;&gt;"",$F1763&lt;&gt;""),COUNTIFS($C$2:$C1763,$C1763,$B$2:$B1763,"SBA 26/*",$F$2:$F1763,"&lt;&gt;"),"")</f>
        <v/>
      </c>
      <c r="AB1763" s="29" t="str">
        <f>IF(AA1763=1,COUNTIF($AA$2:AA1763,1),"")</f>
        <v/>
      </c>
    </row>
    <row r="1764" spans="6:28" ht="20.25" customHeight="1" x14ac:dyDescent="0.2">
      <c r="F1764" s="45" t="s">
        <v>4440</v>
      </c>
      <c r="T1764" s="41"/>
      <c r="U1764" s="29" t="str">
        <f>IF($C1764&lt;&gt;"",COUNTIF($C$2:C1764,C1764),"")</f>
        <v/>
      </c>
      <c r="V1764" s="29" t="str">
        <f t="shared" si="86"/>
        <v/>
      </c>
      <c r="W1764" s="29" t="str">
        <f>IF(U1764=1,COUNTIF($U$2:U1764,1),"")</f>
        <v/>
      </c>
      <c r="X1764" s="29" t="str">
        <f t="shared" si="85"/>
        <v/>
      </c>
      <c r="Y1764" s="29" t="str">
        <f>IF(AND(LEFT($B1764,7)="SBA 26/",$D1764&lt;&gt;"",$F1764&lt;&gt;""),COUNTIFS($D$2:$D1764,$D1764,$B$2:$B1764,"SBA 26/*",$F$2:$F1764,"&lt;&gt;"),"")</f>
        <v/>
      </c>
      <c r="Z1764" s="29" t="str">
        <f>IF(Y1764=1,COUNTIF($Y$2:Y1764,1),"")</f>
        <v/>
      </c>
      <c r="AA1764" s="29" t="str">
        <f>IF(AND(LEFT($B1764,7)="SBA 26/",$C1764&lt;&gt;"",$F1764&lt;&gt;""),COUNTIFS($C$2:$C1764,$C1764,$B$2:$B1764,"SBA 26/*",$F$2:$F1764,"&lt;&gt;"),"")</f>
        <v/>
      </c>
      <c r="AB1764" s="29" t="str">
        <f>IF(AA1764=1,COUNTIF($AA$2:AA1764,1),"")</f>
        <v/>
      </c>
    </row>
    <row r="1765" spans="6:28" ht="47.25" customHeight="1" x14ac:dyDescent="0.2">
      <c r="F1765" s="45" t="s">
        <v>4441</v>
      </c>
      <c r="T1765" s="41"/>
      <c r="U1765" s="29" t="str">
        <f>IF($C1765&lt;&gt;"",COUNTIF($C$2:C1765,C1765),"")</f>
        <v/>
      </c>
      <c r="V1765" s="29" t="str">
        <f t="shared" si="86"/>
        <v/>
      </c>
      <c r="W1765" s="29" t="str">
        <f>IF(U1765=1,COUNTIF($U$2:U1765,1),"")</f>
        <v/>
      </c>
      <c r="X1765" s="29" t="str">
        <f t="shared" si="85"/>
        <v/>
      </c>
      <c r="Y1765" s="29" t="str">
        <f>IF(AND(LEFT($B1765,7)="SBA 26/",$D1765&lt;&gt;"",$F1765&lt;&gt;""),COUNTIFS($D$2:$D1765,$D1765,$B$2:$B1765,"SBA 26/*",$F$2:$F1765,"&lt;&gt;"),"")</f>
        <v/>
      </c>
      <c r="Z1765" s="29" t="str">
        <f>IF(Y1765=1,COUNTIF($Y$2:Y1765,1),"")</f>
        <v/>
      </c>
      <c r="AA1765" s="29" t="str">
        <f>IF(AND(LEFT($B1765,7)="SBA 26/",$C1765&lt;&gt;"",$F1765&lt;&gt;""),COUNTIFS($C$2:$C1765,$C1765,$B$2:$B1765,"SBA 26/*",$F$2:$F1765,"&lt;&gt;"),"")</f>
        <v/>
      </c>
      <c r="AB1765" s="29" t="str">
        <f>IF(AA1765=1,COUNTIF($AA$2:AA1765,1),"")</f>
        <v/>
      </c>
    </row>
    <row r="1766" spans="6:28" ht="47.25" customHeight="1" x14ac:dyDescent="0.2">
      <c r="F1766" s="45" t="s">
        <v>4442</v>
      </c>
      <c r="T1766" s="41"/>
      <c r="U1766" s="29" t="str">
        <f>IF($C1766&lt;&gt;"",COUNTIF($C$2:C1766,C1766),"")</f>
        <v/>
      </c>
      <c r="V1766" s="29" t="str">
        <f t="shared" si="86"/>
        <v/>
      </c>
      <c r="W1766" s="29" t="str">
        <f>IF(U1766=1,COUNTIF($U$2:U1766,1),"")</f>
        <v/>
      </c>
      <c r="X1766" s="29" t="str">
        <f t="shared" si="85"/>
        <v/>
      </c>
      <c r="Y1766" s="29" t="str">
        <f>IF(AND(LEFT($B1766,7)="SBA 26/",$D1766&lt;&gt;"",$F1766&lt;&gt;""),COUNTIFS($D$2:$D1766,$D1766,$B$2:$B1766,"SBA 26/*",$F$2:$F1766,"&lt;&gt;"),"")</f>
        <v/>
      </c>
      <c r="Z1766" s="29" t="str">
        <f>IF(Y1766=1,COUNTIF($Y$2:Y1766,1),"")</f>
        <v/>
      </c>
      <c r="AA1766" s="29" t="str">
        <f>IF(AND(LEFT($B1766,7)="SBA 26/",$C1766&lt;&gt;"",$F1766&lt;&gt;""),COUNTIFS($C$2:$C1766,$C1766,$B$2:$B1766,"SBA 26/*",$F$2:$F1766,"&lt;&gt;"),"")</f>
        <v/>
      </c>
      <c r="AB1766" s="29" t="str">
        <f>IF(AA1766=1,COUNTIF($AA$2:AA1766,1),"")</f>
        <v/>
      </c>
    </row>
    <row r="1767" spans="6:28" ht="31.5" customHeight="1" x14ac:dyDescent="0.2">
      <c r="F1767" s="45" t="s">
        <v>4443</v>
      </c>
      <c r="T1767" s="41"/>
      <c r="U1767" s="29" t="str">
        <f>IF($C1767&lt;&gt;"",COUNTIF($C$2:C1767,C1767),"")</f>
        <v/>
      </c>
      <c r="V1767" s="29" t="str">
        <f t="shared" si="86"/>
        <v/>
      </c>
      <c r="W1767" s="29" t="str">
        <f>IF(U1767=1,COUNTIF($U$2:U1767,1),"")</f>
        <v/>
      </c>
      <c r="X1767" s="29" t="str">
        <f t="shared" si="85"/>
        <v/>
      </c>
      <c r="Y1767" s="29" t="str">
        <f>IF(AND(LEFT($B1767,7)="SBA 26/",$D1767&lt;&gt;"",$F1767&lt;&gt;""),COUNTIFS($D$2:$D1767,$D1767,$B$2:$B1767,"SBA 26/*",$F$2:$F1767,"&lt;&gt;"),"")</f>
        <v/>
      </c>
      <c r="Z1767" s="29" t="str">
        <f>IF(Y1767=1,COUNTIF($Y$2:Y1767,1),"")</f>
        <v/>
      </c>
      <c r="AA1767" s="29" t="str">
        <f>IF(AND(LEFT($B1767,7)="SBA 26/",$C1767&lt;&gt;"",$F1767&lt;&gt;""),COUNTIFS($C$2:$C1767,$C1767,$B$2:$B1767,"SBA 26/*",$F$2:$F1767,"&lt;&gt;"),"")</f>
        <v/>
      </c>
      <c r="AB1767" s="29" t="str">
        <f>IF(AA1767=1,COUNTIF($AA$2:AA1767,1),"")</f>
        <v/>
      </c>
    </row>
    <row r="1768" spans="6:28" ht="47.25" customHeight="1" x14ac:dyDescent="0.2">
      <c r="F1768" s="45" t="s">
        <v>4444</v>
      </c>
      <c r="T1768" s="41"/>
      <c r="U1768" s="29" t="str">
        <f>IF($C1768&lt;&gt;"",COUNTIF($C$2:C1768,C1768),"")</f>
        <v/>
      </c>
      <c r="V1768" s="29" t="str">
        <f t="shared" si="86"/>
        <v/>
      </c>
      <c r="W1768" s="29" t="str">
        <f>IF(U1768=1,COUNTIF($U$2:U1768,1),"")</f>
        <v/>
      </c>
      <c r="X1768" s="29" t="str">
        <f t="shared" si="85"/>
        <v/>
      </c>
      <c r="Y1768" s="29" t="str">
        <f>IF(AND(LEFT($B1768,7)="SBA 26/",$D1768&lt;&gt;"",$F1768&lt;&gt;""),COUNTIFS($D$2:$D1768,$D1768,$B$2:$B1768,"SBA 26/*",$F$2:$F1768,"&lt;&gt;"),"")</f>
        <v/>
      </c>
      <c r="Z1768" s="29" t="str">
        <f>IF(Y1768=1,COUNTIF($Y$2:Y1768,1),"")</f>
        <v/>
      </c>
      <c r="AA1768" s="29" t="str">
        <f>IF(AND(LEFT($B1768,7)="SBA 26/",$C1768&lt;&gt;"",$F1768&lt;&gt;""),COUNTIFS($C$2:$C1768,$C1768,$B$2:$B1768,"SBA 26/*",$F$2:$F1768,"&lt;&gt;"),"")</f>
        <v/>
      </c>
      <c r="AB1768" s="29" t="str">
        <f>IF(AA1768=1,COUNTIF($AA$2:AA1768,1),"")</f>
        <v/>
      </c>
    </row>
    <row r="1769" spans="6:28" ht="47.25" customHeight="1" x14ac:dyDescent="0.2">
      <c r="F1769" s="45" t="s">
        <v>4445</v>
      </c>
      <c r="T1769" s="41"/>
      <c r="U1769" s="29" t="str">
        <f>IF($C1769&lt;&gt;"",COUNTIF($C$2:C1769,C1769),"")</f>
        <v/>
      </c>
      <c r="V1769" s="29" t="str">
        <f t="shared" si="86"/>
        <v/>
      </c>
      <c r="W1769" s="29" t="str">
        <f>IF(U1769=1,COUNTIF($U$2:U1769,1),"")</f>
        <v/>
      </c>
      <c r="X1769" s="29" t="str">
        <f t="shared" si="85"/>
        <v/>
      </c>
      <c r="Y1769" s="29" t="str">
        <f>IF(AND(LEFT($B1769,7)="SBA 26/",$D1769&lt;&gt;"",$F1769&lt;&gt;""),COUNTIFS($D$2:$D1769,$D1769,$B$2:$B1769,"SBA 26/*",$F$2:$F1769,"&lt;&gt;"),"")</f>
        <v/>
      </c>
      <c r="Z1769" s="29" t="str">
        <f>IF(Y1769=1,COUNTIF($Y$2:Y1769,1),"")</f>
        <v/>
      </c>
      <c r="AA1769" s="29" t="str">
        <f>IF(AND(LEFT($B1769,7)="SBA 26/",$C1769&lt;&gt;"",$F1769&lt;&gt;""),COUNTIFS($C$2:$C1769,$C1769,$B$2:$B1769,"SBA 26/*",$F$2:$F1769,"&lt;&gt;"),"")</f>
        <v/>
      </c>
      <c r="AB1769" s="29" t="str">
        <f>IF(AA1769=1,COUNTIF($AA$2:AA1769,1),"")</f>
        <v/>
      </c>
    </row>
    <row r="1770" spans="6:28" ht="63" customHeight="1" x14ac:dyDescent="0.2">
      <c r="F1770" s="45" t="s">
        <v>4446</v>
      </c>
      <c r="T1770" s="41"/>
      <c r="U1770" s="29" t="str">
        <f>IF($C1770&lt;&gt;"",COUNTIF($C$2:C1770,C1770),"")</f>
        <v/>
      </c>
      <c r="V1770" s="29" t="str">
        <f t="shared" si="86"/>
        <v/>
      </c>
      <c r="W1770" s="29" t="str">
        <f>IF(U1770=1,COUNTIF($U$2:U1770,1),"")</f>
        <v/>
      </c>
      <c r="X1770" s="29" t="str">
        <f t="shared" si="85"/>
        <v/>
      </c>
      <c r="Y1770" s="29" t="str">
        <f>IF(AND(LEFT($B1770,7)="SBA 26/",$D1770&lt;&gt;"",$F1770&lt;&gt;""),COUNTIFS($D$2:$D1770,$D1770,$B$2:$B1770,"SBA 26/*",$F$2:$F1770,"&lt;&gt;"),"")</f>
        <v/>
      </c>
      <c r="Z1770" s="29" t="str">
        <f>IF(Y1770=1,COUNTIF($Y$2:Y1770,1),"")</f>
        <v/>
      </c>
      <c r="AA1770" s="29" t="str">
        <f>IF(AND(LEFT($B1770,7)="SBA 26/",$C1770&lt;&gt;"",$F1770&lt;&gt;""),COUNTIFS($C$2:$C1770,$C1770,$B$2:$B1770,"SBA 26/*",$F$2:$F1770,"&lt;&gt;"),"")</f>
        <v/>
      </c>
      <c r="AB1770" s="29" t="str">
        <f>IF(AA1770=1,COUNTIF($AA$2:AA1770,1),"")</f>
        <v/>
      </c>
    </row>
    <row r="1771" spans="6:28" ht="31.5" customHeight="1" x14ac:dyDescent="0.2">
      <c r="F1771" s="45" t="s">
        <v>4447</v>
      </c>
      <c r="T1771" s="41"/>
      <c r="U1771" s="29" t="str">
        <f>IF($C1771&lt;&gt;"",COUNTIF($C$2:C1771,C1771),"")</f>
        <v/>
      </c>
      <c r="V1771" s="29" t="str">
        <f t="shared" si="86"/>
        <v/>
      </c>
      <c r="W1771" s="29" t="str">
        <f>IF(U1771=1,COUNTIF($U$2:U1771,1),"")</f>
        <v/>
      </c>
      <c r="X1771" s="29" t="str">
        <f t="shared" si="85"/>
        <v/>
      </c>
      <c r="Y1771" s="29" t="str">
        <f>IF(AND(LEFT($B1771,7)="SBA 26/",$D1771&lt;&gt;"",$F1771&lt;&gt;""),COUNTIFS($D$2:$D1771,$D1771,$B$2:$B1771,"SBA 26/*",$F$2:$F1771,"&lt;&gt;"),"")</f>
        <v/>
      </c>
      <c r="Z1771" s="29" t="str">
        <f>IF(Y1771=1,COUNTIF($Y$2:Y1771,1),"")</f>
        <v/>
      </c>
      <c r="AA1771" s="29" t="str">
        <f>IF(AND(LEFT($B1771,7)="SBA 26/",$C1771&lt;&gt;"",$F1771&lt;&gt;""),COUNTIFS($C$2:$C1771,$C1771,$B$2:$B1771,"SBA 26/*",$F$2:$F1771,"&lt;&gt;"),"")</f>
        <v/>
      </c>
      <c r="AB1771" s="29" t="str">
        <f>IF(AA1771=1,COUNTIF($AA$2:AA1771,1),"")</f>
        <v/>
      </c>
    </row>
    <row r="1772" spans="6:28" ht="47.25" customHeight="1" x14ac:dyDescent="0.2">
      <c r="F1772" s="45" t="s">
        <v>4448</v>
      </c>
      <c r="T1772" s="41"/>
      <c r="U1772" s="29" t="str">
        <f>IF($C1772&lt;&gt;"",COUNTIF($C$2:C1772,C1772),"")</f>
        <v/>
      </c>
      <c r="V1772" s="29" t="str">
        <f t="shared" si="86"/>
        <v/>
      </c>
      <c r="W1772" s="29" t="str">
        <f>IF(U1772=1,COUNTIF($U$2:U1772,1),"")</f>
        <v/>
      </c>
      <c r="X1772" s="29" t="str">
        <f t="shared" si="85"/>
        <v/>
      </c>
      <c r="Y1772" s="29" t="str">
        <f>IF(AND(LEFT($B1772,7)="SBA 26/",$D1772&lt;&gt;"",$F1772&lt;&gt;""),COUNTIFS($D$2:$D1772,$D1772,$B$2:$B1772,"SBA 26/*",$F$2:$F1772,"&lt;&gt;"),"")</f>
        <v/>
      </c>
      <c r="Z1772" s="29" t="str">
        <f>IF(Y1772=1,COUNTIF($Y$2:Y1772,1),"")</f>
        <v/>
      </c>
      <c r="AA1772" s="29" t="str">
        <f>IF(AND(LEFT($B1772,7)="SBA 26/",$C1772&lt;&gt;"",$F1772&lt;&gt;""),COUNTIFS($C$2:$C1772,$C1772,$B$2:$B1772,"SBA 26/*",$F$2:$F1772,"&lt;&gt;"),"")</f>
        <v/>
      </c>
      <c r="AB1772" s="29" t="str">
        <f>IF(AA1772=1,COUNTIF($AA$2:AA1772,1),"")</f>
        <v/>
      </c>
    </row>
    <row r="1773" spans="6:28" ht="31.5" customHeight="1" x14ac:dyDescent="0.2">
      <c r="F1773" s="45" t="s">
        <v>4449</v>
      </c>
      <c r="T1773" s="41"/>
      <c r="U1773" s="29" t="str">
        <f>IF($C1773&lt;&gt;"",COUNTIF($C$2:C1773,C1773),"")</f>
        <v/>
      </c>
      <c r="V1773" s="29" t="str">
        <f t="shared" si="86"/>
        <v/>
      </c>
      <c r="W1773" s="29" t="str">
        <f>IF(U1773=1,COUNTIF($U$2:U1773,1),"")</f>
        <v/>
      </c>
      <c r="X1773" s="29" t="str">
        <f t="shared" ref="X1773:X1833" si="87">IF(U1773=1,SUMPRODUCT(($U$2:$U$1833=1)*($C$2:$C$1833&lt;C1773))+1,"")</f>
        <v/>
      </c>
      <c r="Y1773" s="29" t="str">
        <f>IF(AND(LEFT($B1773,7)="SBA 26/",$D1773&lt;&gt;"",$F1773&lt;&gt;""),COUNTIFS($D$2:$D1773,$D1773,$B$2:$B1773,"SBA 26/*",$F$2:$F1773,"&lt;&gt;"),"")</f>
        <v/>
      </c>
      <c r="Z1773" s="29" t="str">
        <f>IF(Y1773=1,COUNTIF($Y$2:Y1773,1),"")</f>
        <v/>
      </c>
      <c r="AA1773" s="29" t="str">
        <f>IF(AND(LEFT($B1773,7)="SBA 26/",$C1773&lt;&gt;"",$F1773&lt;&gt;""),COUNTIFS($C$2:$C1773,$C1773,$B$2:$B1773,"SBA 26/*",$F$2:$F1773,"&lt;&gt;"),"")</f>
        <v/>
      </c>
      <c r="AB1773" s="29" t="str">
        <f>IF(AA1773=1,COUNTIF($AA$2:AA1773,1),"")</f>
        <v/>
      </c>
    </row>
    <row r="1774" spans="6:28" ht="47.25" customHeight="1" x14ac:dyDescent="0.2">
      <c r="F1774" s="45" t="s">
        <v>4450</v>
      </c>
      <c r="T1774" s="41"/>
      <c r="U1774" s="29" t="str">
        <f>IF($C1774&lt;&gt;"",COUNTIF($C$2:C1774,C1774),"")</f>
        <v/>
      </c>
      <c r="V1774" s="29" t="str">
        <f t="shared" si="86"/>
        <v/>
      </c>
      <c r="W1774" s="29" t="str">
        <f>IF(U1774=1,COUNTIF($U$2:U1774,1),"")</f>
        <v/>
      </c>
      <c r="X1774" s="29" t="str">
        <f t="shared" si="87"/>
        <v/>
      </c>
      <c r="Y1774" s="29" t="str">
        <f>IF(AND(LEFT($B1774,7)="SBA 26/",$D1774&lt;&gt;"",$F1774&lt;&gt;""),COUNTIFS($D$2:$D1774,$D1774,$B$2:$B1774,"SBA 26/*",$F$2:$F1774,"&lt;&gt;"),"")</f>
        <v/>
      </c>
      <c r="Z1774" s="29" t="str">
        <f>IF(Y1774=1,COUNTIF($Y$2:Y1774,1),"")</f>
        <v/>
      </c>
      <c r="AA1774" s="29" t="str">
        <f>IF(AND(LEFT($B1774,7)="SBA 26/",$C1774&lt;&gt;"",$F1774&lt;&gt;""),COUNTIFS($C$2:$C1774,$C1774,$B$2:$B1774,"SBA 26/*",$F$2:$F1774,"&lt;&gt;"),"")</f>
        <v/>
      </c>
      <c r="AB1774" s="29" t="str">
        <f>IF(AA1774=1,COUNTIF($AA$2:AA1774,1),"")</f>
        <v/>
      </c>
    </row>
    <row r="1775" spans="6:28" ht="47.25" customHeight="1" x14ac:dyDescent="0.2">
      <c r="F1775" s="45" t="s">
        <v>4451</v>
      </c>
      <c r="T1775" s="41"/>
      <c r="U1775" s="29" t="str">
        <f>IF($C1775&lt;&gt;"",COUNTIF($C$2:C1775,C1775),"")</f>
        <v/>
      </c>
      <c r="V1775" s="29" t="str">
        <f t="shared" si="86"/>
        <v/>
      </c>
      <c r="W1775" s="29" t="str">
        <f>IF(U1775=1,COUNTIF($U$2:U1775,1),"")</f>
        <v/>
      </c>
      <c r="X1775" s="29" t="str">
        <f t="shared" si="87"/>
        <v/>
      </c>
      <c r="Y1775" s="29" t="str">
        <f>IF(AND(LEFT($B1775,7)="SBA 26/",$D1775&lt;&gt;"",$F1775&lt;&gt;""),COUNTIFS($D$2:$D1775,$D1775,$B$2:$B1775,"SBA 26/*",$F$2:$F1775,"&lt;&gt;"),"")</f>
        <v/>
      </c>
      <c r="Z1775" s="29" t="str">
        <f>IF(Y1775=1,COUNTIF($Y$2:Y1775,1),"")</f>
        <v/>
      </c>
      <c r="AA1775" s="29" t="str">
        <f>IF(AND(LEFT($B1775,7)="SBA 26/",$C1775&lt;&gt;"",$F1775&lt;&gt;""),COUNTIFS($C$2:$C1775,$C1775,$B$2:$B1775,"SBA 26/*",$F$2:$F1775,"&lt;&gt;"),"")</f>
        <v/>
      </c>
      <c r="AB1775" s="29" t="str">
        <f>IF(AA1775=1,COUNTIF($AA$2:AA1775,1),"")</f>
        <v/>
      </c>
    </row>
    <row r="1776" spans="6:28" ht="47.25" customHeight="1" x14ac:dyDescent="0.2">
      <c r="F1776" s="45" t="s">
        <v>4452</v>
      </c>
      <c r="T1776" s="41"/>
      <c r="U1776" s="29" t="str">
        <f>IF($C1776&lt;&gt;"",COUNTIF($C$2:C1776,C1776),"")</f>
        <v/>
      </c>
      <c r="V1776" s="29" t="str">
        <f t="shared" si="86"/>
        <v/>
      </c>
      <c r="W1776" s="29" t="str">
        <f>IF(U1776=1,COUNTIF($U$2:U1776,1),"")</f>
        <v/>
      </c>
      <c r="X1776" s="29" t="str">
        <f t="shared" si="87"/>
        <v/>
      </c>
      <c r="Y1776" s="29" t="str">
        <f>IF(AND(LEFT($B1776,7)="SBA 26/",$D1776&lt;&gt;"",$F1776&lt;&gt;""),COUNTIFS($D$2:$D1776,$D1776,$B$2:$B1776,"SBA 26/*",$F$2:$F1776,"&lt;&gt;"),"")</f>
        <v/>
      </c>
      <c r="Z1776" s="29" t="str">
        <f>IF(Y1776=1,COUNTIF($Y$2:Y1776,1),"")</f>
        <v/>
      </c>
      <c r="AA1776" s="29" t="str">
        <f>IF(AND(LEFT($B1776,7)="SBA 26/",$C1776&lt;&gt;"",$F1776&lt;&gt;""),COUNTIFS($C$2:$C1776,$C1776,$B$2:$B1776,"SBA 26/*",$F$2:$F1776,"&lt;&gt;"),"")</f>
        <v/>
      </c>
      <c r="AB1776" s="29" t="str">
        <f>IF(AA1776=1,COUNTIF($AA$2:AA1776,1),"")</f>
        <v/>
      </c>
    </row>
    <row r="1777" spans="6:28" ht="47.25" customHeight="1" x14ac:dyDescent="0.2">
      <c r="F1777" s="45" t="s">
        <v>4453</v>
      </c>
      <c r="T1777" s="41"/>
      <c r="U1777" s="29" t="str">
        <f>IF($C1777&lt;&gt;"",COUNTIF($C$2:C1777,C1777),"")</f>
        <v/>
      </c>
      <c r="V1777" s="29" t="str">
        <f t="shared" si="86"/>
        <v/>
      </c>
      <c r="W1777" s="29" t="str">
        <f>IF(U1777=1,COUNTIF($U$2:U1777,1),"")</f>
        <v/>
      </c>
      <c r="X1777" s="29" t="str">
        <f t="shared" si="87"/>
        <v/>
      </c>
      <c r="Y1777" s="29" t="str">
        <f>IF(AND(LEFT($B1777,7)="SBA 26/",$D1777&lt;&gt;"",$F1777&lt;&gt;""),COUNTIFS($D$2:$D1777,$D1777,$B$2:$B1777,"SBA 26/*",$F$2:$F1777,"&lt;&gt;"),"")</f>
        <v/>
      </c>
      <c r="Z1777" s="29" t="str">
        <f>IF(Y1777=1,COUNTIF($Y$2:Y1777,1),"")</f>
        <v/>
      </c>
      <c r="AA1777" s="29" t="str">
        <f>IF(AND(LEFT($B1777,7)="SBA 26/",$C1777&lt;&gt;"",$F1777&lt;&gt;""),COUNTIFS($C$2:$C1777,$C1777,$B$2:$B1777,"SBA 26/*",$F$2:$F1777,"&lt;&gt;"),"")</f>
        <v/>
      </c>
      <c r="AB1777" s="29" t="str">
        <f>IF(AA1777=1,COUNTIF($AA$2:AA1777,1),"")</f>
        <v/>
      </c>
    </row>
    <row r="1778" spans="6:28" ht="63" customHeight="1" x14ac:dyDescent="0.2">
      <c r="F1778" s="45" t="s">
        <v>4454</v>
      </c>
      <c r="T1778" s="41"/>
      <c r="U1778" s="29" t="str">
        <f>IF($C1778&lt;&gt;"",COUNTIF($C$2:C1778,C1778),"")</f>
        <v/>
      </c>
      <c r="V1778" s="29" t="str">
        <f t="shared" si="86"/>
        <v/>
      </c>
      <c r="W1778" s="29" t="str">
        <f>IF(U1778=1,COUNTIF($U$2:U1778,1),"")</f>
        <v/>
      </c>
      <c r="X1778" s="29" t="str">
        <f t="shared" si="87"/>
        <v/>
      </c>
      <c r="Y1778" s="29" t="str">
        <f>IF(AND(LEFT($B1778,7)="SBA 26/",$D1778&lt;&gt;"",$F1778&lt;&gt;""),COUNTIFS($D$2:$D1778,$D1778,$B$2:$B1778,"SBA 26/*",$F$2:$F1778,"&lt;&gt;"),"")</f>
        <v/>
      </c>
      <c r="Z1778" s="29" t="str">
        <f>IF(Y1778=1,COUNTIF($Y$2:Y1778,1),"")</f>
        <v/>
      </c>
      <c r="AA1778" s="29" t="str">
        <f>IF(AND(LEFT($B1778,7)="SBA 26/",$C1778&lt;&gt;"",$F1778&lt;&gt;""),COUNTIFS($C$2:$C1778,$C1778,$B$2:$B1778,"SBA 26/*",$F$2:$F1778,"&lt;&gt;"),"")</f>
        <v/>
      </c>
      <c r="AB1778" s="29" t="str">
        <f>IF(AA1778=1,COUNTIF($AA$2:AA1778,1),"")</f>
        <v/>
      </c>
    </row>
    <row r="1779" spans="6:28" ht="47.25" customHeight="1" x14ac:dyDescent="0.2">
      <c r="F1779" s="45" t="s">
        <v>4455</v>
      </c>
      <c r="T1779" s="41"/>
      <c r="U1779" s="29" t="str">
        <f>IF($C1779&lt;&gt;"",COUNTIF($C$2:C1779,C1779),"")</f>
        <v/>
      </c>
      <c r="V1779" s="29" t="str">
        <f t="shared" si="86"/>
        <v/>
      </c>
      <c r="W1779" s="29" t="str">
        <f>IF(U1779=1,COUNTIF($U$2:U1779,1),"")</f>
        <v/>
      </c>
      <c r="X1779" s="29" t="str">
        <f t="shared" si="87"/>
        <v/>
      </c>
      <c r="Y1779" s="29" t="str">
        <f>IF(AND(LEFT($B1779,7)="SBA 26/",$D1779&lt;&gt;"",$F1779&lt;&gt;""),COUNTIFS($D$2:$D1779,$D1779,$B$2:$B1779,"SBA 26/*",$F$2:$F1779,"&lt;&gt;"),"")</f>
        <v/>
      </c>
      <c r="Z1779" s="29" t="str">
        <f>IF(Y1779=1,COUNTIF($Y$2:Y1779,1),"")</f>
        <v/>
      </c>
      <c r="AA1779" s="29" t="str">
        <f>IF(AND(LEFT($B1779,7)="SBA 26/",$C1779&lt;&gt;"",$F1779&lt;&gt;""),COUNTIFS($C$2:$C1779,$C1779,$B$2:$B1779,"SBA 26/*",$F$2:$F1779,"&lt;&gt;"),"")</f>
        <v/>
      </c>
      <c r="AB1779" s="29" t="str">
        <f>IF(AA1779=1,COUNTIF($AA$2:AA1779,1),"")</f>
        <v/>
      </c>
    </row>
    <row r="1780" spans="6:28" ht="47.25" customHeight="1" x14ac:dyDescent="0.2">
      <c r="F1780" s="45" t="s">
        <v>4456</v>
      </c>
      <c r="T1780" s="41"/>
      <c r="U1780" s="29" t="str">
        <f>IF($C1780&lt;&gt;"",COUNTIF($C$2:C1780,C1780),"")</f>
        <v/>
      </c>
      <c r="V1780" s="29" t="str">
        <f t="shared" si="86"/>
        <v/>
      </c>
      <c r="W1780" s="29" t="str">
        <f>IF(U1780=1,COUNTIF($U$2:U1780,1),"")</f>
        <v/>
      </c>
      <c r="X1780" s="29" t="str">
        <f t="shared" si="87"/>
        <v/>
      </c>
      <c r="Y1780" s="29" t="str">
        <f>IF(AND(LEFT($B1780,7)="SBA 26/",$D1780&lt;&gt;"",$F1780&lt;&gt;""),COUNTIFS($D$2:$D1780,$D1780,$B$2:$B1780,"SBA 26/*",$F$2:$F1780,"&lt;&gt;"),"")</f>
        <v/>
      </c>
      <c r="Z1780" s="29" t="str">
        <f>IF(Y1780=1,COUNTIF($Y$2:Y1780,1),"")</f>
        <v/>
      </c>
      <c r="AA1780" s="29" t="str">
        <f>IF(AND(LEFT($B1780,7)="SBA 26/",$C1780&lt;&gt;"",$F1780&lt;&gt;""),COUNTIFS($C$2:$C1780,$C1780,$B$2:$B1780,"SBA 26/*",$F$2:$F1780,"&lt;&gt;"),"")</f>
        <v/>
      </c>
      <c r="AB1780" s="29" t="str">
        <f>IF(AA1780=1,COUNTIF($AA$2:AA1780,1),"")</f>
        <v/>
      </c>
    </row>
    <row r="1781" spans="6:28" ht="47.25" customHeight="1" x14ac:dyDescent="0.2">
      <c r="F1781" s="45" t="s">
        <v>4457</v>
      </c>
      <c r="T1781" s="41"/>
      <c r="U1781" s="29" t="str">
        <f>IF($C1781&lt;&gt;"",COUNTIF($C$2:C1781,C1781),"")</f>
        <v/>
      </c>
      <c r="V1781" s="29" t="str">
        <f t="shared" si="86"/>
        <v/>
      </c>
      <c r="W1781" s="29" t="str">
        <f>IF(U1781=1,COUNTIF($U$2:U1781,1),"")</f>
        <v/>
      </c>
      <c r="X1781" s="29" t="str">
        <f t="shared" si="87"/>
        <v/>
      </c>
      <c r="Y1781" s="29" t="str">
        <f>IF(AND(LEFT($B1781,7)="SBA 26/",$D1781&lt;&gt;"",$F1781&lt;&gt;""),COUNTIFS($D$2:$D1781,$D1781,$B$2:$B1781,"SBA 26/*",$F$2:$F1781,"&lt;&gt;"),"")</f>
        <v/>
      </c>
      <c r="Z1781" s="29" t="str">
        <f>IF(Y1781=1,COUNTIF($Y$2:Y1781,1),"")</f>
        <v/>
      </c>
      <c r="AA1781" s="29" t="str">
        <f>IF(AND(LEFT($B1781,7)="SBA 26/",$C1781&lt;&gt;"",$F1781&lt;&gt;""),COUNTIFS($C$2:$C1781,$C1781,$B$2:$B1781,"SBA 26/*",$F$2:$F1781,"&lt;&gt;"),"")</f>
        <v/>
      </c>
      <c r="AB1781" s="29" t="str">
        <f>IF(AA1781=1,COUNTIF($AA$2:AA1781,1),"")</f>
        <v/>
      </c>
    </row>
    <row r="1782" spans="6:28" ht="63" customHeight="1" x14ac:dyDescent="0.2">
      <c r="F1782" s="45" t="s">
        <v>4458</v>
      </c>
      <c r="T1782" s="41"/>
      <c r="U1782" s="29" t="str">
        <f>IF($C1782&lt;&gt;"",COUNTIF($C$2:C1782,C1782),"")</f>
        <v/>
      </c>
      <c r="V1782" s="29" t="str">
        <f t="shared" si="86"/>
        <v/>
      </c>
      <c r="W1782" s="29" t="str">
        <f>IF(U1782=1,COUNTIF($U$2:U1782,1),"")</f>
        <v/>
      </c>
      <c r="X1782" s="29" t="str">
        <f t="shared" si="87"/>
        <v/>
      </c>
      <c r="Y1782" s="29" t="str">
        <f>IF(AND(LEFT($B1782,7)="SBA 26/",$D1782&lt;&gt;"",$F1782&lt;&gt;""),COUNTIFS($D$2:$D1782,$D1782,$B$2:$B1782,"SBA 26/*",$F$2:$F1782,"&lt;&gt;"),"")</f>
        <v/>
      </c>
      <c r="Z1782" s="29" t="str">
        <f>IF(Y1782=1,COUNTIF($Y$2:Y1782,1),"")</f>
        <v/>
      </c>
      <c r="AA1782" s="29" t="str">
        <f>IF(AND(LEFT($B1782,7)="SBA 26/",$C1782&lt;&gt;"",$F1782&lt;&gt;""),COUNTIFS($C$2:$C1782,$C1782,$B$2:$B1782,"SBA 26/*",$F$2:$F1782,"&lt;&gt;"),"")</f>
        <v/>
      </c>
      <c r="AB1782" s="29" t="str">
        <f>IF(AA1782=1,COUNTIF($AA$2:AA1782,1),"")</f>
        <v/>
      </c>
    </row>
    <row r="1783" spans="6:28" ht="47.25" customHeight="1" x14ac:dyDescent="0.2">
      <c r="F1783" s="45" t="s">
        <v>4459</v>
      </c>
      <c r="T1783" s="41"/>
      <c r="U1783" s="29" t="str">
        <f>IF($C1783&lt;&gt;"",COUNTIF($C$2:C1783,C1783),"")</f>
        <v/>
      </c>
      <c r="V1783" s="29" t="str">
        <f t="shared" si="86"/>
        <v/>
      </c>
      <c r="W1783" s="29" t="str">
        <f>IF(U1783=1,COUNTIF($U$2:U1783,1),"")</f>
        <v/>
      </c>
      <c r="X1783" s="29" t="str">
        <f t="shared" si="87"/>
        <v/>
      </c>
      <c r="Y1783" s="29" t="str">
        <f>IF(AND(LEFT($B1783,7)="SBA 26/",$D1783&lt;&gt;"",$F1783&lt;&gt;""),COUNTIFS($D$2:$D1783,$D1783,$B$2:$B1783,"SBA 26/*",$F$2:$F1783,"&lt;&gt;"),"")</f>
        <v/>
      </c>
      <c r="Z1783" s="29" t="str">
        <f>IF(Y1783=1,COUNTIF($Y$2:Y1783,1),"")</f>
        <v/>
      </c>
      <c r="AA1783" s="29" t="str">
        <f>IF(AND(LEFT($B1783,7)="SBA 26/",$C1783&lt;&gt;"",$F1783&lt;&gt;""),COUNTIFS($C$2:$C1783,$C1783,$B$2:$B1783,"SBA 26/*",$F$2:$F1783,"&lt;&gt;"),"")</f>
        <v/>
      </c>
      <c r="AB1783" s="29" t="str">
        <f>IF(AA1783=1,COUNTIF($AA$2:AA1783,1),"")</f>
        <v/>
      </c>
    </row>
    <row r="1784" spans="6:28" ht="31.5" customHeight="1" x14ac:dyDescent="0.2">
      <c r="F1784" s="45" t="s">
        <v>4460</v>
      </c>
      <c r="T1784" s="41"/>
      <c r="U1784" s="29" t="str">
        <f>IF($C1784&lt;&gt;"",COUNTIF($C$2:C1784,C1784),"")</f>
        <v/>
      </c>
      <c r="V1784" s="29" t="str">
        <f t="shared" si="86"/>
        <v/>
      </c>
      <c r="W1784" s="29" t="str">
        <f>IF(U1784=1,COUNTIF($U$2:U1784,1),"")</f>
        <v/>
      </c>
      <c r="X1784" s="29" t="str">
        <f t="shared" si="87"/>
        <v/>
      </c>
      <c r="Y1784" s="29" t="str">
        <f>IF(AND(LEFT($B1784,7)="SBA 26/",$D1784&lt;&gt;"",$F1784&lt;&gt;""),COUNTIFS($D$2:$D1784,$D1784,$B$2:$B1784,"SBA 26/*",$F$2:$F1784,"&lt;&gt;"),"")</f>
        <v/>
      </c>
      <c r="Z1784" s="29" t="str">
        <f>IF(Y1784=1,COUNTIF($Y$2:Y1784,1),"")</f>
        <v/>
      </c>
      <c r="AA1784" s="29" t="str">
        <f>IF(AND(LEFT($B1784,7)="SBA 26/",$C1784&lt;&gt;"",$F1784&lt;&gt;""),COUNTIFS($C$2:$C1784,$C1784,$B$2:$B1784,"SBA 26/*",$F$2:$F1784,"&lt;&gt;"),"")</f>
        <v/>
      </c>
      <c r="AB1784" s="29" t="str">
        <f>IF(AA1784=1,COUNTIF($AA$2:AA1784,1),"")</f>
        <v/>
      </c>
    </row>
    <row r="1785" spans="6:28" ht="31.5" customHeight="1" x14ac:dyDescent="0.2">
      <c r="F1785" s="45" t="s">
        <v>4461</v>
      </c>
      <c r="T1785" s="41"/>
      <c r="U1785" s="29" t="str">
        <f>IF($C1785&lt;&gt;"",COUNTIF($C$2:C1785,C1785),"")</f>
        <v/>
      </c>
      <c r="V1785" s="29" t="str">
        <f t="shared" si="86"/>
        <v/>
      </c>
      <c r="W1785" s="29" t="str">
        <f>IF(U1785=1,COUNTIF($U$2:U1785,1),"")</f>
        <v/>
      </c>
      <c r="X1785" s="29" t="str">
        <f t="shared" si="87"/>
        <v/>
      </c>
      <c r="Y1785" s="29" t="str">
        <f>IF(AND(LEFT($B1785,7)="SBA 26/",$D1785&lt;&gt;"",$F1785&lt;&gt;""),COUNTIFS($D$2:$D1785,$D1785,$B$2:$B1785,"SBA 26/*",$F$2:$F1785,"&lt;&gt;"),"")</f>
        <v/>
      </c>
      <c r="Z1785" s="29" t="str">
        <f>IF(Y1785=1,COUNTIF($Y$2:Y1785,1),"")</f>
        <v/>
      </c>
      <c r="AA1785" s="29" t="str">
        <f>IF(AND(LEFT($B1785,7)="SBA 26/",$C1785&lt;&gt;"",$F1785&lt;&gt;""),COUNTIFS($C$2:$C1785,$C1785,$B$2:$B1785,"SBA 26/*",$F$2:$F1785,"&lt;&gt;"),"")</f>
        <v/>
      </c>
      <c r="AB1785" s="29" t="str">
        <f>IF(AA1785=1,COUNTIF($AA$2:AA1785,1),"")</f>
        <v/>
      </c>
    </row>
    <row r="1786" spans="6:28" ht="47.25" customHeight="1" x14ac:dyDescent="0.2">
      <c r="F1786" s="45" t="s">
        <v>4462</v>
      </c>
      <c r="T1786" s="41"/>
      <c r="U1786" s="29" t="str">
        <f>IF($C1786&lt;&gt;"",COUNTIF($C$2:C1786,C1786),"")</f>
        <v/>
      </c>
      <c r="V1786" s="29" t="str">
        <f t="shared" si="86"/>
        <v/>
      </c>
      <c r="W1786" s="29" t="str">
        <f>IF(U1786=1,COUNTIF($U$2:U1786,1),"")</f>
        <v/>
      </c>
      <c r="X1786" s="29" t="str">
        <f t="shared" si="87"/>
        <v/>
      </c>
      <c r="Y1786" s="29" t="str">
        <f>IF(AND(LEFT($B1786,7)="SBA 26/",$D1786&lt;&gt;"",$F1786&lt;&gt;""),COUNTIFS($D$2:$D1786,$D1786,$B$2:$B1786,"SBA 26/*",$F$2:$F1786,"&lt;&gt;"),"")</f>
        <v/>
      </c>
      <c r="Z1786" s="29" t="str">
        <f>IF(Y1786=1,COUNTIF($Y$2:Y1786,1),"")</f>
        <v/>
      </c>
      <c r="AA1786" s="29" t="str">
        <f>IF(AND(LEFT($B1786,7)="SBA 26/",$C1786&lt;&gt;"",$F1786&lt;&gt;""),COUNTIFS($C$2:$C1786,$C1786,$B$2:$B1786,"SBA 26/*",$F$2:$F1786,"&lt;&gt;"),"")</f>
        <v/>
      </c>
      <c r="AB1786" s="29" t="str">
        <f>IF(AA1786=1,COUNTIF($AA$2:AA1786,1),"")</f>
        <v/>
      </c>
    </row>
    <row r="1787" spans="6:28" ht="47.25" customHeight="1" x14ac:dyDescent="0.2">
      <c r="F1787" s="45" t="s">
        <v>4463</v>
      </c>
      <c r="T1787" s="41"/>
      <c r="U1787" s="29" t="str">
        <f>IF($C1787&lt;&gt;"",COUNTIF($C$2:C1787,C1787),"")</f>
        <v/>
      </c>
      <c r="V1787" s="29" t="str">
        <f t="shared" si="86"/>
        <v/>
      </c>
      <c r="W1787" s="29" t="str">
        <f>IF(U1787=1,COUNTIF($U$2:U1787,1),"")</f>
        <v/>
      </c>
      <c r="X1787" s="29" t="str">
        <f t="shared" si="87"/>
        <v/>
      </c>
      <c r="Y1787" s="29" t="str">
        <f>IF(AND(LEFT($B1787,7)="SBA 26/",$D1787&lt;&gt;"",$F1787&lt;&gt;""),COUNTIFS($D$2:$D1787,$D1787,$B$2:$B1787,"SBA 26/*",$F$2:$F1787,"&lt;&gt;"),"")</f>
        <v/>
      </c>
      <c r="Z1787" s="29" t="str">
        <f>IF(Y1787=1,COUNTIF($Y$2:Y1787,1),"")</f>
        <v/>
      </c>
      <c r="AA1787" s="29" t="str">
        <f>IF(AND(LEFT($B1787,7)="SBA 26/",$C1787&lt;&gt;"",$F1787&lt;&gt;""),COUNTIFS($C$2:$C1787,$C1787,$B$2:$B1787,"SBA 26/*",$F$2:$F1787,"&lt;&gt;"),"")</f>
        <v/>
      </c>
      <c r="AB1787" s="29" t="str">
        <f>IF(AA1787=1,COUNTIF($AA$2:AA1787,1),"")</f>
        <v/>
      </c>
    </row>
    <row r="1788" spans="6:28" ht="63" customHeight="1" x14ac:dyDescent="0.2">
      <c r="F1788" s="45" t="s">
        <v>4464</v>
      </c>
      <c r="T1788" s="41"/>
      <c r="U1788" s="29" t="str">
        <f>IF($C1788&lt;&gt;"",COUNTIF($C$2:C1788,C1788),"")</f>
        <v/>
      </c>
      <c r="V1788" s="29" t="str">
        <f t="shared" si="86"/>
        <v/>
      </c>
      <c r="W1788" s="29" t="str">
        <f>IF(U1788=1,COUNTIF($U$2:U1788,1),"")</f>
        <v/>
      </c>
      <c r="X1788" s="29" t="str">
        <f t="shared" si="87"/>
        <v/>
      </c>
      <c r="Y1788" s="29" t="str">
        <f>IF(AND(LEFT($B1788,7)="SBA 26/",$D1788&lt;&gt;"",$F1788&lt;&gt;""),COUNTIFS($D$2:$D1788,$D1788,$B$2:$B1788,"SBA 26/*",$F$2:$F1788,"&lt;&gt;"),"")</f>
        <v/>
      </c>
      <c r="Z1788" s="29" t="str">
        <f>IF(Y1788=1,COUNTIF($Y$2:Y1788,1),"")</f>
        <v/>
      </c>
      <c r="AA1788" s="29" t="str">
        <f>IF(AND(LEFT($B1788,7)="SBA 26/",$C1788&lt;&gt;"",$F1788&lt;&gt;""),COUNTIFS($C$2:$C1788,$C1788,$B$2:$B1788,"SBA 26/*",$F$2:$F1788,"&lt;&gt;"),"")</f>
        <v/>
      </c>
      <c r="AB1788" s="29" t="str">
        <f>IF(AA1788=1,COUNTIF($AA$2:AA1788,1),"")</f>
        <v/>
      </c>
    </row>
    <row r="1789" spans="6:28" ht="31.5" customHeight="1" x14ac:dyDescent="0.2">
      <c r="F1789" s="45" t="s">
        <v>4465</v>
      </c>
      <c r="T1789" s="41"/>
      <c r="U1789" s="29" t="str">
        <f>IF($C1789&lt;&gt;"",COUNTIF($C$2:C1789,C1789),"")</f>
        <v/>
      </c>
      <c r="V1789" s="29" t="str">
        <f t="shared" si="86"/>
        <v/>
      </c>
      <c r="W1789" s="29" t="str">
        <f>IF(U1789=1,COUNTIF($U$2:U1789,1),"")</f>
        <v/>
      </c>
      <c r="X1789" s="29" t="str">
        <f t="shared" si="87"/>
        <v/>
      </c>
      <c r="Y1789" s="29" t="str">
        <f>IF(AND(LEFT($B1789,7)="SBA 26/",$D1789&lt;&gt;"",$F1789&lt;&gt;""),COUNTIFS($D$2:$D1789,$D1789,$B$2:$B1789,"SBA 26/*",$F$2:$F1789,"&lt;&gt;"),"")</f>
        <v/>
      </c>
      <c r="Z1789" s="29" t="str">
        <f>IF(Y1789=1,COUNTIF($Y$2:Y1789,1),"")</f>
        <v/>
      </c>
      <c r="AA1789" s="29" t="str">
        <f>IF(AND(LEFT($B1789,7)="SBA 26/",$C1789&lt;&gt;"",$F1789&lt;&gt;""),COUNTIFS($C$2:$C1789,$C1789,$B$2:$B1789,"SBA 26/*",$F$2:$F1789,"&lt;&gt;"),"")</f>
        <v/>
      </c>
      <c r="AB1789" s="29" t="str">
        <f>IF(AA1789=1,COUNTIF($AA$2:AA1789,1),"")</f>
        <v/>
      </c>
    </row>
    <row r="1790" spans="6:28" ht="47.25" customHeight="1" x14ac:dyDescent="0.2">
      <c r="F1790" s="45" t="s">
        <v>4466</v>
      </c>
      <c r="T1790" s="41"/>
      <c r="U1790" s="29" t="str">
        <f>IF($C1790&lt;&gt;"",COUNTIF($C$2:C1790,C1790),"")</f>
        <v/>
      </c>
      <c r="V1790" s="29" t="str">
        <f t="shared" si="86"/>
        <v/>
      </c>
      <c r="W1790" s="29" t="str">
        <f>IF(U1790=1,COUNTIF($U$2:U1790,1),"")</f>
        <v/>
      </c>
      <c r="X1790" s="29" t="str">
        <f t="shared" si="87"/>
        <v/>
      </c>
      <c r="Y1790" s="29" t="str">
        <f>IF(AND(LEFT($B1790,7)="SBA 26/",$D1790&lt;&gt;"",$F1790&lt;&gt;""),COUNTIFS($D$2:$D1790,$D1790,$B$2:$B1790,"SBA 26/*",$F$2:$F1790,"&lt;&gt;"),"")</f>
        <v/>
      </c>
      <c r="Z1790" s="29" t="str">
        <f>IF(Y1790=1,COUNTIF($Y$2:Y1790,1),"")</f>
        <v/>
      </c>
      <c r="AA1790" s="29" t="str">
        <f>IF(AND(LEFT($B1790,7)="SBA 26/",$C1790&lt;&gt;"",$F1790&lt;&gt;""),COUNTIFS($C$2:$C1790,$C1790,$B$2:$B1790,"SBA 26/*",$F$2:$F1790,"&lt;&gt;"),"")</f>
        <v/>
      </c>
      <c r="AB1790" s="29" t="str">
        <f>IF(AA1790=1,COUNTIF($AA$2:AA1790,1),"")</f>
        <v/>
      </c>
    </row>
    <row r="1791" spans="6:28" ht="47.25" customHeight="1" x14ac:dyDescent="0.2">
      <c r="F1791" s="45" t="s">
        <v>4467</v>
      </c>
      <c r="T1791" s="41"/>
      <c r="U1791" s="29" t="str">
        <f>IF($C1791&lt;&gt;"",COUNTIF($C$2:C1791,C1791),"")</f>
        <v/>
      </c>
      <c r="V1791" s="29" t="str">
        <f t="shared" si="86"/>
        <v/>
      </c>
      <c r="W1791" s="29" t="str">
        <f>IF(U1791=1,COUNTIF($U$2:U1791,1),"")</f>
        <v/>
      </c>
      <c r="X1791" s="29" t="str">
        <f t="shared" si="87"/>
        <v/>
      </c>
      <c r="Y1791" s="29" t="str">
        <f>IF(AND(LEFT($B1791,7)="SBA 26/",$D1791&lt;&gt;"",$F1791&lt;&gt;""),COUNTIFS($D$2:$D1791,$D1791,$B$2:$B1791,"SBA 26/*",$F$2:$F1791,"&lt;&gt;"),"")</f>
        <v/>
      </c>
      <c r="Z1791" s="29" t="str">
        <f>IF(Y1791=1,COUNTIF($Y$2:Y1791,1),"")</f>
        <v/>
      </c>
      <c r="AA1791" s="29" t="str">
        <f>IF(AND(LEFT($B1791,7)="SBA 26/",$C1791&lt;&gt;"",$F1791&lt;&gt;""),COUNTIFS($C$2:$C1791,$C1791,$B$2:$B1791,"SBA 26/*",$F$2:$F1791,"&lt;&gt;"),"")</f>
        <v/>
      </c>
      <c r="AB1791" s="29" t="str">
        <f>IF(AA1791=1,COUNTIF($AA$2:AA1791,1),"")</f>
        <v/>
      </c>
    </row>
    <row r="1792" spans="6:28" ht="47.25" customHeight="1" x14ac:dyDescent="0.2">
      <c r="F1792" s="45" t="s">
        <v>4468</v>
      </c>
      <c r="T1792" s="41"/>
      <c r="U1792" s="29" t="str">
        <f>IF($C1792&lt;&gt;"",COUNTIF($C$2:C1792,C1792),"")</f>
        <v/>
      </c>
      <c r="V1792" s="29" t="str">
        <f t="shared" si="86"/>
        <v/>
      </c>
      <c r="W1792" s="29" t="str">
        <f>IF(U1792=1,COUNTIF($U$2:U1792,1),"")</f>
        <v/>
      </c>
      <c r="X1792" s="29" t="str">
        <f t="shared" si="87"/>
        <v/>
      </c>
      <c r="Y1792" s="29" t="str">
        <f>IF(AND(LEFT($B1792,7)="SBA 26/",$D1792&lt;&gt;"",$F1792&lt;&gt;""),COUNTIFS($D$2:$D1792,$D1792,$B$2:$B1792,"SBA 26/*",$F$2:$F1792,"&lt;&gt;"),"")</f>
        <v/>
      </c>
      <c r="Z1792" s="29" t="str">
        <f>IF(Y1792=1,COUNTIF($Y$2:Y1792,1),"")</f>
        <v/>
      </c>
      <c r="AA1792" s="29" t="str">
        <f>IF(AND(LEFT($B1792,7)="SBA 26/",$C1792&lt;&gt;"",$F1792&lt;&gt;""),COUNTIFS($C$2:$C1792,$C1792,$B$2:$B1792,"SBA 26/*",$F$2:$F1792,"&lt;&gt;"),"")</f>
        <v/>
      </c>
      <c r="AB1792" s="29" t="str">
        <f>IF(AA1792=1,COUNTIF($AA$2:AA1792,1),"")</f>
        <v/>
      </c>
    </row>
    <row r="1793" spans="6:28" ht="47.25" customHeight="1" x14ac:dyDescent="0.2">
      <c r="F1793" s="45" t="s">
        <v>4469</v>
      </c>
      <c r="T1793" s="41"/>
      <c r="U1793" s="29" t="str">
        <f>IF($C1793&lt;&gt;"",COUNTIF($C$2:C1793,C1793),"")</f>
        <v/>
      </c>
      <c r="V1793" s="29" t="str">
        <f t="shared" si="86"/>
        <v/>
      </c>
      <c r="W1793" s="29" t="str">
        <f>IF(U1793=1,COUNTIF($U$2:U1793,1),"")</f>
        <v/>
      </c>
      <c r="X1793" s="29" t="str">
        <f t="shared" si="87"/>
        <v/>
      </c>
      <c r="Y1793" s="29" t="str">
        <f>IF(AND(LEFT($B1793,7)="SBA 26/",$D1793&lt;&gt;"",$F1793&lt;&gt;""),COUNTIFS($D$2:$D1793,$D1793,$B$2:$B1793,"SBA 26/*",$F$2:$F1793,"&lt;&gt;"),"")</f>
        <v/>
      </c>
      <c r="Z1793" s="29" t="str">
        <f>IF(Y1793=1,COUNTIF($Y$2:Y1793,1),"")</f>
        <v/>
      </c>
      <c r="AA1793" s="29" t="str">
        <f>IF(AND(LEFT($B1793,7)="SBA 26/",$C1793&lt;&gt;"",$F1793&lt;&gt;""),COUNTIFS($C$2:$C1793,$C1793,$B$2:$B1793,"SBA 26/*",$F$2:$F1793,"&lt;&gt;"),"")</f>
        <v/>
      </c>
      <c r="AB1793" s="29" t="str">
        <f>IF(AA1793=1,COUNTIF($AA$2:AA1793,1),"")</f>
        <v/>
      </c>
    </row>
    <row r="1794" spans="6:28" ht="47.25" customHeight="1" x14ac:dyDescent="0.2">
      <c r="F1794" s="45" t="s">
        <v>4470</v>
      </c>
      <c r="T1794" s="41"/>
      <c r="U1794" s="29" t="str">
        <f>IF($C1794&lt;&gt;"",COUNTIF($C$2:C1794,C1794),"")</f>
        <v/>
      </c>
      <c r="V1794" s="29" t="str">
        <f t="shared" ref="V1794:V1833" si="88">IF($C1794&lt;&gt;"",C1794&amp;"§"&amp;U1794,"")</f>
        <v/>
      </c>
      <c r="W1794" s="29" t="str">
        <f>IF(U1794=1,COUNTIF($U$2:U1794,1),"")</f>
        <v/>
      </c>
      <c r="X1794" s="29" t="str">
        <f t="shared" si="87"/>
        <v/>
      </c>
      <c r="Y1794" s="29" t="str">
        <f>IF(AND(LEFT($B1794,7)="SBA 26/",$D1794&lt;&gt;"",$F1794&lt;&gt;""),COUNTIFS($D$2:$D1794,$D1794,$B$2:$B1794,"SBA 26/*",$F$2:$F1794,"&lt;&gt;"),"")</f>
        <v/>
      </c>
      <c r="Z1794" s="29" t="str">
        <f>IF(Y1794=1,COUNTIF($Y$2:Y1794,1),"")</f>
        <v/>
      </c>
      <c r="AA1794" s="29" t="str">
        <f>IF(AND(LEFT($B1794,7)="SBA 26/",$C1794&lt;&gt;"",$F1794&lt;&gt;""),COUNTIFS($C$2:$C1794,$C1794,$B$2:$B1794,"SBA 26/*",$F$2:$F1794,"&lt;&gt;"),"")</f>
        <v/>
      </c>
      <c r="AB1794" s="29" t="str">
        <f>IF(AA1794=1,COUNTIF($AA$2:AA1794,1),"")</f>
        <v/>
      </c>
    </row>
    <row r="1795" spans="6:28" ht="47.25" customHeight="1" x14ac:dyDescent="0.2">
      <c r="F1795" s="45" t="s">
        <v>4471</v>
      </c>
      <c r="T1795" s="41"/>
      <c r="U1795" s="29" t="str">
        <f>IF($C1795&lt;&gt;"",COUNTIF($C$2:C1795,C1795),"")</f>
        <v/>
      </c>
      <c r="V1795" s="29" t="str">
        <f t="shared" si="88"/>
        <v/>
      </c>
      <c r="W1795" s="29" t="str">
        <f>IF(U1795=1,COUNTIF($U$2:U1795,1),"")</f>
        <v/>
      </c>
      <c r="X1795" s="29" t="str">
        <f t="shared" si="87"/>
        <v/>
      </c>
      <c r="Y1795" s="29" t="str">
        <f>IF(AND(LEFT($B1795,7)="SBA 26/",$D1795&lt;&gt;"",$F1795&lt;&gt;""),COUNTIFS($D$2:$D1795,$D1795,$B$2:$B1795,"SBA 26/*",$F$2:$F1795,"&lt;&gt;"),"")</f>
        <v/>
      </c>
      <c r="Z1795" s="29" t="str">
        <f>IF(Y1795=1,COUNTIF($Y$2:Y1795,1),"")</f>
        <v/>
      </c>
      <c r="AA1795" s="29" t="str">
        <f>IF(AND(LEFT($B1795,7)="SBA 26/",$C1795&lt;&gt;"",$F1795&lt;&gt;""),COUNTIFS($C$2:$C1795,$C1795,$B$2:$B1795,"SBA 26/*",$F$2:$F1795,"&lt;&gt;"),"")</f>
        <v/>
      </c>
      <c r="AB1795" s="29" t="str">
        <f>IF(AA1795=1,COUNTIF($AA$2:AA1795,1),"")</f>
        <v/>
      </c>
    </row>
    <row r="1796" spans="6:28" ht="47.25" customHeight="1" x14ac:dyDescent="0.2">
      <c r="F1796" s="45" t="s">
        <v>4472</v>
      </c>
      <c r="T1796" s="41"/>
      <c r="U1796" s="29" t="str">
        <f>IF($C1796&lt;&gt;"",COUNTIF($C$2:C1796,C1796),"")</f>
        <v/>
      </c>
      <c r="V1796" s="29" t="str">
        <f t="shared" si="88"/>
        <v/>
      </c>
      <c r="W1796" s="29" t="str">
        <f>IF(U1796=1,COUNTIF($U$2:U1796,1),"")</f>
        <v/>
      </c>
      <c r="X1796" s="29" t="str">
        <f t="shared" si="87"/>
        <v/>
      </c>
      <c r="Y1796" s="29" t="str">
        <f>IF(AND(LEFT($B1796,7)="SBA 26/",$D1796&lt;&gt;"",$F1796&lt;&gt;""),COUNTIFS($D$2:$D1796,$D1796,$B$2:$B1796,"SBA 26/*",$F$2:$F1796,"&lt;&gt;"),"")</f>
        <v/>
      </c>
      <c r="Z1796" s="29" t="str">
        <f>IF(Y1796=1,COUNTIF($Y$2:Y1796,1),"")</f>
        <v/>
      </c>
      <c r="AA1796" s="29" t="str">
        <f>IF(AND(LEFT($B1796,7)="SBA 26/",$C1796&lt;&gt;"",$F1796&lt;&gt;""),COUNTIFS($C$2:$C1796,$C1796,$B$2:$B1796,"SBA 26/*",$F$2:$F1796,"&lt;&gt;"),"")</f>
        <v/>
      </c>
      <c r="AB1796" s="29" t="str">
        <f>IF(AA1796=1,COUNTIF($AA$2:AA1796,1),"")</f>
        <v/>
      </c>
    </row>
    <row r="1797" spans="6:28" ht="47.25" customHeight="1" x14ac:dyDescent="0.2">
      <c r="F1797" s="45" t="s">
        <v>4473</v>
      </c>
      <c r="T1797" s="41"/>
      <c r="U1797" s="29" t="str">
        <f>IF($C1797&lt;&gt;"",COUNTIF($C$2:C1797,C1797),"")</f>
        <v/>
      </c>
      <c r="V1797" s="29" t="str">
        <f t="shared" si="88"/>
        <v/>
      </c>
      <c r="W1797" s="29" t="str">
        <f>IF(U1797=1,COUNTIF($U$2:U1797,1),"")</f>
        <v/>
      </c>
      <c r="X1797" s="29" t="str">
        <f t="shared" si="87"/>
        <v/>
      </c>
      <c r="Y1797" s="29" t="str">
        <f>IF(AND(LEFT($B1797,7)="SBA 26/",$D1797&lt;&gt;"",$F1797&lt;&gt;""),COUNTIFS($D$2:$D1797,$D1797,$B$2:$B1797,"SBA 26/*",$F$2:$F1797,"&lt;&gt;"),"")</f>
        <v/>
      </c>
      <c r="Z1797" s="29" t="str">
        <f>IF(Y1797=1,COUNTIF($Y$2:Y1797,1),"")</f>
        <v/>
      </c>
      <c r="AA1797" s="29" t="str">
        <f>IF(AND(LEFT($B1797,7)="SBA 26/",$C1797&lt;&gt;"",$F1797&lt;&gt;""),COUNTIFS($C$2:$C1797,$C1797,$B$2:$B1797,"SBA 26/*",$F$2:$F1797,"&lt;&gt;"),"")</f>
        <v/>
      </c>
      <c r="AB1797" s="29" t="str">
        <f>IF(AA1797=1,COUNTIF($AA$2:AA1797,1),"")</f>
        <v/>
      </c>
    </row>
    <row r="1798" spans="6:28" ht="47.25" customHeight="1" x14ac:dyDescent="0.2">
      <c r="F1798" s="45" t="s">
        <v>4474</v>
      </c>
      <c r="T1798" s="41"/>
      <c r="U1798" s="29" t="str">
        <f>IF($C1798&lt;&gt;"",COUNTIF($C$2:C1798,C1798),"")</f>
        <v/>
      </c>
      <c r="V1798" s="29" t="str">
        <f t="shared" si="88"/>
        <v/>
      </c>
      <c r="W1798" s="29" t="str">
        <f>IF(U1798=1,COUNTIF($U$2:U1798,1),"")</f>
        <v/>
      </c>
      <c r="X1798" s="29" t="str">
        <f t="shared" si="87"/>
        <v/>
      </c>
      <c r="Y1798" s="29" t="str">
        <f>IF(AND(LEFT($B1798,7)="SBA 26/",$D1798&lt;&gt;"",$F1798&lt;&gt;""),COUNTIFS($D$2:$D1798,$D1798,$B$2:$B1798,"SBA 26/*",$F$2:$F1798,"&lt;&gt;"),"")</f>
        <v/>
      </c>
      <c r="Z1798" s="29" t="str">
        <f>IF(Y1798=1,COUNTIF($Y$2:Y1798,1),"")</f>
        <v/>
      </c>
      <c r="AA1798" s="29" t="str">
        <f>IF(AND(LEFT($B1798,7)="SBA 26/",$C1798&lt;&gt;"",$F1798&lt;&gt;""),COUNTIFS($C$2:$C1798,$C1798,$B$2:$B1798,"SBA 26/*",$F$2:$F1798,"&lt;&gt;"),"")</f>
        <v/>
      </c>
      <c r="AB1798" s="29" t="str">
        <f>IF(AA1798=1,COUNTIF($AA$2:AA1798,1),"")</f>
        <v/>
      </c>
    </row>
    <row r="1799" spans="6:28" ht="47.25" customHeight="1" x14ac:dyDescent="0.2">
      <c r="F1799" s="45" t="s">
        <v>4475</v>
      </c>
      <c r="T1799" s="41"/>
      <c r="U1799" s="29" t="str">
        <f>IF($C1799&lt;&gt;"",COUNTIF($C$2:C1799,C1799),"")</f>
        <v/>
      </c>
      <c r="V1799" s="29" t="str">
        <f t="shared" si="88"/>
        <v/>
      </c>
      <c r="W1799" s="29" t="str">
        <f>IF(U1799=1,COUNTIF($U$2:U1799,1),"")</f>
        <v/>
      </c>
      <c r="X1799" s="29" t="str">
        <f t="shared" si="87"/>
        <v/>
      </c>
      <c r="Y1799" s="29" t="str">
        <f>IF(AND(LEFT($B1799,7)="SBA 26/",$D1799&lt;&gt;"",$F1799&lt;&gt;""),COUNTIFS($D$2:$D1799,$D1799,$B$2:$B1799,"SBA 26/*",$F$2:$F1799,"&lt;&gt;"),"")</f>
        <v/>
      </c>
      <c r="Z1799" s="29" t="str">
        <f>IF(Y1799=1,COUNTIF($Y$2:Y1799,1),"")</f>
        <v/>
      </c>
      <c r="AA1799" s="29" t="str">
        <f>IF(AND(LEFT($B1799,7)="SBA 26/",$C1799&lt;&gt;"",$F1799&lt;&gt;""),COUNTIFS($C$2:$C1799,$C1799,$B$2:$B1799,"SBA 26/*",$F$2:$F1799,"&lt;&gt;"),"")</f>
        <v/>
      </c>
      <c r="AB1799" s="29" t="str">
        <f>IF(AA1799=1,COUNTIF($AA$2:AA1799,1),"")</f>
        <v/>
      </c>
    </row>
    <row r="1800" spans="6:28" ht="47.25" customHeight="1" x14ac:dyDescent="0.2">
      <c r="F1800" s="45" t="s">
        <v>4476</v>
      </c>
      <c r="T1800" s="41"/>
      <c r="U1800" s="29" t="str">
        <f>IF($C1800&lt;&gt;"",COUNTIF($C$2:C1800,C1800),"")</f>
        <v/>
      </c>
      <c r="V1800" s="29" t="str">
        <f t="shared" si="88"/>
        <v/>
      </c>
      <c r="W1800" s="29" t="str">
        <f>IF(U1800=1,COUNTIF($U$2:U1800,1),"")</f>
        <v/>
      </c>
      <c r="X1800" s="29" t="str">
        <f t="shared" si="87"/>
        <v/>
      </c>
      <c r="Y1800" s="29" t="str">
        <f>IF(AND(LEFT($B1800,7)="SBA 26/",$D1800&lt;&gt;"",$F1800&lt;&gt;""),COUNTIFS($D$2:$D1800,$D1800,$B$2:$B1800,"SBA 26/*",$F$2:$F1800,"&lt;&gt;"),"")</f>
        <v/>
      </c>
      <c r="Z1800" s="29" t="str">
        <f>IF(Y1800=1,COUNTIF($Y$2:Y1800,1),"")</f>
        <v/>
      </c>
      <c r="AA1800" s="29" t="str">
        <f>IF(AND(LEFT($B1800,7)="SBA 26/",$C1800&lt;&gt;"",$F1800&lt;&gt;""),COUNTIFS($C$2:$C1800,$C1800,$B$2:$B1800,"SBA 26/*",$F$2:$F1800,"&lt;&gt;"),"")</f>
        <v/>
      </c>
      <c r="AB1800" s="29" t="str">
        <f>IF(AA1800=1,COUNTIF($AA$2:AA1800,1),"")</f>
        <v/>
      </c>
    </row>
    <row r="1801" spans="6:28" ht="31.5" customHeight="1" x14ac:dyDescent="0.2">
      <c r="F1801" s="45" t="s">
        <v>4477</v>
      </c>
      <c r="T1801" s="41"/>
      <c r="U1801" s="29" t="str">
        <f>IF($C1801&lt;&gt;"",COUNTIF($C$2:C1801,C1801),"")</f>
        <v/>
      </c>
      <c r="V1801" s="29" t="str">
        <f t="shared" si="88"/>
        <v/>
      </c>
      <c r="W1801" s="29" t="str">
        <f>IF(U1801=1,COUNTIF($U$2:U1801,1),"")</f>
        <v/>
      </c>
      <c r="X1801" s="29" t="str">
        <f t="shared" si="87"/>
        <v/>
      </c>
      <c r="Y1801" s="29" t="str">
        <f>IF(AND(LEFT($B1801,7)="SBA 26/",$D1801&lt;&gt;"",$F1801&lt;&gt;""),COUNTIFS($D$2:$D1801,$D1801,$B$2:$B1801,"SBA 26/*",$F$2:$F1801,"&lt;&gt;"),"")</f>
        <v/>
      </c>
      <c r="Z1801" s="29" t="str">
        <f>IF(Y1801=1,COUNTIF($Y$2:Y1801,1),"")</f>
        <v/>
      </c>
      <c r="AA1801" s="29" t="str">
        <f>IF(AND(LEFT($B1801,7)="SBA 26/",$C1801&lt;&gt;"",$F1801&lt;&gt;""),COUNTIFS($C$2:$C1801,$C1801,$B$2:$B1801,"SBA 26/*",$F$2:$F1801,"&lt;&gt;"),"")</f>
        <v/>
      </c>
      <c r="AB1801" s="29" t="str">
        <f>IF(AA1801=1,COUNTIF($AA$2:AA1801,1),"")</f>
        <v/>
      </c>
    </row>
    <row r="1802" spans="6:28" ht="47.25" customHeight="1" x14ac:dyDescent="0.2">
      <c r="F1802" s="45" t="s">
        <v>4478</v>
      </c>
      <c r="T1802" s="41"/>
      <c r="U1802" s="29" t="str">
        <f>IF($C1802&lt;&gt;"",COUNTIF($C$2:C1802,C1802),"")</f>
        <v/>
      </c>
      <c r="V1802" s="29" t="str">
        <f t="shared" si="88"/>
        <v/>
      </c>
      <c r="W1802" s="29" t="str">
        <f>IF(U1802=1,COUNTIF($U$2:U1802,1),"")</f>
        <v/>
      </c>
      <c r="X1802" s="29" t="str">
        <f t="shared" si="87"/>
        <v/>
      </c>
      <c r="Y1802" s="29" t="str">
        <f>IF(AND(LEFT($B1802,7)="SBA 26/",$D1802&lt;&gt;"",$F1802&lt;&gt;""),COUNTIFS($D$2:$D1802,$D1802,$B$2:$B1802,"SBA 26/*",$F$2:$F1802,"&lt;&gt;"),"")</f>
        <v/>
      </c>
      <c r="Z1802" s="29" t="str">
        <f>IF(Y1802=1,COUNTIF($Y$2:Y1802,1),"")</f>
        <v/>
      </c>
      <c r="AA1802" s="29" t="str">
        <f>IF(AND(LEFT($B1802,7)="SBA 26/",$C1802&lt;&gt;"",$F1802&lt;&gt;""),COUNTIFS($C$2:$C1802,$C1802,$B$2:$B1802,"SBA 26/*",$F$2:$F1802,"&lt;&gt;"),"")</f>
        <v/>
      </c>
      <c r="AB1802" s="29" t="str">
        <f>IF(AA1802=1,COUNTIF($AA$2:AA1802,1),"")</f>
        <v/>
      </c>
    </row>
    <row r="1803" spans="6:28" ht="31.5" customHeight="1" x14ac:dyDescent="0.2">
      <c r="F1803" s="45" t="s">
        <v>4479</v>
      </c>
      <c r="T1803" s="41"/>
      <c r="U1803" s="29" t="str">
        <f>IF($C1803&lt;&gt;"",COUNTIF($C$2:C1803,C1803),"")</f>
        <v/>
      </c>
      <c r="V1803" s="29" t="str">
        <f t="shared" si="88"/>
        <v/>
      </c>
      <c r="W1803" s="29" t="str">
        <f>IF(U1803=1,COUNTIF($U$2:U1803,1),"")</f>
        <v/>
      </c>
      <c r="X1803" s="29" t="str">
        <f t="shared" si="87"/>
        <v/>
      </c>
      <c r="Y1803" s="29" t="str">
        <f>IF(AND(LEFT($B1803,7)="SBA 26/",$D1803&lt;&gt;"",$F1803&lt;&gt;""),COUNTIFS($D$2:$D1803,$D1803,$B$2:$B1803,"SBA 26/*",$F$2:$F1803,"&lt;&gt;"),"")</f>
        <v/>
      </c>
      <c r="Z1803" s="29" t="str">
        <f>IF(Y1803=1,COUNTIF($Y$2:Y1803,1),"")</f>
        <v/>
      </c>
      <c r="AA1803" s="29" t="str">
        <f>IF(AND(LEFT($B1803,7)="SBA 26/",$C1803&lt;&gt;"",$F1803&lt;&gt;""),COUNTIFS($C$2:$C1803,$C1803,$B$2:$B1803,"SBA 26/*",$F$2:$F1803,"&lt;&gt;"),"")</f>
        <v/>
      </c>
      <c r="AB1803" s="29" t="str">
        <f>IF(AA1803=1,COUNTIF($AA$2:AA1803,1),"")</f>
        <v/>
      </c>
    </row>
    <row r="1804" spans="6:28" ht="47.25" customHeight="1" x14ac:dyDescent="0.2">
      <c r="F1804" s="45" t="s">
        <v>4480</v>
      </c>
      <c r="T1804" s="41"/>
      <c r="U1804" s="29" t="str">
        <f>IF($C1804&lt;&gt;"",COUNTIF($C$2:C1804,C1804),"")</f>
        <v/>
      </c>
      <c r="V1804" s="29" t="str">
        <f t="shared" si="88"/>
        <v/>
      </c>
      <c r="W1804" s="29" t="str">
        <f>IF(U1804=1,COUNTIF($U$2:U1804,1),"")</f>
        <v/>
      </c>
      <c r="X1804" s="29" t="str">
        <f t="shared" si="87"/>
        <v/>
      </c>
      <c r="Y1804" s="29" t="str">
        <f>IF(AND(LEFT($B1804,7)="SBA 26/",$D1804&lt;&gt;"",$F1804&lt;&gt;""),COUNTIFS($D$2:$D1804,$D1804,$B$2:$B1804,"SBA 26/*",$F$2:$F1804,"&lt;&gt;"),"")</f>
        <v/>
      </c>
      <c r="Z1804" s="29" t="str">
        <f>IF(Y1804=1,COUNTIF($Y$2:Y1804,1),"")</f>
        <v/>
      </c>
      <c r="AA1804" s="29" t="str">
        <f>IF(AND(LEFT($B1804,7)="SBA 26/",$C1804&lt;&gt;"",$F1804&lt;&gt;""),COUNTIFS($C$2:$C1804,$C1804,$B$2:$B1804,"SBA 26/*",$F$2:$F1804,"&lt;&gt;"),"")</f>
        <v/>
      </c>
      <c r="AB1804" s="29" t="str">
        <f>IF(AA1804=1,COUNTIF($AA$2:AA1804,1),"")</f>
        <v/>
      </c>
    </row>
    <row r="1805" spans="6:28" ht="47.25" customHeight="1" x14ac:dyDescent="0.2">
      <c r="F1805" s="45" t="s">
        <v>4481</v>
      </c>
      <c r="T1805" s="41"/>
      <c r="U1805" s="29" t="str">
        <f>IF($C1805&lt;&gt;"",COUNTIF($C$2:C1805,C1805),"")</f>
        <v/>
      </c>
      <c r="V1805" s="29" t="str">
        <f t="shared" si="88"/>
        <v/>
      </c>
      <c r="W1805" s="29" t="str">
        <f>IF(U1805=1,COUNTIF($U$2:U1805,1),"")</f>
        <v/>
      </c>
      <c r="X1805" s="29" t="str">
        <f t="shared" si="87"/>
        <v/>
      </c>
      <c r="Y1805" s="29" t="str">
        <f>IF(AND(LEFT($B1805,7)="SBA 26/",$D1805&lt;&gt;"",$F1805&lt;&gt;""),COUNTIFS($D$2:$D1805,$D1805,$B$2:$B1805,"SBA 26/*",$F$2:$F1805,"&lt;&gt;"),"")</f>
        <v/>
      </c>
      <c r="Z1805" s="29" t="str">
        <f>IF(Y1805=1,COUNTIF($Y$2:Y1805,1),"")</f>
        <v/>
      </c>
      <c r="AA1805" s="29" t="str">
        <f>IF(AND(LEFT($B1805,7)="SBA 26/",$C1805&lt;&gt;"",$F1805&lt;&gt;""),COUNTIFS($C$2:$C1805,$C1805,$B$2:$B1805,"SBA 26/*",$F$2:$F1805,"&lt;&gt;"),"")</f>
        <v/>
      </c>
      <c r="AB1805" s="29" t="str">
        <f>IF(AA1805=1,COUNTIF($AA$2:AA1805,1),"")</f>
        <v/>
      </c>
    </row>
    <row r="1806" spans="6:28" ht="31.5" customHeight="1" x14ac:dyDescent="0.2">
      <c r="F1806" s="45" t="s">
        <v>4482</v>
      </c>
      <c r="T1806" s="41"/>
      <c r="U1806" s="29" t="str">
        <f>IF($C1806&lt;&gt;"",COUNTIF($C$2:C1806,C1806),"")</f>
        <v/>
      </c>
      <c r="V1806" s="29" t="str">
        <f t="shared" si="88"/>
        <v/>
      </c>
      <c r="W1806" s="29" t="str">
        <f>IF(U1806=1,COUNTIF($U$2:U1806,1),"")</f>
        <v/>
      </c>
      <c r="X1806" s="29" t="str">
        <f t="shared" si="87"/>
        <v/>
      </c>
      <c r="Y1806" s="29" t="str">
        <f>IF(AND(LEFT($B1806,7)="SBA 26/",$D1806&lt;&gt;"",$F1806&lt;&gt;""),COUNTIFS($D$2:$D1806,$D1806,$B$2:$B1806,"SBA 26/*",$F$2:$F1806,"&lt;&gt;"),"")</f>
        <v/>
      </c>
      <c r="Z1806" s="29" t="str">
        <f>IF(Y1806=1,COUNTIF($Y$2:Y1806,1),"")</f>
        <v/>
      </c>
      <c r="AA1806" s="29" t="str">
        <f>IF(AND(LEFT($B1806,7)="SBA 26/",$C1806&lt;&gt;"",$F1806&lt;&gt;""),COUNTIFS($C$2:$C1806,$C1806,$B$2:$B1806,"SBA 26/*",$F$2:$F1806,"&lt;&gt;"),"")</f>
        <v/>
      </c>
      <c r="AB1806" s="29" t="str">
        <f>IF(AA1806=1,COUNTIF($AA$2:AA1806,1),"")</f>
        <v/>
      </c>
    </row>
    <row r="1807" spans="6:28" ht="47.25" customHeight="1" x14ac:dyDescent="0.2">
      <c r="F1807" s="45" t="s">
        <v>4483</v>
      </c>
      <c r="T1807" s="41"/>
      <c r="U1807" s="29" t="str">
        <f>IF($C1807&lt;&gt;"",COUNTIF($C$2:C1807,C1807),"")</f>
        <v/>
      </c>
      <c r="V1807" s="29" t="str">
        <f t="shared" si="88"/>
        <v/>
      </c>
      <c r="W1807" s="29" t="str">
        <f>IF(U1807=1,COUNTIF($U$2:U1807,1),"")</f>
        <v/>
      </c>
      <c r="X1807" s="29" t="str">
        <f t="shared" si="87"/>
        <v/>
      </c>
      <c r="Y1807" s="29" t="str">
        <f>IF(AND(LEFT($B1807,7)="SBA 26/",$D1807&lt;&gt;"",$F1807&lt;&gt;""),COUNTIFS($D$2:$D1807,$D1807,$B$2:$B1807,"SBA 26/*",$F$2:$F1807,"&lt;&gt;"),"")</f>
        <v/>
      </c>
      <c r="Z1807" s="29" t="str">
        <f>IF(Y1807=1,COUNTIF($Y$2:Y1807,1),"")</f>
        <v/>
      </c>
      <c r="AA1807" s="29" t="str">
        <f>IF(AND(LEFT($B1807,7)="SBA 26/",$C1807&lt;&gt;"",$F1807&lt;&gt;""),COUNTIFS($C$2:$C1807,$C1807,$B$2:$B1807,"SBA 26/*",$F$2:$F1807,"&lt;&gt;"),"")</f>
        <v/>
      </c>
      <c r="AB1807" s="29" t="str">
        <f>IF(AA1807=1,COUNTIF($AA$2:AA1807,1),"")</f>
        <v/>
      </c>
    </row>
    <row r="1808" spans="6:28" ht="47.25" customHeight="1" x14ac:dyDescent="0.2">
      <c r="F1808" s="45" t="s">
        <v>4484</v>
      </c>
      <c r="T1808" s="41"/>
      <c r="U1808" s="29" t="str">
        <f>IF($C1808&lt;&gt;"",COUNTIF($C$2:C1808,C1808),"")</f>
        <v/>
      </c>
      <c r="V1808" s="29" t="str">
        <f t="shared" si="88"/>
        <v/>
      </c>
      <c r="W1808" s="29" t="str">
        <f>IF(U1808=1,COUNTIF($U$2:U1808,1),"")</f>
        <v/>
      </c>
      <c r="X1808" s="29" t="str">
        <f t="shared" si="87"/>
        <v/>
      </c>
      <c r="Y1808" s="29" t="str">
        <f>IF(AND(LEFT($B1808,7)="SBA 26/",$D1808&lt;&gt;"",$F1808&lt;&gt;""),COUNTIFS($D$2:$D1808,$D1808,$B$2:$B1808,"SBA 26/*",$F$2:$F1808,"&lt;&gt;"),"")</f>
        <v/>
      </c>
      <c r="Z1808" s="29" t="str">
        <f>IF(Y1808=1,COUNTIF($Y$2:Y1808,1),"")</f>
        <v/>
      </c>
      <c r="AA1808" s="29" t="str">
        <f>IF(AND(LEFT($B1808,7)="SBA 26/",$C1808&lt;&gt;"",$F1808&lt;&gt;""),COUNTIFS($C$2:$C1808,$C1808,$B$2:$B1808,"SBA 26/*",$F$2:$F1808,"&lt;&gt;"),"")</f>
        <v/>
      </c>
      <c r="AB1808" s="29" t="str">
        <f>IF(AA1808=1,COUNTIF($AA$2:AA1808,1),"")</f>
        <v/>
      </c>
    </row>
    <row r="1809" spans="6:28" ht="47.25" customHeight="1" x14ac:dyDescent="0.2">
      <c r="F1809" s="45" t="s">
        <v>4485</v>
      </c>
      <c r="T1809" s="41"/>
      <c r="U1809" s="29" t="str">
        <f>IF($C1809&lt;&gt;"",COUNTIF($C$2:C1809,C1809),"")</f>
        <v/>
      </c>
      <c r="V1809" s="29" t="str">
        <f t="shared" si="88"/>
        <v/>
      </c>
      <c r="W1809" s="29" t="str">
        <f>IF(U1809=1,COUNTIF($U$2:U1809,1),"")</f>
        <v/>
      </c>
      <c r="X1809" s="29" t="str">
        <f t="shared" si="87"/>
        <v/>
      </c>
      <c r="Y1809" s="29" t="str">
        <f>IF(AND(LEFT($B1809,7)="SBA 26/",$D1809&lt;&gt;"",$F1809&lt;&gt;""),COUNTIFS($D$2:$D1809,$D1809,$B$2:$B1809,"SBA 26/*",$F$2:$F1809,"&lt;&gt;"),"")</f>
        <v/>
      </c>
      <c r="Z1809" s="29" t="str">
        <f>IF(Y1809=1,COUNTIF($Y$2:Y1809,1),"")</f>
        <v/>
      </c>
      <c r="AA1809" s="29" t="str">
        <f>IF(AND(LEFT($B1809,7)="SBA 26/",$C1809&lt;&gt;"",$F1809&lt;&gt;""),COUNTIFS($C$2:$C1809,$C1809,$B$2:$B1809,"SBA 26/*",$F$2:$F1809,"&lt;&gt;"),"")</f>
        <v/>
      </c>
      <c r="AB1809" s="29" t="str">
        <f>IF(AA1809=1,COUNTIF($AA$2:AA1809,1),"")</f>
        <v/>
      </c>
    </row>
    <row r="1810" spans="6:28" ht="47.25" customHeight="1" x14ac:dyDescent="0.2">
      <c r="F1810" s="45" t="s">
        <v>4486</v>
      </c>
      <c r="T1810" s="41"/>
      <c r="U1810" s="29" t="str">
        <f>IF($C1810&lt;&gt;"",COUNTIF($C$2:C1810,C1810),"")</f>
        <v/>
      </c>
      <c r="V1810" s="29" t="str">
        <f t="shared" si="88"/>
        <v/>
      </c>
      <c r="W1810" s="29" t="str">
        <f>IF(U1810=1,COUNTIF($U$2:U1810,1),"")</f>
        <v/>
      </c>
      <c r="X1810" s="29" t="str">
        <f t="shared" si="87"/>
        <v/>
      </c>
      <c r="Y1810" s="29" t="str">
        <f>IF(AND(LEFT($B1810,7)="SBA 26/",$D1810&lt;&gt;"",$F1810&lt;&gt;""),COUNTIFS($D$2:$D1810,$D1810,$B$2:$B1810,"SBA 26/*",$F$2:$F1810,"&lt;&gt;"),"")</f>
        <v/>
      </c>
      <c r="Z1810" s="29" t="str">
        <f>IF(Y1810=1,COUNTIF($Y$2:Y1810,1),"")</f>
        <v/>
      </c>
      <c r="AA1810" s="29" t="str">
        <f>IF(AND(LEFT($B1810,7)="SBA 26/",$C1810&lt;&gt;"",$F1810&lt;&gt;""),COUNTIFS($C$2:$C1810,$C1810,$B$2:$B1810,"SBA 26/*",$F$2:$F1810,"&lt;&gt;"),"")</f>
        <v/>
      </c>
      <c r="AB1810" s="29" t="str">
        <f>IF(AA1810=1,COUNTIF($AA$2:AA1810,1),"")</f>
        <v/>
      </c>
    </row>
    <row r="1811" spans="6:28" ht="47.25" customHeight="1" x14ac:dyDescent="0.2">
      <c r="F1811" s="45" t="s">
        <v>4487</v>
      </c>
      <c r="T1811" s="41"/>
      <c r="U1811" s="29" t="str">
        <f>IF($C1811&lt;&gt;"",COUNTIF($C$2:C1811,C1811),"")</f>
        <v/>
      </c>
      <c r="V1811" s="29" t="str">
        <f t="shared" si="88"/>
        <v/>
      </c>
      <c r="W1811" s="29" t="str">
        <f>IF(U1811=1,COUNTIF($U$2:U1811,1),"")</f>
        <v/>
      </c>
      <c r="X1811" s="29" t="str">
        <f t="shared" si="87"/>
        <v/>
      </c>
      <c r="Y1811" s="29" t="str">
        <f>IF(AND(LEFT($B1811,7)="SBA 26/",$D1811&lt;&gt;"",$F1811&lt;&gt;""),COUNTIFS($D$2:$D1811,$D1811,$B$2:$B1811,"SBA 26/*",$F$2:$F1811,"&lt;&gt;"),"")</f>
        <v/>
      </c>
      <c r="Z1811" s="29" t="str">
        <f>IF(Y1811=1,COUNTIF($Y$2:Y1811,1),"")</f>
        <v/>
      </c>
      <c r="AA1811" s="29" t="str">
        <f>IF(AND(LEFT($B1811,7)="SBA 26/",$C1811&lt;&gt;"",$F1811&lt;&gt;""),COUNTIFS($C$2:$C1811,$C1811,$B$2:$B1811,"SBA 26/*",$F$2:$F1811,"&lt;&gt;"),"")</f>
        <v/>
      </c>
      <c r="AB1811" s="29" t="str">
        <f>IF(AA1811=1,COUNTIF($AA$2:AA1811,1),"")</f>
        <v/>
      </c>
    </row>
    <row r="1812" spans="6:28" ht="31.5" customHeight="1" x14ac:dyDescent="0.2">
      <c r="F1812" s="45" t="s">
        <v>4488</v>
      </c>
      <c r="T1812" s="41"/>
      <c r="U1812" s="29" t="str">
        <f>IF($C1812&lt;&gt;"",COUNTIF($C$2:C1812,C1812),"")</f>
        <v/>
      </c>
      <c r="V1812" s="29" t="str">
        <f t="shared" si="88"/>
        <v/>
      </c>
      <c r="W1812" s="29" t="str">
        <f>IF(U1812=1,COUNTIF($U$2:U1812,1),"")</f>
        <v/>
      </c>
      <c r="X1812" s="29" t="str">
        <f t="shared" si="87"/>
        <v/>
      </c>
      <c r="Y1812" s="29" t="str">
        <f>IF(AND(LEFT($B1812,7)="SBA 26/",$D1812&lt;&gt;"",$F1812&lt;&gt;""),COUNTIFS($D$2:$D1812,$D1812,$B$2:$B1812,"SBA 26/*",$F$2:$F1812,"&lt;&gt;"),"")</f>
        <v/>
      </c>
      <c r="Z1812" s="29" t="str">
        <f>IF(Y1812=1,COUNTIF($Y$2:Y1812,1),"")</f>
        <v/>
      </c>
      <c r="AA1812" s="29" t="str">
        <f>IF(AND(LEFT($B1812,7)="SBA 26/",$C1812&lt;&gt;"",$F1812&lt;&gt;""),COUNTIFS($C$2:$C1812,$C1812,$B$2:$B1812,"SBA 26/*",$F$2:$F1812,"&lt;&gt;"),"")</f>
        <v/>
      </c>
      <c r="AB1812" s="29" t="str">
        <f>IF(AA1812=1,COUNTIF($AA$2:AA1812,1),"")</f>
        <v/>
      </c>
    </row>
    <row r="1813" spans="6:28" ht="47.25" customHeight="1" x14ac:dyDescent="0.2">
      <c r="F1813" s="45" t="s">
        <v>4489</v>
      </c>
      <c r="T1813" s="41"/>
      <c r="U1813" s="29" t="str">
        <f>IF($C1813&lt;&gt;"",COUNTIF($C$2:C1813,C1813),"")</f>
        <v/>
      </c>
      <c r="V1813" s="29" t="str">
        <f t="shared" si="88"/>
        <v/>
      </c>
      <c r="W1813" s="29" t="str">
        <f>IF(U1813=1,COUNTIF($U$2:U1813,1),"")</f>
        <v/>
      </c>
      <c r="X1813" s="29" t="str">
        <f t="shared" si="87"/>
        <v/>
      </c>
      <c r="Y1813" s="29" t="str">
        <f>IF(AND(LEFT($B1813,7)="SBA 26/",$D1813&lt;&gt;"",$F1813&lt;&gt;""),COUNTIFS($D$2:$D1813,$D1813,$B$2:$B1813,"SBA 26/*",$F$2:$F1813,"&lt;&gt;"),"")</f>
        <v/>
      </c>
      <c r="Z1813" s="29" t="str">
        <f>IF(Y1813=1,COUNTIF($Y$2:Y1813,1),"")</f>
        <v/>
      </c>
      <c r="AA1813" s="29" t="str">
        <f>IF(AND(LEFT($B1813,7)="SBA 26/",$C1813&lt;&gt;"",$F1813&lt;&gt;""),COUNTIFS($C$2:$C1813,$C1813,$B$2:$B1813,"SBA 26/*",$F$2:$F1813,"&lt;&gt;"),"")</f>
        <v/>
      </c>
      <c r="AB1813" s="29" t="str">
        <f>IF(AA1813=1,COUNTIF($AA$2:AA1813,1),"")</f>
        <v/>
      </c>
    </row>
    <row r="1814" spans="6:28" ht="47.25" customHeight="1" x14ac:dyDescent="0.2">
      <c r="F1814" s="45" t="s">
        <v>4490</v>
      </c>
      <c r="T1814" s="41"/>
      <c r="U1814" s="29" t="str">
        <f>IF($C1814&lt;&gt;"",COUNTIF($C$2:C1814,C1814),"")</f>
        <v/>
      </c>
      <c r="V1814" s="29" t="str">
        <f t="shared" si="88"/>
        <v/>
      </c>
      <c r="W1814" s="29" t="str">
        <f>IF(U1814=1,COUNTIF($U$2:U1814,1),"")</f>
        <v/>
      </c>
      <c r="X1814" s="29" t="str">
        <f t="shared" si="87"/>
        <v/>
      </c>
      <c r="Y1814" s="29" t="str">
        <f>IF(AND(LEFT($B1814,7)="SBA 26/",$D1814&lt;&gt;"",$F1814&lt;&gt;""),COUNTIFS($D$2:$D1814,$D1814,$B$2:$B1814,"SBA 26/*",$F$2:$F1814,"&lt;&gt;"),"")</f>
        <v/>
      </c>
      <c r="Z1814" s="29" t="str">
        <f>IF(Y1814=1,COUNTIF($Y$2:Y1814,1),"")</f>
        <v/>
      </c>
      <c r="AA1814" s="29" t="str">
        <f>IF(AND(LEFT($B1814,7)="SBA 26/",$C1814&lt;&gt;"",$F1814&lt;&gt;""),COUNTIFS($C$2:$C1814,$C1814,$B$2:$B1814,"SBA 26/*",$F$2:$F1814,"&lt;&gt;"),"")</f>
        <v/>
      </c>
      <c r="AB1814" s="29" t="str">
        <f>IF(AA1814=1,COUNTIF($AA$2:AA1814,1),"")</f>
        <v/>
      </c>
    </row>
    <row r="1815" spans="6:28" ht="31.5" customHeight="1" x14ac:dyDescent="0.2">
      <c r="F1815" s="45" t="s">
        <v>4491</v>
      </c>
      <c r="T1815" s="41"/>
      <c r="U1815" s="29" t="str">
        <f>IF($C1815&lt;&gt;"",COUNTIF($C$2:C1815,C1815),"")</f>
        <v/>
      </c>
      <c r="V1815" s="29" t="str">
        <f t="shared" si="88"/>
        <v/>
      </c>
      <c r="W1815" s="29" t="str">
        <f>IF(U1815=1,COUNTIF($U$2:U1815,1),"")</f>
        <v/>
      </c>
      <c r="X1815" s="29" t="str">
        <f t="shared" si="87"/>
        <v/>
      </c>
      <c r="Y1815" s="29" t="str">
        <f>IF(AND(LEFT($B1815,7)="SBA 26/",$D1815&lt;&gt;"",$F1815&lt;&gt;""),COUNTIFS($D$2:$D1815,$D1815,$B$2:$B1815,"SBA 26/*",$F$2:$F1815,"&lt;&gt;"),"")</f>
        <v/>
      </c>
      <c r="Z1815" s="29" t="str">
        <f>IF(Y1815=1,COUNTIF($Y$2:Y1815,1),"")</f>
        <v/>
      </c>
      <c r="AA1815" s="29" t="str">
        <f>IF(AND(LEFT($B1815,7)="SBA 26/",$C1815&lt;&gt;"",$F1815&lt;&gt;""),COUNTIFS($C$2:$C1815,$C1815,$B$2:$B1815,"SBA 26/*",$F$2:$F1815,"&lt;&gt;"),"")</f>
        <v/>
      </c>
      <c r="AB1815" s="29" t="str">
        <f>IF(AA1815=1,COUNTIF($AA$2:AA1815,1),"")</f>
        <v/>
      </c>
    </row>
    <row r="1816" spans="6:28" ht="47.25" customHeight="1" x14ac:dyDescent="0.2">
      <c r="F1816" s="45" t="s">
        <v>4492</v>
      </c>
      <c r="T1816" s="41"/>
      <c r="U1816" s="29" t="str">
        <f>IF($C1816&lt;&gt;"",COUNTIF($C$2:C1816,C1816),"")</f>
        <v/>
      </c>
      <c r="V1816" s="29" t="str">
        <f t="shared" si="88"/>
        <v/>
      </c>
      <c r="W1816" s="29" t="str">
        <f>IF(U1816=1,COUNTIF($U$2:U1816,1),"")</f>
        <v/>
      </c>
      <c r="X1816" s="29" t="str">
        <f t="shared" si="87"/>
        <v/>
      </c>
      <c r="Y1816" s="29" t="str">
        <f>IF(AND(LEFT($B1816,7)="SBA 26/",$D1816&lt;&gt;"",$F1816&lt;&gt;""),COUNTIFS($D$2:$D1816,$D1816,$B$2:$B1816,"SBA 26/*",$F$2:$F1816,"&lt;&gt;"),"")</f>
        <v/>
      </c>
      <c r="Z1816" s="29" t="str">
        <f>IF(Y1816=1,COUNTIF($Y$2:Y1816,1),"")</f>
        <v/>
      </c>
      <c r="AA1816" s="29" t="str">
        <f>IF(AND(LEFT($B1816,7)="SBA 26/",$C1816&lt;&gt;"",$F1816&lt;&gt;""),COUNTIFS($C$2:$C1816,$C1816,$B$2:$B1816,"SBA 26/*",$F$2:$F1816,"&lt;&gt;"),"")</f>
        <v/>
      </c>
      <c r="AB1816" s="29" t="str">
        <f>IF(AA1816=1,COUNTIF($AA$2:AA1816,1),"")</f>
        <v/>
      </c>
    </row>
    <row r="1817" spans="6:28" ht="78.75" customHeight="1" x14ac:dyDescent="0.2">
      <c r="F1817" s="45" t="s">
        <v>4493</v>
      </c>
      <c r="T1817" s="41"/>
      <c r="U1817" s="29" t="str">
        <f>IF($C1817&lt;&gt;"",COUNTIF($C$2:C1817,C1817),"")</f>
        <v/>
      </c>
      <c r="V1817" s="29" t="str">
        <f t="shared" si="88"/>
        <v/>
      </c>
      <c r="W1817" s="29" t="str">
        <f>IF(U1817=1,COUNTIF($U$2:U1817,1),"")</f>
        <v/>
      </c>
      <c r="X1817" s="29" t="str">
        <f t="shared" si="87"/>
        <v/>
      </c>
      <c r="Y1817" s="29" t="str">
        <f>IF(AND(LEFT($B1817,7)="SBA 26/",$D1817&lt;&gt;"",$F1817&lt;&gt;""),COUNTIFS($D$2:$D1817,$D1817,$B$2:$B1817,"SBA 26/*",$F$2:$F1817,"&lt;&gt;"),"")</f>
        <v/>
      </c>
      <c r="Z1817" s="29" t="str">
        <f>IF(Y1817=1,COUNTIF($Y$2:Y1817,1),"")</f>
        <v/>
      </c>
      <c r="AA1817" s="29" t="str">
        <f>IF(AND(LEFT($B1817,7)="SBA 26/",$C1817&lt;&gt;"",$F1817&lt;&gt;""),COUNTIFS($C$2:$C1817,$C1817,$B$2:$B1817,"SBA 26/*",$F$2:$F1817,"&lt;&gt;"),"")</f>
        <v/>
      </c>
      <c r="AB1817" s="29" t="str">
        <f>IF(AA1817=1,COUNTIF($AA$2:AA1817,1),"")</f>
        <v/>
      </c>
    </row>
    <row r="1818" spans="6:28" ht="47.25" customHeight="1" x14ac:dyDescent="0.2">
      <c r="F1818" s="45" t="s">
        <v>4494</v>
      </c>
      <c r="T1818" s="41"/>
      <c r="U1818" s="29" t="str">
        <f>IF($C1818&lt;&gt;"",COUNTIF($C$2:C1818,C1818),"")</f>
        <v/>
      </c>
      <c r="V1818" s="29" t="str">
        <f t="shared" si="88"/>
        <v/>
      </c>
      <c r="W1818" s="29" t="str">
        <f>IF(U1818=1,COUNTIF($U$2:U1818,1),"")</f>
        <v/>
      </c>
      <c r="X1818" s="29" t="str">
        <f t="shared" si="87"/>
        <v/>
      </c>
      <c r="Y1818" s="29" t="str">
        <f>IF(AND(LEFT($B1818,7)="SBA 26/",$D1818&lt;&gt;"",$F1818&lt;&gt;""),COUNTIFS($D$2:$D1818,$D1818,$B$2:$B1818,"SBA 26/*",$F$2:$F1818,"&lt;&gt;"),"")</f>
        <v/>
      </c>
      <c r="Z1818" s="29" t="str">
        <f>IF(Y1818=1,COUNTIF($Y$2:Y1818,1),"")</f>
        <v/>
      </c>
      <c r="AA1818" s="29" t="str">
        <f>IF(AND(LEFT($B1818,7)="SBA 26/",$C1818&lt;&gt;"",$F1818&lt;&gt;""),COUNTIFS($C$2:$C1818,$C1818,$B$2:$B1818,"SBA 26/*",$F$2:$F1818,"&lt;&gt;"),"")</f>
        <v/>
      </c>
      <c r="AB1818" s="29" t="str">
        <f>IF(AA1818=1,COUNTIF($AA$2:AA1818,1),"")</f>
        <v/>
      </c>
    </row>
    <row r="1819" spans="6:28" ht="47.25" customHeight="1" x14ac:dyDescent="0.2">
      <c r="F1819" s="45" t="s">
        <v>4495</v>
      </c>
      <c r="T1819" s="41"/>
      <c r="U1819" s="29" t="str">
        <f>IF($C1819&lt;&gt;"",COUNTIF($C$2:C1819,C1819),"")</f>
        <v/>
      </c>
      <c r="V1819" s="29" t="str">
        <f t="shared" si="88"/>
        <v/>
      </c>
      <c r="W1819" s="29" t="str">
        <f>IF(U1819=1,COUNTIF($U$2:U1819,1),"")</f>
        <v/>
      </c>
      <c r="X1819" s="29" t="str">
        <f t="shared" si="87"/>
        <v/>
      </c>
      <c r="Y1819" s="29" t="str">
        <f>IF(AND(LEFT($B1819,7)="SBA 26/",$D1819&lt;&gt;"",$F1819&lt;&gt;""),COUNTIFS($D$2:$D1819,$D1819,$B$2:$B1819,"SBA 26/*",$F$2:$F1819,"&lt;&gt;"),"")</f>
        <v/>
      </c>
      <c r="Z1819" s="29" t="str">
        <f>IF(Y1819=1,COUNTIF($Y$2:Y1819,1),"")</f>
        <v/>
      </c>
      <c r="AA1819" s="29" t="str">
        <f>IF(AND(LEFT($B1819,7)="SBA 26/",$C1819&lt;&gt;"",$F1819&lt;&gt;""),COUNTIFS($C$2:$C1819,$C1819,$B$2:$B1819,"SBA 26/*",$F$2:$F1819,"&lt;&gt;"),"")</f>
        <v/>
      </c>
      <c r="AB1819" s="29" t="str">
        <f>IF(AA1819=1,COUNTIF($AA$2:AA1819,1),"")</f>
        <v/>
      </c>
    </row>
    <row r="1820" spans="6:28" ht="47.25" customHeight="1" x14ac:dyDescent="0.2">
      <c r="F1820" s="45" t="s">
        <v>4496</v>
      </c>
      <c r="T1820" s="41"/>
      <c r="U1820" s="29" t="str">
        <f>IF($C1820&lt;&gt;"",COUNTIF($C$2:C1820,C1820),"")</f>
        <v/>
      </c>
      <c r="V1820" s="29" t="str">
        <f t="shared" si="88"/>
        <v/>
      </c>
      <c r="W1820" s="29" t="str">
        <f>IF(U1820=1,COUNTIF($U$2:U1820,1),"")</f>
        <v/>
      </c>
      <c r="X1820" s="29" t="str">
        <f t="shared" si="87"/>
        <v/>
      </c>
      <c r="Y1820" s="29" t="str">
        <f>IF(AND(LEFT($B1820,7)="SBA 26/",$D1820&lt;&gt;"",$F1820&lt;&gt;""),COUNTIFS($D$2:$D1820,$D1820,$B$2:$B1820,"SBA 26/*",$F$2:$F1820,"&lt;&gt;"),"")</f>
        <v/>
      </c>
      <c r="Z1820" s="29" t="str">
        <f>IF(Y1820=1,COUNTIF($Y$2:Y1820,1),"")</f>
        <v/>
      </c>
      <c r="AA1820" s="29" t="str">
        <f>IF(AND(LEFT($B1820,7)="SBA 26/",$C1820&lt;&gt;"",$F1820&lt;&gt;""),COUNTIFS($C$2:$C1820,$C1820,$B$2:$B1820,"SBA 26/*",$F$2:$F1820,"&lt;&gt;"),"")</f>
        <v/>
      </c>
      <c r="AB1820" s="29" t="str">
        <f>IF(AA1820=1,COUNTIF($AA$2:AA1820,1),"")</f>
        <v/>
      </c>
    </row>
    <row r="1821" spans="6:28" ht="31.5" customHeight="1" x14ac:dyDescent="0.2">
      <c r="F1821" s="45" t="s">
        <v>4497</v>
      </c>
      <c r="T1821" s="41"/>
      <c r="U1821" s="29" t="str">
        <f>IF($C1821&lt;&gt;"",COUNTIF($C$2:C1821,C1821),"")</f>
        <v/>
      </c>
      <c r="V1821" s="29" t="str">
        <f t="shared" si="88"/>
        <v/>
      </c>
      <c r="W1821" s="29" t="str">
        <f>IF(U1821=1,COUNTIF($U$2:U1821,1),"")</f>
        <v/>
      </c>
      <c r="X1821" s="29" t="str">
        <f t="shared" si="87"/>
        <v/>
      </c>
      <c r="Y1821" s="29" t="str">
        <f>IF(AND(LEFT($B1821,7)="SBA 26/",$D1821&lt;&gt;"",$F1821&lt;&gt;""),COUNTIFS($D$2:$D1821,$D1821,$B$2:$B1821,"SBA 26/*",$F$2:$F1821,"&lt;&gt;"),"")</f>
        <v/>
      </c>
      <c r="Z1821" s="29" t="str">
        <f>IF(Y1821=1,COUNTIF($Y$2:Y1821,1),"")</f>
        <v/>
      </c>
      <c r="AA1821" s="29" t="str">
        <f>IF(AND(LEFT($B1821,7)="SBA 26/",$C1821&lt;&gt;"",$F1821&lt;&gt;""),COUNTIFS($C$2:$C1821,$C1821,$B$2:$B1821,"SBA 26/*",$F$2:$F1821,"&lt;&gt;"),"")</f>
        <v/>
      </c>
      <c r="AB1821" s="29" t="str">
        <f>IF(AA1821=1,COUNTIF($AA$2:AA1821,1),"")</f>
        <v/>
      </c>
    </row>
    <row r="1822" spans="6:28" ht="63" customHeight="1" x14ac:dyDescent="0.2">
      <c r="F1822" s="45" t="s">
        <v>4498</v>
      </c>
      <c r="T1822" s="41"/>
      <c r="U1822" s="29" t="str">
        <f>IF($C1822&lt;&gt;"",COUNTIF($C$2:C1822,C1822),"")</f>
        <v/>
      </c>
      <c r="V1822" s="29" t="str">
        <f t="shared" si="88"/>
        <v/>
      </c>
      <c r="W1822" s="29" t="str">
        <f>IF(U1822=1,COUNTIF($U$2:U1822,1),"")</f>
        <v/>
      </c>
      <c r="X1822" s="29" t="str">
        <f t="shared" si="87"/>
        <v/>
      </c>
      <c r="Y1822" s="29" t="str">
        <f>IF(AND(LEFT($B1822,7)="SBA 26/",$D1822&lt;&gt;"",$F1822&lt;&gt;""),COUNTIFS($D$2:$D1822,$D1822,$B$2:$B1822,"SBA 26/*",$F$2:$F1822,"&lt;&gt;"),"")</f>
        <v/>
      </c>
      <c r="Z1822" s="29" t="str">
        <f>IF(Y1822=1,COUNTIF($Y$2:Y1822,1),"")</f>
        <v/>
      </c>
      <c r="AA1822" s="29" t="str">
        <f>IF(AND(LEFT($B1822,7)="SBA 26/",$C1822&lt;&gt;"",$F1822&lt;&gt;""),COUNTIFS($C$2:$C1822,$C1822,$B$2:$B1822,"SBA 26/*",$F$2:$F1822,"&lt;&gt;"),"")</f>
        <v/>
      </c>
      <c r="AB1822" s="29" t="str">
        <f>IF(AA1822=1,COUNTIF($AA$2:AA1822,1),"")</f>
        <v/>
      </c>
    </row>
    <row r="1823" spans="6:28" ht="31.5" customHeight="1" x14ac:dyDescent="0.2">
      <c r="F1823" s="45" t="s">
        <v>4499</v>
      </c>
      <c r="T1823" s="41"/>
      <c r="U1823" s="29" t="str">
        <f>IF($C1823&lt;&gt;"",COUNTIF($C$2:C1823,C1823),"")</f>
        <v/>
      </c>
      <c r="V1823" s="29" t="str">
        <f t="shared" si="88"/>
        <v/>
      </c>
      <c r="W1823" s="29" t="str">
        <f>IF(U1823=1,COUNTIF($U$2:U1823,1),"")</f>
        <v/>
      </c>
      <c r="X1823" s="29" t="str">
        <f t="shared" si="87"/>
        <v/>
      </c>
      <c r="Y1823" s="29" t="str">
        <f>IF(AND(LEFT($B1823,7)="SBA 26/",$D1823&lt;&gt;"",$F1823&lt;&gt;""),COUNTIFS($D$2:$D1823,$D1823,$B$2:$B1823,"SBA 26/*",$F$2:$F1823,"&lt;&gt;"),"")</f>
        <v/>
      </c>
      <c r="Z1823" s="29" t="str">
        <f>IF(Y1823=1,COUNTIF($Y$2:Y1823,1),"")</f>
        <v/>
      </c>
      <c r="AA1823" s="29" t="str">
        <f>IF(AND(LEFT($B1823,7)="SBA 26/",$C1823&lt;&gt;"",$F1823&lt;&gt;""),COUNTIFS($C$2:$C1823,$C1823,$B$2:$B1823,"SBA 26/*",$F$2:$F1823,"&lt;&gt;"),"")</f>
        <v/>
      </c>
      <c r="AB1823" s="29" t="str">
        <f>IF(AA1823=1,COUNTIF($AA$2:AA1823,1),"")</f>
        <v/>
      </c>
    </row>
    <row r="1824" spans="6:28" ht="63" customHeight="1" x14ac:dyDescent="0.2">
      <c r="F1824" s="45" t="s">
        <v>4500</v>
      </c>
      <c r="T1824" s="41"/>
      <c r="U1824" s="29" t="str">
        <f>IF($C1824&lt;&gt;"",COUNTIF($C$2:C1824,C1824),"")</f>
        <v/>
      </c>
      <c r="V1824" s="29" t="str">
        <f t="shared" si="88"/>
        <v/>
      </c>
      <c r="W1824" s="29" t="str">
        <f>IF(U1824=1,COUNTIF($U$2:U1824,1),"")</f>
        <v/>
      </c>
      <c r="X1824" s="29" t="str">
        <f t="shared" si="87"/>
        <v/>
      </c>
      <c r="Y1824" s="29" t="str">
        <f>IF(AND(LEFT($B1824,7)="SBA 26/",$D1824&lt;&gt;"",$F1824&lt;&gt;""),COUNTIFS($D$2:$D1824,$D1824,$B$2:$B1824,"SBA 26/*",$F$2:$F1824,"&lt;&gt;"),"")</f>
        <v/>
      </c>
      <c r="Z1824" s="29" t="str">
        <f>IF(Y1824=1,COUNTIF($Y$2:Y1824,1),"")</f>
        <v/>
      </c>
      <c r="AA1824" s="29" t="str">
        <f>IF(AND(LEFT($B1824,7)="SBA 26/",$C1824&lt;&gt;"",$F1824&lt;&gt;""),COUNTIFS($C$2:$C1824,$C1824,$B$2:$B1824,"SBA 26/*",$F$2:$F1824,"&lt;&gt;"),"")</f>
        <v/>
      </c>
      <c r="AB1824" s="29" t="str">
        <f>IF(AA1824=1,COUNTIF($AA$2:AA1824,1),"")</f>
        <v/>
      </c>
    </row>
    <row r="1825" spans="6:28" ht="63" customHeight="1" x14ac:dyDescent="0.2">
      <c r="F1825" s="45" t="s">
        <v>4501</v>
      </c>
      <c r="T1825" s="41"/>
      <c r="U1825" s="29" t="str">
        <f>IF($C1825&lt;&gt;"",COUNTIF($C$2:C1825,C1825),"")</f>
        <v/>
      </c>
      <c r="V1825" s="29" t="str">
        <f t="shared" si="88"/>
        <v/>
      </c>
      <c r="W1825" s="29" t="str">
        <f>IF(U1825=1,COUNTIF($U$2:U1825,1),"")</f>
        <v/>
      </c>
      <c r="X1825" s="29" t="str">
        <f t="shared" si="87"/>
        <v/>
      </c>
      <c r="Y1825" s="29" t="str">
        <f>IF(AND(LEFT($B1825,7)="SBA 26/",$D1825&lt;&gt;"",$F1825&lt;&gt;""),COUNTIFS($D$2:$D1825,$D1825,$B$2:$B1825,"SBA 26/*",$F$2:$F1825,"&lt;&gt;"),"")</f>
        <v/>
      </c>
      <c r="Z1825" s="29" t="str">
        <f>IF(Y1825=1,COUNTIF($Y$2:Y1825,1),"")</f>
        <v/>
      </c>
      <c r="AA1825" s="29" t="str">
        <f>IF(AND(LEFT($B1825,7)="SBA 26/",$C1825&lt;&gt;"",$F1825&lt;&gt;""),COUNTIFS($C$2:$C1825,$C1825,$B$2:$B1825,"SBA 26/*",$F$2:$F1825,"&lt;&gt;"),"")</f>
        <v/>
      </c>
      <c r="AB1825" s="29" t="str">
        <f>IF(AA1825=1,COUNTIF($AA$2:AA1825,1),"")</f>
        <v/>
      </c>
    </row>
    <row r="1826" spans="6:28" ht="31.5" customHeight="1" x14ac:dyDescent="0.2">
      <c r="F1826" s="45" t="s">
        <v>4502</v>
      </c>
      <c r="T1826" s="41"/>
      <c r="U1826" s="29" t="str">
        <f>IF($C1826&lt;&gt;"",COUNTIF($C$2:C1826,C1826),"")</f>
        <v/>
      </c>
      <c r="V1826" s="29" t="str">
        <f t="shared" si="88"/>
        <v/>
      </c>
      <c r="W1826" s="29" t="str">
        <f>IF(U1826=1,COUNTIF($U$2:U1826,1),"")</f>
        <v/>
      </c>
      <c r="X1826" s="29" t="str">
        <f t="shared" si="87"/>
        <v/>
      </c>
      <c r="Y1826" s="29" t="str">
        <f>IF(AND(LEFT($B1826,7)="SBA 26/",$D1826&lt;&gt;"",$F1826&lt;&gt;""),COUNTIFS($D$2:$D1826,$D1826,$B$2:$B1826,"SBA 26/*",$F$2:$F1826,"&lt;&gt;"),"")</f>
        <v/>
      </c>
      <c r="Z1826" s="29" t="str">
        <f>IF(Y1826=1,COUNTIF($Y$2:Y1826,1),"")</f>
        <v/>
      </c>
      <c r="AA1826" s="29" t="str">
        <f>IF(AND(LEFT($B1826,7)="SBA 26/",$C1826&lt;&gt;"",$F1826&lt;&gt;""),COUNTIFS($C$2:$C1826,$C1826,$B$2:$B1826,"SBA 26/*",$F$2:$F1826,"&lt;&gt;"),"")</f>
        <v/>
      </c>
      <c r="AB1826" s="29" t="str">
        <f>IF(AA1826=1,COUNTIF($AA$2:AA1826,1),"")</f>
        <v/>
      </c>
    </row>
    <row r="1827" spans="6:28" ht="31.5" customHeight="1" x14ac:dyDescent="0.2">
      <c r="F1827" s="45" t="s">
        <v>4503</v>
      </c>
      <c r="T1827" s="41"/>
      <c r="U1827" s="29" t="str">
        <f>IF($C1827&lt;&gt;"",COUNTIF($C$2:C1827,C1827),"")</f>
        <v/>
      </c>
      <c r="V1827" s="29" t="str">
        <f t="shared" si="88"/>
        <v/>
      </c>
      <c r="W1827" s="29" t="str">
        <f>IF(U1827=1,COUNTIF($U$2:U1827,1),"")</f>
        <v/>
      </c>
      <c r="X1827" s="29" t="str">
        <f t="shared" si="87"/>
        <v/>
      </c>
      <c r="Y1827" s="29" t="str">
        <f>IF(AND(LEFT($B1827,7)="SBA 26/",$D1827&lt;&gt;"",$F1827&lt;&gt;""),COUNTIFS($D$2:$D1827,$D1827,$B$2:$B1827,"SBA 26/*",$F$2:$F1827,"&lt;&gt;"),"")</f>
        <v/>
      </c>
      <c r="Z1827" s="29" t="str">
        <f>IF(Y1827=1,COUNTIF($Y$2:Y1827,1),"")</f>
        <v/>
      </c>
      <c r="AA1827" s="29" t="str">
        <f>IF(AND(LEFT($B1827,7)="SBA 26/",$C1827&lt;&gt;"",$F1827&lt;&gt;""),COUNTIFS($C$2:$C1827,$C1827,$B$2:$B1827,"SBA 26/*",$F$2:$F1827,"&lt;&gt;"),"")</f>
        <v/>
      </c>
      <c r="AB1827" s="29" t="str">
        <f>IF(AA1827=1,COUNTIF($AA$2:AA1827,1),"")</f>
        <v/>
      </c>
    </row>
    <row r="1828" spans="6:28" ht="31.5" customHeight="1" x14ac:dyDescent="0.2">
      <c r="F1828" s="45" t="s">
        <v>4504</v>
      </c>
      <c r="T1828" s="41"/>
      <c r="U1828" s="29" t="str">
        <f>IF($C1828&lt;&gt;"",COUNTIF($C$2:C1828,C1828),"")</f>
        <v/>
      </c>
      <c r="V1828" s="29" t="str">
        <f t="shared" si="88"/>
        <v/>
      </c>
      <c r="W1828" s="29" t="str">
        <f>IF(U1828=1,COUNTIF($U$2:U1828,1),"")</f>
        <v/>
      </c>
      <c r="X1828" s="29" t="str">
        <f t="shared" si="87"/>
        <v/>
      </c>
      <c r="Y1828" s="29" t="str">
        <f>IF(AND(LEFT($B1828,7)="SBA 26/",$D1828&lt;&gt;"",$F1828&lt;&gt;""),COUNTIFS($D$2:$D1828,$D1828,$B$2:$B1828,"SBA 26/*",$F$2:$F1828,"&lt;&gt;"),"")</f>
        <v/>
      </c>
      <c r="Z1828" s="29" t="str">
        <f>IF(Y1828=1,COUNTIF($Y$2:Y1828,1),"")</f>
        <v/>
      </c>
      <c r="AA1828" s="29" t="str">
        <f>IF(AND(LEFT($B1828,7)="SBA 26/",$C1828&lt;&gt;"",$F1828&lt;&gt;""),COUNTIFS($C$2:$C1828,$C1828,$B$2:$B1828,"SBA 26/*",$F$2:$F1828,"&lt;&gt;"),"")</f>
        <v/>
      </c>
      <c r="AB1828" s="29" t="str">
        <f>IF(AA1828=1,COUNTIF($AA$2:AA1828,1),"")</f>
        <v/>
      </c>
    </row>
    <row r="1829" spans="6:28" ht="47.25" customHeight="1" x14ac:dyDescent="0.2">
      <c r="F1829" s="45" t="s">
        <v>4505</v>
      </c>
      <c r="T1829" s="41"/>
      <c r="U1829" s="29" t="str">
        <f>IF($C1829&lt;&gt;"",COUNTIF($C$2:C1829,C1829),"")</f>
        <v/>
      </c>
      <c r="V1829" s="29" t="str">
        <f t="shared" si="88"/>
        <v/>
      </c>
      <c r="W1829" s="29" t="str">
        <f>IF(U1829=1,COUNTIF($U$2:U1829,1),"")</f>
        <v/>
      </c>
      <c r="X1829" s="29" t="str">
        <f t="shared" si="87"/>
        <v/>
      </c>
      <c r="Y1829" s="29" t="str">
        <f>IF(AND(LEFT($B1829,7)="SBA 26/",$D1829&lt;&gt;"",$F1829&lt;&gt;""),COUNTIFS($D$2:$D1829,$D1829,$B$2:$B1829,"SBA 26/*",$F$2:$F1829,"&lt;&gt;"),"")</f>
        <v/>
      </c>
      <c r="Z1829" s="29" t="str">
        <f>IF(Y1829=1,COUNTIF($Y$2:Y1829,1),"")</f>
        <v/>
      </c>
      <c r="AA1829" s="29" t="str">
        <f>IF(AND(LEFT($B1829,7)="SBA 26/",$C1829&lt;&gt;"",$F1829&lt;&gt;""),COUNTIFS($C$2:$C1829,$C1829,$B$2:$B1829,"SBA 26/*",$F$2:$F1829,"&lt;&gt;"),"")</f>
        <v/>
      </c>
      <c r="AB1829" s="29" t="str">
        <f>IF(AA1829=1,COUNTIF($AA$2:AA1829,1),"")</f>
        <v/>
      </c>
    </row>
    <row r="1830" spans="6:28" ht="94.5" customHeight="1" x14ac:dyDescent="0.2">
      <c r="F1830" s="45" t="s">
        <v>4506</v>
      </c>
      <c r="T1830" s="41"/>
      <c r="U1830" s="29" t="str">
        <f>IF($C1830&lt;&gt;"",COUNTIF($C$2:C1830,C1830),"")</f>
        <v/>
      </c>
      <c r="V1830" s="29" t="str">
        <f t="shared" si="88"/>
        <v/>
      </c>
      <c r="W1830" s="29" t="str">
        <f>IF(U1830=1,COUNTIF($U$2:U1830,1),"")</f>
        <v/>
      </c>
      <c r="X1830" s="29" t="str">
        <f t="shared" si="87"/>
        <v/>
      </c>
      <c r="Y1830" s="29" t="str">
        <f>IF(AND(LEFT($B1830,7)="SBA 26/",$D1830&lt;&gt;"",$F1830&lt;&gt;""),COUNTIFS($D$2:$D1830,$D1830,$B$2:$B1830,"SBA 26/*",$F$2:$F1830,"&lt;&gt;"),"")</f>
        <v/>
      </c>
      <c r="Z1830" s="29" t="str">
        <f>IF(Y1830=1,COUNTIF($Y$2:Y1830,1),"")</f>
        <v/>
      </c>
      <c r="AA1830" s="29" t="str">
        <f>IF(AND(LEFT($B1830,7)="SBA 26/",$C1830&lt;&gt;"",$F1830&lt;&gt;""),COUNTIFS($C$2:$C1830,$C1830,$B$2:$B1830,"SBA 26/*",$F$2:$F1830,"&lt;&gt;"),"")</f>
        <v/>
      </c>
      <c r="AB1830" s="29" t="str">
        <f>IF(AA1830=1,COUNTIF($AA$2:AA1830,1),"")</f>
        <v/>
      </c>
    </row>
    <row r="1831" spans="6:28" ht="31.5" customHeight="1" x14ac:dyDescent="0.2">
      <c r="F1831" s="45" t="s">
        <v>4507</v>
      </c>
      <c r="T1831" s="41"/>
      <c r="U1831" s="29" t="str">
        <f>IF($C1831&lt;&gt;"",COUNTIF($C$2:C1831,C1831),"")</f>
        <v/>
      </c>
      <c r="V1831" s="29" t="str">
        <f t="shared" si="88"/>
        <v/>
      </c>
      <c r="W1831" s="29" t="str">
        <f>IF(U1831=1,COUNTIF($U$2:U1831,1),"")</f>
        <v/>
      </c>
      <c r="X1831" s="29" t="str">
        <f t="shared" si="87"/>
        <v/>
      </c>
      <c r="Y1831" s="29" t="str">
        <f>IF(AND(LEFT($B1831,7)="SBA 26/",$D1831&lt;&gt;"",$F1831&lt;&gt;""),COUNTIFS($D$2:$D1831,$D1831,$B$2:$B1831,"SBA 26/*",$F$2:$F1831,"&lt;&gt;"),"")</f>
        <v/>
      </c>
      <c r="Z1831" s="29" t="str">
        <f>IF(Y1831=1,COUNTIF($Y$2:Y1831,1),"")</f>
        <v/>
      </c>
      <c r="AA1831" s="29" t="str">
        <f>IF(AND(LEFT($B1831,7)="SBA 26/",$C1831&lt;&gt;"",$F1831&lt;&gt;""),COUNTIFS($C$2:$C1831,$C1831,$B$2:$B1831,"SBA 26/*",$F$2:$F1831,"&lt;&gt;"),"")</f>
        <v/>
      </c>
      <c r="AB1831" s="29" t="str">
        <f>IF(AA1831=1,COUNTIF($AA$2:AA1831,1),"")</f>
        <v/>
      </c>
    </row>
    <row r="1832" spans="6:28" ht="31.5" customHeight="1" x14ac:dyDescent="0.2">
      <c r="F1832" s="45" t="s">
        <v>4508</v>
      </c>
      <c r="T1832" s="41"/>
      <c r="U1832" s="29" t="str">
        <f>IF($C1832&lt;&gt;"",COUNTIF($C$2:C1832,C1832),"")</f>
        <v/>
      </c>
      <c r="V1832" s="29" t="str">
        <f t="shared" si="88"/>
        <v/>
      </c>
      <c r="W1832" s="29" t="str">
        <f>IF(U1832=1,COUNTIF($U$2:U1832,1),"")</f>
        <v/>
      </c>
      <c r="X1832" s="29" t="str">
        <f t="shared" si="87"/>
        <v/>
      </c>
      <c r="Y1832" s="29" t="str">
        <f>IF(AND(LEFT($B1832,7)="SBA 26/",$D1832&lt;&gt;"",$F1832&lt;&gt;""),COUNTIFS($D$2:$D1832,$D1832,$B$2:$B1832,"SBA 26/*",$F$2:$F1832,"&lt;&gt;"),"")</f>
        <v/>
      </c>
      <c r="Z1832" s="29" t="str">
        <f>IF(Y1832=1,COUNTIF($Y$2:Y1832,1),"")</f>
        <v/>
      </c>
      <c r="AA1832" s="29" t="str">
        <f>IF(AND(LEFT($B1832,7)="SBA 26/",$C1832&lt;&gt;"",$F1832&lt;&gt;""),COUNTIFS($C$2:$C1832,$C1832,$B$2:$B1832,"SBA 26/*",$F$2:$F1832,"&lt;&gt;"),"")</f>
        <v/>
      </c>
      <c r="AB1832" s="29" t="str">
        <f>IF(AA1832=1,COUNTIF($AA$2:AA1832,1),"")</f>
        <v/>
      </c>
    </row>
    <row r="1833" spans="6:28" ht="31.5" customHeight="1" x14ac:dyDescent="0.2">
      <c r="F1833" s="45" t="s">
        <v>4509</v>
      </c>
      <c r="T1833" s="41"/>
      <c r="U1833" s="29" t="str">
        <f>IF($C1833&lt;&gt;"",COUNTIF($C$2:C1833,C1833),"")</f>
        <v/>
      </c>
      <c r="V1833" s="29" t="str">
        <f t="shared" si="88"/>
        <v/>
      </c>
      <c r="W1833" s="29" t="str">
        <f>IF(U1833=1,COUNTIF($U$2:U1833,1),"")</f>
        <v/>
      </c>
      <c r="X1833" s="29" t="str">
        <f t="shared" si="87"/>
        <v/>
      </c>
      <c r="Y1833" s="29" t="str">
        <f>IF(AND(LEFT($B1833,7)="SBA 26/",$D1833&lt;&gt;"",$F1833&lt;&gt;""),COUNTIFS($D$2:$D1833,$D1833,$B$2:$B1833,"SBA 26/*",$F$2:$F1833,"&lt;&gt;"),"")</f>
        <v/>
      </c>
      <c r="Z1833" s="29" t="str">
        <f>IF(Y1833=1,COUNTIF($Y$2:Y1833,1),"")</f>
        <v/>
      </c>
      <c r="AA1833" s="29" t="str">
        <f>IF(AND(LEFT($B1833,7)="SBA 26/",$C1833&lt;&gt;"",$F1833&lt;&gt;""),COUNTIFS($C$2:$C1833,$C1833,$B$2:$B1833,"SBA 26/*",$F$2:$F1833,"&lt;&gt;"),"")</f>
        <v/>
      </c>
      <c r="AB1833" s="29" t="str">
        <f>IF(AA1833=1,COUNTIF($AA$2:AA1833,1),"")</f>
        <v/>
      </c>
    </row>
  </sheetData>
  <conditionalFormatting sqref="A539:G539">
    <cfRule type="expression" dxfId="42" priority="23">
      <formula>ISEVEN(ROW())</formula>
    </cfRule>
  </conditionalFormatting>
  <conditionalFormatting sqref="A652:G653 G654:G656">
    <cfRule type="expression" dxfId="41" priority="21">
      <formula>ISEVEN(ROW())</formula>
    </cfRule>
  </conditionalFormatting>
  <conditionalFormatting sqref="A738:B738 A739:G748">
    <cfRule type="expression" dxfId="40" priority="12">
      <formula>ISEVEN(ROW())</formula>
    </cfRule>
  </conditionalFormatting>
  <conditionalFormatting sqref="A2:K312 A314:K537 A541:G578 A580:F580 A581:G651 A654:F656 A657:G713 A725:G737 C738:G738 A313:E313 G313:K313 A714:B724">
    <cfRule type="expression" dxfId="39" priority="37">
      <formula>ISEVEN(ROW())</formula>
    </cfRule>
  </conditionalFormatting>
  <conditionalFormatting sqref="A538:K538 A540:G540 A579:K579 H539:K578 G580">
    <cfRule type="expression" dxfId="38" priority="26">
      <formula>ISEVEN(ROW())</formula>
    </cfRule>
  </conditionalFormatting>
  <conditionalFormatting sqref="C2:C798">
    <cfRule type="expression" dxfId="37" priority="38">
      <formula>AND($I2&lt;&gt;"",$I2&gt;=DATE(2026,6,23),COUNTIFS($C:$C,$C2,$I:$I,$I2)&gt;2)</formula>
    </cfRule>
  </conditionalFormatting>
  <conditionalFormatting sqref="C714:G714">
    <cfRule type="expression" dxfId="36" priority="18">
      <formula>ISEVEN(ROW())</formula>
    </cfRule>
  </conditionalFormatting>
  <conditionalFormatting sqref="C715:G724">
    <cfRule type="expression" dxfId="35" priority="16">
      <formula>ISEVEN(ROW())</formula>
    </cfRule>
  </conditionalFormatting>
  <conditionalFormatting sqref="F538 F540">
    <cfRule type="duplicateValues" dxfId="34" priority="25"/>
  </conditionalFormatting>
  <conditionalFormatting sqref="F539">
    <cfRule type="duplicateValues" dxfId="33" priority="22"/>
  </conditionalFormatting>
  <conditionalFormatting sqref="F579">
    <cfRule type="duplicateValues" dxfId="32" priority="24"/>
  </conditionalFormatting>
  <conditionalFormatting sqref="F652:F653">
    <cfRule type="duplicateValues" dxfId="31" priority="20"/>
  </conditionalFormatting>
  <conditionalFormatting sqref="F714">
    <cfRule type="duplicateValues" dxfId="30" priority="17"/>
  </conditionalFormatting>
  <conditionalFormatting sqref="F715:F724">
    <cfRule type="duplicateValues" dxfId="29" priority="15"/>
  </conditionalFormatting>
  <conditionalFormatting sqref="F739:F748">
    <cfRule type="duplicateValues" dxfId="28" priority="11"/>
  </conditionalFormatting>
  <conditionalFormatting sqref="F753:F1048576 F1:F235 F237:F312 F314:F537 F541:F578 F580:F651 F654:F713 F725:F738">
    <cfRule type="duplicateValues" dxfId="27" priority="36"/>
  </conditionalFormatting>
  <conditionalFormatting sqref="H580:K748">
    <cfRule type="expression" dxfId="26" priority="1">
      <formula>ISEVEN(ROW())</formula>
    </cfRule>
  </conditionalFormatting>
  <conditionalFormatting sqref="L2:P466 L467:O468 P467:P470 L469:M469 O469 L470:O470 P761:P1048576">
    <cfRule type="containsText" dxfId="25" priority="29" operator="containsText" text="GERİ ÇEKİLDİ">
      <formula>NOT(ISERROR(SEARCH("GERİ ÇEKİLDİ",L2)))</formula>
    </cfRule>
    <cfRule type="containsText" dxfId="24" priority="30" operator="containsText" text="RET">
      <formula>NOT(ISERROR(SEARCH("RET",L2)))</formula>
    </cfRule>
    <cfRule type="containsText" dxfId="23" priority="31" operator="containsText" text="KAPSAM DIŞI">
      <formula>NOT(ISERROR(SEARCH("KAPSAM DIŞI",L2)))</formula>
    </cfRule>
    <cfRule type="containsText" dxfId="22" priority="32" operator="containsText" text="KAEK">
      <formula>NOT(ISERROR(SEARCH("KAEK",L2)))</formula>
    </cfRule>
    <cfRule type="containsText" dxfId="21" priority="33" operator="containsText" text="GÖRÜŞ">
      <formula>NOT(ISERROR(SEARCH("GÖRÜŞ",L2)))</formula>
    </cfRule>
    <cfRule type="containsText" dxfId="20" priority="34" operator="containsText" text="DÜZELTME">
      <formula>NOT(ISERROR(SEARCH("DÜZELTME",L2)))</formula>
    </cfRule>
    <cfRule type="containsText" dxfId="19" priority="35" operator="containsText" text="ONAY">
      <formula>NOT(ISERROR(SEARCH("ONAY",L2)))</formula>
    </cfRule>
  </conditionalFormatting>
  <conditionalFormatting sqref="L471:P748">
    <cfRule type="containsText" dxfId="18" priority="4" operator="containsText" text="GERİ ÇEKİLDİ">
      <formula>NOT(ISERROR(SEARCH("GERİ ÇEKİLDİ",L471)))</formula>
    </cfRule>
    <cfRule type="containsText" dxfId="17" priority="5" operator="containsText" text="RET">
      <formula>NOT(ISERROR(SEARCH("RET",L471)))</formula>
    </cfRule>
    <cfRule type="containsText" dxfId="16" priority="6" operator="containsText" text="KAPSAM DIŞI">
      <formula>NOT(ISERROR(SEARCH("KAPSAM DIŞI",L471)))</formula>
    </cfRule>
    <cfRule type="containsText" dxfId="15" priority="7" operator="containsText" text="KAEK">
      <formula>NOT(ISERROR(SEARCH("KAEK",L471)))</formula>
    </cfRule>
    <cfRule type="containsText" dxfId="14" priority="8" operator="containsText" text="GÖRÜŞ">
      <formula>NOT(ISERROR(SEARCH("GÖRÜŞ",L471)))</formula>
    </cfRule>
    <cfRule type="containsText" dxfId="13" priority="9" operator="containsText" text="DÜZELTME">
      <formula>NOT(ISERROR(SEARCH("DÜZELTME",L471)))</formula>
    </cfRule>
    <cfRule type="containsText" dxfId="12" priority="10" operator="containsText" text="ONAY">
      <formula>NOT(ISERROR(SEARCH("ONAY",L471)))</formula>
    </cfRule>
  </conditionalFormatting>
  <conditionalFormatting sqref="R1:R1048576">
    <cfRule type="expression" dxfId="11" priority="2">
      <formula>LEN(TRIM(R1))&gt;0</formula>
    </cfRule>
  </conditionalFormatting>
  <conditionalFormatting sqref="R2:R798">
    <cfRule type="expression" dxfId="10" priority="28">
      <formula>AND($I2&lt;&gt;"",$I2&gt;=DATE(2026,6,23),COUNTIFS($C:$C,$C2,$I:$I,$I2)&gt;2)</formula>
    </cfRule>
  </conditionalFormatting>
  <dataValidations count="1">
    <dataValidation type="list" allowBlank="1" showInputMessage="1" showErrorMessage="1" sqref="L2:O468 L469:M470 N470 L749:O751 L471:N748 O469:O748" xr:uid="{00000000-0002-0000-0100-000000000000}">
      <formula1>"ONAY,DÜZELTME,KAEK,GÖRÜŞ,KAPSAM DIŞI,RET,GERİ ÇEKİLDİ"</formula1>
      <formula2>0</formula2>
    </dataValidation>
  </dataValidations>
  <printOptions horizontalCentered="1"/>
  <pageMargins left="0.196527777777778" right="0.196527777777778" top="0.196527777777778" bottom="0.39374999999999999" header="0.511811023622047" footer="0.511811023622047"/>
  <pageSetup paperSize="8" fitToHeight="10" orientation="landscape"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N23"/>
  <sheetViews>
    <sheetView showZeros="0" zoomScaleNormal="100" workbookViewId="0">
      <pane ySplit="3" topLeftCell="A4" activePane="bottomLeft" state="frozen"/>
      <selection pane="bottomLeft" activeCell="K20" sqref="K20"/>
    </sheetView>
  </sheetViews>
  <sheetFormatPr defaultColWidth="8.7109375" defaultRowHeight="15" x14ac:dyDescent="0.25"/>
  <cols>
    <col min="1" max="1" width="6" customWidth="1"/>
    <col min="2" max="2" width="17" customWidth="1"/>
    <col min="3" max="3" width="16" customWidth="1"/>
    <col min="4" max="4" width="9" customWidth="1"/>
    <col min="5" max="5" width="11" customWidth="1"/>
    <col min="6" max="7" width="9" customWidth="1"/>
    <col min="8" max="8" width="7" customWidth="1"/>
    <col min="9" max="9" width="13" customWidth="1"/>
    <col min="10" max="10" width="15" customWidth="1"/>
    <col min="11" max="13" width="11" customWidth="1"/>
    <col min="14" max="14" width="22" customWidth="1"/>
  </cols>
  <sheetData>
    <row r="1" spans="1:14" ht="31.5" customHeight="1" x14ac:dyDescent="0.25">
      <c r="A1" s="206" t="s">
        <v>4510</v>
      </c>
      <c r="B1" s="206"/>
      <c r="C1" s="206"/>
      <c r="D1" s="206"/>
      <c r="E1" s="206"/>
      <c r="F1" s="206"/>
      <c r="G1" s="206"/>
      <c r="H1" s="206"/>
      <c r="I1" s="206"/>
      <c r="J1" s="206"/>
      <c r="K1" s="206"/>
      <c r="L1" s="206"/>
      <c r="M1" s="206"/>
      <c r="N1" s="206"/>
    </row>
    <row r="2" spans="1:14" ht="19.5" customHeight="1" x14ac:dyDescent="0.25">
      <c r="A2" s="207" t="s">
        <v>4511</v>
      </c>
      <c r="B2" s="207"/>
      <c r="C2" s="207"/>
      <c r="D2" s="207"/>
      <c r="E2" s="207"/>
      <c r="F2" s="207"/>
      <c r="G2" s="207"/>
      <c r="H2" s="207"/>
      <c r="I2" s="207"/>
      <c r="J2" s="207"/>
      <c r="K2" s="207"/>
      <c r="L2" s="207"/>
      <c r="M2" s="207"/>
      <c r="N2" s="207"/>
    </row>
    <row r="3" spans="1:14" ht="39.75" customHeight="1" x14ac:dyDescent="0.25">
      <c r="A3" s="97" t="s">
        <v>4512</v>
      </c>
      <c r="B3" s="97" t="s">
        <v>4513</v>
      </c>
      <c r="C3" s="97" t="s">
        <v>4514</v>
      </c>
      <c r="D3" s="98" t="s">
        <v>4515</v>
      </c>
      <c r="E3" s="98" t="s">
        <v>4516</v>
      </c>
      <c r="F3" s="98" t="s">
        <v>218</v>
      </c>
      <c r="G3" s="98" t="s">
        <v>4517</v>
      </c>
      <c r="H3" s="98" t="s">
        <v>4518</v>
      </c>
      <c r="I3" s="98" t="s">
        <v>4519</v>
      </c>
      <c r="J3" s="98" t="s">
        <v>4520</v>
      </c>
      <c r="K3" s="98" t="s">
        <v>4521</v>
      </c>
      <c r="L3" s="97" t="s">
        <v>4</v>
      </c>
      <c r="M3" s="97" t="s">
        <v>4522</v>
      </c>
      <c r="N3" s="97" t="s">
        <v>4523</v>
      </c>
    </row>
    <row r="4" spans="1:14" ht="21.75" customHeight="1" x14ac:dyDescent="0.25">
      <c r="A4" s="99">
        <f t="shared" ref="A4:A20" si="0">ROW()-3</f>
        <v>1</v>
      </c>
      <c r="B4" s="100">
        <v>46028</v>
      </c>
      <c r="C4" s="99" t="str">
        <f t="shared" ref="C4:C20" si="1">TEXT(ROW()-3,"0")&amp;". Toplantı"</f>
        <v>1. Toplantı</v>
      </c>
      <c r="D4" s="99">
        <f>COUNTIFS(Başvuru!$I:$I,$B4,Başvuru!$P:$P,"ONAY")</f>
        <v>50</v>
      </c>
      <c r="E4" s="99">
        <f>COUNTIFS(Başvuru!$I:$I,$B4,Başvuru!$P:$P,"DÜZELTME")</f>
        <v>2</v>
      </c>
      <c r="F4" s="99">
        <f>COUNTIFS(Başvuru!$I:$I,$B4,Başvuru!$P:$P,"KAEK")</f>
        <v>2</v>
      </c>
      <c r="G4" s="99">
        <f>COUNTIFS(Başvuru!$I:$I,$B4,Başvuru!$P:$P,"GÖRÜŞ")</f>
        <v>0</v>
      </c>
      <c r="H4" s="99">
        <f>COUNTIFS(Başvuru!$I:$I,$B4,Başvuru!$P:$P,"RET")</f>
        <v>0</v>
      </c>
      <c r="I4" s="99">
        <f>COUNTIFS(Başvuru!$I:$I,$B4,Başvuru!$P:$P,"KAPSAM DIŞI")</f>
        <v>1</v>
      </c>
      <c r="J4" s="99">
        <f>COUNTIFS(Başvuru!$I:$I,$B4,Başvuru!$P:$P,"GERİ ÇEKİLDİ")</f>
        <v>0</v>
      </c>
      <c r="K4" s="99">
        <f>COUNTIF(Başvuru!$I:$I,$B4)-COUNTIFS(Başvuru!$I:$I,$B4,Başvuru!$L:$L,"&lt;&gt;")</f>
        <v>0</v>
      </c>
      <c r="L4" s="101">
        <f t="shared" ref="L4:L20" si="2">SUM(D4:K4)</f>
        <v>55</v>
      </c>
      <c r="M4" s="102">
        <f t="shared" ref="M4:M21" si="3">IF(L4&gt;0,D4/L4,"")</f>
        <v>0.90909090909090906</v>
      </c>
      <c r="N4" s="103"/>
    </row>
    <row r="5" spans="1:14" ht="21.75" customHeight="1" x14ac:dyDescent="0.25">
      <c r="A5" s="104">
        <f t="shared" si="0"/>
        <v>2</v>
      </c>
      <c r="B5" s="100">
        <v>46042</v>
      </c>
      <c r="C5" s="104" t="str">
        <f t="shared" si="1"/>
        <v>2. Toplantı</v>
      </c>
      <c r="D5" s="104">
        <f>COUNTIFS(Başvuru!$I:$I,$B5,Başvuru!$P:$P,"ONAY")</f>
        <v>39</v>
      </c>
      <c r="E5" s="104">
        <f>COUNTIFS(Başvuru!$I:$I,$B5,Başvuru!$P:$P,"DÜZELTME")</f>
        <v>3</v>
      </c>
      <c r="F5" s="104">
        <f>COUNTIFS(Başvuru!$I:$I,$B5,Başvuru!$P:$P,"KAEK")</f>
        <v>0</v>
      </c>
      <c r="G5" s="104">
        <f>COUNTIFS(Başvuru!$I:$I,$B5,Başvuru!$P:$P,"GÖRÜŞ")</f>
        <v>0</v>
      </c>
      <c r="H5" s="104">
        <f>COUNTIFS(Başvuru!$I:$I,$B5,Başvuru!$P:$P,"RET")</f>
        <v>0</v>
      </c>
      <c r="I5" s="104">
        <f>COUNTIFS(Başvuru!$I:$I,$B5,Başvuru!$P:$P,"KAPSAM DIŞI")</f>
        <v>0</v>
      </c>
      <c r="J5" s="104">
        <f>COUNTIFS(Başvuru!$I:$I,$B5,Başvuru!$P:$P,"GERİ ÇEKİLDİ")</f>
        <v>3</v>
      </c>
      <c r="K5" s="104">
        <f>COUNTIF(Başvuru!$I:$I,$B5)-COUNTIFS(Başvuru!$I:$I,$B5,Başvuru!$L:$L,"&lt;&gt;")</f>
        <v>0</v>
      </c>
      <c r="L5" s="105">
        <f t="shared" si="2"/>
        <v>45</v>
      </c>
      <c r="M5" s="106">
        <f t="shared" si="3"/>
        <v>0.8666666666666667</v>
      </c>
      <c r="N5" s="107"/>
    </row>
    <row r="6" spans="1:14" ht="21.75" customHeight="1" x14ac:dyDescent="0.25">
      <c r="A6" s="99">
        <f t="shared" si="0"/>
        <v>3</v>
      </c>
      <c r="B6" s="100">
        <v>46057</v>
      </c>
      <c r="C6" s="99" t="str">
        <f t="shared" si="1"/>
        <v>3. Toplantı</v>
      </c>
      <c r="D6" s="99">
        <f>COUNTIFS(Başvuru!$I:$I,$B6,Başvuru!$P:$P,"ONAY")</f>
        <v>41</v>
      </c>
      <c r="E6" s="99">
        <f>COUNTIFS(Başvuru!$I:$I,$B6,Başvuru!$P:$P,"DÜZELTME")</f>
        <v>3</v>
      </c>
      <c r="F6" s="99">
        <f>COUNTIFS(Başvuru!$I:$I,$B6,Başvuru!$P:$P,"KAEK")</f>
        <v>1</v>
      </c>
      <c r="G6" s="99">
        <f>COUNTIFS(Başvuru!$I:$I,$B6,Başvuru!$P:$P,"GÖRÜŞ")</f>
        <v>0</v>
      </c>
      <c r="H6" s="99">
        <f>COUNTIFS(Başvuru!$I:$I,$B6,Başvuru!$P:$P,"RET")</f>
        <v>0</v>
      </c>
      <c r="I6" s="99">
        <f>COUNTIFS(Başvuru!$I:$I,$B6,Başvuru!$P:$P,"KAPSAM DIŞI")</f>
        <v>0</v>
      </c>
      <c r="J6" s="99">
        <f>COUNTIFS(Başvuru!$I:$I,$B6,Başvuru!$P:$P,"GERİ ÇEKİLDİ")</f>
        <v>0</v>
      </c>
      <c r="K6" s="99">
        <f>COUNTIF(Başvuru!$I:$I,$B6)-COUNTIFS(Başvuru!$I:$I,$B6,Başvuru!$L:$L,"&lt;&gt;")</f>
        <v>0</v>
      </c>
      <c r="L6" s="101">
        <f t="shared" si="2"/>
        <v>45</v>
      </c>
      <c r="M6" s="102">
        <f t="shared" si="3"/>
        <v>0.91111111111111109</v>
      </c>
      <c r="N6" s="103"/>
    </row>
    <row r="7" spans="1:14" ht="21.75" customHeight="1" x14ac:dyDescent="0.25">
      <c r="A7" s="104">
        <f t="shared" si="0"/>
        <v>4</v>
      </c>
      <c r="B7" s="100">
        <v>46070</v>
      </c>
      <c r="C7" s="104" t="str">
        <f t="shared" si="1"/>
        <v>4. Toplantı</v>
      </c>
      <c r="D7" s="104">
        <f>COUNTIFS(Başvuru!$I:$I,$B7,Başvuru!$P:$P,"ONAY")</f>
        <v>39</v>
      </c>
      <c r="E7" s="104">
        <f>COUNTIFS(Başvuru!$I:$I,$B7,Başvuru!$P:$P,"DÜZELTME")</f>
        <v>2</v>
      </c>
      <c r="F7" s="104">
        <f>COUNTIFS(Başvuru!$I:$I,$B7,Başvuru!$P:$P,"KAEK")</f>
        <v>1</v>
      </c>
      <c r="G7" s="104">
        <f>COUNTIFS(Başvuru!$I:$I,$B7,Başvuru!$P:$P,"GÖRÜŞ")</f>
        <v>0</v>
      </c>
      <c r="H7" s="104">
        <f>COUNTIFS(Başvuru!$I:$I,$B7,Başvuru!$P:$P,"RET")</f>
        <v>3</v>
      </c>
      <c r="I7" s="104">
        <f>COUNTIFS(Başvuru!$I:$I,$B7,Başvuru!$P:$P,"KAPSAM DIŞI")</f>
        <v>0</v>
      </c>
      <c r="J7" s="104">
        <f>COUNTIFS(Başvuru!$I:$I,$B7,Başvuru!$P:$P,"GERİ ÇEKİLDİ")</f>
        <v>0</v>
      </c>
      <c r="K7" s="104">
        <f>COUNTIF(Başvuru!$I:$I,$B7)-COUNTIFS(Başvuru!$I:$I,$B7,Başvuru!$L:$L,"&lt;&gt;")</f>
        <v>0</v>
      </c>
      <c r="L7" s="105">
        <f t="shared" si="2"/>
        <v>45</v>
      </c>
      <c r="M7" s="106">
        <f t="shared" si="3"/>
        <v>0.8666666666666667</v>
      </c>
      <c r="N7" s="107"/>
    </row>
    <row r="8" spans="1:14" ht="21.75" customHeight="1" x14ac:dyDescent="0.25">
      <c r="A8" s="99">
        <f t="shared" si="0"/>
        <v>5</v>
      </c>
      <c r="B8" s="100">
        <v>46084</v>
      </c>
      <c r="C8" s="99" t="str">
        <f t="shared" si="1"/>
        <v>5. Toplantı</v>
      </c>
      <c r="D8" s="99">
        <f>COUNTIFS(Başvuru!$I:$I,$B8,Başvuru!$P:$P,"ONAY")</f>
        <v>29</v>
      </c>
      <c r="E8" s="99">
        <f>COUNTIFS(Başvuru!$I:$I,$B8,Başvuru!$P:$P,"DÜZELTME")</f>
        <v>3</v>
      </c>
      <c r="F8" s="99">
        <f>COUNTIFS(Başvuru!$I:$I,$B8,Başvuru!$P:$P,"KAEK")</f>
        <v>0</v>
      </c>
      <c r="G8" s="99">
        <f>COUNTIFS(Başvuru!$I:$I,$B8,Başvuru!$P:$P,"GÖRÜŞ")</f>
        <v>0</v>
      </c>
      <c r="H8" s="99">
        <f>COUNTIFS(Başvuru!$I:$I,$B8,Başvuru!$P:$P,"RET")</f>
        <v>0</v>
      </c>
      <c r="I8" s="99">
        <f>COUNTIFS(Başvuru!$I:$I,$B8,Başvuru!$P:$P,"KAPSAM DIŞI")</f>
        <v>3</v>
      </c>
      <c r="J8" s="99">
        <f>COUNTIFS(Başvuru!$I:$I,$B8,Başvuru!$P:$P,"GERİ ÇEKİLDİ")</f>
        <v>0</v>
      </c>
      <c r="K8" s="99">
        <f>COUNTIF(Başvuru!$I:$I,$B8)-COUNTIFS(Başvuru!$I:$I,$B8,Başvuru!$L:$L,"&lt;&gt;")</f>
        <v>0</v>
      </c>
      <c r="L8" s="101">
        <f t="shared" si="2"/>
        <v>35</v>
      </c>
      <c r="M8" s="102">
        <f t="shared" si="3"/>
        <v>0.82857142857142863</v>
      </c>
      <c r="N8" s="103"/>
    </row>
    <row r="9" spans="1:14" ht="21.75" customHeight="1" x14ac:dyDescent="0.25">
      <c r="A9" s="104">
        <f t="shared" si="0"/>
        <v>6</v>
      </c>
      <c r="B9" s="100">
        <v>46098</v>
      </c>
      <c r="C9" s="104" t="str">
        <f t="shared" si="1"/>
        <v>6. Toplantı</v>
      </c>
      <c r="D9" s="104">
        <f>COUNTIFS(Başvuru!$I:$I,$B9,Başvuru!$P:$P,"ONAY")</f>
        <v>39</v>
      </c>
      <c r="E9" s="104">
        <f>COUNTIFS(Başvuru!$I:$I,$B9,Başvuru!$P:$P,"DÜZELTME")</f>
        <v>2</v>
      </c>
      <c r="F9" s="104">
        <f>COUNTIFS(Başvuru!$I:$I,$B9,Başvuru!$P:$P,"KAEK")</f>
        <v>2</v>
      </c>
      <c r="G9" s="104">
        <f>COUNTIFS(Başvuru!$I:$I,$B9,Başvuru!$P:$P,"GÖRÜŞ")</f>
        <v>0</v>
      </c>
      <c r="H9" s="104">
        <f>COUNTIFS(Başvuru!$I:$I,$B9,Başvuru!$P:$P,"RET")</f>
        <v>1</v>
      </c>
      <c r="I9" s="104">
        <f>COUNTIFS(Başvuru!$I:$I,$B9,Başvuru!$P:$P,"KAPSAM DIŞI")</f>
        <v>2</v>
      </c>
      <c r="J9" s="104">
        <f>COUNTIFS(Başvuru!$I:$I,$B9,Başvuru!$P:$P,"GERİ ÇEKİLDİ")</f>
        <v>1</v>
      </c>
      <c r="K9" s="104">
        <f>COUNTIF(Başvuru!$I:$I,$B9)-COUNTIFS(Başvuru!$I:$I,$B9,Başvuru!$L:$L,"&lt;&gt;")</f>
        <v>0</v>
      </c>
      <c r="L9" s="105">
        <f t="shared" si="2"/>
        <v>47</v>
      </c>
      <c r="M9" s="106">
        <f t="shared" si="3"/>
        <v>0.82978723404255317</v>
      </c>
      <c r="N9" s="107"/>
    </row>
    <row r="10" spans="1:14" ht="21.75" customHeight="1" x14ac:dyDescent="0.25">
      <c r="A10" s="99">
        <f t="shared" si="0"/>
        <v>7</v>
      </c>
      <c r="B10" s="100">
        <v>46112</v>
      </c>
      <c r="C10" s="99" t="str">
        <f t="shared" si="1"/>
        <v>7. Toplantı</v>
      </c>
      <c r="D10" s="99">
        <f>COUNTIFS(Başvuru!$I:$I,$B10,Başvuru!$P:$P,"ONAY")</f>
        <v>35</v>
      </c>
      <c r="E10" s="99">
        <f>COUNTIFS(Başvuru!$I:$I,$B10,Başvuru!$P:$P,"DÜZELTME")</f>
        <v>0</v>
      </c>
      <c r="F10" s="99">
        <f>COUNTIFS(Başvuru!$I:$I,$B10,Başvuru!$P:$P,"KAEK")</f>
        <v>1</v>
      </c>
      <c r="G10" s="99">
        <f>COUNTIFS(Başvuru!$I:$I,$B10,Başvuru!$P:$P,"GÖRÜŞ")</f>
        <v>1</v>
      </c>
      <c r="H10" s="99">
        <f>COUNTIFS(Başvuru!$I:$I,$B10,Başvuru!$P:$P,"RET")</f>
        <v>2</v>
      </c>
      <c r="I10" s="99">
        <f>COUNTIFS(Başvuru!$I:$I,$B10,Başvuru!$P:$P,"KAPSAM DIŞI")</f>
        <v>1</v>
      </c>
      <c r="J10" s="99">
        <f>COUNTIFS(Başvuru!$I:$I,$B10,Başvuru!$P:$P,"GERİ ÇEKİLDİ")</f>
        <v>0</v>
      </c>
      <c r="K10" s="99">
        <f>COUNTIF(Başvuru!$I:$I,$B10)-COUNTIFS(Başvuru!$I:$I,$B10,Başvuru!$L:$L,"&lt;&gt;")</f>
        <v>0</v>
      </c>
      <c r="L10" s="101">
        <f t="shared" si="2"/>
        <v>40</v>
      </c>
      <c r="M10" s="102">
        <f t="shared" si="3"/>
        <v>0.875</v>
      </c>
      <c r="N10" s="103"/>
    </row>
    <row r="11" spans="1:14" ht="21.75" customHeight="1" x14ac:dyDescent="0.25">
      <c r="A11" s="104">
        <f t="shared" si="0"/>
        <v>8</v>
      </c>
      <c r="B11" s="100">
        <v>46126</v>
      </c>
      <c r="C11" s="104" t="str">
        <f t="shared" si="1"/>
        <v>8. Toplantı</v>
      </c>
      <c r="D11" s="104">
        <f>COUNTIFS(Başvuru!$I:$I,$B11,Başvuru!$P:$P,"ONAY")</f>
        <v>32</v>
      </c>
      <c r="E11" s="104">
        <f>COUNTIFS(Başvuru!$I:$I,$B11,Başvuru!$P:$P,"DÜZELTME")</f>
        <v>3</v>
      </c>
      <c r="F11" s="104">
        <f>COUNTIFS(Başvuru!$I:$I,$B11,Başvuru!$P:$P,"KAEK")</f>
        <v>1</v>
      </c>
      <c r="G11" s="104">
        <f>COUNTIFS(Başvuru!$I:$I,$B11,Başvuru!$P:$P,"GÖRÜŞ")</f>
        <v>0</v>
      </c>
      <c r="H11" s="104">
        <f>COUNTIFS(Başvuru!$I:$I,$B11,Başvuru!$P:$P,"RET")</f>
        <v>4</v>
      </c>
      <c r="I11" s="104">
        <f>COUNTIFS(Başvuru!$I:$I,$B11,Başvuru!$P:$P,"KAPSAM DIŞI")</f>
        <v>0</v>
      </c>
      <c r="J11" s="104">
        <f>COUNTIFS(Başvuru!$I:$I,$B11,Başvuru!$P:$P,"GERİ ÇEKİLDİ")</f>
        <v>0</v>
      </c>
      <c r="K11" s="104">
        <f>COUNTIF(Başvuru!$I:$I,$B11)-COUNTIFS(Başvuru!$I:$I,$B11,Başvuru!$L:$L,"&lt;&gt;")</f>
        <v>0</v>
      </c>
      <c r="L11" s="105">
        <f t="shared" si="2"/>
        <v>40</v>
      </c>
      <c r="M11" s="106">
        <f t="shared" si="3"/>
        <v>0.8</v>
      </c>
      <c r="N11" s="107"/>
    </row>
    <row r="12" spans="1:14" ht="21.75" customHeight="1" x14ac:dyDescent="0.25">
      <c r="A12" s="99">
        <f t="shared" si="0"/>
        <v>9</v>
      </c>
      <c r="B12" s="100">
        <v>46140</v>
      </c>
      <c r="C12" s="99" t="str">
        <f t="shared" si="1"/>
        <v>9. Toplantı</v>
      </c>
      <c r="D12" s="99">
        <f>COUNTIFS(Başvuru!$I:$I,$B12,Başvuru!$P:$P,"ONAY")</f>
        <v>40</v>
      </c>
      <c r="E12" s="99">
        <f>COUNTIFS(Başvuru!$I:$I,$B12,Başvuru!$P:$P,"DÜZELTME")</f>
        <v>3</v>
      </c>
      <c r="F12" s="99">
        <f>COUNTIFS(Başvuru!$I:$I,$B12,Başvuru!$P:$P,"KAEK")</f>
        <v>0</v>
      </c>
      <c r="G12" s="99">
        <f>COUNTIFS(Başvuru!$I:$I,$B12,Başvuru!$P:$P,"GÖRÜŞ")</f>
        <v>0</v>
      </c>
      <c r="H12" s="99">
        <f>COUNTIFS(Başvuru!$I:$I,$B12,Başvuru!$P:$P,"RET")</f>
        <v>3</v>
      </c>
      <c r="I12" s="99">
        <f>COUNTIFS(Başvuru!$I:$I,$B12,Başvuru!$P:$P,"KAPSAM DIŞI")</f>
        <v>0</v>
      </c>
      <c r="J12" s="99">
        <f>COUNTIFS(Başvuru!$I:$I,$B12,Başvuru!$P:$P,"GERİ ÇEKİLDİ")</f>
        <v>0</v>
      </c>
      <c r="K12" s="99">
        <f>COUNTIF(Başvuru!$I:$I,$B12)-COUNTIFS(Başvuru!$I:$I,$B12,Başvuru!$L:$L,"&lt;&gt;")</f>
        <v>2</v>
      </c>
      <c r="L12" s="101">
        <f t="shared" si="2"/>
        <v>48</v>
      </c>
      <c r="M12" s="102">
        <f t="shared" si="3"/>
        <v>0.83333333333333337</v>
      </c>
      <c r="N12" s="103"/>
    </row>
    <row r="13" spans="1:14" ht="21.75" customHeight="1" x14ac:dyDescent="0.25">
      <c r="A13" s="104">
        <f t="shared" si="0"/>
        <v>10</v>
      </c>
      <c r="B13" s="100">
        <v>46154</v>
      </c>
      <c r="C13" s="104" t="str">
        <f t="shared" si="1"/>
        <v>10. Toplantı</v>
      </c>
      <c r="D13" s="104">
        <f>COUNTIFS(Başvuru!$I:$I,$B13,Başvuru!$P:$P,"ONAY")</f>
        <v>43</v>
      </c>
      <c r="E13" s="104">
        <f>COUNTIFS(Başvuru!$I:$I,$B13,Başvuru!$P:$P,"DÜZELTME")</f>
        <v>4</v>
      </c>
      <c r="F13" s="104">
        <f>COUNTIFS(Başvuru!$I:$I,$B13,Başvuru!$P:$P,"KAEK")</f>
        <v>1</v>
      </c>
      <c r="G13" s="104">
        <f>COUNTIFS(Başvuru!$I:$I,$B13,Başvuru!$P:$P,"GÖRÜŞ")</f>
        <v>1</v>
      </c>
      <c r="H13" s="104">
        <f>COUNTIFS(Başvuru!$I:$I,$B13,Başvuru!$P:$P,"RET")</f>
        <v>0</v>
      </c>
      <c r="I13" s="104">
        <f>COUNTIFS(Başvuru!$I:$I,$B13,Başvuru!$P:$P,"KAPSAM DIŞI")</f>
        <v>1</v>
      </c>
      <c r="J13" s="104">
        <f>COUNTIFS(Başvuru!$I:$I,$B13,Başvuru!$P:$P,"GERİ ÇEKİLDİ")</f>
        <v>0</v>
      </c>
      <c r="K13" s="104">
        <f>COUNTIF(Başvuru!$I:$I,$B13)-COUNTIFS(Başvuru!$I:$I,$B13,Başvuru!$L:$L,"&lt;&gt;")</f>
        <v>2</v>
      </c>
      <c r="L13" s="105">
        <f t="shared" si="2"/>
        <v>52</v>
      </c>
      <c r="M13" s="106">
        <f t="shared" si="3"/>
        <v>0.82692307692307687</v>
      </c>
      <c r="N13" s="107"/>
    </row>
    <row r="14" spans="1:14" ht="21.75" customHeight="1" x14ac:dyDescent="0.25">
      <c r="A14" s="99">
        <f t="shared" si="0"/>
        <v>11</v>
      </c>
      <c r="B14" s="100">
        <v>46175</v>
      </c>
      <c r="C14" s="99" t="str">
        <f t="shared" si="1"/>
        <v>11. Toplantı</v>
      </c>
      <c r="D14" s="99">
        <f>COUNTIFS(Başvuru!$I:$I,$B14,Başvuru!$P:$P,"ONAY")</f>
        <v>36</v>
      </c>
      <c r="E14" s="99">
        <f>COUNTIFS(Başvuru!$I:$I,$B14,Başvuru!$P:$P,"DÜZELTME")</f>
        <v>3</v>
      </c>
      <c r="F14" s="99">
        <f>COUNTIFS(Başvuru!$I:$I,$B14,Başvuru!$P:$P,"KAEK")</f>
        <v>0</v>
      </c>
      <c r="G14" s="99">
        <f>COUNTIFS(Başvuru!$I:$I,$B14,Başvuru!$P:$P,"GÖRÜŞ")</f>
        <v>0</v>
      </c>
      <c r="H14" s="99">
        <f>COUNTIFS(Başvuru!$I:$I,$B14,Başvuru!$P:$P,"RET")</f>
        <v>1</v>
      </c>
      <c r="I14" s="99">
        <f>COUNTIFS(Başvuru!$I:$I,$B14,Başvuru!$P:$P,"KAPSAM DIŞI")</f>
        <v>0</v>
      </c>
      <c r="J14" s="99">
        <f>COUNTIFS(Başvuru!$I:$I,$B14,Başvuru!$P:$P,"GERİ ÇEKİLDİ")</f>
        <v>0</v>
      </c>
      <c r="K14" s="99">
        <f>COUNTIF(Başvuru!$I:$I,$B14)-COUNTIFS(Başvuru!$I:$I,$B14,Başvuru!$L:$L,"&lt;&gt;")</f>
        <v>0</v>
      </c>
      <c r="L14" s="101">
        <f t="shared" si="2"/>
        <v>40</v>
      </c>
      <c r="M14" s="102">
        <f t="shared" si="3"/>
        <v>0.9</v>
      </c>
      <c r="N14" s="103"/>
    </row>
    <row r="15" spans="1:14" ht="21.75" customHeight="1" x14ac:dyDescent="0.25">
      <c r="A15" s="108">
        <f t="shared" si="0"/>
        <v>12</v>
      </c>
      <c r="B15" s="100">
        <v>46196</v>
      </c>
      <c r="C15" s="108" t="str">
        <f t="shared" si="1"/>
        <v>12. Toplantı</v>
      </c>
      <c r="D15" s="108">
        <f>COUNTIFS(Başvuru!$I:$I,$B15,Başvuru!$P:$P,"ONAY")</f>
        <v>28</v>
      </c>
      <c r="E15" s="108">
        <f>COUNTIFS(Başvuru!$I:$I,$B15,Başvuru!$P:$P,"DÜZELTME")</f>
        <v>6</v>
      </c>
      <c r="F15" s="108">
        <f>COUNTIFS(Başvuru!$I:$I,$B15,Başvuru!$P:$P,"KAEK")</f>
        <v>8</v>
      </c>
      <c r="G15" s="108">
        <f>COUNTIFS(Başvuru!$I:$I,$B15,Başvuru!$P:$P,"GÖRÜŞ")</f>
        <v>0</v>
      </c>
      <c r="H15" s="108">
        <f>COUNTIFS(Başvuru!$I:$I,$B15,Başvuru!$P:$P,"RET")</f>
        <v>1</v>
      </c>
      <c r="I15" s="108">
        <f>COUNTIFS(Başvuru!$I:$I,$B15,Başvuru!$P:$P,"KAPSAM DIŞI")</f>
        <v>3</v>
      </c>
      <c r="J15" s="108">
        <f>COUNTIFS(Başvuru!$I:$I,$B15,Başvuru!$P:$P,"GERİ ÇEKİLDİ")</f>
        <v>0</v>
      </c>
      <c r="K15" s="108">
        <f>COUNTIF(Başvuru!$I:$I,$B15)-COUNTIFS(Başvuru!$I:$I,$B15,Başvuru!$L:$L,"&lt;&gt;")</f>
        <v>0</v>
      </c>
      <c r="L15" s="109">
        <f t="shared" si="2"/>
        <v>46</v>
      </c>
      <c r="M15" s="110">
        <f t="shared" si="3"/>
        <v>0.60869565217391308</v>
      </c>
      <c r="N15" s="111"/>
    </row>
    <row r="16" spans="1:14" ht="21.75" customHeight="1" x14ac:dyDescent="0.25">
      <c r="A16" s="99">
        <f t="shared" si="0"/>
        <v>13</v>
      </c>
      <c r="B16" s="100">
        <v>46217</v>
      </c>
      <c r="C16" s="99" t="str">
        <f t="shared" si="1"/>
        <v>13. Toplantı</v>
      </c>
      <c r="D16" s="99">
        <f>COUNTIFS(Başvuru!$I:$I,$B16,Başvuru!$P:$P,"ONAY")</f>
        <v>37</v>
      </c>
      <c r="E16" s="99">
        <f>COUNTIFS(Başvuru!$I:$I,$B16,Başvuru!$P:$P,"DÜZELTME")</f>
        <v>10</v>
      </c>
      <c r="F16" s="99">
        <f>COUNTIFS(Başvuru!$I:$I,$B16,Başvuru!$P:$P,"KAEK")</f>
        <v>1</v>
      </c>
      <c r="G16" s="99">
        <f>COUNTIFS(Başvuru!$I:$I,$B16,Başvuru!$P:$P,"GÖRÜŞ")</f>
        <v>0</v>
      </c>
      <c r="H16" s="99">
        <f>COUNTIFS(Başvuru!$I:$I,$B16,Başvuru!$P:$P,"RET")</f>
        <v>1</v>
      </c>
      <c r="I16" s="99">
        <f>COUNTIFS(Başvuru!$I:$I,$B16,Başvuru!$P:$P,"KAPSAM DIŞI")</f>
        <v>1</v>
      </c>
      <c r="J16" s="99">
        <f>COUNTIFS(Başvuru!$I:$I,$B16,Başvuru!$P:$P,"GERİ ÇEKİLDİ")</f>
        <v>0</v>
      </c>
      <c r="K16" s="99">
        <f>COUNTIF(Başvuru!$I:$I,$B16)-COUNTIFS(Başvuru!$I:$I,$B16,Başvuru!$L:$L,"&lt;&gt;")</f>
        <v>0</v>
      </c>
      <c r="L16" s="101">
        <f t="shared" si="2"/>
        <v>50</v>
      </c>
      <c r="M16" s="102">
        <f t="shared" si="3"/>
        <v>0.74</v>
      </c>
      <c r="N16" s="103"/>
    </row>
    <row r="17" spans="1:14" ht="21.75" customHeight="1" x14ac:dyDescent="0.25">
      <c r="A17" s="108">
        <f t="shared" si="0"/>
        <v>14</v>
      </c>
      <c r="B17" s="100">
        <v>46224</v>
      </c>
      <c r="C17" s="108" t="str">
        <f t="shared" si="1"/>
        <v>14. Toplantı</v>
      </c>
      <c r="D17" s="108">
        <f>COUNTIFS(Başvuru!$I:$I,$B17,Başvuru!$P:$P,"ONAY")</f>
        <v>36</v>
      </c>
      <c r="E17" s="108">
        <f>COUNTIFS(Başvuru!$I:$I,$B17,Başvuru!$P:$P,"DÜZELTME")</f>
        <v>9</v>
      </c>
      <c r="F17" s="108">
        <f>COUNTIFS(Başvuru!$I:$I,$B17,Başvuru!$P:$P,"KAEK")</f>
        <v>2</v>
      </c>
      <c r="G17" s="108">
        <f>COUNTIFS(Başvuru!$I:$I,$B17,Başvuru!$P:$P,"GÖRÜŞ")</f>
        <v>0</v>
      </c>
      <c r="H17" s="108">
        <f>COUNTIFS(Başvuru!$I:$I,$B17,Başvuru!$P:$P,"RET")</f>
        <v>1</v>
      </c>
      <c r="I17" s="108">
        <f>COUNTIFS(Başvuru!$I:$I,$B17,Başvuru!$P:$P,"KAPSAM DIŞI")</f>
        <v>2</v>
      </c>
      <c r="J17" s="108">
        <f>COUNTIFS(Başvuru!$I:$I,$B17,Başvuru!$P:$P,"GERİ ÇEKİLDİ")</f>
        <v>0</v>
      </c>
      <c r="K17" s="108">
        <f>COUNTIF(Başvuru!$I:$I,$B17)-COUNTIFS(Başvuru!$I:$I,$B17,Başvuru!$L:$L,"&lt;&gt;")</f>
        <v>1</v>
      </c>
      <c r="L17" s="109">
        <f t="shared" si="2"/>
        <v>51</v>
      </c>
      <c r="M17" s="110">
        <f t="shared" si="3"/>
        <v>0.70588235294117652</v>
      </c>
      <c r="N17" s="111"/>
    </row>
    <row r="18" spans="1:14" ht="21.75" customHeight="1" x14ac:dyDescent="0.25">
      <c r="A18" s="108">
        <f t="shared" si="0"/>
        <v>15</v>
      </c>
      <c r="B18" s="100">
        <v>46231</v>
      </c>
      <c r="C18" s="108" t="str">
        <f t="shared" si="1"/>
        <v>15. Toplantı</v>
      </c>
      <c r="D18" s="108">
        <f>COUNTIFS(Başvuru!$I:$I,$B18,Başvuru!$P:$P,"ONAY")</f>
        <v>21</v>
      </c>
      <c r="E18" s="108">
        <f>COUNTIFS(Başvuru!$I:$I,$B18,Başvuru!$P:$P,"DÜZELTME")</f>
        <v>0</v>
      </c>
      <c r="F18" s="108">
        <f>COUNTIFS(Başvuru!$I:$I,$B18,Başvuru!$P:$P,"KAEK")</f>
        <v>0</v>
      </c>
      <c r="G18" s="108">
        <f>COUNTIFS(Başvuru!$I:$I,$B18,Başvuru!$P:$P,"GÖRÜŞ")</f>
        <v>0</v>
      </c>
      <c r="H18" s="108">
        <f>COUNTIFS(Başvuru!$I:$I,$B18,Başvuru!$P:$P,"RET")</f>
        <v>2</v>
      </c>
      <c r="I18" s="108">
        <f>COUNTIFS(Başvuru!$I:$I,$B18,Başvuru!$P:$P,"KAPSAM DIŞI")</f>
        <v>1</v>
      </c>
      <c r="J18" s="108">
        <f>COUNTIFS(Başvuru!$I:$I,$B18,Başvuru!$P:$P,"GERİ ÇEKİLDİ")</f>
        <v>0</v>
      </c>
      <c r="K18" s="108">
        <f>COUNTIF(Başvuru!$I:$I,$B18)-COUNTIFS(Başvuru!$I:$I,$B18,Başvuru!$L:$L,"&lt;&gt;")</f>
        <v>10</v>
      </c>
      <c r="L18" s="109">
        <f t="shared" si="2"/>
        <v>34</v>
      </c>
      <c r="M18" s="110">
        <f t="shared" si="3"/>
        <v>0.61764705882352944</v>
      </c>
      <c r="N18" s="111"/>
    </row>
    <row r="19" spans="1:14" ht="21.75" customHeight="1" x14ac:dyDescent="0.25">
      <c r="A19" s="108">
        <f t="shared" si="0"/>
        <v>16</v>
      </c>
      <c r="B19" s="100">
        <v>46259</v>
      </c>
      <c r="C19" s="108" t="str">
        <f t="shared" si="1"/>
        <v>16. Toplantı</v>
      </c>
      <c r="D19" s="108">
        <f>COUNTIFS(Başvuru!$I:$I,$B19,Başvuru!$P:$P,"ONAY")</f>
        <v>0</v>
      </c>
      <c r="E19" s="108">
        <f>COUNTIFS(Başvuru!$I:$I,$B19,Başvuru!$P:$P,"DÜZELTME")</f>
        <v>0</v>
      </c>
      <c r="F19" s="108">
        <f>COUNTIFS(Başvuru!$I:$I,$B19,Başvuru!$P:$P,"KAEK")</f>
        <v>0</v>
      </c>
      <c r="G19" s="108">
        <f>COUNTIFS(Başvuru!$I:$I,$B19,Başvuru!$P:$P,"GÖRÜŞ")</f>
        <v>0</v>
      </c>
      <c r="H19" s="108">
        <f>COUNTIFS(Başvuru!$I:$I,$B19,Başvuru!$P:$P,"RET")</f>
        <v>0</v>
      </c>
      <c r="I19" s="108">
        <f>COUNTIFS(Başvuru!$I:$I,$B19,Başvuru!$P:$P,"KAPSAM DIŞI")</f>
        <v>0</v>
      </c>
      <c r="J19" s="108">
        <f>COUNTIFS(Başvuru!$I:$I,$B19,Başvuru!$P:$P,"GERİ ÇEKİLDİ")</f>
        <v>0</v>
      </c>
      <c r="K19" s="108">
        <f>COUNTIF(Başvuru!$I:$I,$B19)-COUNTIFS(Başvuru!$I:$I,$B19,Başvuru!$L:$L,"&lt;&gt;")</f>
        <v>50</v>
      </c>
      <c r="L19" s="109">
        <f t="shared" si="2"/>
        <v>50</v>
      </c>
      <c r="M19" s="110">
        <f t="shared" si="3"/>
        <v>0</v>
      </c>
      <c r="N19" s="111"/>
    </row>
    <row r="20" spans="1:14" ht="21.75" customHeight="1" x14ac:dyDescent="0.25">
      <c r="A20" s="108">
        <f t="shared" si="0"/>
        <v>17</v>
      </c>
      <c r="B20" s="100">
        <v>46273</v>
      </c>
      <c r="C20" s="108" t="str">
        <f t="shared" si="1"/>
        <v>17. Toplantı</v>
      </c>
      <c r="D20" s="108">
        <f>COUNTIFS(Başvuru!$I:$I,$B20,Başvuru!$P:$P,"ONAY")</f>
        <v>0</v>
      </c>
      <c r="E20" s="108">
        <f>COUNTIFS(Başvuru!$I:$I,$B20,Başvuru!$P:$P,"DÜZELTME")</f>
        <v>0</v>
      </c>
      <c r="F20" s="108">
        <f>COUNTIFS(Başvuru!$I:$I,$B20,Başvuru!$P:$P,"KAEK")</f>
        <v>0</v>
      </c>
      <c r="G20" s="108">
        <f>COUNTIFS(Başvuru!$I:$I,$B20,Başvuru!$P:$P,"GÖRÜŞ")</f>
        <v>0</v>
      </c>
      <c r="H20" s="108">
        <f>COUNTIFS(Başvuru!$I:$I,$B20,Başvuru!$P:$P,"RET")</f>
        <v>0</v>
      </c>
      <c r="I20" s="108">
        <f>COUNTIFS(Başvuru!$I:$I,$B20,Başvuru!$P:$P,"KAPSAM DIŞI")</f>
        <v>0</v>
      </c>
      <c r="J20" s="108">
        <f>COUNTIFS(Başvuru!$I:$I,$B20,Başvuru!$P:$P,"GERİ ÇEKİLDİ")</f>
        <v>0</v>
      </c>
      <c r="K20" s="108">
        <f>COUNTIF(Başvuru!$I:$I,$B20)-COUNTIFS(Başvuru!$I:$I,$B20,Başvuru!$L:$L,"&lt;&gt;")</f>
        <v>18</v>
      </c>
      <c r="L20" s="109">
        <f t="shared" si="2"/>
        <v>18</v>
      </c>
      <c r="M20" s="110">
        <f t="shared" si="3"/>
        <v>0</v>
      </c>
      <c r="N20" s="111"/>
    </row>
    <row r="21" spans="1:14" ht="25.5" customHeight="1" x14ac:dyDescent="0.25">
      <c r="A21" s="208" t="s">
        <v>4524</v>
      </c>
      <c r="B21" s="208"/>
      <c r="C21" s="208"/>
      <c r="D21" s="112">
        <f t="shared" ref="D21:K21" si="4">SUM(D4:D15)</f>
        <v>451</v>
      </c>
      <c r="E21" s="112">
        <f t="shared" si="4"/>
        <v>34</v>
      </c>
      <c r="F21" s="112">
        <f t="shared" si="4"/>
        <v>17</v>
      </c>
      <c r="G21" s="112">
        <f t="shared" si="4"/>
        <v>2</v>
      </c>
      <c r="H21" s="112">
        <f t="shared" si="4"/>
        <v>15</v>
      </c>
      <c r="I21" s="112">
        <f t="shared" si="4"/>
        <v>11</v>
      </c>
      <c r="J21" s="112">
        <f t="shared" si="4"/>
        <v>4</v>
      </c>
      <c r="K21" s="112">
        <f t="shared" si="4"/>
        <v>4</v>
      </c>
      <c r="L21" s="112">
        <f>SUM(L4:L20)</f>
        <v>741</v>
      </c>
      <c r="M21" s="113">
        <f t="shared" si="3"/>
        <v>0.60863697705802966</v>
      </c>
    </row>
    <row r="23" spans="1:14" ht="36" customHeight="1" x14ac:dyDescent="0.25">
      <c r="A23" s="209" t="s">
        <v>4525</v>
      </c>
      <c r="B23" s="209"/>
      <c r="C23" s="209"/>
      <c r="D23" s="209"/>
      <c r="E23" s="209"/>
      <c r="F23" s="209"/>
      <c r="G23" s="209"/>
      <c r="H23" s="209"/>
      <c r="I23" s="209"/>
      <c r="J23" s="209"/>
      <c r="K23" s="209"/>
      <c r="L23" s="209"/>
      <c r="M23" s="209"/>
      <c r="N23" s="209"/>
    </row>
  </sheetData>
  <mergeCells count="4">
    <mergeCell ref="A1:N1"/>
    <mergeCell ref="A2:N2"/>
    <mergeCell ref="A21:C21"/>
    <mergeCell ref="A23:N23"/>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2060"/>
  </sheetPr>
  <dimension ref="A1:AT36"/>
  <sheetViews>
    <sheetView showZeros="0" zoomScale="50" zoomScaleNormal="50" workbookViewId="0">
      <selection activeCell="C16" sqref="C16"/>
    </sheetView>
  </sheetViews>
  <sheetFormatPr defaultColWidth="9.140625" defaultRowHeight="18.75" x14ac:dyDescent="0.3"/>
  <cols>
    <col min="1" max="1" width="8.7109375" style="29" customWidth="1"/>
    <col min="2" max="2" width="58.42578125" style="29" customWidth="1"/>
    <col min="3" max="3" width="21.28515625" style="29" customWidth="1"/>
    <col min="4" max="5" width="10.140625" style="29" customWidth="1"/>
    <col min="6" max="10" width="9.28515625" style="29" customWidth="1"/>
    <col min="11" max="11" width="10.140625" style="29" customWidth="1"/>
    <col min="12" max="27" width="9.28515625" style="29" customWidth="1"/>
    <col min="28" max="28" width="10.140625" style="29" customWidth="1"/>
    <col min="29" max="34" width="9.28515625" style="29" customWidth="1"/>
    <col min="35" max="37" width="10.140625" style="29" customWidth="1"/>
    <col min="38" max="42" width="9.28515625" style="29" customWidth="1"/>
    <col min="43" max="43" width="12.7109375" style="29" customWidth="1"/>
    <col min="44" max="44" width="26.140625" style="29" customWidth="1"/>
    <col min="45" max="45" width="16.85546875" style="114" customWidth="1"/>
    <col min="46" max="46" width="14.7109375" style="115" customWidth="1"/>
    <col min="47" max="47" width="16" style="29" customWidth="1"/>
    <col min="48" max="16384" width="9.140625" style="29"/>
  </cols>
  <sheetData>
    <row r="1" spans="1:46" s="116" customFormat="1" ht="20.25" customHeight="1" x14ac:dyDescent="0.25">
      <c r="A1" s="219" t="s">
        <v>4526</v>
      </c>
      <c r="B1" s="220" t="s">
        <v>4527</v>
      </c>
      <c r="C1" s="215" t="s">
        <v>4528</v>
      </c>
      <c r="D1" s="215" t="s">
        <v>38</v>
      </c>
      <c r="E1" s="215"/>
      <c r="F1" s="215"/>
      <c r="G1" s="215"/>
      <c r="H1" s="215"/>
      <c r="I1" s="215"/>
      <c r="J1" s="215"/>
      <c r="K1" s="215"/>
      <c r="L1" s="215" t="s">
        <v>40</v>
      </c>
      <c r="M1" s="215"/>
      <c r="N1" s="215"/>
      <c r="O1" s="215"/>
      <c r="P1" s="215"/>
      <c r="Q1" s="215"/>
      <c r="R1" s="215"/>
      <c r="S1" s="215"/>
      <c r="T1" s="215" t="s">
        <v>41</v>
      </c>
      <c r="U1" s="215"/>
      <c r="V1" s="215"/>
      <c r="W1" s="215"/>
      <c r="X1" s="215"/>
      <c r="Y1" s="215"/>
      <c r="Z1" s="215"/>
      <c r="AA1" s="215"/>
      <c r="AB1" s="215" t="s">
        <v>39</v>
      </c>
      <c r="AC1" s="215"/>
      <c r="AD1" s="215"/>
      <c r="AE1" s="215"/>
      <c r="AF1" s="215"/>
      <c r="AG1" s="215"/>
      <c r="AH1" s="215"/>
      <c r="AI1" s="215"/>
      <c r="AJ1" s="216" t="s">
        <v>4529</v>
      </c>
      <c r="AK1" s="216"/>
      <c r="AL1" s="216"/>
      <c r="AM1" s="216"/>
      <c r="AN1" s="216"/>
      <c r="AO1" s="216"/>
      <c r="AP1" s="216"/>
      <c r="AQ1" s="216"/>
      <c r="AR1" s="217" t="s">
        <v>4530</v>
      </c>
      <c r="AS1" s="218" t="s">
        <v>4531</v>
      </c>
      <c r="AT1" s="210" t="s">
        <v>4532</v>
      </c>
    </row>
    <row r="2" spans="1:46" s="116" customFormat="1" ht="95.25" customHeight="1" x14ac:dyDescent="0.25">
      <c r="A2" s="219"/>
      <c r="B2" s="220"/>
      <c r="C2" s="215"/>
      <c r="D2" s="117" t="s">
        <v>4515</v>
      </c>
      <c r="E2" s="117" t="s">
        <v>4516</v>
      </c>
      <c r="F2" s="117" t="s">
        <v>218</v>
      </c>
      <c r="G2" s="117" t="s">
        <v>4517</v>
      </c>
      <c r="H2" s="117" t="s">
        <v>4518</v>
      </c>
      <c r="I2" s="117" t="s">
        <v>4519</v>
      </c>
      <c r="J2" s="117" t="s">
        <v>4520</v>
      </c>
      <c r="K2" s="118" t="s">
        <v>4</v>
      </c>
      <c r="L2" s="117" t="s">
        <v>4515</v>
      </c>
      <c r="M2" s="117" t="s">
        <v>4516</v>
      </c>
      <c r="N2" s="117" t="s">
        <v>218</v>
      </c>
      <c r="O2" s="117" t="s">
        <v>4517</v>
      </c>
      <c r="P2" s="117" t="s">
        <v>4518</v>
      </c>
      <c r="Q2" s="117" t="s">
        <v>4519</v>
      </c>
      <c r="R2" s="117" t="s">
        <v>4520</v>
      </c>
      <c r="S2" s="118" t="s">
        <v>4</v>
      </c>
      <c r="T2" s="117" t="s">
        <v>4515</v>
      </c>
      <c r="U2" s="117" t="s">
        <v>4516</v>
      </c>
      <c r="V2" s="117" t="s">
        <v>218</v>
      </c>
      <c r="W2" s="117" t="s">
        <v>4517</v>
      </c>
      <c r="X2" s="117" t="s">
        <v>4518</v>
      </c>
      <c r="Y2" s="117" t="s">
        <v>4519</v>
      </c>
      <c r="Z2" s="117" t="s">
        <v>4520</v>
      </c>
      <c r="AA2" s="118" t="s">
        <v>4</v>
      </c>
      <c r="AB2" s="117" t="s">
        <v>4515</v>
      </c>
      <c r="AC2" s="117" t="s">
        <v>4516</v>
      </c>
      <c r="AD2" s="117" t="s">
        <v>218</v>
      </c>
      <c r="AE2" s="117" t="s">
        <v>4517</v>
      </c>
      <c r="AF2" s="117" t="s">
        <v>4518</v>
      </c>
      <c r="AG2" s="117" t="s">
        <v>4519</v>
      </c>
      <c r="AH2" s="117" t="s">
        <v>4520</v>
      </c>
      <c r="AI2" s="118" t="s">
        <v>4</v>
      </c>
      <c r="AJ2" s="117" t="s">
        <v>4515</v>
      </c>
      <c r="AK2" s="117" t="s">
        <v>4516</v>
      </c>
      <c r="AL2" s="117" t="s">
        <v>218</v>
      </c>
      <c r="AM2" s="117" t="s">
        <v>4517</v>
      </c>
      <c r="AN2" s="117" t="s">
        <v>4518</v>
      </c>
      <c r="AO2" s="117" t="s">
        <v>4519</v>
      </c>
      <c r="AP2" s="117" t="s">
        <v>4520</v>
      </c>
      <c r="AQ2" s="118" t="s">
        <v>4</v>
      </c>
      <c r="AR2" s="217"/>
      <c r="AS2" s="218"/>
      <c r="AT2" s="210"/>
    </row>
    <row r="3" spans="1:46" s="116" customFormat="1" ht="30.75" customHeight="1" x14ac:dyDescent="0.25">
      <c r="A3" s="119" t="s">
        <v>69</v>
      </c>
      <c r="B3" s="120" t="s">
        <v>75</v>
      </c>
      <c r="C3" s="121">
        <f>COUNTIF(Başvuru!J2:K1596,"Prof. Dr. Ayşe Nurten AKARSU")</f>
        <v>131</v>
      </c>
      <c r="D3" s="122">
        <f t="array" ref="D3">SUMPRODUCT(((Başvuru!J2:K1596)="Prof. Dr. Ayşe Nurten AKARSU")*(Başvuru!G2:G1596="Bireysel Araştırma")*(Başvuru!L2:L1596="ONAY"))</f>
        <v>42</v>
      </c>
      <c r="E3" s="122">
        <f t="array" ref="E3">SUMPRODUCT(((Başvuru!J2:K1596)="Prof. Dr. Ayşe Nurten AKARSU")*(Başvuru!G2:G1596="Bireysel Araştırma")*(Başvuru!L2:L1596="DÜZELTME"))</f>
        <v>28</v>
      </c>
      <c r="F3" s="122">
        <f t="array" ref="F3">SUMPRODUCT(((Başvuru!J2:K1596)="Prof. Dr. Ayşe Nurten AKARSU")*(Başvuru!G2:G1596="Bireysel Araştırma")*(Başvuru!L2:L1596="KAEK"))</f>
        <v>2</v>
      </c>
      <c r="G3" s="122">
        <f t="array" ref="G3">SUMPRODUCT(((Başvuru!J2:K1596)="Prof. Dr. Ayşe Nurten AKARSU")*(Başvuru!G2:G1596="Bireysel Araştırma")*(Başvuru!L2:L1596="GÖRÜŞ"))</f>
        <v>3</v>
      </c>
      <c r="H3" s="122">
        <f t="array" ref="H3">SUMPRODUCT(((Başvuru!J2:K1596)="Prof. Dr. Ayşe Nurten AKARSU")*(Başvuru!G2:G1596="Bireysel Araştırma")*(Başvuru!L2:L1596="RET"))</f>
        <v>3</v>
      </c>
      <c r="I3" s="122">
        <f t="array" ref="I3">SUMPRODUCT(((Başvuru!J2:K1596)="Prof. Dr. Ayşe Nurten AKARSU")*(Başvuru!G2:G1596="Bireysel Araştırma")*(Başvuru!L2:L1596="KAPSAM DIŞI"))</f>
        <v>2</v>
      </c>
      <c r="J3" s="122">
        <f t="array" ref="J3">SUMPRODUCT(((Başvuru!J2:K1596)="Prof. Dr. Ayşe Nurten AKARSU")*(Başvuru!G2:G1596="Bireysel Araştırma")*(Başvuru!L2:L1596="GERİ ÇEKİLDİ"))</f>
        <v>0</v>
      </c>
      <c r="K3" s="121">
        <f t="shared" ref="K3:K14" si="0">SUM(D3:J3)</f>
        <v>80</v>
      </c>
      <c r="L3" s="121">
        <f t="array" ref="L3">SUMPRODUCT(((Başvuru!J2:K1596)="Prof. Dr. Ayşe Nurten AKARSU")*(Başvuru!G2:G1596="Yüksek Lisans Tezi")*(Başvuru!L2:L1596="ONAY"))</f>
        <v>2</v>
      </c>
      <c r="M3" s="121">
        <f t="array" ref="M3">SUMPRODUCT(((Başvuru!J2:K1596)="Prof. Dr. Ayşe Nurten AKARSU")*(Başvuru!G2:G1596="Yüksek Lisans Tezi")*(Başvuru!L2:L1596="DÜZELTME"))</f>
        <v>6</v>
      </c>
      <c r="N3" s="121">
        <f t="array" ref="N3">SUMPRODUCT(((Başvuru!J2:K1596)="Prof. Dr. Ayşe Nurten AKARSU")*(Başvuru!G2:G1596="Yüksek Lisans Tezi")*(Başvuru!L2:L1596="KAEK"))</f>
        <v>1</v>
      </c>
      <c r="O3" s="121">
        <f t="array" ref="O3">SUMPRODUCT(((Başvuru!J2:K1596)="Prof. Dr. Ayşe Nurten AKARSU")*(Başvuru!G2:G1596="Yüksek Lisans Tezi")*(Başvuru!L2:L1596="GÖRÜŞ"))</f>
        <v>0</v>
      </c>
      <c r="P3" s="121">
        <f t="array" ref="P3">SUMPRODUCT(((Başvuru!J2:K1596)="Prof. Dr. Ayşe Nurten AKARSU")*(Başvuru!G2:G1596="Yüksek Lisans Tezi")*(Başvuru!L2:L1596="RET"))</f>
        <v>0</v>
      </c>
      <c r="Q3" s="121">
        <f t="array" ref="Q3">SUMPRODUCT(((Başvuru!J2:K1596)="Prof. Dr. Ayşe Nurten AKARSU")*(Başvuru!G2:G1596="Yüksek Lisans Tezi")*(Başvuru!L2:L1596="KAPSAM DIŞI"))</f>
        <v>0</v>
      </c>
      <c r="R3" s="121">
        <f t="array" ref="R3">SUMPRODUCT(((Başvuru!J2:K1596)="Prof. Dr. Ayşe Nurten AKARSU")*(Başvuru!G2:G1596="Yüksek Lisans Tezi")*(Başvuru!L2:L1596="GERİ ÇEKİLDİ"))</f>
        <v>0</v>
      </c>
      <c r="S3" s="121">
        <f t="shared" ref="S3:S14" si="1">SUM(L3:R3)</f>
        <v>9</v>
      </c>
      <c r="T3" s="121">
        <f t="array" ref="T3">SUMPRODUCT(((Başvuru!J2:K1596)="Prof. Dr. Ayşe Nurten AKARSU")*(Başvuru!G2:G1596="Doktora Tezi")*(Başvuru!L2:L1596="ONAY"))</f>
        <v>4</v>
      </c>
      <c r="U3" s="121">
        <f t="array" ref="U3">SUMPRODUCT(((Başvuru!J2:K1596)="Prof. Dr. Ayşe Nurten AKARSU")*(Başvuru!G2:G1596="Doktora Tezi")*(Başvuru!L2:L1596="DÜZELTME"))</f>
        <v>5</v>
      </c>
      <c r="V3" s="121">
        <f t="array" ref="V3">SUMPRODUCT(((Başvuru!J2:K1596)="Prof. Dr. Ayşe Nurten AKARSU")*(Başvuru!G2:G1596="Doktora Tezi")*(Başvuru!L2:L1596="KAEK"))</f>
        <v>0</v>
      </c>
      <c r="W3" s="121">
        <f t="array" ref="W3">SUMPRODUCT(((Başvuru!J2:K1596)="Prof. Dr. Ayşe Nurten AKARSU")*(Başvuru!G2:G1596="Doktora Tezi")*(Başvuru!L2:L1596="GÖRÜŞ"))</f>
        <v>0</v>
      </c>
      <c r="X3" s="121">
        <f t="array" ref="X3">SUMPRODUCT(((Başvuru!J2:K1596)="Prof. Dr. Ayşe Nurten AKARSU")*(Başvuru!G2:G1596="Doktora Tezi")*(Başvuru!L2:L1596="RET"))</f>
        <v>0</v>
      </c>
      <c r="Y3" s="121">
        <f t="array" ref="Y3">SUMPRODUCT(((Başvuru!J2:K1596)="Prof. Dr. Ayşe Nurten AKARSU")*(Başvuru!G2:G1596="Doktora Tezi")*(Başvuru!L2:L1596="KAPSAM DIŞI"))</f>
        <v>0</v>
      </c>
      <c r="Z3" s="121">
        <f t="array" ref="Z3">SUMPRODUCT(((Başvuru!J2:K1596)="Prof. Dr. Ayşe Nurten AKARSU")*(Başvuru!G2:G1596="Doktora Tezi")*(Başvuru!L2:L1596="GERİ ÇEKİLDİ"))</f>
        <v>0</v>
      </c>
      <c r="AA3" s="121">
        <f t="shared" ref="AA3:AA14" si="2">SUM(T3:Z3)</f>
        <v>9</v>
      </c>
      <c r="AB3" s="121">
        <f t="array" ref="AB3">SUMPRODUCT(((Başvuru!J2:K1596)="Prof. Dr. Ayşe Nurten AKARSU")*(Başvuru!G2:G1596="Uzmanlık Tezi")*(Başvuru!L2:L1596="ONAY"))</f>
        <v>11</v>
      </c>
      <c r="AC3" s="121">
        <f t="array" ref="AC3">SUMPRODUCT(((Başvuru!J2:K1596)="Prof. Dr. Ayşe Nurten AKARSU")*(Başvuru!G2:G1596="Uzmanlık Tezi")*(Başvuru!L2:L1596="DÜZELTME"))</f>
        <v>4</v>
      </c>
      <c r="AD3" s="121">
        <f t="array" ref="AD3">SUMPRODUCT(((Başvuru!J2:K1596)="Prof. Dr. Ayşe Nurten AKARSU")*(Başvuru!G2:G1596="Uzmanlık Tezi")*(Başvuru!L2:L1596="KAEK"))</f>
        <v>0</v>
      </c>
      <c r="AE3" s="121">
        <f t="array" ref="AE3">SUMPRODUCT(((Başvuru!J2:K1596)="Prof. Dr. Ayşe Nurten AKARSU")*(Başvuru!G2:G1596="Uzmanlık Tezi")*(Başvuru!L2:L1596="GÖRÜŞ"))</f>
        <v>0</v>
      </c>
      <c r="AF3" s="121">
        <f t="array" ref="AF3">SUMPRODUCT(((Başvuru!J2:K1596)="Prof. Dr. Ayşe Nurten AKARSU")*(Başvuru!G2:G1596="Uzmanlık Tezi")*(Başvuru!L2:L1596="RET"))</f>
        <v>1</v>
      </c>
      <c r="AG3" s="121">
        <f t="array" ref="AG3">SUMPRODUCT(((Başvuru!J2:K1596)="Prof. Dr. Ayşe Nurten AKARSU")*(Başvuru!G2:G1596="Uzmanlık Tezi")*(Başvuru!L2:L1596="KAPSAM DIŞI"))</f>
        <v>1</v>
      </c>
      <c r="AH3" s="121">
        <f t="array" ref="AH3">SUMPRODUCT(((Başvuru!J2:K1596)="Prof. Dr. Ayşe Nurten AKARSU")*(Başvuru!G2:G1596="Uzmanlık Tezi")*(Başvuru!L2:L1596="GERİ ÇEKİLDİ"))</f>
        <v>0</v>
      </c>
      <c r="AI3" s="121">
        <f t="shared" ref="AI3:AI14" si="3">SUM(AB3:AH3)</f>
        <v>17</v>
      </c>
      <c r="AJ3" s="123">
        <f t="shared" ref="AJ3:AJ14" si="4">SUM(D3,L3,T3,AB3)</f>
        <v>59</v>
      </c>
      <c r="AK3" s="123">
        <f t="shared" ref="AK3:AK14" si="5">SUM(E3,M3,U3,AC3)</f>
        <v>43</v>
      </c>
      <c r="AL3" s="123">
        <f t="shared" ref="AL3:AL14" si="6">SUM(F3,N3,V3,AD3)</f>
        <v>3</v>
      </c>
      <c r="AM3" s="123">
        <f t="shared" ref="AM3:AM14" si="7">SUM(G3,O3,W3,AE3)</f>
        <v>3</v>
      </c>
      <c r="AN3" s="123">
        <f t="shared" ref="AN3:AN14" si="8">SUM(H3,P3,X3,AF3)</f>
        <v>4</v>
      </c>
      <c r="AO3" s="123">
        <f t="shared" ref="AO3:AO14" si="9">SUM(I3,Q3,Y3,AG3)</f>
        <v>3</v>
      </c>
      <c r="AP3" s="123">
        <f t="shared" ref="AP3:AP14" si="10">SUM(J3,R3,Z3,AH3)</f>
        <v>0</v>
      </c>
      <c r="AQ3" s="124">
        <f t="shared" ref="AQ3:AQ15" si="11">SUM(AJ3:AP3)</f>
        <v>115</v>
      </c>
      <c r="AR3" s="121">
        <f t="shared" ref="AR3:AR14" si="12">C3-AQ3</f>
        <v>16</v>
      </c>
      <c r="AS3" s="125">
        <f>COUNTIF(Başvuru!$Q:$Q,$B3)</f>
        <v>32</v>
      </c>
      <c r="AT3" s="126">
        <f>COUNTIFS(Başvuru!$Q:$Q,$B3,Başvuru!$J:$J,"&lt;&gt;"&amp;$B3,Başvuru!$K:$K,"&lt;&gt;"&amp;$B3)</f>
        <v>6</v>
      </c>
    </row>
    <row r="4" spans="1:46" s="116" customFormat="1" ht="30" customHeight="1" x14ac:dyDescent="0.25">
      <c r="A4" s="119" t="s">
        <v>78</v>
      </c>
      <c r="B4" s="120" t="s">
        <v>123</v>
      </c>
      <c r="C4" s="121">
        <f>COUNTIF(Başvuru!J2:K1596,"Prof. Dr. M. Özgür UYANIK")</f>
        <v>137</v>
      </c>
      <c r="D4" s="122">
        <f t="array" ref="D4">SUMPRODUCT(((Başvuru!J2:K1596)="Prof. Dr. M. Özgür UYANIK")*(Başvuru!G2:G1596="Bireysel Araştırma")*(Başvuru!L2:L1596="ONAY"))</f>
        <v>57</v>
      </c>
      <c r="E4" s="122">
        <f t="array" ref="E4">SUMPRODUCT(((Başvuru!J2:K1596)="Prof. Dr. M. Özgür UYANIK")*(Başvuru!G2:G1596="Bireysel Araştırma")*(Başvuru!L2:L1596="DÜZELTME"))</f>
        <v>24</v>
      </c>
      <c r="F4" s="122">
        <f t="array" ref="F4">SUMPRODUCT(((Başvuru!J2:K1596)="Prof. Dr. M. Özgür UYANIK")*(Başvuru!G2:G1596="Bireysel Araştırma")*(Başvuru!L2:L1596="KAEK"))</f>
        <v>2</v>
      </c>
      <c r="G4" s="122">
        <f t="array" ref="G4">SUMPRODUCT(((Başvuru!J2:K1596)="Prof. Dr. M. Özgür UYANIK")*(Başvuru!G2:G1596="Bireysel Araştırma")*(Başvuru!L2:L1596="GÖRÜŞ"))</f>
        <v>3</v>
      </c>
      <c r="H4" s="122">
        <f t="array" ref="H4">SUMPRODUCT(((Başvuru!J2:K1596)="Prof. Dr. M. Özgür UYANIK")*(Başvuru!G2:G1596="Bireysel Araştırma")*(Başvuru!L2:L1596="RET"))</f>
        <v>4</v>
      </c>
      <c r="I4" s="122">
        <f t="array" ref="I4">SUMPRODUCT(((Başvuru!J2:K1596)="Prof. Dr. M. Özgür UYANIK")*(Başvuru!G2:G1596="Bireysel Araştırma")*(Başvuru!L2:L1596="KAPSAM DIŞI"))</f>
        <v>0</v>
      </c>
      <c r="J4" s="122">
        <f t="array" ref="J4">SUMPRODUCT(((Başvuru!J2:K1596)="Prof. Dr. M. Özgür UYANIK")*(Başvuru!G2:G1596="Bireysel Araştırma")*(Başvuru!L2:L1596="GERİ ÇEKİLDİ"))</f>
        <v>0</v>
      </c>
      <c r="K4" s="121">
        <f t="shared" si="0"/>
        <v>90</v>
      </c>
      <c r="L4" s="121">
        <f t="array" ref="L4">SUMPRODUCT(((Başvuru!J2:K1596)="Prof. Dr. M. Özgür UYANIK")*(Başvuru!G2:G1596="Yüksek Lisans Tezi")*(Başvuru!L2:L1596="ONAY"))</f>
        <v>1</v>
      </c>
      <c r="M4" s="121">
        <f t="array" ref="M4">SUMPRODUCT(((Başvuru!J2:K1596)="Prof. Dr. M. Özgür UYANIK")*(Başvuru!G2:G1596="Yüksek Lisans Tezi")*(Başvuru!L2:L1596="DÜZELTME"))</f>
        <v>0</v>
      </c>
      <c r="N4" s="121">
        <f t="array" ref="N4">SUMPRODUCT(((Başvuru!J2:K1596)="Prof. Dr. M. Özgür UYANIK")*(Başvuru!G2:G1596="Yüksek Lisans Tezi")*(Başvuru!L2:L1596="KAEK"))</f>
        <v>0</v>
      </c>
      <c r="O4" s="121">
        <f t="array" ref="O4">SUMPRODUCT(((Başvuru!J2:K1596)="Prof. Dr. M. Özgür UYANIK")*(Başvuru!G2:G1596="Yüksek Lisans Tezi")*(Başvuru!L2:L1596="GÖRÜŞ"))</f>
        <v>0</v>
      </c>
      <c r="P4" s="121">
        <f t="array" ref="P4">SUMPRODUCT(((Başvuru!J2:K1596)="Prof. Dr. M. Özgür UYANIK")*(Başvuru!G2:G1596="Yüksek Lisans Tezi")*(Başvuru!L2:L1596="RET"))</f>
        <v>0</v>
      </c>
      <c r="Q4" s="121">
        <f t="array" ref="Q4">SUMPRODUCT(((Başvuru!J2:K1596)="Prof. Dr. M. Özgür UYANIK")*(Başvuru!G2:G1596="Yüksek Lisans Tezi")*(Başvuru!L2:L1596="KAPSAM DIŞI"))</f>
        <v>0</v>
      </c>
      <c r="R4" s="121">
        <f t="array" ref="R4">SUMPRODUCT(((Başvuru!J2:K1596)="Prof. Dr. M. Özgür UYANIK")*(Başvuru!G2:G1596="Yüksek Lisans Tezi")*(Başvuru!L2:L1596="GERİ ÇEKİLDİ"))</f>
        <v>0</v>
      </c>
      <c r="S4" s="121">
        <f t="shared" si="1"/>
        <v>1</v>
      </c>
      <c r="T4" s="121">
        <f t="array" ref="T4">SUMPRODUCT(((Başvuru!J2:K1596)="Prof. Dr. M. Özgür UYANIK")*(Başvuru!G2:G1596="Doktora Tezi")*(Başvuru!L2:L1596="ONAY"))</f>
        <v>1</v>
      </c>
      <c r="U4" s="121">
        <f t="array" ref="U4">SUMPRODUCT(((Başvuru!J2:K1596)="Prof. Dr. M. Özgür UYANIK")*(Başvuru!G2:G1596="Doktora Tezi")*(Başvuru!L2:L1596="DÜZELTME"))</f>
        <v>1</v>
      </c>
      <c r="V4" s="121">
        <f t="array" ref="V4">SUMPRODUCT(((Başvuru!J2:K1596)="Prof. Dr. M. Özgür UYANIK")*(Başvuru!G2:G1596="Doktora Tezi")*(Başvuru!L2:L1596="KAEK"))</f>
        <v>0</v>
      </c>
      <c r="W4" s="121">
        <f t="array" ref="W4">SUMPRODUCT(((Başvuru!J2:K1596)="Prof. Dr. M. Özgür UYANIK")*(Başvuru!G2:G1596="Doktora Tezi")*(Başvuru!L2:L1596="GÖRÜŞ"))</f>
        <v>0</v>
      </c>
      <c r="X4" s="121">
        <f t="array" ref="X4">SUMPRODUCT(((Başvuru!J2:K1596)="Prof. Dr. M. Özgür UYANIK")*(Başvuru!G2:G1596="Doktora Tezi")*(Başvuru!L2:L1596="RET"))</f>
        <v>0</v>
      </c>
      <c r="Y4" s="121">
        <f t="array" ref="Y4">SUMPRODUCT(((Başvuru!J2:K1596)="Prof. Dr. M. Özgür UYANIK")*(Başvuru!G2:G1596="Doktora Tezi")*(Başvuru!L2:L1596="KAPSAM DIŞI"))</f>
        <v>0</v>
      </c>
      <c r="Z4" s="121">
        <f t="array" ref="Z4">SUMPRODUCT(((Başvuru!J2:K1596)="Prof. Dr. M. Özgür UYANIK")*(Başvuru!G2:G1596="Doktora Tezi")*(Başvuru!L2:L1596="GERİ ÇEKİLDİ"))</f>
        <v>0</v>
      </c>
      <c r="AA4" s="121">
        <f t="shared" si="2"/>
        <v>2</v>
      </c>
      <c r="AB4" s="121">
        <f t="array" ref="AB4">SUMPRODUCT(((Başvuru!J2:K1596)="Prof. Dr. M. Özgür UYANIK")*(Başvuru!G2:G1596="Uzmanlık Tezi")*(Başvuru!L2:L1596="ONAY"))</f>
        <v>19</v>
      </c>
      <c r="AC4" s="121">
        <f t="array" ref="AC4">SUMPRODUCT(((Başvuru!J2:K1596)="Prof. Dr. M. Özgür UYANIK")*(Başvuru!G2:G1596="Uzmanlık Tezi")*(Başvuru!L2:L1596="DÜZELTME"))</f>
        <v>6</v>
      </c>
      <c r="AD4" s="121">
        <f t="array" ref="AD4">SUMPRODUCT(((Başvuru!J2:K1596)="Prof. Dr. M. Özgür UYANIK")*(Başvuru!G2:G1596="Uzmanlık Tezi")*(Başvuru!L2:L1596="KAEK"))</f>
        <v>0</v>
      </c>
      <c r="AE4" s="121">
        <f t="array" ref="AE4">SUMPRODUCT(((Başvuru!J2:K1596)="Prof. Dr. M. Özgür UYANIK")*(Başvuru!G2:G1596="Uzmanlık Tezi")*(Başvuru!L2:L1596="GÖRÜŞ"))</f>
        <v>1</v>
      </c>
      <c r="AF4" s="121">
        <f t="array" ref="AF4">SUMPRODUCT(((Başvuru!J2:K1596)="Prof. Dr. M. Özgür UYANIK")*(Başvuru!G2:G1596="Uzmanlık Tezi")*(Başvuru!L2:L1596="RET"))</f>
        <v>1</v>
      </c>
      <c r="AG4" s="121">
        <f t="array" ref="AG4">SUMPRODUCT(((Başvuru!J2:K1596)="Prof. Dr. M. Özgür UYANIK")*(Başvuru!G2:G1596="Uzmanlık Tezi")*(Başvuru!L2:L1596="KAPSAM DIŞI"))</f>
        <v>1</v>
      </c>
      <c r="AH4" s="121">
        <f t="array" ref="AH4">SUMPRODUCT(((Başvuru!J2:K1596)="Prof. Dr. M. Özgür UYANIK")*(Başvuru!G2:G1596="Uzmanlık Tezi")*(Başvuru!L2:L1596="GERİ ÇEKİLDİ"))</f>
        <v>0</v>
      </c>
      <c r="AI4" s="121">
        <f t="shared" si="3"/>
        <v>28</v>
      </c>
      <c r="AJ4" s="123">
        <f t="shared" si="4"/>
        <v>78</v>
      </c>
      <c r="AK4" s="123">
        <f t="shared" si="5"/>
        <v>31</v>
      </c>
      <c r="AL4" s="123">
        <f t="shared" si="6"/>
        <v>2</v>
      </c>
      <c r="AM4" s="123">
        <f t="shared" si="7"/>
        <v>4</v>
      </c>
      <c r="AN4" s="123">
        <f t="shared" si="8"/>
        <v>5</v>
      </c>
      <c r="AO4" s="123">
        <f t="shared" si="9"/>
        <v>1</v>
      </c>
      <c r="AP4" s="123">
        <f t="shared" si="10"/>
        <v>0</v>
      </c>
      <c r="AQ4" s="124">
        <f t="shared" si="11"/>
        <v>121</v>
      </c>
      <c r="AR4" s="121">
        <f t="shared" si="12"/>
        <v>16</v>
      </c>
      <c r="AS4" s="125">
        <f>COUNTIF(Başvuru!$Q:$Q,$B4)</f>
        <v>6</v>
      </c>
      <c r="AT4" s="126">
        <f>COUNTIFS(Başvuru!$Q:$Q,$B4,Başvuru!$J:$J,"&lt;&gt;"&amp;$B4,Başvuru!$K:$K,"&lt;&gt;"&amp;$B4)</f>
        <v>0</v>
      </c>
    </row>
    <row r="5" spans="1:46" s="116" customFormat="1" ht="30" customHeight="1" x14ac:dyDescent="0.25">
      <c r="A5" s="119" t="s">
        <v>85</v>
      </c>
      <c r="B5" s="120" t="s">
        <v>109</v>
      </c>
      <c r="C5" s="121">
        <f>COUNTIF(Başvuru!J2:K1596,"Prof. Dr. Melih Önder BABAOĞLU")</f>
        <v>104</v>
      </c>
      <c r="D5" s="122">
        <f t="array" ref="D5">SUMPRODUCT(((Başvuru!J2:K1596)="Prof. Dr. Melih Önder BABAOĞLU")*(Başvuru!G2:G1596="Bireysel Araştırma")*(Başvuru!L2:L1596="ONAY"))</f>
        <v>30</v>
      </c>
      <c r="E5" s="122">
        <f t="array" ref="E5">SUMPRODUCT(((Başvuru!J2:K1596)="Prof. Dr. Melih Önder BABAOĞLU")*(Başvuru!G2:G1596="Bireysel Araştırma")*(Başvuru!L2:L1596="DÜZELTME"))</f>
        <v>34</v>
      </c>
      <c r="F5" s="122">
        <f t="array" ref="F5">SUMPRODUCT(((Başvuru!J2:K1596)="Prof. Dr. Melih Önder BABAOĞLU")*(Başvuru!G2:G1596="Bireysel Araştırma")*(Başvuru!L2:L1596="KAEK"))</f>
        <v>2</v>
      </c>
      <c r="G5" s="122">
        <f t="array" ref="G5">SUMPRODUCT(((Başvuru!J2:K1596)="Prof. Dr. Melih Önder BABAOĞLU")*(Başvuru!G2:G1596="Bireysel Araştırma")*(Başvuru!L2:L1596="GÖRÜŞ"))</f>
        <v>3</v>
      </c>
      <c r="H5" s="122">
        <f t="array" ref="H5">SUMPRODUCT(((Başvuru!J2:K1596)="Prof. Dr. Melih Önder BABAOĞLU")*(Başvuru!G2:G1596="Bireysel Araştırma")*(Başvuru!L2:L1596="RET"))</f>
        <v>6</v>
      </c>
      <c r="I5" s="122">
        <f t="array" ref="I5">SUMPRODUCT(((Başvuru!J2:K1596)="Prof. Dr. Melih Önder BABAOĞLU")*(Başvuru!G2:G1596="Bireysel Araştırma")*(Başvuru!L2:L1596="KAPSAM DIŞI"))</f>
        <v>4</v>
      </c>
      <c r="J5" s="122">
        <f t="array" ref="J5">SUMPRODUCT(((Başvuru!J2:K1596)="Prof. Dr. Melih Önder BABAOĞLU")*(Başvuru!G2:G1596="Bireysel Araştırma")*(Başvuru!L2:L1596="GERİ ÇEKİLDİ"))</f>
        <v>0</v>
      </c>
      <c r="K5" s="121">
        <f t="shared" si="0"/>
        <v>79</v>
      </c>
      <c r="L5" s="121">
        <f t="array" ref="L5">SUMPRODUCT(((Başvuru!J2:K1596)="Prof. Dr. Melih Önder BABAOĞLU")*(Başvuru!G2:G1596="Yüksek Lisans Tezi")*(Başvuru!L2:L1596="ONAY"))</f>
        <v>0</v>
      </c>
      <c r="M5" s="121">
        <f t="array" ref="M5">SUMPRODUCT(((Başvuru!J2:K1596)="Prof. Dr. Melih Önder BABAOĞLU")*(Başvuru!G2:G1596="Yüksek Lisans Tezi")*(Başvuru!L2:L1596="DÜZELTME"))</f>
        <v>4</v>
      </c>
      <c r="N5" s="121">
        <f t="array" ref="N5">SUMPRODUCT(((Başvuru!J2:K1596)="Prof. Dr. Melih Önder BABAOĞLU")*(Başvuru!G2:G1596="Yüksek Lisans Tezi")*(Başvuru!L2:L1596="KAEK"))</f>
        <v>0</v>
      </c>
      <c r="O5" s="121">
        <f t="array" ref="O5">SUMPRODUCT(((Başvuru!J2:K1596)="Prof. Dr. Melih Önder BABAOĞLU")*(Başvuru!G2:G1596="Yüksek Lisans Tezi")*(Başvuru!L2:L1596="GÖRÜŞ"))</f>
        <v>0</v>
      </c>
      <c r="P5" s="121">
        <f t="array" ref="P5">SUMPRODUCT(((Başvuru!J2:K1596)="Prof. Dr. Melih Önder BABAOĞLU")*(Başvuru!G2:G1596="Yüksek Lisans Tezi")*(Başvuru!L2:L1596="RET"))</f>
        <v>0</v>
      </c>
      <c r="Q5" s="121">
        <f t="array" ref="Q5">SUMPRODUCT(((Başvuru!J2:K1596)="Prof. Dr. Melih Önder BABAOĞLU")*(Başvuru!G2:G1596="Yüksek Lisans Tezi")*(Başvuru!L2:L1596="KAPSAM DIŞI"))</f>
        <v>0</v>
      </c>
      <c r="R5" s="121">
        <f t="array" ref="R5">SUMPRODUCT(((Başvuru!J2:K1596)="Prof. Dr. Melih Önder BABAOĞLU")*(Başvuru!G2:G1596="Yüksek Lisans Tezi")*(Başvuru!L2:L1596="GERİ ÇEKİLDİ"))</f>
        <v>0</v>
      </c>
      <c r="S5" s="121">
        <f t="shared" si="1"/>
        <v>4</v>
      </c>
      <c r="T5" s="121">
        <f t="array" ref="T5">SUMPRODUCT(((Başvuru!J2:K1596)="Prof. Dr. Melih Önder BABAOĞLU")*(Başvuru!G2:G1596="Doktora Tezi")*(Başvuru!L2:L1596="ONAY"))</f>
        <v>0</v>
      </c>
      <c r="U5" s="121">
        <f t="array" ref="U5">SUMPRODUCT(((Başvuru!J2:K1596)="Prof. Dr. Melih Önder BABAOĞLU")*(Başvuru!G2:G1596="Doktora Tezi")*(Başvuru!L2:L1596="DÜZELTME"))</f>
        <v>2</v>
      </c>
      <c r="V5" s="121">
        <f t="array" ref="V5">SUMPRODUCT(((Başvuru!J2:K1596)="Prof. Dr. Melih Önder BABAOĞLU")*(Başvuru!G2:G1596="Doktora Tezi")*(Başvuru!L2:L1596="KAEK"))</f>
        <v>0</v>
      </c>
      <c r="W5" s="121">
        <f t="array" ref="W5">SUMPRODUCT(((Başvuru!J2:K1596)="Prof. Dr. Melih Önder BABAOĞLU")*(Başvuru!G2:G1596="Doktora Tezi")*(Başvuru!L2:L1596="GÖRÜŞ"))</f>
        <v>0</v>
      </c>
      <c r="X5" s="121">
        <f t="array" ref="X5">SUMPRODUCT(((Başvuru!J2:K1596)="Prof. Dr. Melih Önder BABAOĞLU")*(Başvuru!G2:G1596="Doktora Tezi")*(Başvuru!L2:L1596="RET"))</f>
        <v>0</v>
      </c>
      <c r="Y5" s="121">
        <f t="array" ref="Y5">SUMPRODUCT(((Başvuru!J2:K1596)="Prof. Dr. Melih Önder BABAOĞLU")*(Başvuru!G2:G1596="Doktora Tezi")*(Başvuru!L2:L1596="KAPSAM DIŞI"))</f>
        <v>0</v>
      </c>
      <c r="Z5" s="121">
        <f t="array" ref="Z5">SUMPRODUCT(((Başvuru!J2:K1596)="Prof. Dr. Melih Önder BABAOĞLU")*(Başvuru!G2:G1596="Doktora Tezi")*(Başvuru!L2:L1596="GERİ ÇEKİLDİ"))</f>
        <v>0</v>
      </c>
      <c r="AA5" s="121">
        <f t="shared" si="2"/>
        <v>2</v>
      </c>
      <c r="AB5" s="121">
        <f t="array" ref="AB5">SUMPRODUCT(((Başvuru!J2:K1596)="Prof. Dr. Melih Önder BABAOĞLU")*(Başvuru!G2:G1596="Uzmanlık Tezi")*(Başvuru!L2:L1596="ONAY"))</f>
        <v>7</v>
      </c>
      <c r="AC5" s="121">
        <f t="array" ref="AC5">SUMPRODUCT(((Başvuru!J2:K1596)="Prof. Dr. Melih Önder BABAOĞLU")*(Başvuru!G2:G1596="Uzmanlık Tezi")*(Başvuru!L2:L1596="DÜZELTME"))</f>
        <v>6</v>
      </c>
      <c r="AD5" s="121">
        <f t="array" ref="AD5">SUMPRODUCT(((Başvuru!J2:K1596)="Prof. Dr. Melih Önder BABAOĞLU")*(Başvuru!G2:G1596="Uzmanlık Tezi")*(Başvuru!L2:L1596="KAEK"))</f>
        <v>0</v>
      </c>
      <c r="AE5" s="121">
        <f t="array" ref="AE5">SUMPRODUCT(((Başvuru!J2:K1596)="Prof. Dr. Melih Önder BABAOĞLU")*(Başvuru!G2:G1596="Uzmanlık Tezi")*(Başvuru!L2:L1596="GÖRÜŞ"))</f>
        <v>2</v>
      </c>
      <c r="AF5" s="121">
        <f t="array" ref="AF5">SUMPRODUCT(((Başvuru!J2:K1596)="Prof. Dr. Melih Önder BABAOĞLU")*(Başvuru!G2:G1596="Uzmanlık Tezi")*(Başvuru!L2:L1596="RET"))</f>
        <v>1</v>
      </c>
      <c r="AG5" s="121">
        <f t="array" ref="AG5">SUMPRODUCT(((Başvuru!J2:K1596)="Prof. Dr. Melih Önder BABAOĞLU")*(Başvuru!G2:G1596="Uzmanlık Tezi")*(Başvuru!L2:L1596="KAPSAM DIŞI"))</f>
        <v>1</v>
      </c>
      <c r="AH5" s="121">
        <f t="array" ref="AH5">SUMPRODUCT(((Başvuru!J2:K1596)="Prof. Dr. Melih Önder BABAOĞLU")*(Başvuru!G2:G1596="Uzmanlık Tezi")*(Başvuru!L2:L1596="GERİ ÇEKİLDİ"))</f>
        <v>0</v>
      </c>
      <c r="AI5" s="121">
        <f t="shared" si="3"/>
        <v>17</v>
      </c>
      <c r="AJ5" s="123">
        <f t="shared" si="4"/>
        <v>37</v>
      </c>
      <c r="AK5" s="123">
        <f t="shared" si="5"/>
        <v>46</v>
      </c>
      <c r="AL5" s="123">
        <f t="shared" si="6"/>
        <v>2</v>
      </c>
      <c r="AM5" s="123">
        <f t="shared" si="7"/>
        <v>5</v>
      </c>
      <c r="AN5" s="123">
        <f t="shared" si="8"/>
        <v>7</v>
      </c>
      <c r="AO5" s="123">
        <f t="shared" si="9"/>
        <v>5</v>
      </c>
      <c r="AP5" s="123">
        <f t="shared" si="10"/>
        <v>0</v>
      </c>
      <c r="AQ5" s="124">
        <f t="shared" si="11"/>
        <v>102</v>
      </c>
      <c r="AR5" s="121">
        <f t="shared" si="12"/>
        <v>2</v>
      </c>
      <c r="AS5" s="125">
        <f>COUNTIF(Başvuru!$Q:$Q,$B5)</f>
        <v>25</v>
      </c>
      <c r="AT5" s="126">
        <f>COUNTIFS(Başvuru!$Q:$Q,$B5,Başvuru!$J:$J,"&lt;&gt;"&amp;$B5,Başvuru!$K:$K,"&lt;&gt;"&amp;$B5)</f>
        <v>1</v>
      </c>
    </row>
    <row r="6" spans="1:46" s="116" customFormat="1" ht="30" customHeight="1" x14ac:dyDescent="0.25">
      <c r="A6" s="119" t="s">
        <v>93</v>
      </c>
      <c r="B6" s="120" t="s">
        <v>116</v>
      </c>
      <c r="C6" s="121">
        <f>COUNTIF(Başvuru!J2:K1596,"Prof. Dr. Ayşe KİN İŞLER")</f>
        <v>128</v>
      </c>
      <c r="D6" s="122">
        <f t="array" ref="D6">SUMPRODUCT(((Başvuru!J2:K1596)="Prof. Dr. Ayşe KİN İŞLER")*(Başvuru!G2:G1596="Bireysel Araştırma")*(Başvuru!L2:L1596="ONAY"))</f>
        <v>58</v>
      </c>
      <c r="E6" s="122">
        <f t="array" ref="E6">SUMPRODUCT(((Başvuru!J2:K1596)="Prof. Dr. Ayşe KİN İŞLER")*(Başvuru!G2:G1596="Bireysel Araştırma")*(Başvuru!L2:L1596="DÜZELTME"))</f>
        <v>27</v>
      </c>
      <c r="F6" s="122">
        <f t="array" ref="F6">SUMPRODUCT(((Başvuru!J2:K1596)="Prof. Dr. Ayşe KİN İŞLER")*(Başvuru!G2:G1596="Bireysel Araştırma")*(Başvuru!L2:L1596="KAEK"))</f>
        <v>3</v>
      </c>
      <c r="G6" s="122">
        <f t="array" ref="G6">SUMPRODUCT(((Başvuru!J2:K1596)="Prof. Dr. Ayşe KİN İŞLER")*(Başvuru!G2:G1596="Bireysel Araştırma")*(Başvuru!L2:L1596="GÖRÜŞ"))</f>
        <v>3</v>
      </c>
      <c r="H6" s="122">
        <f t="array" ref="H6">SUMPRODUCT(((Başvuru!J2:K1596)="Prof. Dr. Ayşe KİN İŞLER")*(Başvuru!G2:G1596="Bireysel Araştırma")*(Başvuru!L2:L1596="RET"))</f>
        <v>0</v>
      </c>
      <c r="I6" s="122">
        <f t="array" ref="I6">SUMPRODUCT(((Başvuru!J2:K1596)="Prof. Dr. Ayşe KİN İŞLER")*(Başvuru!G2:G1596="Bireysel Araştırma")*(Başvuru!L2:L1596="KAPSAM DIŞI"))</f>
        <v>0</v>
      </c>
      <c r="J6" s="122">
        <f t="array" ref="J6">SUMPRODUCT(((Başvuru!J2:K1596)="Prof. Dr. Ayşe KİN İŞLER")*(Başvuru!G2:G1596="Bireysel Araştırma")*(Başvuru!L2:L1596="GERİ ÇEKİLDİ"))</f>
        <v>0</v>
      </c>
      <c r="K6" s="121">
        <f t="shared" si="0"/>
        <v>91</v>
      </c>
      <c r="L6" s="121">
        <f t="array" ref="L6">SUMPRODUCT(((Başvuru!J2:K1596)="Prof. Dr. Ayşe KİN İŞLER")*(Başvuru!G2:G1596="Yüksek Lisans Tezi")*(Başvuru!L2:L1596="ONAY"))</f>
        <v>2</v>
      </c>
      <c r="M6" s="121">
        <f t="array" ref="M6">SUMPRODUCT(((Başvuru!J2:K1596)="Prof. Dr. Ayşe KİN İŞLER")*(Başvuru!G2:G1596="Yüksek Lisans Tezi")*(Başvuru!L2:L1596="DÜZELTME"))</f>
        <v>2</v>
      </c>
      <c r="N6" s="121">
        <f t="array" ref="N6">SUMPRODUCT(((Başvuru!J2:K1596)="Prof. Dr. Ayşe KİN İŞLER")*(Başvuru!G2:G1596="Yüksek Lisans Tezi")*(Başvuru!L2:L1596="KAEK"))</f>
        <v>0</v>
      </c>
      <c r="O6" s="121">
        <f t="array" ref="O6">SUMPRODUCT(((Başvuru!J2:K1596)="Prof. Dr. Ayşe KİN İŞLER")*(Başvuru!G2:G1596="Yüksek Lisans Tezi")*(Başvuru!L2:L1596="GÖRÜŞ"))</f>
        <v>0</v>
      </c>
      <c r="P6" s="121">
        <f t="array" ref="P6">SUMPRODUCT(((Başvuru!J2:K1596)="Prof. Dr. Ayşe KİN İŞLER")*(Başvuru!G2:G1596="Yüksek Lisans Tezi")*(Başvuru!L2:L1596="RET"))</f>
        <v>0</v>
      </c>
      <c r="Q6" s="121">
        <f t="array" ref="Q6">SUMPRODUCT(((Başvuru!J2:K1596)="Prof. Dr. Ayşe KİN İŞLER")*(Başvuru!G2:G1596="Yüksek Lisans Tezi")*(Başvuru!L2:L1596="KAPSAM DIŞI"))</f>
        <v>0</v>
      </c>
      <c r="R6" s="121">
        <f t="array" ref="R6">SUMPRODUCT(((Başvuru!J2:K1596)="Prof. Dr. Ayşe KİN İŞLER")*(Başvuru!G2:G1596="Yüksek Lisans Tezi")*(Başvuru!L2:L1596="GERİ ÇEKİLDİ"))</f>
        <v>0</v>
      </c>
      <c r="S6" s="121">
        <f t="shared" si="1"/>
        <v>4</v>
      </c>
      <c r="T6" s="121">
        <f t="array" ref="T6">SUMPRODUCT(((Başvuru!J2:K1596)="Prof. Dr. Ayşe KİN İŞLER")*(Başvuru!G2:G1596="Doktora Tezi")*(Başvuru!L2:L1596="ONAY"))</f>
        <v>2</v>
      </c>
      <c r="U6" s="121">
        <f t="array" ref="U6">SUMPRODUCT(((Başvuru!J2:K1596)="Prof. Dr. Ayşe KİN İŞLER")*(Başvuru!G2:G1596="Doktora Tezi")*(Başvuru!L2:L1596="DÜZELTME"))</f>
        <v>1</v>
      </c>
      <c r="V6" s="121">
        <f t="array" ref="V6">SUMPRODUCT(((Başvuru!J2:K1596)="Prof. Dr. Ayşe KİN İŞLER")*(Başvuru!G2:G1596="Doktora Tezi")*(Başvuru!L2:L1596="KAEK"))</f>
        <v>0</v>
      </c>
      <c r="W6" s="121">
        <f t="array" ref="W6">SUMPRODUCT(((Başvuru!J2:K1596)="Prof. Dr. Ayşe KİN İŞLER")*(Başvuru!G2:G1596="Doktora Tezi")*(Başvuru!L2:L1596="GÖRÜŞ"))</f>
        <v>0</v>
      </c>
      <c r="X6" s="121">
        <f t="array" ref="X6">SUMPRODUCT(((Başvuru!J2:K1596)="Prof. Dr. Ayşe KİN İŞLER")*(Başvuru!G2:G1596="Doktora Tezi")*(Başvuru!L2:L1596="RET"))</f>
        <v>0</v>
      </c>
      <c r="Y6" s="121">
        <f t="array" ref="Y6">SUMPRODUCT(((Başvuru!J2:K1596)="Prof. Dr. Ayşe KİN İŞLER")*(Başvuru!G2:G1596="Doktora Tezi")*(Başvuru!L2:L1596="KAPSAM DIŞI"))</f>
        <v>0</v>
      </c>
      <c r="Z6" s="121">
        <f t="array" ref="Z6">SUMPRODUCT(((Başvuru!J2:K1596)="Prof. Dr. Ayşe KİN İŞLER")*(Başvuru!G2:G1596="Doktora Tezi")*(Başvuru!L2:L1596="GERİ ÇEKİLDİ"))</f>
        <v>0</v>
      </c>
      <c r="AA6" s="121">
        <f t="shared" si="2"/>
        <v>3</v>
      </c>
      <c r="AB6" s="121">
        <f t="array" ref="AB6">SUMPRODUCT(((Başvuru!J2:K1596)="Prof. Dr. Ayşe KİN İŞLER")*(Başvuru!G2:G1596="Uzmanlık Tezi")*(Başvuru!L2:L1596="ONAY"))</f>
        <v>8</v>
      </c>
      <c r="AC6" s="121">
        <f t="array" ref="AC6">SUMPRODUCT(((Başvuru!J2:K1596)="Prof. Dr. Ayşe KİN İŞLER")*(Başvuru!G2:G1596="Uzmanlık Tezi")*(Başvuru!L2:L1596="DÜZELTME"))</f>
        <v>7</v>
      </c>
      <c r="AD6" s="121">
        <f t="array" ref="AD6">SUMPRODUCT(((Başvuru!J2:K1596)="Prof. Dr. Ayşe KİN İŞLER")*(Başvuru!G2:G1596="Uzmanlık Tezi")*(Başvuru!L2:L1596="KAEK"))</f>
        <v>0</v>
      </c>
      <c r="AE6" s="121">
        <f t="array" ref="AE6">SUMPRODUCT(((Başvuru!J2:K1596)="Prof. Dr. Ayşe KİN İŞLER")*(Başvuru!G2:G1596="Uzmanlık Tezi")*(Başvuru!L2:L1596="GÖRÜŞ"))</f>
        <v>0</v>
      </c>
      <c r="AF6" s="121">
        <f t="array" ref="AF6">SUMPRODUCT(((Başvuru!J2:K1596)="Prof. Dr. Ayşe KİN İŞLER")*(Başvuru!G2:G1596="Uzmanlık Tezi")*(Başvuru!L2:L1596="RET"))</f>
        <v>0</v>
      </c>
      <c r="AG6" s="121">
        <f t="array" ref="AG6">SUMPRODUCT(((Başvuru!J2:K1596)="Prof. Dr. Ayşe KİN İŞLER")*(Başvuru!G2:G1596="Uzmanlık Tezi")*(Başvuru!L2:L1596="KAPSAM DIŞI"))</f>
        <v>0</v>
      </c>
      <c r="AH6" s="121">
        <f t="array" ref="AH6">SUMPRODUCT(((Başvuru!J2:K1596)="Prof. Dr. Ayşe KİN İŞLER")*(Başvuru!G2:G1596="Uzmanlık Tezi")*(Başvuru!L2:L1596="GERİ ÇEKİLDİ"))</f>
        <v>0</v>
      </c>
      <c r="AI6" s="121">
        <f t="shared" si="3"/>
        <v>15</v>
      </c>
      <c r="AJ6" s="123">
        <f t="shared" si="4"/>
        <v>70</v>
      </c>
      <c r="AK6" s="123">
        <f t="shared" si="5"/>
        <v>37</v>
      </c>
      <c r="AL6" s="123">
        <f t="shared" si="6"/>
        <v>3</v>
      </c>
      <c r="AM6" s="123">
        <f t="shared" si="7"/>
        <v>3</v>
      </c>
      <c r="AN6" s="123">
        <f t="shared" si="8"/>
        <v>0</v>
      </c>
      <c r="AO6" s="123">
        <f t="shared" si="9"/>
        <v>0</v>
      </c>
      <c r="AP6" s="123">
        <f t="shared" si="10"/>
        <v>0</v>
      </c>
      <c r="AQ6" s="124">
        <f t="shared" si="11"/>
        <v>113</v>
      </c>
      <c r="AR6" s="121">
        <f t="shared" si="12"/>
        <v>15</v>
      </c>
      <c r="AS6" s="125">
        <f>COUNTIF(Başvuru!$Q:$Q,$B6)</f>
        <v>12</v>
      </c>
      <c r="AT6" s="126">
        <f>COUNTIFS(Başvuru!$Q:$Q,$B6,Başvuru!$J:$J,"&lt;&gt;"&amp;$B6,Başvuru!$K:$K,"&lt;&gt;"&amp;$B6)</f>
        <v>0</v>
      </c>
    </row>
    <row r="7" spans="1:46" s="116" customFormat="1" ht="30" customHeight="1" x14ac:dyDescent="0.25">
      <c r="A7" s="119" t="s">
        <v>102</v>
      </c>
      <c r="B7" s="120" t="s">
        <v>108</v>
      </c>
      <c r="C7" s="121">
        <f>COUNTIF(Başvuru!J2:K1596,"Prof. Dr. Yavuz AYHAN")</f>
        <v>105</v>
      </c>
      <c r="D7" s="122">
        <f t="array" ref="D7">SUMPRODUCT(((Başvuru!J2:K1596)="Prof. Dr. Yavuz AYHAN")*(Başvuru!G2:G1596="Bireysel Araştırma")*(Başvuru!L2:L1596="ONAY"))</f>
        <v>38</v>
      </c>
      <c r="E7" s="122">
        <f t="array" ref="E7">SUMPRODUCT(((Başvuru!J2:K1596)="Prof. Dr. Yavuz AYHAN")*(Başvuru!G2:G1596="Bireysel Araştırma")*(Başvuru!L2:L1596="DÜZELTME"))</f>
        <v>17</v>
      </c>
      <c r="F7" s="122">
        <f t="array" ref="F7">SUMPRODUCT(((Başvuru!J2:K1596)="Prof. Dr. Yavuz AYHAN")*(Başvuru!G2:G1596="Bireysel Araştırma")*(Başvuru!L2:L1596="KAEK"))</f>
        <v>2</v>
      </c>
      <c r="G7" s="122">
        <f t="array" ref="G7">SUMPRODUCT(((Başvuru!J2:K1596)="Prof. Dr. Yavuz AYHAN")*(Başvuru!G2:G1596="Bireysel Araştırma")*(Başvuru!L2:L1596="GÖRÜŞ"))</f>
        <v>4</v>
      </c>
      <c r="H7" s="122">
        <f t="array" ref="H7">SUMPRODUCT(((Başvuru!J2:K1596)="Prof. Dr. Yavuz AYHAN")*(Başvuru!G2:G1596="Bireysel Araştırma")*(Başvuru!L2:L1596="RET"))</f>
        <v>1</v>
      </c>
      <c r="I7" s="122">
        <f t="array" ref="I7">SUMPRODUCT(((Başvuru!J2:K1596)="Prof. Dr. Yavuz AYHAN")*(Başvuru!G2:G1596="Bireysel Araştırma")*(Başvuru!L2:L1596="KAPSAM DIŞI"))</f>
        <v>4</v>
      </c>
      <c r="J7" s="122">
        <f t="array" ref="J7">SUMPRODUCT(((Başvuru!J2:K1596)="Prof. Dr. Yavuz AYHAN")*(Başvuru!G2:G1596="Bireysel Araştırma")*(Başvuru!L2:L1596="GERİ ÇEKİLDİ"))</f>
        <v>0</v>
      </c>
      <c r="K7" s="121">
        <f t="shared" si="0"/>
        <v>66</v>
      </c>
      <c r="L7" s="121">
        <f t="array" ref="L7">SUMPRODUCT(((Başvuru!J2:K1596)="Prof. Dr. Yavuz AYHAN")*(Başvuru!G2:G1596="Yüksek Lisans Tezi")*(Başvuru!L2:L1596="ONAY"))</f>
        <v>1</v>
      </c>
      <c r="M7" s="121">
        <f t="array" ref="M7">SUMPRODUCT(((Başvuru!J2:K1596)="Prof. Dr. Yavuz AYHAN")*(Başvuru!G2:G1596="Yüksek Lisans Tezi")*(Başvuru!L2:L1596="DÜZELTME"))</f>
        <v>0</v>
      </c>
      <c r="N7" s="121">
        <f t="array" ref="N7">SUMPRODUCT(((Başvuru!J2:K1596)="Prof. Dr. Yavuz AYHAN")*(Başvuru!G2:G1596="Yüksek Lisans Tezi")*(Başvuru!L2:L1596="KAEK"))</f>
        <v>0</v>
      </c>
      <c r="O7" s="121">
        <f t="array" ref="O7">SUMPRODUCT(((Başvuru!J2:K1596)="Prof. Dr. Yavuz AYHAN")*(Başvuru!G2:G1596="Yüksek Lisans Tezi")*(Başvuru!L2:L1596="GÖRÜŞ"))</f>
        <v>0</v>
      </c>
      <c r="P7" s="121">
        <f t="array" ref="P7">SUMPRODUCT(((Başvuru!J2:K1596)="Prof. Dr. Yavuz AYHAN")*(Başvuru!G2:G1596="Yüksek Lisans Tezi")*(Başvuru!L2:L1596="RET"))</f>
        <v>0</v>
      </c>
      <c r="Q7" s="121">
        <f t="array" ref="Q7">SUMPRODUCT(((Başvuru!J2:K1596)="Prof. Dr. Yavuz AYHAN")*(Başvuru!G2:G1596="Yüksek Lisans Tezi")*(Başvuru!L2:L1596="KAPSAM DIŞI"))</f>
        <v>0</v>
      </c>
      <c r="R7" s="121">
        <f t="array" ref="R7">SUMPRODUCT(((Başvuru!J2:K1596)="Prof. Dr. Yavuz AYHAN")*(Başvuru!G2:G1596="Yüksek Lisans Tezi")*(Başvuru!L2:L1596="GERİ ÇEKİLDİ"))</f>
        <v>0</v>
      </c>
      <c r="S7" s="121">
        <f t="shared" si="1"/>
        <v>1</v>
      </c>
      <c r="T7" s="121">
        <f t="array" ref="T7">SUMPRODUCT(((Başvuru!J2:K1596)="Prof. Dr. Yavuz AYHAN")*(Başvuru!G2:G1596="Doktora Tezi")*(Başvuru!L2:L1596="ONAY"))</f>
        <v>1</v>
      </c>
      <c r="U7" s="121">
        <f t="array" ref="U7">SUMPRODUCT(((Başvuru!J2:K1596)="Prof. Dr. Yavuz AYHAN")*(Başvuru!G2:G1596="Doktora Tezi")*(Başvuru!L2:L1596="DÜZELTME"))</f>
        <v>2</v>
      </c>
      <c r="V7" s="121">
        <f t="array" ref="V7">SUMPRODUCT(((Başvuru!J2:K1596)="Prof. Dr. Yavuz AYHAN")*(Başvuru!G2:G1596="Doktora Tezi")*(Başvuru!L2:L1596="KAEK"))</f>
        <v>0</v>
      </c>
      <c r="W7" s="121">
        <f t="array" ref="W7">SUMPRODUCT(((Başvuru!J2:K1596)="Prof. Dr. Yavuz AYHAN")*(Başvuru!G2:G1596="Doktora Tezi")*(Başvuru!L2:L1596="GÖRÜŞ"))</f>
        <v>1</v>
      </c>
      <c r="X7" s="121">
        <f t="array" ref="X7">SUMPRODUCT(((Başvuru!J2:K1596)="Prof. Dr. Yavuz AYHAN")*(Başvuru!G2:G1596="Doktora Tezi")*(Başvuru!L2:L1596="RET"))</f>
        <v>0</v>
      </c>
      <c r="Y7" s="121">
        <f t="array" ref="Y7">SUMPRODUCT(((Başvuru!J2:K1596)="Prof. Dr. Yavuz AYHAN")*(Başvuru!G2:G1596="Doktora Tezi")*(Başvuru!L2:L1596="KAPSAM DIŞI"))</f>
        <v>0</v>
      </c>
      <c r="Z7" s="121">
        <f t="array" ref="Z7">SUMPRODUCT(((Başvuru!J2:K1596)="Prof. Dr. Yavuz AYHAN")*(Başvuru!G2:G1596="Doktora Tezi")*(Başvuru!L2:L1596="GERİ ÇEKİLDİ"))</f>
        <v>0</v>
      </c>
      <c r="AA7" s="121">
        <f t="shared" si="2"/>
        <v>4</v>
      </c>
      <c r="AB7" s="121">
        <f t="array" ref="AB7">SUMPRODUCT(((Başvuru!J2:K1596)="Prof. Dr. Yavuz AYHAN")*(Başvuru!G2:G1596="Uzmanlık Tezi")*(Başvuru!L2:L1596="ONAY"))</f>
        <v>9</v>
      </c>
      <c r="AC7" s="121">
        <f t="array" ref="AC7">SUMPRODUCT(((Başvuru!J2:K1596)="Prof. Dr. Yavuz AYHAN")*(Başvuru!G2:G1596="Uzmanlık Tezi")*(Başvuru!L2:L1596="DÜZELTME"))</f>
        <v>9</v>
      </c>
      <c r="AD7" s="121">
        <f t="array" ref="AD7">SUMPRODUCT(((Başvuru!J2:K1596)="Prof. Dr. Yavuz AYHAN")*(Başvuru!G2:G1596="Uzmanlık Tezi")*(Başvuru!L2:L1596="KAEK"))</f>
        <v>0</v>
      </c>
      <c r="AE7" s="121">
        <f t="array" ref="AE7">SUMPRODUCT(((Başvuru!J2:K1596)="Prof. Dr. Yavuz AYHAN")*(Başvuru!G2:G1596="Uzmanlık Tezi")*(Başvuru!L2:L1596="GÖRÜŞ"))</f>
        <v>1</v>
      </c>
      <c r="AF7" s="121">
        <f t="array" ref="AF7">SUMPRODUCT(((Başvuru!J2:K1596)="Prof. Dr. Yavuz AYHAN")*(Başvuru!G2:G1596="Uzmanlık Tezi")*(Başvuru!L2:L1596="RET"))</f>
        <v>0</v>
      </c>
      <c r="AG7" s="121">
        <f t="array" ref="AG7">SUMPRODUCT(((Başvuru!J2:K1596)="Prof. Dr. Yavuz AYHAN")*(Başvuru!G2:G1596="Uzmanlık Tezi")*(Başvuru!L2:L1596="KAPSAM DIŞI"))</f>
        <v>0</v>
      </c>
      <c r="AH7" s="121">
        <f t="array" ref="AH7">SUMPRODUCT(((Başvuru!J2:K1596)="Prof. Dr. Yavuz AYHAN")*(Başvuru!G2:G1596="Uzmanlık Tezi")*(Başvuru!L2:L1596="GERİ ÇEKİLDİ"))</f>
        <v>0</v>
      </c>
      <c r="AI7" s="121">
        <f t="shared" si="3"/>
        <v>19</v>
      </c>
      <c r="AJ7" s="123">
        <f t="shared" si="4"/>
        <v>49</v>
      </c>
      <c r="AK7" s="123">
        <f t="shared" si="5"/>
        <v>28</v>
      </c>
      <c r="AL7" s="123">
        <f t="shared" si="6"/>
        <v>2</v>
      </c>
      <c r="AM7" s="123">
        <f t="shared" si="7"/>
        <v>6</v>
      </c>
      <c r="AN7" s="123">
        <f t="shared" si="8"/>
        <v>1</v>
      </c>
      <c r="AO7" s="123">
        <f t="shared" si="9"/>
        <v>4</v>
      </c>
      <c r="AP7" s="123">
        <f t="shared" si="10"/>
        <v>0</v>
      </c>
      <c r="AQ7" s="124">
        <f t="shared" si="11"/>
        <v>90</v>
      </c>
      <c r="AR7" s="121">
        <f t="shared" si="12"/>
        <v>15</v>
      </c>
      <c r="AS7" s="125">
        <f>COUNTIF(Başvuru!$Q:$Q,$B7)</f>
        <v>11</v>
      </c>
      <c r="AT7" s="126">
        <f>COUNTIFS(Başvuru!$Q:$Q,$B7,Başvuru!$J:$J,"&lt;&gt;"&amp;$B7,Başvuru!$K:$K,"&lt;&gt;"&amp;$B7)</f>
        <v>0</v>
      </c>
    </row>
    <row r="8" spans="1:46" s="116" customFormat="1" ht="30" customHeight="1" x14ac:dyDescent="0.25">
      <c r="A8" s="119" t="s">
        <v>110</v>
      </c>
      <c r="B8" s="120" t="s">
        <v>129</v>
      </c>
      <c r="C8" s="121">
        <f>COUNTIF(Başvuru!J2:K1596,"Prof. Dr. Nazmiye Ebru ORTAÇ ERSOY")</f>
        <v>100</v>
      </c>
      <c r="D8" s="122">
        <f t="array" ref="D8">SUMPRODUCT(((Başvuru!J2:K1596)="Prof. Dr. Nazmiye Ebru ORTAÇ ERSOY")*(Başvuru!G2:G1596="Bireysel Araştırma")*(Başvuru!L2:L1596="ONAY"))</f>
        <v>49</v>
      </c>
      <c r="E8" s="122">
        <f t="array" ref="E8">SUMPRODUCT(((Başvuru!J2:K1596)="Prof. Dr. Nazmiye Ebru ORTAÇ ERSOY")*(Başvuru!G2:G1596="Bireysel Araştırma")*(Başvuru!L2:L1596="DÜZELTME"))</f>
        <v>21</v>
      </c>
      <c r="F8" s="122">
        <f t="array" ref="F8">SUMPRODUCT(((Başvuru!J2:K1596)="Prof. Dr. Nazmiye Ebru ORTAÇ ERSOY")*(Başvuru!G2:G1596="Bireysel Araştırma")*(Başvuru!L2:L1596="KAEK"))</f>
        <v>1</v>
      </c>
      <c r="G8" s="122">
        <f t="array" ref="G8">SUMPRODUCT(((Başvuru!J2:K1596)="Prof. Dr. Nazmiye Ebru ORTAÇ ERSOY")*(Başvuru!G2:G1596="Bireysel Araştırma")*(Başvuru!L2:L1596="GÖRÜŞ"))</f>
        <v>3</v>
      </c>
      <c r="H8" s="122">
        <f t="array" ref="H8">SUMPRODUCT(((Başvuru!J2:K1596)="Prof. Dr. Nazmiye Ebru ORTAÇ ERSOY")*(Başvuru!G2:G1596="Bireysel Araştırma")*(Başvuru!L2:L1596="RET"))</f>
        <v>3</v>
      </c>
      <c r="I8" s="122">
        <f t="array" ref="I8">SUMPRODUCT(((Başvuru!J2:K1596)="Prof. Dr. Nazmiye Ebru ORTAÇ ERSOY")*(Başvuru!G2:G1596="Bireysel Araştırma")*(Başvuru!L2:L1596="KAPSAM DIŞI"))</f>
        <v>1</v>
      </c>
      <c r="J8" s="122">
        <f t="array" ref="J8">SUMPRODUCT(((Başvuru!J2:K1596)="Prof. Dr. Nazmiye Ebru ORTAÇ ERSOY")*(Başvuru!G2:G1596="Bireysel Araştırma")*(Başvuru!L2:L1596="GERİ ÇEKİLDİ"))</f>
        <v>0</v>
      </c>
      <c r="K8" s="121">
        <f t="shared" si="0"/>
        <v>78</v>
      </c>
      <c r="L8" s="121">
        <f t="array" ref="L8">SUMPRODUCT(((Başvuru!J2:K1596)="Prof. Dr. Nazmiye Ebru ORTAÇ ERSOY")*(Başvuru!G2:G1596="Yüksek Lisans Tezi")*(Başvuru!L2:L1596="ONAY"))</f>
        <v>0</v>
      </c>
      <c r="M8" s="121">
        <f t="array" ref="M8">SUMPRODUCT(((Başvuru!J2:K1596)="Prof. Dr. Nazmiye Ebru ORTAÇ ERSOY")*(Başvuru!G2:G1596="Yüksek Lisans Tezi")*(Başvuru!L2:L1596="DÜZELTME"))</f>
        <v>0</v>
      </c>
      <c r="N8" s="121">
        <f t="array" ref="N8">SUMPRODUCT(((Başvuru!J2:K1596)="Prof. Dr. Nazmiye Ebru ORTAÇ ERSOY")*(Başvuru!G2:G1596="Yüksek Lisans Tezi")*(Başvuru!L2:L1596="KAEK"))</f>
        <v>0</v>
      </c>
      <c r="O8" s="121">
        <f t="array" ref="O8">SUMPRODUCT(((Başvuru!J2:K1596)="Prof. Dr. Nazmiye Ebru ORTAÇ ERSOY")*(Başvuru!G2:G1596="Yüksek Lisans Tezi")*(Başvuru!L2:L1596="GÖRÜŞ"))</f>
        <v>0</v>
      </c>
      <c r="P8" s="121">
        <f t="array" ref="P8">SUMPRODUCT(((Başvuru!J2:K1596)="Prof. Dr. Nazmiye Ebru ORTAÇ ERSOY")*(Başvuru!G2:G1596="Yüksek Lisans Tezi")*(Başvuru!L2:L1596="RET"))</f>
        <v>0</v>
      </c>
      <c r="Q8" s="121">
        <f t="array" ref="Q8">SUMPRODUCT(((Başvuru!J2:K1596)="Prof. Dr. Nazmiye Ebru ORTAÇ ERSOY")*(Başvuru!G2:G1596="Yüksek Lisans Tezi")*(Başvuru!L2:L1596="KAPSAM DIŞI"))</f>
        <v>0</v>
      </c>
      <c r="R8" s="121">
        <f t="array" ref="R8">SUMPRODUCT(((Başvuru!J2:K1596)="Prof. Dr. Nazmiye Ebru ORTAÇ ERSOY")*(Başvuru!G2:G1596="Yüksek Lisans Tezi")*(Başvuru!L2:L1596="GERİ ÇEKİLDİ"))</f>
        <v>0</v>
      </c>
      <c r="S8" s="121">
        <f t="shared" si="1"/>
        <v>0</v>
      </c>
      <c r="T8" s="121">
        <f t="array" ref="T8">SUMPRODUCT(((Başvuru!J2:K1596)="Prof. Dr. Nazmiye Ebru ORTAÇ ERSOY")*(Başvuru!G2:G1596="Doktora Tezi")*(Başvuru!L2:L1596="ONAY"))</f>
        <v>0</v>
      </c>
      <c r="U8" s="121">
        <f t="array" ref="U8">SUMPRODUCT(((Başvuru!J2:K1596)="Prof. Dr. Nazmiye Ebru ORTAÇ ERSOY")*(Başvuru!G2:G1596="Doktora Tezi")*(Başvuru!L2:L1596="DÜZELTME"))</f>
        <v>2</v>
      </c>
      <c r="V8" s="121">
        <f t="array" ref="V8">SUMPRODUCT(((Başvuru!J2:K1596)="Prof. Dr. Nazmiye Ebru ORTAÇ ERSOY")*(Başvuru!G2:G1596="Doktora Tezi")*(Başvuru!L2:L1596="KAEK"))</f>
        <v>0</v>
      </c>
      <c r="W8" s="121">
        <f t="array" ref="W8">SUMPRODUCT(((Başvuru!J2:K1596)="Prof. Dr. Nazmiye Ebru ORTAÇ ERSOY")*(Başvuru!G2:G1596="Doktora Tezi")*(Başvuru!L2:L1596="GÖRÜŞ"))</f>
        <v>0</v>
      </c>
      <c r="X8" s="121">
        <f t="array" ref="X8">SUMPRODUCT(((Başvuru!J2:K1596)="Prof. Dr. Nazmiye Ebru ORTAÇ ERSOY")*(Başvuru!G2:G1596="Doktora Tezi")*(Başvuru!L2:L1596="RET"))</f>
        <v>0</v>
      </c>
      <c r="Y8" s="121">
        <f t="array" ref="Y8">SUMPRODUCT(((Başvuru!J2:K1596)="Prof. Dr. Nazmiye Ebru ORTAÇ ERSOY")*(Başvuru!G2:G1596="Doktora Tezi")*(Başvuru!L2:L1596="KAPSAM DIŞI"))</f>
        <v>0</v>
      </c>
      <c r="Z8" s="121">
        <f t="array" ref="Z8">SUMPRODUCT(((Başvuru!J2:K1596)="Prof. Dr. Nazmiye Ebru ORTAÇ ERSOY")*(Başvuru!G2:G1596="Doktora Tezi")*(Başvuru!L2:L1596="GERİ ÇEKİLDİ"))</f>
        <v>0</v>
      </c>
      <c r="AA8" s="121">
        <f t="shared" si="2"/>
        <v>2</v>
      </c>
      <c r="AB8" s="121">
        <f t="array" ref="AB8">SUMPRODUCT(((Başvuru!J2:K1596)="Prof. Dr. Nazmiye Ebru ORTAÇ ERSOY")*(Başvuru!G2:G1596="Uzmanlık Tezi")*(Başvuru!L2:L1596="ONAY"))</f>
        <v>10</v>
      </c>
      <c r="AC8" s="121">
        <f t="array" ref="AC8">SUMPRODUCT(((Başvuru!J2:K1596)="Prof. Dr. Nazmiye Ebru ORTAÇ ERSOY")*(Başvuru!G2:G1596="Uzmanlık Tezi")*(Başvuru!L2:L1596="DÜZELTME"))</f>
        <v>6</v>
      </c>
      <c r="AD8" s="121">
        <f t="array" ref="AD8">SUMPRODUCT(((Başvuru!J2:K1596)="Prof. Dr. Nazmiye Ebru ORTAÇ ERSOY")*(Başvuru!G2:G1596="Uzmanlık Tezi")*(Başvuru!L2:L1596="KAEK"))</f>
        <v>1</v>
      </c>
      <c r="AE8" s="121">
        <f t="array" ref="AE8">SUMPRODUCT(((Başvuru!J2:K1596)="Prof. Dr. Nazmiye Ebru ORTAÇ ERSOY")*(Başvuru!G2:G1596="Uzmanlık Tezi")*(Başvuru!L2:L1596="GÖRÜŞ"))</f>
        <v>0</v>
      </c>
      <c r="AF8" s="121">
        <f t="array" ref="AF8">SUMPRODUCT(((Başvuru!J2:K1596)="Prof. Dr. Nazmiye Ebru ORTAÇ ERSOY")*(Başvuru!G2:G1596="Uzmanlık Tezi")*(Başvuru!L2:L1596="RET"))</f>
        <v>0</v>
      </c>
      <c r="AG8" s="121">
        <f t="array" ref="AG8">SUMPRODUCT(((Başvuru!J2:K1596)="Prof. Dr. Nazmiye Ebru ORTAÇ ERSOY")*(Başvuru!G2:G1596="Uzmanlık Tezi")*(Başvuru!L2:L1596="KAPSAM DIŞI"))</f>
        <v>0</v>
      </c>
      <c r="AH8" s="121">
        <f t="array" ref="AH8">SUMPRODUCT(((Başvuru!J2:K1596)="Prof. Dr. Nazmiye Ebru ORTAÇ ERSOY")*(Başvuru!G2:G1596="Uzmanlık Tezi")*(Başvuru!L2:L1596="GERİ ÇEKİLDİ"))</f>
        <v>0</v>
      </c>
      <c r="AI8" s="121">
        <f t="shared" si="3"/>
        <v>17</v>
      </c>
      <c r="AJ8" s="123">
        <f t="shared" si="4"/>
        <v>59</v>
      </c>
      <c r="AK8" s="123">
        <f t="shared" si="5"/>
        <v>29</v>
      </c>
      <c r="AL8" s="123">
        <f t="shared" si="6"/>
        <v>2</v>
      </c>
      <c r="AM8" s="123">
        <f t="shared" si="7"/>
        <v>3</v>
      </c>
      <c r="AN8" s="123">
        <f t="shared" si="8"/>
        <v>3</v>
      </c>
      <c r="AO8" s="123">
        <f t="shared" si="9"/>
        <v>1</v>
      </c>
      <c r="AP8" s="123">
        <f t="shared" si="10"/>
        <v>0</v>
      </c>
      <c r="AQ8" s="124">
        <f t="shared" si="11"/>
        <v>97</v>
      </c>
      <c r="AR8" s="121">
        <f t="shared" si="12"/>
        <v>3</v>
      </c>
      <c r="AS8" s="125">
        <f>COUNTIF(Başvuru!$Q:$Q,$B8)</f>
        <v>8</v>
      </c>
      <c r="AT8" s="126">
        <f>COUNTIFS(Başvuru!$Q:$Q,$B8,Başvuru!$J:$J,"&lt;&gt;"&amp;$B8,Başvuru!$K:$K,"&lt;&gt;"&amp;$B8)</f>
        <v>0</v>
      </c>
    </row>
    <row r="9" spans="1:46" s="116" customFormat="1" ht="30" customHeight="1" x14ac:dyDescent="0.25">
      <c r="A9" s="119" t="s">
        <v>117</v>
      </c>
      <c r="B9" s="120" t="s">
        <v>84</v>
      </c>
      <c r="C9" s="121">
        <f>COUNTIF(Başvuru!J2:K1596,"Prof. Dr. Gözde GİRGİN")</f>
        <v>127</v>
      </c>
      <c r="D9" s="122">
        <f t="array" ref="D9">SUMPRODUCT(((Başvuru!J2:K1596)="Prof. Dr. Gözde GİRGİN")*(Başvuru!G2:G1596="Bireysel Araştırma")*(Başvuru!L2:L1596="ONAY"))</f>
        <v>56</v>
      </c>
      <c r="E9" s="122">
        <f t="array" ref="E9">SUMPRODUCT(((Başvuru!J2:K1596)="Prof. Dr. Gözde GİRGİN")*(Başvuru!G2:G1596="Bireysel Araştırma")*(Başvuru!L2:L1596="DÜZELTME"))</f>
        <v>21</v>
      </c>
      <c r="F9" s="122">
        <f t="array" ref="F9">SUMPRODUCT(((Başvuru!J2:K1596)="Prof. Dr. Gözde GİRGİN")*(Başvuru!G2:G1596="Bireysel Araştırma")*(Başvuru!L2:L1596="KAEK"))</f>
        <v>2</v>
      </c>
      <c r="G9" s="122">
        <f t="array" ref="G9">SUMPRODUCT(((Başvuru!J2:K1596)="Prof. Dr. Gözde GİRGİN")*(Başvuru!G2:G1596="Bireysel Araştırma")*(Başvuru!L2:L1596="GÖRÜŞ"))</f>
        <v>5</v>
      </c>
      <c r="H9" s="122">
        <f t="array" ref="H9">SUMPRODUCT(((Başvuru!J2:K1596)="Prof. Dr. Gözde GİRGİN")*(Başvuru!G2:G1596="Bireysel Araştırma")*(Başvuru!L2:L1596="RET"))</f>
        <v>3</v>
      </c>
      <c r="I9" s="122">
        <f t="array" ref="I9">SUMPRODUCT(((Başvuru!J2:K1596)="Prof. Dr. Gözde GİRGİN")*(Başvuru!G2:G1596="Bireysel Araştırma")*(Başvuru!L2:L1596="KAPSAM DIŞI"))</f>
        <v>4</v>
      </c>
      <c r="J9" s="122">
        <f t="array" ref="J9">SUMPRODUCT(((Başvuru!J2:K1596)="Prof. Dr. Gözde GİRGİN")*(Başvuru!G2:G1596="Bireysel Araştırma")*(Başvuru!L2:L1596="GERİ ÇEKİLDİ"))</f>
        <v>0</v>
      </c>
      <c r="K9" s="121">
        <f t="shared" si="0"/>
        <v>91</v>
      </c>
      <c r="L9" s="121">
        <f t="array" ref="L9">SUMPRODUCT(((Başvuru!J2:K1596)="Prof. Dr. Gözde GİRGİN")*(Başvuru!G2:G1596="Yüksek Lisans Tezi")*(Başvuru!L2:L1596="ONAY"))</f>
        <v>0</v>
      </c>
      <c r="M9" s="121">
        <f t="array" ref="M9">SUMPRODUCT(((Başvuru!J2:K1596)="Prof. Dr. Gözde GİRGİN")*(Başvuru!G2:G1596="Yüksek Lisans Tezi")*(Başvuru!L2:L1596="DÜZELTME"))</f>
        <v>4</v>
      </c>
      <c r="N9" s="121">
        <f t="array" ref="N9">SUMPRODUCT(((Başvuru!J2:K1596)="Prof. Dr. Gözde GİRGİN")*(Başvuru!G2:G1596="Yüksek Lisans Tezi")*(Başvuru!L2:L1596="KAEK"))</f>
        <v>0</v>
      </c>
      <c r="O9" s="121">
        <f t="array" ref="O9">SUMPRODUCT(((Başvuru!J2:K1596)="Prof. Dr. Gözde GİRGİN")*(Başvuru!G2:G1596="Yüksek Lisans Tezi")*(Başvuru!L2:L1596="GÖRÜŞ"))</f>
        <v>0</v>
      </c>
      <c r="P9" s="121">
        <f t="array" ref="P9">SUMPRODUCT(((Başvuru!J2:K1596)="Prof. Dr. Gözde GİRGİN")*(Başvuru!G2:G1596="Yüksek Lisans Tezi")*(Başvuru!L2:L1596="RET"))</f>
        <v>0</v>
      </c>
      <c r="Q9" s="121">
        <f t="array" ref="Q9">SUMPRODUCT(((Başvuru!J2:K1596)="Prof. Dr. Gözde GİRGİN")*(Başvuru!G2:G1596="Yüksek Lisans Tezi")*(Başvuru!L2:L1596="KAPSAM DIŞI"))</f>
        <v>0</v>
      </c>
      <c r="R9" s="121">
        <f t="array" ref="R9">SUMPRODUCT(((Başvuru!J2:K1596)="Prof. Dr. Gözde GİRGİN")*(Başvuru!G2:G1596="Yüksek Lisans Tezi")*(Başvuru!L2:L1596="GERİ ÇEKİLDİ"))</f>
        <v>0</v>
      </c>
      <c r="S9" s="121">
        <f t="shared" si="1"/>
        <v>4</v>
      </c>
      <c r="T9" s="121">
        <f t="array" ref="T9">SUMPRODUCT(((Başvuru!J2:K1596)="Prof. Dr. Gözde GİRGİN")*(Başvuru!G2:G1596="Doktora Tezi")*(Başvuru!L2:L1596="ONAY"))</f>
        <v>1</v>
      </c>
      <c r="U9" s="121">
        <f t="array" ref="U9">SUMPRODUCT(((Başvuru!J2:K1596)="Prof. Dr. Gözde GİRGİN")*(Başvuru!G2:G1596="Doktora Tezi")*(Başvuru!L2:L1596="DÜZELTME"))</f>
        <v>3</v>
      </c>
      <c r="V9" s="121">
        <f t="array" ref="V9">SUMPRODUCT(((Başvuru!J2:K1596)="Prof. Dr. Gözde GİRGİN")*(Başvuru!G2:G1596="Doktora Tezi")*(Başvuru!L2:L1596="KAEK"))</f>
        <v>0</v>
      </c>
      <c r="W9" s="121">
        <f t="array" ref="W9">SUMPRODUCT(((Başvuru!J2:K1596)="Prof. Dr. Gözde GİRGİN")*(Başvuru!G2:G1596="Doktora Tezi")*(Başvuru!L2:L1596="GÖRÜŞ"))</f>
        <v>2</v>
      </c>
      <c r="X9" s="121">
        <f t="array" ref="X9">SUMPRODUCT(((Başvuru!J2:K1596)="Prof. Dr. Gözde GİRGİN")*(Başvuru!G2:G1596="Doktora Tezi")*(Başvuru!L2:L1596="RET"))</f>
        <v>0</v>
      </c>
      <c r="Y9" s="121">
        <f t="array" ref="Y9">SUMPRODUCT(((Başvuru!J2:K1596)="Prof. Dr. Gözde GİRGİN")*(Başvuru!G2:G1596="Doktora Tezi")*(Başvuru!L2:L1596="KAPSAM DIŞI"))</f>
        <v>0</v>
      </c>
      <c r="Z9" s="121">
        <f t="array" ref="Z9">SUMPRODUCT(((Başvuru!J2:K1596)="Prof. Dr. Gözde GİRGİN")*(Başvuru!G2:G1596="Doktora Tezi")*(Başvuru!L2:L1596="GERİ ÇEKİLDİ"))</f>
        <v>0</v>
      </c>
      <c r="AA9" s="121">
        <f t="shared" si="2"/>
        <v>6</v>
      </c>
      <c r="AB9" s="121">
        <f t="array" ref="AB9">SUMPRODUCT(((Başvuru!J2:K1596)="Prof. Dr. Gözde GİRGİN")*(Başvuru!G2:G1596="Uzmanlık Tezi")*(Başvuru!L2:L1596="ONAY"))</f>
        <v>15</v>
      </c>
      <c r="AC9" s="121">
        <f t="array" ref="AC9">SUMPRODUCT(((Başvuru!J2:K1596)="Prof. Dr. Gözde GİRGİN")*(Başvuru!G2:G1596="Uzmanlık Tezi")*(Başvuru!L2:L1596="DÜZELTME"))</f>
        <v>8</v>
      </c>
      <c r="AD9" s="121">
        <f t="array" ref="AD9">SUMPRODUCT(((Başvuru!J2:K1596)="Prof. Dr. Gözde GİRGİN")*(Başvuru!G2:G1596="Uzmanlık Tezi")*(Başvuru!L2:L1596="KAEK"))</f>
        <v>0</v>
      </c>
      <c r="AE9" s="121">
        <f t="array" ref="AE9">SUMPRODUCT(((Başvuru!J2:K1596)="Prof. Dr. Gözde GİRGİN")*(Başvuru!G2:G1596="Uzmanlık Tezi")*(Başvuru!L2:L1596="GÖRÜŞ"))</f>
        <v>1</v>
      </c>
      <c r="AF9" s="121">
        <f t="array" ref="AF9">SUMPRODUCT(((Başvuru!J2:K1596)="Prof. Dr. Gözde GİRGİN")*(Başvuru!G2:G1596="Uzmanlık Tezi")*(Başvuru!L2:L1596="RET"))</f>
        <v>0</v>
      </c>
      <c r="AG9" s="121">
        <f t="array" ref="AG9">SUMPRODUCT(((Başvuru!J2:K1596)="Prof. Dr. Gözde GİRGİN")*(Başvuru!G2:G1596="Uzmanlık Tezi")*(Başvuru!L2:L1596="KAPSAM DIŞI"))</f>
        <v>0</v>
      </c>
      <c r="AH9" s="121">
        <f t="array" ref="AH9">SUMPRODUCT(((Başvuru!J2:K1596)="Prof. Dr. Gözde GİRGİN")*(Başvuru!G2:G1596="Uzmanlık Tezi")*(Başvuru!L2:L1596="GERİ ÇEKİLDİ"))</f>
        <v>0</v>
      </c>
      <c r="AI9" s="121">
        <f t="shared" si="3"/>
        <v>24</v>
      </c>
      <c r="AJ9" s="123">
        <f t="shared" si="4"/>
        <v>72</v>
      </c>
      <c r="AK9" s="123">
        <f t="shared" si="5"/>
        <v>36</v>
      </c>
      <c r="AL9" s="123">
        <f t="shared" si="6"/>
        <v>2</v>
      </c>
      <c r="AM9" s="123">
        <f t="shared" si="7"/>
        <v>8</v>
      </c>
      <c r="AN9" s="123">
        <f t="shared" si="8"/>
        <v>3</v>
      </c>
      <c r="AO9" s="123">
        <f t="shared" si="9"/>
        <v>4</v>
      </c>
      <c r="AP9" s="123">
        <f t="shared" si="10"/>
        <v>0</v>
      </c>
      <c r="AQ9" s="124">
        <f t="shared" si="11"/>
        <v>125</v>
      </c>
      <c r="AR9" s="121">
        <f t="shared" si="12"/>
        <v>2</v>
      </c>
      <c r="AS9" s="125">
        <f>COUNTIF(Başvuru!$Q:$Q,$B9)</f>
        <v>14</v>
      </c>
      <c r="AT9" s="126">
        <f>COUNTIFS(Başvuru!$Q:$Q,$B9,Başvuru!$J:$J,"&lt;&gt;"&amp;$B9,Başvuru!$K:$K,"&lt;&gt;"&amp;$B9)</f>
        <v>0</v>
      </c>
    </row>
    <row r="10" spans="1:46" s="116" customFormat="1" ht="30" customHeight="1" x14ac:dyDescent="0.25">
      <c r="A10" s="119" t="s">
        <v>124</v>
      </c>
      <c r="B10" s="120" t="s">
        <v>76</v>
      </c>
      <c r="C10" s="121">
        <f>COUNTIF(Başvuru!J2:K1596,"Doç. Dr. Kübra AYKAÇ")</f>
        <v>110</v>
      </c>
      <c r="D10" s="122">
        <f t="array" ref="D10">SUMPRODUCT(((Başvuru!J2:K1596)="Doç. Dr. Kübra AYKAÇ")*(Başvuru!G2:G1596="Bireysel Araştırma")*(Başvuru!L2:L1596="ONAY"))</f>
        <v>53</v>
      </c>
      <c r="E10" s="122">
        <f t="array" ref="E10">SUMPRODUCT(((Başvuru!J2:K1596)="Doç. Dr. Kübra AYKAÇ")*(Başvuru!G2:G1596="Bireysel Araştırma")*(Başvuru!L2:L1596="DÜZELTME"))</f>
        <v>24</v>
      </c>
      <c r="F10" s="122">
        <f t="array" ref="F10">SUMPRODUCT(((Başvuru!J2:K1596)="Doç. Dr. Kübra AYKAÇ")*(Başvuru!G2:G1596="Bireysel Araştırma")*(Başvuru!L2:L1596="KAEK"))</f>
        <v>2</v>
      </c>
      <c r="G10" s="122">
        <f t="array" ref="G10">SUMPRODUCT(((Başvuru!J2:K1596)="Doç. Dr. Kübra AYKAÇ")*(Başvuru!G2:G1596="Bireysel Araştırma")*(Başvuru!L2:L1596="GÖRÜŞ"))</f>
        <v>2</v>
      </c>
      <c r="H10" s="122">
        <f t="array" ref="H10">SUMPRODUCT(((Başvuru!J2:K1596)="Doç. Dr. Kübra AYKAÇ")*(Başvuru!G2:G1596="Bireysel Araştırma")*(Başvuru!L2:L1596="RET"))</f>
        <v>2</v>
      </c>
      <c r="I10" s="122">
        <f t="array" ref="I10">SUMPRODUCT(((Başvuru!J2:K1596)="Doç. Dr. Kübra AYKAÇ")*(Başvuru!G2:G1596="Bireysel Araştırma")*(Başvuru!L2:L1596="KAPSAM DIŞI"))</f>
        <v>0</v>
      </c>
      <c r="J10" s="122">
        <f t="array" ref="J10">SUMPRODUCT(((Başvuru!J2:K1596)="Doç. Dr. Kübra AYKAÇ")*(Başvuru!G2:G1596="Bireysel Araştırma")*(Başvuru!L2:L1596="GERİ ÇEKİLDİ"))</f>
        <v>0</v>
      </c>
      <c r="K10" s="121">
        <f t="shared" si="0"/>
        <v>83</v>
      </c>
      <c r="L10" s="121">
        <f t="array" ref="L10">SUMPRODUCT(((Başvuru!J2:K1596)="Doç. Dr. Kübra AYKAÇ")*(Başvuru!G2:G1596="Yüksek Lisans Tezi")*(Başvuru!L2:L1596="ONAY"))</f>
        <v>2</v>
      </c>
      <c r="M10" s="121">
        <f t="array" ref="M10">SUMPRODUCT(((Başvuru!J2:K1596)="Doç. Dr. Kübra AYKAÇ")*(Başvuru!G2:G1596="Yüksek Lisans Tezi")*(Başvuru!L2:L1596="DÜZELTME"))</f>
        <v>3</v>
      </c>
      <c r="N10" s="121">
        <f t="array" ref="N10">SUMPRODUCT(((Başvuru!J2:K1596)="Doç. Dr. Kübra AYKAÇ")*(Başvuru!G2:G1596="Yüksek Lisans Tezi")*(Başvuru!L2:L1596="KAEK"))</f>
        <v>1</v>
      </c>
      <c r="O10" s="121">
        <f t="array" ref="O10">SUMPRODUCT(((Başvuru!J2:K1596)="Doç. Dr. Kübra AYKAÇ")*(Başvuru!G2:G1596="Yüksek Lisans Tezi")*(Başvuru!L2:L1596="GÖRÜŞ"))</f>
        <v>0</v>
      </c>
      <c r="P10" s="121">
        <f t="array" ref="P10">SUMPRODUCT(((Başvuru!J2:K1596)="Doç. Dr. Kübra AYKAÇ")*(Başvuru!G2:G1596="Yüksek Lisans Tezi")*(Başvuru!L2:L1596="RET"))</f>
        <v>1</v>
      </c>
      <c r="Q10" s="121">
        <f t="array" ref="Q10">SUMPRODUCT(((Başvuru!J2:K1596)="Doç. Dr. Kübra AYKAÇ")*(Başvuru!G2:G1596="Yüksek Lisans Tezi")*(Başvuru!L2:L1596="KAPSAM DIŞI"))</f>
        <v>0</v>
      </c>
      <c r="R10" s="121">
        <f t="array" ref="R10">SUMPRODUCT(((Başvuru!J2:K1596)="Doç. Dr. Kübra AYKAÇ")*(Başvuru!G2:G1596="Yüksek Lisans Tezi")*(Başvuru!L2:L1596="GERİ ÇEKİLDİ"))</f>
        <v>0</v>
      </c>
      <c r="S10" s="121">
        <f t="shared" si="1"/>
        <v>7</v>
      </c>
      <c r="T10" s="121">
        <f t="array" ref="T10">SUMPRODUCT(((Başvuru!J2:K1596)="Doç. Dr. Kübra AYKAÇ")*(Başvuru!G2:G1596="Doktora Tezi")*(Başvuru!L2:L1596="ONAY"))</f>
        <v>2</v>
      </c>
      <c r="U10" s="121">
        <f t="array" ref="U10">SUMPRODUCT(((Başvuru!J2:K1596)="Doç. Dr. Kübra AYKAÇ")*(Başvuru!G2:G1596="Doktora Tezi")*(Başvuru!L2:L1596="DÜZELTME"))</f>
        <v>2</v>
      </c>
      <c r="V10" s="121">
        <f t="array" ref="V10">SUMPRODUCT(((Başvuru!J2:K1596)="Doç. Dr. Kübra AYKAÇ")*(Başvuru!G2:G1596="Doktora Tezi")*(Başvuru!L2:L1596="KAEK"))</f>
        <v>0</v>
      </c>
      <c r="W10" s="121">
        <f t="array" ref="W10">SUMPRODUCT(((Başvuru!J2:K1596)="Doç. Dr. Kübra AYKAÇ")*(Başvuru!G2:G1596="Doktora Tezi")*(Başvuru!L2:L1596="GÖRÜŞ"))</f>
        <v>0</v>
      </c>
      <c r="X10" s="121">
        <f t="array" ref="X10">SUMPRODUCT(((Başvuru!J2:K1596)="Doç. Dr. Kübra AYKAÇ")*(Başvuru!G2:G1596="Doktora Tezi")*(Başvuru!L2:L1596="RET"))</f>
        <v>0</v>
      </c>
      <c r="Y10" s="121">
        <f t="array" ref="Y10">SUMPRODUCT(((Başvuru!J2:K1596)="Doç. Dr. Kübra AYKAÇ")*(Başvuru!G2:G1596="Doktora Tezi")*(Başvuru!L2:L1596="KAPSAM DIŞI"))</f>
        <v>0</v>
      </c>
      <c r="Z10" s="121">
        <f t="array" ref="Z10">SUMPRODUCT(((Başvuru!J2:K1596)="Doç. Dr. Kübra AYKAÇ")*(Başvuru!G2:G1596="Doktora Tezi")*(Başvuru!L2:L1596="GERİ ÇEKİLDİ"))</f>
        <v>0</v>
      </c>
      <c r="AA10" s="121">
        <f t="shared" si="2"/>
        <v>4</v>
      </c>
      <c r="AB10" s="121">
        <f t="array" ref="AB10">SUMPRODUCT(((Başvuru!J2:K1596)="Doç. Dr. Kübra AYKAÇ")*(Başvuru!G2:G1596="Uzmanlık Tezi")*(Başvuru!L2:L1596="ONAY"))</f>
        <v>11</v>
      </c>
      <c r="AC10" s="121">
        <f t="array" ref="AC10">SUMPRODUCT(((Başvuru!J2:K1596)="Doç. Dr. Kübra AYKAÇ")*(Başvuru!G2:G1596="Uzmanlık Tezi")*(Başvuru!L2:L1596="DÜZELTME"))</f>
        <v>3</v>
      </c>
      <c r="AD10" s="121">
        <f t="array" ref="AD10">SUMPRODUCT(((Başvuru!J2:K1596)="Doç. Dr. Kübra AYKAÇ")*(Başvuru!G2:G1596="Uzmanlık Tezi")*(Başvuru!L2:L1596="KAEK"))</f>
        <v>1</v>
      </c>
      <c r="AE10" s="121">
        <f t="array" ref="AE10">SUMPRODUCT(((Başvuru!J2:K1596)="Doç. Dr. Kübra AYKAÇ")*(Başvuru!G2:G1596="Uzmanlık Tezi")*(Başvuru!L2:L1596="GÖRÜŞ"))</f>
        <v>0</v>
      </c>
      <c r="AF10" s="121">
        <f t="array" ref="AF10">SUMPRODUCT(((Başvuru!J2:K1596)="Doç. Dr. Kübra AYKAÇ")*(Başvuru!G2:G1596="Uzmanlık Tezi")*(Başvuru!L2:L1596="RET"))</f>
        <v>0</v>
      </c>
      <c r="AG10" s="121">
        <f t="array" ref="AG10">SUMPRODUCT(((Başvuru!J2:K1596)="Doç. Dr. Kübra AYKAÇ")*(Başvuru!G2:G1596="Uzmanlık Tezi")*(Başvuru!L2:L1596="KAPSAM DIŞI"))</f>
        <v>1</v>
      </c>
      <c r="AH10" s="121">
        <f t="array" ref="AH10">SUMPRODUCT(((Başvuru!J2:K1596)="Doç. Dr. Kübra AYKAÇ")*(Başvuru!G2:G1596="Uzmanlık Tezi")*(Başvuru!L2:L1596="GERİ ÇEKİLDİ"))</f>
        <v>0</v>
      </c>
      <c r="AI10" s="121">
        <f t="shared" si="3"/>
        <v>16</v>
      </c>
      <c r="AJ10" s="123">
        <f t="shared" si="4"/>
        <v>68</v>
      </c>
      <c r="AK10" s="123">
        <f t="shared" si="5"/>
        <v>32</v>
      </c>
      <c r="AL10" s="123">
        <f t="shared" si="6"/>
        <v>4</v>
      </c>
      <c r="AM10" s="123">
        <f t="shared" si="7"/>
        <v>2</v>
      </c>
      <c r="AN10" s="123">
        <f t="shared" si="8"/>
        <v>3</v>
      </c>
      <c r="AO10" s="123">
        <f t="shared" si="9"/>
        <v>1</v>
      </c>
      <c r="AP10" s="123">
        <f t="shared" si="10"/>
        <v>0</v>
      </c>
      <c r="AQ10" s="124">
        <f t="shared" si="11"/>
        <v>110</v>
      </c>
      <c r="AR10" s="121">
        <f t="shared" si="12"/>
        <v>0</v>
      </c>
      <c r="AS10" s="125">
        <f>COUNTIF(Başvuru!$Q:$Q,$B10)</f>
        <v>5</v>
      </c>
      <c r="AT10" s="126">
        <f>COUNTIFS(Başvuru!$Q:$Q,$B10,Başvuru!$J:$J,"&lt;&gt;"&amp;$B10,Başvuru!$K:$K,"&lt;&gt;"&amp;$B10)</f>
        <v>0</v>
      </c>
    </row>
    <row r="11" spans="1:46" s="116" customFormat="1" ht="30" customHeight="1" x14ac:dyDescent="0.25">
      <c r="A11" s="119" t="s">
        <v>130</v>
      </c>
      <c r="B11" s="120" t="s">
        <v>99</v>
      </c>
      <c r="C11" s="121">
        <f>COUNTIF(Başvuru!J2:K1596,"Doç. Dr. Tolga ÇAKMAK")</f>
        <v>106</v>
      </c>
      <c r="D11" s="122">
        <f t="array" ref="D11">SUMPRODUCT(((Başvuru!J2:K1596)="Doç. Dr. Tolga ÇAKMAK")*(Başvuru!G2:G1596="Bireysel Araştırma")*(Başvuru!L2:L1596="ONAY"))</f>
        <v>37</v>
      </c>
      <c r="E11" s="122">
        <f t="array" ref="E11">SUMPRODUCT(((Başvuru!J2:K1596)="Doç. Dr. Tolga ÇAKMAK")*(Başvuru!G2:G1596="Bireysel Araştırma")*(Başvuru!L2:L1596="DÜZELTME"))</f>
        <v>18</v>
      </c>
      <c r="F11" s="122">
        <f t="array" ref="F11">SUMPRODUCT(((Başvuru!J2:K1596)="Doç. Dr. Tolga ÇAKMAK")*(Başvuru!G2:G1596="Bireysel Araştırma")*(Başvuru!L2:L1596="KAEK"))</f>
        <v>1</v>
      </c>
      <c r="G11" s="122">
        <f t="array" ref="G11">SUMPRODUCT(((Başvuru!J2:K1596)="Doç. Dr. Tolga ÇAKMAK")*(Başvuru!G2:G1596="Bireysel Araştırma")*(Başvuru!L2:L1596="GÖRÜŞ"))</f>
        <v>4</v>
      </c>
      <c r="H11" s="122">
        <f t="array" ref="H11">SUMPRODUCT(((Başvuru!J2:K1596)="Doç. Dr. Tolga ÇAKMAK")*(Başvuru!G2:G1596="Bireysel Araştırma")*(Başvuru!L2:L1596="RET"))</f>
        <v>8</v>
      </c>
      <c r="I11" s="122">
        <f t="array" ref="I11">SUMPRODUCT(((Başvuru!J2:K1596)="Doç. Dr. Tolga ÇAKMAK")*(Başvuru!G2:G1596="Bireysel Araştırma")*(Başvuru!L2:L1596="KAPSAM DIŞI"))</f>
        <v>0</v>
      </c>
      <c r="J11" s="122">
        <f t="array" ref="J11">SUMPRODUCT(((Başvuru!J2:K1596)="Doç. Dr. Tolga ÇAKMAK")*(Başvuru!G2:G1596="Bireysel Araştırma")*(Başvuru!L2:L1596="GERİ ÇEKİLDİ"))</f>
        <v>0</v>
      </c>
      <c r="K11" s="121">
        <f t="shared" si="0"/>
        <v>68</v>
      </c>
      <c r="L11" s="121">
        <f t="array" ref="L11">SUMPRODUCT(((Başvuru!J2:K1596)="Doç. Dr. Tolga ÇAKMAK")*(Başvuru!G2:G1596="Yüksek Lisans Tezi")*(Başvuru!L2:L1596="ONAY"))</f>
        <v>4</v>
      </c>
      <c r="M11" s="121">
        <f t="array" ref="M11">SUMPRODUCT(((Başvuru!J2:K1596)="Doç. Dr. Tolga ÇAKMAK")*(Başvuru!G2:G1596="Yüksek Lisans Tezi")*(Başvuru!L2:L1596="DÜZELTME"))</f>
        <v>2</v>
      </c>
      <c r="N11" s="121">
        <f t="array" ref="N11">SUMPRODUCT(((Başvuru!J2:K1596)="Doç. Dr. Tolga ÇAKMAK")*(Başvuru!G2:G1596="Yüksek Lisans Tezi")*(Başvuru!L2:L1596="KAEK"))</f>
        <v>0</v>
      </c>
      <c r="O11" s="121">
        <f t="array" ref="O11">SUMPRODUCT(((Başvuru!J2:K1596)="Doç. Dr. Tolga ÇAKMAK")*(Başvuru!G2:G1596="Yüksek Lisans Tezi")*(Başvuru!L2:L1596="GÖRÜŞ"))</f>
        <v>0</v>
      </c>
      <c r="P11" s="121">
        <f t="array" ref="P11">SUMPRODUCT(((Başvuru!J2:K1596)="Doç. Dr. Tolga ÇAKMAK")*(Başvuru!G2:G1596="Yüksek Lisans Tezi")*(Başvuru!L2:L1596="RET"))</f>
        <v>1</v>
      </c>
      <c r="Q11" s="121">
        <f t="array" ref="Q11">SUMPRODUCT(((Başvuru!J2:K1596)="Doç. Dr. Tolga ÇAKMAK")*(Başvuru!G2:G1596="Yüksek Lisans Tezi")*(Başvuru!L2:L1596="KAPSAM DIŞI"))</f>
        <v>0</v>
      </c>
      <c r="R11" s="121">
        <f t="array" ref="R11">SUMPRODUCT(((Başvuru!J2:K1596)="Doç. Dr. Tolga ÇAKMAK")*(Başvuru!G2:G1596="Yüksek Lisans Tezi")*(Başvuru!L2:L1596="GERİ ÇEKİLDİ"))</f>
        <v>0</v>
      </c>
      <c r="S11" s="121">
        <f t="shared" si="1"/>
        <v>7</v>
      </c>
      <c r="T11" s="121">
        <f t="array" ref="T11">SUMPRODUCT(((Başvuru!J2:K1596)="Doç. Dr. Tolga ÇAKMAK")*(Başvuru!G2:G1596="Doktora Tezi")*(Başvuru!L2:L1596="ONAY"))</f>
        <v>5</v>
      </c>
      <c r="U11" s="121">
        <f t="array" ref="U11">SUMPRODUCT(((Başvuru!J2:K1596)="Doç. Dr. Tolga ÇAKMAK")*(Başvuru!G2:G1596="Doktora Tezi")*(Başvuru!L2:L1596="DÜZELTME"))</f>
        <v>5</v>
      </c>
      <c r="V11" s="121">
        <f t="array" ref="V11">SUMPRODUCT(((Başvuru!J2:K1596)="Doç. Dr. Tolga ÇAKMAK")*(Başvuru!G2:G1596="Doktora Tezi")*(Başvuru!L2:L1596="KAEK"))</f>
        <v>0</v>
      </c>
      <c r="W11" s="121">
        <f t="array" ref="W11">SUMPRODUCT(((Başvuru!J2:K1596)="Doç. Dr. Tolga ÇAKMAK")*(Başvuru!G2:G1596="Doktora Tezi")*(Başvuru!L2:L1596="GÖRÜŞ"))</f>
        <v>1</v>
      </c>
      <c r="X11" s="121">
        <f t="array" ref="X11">SUMPRODUCT(((Başvuru!J2:K1596)="Doç. Dr. Tolga ÇAKMAK")*(Başvuru!G2:G1596="Doktora Tezi")*(Başvuru!L2:L1596="RET"))</f>
        <v>0</v>
      </c>
      <c r="Y11" s="121">
        <f t="array" ref="Y11">SUMPRODUCT(((Başvuru!J2:K1596)="Doç. Dr. Tolga ÇAKMAK")*(Başvuru!G2:G1596="Doktora Tezi")*(Başvuru!L2:L1596="KAPSAM DIŞI"))</f>
        <v>0</v>
      </c>
      <c r="Z11" s="121">
        <f t="array" ref="Z11">SUMPRODUCT(((Başvuru!J2:K1596)="Doç. Dr. Tolga ÇAKMAK")*(Başvuru!G2:G1596="Doktora Tezi")*(Başvuru!L2:L1596="GERİ ÇEKİLDİ"))</f>
        <v>0</v>
      </c>
      <c r="AA11" s="121">
        <f t="shared" si="2"/>
        <v>11</v>
      </c>
      <c r="AB11" s="121">
        <f t="array" ref="AB11">SUMPRODUCT(((Başvuru!J2:K1596)="Doç. Dr. Tolga ÇAKMAK")*(Başvuru!G2:G1596="Uzmanlık Tezi")*(Başvuru!L2:L1596="ONAY"))</f>
        <v>13</v>
      </c>
      <c r="AC11" s="121">
        <f t="array" ref="AC11">SUMPRODUCT(((Başvuru!J2:K1596)="Doç. Dr. Tolga ÇAKMAK")*(Başvuru!G2:G1596="Uzmanlık Tezi")*(Başvuru!L2:L1596="DÜZELTME"))</f>
        <v>3</v>
      </c>
      <c r="AD11" s="121">
        <f t="array" ref="AD11">SUMPRODUCT(((Başvuru!J2:K1596)="Doç. Dr. Tolga ÇAKMAK")*(Başvuru!G2:G1596="Uzmanlık Tezi")*(Başvuru!L2:L1596="KAEK"))</f>
        <v>0</v>
      </c>
      <c r="AE11" s="121">
        <f t="array" ref="AE11">SUMPRODUCT(((Başvuru!J2:K1596)="Doç. Dr. Tolga ÇAKMAK")*(Başvuru!G2:G1596="Uzmanlık Tezi")*(Başvuru!L2:L1596="GÖRÜŞ"))</f>
        <v>0</v>
      </c>
      <c r="AF11" s="121">
        <f t="array" ref="AF11">SUMPRODUCT(((Başvuru!J2:K1596)="Doç. Dr. Tolga ÇAKMAK")*(Başvuru!G2:G1596="Uzmanlık Tezi")*(Başvuru!L2:L1596="RET"))</f>
        <v>1</v>
      </c>
      <c r="AG11" s="121">
        <f t="array" ref="AG11">SUMPRODUCT(((Başvuru!J2:K1596)="Doç. Dr. Tolga ÇAKMAK")*(Başvuru!G2:G1596="Uzmanlık Tezi")*(Başvuru!L2:L1596="KAPSAM DIŞI"))</f>
        <v>0</v>
      </c>
      <c r="AH11" s="121">
        <f t="array" ref="AH11">SUMPRODUCT(((Başvuru!J2:K1596)="Doç. Dr. Tolga ÇAKMAK")*(Başvuru!G2:G1596="Uzmanlık Tezi")*(Başvuru!L2:L1596="GERİ ÇEKİLDİ"))</f>
        <v>0</v>
      </c>
      <c r="AI11" s="121">
        <f t="shared" si="3"/>
        <v>17</v>
      </c>
      <c r="AJ11" s="123">
        <f t="shared" si="4"/>
        <v>59</v>
      </c>
      <c r="AK11" s="123">
        <f t="shared" si="5"/>
        <v>28</v>
      </c>
      <c r="AL11" s="123">
        <f t="shared" si="6"/>
        <v>1</v>
      </c>
      <c r="AM11" s="123">
        <f t="shared" si="7"/>
        <v>5</v>
      </c>
      <c r="AN11" s="123">
        <f t="shared" si="8"/>
        <v>10</v>
      </c>
      <c r="AO11" s="123">
        <f t="shared" si="9"/>
        <v>0</v>
      </c>
      <c r="AP11" s="123">
        <f t="shared" si="10"/>
        <v>0</v>
      </c>
      <c r="AQ11" s="124">
        <f t="shared" si="11"/>
        <v>103</v>
      </c>
      <c r="AR11" s="121">
        <f t="shared" si="12"/>
        <v>3</v>
      </c>
      <c r="AS11" s="125">
        <f>COUNTIF(Başvuru!$Q:$Q,$B11)</f>
        <v>4</v>
      </c>
      <c r="AT11" s="126">
        <f>COUNTIFS(Başvuru!$Q:$Q,$B11,Başvuru!$J:$J,"&lt;&gt;"&amp;$B11,Başvuru!$K:$K,"&lt;&gt;"&amp;$B11)</f>
        <v>0</v>
      </c>
    </row>
    <row r="12" spans="1:46" s="116" customFormat="1" ht="30" customHeight="1" x14ac:dyDescent="0.25">
      <c r="A12" s="119" t="s">
        <v>136</v>
      </c>
      <c r="B12" s="120" t="s">
        <v>100</v>
      </c>
      <c r="C12" s="121">
        <f>COUNTIF(Başvuru!J2:K1596,"Doç. Dr. Burcu ERSÖZ ALAN")</f>
        <v>137</v>
      </c>
      <c r="D12" s="122">
        <f t="array" ref="D12">SUMPRODUCT(((Başvuru!J2:K1596)="Doç. Dr. Burcu ERSÖZ ALAN")*(Başvuru!G2:G1596="Bireysel Araştırma")*(Başvuru!L2:L1596="ONAY"))</f>
        <v>61</v>
      </c>
      <c r="E12" s="122">
        <f t="array" ref="E12">SUMPRODUCT(((Başvuru!J2:K1596)="Doç. Dr. Burcu ERSÖZ ALAN")*(Başvuru!G2:G1596="Bireysel Araştırma")*(Başvuru!L2:L1596="DÜZELTME"))</f>
        <v>18</v>
      </c>
      <c r="F12" s="122">
        <f t="array" ref="F12">SUMPRODUCT(((Başvuru!J2:K1596)="Doç. Dr. Burcu ERSÖZ ALAN")*(Başvuru!G2:G1596="Bireysel Araştırma")*(Başvuru!L2:L1596="KAEK"))</f>
        <v>1</v>
      </c>
      <c r="G12" s="122">
        <f t="array" ref="G12">SUMPRODUCT(((Başvuru!J2:K1596)="Doç. Dr. Burcu ERSÖZ ALAN")*(Başvuru!G2:G1596="Bireysel Araştırma")*(Başvuru!L2:L1596="GÖRÜŞ"))</f>
        <v>3</v>
      </c>
      <c r="H12" s="122">
        <f t="array" ref="H12">SUMPRODUCT(((Başvuru!J2:K1596)="Doç. Dr. Burcu ERSÖZ ALAN")*(Başvuru!G2:G1596="Bireysel Araştırma")*(Başvuru!L2:L1596="RET"))</f>
        <v>2</v>
      </c>
      <c r="I12" s="122">
        <f t="array" ref="I12">SUMPRODUCT(((Başvuru!J2:K1596)="Doç. Dr. Burcu ERSÖZ ALAN")*(Başvuru!G2:G1596="Bireysel Araştırma")*(Başvuru!L2:L1596="KAPSAM DIŞI"))</f>
        <v>1</v>
      </c>
      <c r="J12" s="122">
        <f t="array" ref="J12">SUMPRODUCT(((Başvuru!J2:K1596)="Doç. Dr. Burcu ERSÖZ ALAN")*(Başvuru!G2:G1596="Bireysel Araştırma")*(Başvuru!L2:L1596="GERİ ÇEKİLDİ"))</f>
        <v>0</v>
      </c>
      <c r="K12" s="121">
        <f t="shared" si="0"/>
        <v>86</v>
      </c>
      <c r="L12" s="121">
        <f t="array" ref="L12">SUMPRODUCT(((Başvuru!J2:K1596)="Doç. Dr. Burcu ERSÖZ ALAN")*(Başvuru!G2:G1596="Yüksek Lisans Tezi")*(Başvuru!L2:L1596="ONAY"))</f>
        <v>0</v>
      </c>
      <c r="M12" s="121">
        <f t="array" ref="M12">SUMPRODUCT(((Başvuru!J2:K1596)="Doç. Dr. Burcu ERSÖZ ALAN")*(Başvuru!G2:G1596="Yüksek Lisans Tezi")*(Başvuru!L2:L1596="DÜZELTME"))</f>
        <v>0</v>
      </c>
      <c r="N12" s="121">
        <f t="array" ref="N12">SUMPRODUCT(((Başvuru!J2:K1596)="Doç. Dr. Burcu ERSÖZ ALAN")*(Başvuru!G2:G1596="Yüksek Lisans Tezi")*(Başvuru!L2:L1596="KAEK"))</f>
        <v>0</v>
      </c>
      <c r="O12" s="121">
        <f t="array" ref="O12">SUMPRODUCT(((Başvuru!J2:K1596)="Doç. Dr. Burcu ERSÖZ ALAN")*(Başvuru!G2:G1596="Yüksek Lisans Tezi")*(Başvuru!L2:L1596="GÖRÜŞ"))</f>
        <v>0</v>
      </c>
      <c r="P12" s="121">
        <f t="array" ref="P12">SUMPRODUCT(((Başvuru!J2:K1596)="Doç. Dr. Burcu ERSÖZ ALAN")*(Başvuru!G2:G1596="Yüksek Lisans Tezi")*(Başvuru!L2:L1596="RET"))</f>
        <v>0</v>
      </c>
      <c r="Q12" s="121">
        <f t="array" ref="Q12">SUMPRODUCT(((Başvuru!J2:K1596)="Doç. Dr. Burcu ERSÖZ ALAN")*(Başvuru!G2:G1596="Yüksek Lisans Tezi")*(Başvuru!L2:L1596="KAPSAM DIŞI"))</f>
        <v>0</v>
      </c>
      <c r="R12" s="121">
        <f t="array" ref="R12">SUMPRODUCT(((Başvuru!J2:K1596)="Doç. Dr. Burcu ERSÖZ ALAN")*(Başvuru!G2:G1596="Yüksek Lisans Tezi")*(Başvuru!L2:L1596="GERİ ÇEKİLDİ"))</f>
        <v>0</v>
      </c>
      <c r="S12" s="121">
        <f t="shared" si="1"/>
        <v>0</v>
      </c>
      <c r="T12" s="121">
        <f t="array" ref="T12">SUMPRODUCT(((Başvuru!J2:K1596)="Doç. Dr. Burcu ERSÖZ ALAN")*(Başvuru!G2:G1596="Doktora Tezi")*(Başvuru!L2:L1596="ONAY"))</f>
        <v>7</v>
      </c>
      <c r="U12" s="121">
        <f t="array" ref="U12">SUMPRODUCT(((Başvuru!J2:K1596)="Doç. Dr. Burcu ERSÖZ ALAN")*(Başvuru!G2:G1596="Doktora Tezi")*(Başvuru!L2:L1596="DÜZELTME"))</f>
        <v>4</v>
      </c>
      <c r="V12" s="121">
        <f t="array" ref="V12">SUMPRODUCT(((Başvuru!J2:K1596)="Doç. Dr. Burcu ERSÖZ ALAN")*(Başvuru!G2:G1596="Doktora Tezi")*(Başvuru!L2:L1596="KAEK"))</f>
        <v>0</v>
      </c>
      <c r="W12" s="121">
        <f t="array" ref="W12">SUMPRODUCT(((Başvuru!J2:K1596)="Doç. Dr. Burcu ERSÖZ ALAN")*(Başvuru!G2:G1596="Doktora Tezi")*(Başvuru!L2:L1596="GÖRÜŞ"))</f>
        <v>0</v>
      </c>
      <c r="X12" s="121">
        <f t="array" ref="X12">SUMPRODUCT(((Başvuru!J2:K1596)="Doç. Dr. Burcu ERSÖZ ALAN")*(Başvuru!G2:G1596="Doktora Tezi")*(Başvuru!L2:L1596="RET"))</f>
        <v>0</v>
      </c>
      <c r="Y12" s="121">
        <f t="array" ref="Y12">SUMPRODUCT(((Başvuru!J2:K1596)="Doç. Dr. Burcu ERSÖZ ALAN")*(Başvuru!G2:G1596="Doktora Tezi")*(Başvuru!L2:L1596="KAPSAM DIŞI"))</f>
        <v>0</v>
      </c>
      <c r="Z12" s="121">
        <f t="array" ref="Z12">SUMPRODUCT(((Başvuru!J2:K1596)="Doç. Dr. Burcu ERSÖZ ALAN")*(Başvuru!G2:G1596="Doktora Tezi")*(Başvuru!L2:L1596="GERİ ÇEKİLDİ"))</f>
        <v>0</v>
      </c>
      <c r="AA12" s="121">
        <f t="shared" si="2"/>
        <v>11</v>
      </c>
      <c r="AB12" s="121">
        <f t="array" ref="AB12">SUMPRODUCT(((Başvuru!J2:K1596)="Doç. Dr. Burcu ERSÖZ ALAN")*(Başvuru!G2:G1596="Uzmanlık Tezi")*(Başvuru!L2:L1596="ONAY"))</f>
        <v>9</v>
      </c>
      <c r="AC12" s="121">
        <f t="array" ref="AC12">SUMPRODUCT(((Başvuru!J2:K1596)="Doç. Dr. Burcu ERSÖZ ALAN")*(Başvuru!G2:G1596="Uzmanlık Tezi")*(Başvuru!L2:L1596="DÜZELTME"))</f>
        <v>9</v>
      </c>
      <c r="AD12" s="121">
        <f t="array" ref="AD12">SUMPRODUCT(((Başvuru!J2:K1596)="Doç. Dr. Burcu ERSÖZ ALAN")*(Başvuru!G2:G1596="Uzmanlık Tezi")*(Başvuru!L2:L1596="KAEK"))</f>
        <v>0</v>
      </c>
      <c r="AE12" s="121">
        <f t="array" ref="AE12">SUMPRODUCT(((Başvuru!J2:K1596)="Doç. Dr. Burcu ERSÖZ ALAN")*(Başvuru!G2:G1596="Uzmanlık Tezi")*(Başvuru!L2:L1596="GÖRÜŞ"))</f>
        <v>3</v>
      </c>
      <c r="AF12" s="121">
        <f t="array" ref="AF12">SUMPRODUCT(((Başvuru!J2:K1596)="Doç. Dr. Burcu ERSÖZ ALAN")*(Başvuru!G2:G1596="Uzmanlık Tezi")*(Başvuru!L2:L1596="RET"))</f>
        <v>0</v>
      </c>
      <c r="AG12" s="121">
        <f t="array" ref="AG12">SUMPRODUCT(((Başvuru!J2:K1596)="Doç. Dr. Burcu ERSÖZ ALAN")*(Başvuru!G2:G1596="Uzmanlık Tezi")*(Başvuru!L2:L1596="KAPSAM DIŞI"))</f>
        <v>0</v>
      </c>
      <c r="AH12" s="121">
        <f t="array" ref="AH12">SUMPRODUCT(((Başvuru!J2:K1596)="Doç. Dr. Burcu ERSÖZ ALAN")*(Başvuru!G2:G1596="Uzmanlık Tezi")*(Başvuru!L2:L1596="GERİ ÇEKİLDİ"))</f>
        <v>0</v>
      </c>
      <c r="AI12" s="121">
        <f t="shared" si="3"/>
        <v>21</v>
      </c>
      <c r="AJ12" s="123">
        <f t="shared" si="4"/>
        <v>77</v>
      </c>
      <c r="AK12" s="123">
        <f t="shared" si="5"/>
        <v>31</v>
      </c>
      <c r="AL12" s="123">
        <f t="shared" si="6"/>
        <v>1</v>
      </c>
      <c r="AM12" s="123">
        <f t="shared" si="7"/>
        <v>6</v>
      </c>
      <c r="AN12" s="123">
        <f t="shared" si="8"/>
        <v>2</v>
      </c>
      <c r="AO12" s="123">
        <f t="shared" si="9"/>
        <v>1</v>
      </c>
      <c r="AP12" s="123">
        <f t="shared" si="10"/>
        <v>0</v>
      </c>
      <c r="AQ12" s="124">
        <f t="shared" si="11"/>
        <v>118</v>
      </c>
      <c r="AR12" s="121">
        <f t="shared" si="12"/>
        <v>19</v>
      </c>
      <c r="AS12" s="125">
        <f>COUNTIF(Başvuru!$Q:$Q,$B12)</f>
        <v>10</v>
      </c>
      <c r="AT12" s="126">
        <f>COUNTIFS(Başvuru!$Q:$Q,$B12,Başvuru!$J:$J,"&lt;&gt;"&amp;$B12,Başvuru!$K:$K,"&lt;&gt;"&amp;$B12)</f>
        <v>0</v>
      </c>
    </row>
    <row r="13" spans="1:46" s="116" customFormat="1" ht="30" customHeight="1" x14ac:dyDescent="0.25">
      <c r="A13" s="119" t="s">
        <v>142</v>
      </c>
      <c r="B13" s="120" t="s">
        <v>92</v>
      </c>
      <c r="C13" s="121">
        <f>COUNTIF(Başvuru!J2:K1596,"Doç. Dr. Ekim GÜMELER")</f>
        <v>130</v>
      </c>
      <c r="D13" s="122">
        <f t="array" ref="D13">SUMPRODUCT(((Başvuru!J2:K1596)="Doç. Dr. Ekim GÜMELER")*(Başvuru!G2:G1596="Bireysel Araştırma")*(Başvuru!L2:L1596="ONAY"))</f>
        <v>51</v>
      </c>
      <c r="E13" s="122">
        <f t="array" ref="E13">SUMPRODUCT(((Başvuru!J2:K1596)="Doç. Dr. Ekim GÜMELER")*(Başvuru!G2:G1596="Bireysel Araştırma")*(Başvuru!L2:L1596="DÜZELTME"))</f>
        <v>26</v>
      </c>
      <c r="F13" s="122">
        <f t="array" ref="F13">SUMPRODUCT(((Başvuru!J2:K1596)="Doç. Dr. Ekim GÜMELER")*(Başvuru!G2:G1596="Bireysel Araştırma")*(Başvuru!L2:L1596="KAEK"))</f>
        <v>4</v>
      </c>
      <c r="G13" s="122">
        <f t="array" ref="G13">SUMPRODUCT(((Başvuru!J2:K1596)="Doç. Dr. Ekim GÜMELER")*(Başvuru!G2:G1596="Bireysel Araştırma")*(Başvuru!L2:L1596="GÖRÜŞ"))</f>
        <v>3</v>
      </c>
      <c r="H13" s="122">
        <f t="array" ref="H13">SUMPRODUCT(((Başvuru!J2:K1596)="Doç. Dr. Ekim GÜMELER")*(Başvuru!G2:G1596="Bireysel Araştırma")*(Başvuru!L2:L1596="RET"))</f>
        <v>1</v>
      </c>
      <c r="I13" s="122">
        <f t="array" ref="I13">SUMPRODUCT(((Başvuru!J2:K1596)="Doç. Dr. Ekim GÜMELER")*(Başvuru!G2:G1596="Bireysel Araştırma")*(Başvuru!L2:L1596="KAPSAM DIŞI"))</f>
        <v>1</v>
      </c>
      <c r="J13" s="122">
        <f t="array" ref="J13">SUMPRODUCT(((Başvuru!J2:K1596)="Doç. Dr. Ekim GÜMELER")*(Başvuru!G2:G1596="Bireysel Araştırma")*(Başvuru!L2:L1596="GERİ ÇEKİLDİ"))</f>
        <v>0</v>
      </c>
      <c r="K13" s="121">
        <f t="shared" si="0"/>
        <v>86</v>
      </c>
      <c r="L13" s="121">
        <f t="array" ref="L13">SUMPRODUCT(((Başvuru!J2:K1596)="Doç. Dr. Ekim GÜMELER")*(Başvuru!G2:G1596="Yüksek Lisans Tezi")*(Başvuru!L2:L1596="ONAY"))</f>
        <v>2</v>
      </c>
      <c r="M13" s="121">
        <f t="array" ref="M13">SUMPRODUCT(((Başvuru!J2:K1596)="Doç. Dr. Ekim GÜMELER")*(Başvuru!G2:G1596="Yüksek Lisans Tezi")*(Başvuru!L2:L1596="DÜZELTME"))</f>
        <v>0</v>
      </c>
      <c r="N13" s="121">
        <f t="array" ref="N13">SUMPRODUCT(((Başvuru!J2:K1596)="Doç. Dr. Ekim GÜMELER")*(Başvuru!G2:G1596="Yüksek Lisans Tezi")*(Başvuru!L2:L1596="KAEK"))</f>
        <v>0</v>
      </c>
      <c r="O13" s="121">
        <f t="array" ref="O13">SUMPRODUCT(((Başvuru!J2:K1596)="Doç. Dr. Ekim GÜMELER")*(Başvuru!G2:G1596="Yüksek Lisans Tezi")*(Başvuru!L2:L1596="GÖRÜŞ"))</f>
        <v>0</v>
      </c>
      <c r="P13" s="121">
        <f t="array" ref="P13">SUMPRODUCT(((Başvuru!J2:K1596)="Doç. Dr. Ekim GÜMELER")*(Başvuru!G2:G1596="Yüksek Lisans Tezi")*(Başvuru!L2:L1596="RET"))</f>
        <v>0</v>
      </c>
      <c r="Q13" s="121">
        <f t="array" ref="Q13">SUMPRODUCT(((Başvuru!J2:K1596)="Doç. Dr. Ekim GÜMELER")*(Başvuru!G2:G1596="Yüksek Lisans Tezi")*(Başvuru!L2:L1596="KAPSAM DIŞI"))</f>
        <v>0</v>
      </c>
      <c r="R13" s="121">
        <f t="array" ref="R13">SUMPRODUCT(((Başvuru!J2:K1596)="Doç. Dr. Ekim GÜMELER")*(Başvuru!G2:G1596="Yüksek Lisans Tezi")*(Başvuru!L2:L1596="GERİ ÇEKİLDİ"))</f>
        <v>0</v>
      </c>
      <c r="S13" s="121">
        <f t="shared" si="1"/>
        <v>2</v>
      </c>
      <c r="T13" s="121">
        <f t="array" ref="T13">SUMPRODUCT(((Başvuru!J2:K1596)="Doç. Dr. Ekim GÜMELER")*(Başvuru!G2:G1596="Doktora Tezi")*(Başvuru!L2:L1596="ONAY"))</f>
        <v>4</v>
      </c>
      <c r="U13" s="121">
        <f t="array" ref="U13">SUMPRODUCT(((Başvuru!J2:K1596)="Doç. Dr. Ekim GÜMELER")*(Başvuru!G2:G1596="Doktora Tezi")*(Başvuru!L2:L1596="DÜZELTME"))</f>
        <v>0</v>
      </c>
      <c r="V13" s="121">
        <f t="array" ref="V13">SUMPRODUCT(((Başvuru!J2:K1596)="Doç. Dr. Ekim GÜMELER")*(Başvuru!G2:G1596="Doktora Tezi")*(Başvuru!L2:L1596="KAEK"))</f>
        <v>0</v>
      </c>
      <c r="W13" s="121">
        <f t="array" ref="W13">SUMPRODUCT(((Başvuru!J2:K1596)="Doç. Dr. Ekim GÜMELER")*(Başvuru!G2:G1596="Doktora Tezi")*(Başvuru!L2:L1596="GÖRÜŞ"))</f>
        <v>2</v>
      </c>
      <c r="X13" s="121">
        <f t="array" ref="X13">SUMPRODUCT(((Başvuru!J2:K1596)="Doç. Dr. Ekim GÜMELER")*(Başvuru!G2:G1596="Doktora Tezi")*(Başvuru!L2:L1596="RET"))</f>
        <v>0</v>
      </c>
      <c r="Y13" s="121">
        <f t="array" ref="Y13">SUMPRODUCT(((Başvuru!J2:K1596)="Doç. Dr. Ekim GÜMELER")*(Başvuru!G2:G1596="Doktora Tezi")*(Başvuru!L2:L1596="KAPSAM DIŞI"))</f>
        <v>0</v>
      </c>
      <c r="Z13" s="121">
        <f t="array" ref="Z13">SUMPRODUCT(((Başvuru!J2:K1596)="Doç. Dr. Ekim GÜMELER")*(Başvuru!G2:G1596="Doktora Tezi")*(Başvuru!L2:L1596="GERİ ÇEKİLDİ"))</f>
        <v>0</v>
      </c>
      <c r="AA13" s="121">
        <f t="shared" si="2"/>
        <v>6</v>
      </c>
      <c r="AB13" s="121">
        <f t="array" ref="AB13">SUMPRODUCT(((Başvuru!J2:K1596)="Doç. Dr. Ekim GÜMELER")*(Başvuru!G2:G1596="Uzmanlık Tezi")*(Başvuru!L2:L1596="ONAY"))</f>
        <v>9</v>
      </c>
      <c r="AC13" s="121">
        <f t="array" ref="AC13">SUMPRODUCT(((Başvuru!J2:K1596)="Doç. Dr. Ekim GÜMELER")*(Başvuru!G2:G1596="Uzmanlık Tezi")*(Başvuru!L2:L1596="DÜZELTME"))</f>
        <v>6</v>
      </c>
      <c r="AD13" s="121">
        <f t="array" ref="AD13">SUMPRODUCT(((Başvuru!J2:K1596)="Doç. Dr. Ekim GÜMELER")*(Başvuru!G2:G1596="Uzmanlık Tezi")*(Başvuru!L2:L1596="KAEK"))</f>
        <v>0</v>
      </c>
      <c r="AE13" s="121">
        <f t="array" ref="AE13">SUMPRODUCT(((Başvuru!J2:K1596)="Doç. Dr. Ekim GÜMELER")*(Başvuru!G2:G1596="Uzmanlık Tezi")*(Başvuru!L2:L1596="GÖRÜŞ"))</f>
        <v>0</v>
      </c>
      <c r="AF13" s="121">
        <f t="array" ref="AF13">SUMPRODUCT(((Başvuru!J2:K1596)="Doç. Dr. Ekim GÜMELER")*(Başvuru!G2:G1596="Uzmanlık Tezi")*(Başvuru!L2:L1596="RET"))</f>
        <v>0</v>
      </c>
      <c r="AG13" s="121">
        <f t="array" ref="AG13">SUMPRODUCT(((Başvuru!J2:K1596)="Doç. Dr. Ekim GÜMELER")*(Başvuru!G2:G1596="Uzmanlık Tezi")*(Başvuru!L2:L1596="KAPSAM DIŞI"))</f>
        <v>2</v>
      </c>
      <c r="AH13" s="121">
        <f t="array" ref="AH13">SUMPRODUCT(((Başvuru!J2:K1596)="Doç. Dr. Ekim GÜMELER")*(Başvuru!G2:G1596="Uzmanlık Tezi")*(Başvuru!L2:L1596="GERİ ÇEKİLDİ"))</f>
        <v>0</v>
      </c>
      <c r="AI13" s="121">
        <f t="shared" si="3"/>
        <v>17</v>
      </c>
      <c r="AJ13" s="123">
        <f t="shared" si="4"/>
        <v>66</v>
      </c>
      <c r="AK13" s="123">
        <f t="shared" si="5"/>
        <v>32</v>
      </c>
      <c r="AL13" s="123">
        <f t="shared" si="6"/>
        <v>4</v>
      </c>
      <c r="AM13" s="123">
        <f t="shared" si="7"/>
        <v>5</v>
      </c>
      <c r="AN13" s="123">
        <f t="shared" si="8"/>
        <v>1</v>
      </c>
      <c r="AO13" s="123">
        <f t="shared" si="9"/>
        <v>3</v>
      </c>
      <c r="AP13" s="123">
        <f t="shared" si="10"/>
        <v>0</v>
      </c>
      <c r="AQ13" s="124">
        <f t="shared" si="11"/>
        <v>111</v>
      </c>
      <c r="AR13" s="121">
        <f t="shared" si="12"/>
        <v>19</v>
      </c>
      <c r="AS13" s="125">
        <f>COUNTIF(Başvuru!$Q:$Q,$B13)</f>
        <v>8</v>
      </c>
      <c r="AT13" s="126">
        <f>COUNTIFS(Başvuru!$Q:$Q,$B13,Başvuru!$J:$J,"&lt;&gt;"&amp;$B13,Başvuru!$K:$K,"&lt;&gt;"&amp;$B13)</f>
        <v>0</v>
      </c>
    </row>
    <row r="14" spans="1:46" s="116" customFormat="1" ht="30" customHeight="1" x14ac:dyDescent="0.25">
      <c r="A14" s="119" t="s">
        <v>147</v>
      </c>
      <c r="B14" s="120" t="s">
        <v>91</v>
      </c>
      <c r="C14" s="121">
        <f>COUNTIF(Başvuru!J2:K1596,"Dr. Öğr. Üyesi Müge DEMİR")</f>
        <v>131</v>
      </c>
      <c r="D14" s="122">
        <f t="array" ref="D14">SUMPRODUCT(((Başvuru!J2:K1596)="Dr. Öğr. Üyesi Müge DEMİR")*(Başvuru!G2:G1596="Bireysel Araştırma")*(Başvuru!L2:L1596="ONAY"))</f>
        <v>34</v>
      </c>
      <c r="E14" s="122">
        <f t="array" ref="E14">SUMPRODUCT(((Başvuru!J2:K1596)="Dr. Öğr. Üyesi Müge DEMİR")*(Başvuru!G2:G1596="Bireysel Araştırma")*(Başvuru!L2:L1596="DÜZELTME"))</f>
        <v>36</v>
      </c>
      <c r="F14" s="122">
        <f t="array" ref="F14">SUMPRODUCT(((Başvuru!J2:K1596)="Dr. Öğr. Üyesi Müge DEMİR")*(Başvuru!G2:G1596="Bireysel Araştırma")*(Başvuru!L2:L1596="KAEK"))</f>
        <v>6</v>
      </c>
      <c r="G14" s="122">
        <f t="array" ref="G14">SUMPRODUCT(((Başvuru!J2:K1596)="Dr. Öğr. Üyesi Müge DEMİR")*(Başvuru!G2:G1596="Bireysel Araştırma")*(Başvuru!L2:L1596="GÖRÜŞ"))</f>
        <v>0</v>
      </c>
      <c r="H14" s="122">
        <f t="array" ref="H14">SUMPRODUCT(((Başvuru!J2:K1596)="Dr. Öğr. Üyesi Müge DEMİR")*(Başvuru!G2:G1596="Bireysel Araştırma")*(Başvuru!L2:L1596="RET"))</f>
        <v>5</v>
      </c>
      <c r="I14" s="122">
        <f t="array" ref="I14">SUMPRODUCT(((Başvuru!J2:K1596)="Dr. Öğr. Üyesi Müge DEMİR")*(Başvuru!G2:G1596="Bireysel Araştırma")*(Başvuru!L2:L1596="KAPSAM DIŞI"))</f>
        <v>5</v>
      </c>
      <c r="J14" s="122">
        <f t="array" ref="J14">SUMPRODUCT(((Başvuru!J2:K1596)="Dr. Öğr. Üyesi Müge DEMİR")*(Başvuru!G2:G1596="Bireysel Araştırma")*(Başvuru!L2:L1596="GERİ ÇEKİLDİ"))</f>
        <v>0</v>
      </c>
      <c r="K14" s="121">
        <f t="shared" si="0"/>
        <v>86</v>
      </c>
      <c r="L14" s="121">
        <f t="array" ref="L14">SUMPRODUCT(((Başvuru!J2:K1596)="Dr. Öğr. Üyesi Müge DEMİR")*(Başvuru!G2:G1596="Yüksek Lisans Tezi")*(Başvuru!L2:L1596="ONAY"))</f>
        <v>2</v>
      </c>
      <c r="M14" s="121">
        <f t="array" ref="M14">SUMPRODUCT(((Başvuru!J2:K1596)="Dr. Öğr. Üyesi Müge DEMİR")*(Başvuru!G2:G1596="Yüksek Lisans Tezi")*(Başvuru!L2:L1596="DÜZELTME"))</f>
        <v>1</v>
      </c>
      <c r="N14" s="121">
        <f t="array" ref="N14">SUMPRODUCT(((Başvuru!J2:K1596)="Dr. Öğr. Üyesi Müge DEMİR")*(Başvuru!G2:G1596="Yüksek Lisans Tezi")*(Başvuru!L2:L1596="KAEK"))</f>
        <v>0</v>
      </c>
      <c r="O14" s="121">
        <f t="array" ref="O14">SUMPRODUCT(((Başvuru!J2:K1596)="Dr. Öğr. Üyesi Müge DEMİR")*(Başvuru!G2:G1596="Yüksek Lisans Tezi")*(Başvuru!L2:L1596="GÖRÜŞ"))</f>
        <v>0</v>
      </c>
      <c r="P14" s="121">
        <f t="array" ref="P14">SUMPRODUCT(((Başvuru!J2:K1596)="Dr. Öğr. Üyesi Müge DEMİR")*(Başvuru!G2:G1596="Yüksek Lisans Tezi")*(Başvuru!L2:L1596="RET"))</f>
        <v>0</v>
      </c>
      <c r="Q14" s="121">
        <f t="array" ref="Q14">SUMPRODUCT(((Başvuru!J2:K1596)="Dr. Öğr. Üyesi Müge DEMİR")*(Başvuru!G2:G1596="Yüksek Lisans Tezi")*(Başvuru!L2:L1596="KAPSAM DIŞI"))</f>
        <v>0</v>
      </c>
      <c r="R14" s="121">
        <f t="array" ref="R14">SUMPRODUCT(((Başvuru!J2:K1596)="Dr. Öğr. Üyesi Müge DEMİR")*(Başvuru!G2:G1596="Yüksek Lisans Tezi")*(Başvuru!L2:L1596="GERİ ÇEKİLDİ"))</f>
        <v>0</v>
      </c>
      <c r="S14" s="121">
        <f t="shared" si="1"/>
        <v>3</v>
      </c>
      <c r="T14" s="121">
        <f t="array" ref="T14">SUMPRODUCT(((Başvuru!J2:K1596)="Dr. Öğr. Üyesi Müge DEMİR")*(Başvuru!G2:G1596="Doktora Tezi")*(Başvuru!L2:L1596="ONAY"))</f>
        <v>5</v>
      </c>
      <c r="U14" s="121">
        <f t="array" ref="U14">SUMPRODUCT(((Başvuru!J2:K1596)="Dr. Öğr. Üyesi Müge DEMİR")*(Başvuru!G2:G1596="Doktora Tezi")*(Başvuru!L2:L1596="DÜZELTME"))</f>
        <v>1</v>
      </c>
      <c r="V14" s="121">
        <f t="array" ref="V14">SUMPRODUCT(((Başvuru!J2:K1596)="Dr. Öğr. Üyesi Müge DEMİR")*(Başvuru!G2:G1596="Doktora Tezi")*(Başvuru!L2:L1596="KAEK"))</f>
        <v>0</v>
      </c>
      <c r="W14" s="121">
        <f t="array" ref="W14">SUMPRODUCT(((Başvuru!J2:K1596)="Dr. Öğr. Üyesi Müge DEMİR")*(Başvuru!G2:G1596="Doktora Tezi")*(Başvuru!L2:L1596="GÖRÜŞ"))</f>
        <v>0</v>
      </c>
      <c r="X14" s="121">
        <f t="array" ref="X14">SUMPRODUCT(((Başvuru!J2:K1596)="Dr. Öğr. Üyesi Müge DEMİR")*(Başvuru!G2:G1596="Doktora Tezi")*(Başvuru!L2:L1596="RET"))</f>
        <v>0</v>
      </c>
      <c r="Y14" s="121">
        <f t="array" ref="Y14">SUMPRODUCT(((Başvuru!J2:K1596)="Dr. Öğr. Üyesi Müge DEMİR")*(Başvuru!G2:G1596="Doktora Tezi")*(Başvuru!L2:L1596="KAPSAM DIŞI"))</f>
        <v>0</v>
      </c>
      <c r="Z14" s="121">
        <f t="array" ref="Z14">SUMPRODUCT(((Başvuru!J2:K1596)="Dr. Öğr. Üyesi Müge DEMİR")*(Başvuru!G2:G1596="Doktora Tezi")*(Başvuru!L2:L1596="GERİ ÇEKİLDİ"))</f>
        <v>0</v>
      </c>
      <c r="AA14" s="121">
        <f t="shared" si="2"/>
        <v>6</v>
      </c>
      <c r="AB14" s="121">
        <f t="array" ref="AB14">SUMPRODUCT(((Başvuru!J2:K1596)="Dr. Öğr. Üyesi Müge DEMİR")*(Başvuru!G2:G1596="Uzmanlık Tezi")*(Başvuru!L2:L1596="ONAY"))</f>
        <v>7</v>
      </c>
      <c r="AC14" s="121">
        <f t="array" ref="AC14">SUMPRODUCT(((Başvuru!J2:K1596)="Dr. Öğr. Üyesi Müge DEMİR")*(Başvuru!G2:G1596="Uzmanlık Tezi")*(Başvuru!L2:L1596="DÜZELTME"))</f>
        <v>5</v>
      </c>
      <c r="AD14" s="121">
        <f t="array" ref="AD14">SUMPRODUCT(((Başvuru!J2:K1596)="Dr. Öğr. Üyesi Müge DEMİR")*(Başvuru!G2:G1596="Uzmanlık Tezi")*(Başvuru!L2:L1596="KAEK"))</f>
        <v>2</v>
      </c>
      <c r="AE14" s="121">
        <f t="array" ref="AE14">SUMPRODUCT(((Başvuru!J2:K1596)="Dr. Öğr. Üyesi Müge DEMİR")*(Başvuru!G2:G1596="Uzmanlık Tezi")*(Başvuru!L2:L1596="GÖRÜŞ"))</f>
        <v>0</v>
      </c>
      <c r="AF14" s="121">
        <f t="array" ref="AF14">SUMPRODUCT(((Başvuru!J2:K1596)="Dr. Öğr. Üyesi Müge DEMİR")*(Başvuru!G2:G1596="Uzmanlık Tezi")*(Başvuru!L2:L1596="RET"))</f>
        <v>2</v>
      </c>
      <c r="AG14" s="121">
        <f t="array" ref="AG14">SUMPRODUCT(((Başvuru!J2:K1596)="Dr. Öğr. Üyesi Müge DEMİR")*(Başvuru!G2:G1596="Uzmanlık Tezi")*(Başvuru!L2:L1596="KAPSAM DIŞI"))</f>
        <v>0</v>
      </c>
      <c r="AH14" s="121">
        <f t="array" ref="AH14">SUMPRODUCT(((Başvuru!J2:K1596)="Dr. Öğr. Üyesi Müge DEMİR")*(Başvuru!G2:G1596="Uzmanlık Tezi")*(Başvuru!L2:L1596="GERİ ÇEKİLDİ"))</f>
        <v>0</v>
      </c>
      <c r="AI14" s="121">
        <f t="shared" si="3"/>
        <v>16</v>
      </c>
      <c r="AJ14" s="123">
        <f t="shared" si="4"/>
        <v>48</v>
      </c>
      <c r="AK14" s="123">
        <f t="shared" si="5"/>
        <v>43</v>
      </c>
      <c r="AL14" s="123">
        <f t="shared" si="6"/>
        <v>8</v>
      </c>
      <c r="AM14" s="123">
        <f t="shared" si="7"/>
        <v>0</v>
      </c>
      <c r="AN14" s="123">
        <f t="shared" si="8"/>
        <v>7</v>
      </c>
      <c r="AO14" s="123">
        <f t="shared" si="9"/>
        <v>5</v>
      </c>
      <c r="AP14" s="123">
        <f t="shared" si="10"/>
        <v>0</v>
      </c>
      <c r="AQ14" s="124">
        <f t="shared" si="11"/>
        <v>111</v>
      </c>
      <c r="AR14" s="121">
        <f t="shared" si="12"/>
        <v>20</v>
      </c>
      <c r="AS14" s="125">
        <f>COUNTIF(Başvuru!$Q:$Q,$B14)</f>
        <v>25</v>
      </c>
      <c r="AT14" s="126">
        <f>COUNTIFS(Başvuru!$Q:$Q,$B14,Başvuru!$J:$J,"&lt;&gt;"&amp;$B14,Başvuru!$K:$K,"&lt;&gt;"&amp;$B14)</f>
        <v>5</v>
      </c>
    </row>
    <row r="15" spans="1:46" s="134" customFormat="1" ht="30" customHeight="1" x14ac:dyDescent="0.25">
      <c r="A15" s="211" t="s">
        <v>4533</v>
      </c>
      <c r="B15" s="211"/>
      <c r="C15" s="127">
        <f t="shared" ref="C15:AP15" si="13">SUM(C3:C14)</f>
        <v>1446</v>
      </c>
      <c r="D15" s="127">
        <f t="shared" si="13"/>
        <v>566</v>
      </c>
      <c r="E15" s="127">
        <f t="shared" si="13"/>
        <v>294</v>
      </c>
      <c r="F15" s="127">
        <f t="shared" si="13"/>
        <v>28</v>
      </c>
      <c r="G15" s="127">
        <f t="shared" si="13"/>
        <v>36</v>
      </c>
      <c r="H15" s="127">
        <f t="shared" si="13"/>
        <v>38</v>
      </c>
      <c r="I15" s="127">
        <f t="shared" si="13"/>
        <v>22</v>
      </c>
      <c r="J15" s="127">
        <f t="shared" si="13"/>
        <v>0</v>
      </c>
      <c r="K15" s="128">
        <f t="shared" si="13"/>
        <v>984</v>
      </c>
      <c r="L15" s="127">
        <f t="shared" si="13"/>
        <v>16</v>
      </c>
      <c r="M15" s="127">
        <f t="shared" si="13"/>
        <v>22</v>
      </c>
      <c r="N15" s="127">
        <f t="shared" si="13"/>
        <v>2</v>
      </c>
      <c r="O15" s="127">
        <f t="shared" si="13"/>
        <v>0</v>
      </c>
      <c r="P15" s="127">
        <f t="shared" si="13"/>
        <v>2</v>
      </c>
      <c r="Q15" s="127">
        <f t="shared" si="13"/>
        <v>0</v>
      </c>
      <c r="R15" s="127">
        <f t="shared" si="13"/>
        <v>0</v>
      </c>
      <c r="S15" s="128">
        <f t="shared" si="13"/>
        <v>42</v>
      </c>
      <c r="T15" s="127">
        <f t="shared" si="13"/>
        <v>32</v>
      </c>
      <c r="U15" s="127">
        <f t="shared" si="13"/>
        <v>28</v>
      </c>
      <c r="V15" s="127">
        <f t="shared" si="13"/>
        <v>0</v>
      </c>
      <c r="W15" s="127">
        <f t="shared" si="13"/>
        <v>6</v>
      </c>
      <c r="X15" s="127">
        <f t="shared" si="13"/>
        <v>0</v>
      </c>
      <c r="Y15" s="127">
        <f t="shared" si="13"/>
        <v>0</v>
      </c>
      <c r="Z15" s="127">
        <f t="shared" si="13"/>
        <v>0</v>
      </c>
      <c r="AA15" s="128">
        <f t="shared" si="13"/>
        <v>66</v>
      </c>
      <c r="AB15" s="127">
        <f t="shared" si="13"/>
        <v>128</v>
      </c>
      <c r="AC15" s="127">
        <f t="shared" si="13"/>
        <v>72</v>
      </c>
      <c r="AD15" s="127">
        <f t="shared" si="13"/>
        <v>4</v>
      </c>
      <c r="AE15" s="127">
        <f t="shared" si="13"/>
        <v>8</v>
      </c>
      <c r="AF15" s="127">
        <f t="shared" si="13"/>
        <v>6</v>
      </c>
      <c r="AG15" s="127">
        <f t="shared" si="13"/>
        <v>6</v>
      </c>
      <c r="AH15" s="127">
        <f t="shared" si="13"/>
        <v>0</v>
      </c>
      <c r="AI15" s="128">
        <f t="shared" si="13"/>
        <v>224</v>
      </c>
      <c r="AJ15" s="129">
        <f t="shared" si="13"/>
        <v>742</v>
      </c>
      <c r="AK15" s="129">
        <f t="shared" si="13"/>
        <v>416</v>
      </c>
      <c r="AL15" s="129">
        <f t="shared" si="13"/>
        <v>34</v>
      </c>
      <c r="AM15" s="129">
        <f t="shared" si="13"/>
        <v>50</v>
      </c>
      <c r="AN15" s="129">
        <f t="shared" si="13"/>
        <v>46</v>
      </c>
      <c r="AO15" s="129">
        <f t="shared" si="13"/>
        <v>28</v>
      </c>
      <c r="AP15" s="129">
        <f t="shared" si="13"/>
        <v>0</v>
      </c>
      <c r="AQ15" s="130">
        <f t="shared" si="11"/>
        <v>1316</v>
      </c>
      <c r="AR15" s="131">
        <f>SUM(AR3:AR14)</f>
        <v>130</v>
      </c>
      <c r="AS15" s="132">
        <f>SUM(AS3:AS14)</f>
        <v>160</v>
      </c>
      <c r="AT15" s="133">
        <f>SUM(AT3:AT14)</f>
        <v>12</v>
      </c>
    </row>
    <row r="16" spans="1:46" s="134" customFormat="1" ht="33" customHeight="1" x14ac:dyDescent="0.25">
      <c r="A16" s="212" t="s">
        <v>4534</v>
      </c>
      <c r="B16" s="212"/>
      <c r="C16" s="128">
        <f>COUNTIFS(Başvuru!$A:$A,"&lt;&gt;",Başvuru!$F:$F,"&lt;&gt;")-1</f>
        <v>741</v>
      </c>
      <c r="D16" s="135"/>
      <c r="E16" s="136"/>
      <c r="F16" s="136"/>
      <c r="G16" s="136"/>
      <c r="H16" s="136"/>
      <c r="I16" s="136"/>
      <c r="J16" s="136"/>
      <c r="K16" s="137"/>
      <c r="L16" s="135"/>
      <c r="M16" s="136"/>
      <c r="N16" s="136"/>
      <c r="O16" s="136"/>
      <c r="P16" s="136"/>
      <c r="Q16" s="136"/>
      <c r="R16" s="136"/>
      <c r="S16" s="138"/>
      <c r="T16" s="135"/>
      <c r="U16" s="136"/>
      <c r="V16" s="136"/>
      <c r="W16" s="136"/>
      <c r="X16" s="136"/>
      <c r="Y16" s="136"/>
      <c r="Z16" s="136"/>
      <c r="AA16" s="138"/>
      <c r="AB16" s="135"/>
      <c r="AC16" s="136"/>
      <c r="AD16" s="136"/>
      <c r="AE16" s="136"/>
      <c r="AF16" s="136"/>
      <c r="AG16" s="136"/>
      <c r="AH16" s="136"/>
      <c r="AI16" s="138"/>
      <c r="AJ16" s="139"/>
      <c r="AK16" s="139"/>
      <c r="AL16" s="139"/>
      <c r="AM16" s="139"/>
      <c r="AN16" s="139"/>
      <c r="AO16" s="139"/>
      <c r="AP16" s="139"/>
      <c r="AQ16" s="139"/>
      <c r="AR16" s="128">
        <f>AR15/2</f>
        <v>65</v>
      </c>
      <c r="AS16" s="114"/>
      <c r="AT16" s="114"/>
    </row>
    <row r="20" spans="1:3" ht="30" customHeight="1" x14ac:dyDescent="0.3">
      <c r="A20" s="140" t="s">
        <v>4526</v>
      </c>
      <c r="B20" s="1" t="s">
        <v>4535</v>
      </c>
      <c r="C20" s="1" t="s">
        <v>4528</v>
      </c>
    </row>
    <row r="21" spans="1:3" ht="30" customHeight="1" x14ac:dyDescent="0.3">
      <c r="A21" s="141" t="s">
        <v>69</v>
      </c>
      <c r="B21" s="120" t="s">
        <v>38</v>
      </c>
      <c r="C21" s="142">
        <f>COUNTIF(Başvuru!G2:G1596,"Bireysel Araştırma")</f>
        <v>561</v>
      </c>
    </row>
    <row r="22" spans="1:3" ht="30" customHeight="1" x14ac:dyDescent="0.3">
      <c r="A22" s="143" t="s">
        <v>78</v>
      </c>
      <c r="B22" s="144" t="s">
        <v>40</v>
      </c>
      <c r="C22" s="145">
        <f>COUNTIF(Başvuru!G2:G1596,"Yüksek Lisans Tezi")</f>
        <v>21</v>
      </c>
    </row>
    <row r="23" spans="1:3" ht="30" customHeight="1" x14ac:dyDescent="0.3">
      <c r="A23" s="141" t="s">
        <v>85</v>
      </c>
      <c r="B23" s="120" t="s">
        <v>41</v>
      </c>
      <c r="C23" s="142">
        <f>COUNTIF(Başvuru!G2:G1596,"Doktora Tezi")</f>
        <v>33</v>
      </c>
    </row>
    <row r="24" spans="1:3" ht="30" customHeight="1" x14ac:dyDescent="0.3">
      <c r="A24" s="143" t="s">
        <v>93</v>
      </c>
      <c r="B24" s="144" t="s">
        <v>39</v>
      </c>
      <c r="C24" s="145">
        <f>COUNTIF(Başvuru!G2:G1596,"Uzmanlık Tezi")</f>
        <v>126</v>
      </c>
    </row>
    <row r="25" spans="1:3" ht="30" customHeight="1" x14ac:dyDescent="0.3">
      <c r="A25" s="213" t="s">
        <v>4</v>
      </c>
      <c r="B25" s="213"/>
      <c r="C25" s="1">
        <f>SUM(C21:C24)</f>
        <v>741</v>
      </c>
    </row>
    <row r="26" spans="1:3" ht="30" customHeight="1" x14ac:dyDescent="0.3">
      <c r="B26" s="116"/>
      <c r="C26" s="116"/>
    </row>
    <row r="27" spans="1:3" ht="30" customHeight="1" x14ac:dyDescent="0.3">
      <c r="A27" s="140" t="s">
        <v>4526</v>
      </c>
      <c r="B27" s="1" t="s">
        <v>4536</v>
      </c>
      <c r="C27" s="1" t="s">
        <v>4528</v>
      </c>
    </row>
    <row r="28" spans="1:3" ht="30" customHeight="1" x14ac:dyDescent="0.3">
      <c r="A28" s="141" t="s">
        <v>69</v>
      </c>
      <c r="B28" s="146" t="s">
        <v>4515</v>
      </c>
      <c r="C28" s="142">
        <f>COUNTIFS(Başvuru!$A:$A,"&lt;&gt;"&amp;"",Başvuru!$F:$F,"&lt;&gt;"&amp;"",Başvuru!$L:$L,"ONAY")</f>
        <v>371</v>
      </c>
    </row>
    <row r="29" spans="1:3" ht="30" customHeight="1" x14ac:dyDescent="0.3">
      <c r="A29" s="141" t="s">
        <v>78</v>
      </c>
      <c r="B29" s="146" t="s">
        <v>4516</v>
      </c>
      <c r="C29" s="142">
        <f>COUNTIFS(Başvuru!$A:$A,"&lt;&gt;"&amp;"",Başvuru!$F:$F,"&lt;&gt;"&amp;"",Başvuru!$L:$L,"DÜZELTME")</f>
        <v>208</v>
      </c>
    </row>
    <row r="30" spans="1:3" ht="30" customHeight="1" x14ac:dyDescent="0.3">
      <c r="A30" s="141" t="s">
        <v>85</v>
      </c>
      <c r="B30" s="146" t="s">
        <v>218</v>
      </c>
      <c r="C30" s="142">
        <f>COUNTIFS(Başvuru!$A:$A,"&lt;&gt;"&amp;"",Başvuru!$F:$F,"&lt;&gt;"&amp;"",Başvuru!$L:$L,"KAEK")</f>
        <v>17</v>
      </c>
    </row>
    <row r="31" spans="1:3" ht="30" customHeight="1" x14ac:dyDescent="0.3">
      <c r="A31" s="141" t="s">
        <v>93</v>
      </c>
      <c r="B31" s="146" t="s">
        <v>4517</v>
      </c>
      <c r="C31" s="142">
        <f>COUNTIFS(Başvuru!$A:$A,"&lt;&gt;"&amp;"",Başvuru!$F:$F,"&lt;&gt;"&amp;"",Başvuru!$L:$L,"GÖRÜŞ")</f>
        <v>25</v>
      </c>
    </row>
    <row r="32" spans="1:3" ht="30" customHeight="1" x14ac:dyDescent="0.3">
      <c r="A32" s="141" t="s">
        <v>102</v>
      </c>
      <c r="B32" s="146" t="s">
        <v>4518</v>
      </c>
      <c r="C32" s="142">
        <f>COUNTIFS(Başvuru!$A:$A,"&lt;&gt;"&amp;"",Başvuru!$F:$F,"&lt;&gt;"&amp;"",Başvuru!$L:$L,"RET")</f>
        <v>23</v>
      </c>
    </row>
    <row r="33" spans="1:3" ht="30" customHeight="1" x14ac:dyDescent="0.3">
      <c r="A33" s="141" t="s">
        <v>110</v>
      </c>
      <c r="B33" s="146" t="s">
        <v>4519</v>
      </c>
      <c r="C33" s="142">
        <f>COUNTIFS(Başvuru!$A:$A,"&lt;&gt;"&amp;"",Başvuru!$F:$F,"&lt;&gt;"&amp;"",Başvuru!$L:$L,"KAPSAM DIŞI")</f>
        <v>14</v>
      </c>
    </row>
    <row r="34" spans="1:3" ht="30" customHeight="1" x14ac:dyDescent="0.3">
      <c r="A34" s="141" t="s">
        <v>117</v>
      </c>
      <c r="B34" s="146" t="s">
        <v>4520</v>
      </c>
      <c r="C34" s="142">
        <f>COUNTIFS(Başvuru!$A:$A,"&lt;&gt;"&amp;"",Başvuru!$F:$F,"&lt;&gt;"&amp;"",Başvuru!$L:$L,"GERİ ÇEKİLDİ")</f>
        <v>0</v>
      </c>
    </row>
    <row r="35" spans="1:3" ht="30" customHeight="1" x14ac:dyDescent="0.3">
      <c r="A35" s="141" t="s">
        <v>124</v>
      </c>
      <c r="B35" s="146" t="s">
        <v>4537</v>
      </c>
      <c r="C35" s="142">
        <f>COUNTIFS(Başvuru!$A:$A,"&lt;&gt;"&amp;"",Başvuru!$F:$F,"&lt;&gt;"&amp;"",Başvuru!$L:$L,"")</f>
        <v>83</v>
      </c>
    </row>
    <row r="36" spans="1:3" ht="20.25" customHeight="1" x14ac:dyDescent="0.3">
      <c r="A36" s="214" t="s">
        <v>4</v>
      </c>
      <c r="B36" s="214"/>
      <c r="C36" s="1">
        <f>SUM(C28:C35)</f>
        <v>741</v>
      </c>
    </row>
  </sheetData>
  <mergeCells count="15">
    <mergeCell ref="AT1:AT2"/>
    <mergeCell ref="A15:B15"/>
    <mergeCell ref="A16:B16"/>
    <mergeCell ref="A25:B25"/>
    <mergeCell ref="A36:B36"/>
    <mergeCell ref="T1:AA1"/>
    <mergeCell ref="AB1:AI1"/>
    <mergeCell ref="AJ1:AQ1"/>
    <mergeCell ref="AR1:AR2"/>
    <mergeCell ref="AS1:AS2"/>
    <mergeCell ref="A1:A2"/>
    <mergeCell ref="B1:B2"/>
    <mergeCell ref="C1:C2"/>
    <mergeCell ref="D1:K1"/>
    <mergeCell ref="L1:S1"/>
  </mergeCells>
  <conditionalFormatting sqref="A21:C24">
    <cfRule type="expression" dxfId="9" priority="4">
      <formula>" =ÇİFTMİ(SATIR())"</formula>
    </cfRule>
  </conditionalFormatting>
  <conditionalFormatting sqref="A28:C35">
    <cfRule type="expression" dxfId="8" priority="2">
      <formula>ISEVEN(ROW())</formula>
    </cfRule>
  </conditionalFormatting>
  <conditionalFormatting sqref="A3:AI14">
    <cfRule type="expression" dxfId="7" priority="5">
      <formula>ISODD(ROW())</formula>
    </cfRule>
  </conditionalFormatting>
  <conditionalFormatting sqref="AR3:AR14">
    <cfRule type="expression" dxfId="6" priority="3">
      <formula>ISODD(ROW())</formula>
    </cfRule>
  </conditionalFormatting>
  <printOptions horizontalCentered="1" verticalCentered="1"/>
  <pageMargins left="0.39374999999999999" right="0.39374999999999999" top="0.39374999999999999" bottom="0.39374999999999999" header="0.511811023622047" footer="0.511811023622047"/>
  <pageSetup paperSize="9" scale="20" orientation="landscape"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00"/>
  </sheetPr>
  <dimension ref="B2:S156"/>
  <sheetViews>
    <sheetView showGridLines="0" showZeros="0" zoomScaleNormal="100" workbookViewId="0">
      <pane xSplit="2" ySplit="5" topLeftCell="C123" activePane="bottomRight" state="frozen"/>
      <selection pane="topRight" activeCell="C1" sqref="C1"/>
      <selection pane="bottomLeft" activeCell="A6" sqref="A6"/>
      <selection pane="bottomRight" activeCell="C87" sqref="C87"/>
    </sheetView>
  </sheetViews>
  <sheetFormatPr defaultColWidth="8.7109375" defaultRowHeight="15" x14ac:dyDescent="0.25"/>
  <cols>
    <col min="1" max="1" width="3" customWidth="1"/>
    <col min="2" max="2" width="6.28515625" customWidth="1"/>
    <col min="3" max="3" width="49" customWidth="1"/>
    <col min="4" max="4" width="12.28515625" customWidth="1"/>
    <col min="5" max="5" width="6.7109375" customWidth="1"/>
    <col min="6" max="6" width="10.85546875" customWidth="1"/>
    <col min="7" max="7" width="11.42578125" customWidth="1"/>
    <col min="8" max="8" width="10.85546875" customWidth="1"/>
    <col min="9" max="9" width="10" customWidth="1"/>
    <col min="10" max="10" width="9.42578125" customWidth="1"/>
    <col min="11" max="11" width="10.42578125" customWidth="1"/>
    <col min="12" max="12" width="9" customWidth="1"/>
    <col min="13" max="13" width="10.140625" customWidth="1"/>
    <col min="14" max="14" width="7.85546875" customWidth="1"/>
    <col min="15" max="15" width="11.42578125" customWidth="1"/>
    <col min="16" max="16" width="9.7109375" customWidth="1"/>
    <col min="17" max="17" width="41.5703125" customWidth="1"/>
    <col min="18" max="18" width="5.85546875" customWidth="1"/>
    <col min="19" max="19" width="6" customWidth="1"/>
  </cols>
  <sheetData>
    <row r="2" spans="2:19" ht="15.75" customHeight="1" x14ac:dyDescent="0.25">
      <c r="B2" s="221" t="s">
        <v>4538</v>
      </c>
      <c r="C2" s="221"/>
      <c r="D2" s="221"/>
      <c r="E2" s="221"/>
      <c r="F2" s="221"/>
      <c r="G2" s="221"/>
      <c r="H2" s="221"/>
      <c r="I2" s="221"/>
      <c r="J2" s="221"/>
      <c r="K2" s="221"/>
      <c r="L2" s="221"/>
      <c r="M2" s="221"/>
      <c r="N2" s="221"/>
      <c r="O2" s="221"/>
      <c r="P2" s="221"/>
    </row>
    <row r="3" spans="2:19" x14ac:dyDescent="0.25">
      <c r="B3" s="222" t="s">
        <v>4539</v>
      </c>
      <c r="C3" s="222"/>
      <c r="D3" s="222"/>
      <c r="E3" s="222"/>
      <c r="F3" s="222"/>
      <c r="G3" s="222"/>
      <c r="H3" s="222"/>
      <c r="I3" s="222"/>
      <c r="J3" s="222"/>
      <c r="K3" s="222"/>
      <c r="L3" s="222"/>
      <c r="M3" s="222"/>
      <c r="N3" s="222"/>
      <c r="O3" s="222"/>
      <c r="P3" s="222"/>
    </row>
    <row r="5" spans="2:19" x14ac:dyDescent="0.25">
      <c r="B5" s="147" t="s">
        <v>4540</v>
      </c>
      <c r="C5" s="148" t="s">
        <v>4541</v>
      </c>
      <c r="D5" s="149" t="s">
        <v>4</v>
      </c>
      <c r="E5" s="147" t="s">
        <v>4542</v>
      </c>
      <c r="F5" s="150" t="s">
        <v>4543</v>
      </c>
      <c r="G5" s="150" t="s">
        <v>4544</v>
      </c>
      <c r="H5" s="150" t="s">
        <v>4545</v>
      </c>
      <c r="I5" s="150" t="s">
        <v>4546</v>
      </c>
      <c r="J5" s="151" t="s">
        <v>77</v>
      </c>
      <c r="K5" s="152" t="s">
        <v>4547</v>
      </c>
      <c r="L5" s="153" t="s">
        <v>218</v>
      </c>
      <c r="M5" s="154" t="s">
        <v>206</v>
      </c>
      <c r="N5" s="155" t="s">
        <v>172</v>
      </c>
      <c r="O5" s="156" t="s">
        <v>4548</v>
      </c>
      <c r="P5" s="157" t="s">
        <v>4549</v>
      </c>
      <c r="Q5" s="158" t="s">
        <v>4550</v>
      </c>
      <c r="R5" s="158" t="s">
        <v>4551</v>
      </c>
      <c r="S5" s="158" t="s">
        <v>4552</v>
      </c>
    </row>
    <row r="6" spans="2:19" x14ac:dyDescent="0.25">
      <c r="B6" s="159">
        <v>1</v>
      </c>
      <c r="C6" s="160" t="str">
        <f>IFERROR(INDEX($Q$6:$Q$155,MATCH(1,$S$6:$S$155,0)),"")</f>
        <v>İç Hastalıkları Anabilim Dalı</v>
      </c>
      <c r="D6" s="161">
        <f>IF(C6="","",COUNTIFS(Başvuru!$D:$D,C6,Başvuru!$A:$A,"&lt;&gt;"&amp;"",Başvuru!$F:$F,"&lt;&gt;"&amp;""))</f>
        <v>129</v>
      </c>
      <c r="E6" s="159" t="str">
        <f>IF(C6="","-",IF(D6&gt;0,TEXT(D6/(COUNTIFS(Başvuru!$A:$A,"&lt;&gt;",Başvuru!$F:$F,"&lt;&gt;")-1)*100,"0.0")&amp;"%","-"))</f>
        <v>17%</v>
      </c>
      <c r="F6" s="162">
        <f>IF(C6="","",COUNTIFS(Başvuru!$D:$D,C6,Başvuru!$G:$G,"Bireysel Araştırma",Başvuru!$A:$A,"&lt;&gt;"&amp;"",Başvuru!$F:$F,"&lt;&gt;"&amp;""))</f>
        <v>118</v>
      </c>
      <c r="G6" s="162">
        <f>IF(C6="","",COUNTIFS(Başvuru!$D:$D,C6,Başvuru!$G:$G,"Uzmanlık Tezi",Başvuru!$A:$A,"&lt;&gt;"&amp;"",Başvuru!$F:$F,"&lt;&gt;"&amp;""))</f>
        <v>10</v>
      </c>
      <c r="H6" s="162">
        <f>IF(C6="","",COUNTIFS(Başvuru!$D:$D,C6,Başvuru!$G:$G,"Doktora Tezi",Başvuru!$A:$A,"&lt;&gt;"&amp;"",Başvuru!$F:$F,"&lt;&gt;"&amp;""))</f>
        <v>1</v>
      </c>
      <c r="I6" s="162">
        <f>IF(C6="","",COUNTIFS(Başvuru!$D:$D,C6,Başvuru!$G:$G,"Yüksek Lisans Tezi",Başvuru!$A:$A,"&lt;&gt;"&amp;"",Başvuru!$F:$F,"&lt;&gt;"&amp;""))</f>
        <v>0</v>
      </c>
      <c r="J6" s="163">
        <f>IF(C6="","",COUNTIFS(Başvuru!$D:$D,C6,Başvuru!$L:$L,"ONAY",Başvuru!$A:$A,"&lt;&gt;"&amp;"",Başvuru!$F:$F,"&lt;&gt;"&amp;""))</f>
        <v>62</v>
      </c>
      <c r="K6" s="164">
        <f>IF(C6="","",COUNTIFS(Başvuru!$D:$D,C6,Başvuru!$L:$L,"DÜZELTME",Başvuru!$A:$A,"&lt;&gt;"&amp;"",Başvuru!$F:$F,"&lt;&gt;"&amp;""))</f>
        <v>34</v>
      </c>
      <c r="L6" s="165">
        <f>IF(C6="","",COUNTIFS(Başvuru!$D:$D,C6,Başvuru!$L:$L,"KAEK",Başvuru!$A:$A,"&lt;&gt;"&amp;"",Başvuru!$F:$F,"&lt;&gt;"&amp;""))</f>
        <v>0</v>
      </c>
      <c r="M6" s="166">
        <f>IF(C6="","",COUNTIFS(Başvuru!$D:$D,C6,Başvuru!$L:$L,"GÖRÜŞ",Başvuru!$A:$A,"&lt;&gt;"&amp;"",Başvuru!$F:$F,"&lt;&gt;"&amp;""))</f>
        <v>8</v>
      </c>
      <c r="N6" s="167">
        <f>IF(C6="","",COUNTIFS(Başvuru!$D:$D,C6,Başvuru!$L:$L,"RET",Başvuru!$A:$A,"&lt;&gt;"&amp;"",Başvuru!$F:$F,"&lt;&gt;"&amp;""))</f>
        <v>4</v>
      </c>
      <c r="O6" s="168">
        <f>IF(C6="","",COUNTIFS(Başvuru!$D:$D,C6,Başvuru!$L:$L,"KAPSAM DIŞI",Başvuru!$A:$A,"&lt;&gt;"&amp;"",Başvuru!$F:$F,"&lt;&gt;"&amp;""))</f>
        <v>7</v>
      </c>
      <c r="P6" s="169">
        <f>IF(C6="","",COUNTIFS(Başvuru!$D:$D,C6,Başvuru!$L:$L,"GERİ ÇEKİLDİ",Başvuru!$A:$A,"&lt;&gt;"&amp;"",Başvuru!$F:$F,"&lt;&gt;"&amp;""))</f>
        <v>0</v>
      </c>
      <c r="Q6" s="170" t="str">
        <f>IFERROR(INDEX(Başvuru!$D$2:$D$1851,MATCH(1,Başvuru!$Z$2:$Z$1851,0)),"")</f>
        <v>Sağlık Bilimleri Enstitüsü</v>
      </c>
      <c r="R6" s="171">
        <f>IF(Q6="","",COUNTIFS(Başvuru!$D:$D,Q6,Başvuru!$A:$A,"&lt;&gt;"&amp;"",Başvuru!$F:$F,"&lt;&gt;"&amp;""))</f>
        <v>1</v>
      </c>
      <c r="S6" s="171">
        <f>IF(R6="","",RANK(R6,$R$6:$R$155,0)+COUNTIF($R$6:R6,R6)-1)</f>
        <v>58</v>
      </c>
    </row>
    <row r="7" spans="2:19" x14ac:dyDescent="0.25">
      <c r="B7" s="159">
        <v>2</v>
      </c>
      <c r="C7" s="160" t="str">
        <f>IFERROR(INDEX($Q$6:$Q$155,MATCH(2,$S$6:$S$155,0)),"")</f>
        <v>Çocuk Sağlığı ve Hastalıkları Anabilim Dalı</v>
      </c>
      <c r="D7" s="161">
        <f>IF(C7="","",COUNTIFS(Başvuru!$D:$D,C7,Başvuru!$A:$A,"&lt;&gt;"&amp;"",Başvuru!$F:$F,"&lt;&gt;"&amp;""))</f>
        <v>129</v>
      </c>
      <c r="E7" s="159" t="str">
        <f>IF(C7="","-",IF(D7&gt;0,TEXT(D7/(COUNTIFS(Başvuru!$A:$A,"&lt;&gt;",Başvuru!$F:$F,"&lt;&gt;")-1)*100,"0.0")&amp;"%","-"))</f>
        <v>17%</v>
      </c>
      <c r="F7" s="162">
        <f>IF(C7="","",COUNTIFS(Başvuru!$D:$D,C7,Başvuru!$G:$G,"Bireysel Araştırma",Başvuru!$A:$A,"&lt;&gt;"&amp;"",Başvuru!$F:$F,"&lt;&gt;"&amp;""))</f>
        <v>110</v>
      </c>
      <c r="G7" s="162">
        <f>IF(C7="","",COUNTIFS(Başvuru!$D:$D,C7,Başvuru!$G:$G,"Uzmanlık Tezi",Başvuru!$A:$A,"&lt;&gt;"&amp;"",Başvuru!$F:$F,"&lt;&gt;"&amp;""))</f>
        <v>17</v>
      </c>
      <c r="H7" s="162">
        <f>IF(C7="","",COUNTIFS(Başvuru!$D:$D,C7,Başvuru!$G:$G,"Doktora Tezi",Başvuru!$A:$A,"&lt;&gt;"&amp;"",Başvuru!$F:$F,"&lt;&gt;"&amp;""))</f>
        <v>1</v>
      </c>
      <c r="I7" s="162">
        <f>IF(C7="","",COUNTIFS(Başvuru!$D:$D,C7,Başvuru!$G:$G,"Yüksek Lisans Tezi",Başvuru!$A:$A,"&lt;&gt;"&amp;"",Başvuru!$F:$F,"&lt;&gt;"&amp;""))</f>
        <v>1</v>
      </c>
      <c r="J7" s="163">
        <f>IF(C7="","",COUNTIFS(Başvuru!$D:$D,C7,Başvuru!$L:$L,"ONAY",Başvuru!$A:$A,"&lt;&gt;"&amp;"",Başvuru!$F:$F,"&lt;&gt;"&amp;""))</f>
        <v>63</v>
      </c>
      <c r="K7" s="164">
        <f>IF(C7="","",COUNTIFS(Başvuru!$D:$D,C7,Başvuru!$L:$L,"DÜZELTME",Başvuru!$A:$A,"&lt;&gt;"&amp;"",Başvuru!$F:$F,"&lt;&gt;"&amp;""))</f>
        <v>37</v>
      </c>
      <c r="L7" s="165">
        <f>IF(C7="","",COUNTIFS(Başvuru!$D:$D,C7,Başvuru!$L:$L,"KAEK",Başvuru!$A:$A,"&lt;&gt;"&amp;"",Başvuru!$F:$F,"&lt;&gt;"&amp;""))</f>
        <v>5</v>
      </c>
      <c r="M7" s="166">
        <f>IF(C7="","",COUNTIFS(Başvuru!$D:$D,C7,Başvuru!$L:$L,"GÖRÜŞ",Başvuru!$A:$A,"&lt;&gt;"&amp;"",Başvuru!$F:$F,"&lt;&gt;"&amp;""))</f>
        <v>2</v>
      </c>
      <c r="N7" s="167">
        <f>IF(C7="","",COUNTIFS(Başvuru!$D:$D,C7,Başvuru!$L:$L,"RET",Başvuru!$A:$A,"&lt;&gt;"&amp;"",Başvuru!$F:$F,"&lt;&gt;"&amp;""))</f>
        <v>2</v>
      </c>
      <c r="O7" s="168">
        <f>IF(C7="","",COUNTIFS(Başvuru!$D:$D,C7,Başvuru!$L:$L,"KAPSAM DIŞI",Başvuru!$A:$A,"&lt;&gt;"&amp;"",Başvuru!$F:$F,"&lt;&gt;"&amp;""))</f>
        <v>1</v>
      </c>
      <c r="P7" s="169">
        <f>IF(C7="","",COUNTIFS(Başvuru!$D:$D,C7,Başvuru!$L:$L,"GERİ ÇEKİLDİ",Başvuru!$A:$A,"&lt;&gt;"&amp;"",Başvuru!$F:$F,"&lt;&gt;"&amp;""))</f>
        <v>0</v>
      </c>
      <c r="Q7" s="170" t="str">
        <f>IFERROR(INDEX(Başvuru!$D$2:$D$1851,MATCH(2,Başvuru!$Z$2:$Z$1851,0)),"")</f>
        <v>Moleküler Biyoloji Anabilim Dalı</v>
      </c>
      <c r="R7" s="171">
        <f>IF(Q7="","",COUNTIFS(Başvuru!$D:$D,Q7,Başvuru!$A:$A,"&lt;&gt;"&amp;"",Başvuru!$F:$F,"&lt;&gt;"&amp;""))</f>
        <v>1</v>
      </c>
      <c r="S7" s="171">
        <f>IF(R7="","",RANK(R7,$R$6:$R$155,0)+COUNTIF($R$6:R7,R7)-1)</f>
        <v>59</v>
      </c>
    </row>
    <row r="8" spans="2:19" x14ac:dyDescent="0.25">
      <c r="B8" s="159">
        <v>3</v>
      </c>
      <c r="C8" s="160" t="str">
        <f>IFERROR(INDEX($Q$6:$Q$155,MATCH(3,$S$6:$S$155,0)),"")</f>
        <v>Kadın Hastalıkları ve Doğum Anabilim Dalı</v>
      </c>
      <c r="D8" s="161">
        <f>IF(C8="","",COUNTIFS(Başvuru!$D:$D,C8,Başvuru!$A:$A,"&lt;&gt;"&amp;"",Başvuru!$F:$F,"&lt;&gt;"&amp;""))</f>
        <v>31</v>
      </c>
      <c r="E8" s="159" t="str">
        <f>IF(C8="","-",IF(D8&gt;0,TEXT(D8/(COUNTIFS(Başvuru!$A:$A,"&lt;&gt;",Başvuru!$F:$F,"&lt;&gt;")-1)*100,"0.0")&amp;"%","-"))</f>
        <v>04%</v>
      </c>
      <c r="F8" s="162">
        <f>IF(C8="","",COUNTIFS(Başvuru!$D:$D,C8,Başvuru!$G:$G,"Bireysel Araştırma",Başvuru!$A:$A,"&lt;&gt;"&amp;"",Başvuru!$F:$F,"&lt;&gt;"&amp;""))</f>
        <v>25</v>
      </c>
      <c r="G8" s="162">
        <f>IF(C8="","",COUNTIFS(Başvuru!$D:$D,C8,Başvuru!$G:$G,"Uzmanlık Tezi",Başvuru!$A:$A,"&lt;&gt;"&amp;"",Başvuru!$F:$F,"&lt;&gt;"&amp;""))</f>
        <v>6</v>
      </c>
      <c r="H8" s="162">
        <f>IF(C8="","",COUNTIFS(Başvuru!$D:$D,C8,Başvuru!$G:$G,"Doktora Tezi",Başvuru!$A:$A,"&lt;&gt;"&amp;"",Başvuru!$F:$F,"&lt;&gt;"&amp;""))</f>
        <v>0</v>
      </c>
      <c r="I8" s="162">
        <f>IF(C8="","",COUNTIFS(Başvuru!$D:$D,C8,Başvuru!$G:$G,"Yüksek Lisans Tezi",Başvuru!$A:$A,"&lt;&gt;"&amp;"",Başvuru!$F:$F,"&lt;&gt;"&amp;""))</f>
        <v>0</v>
      </c>
      <c r="J8" s="163">
        <f>IF(C8="","",COUNTIFS(Başvuru!$D:$D,C8,Başvuru!$L:$L,"ONAY",Başvuru!$A:$A,"&lt;&gt;"&amp;"",Başvuru!$F:$F,"&lt;&gt;"&amp;""))</f>
        <v>15</v>
      </c>
      <c r="K8" s="164">
        <f>IF(C8="","",COUNTIFS(Başvuru!$D:$D,C8,Başvuru!$L:$L,"DÜZELTME",Başvuru!$A:$A,"&lt;&gt;"&amp;"",Başvuru!$F:$F,"&lt;&gt;"&amp;""))</f>
        <v>8</v>
      </c>
      <c r="L8" s="165">
        <f>IF(C8="","",COUNTIFS(Başvuru!$D:$D,C8,Başvuru!$L:$L,"KAEK",Başvuru!$A:$A,"&lt;&gt;"&amp;"",Başvuru!$F:$F,"&lt;&gt;"&amp;""))</f>
        <v>2</v>
      </c>
      <c r="M8" s="166">
        <f>IF(C8="","",COUNTIFS(Başvuru!$D:$D,C8,Başvuru!$L:$L,"GÖRÜŞ",Başvuru!$A:$A,"&lt;&gt;"&amp;"",Başvuru!$F:$F,"&lt;&gt;"&amp;""))</f>
        <v>1</v>
      </c>
      <c r="N8" s="167">
        <f>IF(C8="","",COUNTIFS(Başvuru!$D:$D,C8,Başvuru!$L:$L,"RET",Başvuru!$A:$A,"&lt;&gt;"&amp;"",Başvuru!$F:$F,"&lt;&gt;"&amp;""))</f>
        <v>4</v>
      </c>
      <c r="O8" s="168">
        <f>IF(C8="","",COUNTIFS(Başvuru!$D:$D,C8,Başvuru!$L:$L,"KAPSAM DIŞI",Başvuru!$A:$A,"&lt;&gt;"&amp;"",Başvuru!$F:$F,"&lt;&gt;"&amp;""))</f>
        <v>0</v>
      </c>
      <c r="P8" s="169">
        <f>IF(C8="","",COUNTIFS(Başvuru!$D:$D,C8,Başvuru!$L:$L,"GERİ ÇEKİLDİ",Başvuru!$A:$A,"&lt;&gt;"&amp;"",Başvuru!$F:$F,"&lt;&gt;"&amp;""))</f>
        <v>0</v>
      </c>
      <c r="Q8" s="170" t="str">
        <f>IFERROR(INDEX(Başvuru!$D$2:$D$1851,MATCH(3,Başvuru!$Z$2:$Z$1851,0)),"")</f>
        <v>Radyoloji Anabilim Dalı</v>
      </c>
      <c r="R8" s="171">
        <f>IF(Q8="","",COUNTIFS(Başvuru!$D:$D,Q8,Başvuru!$A:$A,"&lt;&gt;"&amp;"",Başvuru!$F:$F,"&lt;&gt;"&amp;""))</f>
        <v>24</v>
      </c>
      <c r="S8" s="171">
        <f>IF(R8="","",RANK(R8,$R$6:$R$155,0)+COUNTIF($R$6:R8,R8)-1)</f>
        <v>4</v>
      </c>
    </row>
    <row r="9" spans="2:19" ht="22.5" customHeight="1" x14ac:dyDescent="0.25">
      <c r="B9" s="159">
        <v>4</v>
      </c>
      <c r="C9" s="160" t="str">
        <f>IFERROR(INDEX($Q$6:$Q$155,MATCH(4,$S$6:$S$155,0)),"")</f>
        <v>Radyoloji Anabilim Dalı</v>
      </c>
      <c r="D9" s="161">
        <f>IF(C9="","",COUNTIFS(Başvuru!$D:$D,C9,Başvuru!$A:$A,"&lt;&gt;"&amp;"",Başvuru!$F:$F,"&lt;&gt;"&amp;""))</f>
        <v>24</v>
      </c>
      <c r="E9" s="159" t="str">
        <f>IF(C9="","-",IF(D9&gt;0,TEXT(D9/(COUNTIFS(Başvuru!$A:$A,"&lt;&gt;",Başvuru!$F:$F,"&lt;&gt;")-1)*100,"0.0")&amp;"%","-"))</f>
        <v>03%</v>
      </c>
      <c r="F9" s="162">
        <f>IF(C9="","",COUNTIFS(Başvuru!$D:$D,C9,Başvuru!$G:$G,"Bireysel Araştırma",Başvuru!$A:$A,"&lt;&gt;"&amp;"",Başvuru!$F:$F,"&lt;&gt;"&amp;""))</f>
        <v>18</v>
      </c>
      <c r="G9" s="162">
        <f>IF(C9="","",COUNTIFS(Başvuru!$D:$D,C9,Başvuru!$G:$G,"Uzmanlık Tezi",Başvuru!$A:$A,"&lt;&gt;"&amp;"",Başvuru!$F:$F,"&lt;&gt;"&amp;""))</f>
        <v>6</v>
      </c>
      <c r="H9" s="162">
        <f>IF(C9="","",COUNTIFS(Başvuru!$D:$D,C9,Başvuru!$G:$G,"Doktora Tezi",Başvuru!$A:$A,"&lt;&gt;"&amp;"",Başvuru!$F:$F,"&lt;&gt;"&amp;""))</f>
        <v>0</v>
      </c>
      <c r="I9" s="162">
        <f>IF(C9="","",COUNTIFS(Başvuru!$D:$D,C9,Başvuru!$G:$G,"Yüksek Lisans Tezi",Başvuru!$A:$A,"&lt;&gt;"&amp;"",Başvuru!$F:$F,"&lt;&gt;"&amp;""))</f>
        <v>0</v>
      </c>
      <c r="J9" s="163">
        <f>IF(C9="","",COUNTIFS(Başvuru!$D:$D,C9,Başvuru!$L:$L,"ONAY",Başvuru!$A:$A,"&lt;&gt;"&amp;"",Başvuru!$F:$F,"&lt;&gt;"&amp;""))</f>
        <v>15</v>
      </c>
      <c r="K9" s="164">
        <f>IF(C9="","",COUNTIFS(Başvuru!$D:$D,C9,Başvuru!$L:$L,"DÜZELTME",Başvuru!$A:$A,"&lt;&gt;"&amp;"",Başvuru!$F:$F,"&lt;&gt;"&amp;""))</f>
        <v>7</v>
      </c>
      <c r="L9" s="165">
        <f>IF(C9="","",COUNTIFS(Başvuru!$D:$D,C9,Başvuru!$L:$L,"KAEK",Başvuru!$A:$A,"&lt;&gt;"&amp;"",Başvuru!$F:$F,"&lt;&gt;"&amp;""))</f>
        <v>0</v>
      </c>
      <c r="M9" s="166">
        <f>IF(C9="","",COUNTIFS(Başvuru!$D:$D,C9,Başvuru!$L:$L,"GÖRÜŞ",Başvuru!$A:$A,"&lt;&gt;"&amp;"",Başvuru!$F:$F,"&lt;&gt;"&amp;""))</f>
        <v>0</v>
      </c>
      <c r="N9" s="167">
        <f>IF(C9="","",COUNTIFS(Başvuru!$D:$D,C9,Başvuru!$L:$L,"RET",Başvuru!$A:$A,"&lt;&gt;"&amp;"",Başvuru!$F:$F,"&lt;&gt;"&amp;""))</f>
        <v>0</v>
      </c>
      <c r="O9" s="168">
        <f>IF(C9="","",COUNTIFS(Başvuru!$D:$D,C9,Başvuru!$L:$L,"KAPSAM DIŞI",Başvuru!$A:$A,"&lt;&gt;"&amp;"",Başvuru!$F:$F,"&lt;&gt;"&amp;""))</f>
        <v>0</v>
      </c>
      <c r="P9" s="169">
        <f>IF(C9="","",COUNTIFS(Başvuru!$D:$D,C9,Başvuru!$L:$L,"GERİ ÇEKİLDİ",Başvuru!$A:$A,"&lt;&gt;"&amp;"",Başvuru!$F:$F,"&lt;&gt;"&amp;""))</f>
        <v>0</v>
      </c>
      <c r="Q9" s="172" t="str">
        <f>IFERROR(INDEX(Başvuru!$D$2:$D$1851,MATCH(4,Başvuru!$Z$2:$Z$1851,0)),"")</f>
        <v>Lokman Hekim Üniversitesi
Sağlık Hizmetleri Meslek Yüksekokulu</v>
      </c>
      <c r="R9" s="171">
        <f>IF(Q9="","",COUNTIFS(Başvuru!$D:$D,Q9,Başvuru!$A:$A,"&lt;&gt;"&amp;"",Başvuru!$F:$F,"&lt;&gt;"&amp;""))</f>
        <v>2</v>
      </c>
      <c r="S9" s="171">
        <f>IF(R9="","",RANK(R9,$R$6:$R$155,0)+COUNTIF($R$6:R9,R9)-1)</f>
        <v>46</v>
      </c>
    </row>
    <row r="10" spans="2:19" x14ac:dyDescent="0.25">
      <c r="B10" s="159">
        <v>5</v>
      </c>
      <c r="C10" s="160" t="str">
        <f>IFERROR(INDEX($Q$6:$Q$155,MATCH(5,$S$6:$S$155,0)),"")</f>
        <v>Nöroloji Anabilim Dalı</v>
      </c>
      <c r="D10" s="161">
        <f>IF(C10="","",COUNTIFS(Başvuru!$D:$D,C10,Başvuru!$A:$A,"&lt;&gt;"&amp;"",Başvuru!$F:$F,"&lt;&gt;"&amp;""))</f>
        <v>24</v>
      </c>
      <c r="E10" s="159" t="str">
        <f>IF(C10="","-",IF(D10&gt;0,TEXT(D10/(COUNTIFS(Başvuru!$A:$A,"&lt;&gt;",Başvuru!$F:$F,"&lt;&gt;")-1)*100,"0.0")&amp;"%","-"))</f>
        <v>03%</v>
      </c>
      <c r="F10" s="162">
        <f>IF(C10="","",COUNTIFS(Başvuru!$D:$D,C10,Başvuru!$G:$G,"Bireysel Araştırma",Başvuru!$A:$A,"&lt;&gt;"&amp;"",Başvuru!$F:$F,"&lt;&gt;"&amp;""))</f>
        <v>19</v>
      </c>
      <c r="G10" s="162">
        <f>IF(C10="","",COUNTIFS(Başvuru!$D:$D,C10,Başvuru!$G:$G,"Uzmanlık Tezi",Başvuru!$A:$A,"&lt;&gt;"&amp;"",Başvuru!$F:$F,"&lt;&gt;"&amp;""))</f>
        <v>5</v>
      </c>
      <c r="H10" s="162">
        <f>IF(C10="","",COUNTIFS(Başvuru!$D:$D,C10,Başvuru!$G:$G,"Doktora Tezi",Başvuru!$A:$A,"&lt;&gt;"&amp;"",Başvuru!$F:$F,"&lt;&gt;"&amp;""))</f>
        <v>0</v>
      </c>
      <c r="I10" s="162">
        <f>IF(C10="","",COUNTIFS(Başvuru!$D:$D,C10,Başvuru!$G:$G,"Yüksek Lisans Tezi",Başvuru!$A:$A,"&lt;&gt;"&amp;"",Başvuru!$F:$F,"&lt;&gt;"&amp;""))</f>
        <v>0</v>
      </c>
      <c r="J10" s="163">
        <f>IF(C10="","",COUNTIFS(Başvuru!$D:$D,C10,Başvuru!$L:$L,"ONAY",Başvuru!$A:$A,"&lt;&gt;"&amp;"",Başvuru!$F:$F,"&lt;&gt;"&amp;""))</f>
        <v>17</v>
      </c>
      <c r="K10" s="164">
        <f>IF(C10="","",COUNTIFS(Başvuru!$D:$D,C10,Başvuru!$L:$L,"DÜZELTME",Başvuru!$A:$A,"&lt;&gt;"&amp;"",Başvuru!$F:$F,"&lt;&gt;"&amp;""))</f>
        <v>3</v>
      </c>
      <c r="L10" s="165">
        <f>IF(C10="","",COUNTIFS(Başvuru!$D:$D,C10,Başvuru!$L:$L,"KAEK",Başvuru!$A:$A,"&lt;&gt;"&amp;"",Başvuru!$F:$F,"&lt;&gt;"&amp;""))</f>
        <v>0</v>
      </c>
      <c r="M10" s="166">
        <f>IF(C10="","",COUNTIFS(Başvuru!$D:$D,C10,Başvuru!$L:$L,"GÖRÜŞ",Başvuru!$A:$A,"&lt;&gt;"&amp;"",Başvuru!$F:$F,"&lt;&gt;"&amp;""))</f>
        <v>1</v>
      </c>
      <c r="N10" s="167">
        <f>IF(C10="","",COUNTIFS(Başvuru!$D:$D,C10,Başvuru!$L:$L,"RET",Başvuru!$A:$A,"&lt;&gt;"&amp;"",Başvuru!$F:$F,"&lt;&gt;"&amp;""))</f>
        <v>0</v>
      </c>
      <c r="O10" s="168">
        <f>IF(C10="","",COUNTIFS(Başvuru!$D:$D,C10,Başvuru!$L:$L,"KAPSAM DIŞI",Başvuru!$A:$A,"&lt;&gt;"&amp;"",Başvuru!$F:$F,"&lt;&gt;"&amp;""))</f>
        <v>0</v>
      </c>
      <c r="P10" s="169">
        <f>IF(C10="","",COUNTIFS(Başvuru!$D:$D,C10,Başvuru!$L:$L,"GERİ ÇEKİLDİ",Başvuru!$A:$A,"&lt;&gt;"&amp;"",Başvuru!$F:$F,"&lt;&gt;"&amp;""))</f>
        <v>0</v>
      </c>
      <c r="Q10" s="170" t="str">
        <f>IFERROR(INDEX(Başvuru!$D$2:$D$1851,MATCH(5,Başvuru!$Z$2:$Z$1851,0)),"")</f>
        <v>Fizikokimya Anabilim Dalı</v>
      </c>
      <c r="R10" s="171">
        <f>IF(Q10="","",COUNTIFS(Başvuru!$D:$D,Q10,Başvuru!$A:$A,"&lt;&gt;"&amp;"",Başvuru!$F:$F,"&lt;&gt;"&amp;""))</f>
        <v>1</v>
      </c>
      <c r="S10" s="171">
        <f>IF(R10="","",RANK(R10,$R$6:$R$155,0)+COUNTIF($R$6:R10,R10)-1)</f>
        <v>60</v>
      </c>
    </row>
    <row r="11" spans="2:19" x14ac:dyDescent="0.25">
      <c r="B11" s="159">
        <v>6</v>
      </c>
      <c r="C11" s="160" t="str">
        <f>IFERROR(INDEX($Q$6:$Q$155,MATCH(6,$S$6:$S$155,0)),"")</f>
        <v>Kardiyoloji Anabilim Dalı</v>
      </c>
      <c r="D11" s="161">
        <f>IF(C11="","",COUNTIFS(Başvuru!$D:$D,C11,Başvuru!$A:$A,"&lt;&gt;"&amp;"",Başvuru!$F:$F,"&lt;&gt;"&amp;""))</f>
        <v>20</v>
      </c>
      <c r="E11" s="159" t="str">
        <f>IF(C11="","-",IF(D11&gt;0,TEXT(D11/(COUNTIFS(Başvuru!$A:$A,"&lt;&gt;",Başvuru!$F:$F,"&lt;&gt;")-1)*100,"0.0")&amp;"%","-"))</f>
        <v>03%</v>
      </c>
      <c r="F11" s="162">
        <f>IF(C11="","",COUNTIFS(Başvuru!$D:$D,C11,Başvuru!$G:$G,"Bireysel Araştırma",Başvuru!$A:$A,"&lt;&gt;"&amp;"",Başvuru!$F:$F,"&lt;&gt;"&amp;""))</f>
        <v>17</v>
      </c>
      <c r="G11" s="162">
        <f>IF(C11="","",COUNTIFS(Başvuru!$D:$D,C11,Başvuru!$G:$G,"Uzmanlık Tezi",Başvuru!$A:$A,"&lt;&gt;"&amp;"",Başvuru!$F:$F,"&lt;&gt;"&amp;""))</f>
        <v>3</v>
      </c>
      <c r="H11" s="162">
        <f>IF(C11="","",COUNTIFS(Başvuru!$D:$D,C11,Başvuru!$G:$G,"Doktora Tezi",Başvuru!$A:$A,"&lt;&gt;"&amp;"",Başvuru!$F:$F,"&lt;&gt;"&amp;""))</f>
        <v>0</v>
      </c>
      <c r="I11" s="162">
        <f>IF(C11="","",COUNTIFS(Başvuru!$D:$D,C11,Başvuru!$G:$G,"Yüksek Lisans Tezi",Başvuru!$A:$A,"&lt;&gt;"&amp;"",Başvuru!$F:$F,"&lt;&gt;"&amp;""))</f>
        <v>0</v>
      </c>
      <c r="J11" s="163">
        <f>IF(C11="","",COUNTIFS(Başvuru!$D:$D,C11,Başvuru!$L:$L,"ONAY",Başvuru!$A:$A,"&lt;&gt;"&amp;"",Başvuru!$F:$F,"&lt;&gt;"&amp;""))</f>
        <v>12</v>
      </c>
      <c r="K11" s="164">
        <f>IF(C11="","",COUNTIFS(Başvuru!$D:$D,C11,Başvuru!$L:$L,"DÜZELTME",Başvuru!$A:$A,"&lt;&gt;"&amp;"",Başvuru!$F:$F,"&lt;&gt;"&amp;""))</f>
        <v>4</v>
      </c>
      <c r="L11" s="165">
        <f>IF(C11="","",COUNTIFS(Başvuru!$D:$D,C11,Başvuru!$L:$L,"KAEK",Başvuru!$A:$A,"&lt;&gt;"&amp;"",Başvuru!$F:$F,"&lt;&gt;"&amp;""))</f>
        <v>3</v>
      </c>
      <c r="M11" s="166">
        <f>IF(C11="","",COUNTIFS(Başvuru!$D:$D,C11,Başvuru!$L:$L,"GÖRÜŞ",Başvuru!$A:$A,"&lt;&gt;"&amp;"",Başvuru!$F:$F,"&lt;&gt;"&amp;""))</f>
        <v>0</v>
      </c>
      <c r="N11" s="167">
        <f>IF(C11="","",COUNTIFS(Başvuru!$D:$D,C11,Başvuru!$L:$L,"RET",Başvuru!$A:$A,"&lt;&gt;"&amp;"",Başvuru!$F:$F,"&lt;&gt;"&amp;""))</f>
        <v>0</v>
      </c>
      <c r="O11" s="168">
        <f>IF(C11="","",COUNTIFS(Başvuru!$D:$D,C11,Başvuru!$L:$L,"KAPSAM DIŞI",Başvuru!$A:$A,"&lt;&gt;"&amp;"",Başvuru!$F:$F,"&lt;&gt;"&amp;""))</f>
        <v>0</v>
      </c>
      <c r="P11" s="169">
        <f>IF(C11="","",COUNTIFS(Başvuru!$D:$D,C11,Başvuru!$L:$L,"GERİ ÇEKİLDİ",Başvuru!$A:$A,"&lt;&gt;"&amp;"",Başvuru!$F:$F,"&lt;&gt;"&amp;""))</f>
        <v>0</v>
      </c>
      <c r="Q11" s="170" t="str">
        <f>IFERROR(INDEX(Başvuru!$D$2:$D$1851,MATCH(6,Başvuru!$Z$2:$Z$1851,0)),"")</f>
        <v>İç Hastalıkları Anabilim Dalı</v>
      </c>
      <c r="R11" s="171">
        <f>IF(Q11="","",COUNTIFS(Başvuru!$D:$D,Q11,Başvuru!$A:$A,"&lt;&gt;"&amp;"",Başvuru!$F:$F,"&lt;&gt;"&amp;""))</f>
        <v>129</v>
      </c>
      <c r="S11" s="171">
        <f>IF(R11="","",RANK(R11,$R$6:$R$155,0)+COUNTIF($R$6:R11,R11)-1)</f>
        <v>1</v>
      </c>
    </row>
    <row r="12" spans="2:19" x14ac:dyDescent="0.25">
      <c r="B12" s="159">
        <v>7</v>
      </c>
      <c r="C12" s="160" t="str">
        <f>IFERROR(INDEX($Q$6:$Q$155,MATCH(7,$S$6:$S$155,0)),"")</f>
        <v>Klinik Eczacılık Anabilim Dalı</v>
      </c>
      <c r="D12" s="161">
        <f>IF(C12="","",COUNTIFS(Başvuru!$D:$D,C12,Başvuru!$A:$A,"&lt;&gt;"&amp;"",Başvuru!$F:$F,"&lt;&gt;"&amp;""))</f>
        <v>20</v>
      </c>
      <c r="E12" s="159" t="str">
        <f>IF(C12="","-",IF(D12&gt;0,TEXT(D12/(COUNTIFS(Başvuru!$A:$A,"&lt;&gt;",Başvuru!$F:$F,"&lt;&gt;")-1)*100,"0.0")&amp;"%","-"))</f>
        <v>03%</v>
      </c>
      <c r="F12" s="162">
        <f>IF(C12="","",COUNTIFS(Başvuru!$D:$D,C12,Başvuru!$G:$G,"Bireysel Araştırma",Başvuru!$A:$A,"&lt;&gt;"&amp;"",Başvuru!$F:$F,"&lt;&gt;"&amp;""))</f>
        <v>12</v>
      </c>
      <c r="G12" s="162">
        <f>IF(C12="","",COUNTIFS(Başvuru!$D:$D,C12,Başvuru!$G:$G,"Uzmanlık Tezi",Başvuru!$A:$A,"&lt;&gt;"&amp;"",Başvuru!$F:$F,"&lt;&gt;"&amp;""))</f>
        <v>3</v>
      </c>
      <c r="H12" s="162">
        <f>IF(C12="","",COUNTIFS(Başvuru!$D:$D,C12,Başvuru!$G:$G,"Doktora Tezi",Başvuru!$A:$A,"&lt;&gt;"&amp;"",Başvuru!$F:$F,"&lt;&gt;"&amp;""))</f>
        <v>3</v>
      </c>
      <c r="I12" s="162">
        <f>IF(C12="","",COUNTIFS(Başvuru!$D:$D,C12,Başvuru!$G:$G,"Yüksek Lisans Tezi",Başvuru!$A:$A,"&lt;&gt;"&amp;"",Başvuru!$F:$F,"&lt;&gt;"&amp;""))</f>
        <v>2</v>
      </c>
      <c r="J12" s="163">
        <f>IF(C12="","",COUNTIFS(Başvuru!$D:$D,C12,Başvuru!$L:$L,"ONAY",Başvuru!$A:$A,"&lt;&gt;"&amp;"",Başvuru!$F:$F,"&lt;&gt;"&amp;""))</f>
        <v>8</v>
      </c>
      <c r="K12" s="164">
        <f>IF(C12="","",COUNTIFS(Başvuru!$D:$D,C12,Başvuru!$L:$L,"DÜZELTME",Başvuru!$A:$A,"&lt;&gt;"&amp;"",Başvuru!$F:$F,"&lt;&gt;"&amp;""))</f>
        <v>8</v>
      </c>
      <c r="L12" s="165">
        <f>IF(C12="","",COUNTIFS(Başvuru!$D:$D,C12,Başvuru!$L:$L,"KAEK",Başvuru!$A:$A,"&lt;&gt;"&amp;"",Başvuru!$F:$F,"&lt;&gt;"&amp;""))</f>
        <v>0</v>
      </c>
      <c r="M12" s="166">
        <f>IF(C12="","",COUNTIFS(Başvuru!$D:$D,C12,Başvuru!$L:$L,"GÖRÜŞ",Başvuru!$A:$A,"&lt;&gt;"&amp;"",Başvuru!$F:$F,"&lt;&gt;"&amp;""))</f>
        <v>2</v>
      </c>
      <c r="N12" s="167">
        <f>IF(C12="","",COUNTIFS(Başvuru!$D:$D,C12,Başvuru!$L:$L,"RET",Başvuru!$A:$A,"&lt;&gt;"&amp;"",Başvuru!$F:$F,"&lt;&gt;"&amp;""))</f>
        <v>0</v>
      </c>
      <c r="O12" s="168">
        <f>IF(C12="","",COUNTIFS(Başvuru!$D:$D,C12,Başvuru!$L:$L,"KAPSAM DIŞI",Başvuru!$A:$A,"&lt;&gt;"&amp;"",Başvuru!$F:$F,"&lt;&gt;"&amp;""))</f>
        <v>0</v>
      </c>
      <c r="P12" s="169">
        <f>IF(C12="","",COUNTIFS(Başvuru!$D:$D,C12,Başvuru!$L:$L,"GERİ ÇEKİLDİ",Başvuru!$A:$A,"&lt;&gt;"&amp;"",Başvuru!$F:$F,"&lt;&gt;"&amp;""))</f>
        <v>0</v>
      </c>
      <c r="Q12" s="170" t="str">
        <f>IFERROR(INDEX(Başvuru!$D$2:$D$1851,MATCH(7,Başvuru!$Z$2:$Z$1851,0)),"")</f>
        <v>Endodonti Anabilim Dalı</v>
      </c>
      <c r="R12" s="171">
        <f>IF(Q12="","",COUNTIFS(Başvuru!$D:$D,Q12,Başvuru!$A:$A,"&lt;&gt;"&amp;"",Başvuru!$F:$F,"&lt;&gt;"&amp;""))</f>
        <v>10</v>
      </c>
      <c r="S12" s="171">
        <f>IF(R12="","",RANK(R12,$R$6:$R$155,0)+COUNTIF($R$6:R12,R12)-1)</f>
        <v>18</v>
      </c>
    </row>
    <row r="13" spans="2:19" x14ac:dyDescent="0.25">
      <c r="B13" s="159">
        <v>8</v>
      </c>
      <c r="C13" s="160" t="str">
        <f>IFERROR(INDEX($Q$6:$Q$155,MATCH(8,$S$6:$S$155,0)),"")</f>
        <v>Göğüs Hastalıkları Anabilim Dalı</v>
      </c>
      <c r="D13" s="161">
        <f>IF(C13="","",COUNTIFS(Başvuru!$D:$D,C13,Başvuru!$A:$A,"&lt;&gt;"&amp;"",Başvuru!$F:$F,"&lt;&gt;"&amp;""))</f>
        <v>19</v>
      </c>
      <c r="E13" s="159" t="str">
        <f>IF(C13="","-",IF(D13&gt;0,TEXT(D13/(COUNTIFS(Başvuru!$A:$A,"&lt;&gt;",Başvuru!$F:$F,"&lt;&gt;")-1)*100,"0.0")&amp;"%","-"))</f>
        <v>03%</v>
      </c>
      <c r="F13" s="162">
        <f>IF(C13="","",COUNTIFS(Başvuru!$D:$D,C13,Başvuru!$G:$G,"Bireysel Araştırma",Başvuru!$A:$A,"&lt;&gt;"&amp;"",Başvuru!$F:$F,"&lt;&gt;"&amp;""))</f>
        <v>17</v>
      </c>
      <c r="G13" s="162">
        <f>IF(C13="","",COUNTIFS(Başvuru!$D:$D,C13,Başvuru!$G:$G,"Uzmanlık Tezi",Başvuru!$A:$A,"&lt;&gt;"&amp;"",Başvuru!$F:$F,"&lt;&gt;"&amp;""))</f>
        <v>2</v>
      </c>
      <c r="H13" s="162">
        <f>IF(C13="","",COUNTIFS(Başvuru!$D:$D,C13,Başvuru!$G:$G,"Doktora Tezi",Başvuru!$A:$A,"&lt;&gt;"&amp;"",Başvuru!$F:$F,"&lt;&gt;"&amp;""))</f>
        <v>0</v>
      </c>
      <c r="I13" s="162">
        <f>IF(C13="","",COUNTIFS(Başvuru!$D:$D,C13,Başvuru!$G:$G,"Yüksek Lisans Tezi",Başvuru!$A:$A,"&lt;&gt;"&amp;"",Başvuru!$F:$F,"&lt;&gt;"&amp;""))</f>
        <v>0</v>
      </c>
      <c r="J13" s="163">
        <f>IF(C13="","",COUNTIFS(Başvuru!$D:$D,C13,Başvuru!$L:$L,"ONAY",Başvuru!$A:$A,"&lt;&gt;"&amp;"",Başvuru!$F:$F,"&lt;&gt;"&amp;""))</f>
        <v>9</v>
      </c>
      <c r="K13" s="164">
        <f>IF(C13="","",COUNTIFS(Başvuru!$D:$D,C13,Başvuru!$L:$L,"DÜZELTME",Başvuru!$A:$A,"&lt;&gt;"&amp;"",Başvuru!$F:$F,"&lt;&gt;"&amp;""))</f>
        <v>6</v>
      </c>
      <c r="L13" s="165">
        <f>IF(C13="","",COUNTIFS(Başvuru!$D:$D,C13,Başvuru!$L:$L,"KAEK",Başvuru!$A:$A,"&lt;&gt;"&amp;"",Başvuru!$F:$F,"&lt;&gt;"&amp;""))</f>
        <v>0</v>
      </c>
      <c r="M13" s="166">
        <f>IF(C13="","",COUNTIFS(Başvuru!$D:$D,C13,Başvuru!$L:$L,"GÖRÜŞ",Başvuru!$A:$A,"&lt;&gt;"&amp;"",Başvuru!$F:$F,"&lt;&gt;"&amp;""))</f>
        <v>0</v>
      </c>
      <c r="N13" s="167">
        <f>IF(C13="","",COUNTIFS(Başvuru!$D:$D,C13,Başvuru!$L:$L,"RET",Başvuru!$A:$A,"&lt;&gt;"&amp;"",Başvuru!$F:$F,"&lt;&gt;"&amp;""))</f>
        <v>1</v>
      </c>
      <c r="O13" s="168">
        <f>IF(C13="","",COUNTIFS(Başvuru!$D:$D,C13,Başvuru!$L:$L,"KAPSAM DIŞI",Başvuru!$A:$A,"&lt;&gt;"&amp;"",Başvuru!$F:$F,"&lt;&gt;"&amp;""))</f>
        <v>0</v>
      </c>
      <c r="P13" s="169">
        <f>IF(C13="","",COUNTIFS(Başvuru!$D:$D,C13,Başvuru!$L:$L,"GERİ ÇEKİLDİ",Başvuru!$A:$A,"&lt;&gt;"&amp;"",Başvuru!$F:$F,"&lt;&gt;"&amp;""))</f>
        <v>0</v>
      </c>
      <c r="Q13" s="170" t="str">
        <f>IFERROR(INDEX(Başvuru!$D$2:$D$1851,MATCH(8,Başvuru!$Z$2:$Z$1851,0)),"")</f>
        <v>Çocuk ve Ergen Ruh Sağlığı ve Hastalıkları Anabilim Dalı</v>
      </c>
      <c r="R13" s="171">
        <f>IF(Q13="","",COUNTIFS(Başvuru!$D:$D,Q13,Başvuru!$A:$A,"&lt;&gt;"&amp;"",Başvuru!$F:$F,"&lt;&gt;"&amp;""))</f>
        <v>15</v>
      </c>
      <c r="S13" s="171">
        <f>IF(R13="","",RANK(R13,$R$6:$R$155,0)+COUNTIF($R$6:R13,R13)-1)</f>
        <v>11</v>
      </c>
    </row>
    <row r="14" spans="2:19" x14ac:dyDescent="0.25">
      <c r="B14" s="159">
        <v>9</v>
      </c>
      <c r="C14" s="160" t="str">
        <f>IFERROR(INDEX($Q$6:$Q$155,MATCH(9,$S$6:$S$155,0)),"")</f>
        <v>Göz Hastalıkları Anabilim Dalı</v>
      </c>
      <c r="D14" s="161">
        <f>IF(C14="","",COUNTIFS(Başvuru!$D:$D,C14,Başvuru!$A:$A,"&lt;&gt;"&amp;"",Başvuru!$F:$F,"&lt;&gt;"&amp;""))</f>
        <v>17</v>
      </c>
      <c r="E14" s="159" t="str">
        <f>IF(C14="","-",IF(D14&gt;0,TEXT(D14/(COUNTIFS(Başvuru!$A:$A,"&lt;&gt;",Başvuru!$F:$F,"&lt;&gt;")-1)*100,"0.0")&amp;"%","-"))</f>
        <v>02%</v>
      </c>
      <c r="F14" s="162">
        <f>IF(C14="","",COUNTIFS(Başvuru!$D:$D,C14,Başvuru!$G:$G,"Bireysel Araştırma",Başvuru!$A:$A,"&lt;&gt;"&amp;"",Başvuru!$F:$F,"&lt;&gt;"&amp;""))</f>
        <v>16</v>
      </c>
      <c r="G14" s="162">
        <f>IF(C14="","",COUNTIFS(Başvuru!$D:$D,C14,Başvuru!$G:$G,"Uzmanlık Tezi",Başvuru!$A:$A,"&lt;&gt;"&amp;"",Başvuru!$F:$F,"&lt;&gt;"&amp;""))</f>
        <v>1</v>
      </c>
      <c r="H14" s="162">
        <f>IF(C14="","",COUNTIFS(Başvuru!$D:$D,C14,Başvuru!$G:$G,"Doktora Tezi",Başvuru!$A:$A,"&lt;&gt;"&amp;"",Başvuru!$F:$F,"&lt;&gt;"&amp;""))</f>
        <v>0</v>
      </c>
      <c r="I14" s="162">
        <f>IF(C14="","",COUNTIFS(Başvuru!$D:$D,C14,Başvuru!$G:$G,"Yüksek Lisans Tezi",Başvuru!$A:$A,"&lt;&gt;"&amp;"",Başvuru!$F:$F,"&lt;&gt;"&amp;""))</f>
        <v>0</v>
      </c>
      <c r="J14" s="163">
        <f>IF(C14="","",COUNTIFS(Başvuru!$D:$D,C14,Başvuru!$L:$L,"ONAY",Başvuru!$A:$A,"&lt;&gt;"&amp;"",Başvuru!$F:$F,"&lt;&gt;"&amp;""))</f>
        <v>8</v>
      </c>
      <c r="K14" s="164">
        <f>IF(C14="","",COUNTIFS(Başvuru!$D:$D,C14,Başvuru!$L:$L,"DÜZELTME",Başvuru!$A:$A,"&lt;&gt;"&amp;"",Başvuru!$F:$F,"&lt;&gt;"&amp;""))</f>
        <v>2</v>
      </c>
      <c r="L14" s="165">
        <f>IF(C14="","",COUNTIFS(Başvuru!$D:$D,C14,Başvuru!$L:$L,"KAEK",Başvuru!$A:$A,"&lt;&gt;"&amp;"",Başvuru!$F:$F,"&lt;&gt;"&amp;""))</f>
        <v>1</v>
      </c>
      <c r="M14" s="166">
        <f>IF(C14="","",COUNTIFS(Başvuru!$D:$D,C14,Başvuru!$L:$L,"GÖRÜŞ",Başvuru!$A:$A,"&lt;&gt;"&amp;"",Başvuru!$F:$F,"&lt;&gt;"&amp;""))</f>
        <v>0</v>
      </c>
      <c r="N14" s="167">
        <f>IF(C14="","",COUNTIFS(Başvuru!$D:$D,C14,Başvuru!$L:$L,"RET",Başvuru!$A:$A,"&lt;&gt;"&amp;"",Başvuru!$F:$F,"&lt;&gt;"&amp;""))</f>
        <v>1</v>
      </c>
      <c r="O14" s="168">
        <f>IF(C14="","",COUNTIFS(Başvuru!$D:$D,C14,Başvuru!$L:$L,"KAPSAM DIŞI",Başvuru!$A:$A,"&lt;&gt;"&amp;"",Başvuru!$F:$F,"&lt;&gt;"&amp;""))</f>
        <v>0</v>
      </c>
      <c r="P14" s="169">
        <f>IF(C14="","",COUNTIFS(Başvuru!$D:$D,C14,Başvuru!$L:$L,"GERİ ÇEKİLDİ",Başvuru!$A:$A,"&lt;&gt;"&amp;"",Başvuru!$F:$F,"&lt;&gt;"&amp;""))</f>
        <v>0</v>
      </c>
      <c r="Q14" s="170" t="str">
        <f>IFERROR(INDEX(Başvuru!$D$2:$D$1851,MATCH(9,Başvuru!$Z$2:$Z$1851,0)),"")</f>
        <v>Tıbbi Mikrobiyoloji Anabilim Dalı</v>
      </c>
      <c r="R14" s="171">
        <f>IF(Q14="","",COUNTIFS(Başvuru!$D:$D,Q14,Başvuru!$A:$A,"&lt;&gt;"&amp;"",Başvuru!$F:$F,"&lt;&gt;"&amp;""))</f>
        <v>2</v>
      </c>
      <c r="S14" s="171">
        <f>IF(R14="","",RANK(R14,$R$6:$R$155,0)+COUNTIF($R$6:R14,R14)-1)</f>
        <v>47</v>
      </c>
    </row>
    <row r="15" spans="2:19" x14ac:dyDescent="0.25">
      <c r="B15" s="159">
        <v>10</v>
      </c>
      <c r="C15" s="160" t="str">
        <f>IFERROR(INDEX($Q$6:$Q$155,MATCH(10,$S$6:$S$155,0)),"")</f>
        <v>Ortopedi ve Travmatoloji Anabilim Dalı</v>
      </c>
      <c r="D15" s="161">
        <f>IF(C15="","",COUNTIFS(Başvuru!$D:$D,C15,Başvuru!$A:$A,"&lt;&gt;"&amp;"",Başvuru!$F:$F,"&lt;&gt;"&amp;""))</f>
        <v>17</v>
      </c>
      <c r="E15" s="159" t="str">
        <f>IF(C15="","-",IF(D15&gt;0,TEXT(D15/(COUNTIFS(Başvuru!$A:$A,"&lt;&gt;",Başvuru!$F:$F,"&lt;&gt;")-1)*100,"0.0")&amp;"%","-"))</f>
        <v>02%</v>
      </c>
      <c r="F15" s="162">
        <f>IF(C15="","",COUNTIFS(Başvuru!$D:$D,C15,Başvuru!$G:$G,"Bireysel Araştırma",Başvuru!$A:$A,"&lt;&gt;"&amp;"",Başvuru!$F:$F,"&lt;&gt;"&amp;""))</f>
        <v>15</v>
      </c>
      <c r="G15" s="162">
        <f>IF(C15="","",COUNTIFS(Başvuru!$D:$D,C15,Başvuru!$G:$G,"Uzmanlık Tezi",Başvuru!$A:$A,"&lt;&gt;"&amp;"",Başvuru!$F:$F,"&lt;&gt;"&amp;""))</f>
        <v>1</v>
      </c>
      <c r="H15" s="162">
        <f>IF(C15="","",COUNTIFS(Başvuru!$D:$D,C15,Başvuru!$G:$G,"Doktora Tezi",Başvuru!$A:$A,"&lt;&gt;"&amp;"",Başvuru!$F:$F,"&lt;&gt;"&amp;""))</f>
        <v>0</v>
      </c>
      <c r="I15" s="162">
        <f>IF(C15="","",COUNTIFS(Başvuru!$D:$D,C15,Başvuru!$G:$G,"Yüksek Lisans Tezi",Başvuru!$A:$A,"&lt;&gt;"&amp;"",Başvuru!$F:$F,"&lt;&gt;"&amp;""))</f>
        <v>1</v>
      </c>
      <c r="J15" s="163">
        <f>IF(C15="","",COUNTIFS(Başvuru!$D:$D,C15,Başvuru!$L:$L,"ONAY",Başvuru!$A:$A,"&lt;&gt;"&amp;"",Başvuru!$F:$F,"&lt;&gt;"&amp;""))</f>
        <v>6</v>
      </c>
      <c r="K15" s="164">
        <f>IF(C15="","",COUNTIFS(Başvuru!$D:$D,C15,Başvuru!$L:$L,"DÜZELTME",Başvuru!$A:$A,"&lt;&gt;"&amp;"",Başvuru!$F:$F,"&lt;&gt;"&amp;""))</f>
        <v>8</v>
      </c>
      <c r="L15" s="165">
        <f>IF(C15="","",COUNTIFS(Başvuru!$D:$D,C15,Başvuru!$L:$L,"KAEK",Başvuru!$A:$A,"&lt;&gt;"&amp;"",Başvuru!$F:$F,"&lt;&gt;"&amp;""))</f>
        <v>1</v>
      </c>
      <c r="M15" s="166">
        <f>IF(C15="","",COUNTIFS(Başvuru!$D:$D,C15,Başvuru!$L:$L,"GÖRÜŞ",Başvuru!$A:$A,"&lt;&gt;"&amp;"",Başvuru!$F:$F,"&lt;&gt;"&amp;""))</f>
        <v>0</v>
      </c>
      <c r="N15" s="167">
        <f>IF(C15="","",COUNTIFS(Başvuru!$D:$D,C15,Başvuru!$L:$L,"RET",Başvuru!$A:$A,"&lt;&gt;"&amp;"",Başvuru!$F:$F,"&lt;&gt;"&amp;""))</f>
        <v>0</v>
      </c>
      <c r="O15" s="168">
        <f>IF(C15="","",COUNTIFS(Başvuru!$D:$D,C15,Başvuru!$L:$L,"KAPSAM DIŞI",Başvuru!$A:$A,"&lt;&gt;"&amp;"",Başvuru!$F:$F,"&lt;&gt;"&amp;""))</f>
        <v>1</v>
      </c>
      <c r="P15" s="169">
        <f>IF(C15="","",COUNTIFS(Başvuru!$D:$D,C15,Başvuru!$L:$L,"GERİ ÇEKİLDİ",Başvuru!$A:$A,"&lt;&gt;"&amp;"",Başvuru!$F:$F,"&lt;&gt;"&amp;""))</f>
        <v>0</v>
      </c>
      <c r="Q15" s="170" t="str">
        <f>IFERROR(INDEX(Başvuru!$D$2:$D$1851,MATCH(10,Başvuru!$Z$2:$Z$1851,0)),"")</f>
        <v>Histoloji ve Embriyoloji Anabilim Dalı</v>
      </c>
      <c r="R15" s="171">
        <f>IF(Q15="","",COUNTIFS(Başvuru!$D:$D,Q15,Başvuru!$A:$A,"&lt;&gt;"&amp;"",Başvuru!$F:$F,"&lt;&gt;"&amp;""))</f>
        <v>6</v>
      </c>
      <c r="S15" s="171">
        <f>IF(R15="","",RANK(R15,$R$6:$R$155,0)+COUNTIF($R$6:R15,R15)-1)</f>
        <v>29</v>
      </c>
    </row>
    <row r="16" spans="2:19" x14ac:dyDescent="0.25">
      <c r="B16" s="159">
        <v>11</v>
      </c>
      <c r="C16" s="160" t="str">
        <f>IFERROR(INDEX($Q$6:$Q$155,MATCH(11,$S$6:$S$155,0)),"")</f>
        <v>Çocuk ve Ergen Ruh Sağlığı ve Hastalıkları Anabilim Dalı</v>
      </c>
      <c r="D16" s="161">
        <f>IF(C16="","",COUNTIFS(Başvuru!$D:$D,C16,Başvuru!$A:$A,"&lt;&gt;"&amp;"",Başvuru!$F:$F,"&lt;&gt;"&amp;""))</f>
        <v>15</v>
      </c>
      <c r="E16" s="159" t="str">
        <f>IF(C16="","-",IF(D16&gt;0,TEXT(D16/(COUNTIFS(Başvuru!$A:$A,"&lt;&gt;",Başvuru!$F:$F,"&lt;&gt;")-1)*100,"0.0")&amp;"%","-"))</f>
        <v>02%</v>
      </c>
      <c r="F16" s="162">
        <f>IF(C16="","",COUNTIFS(Başvuru!$D:$D,C16,Başvuru!$G:$G,"Bireysel Araştırma",Başvuru!$A:$A,"&lt;&gt;"&amp;"",Başvuru!$F:$F,"&lt;&gt;"&amp;""))</f>
        <v>9</v>
      </c>
      <c r="G16" s="162">
        <f>IF(C16="","",COUNTIFS(Başvuru!$D:$D,C16,Başvuru!$G:$G,"Uzmanlık Tezi",Başvuru!$A:$A,"&lt;&gt;"&amp;"",Başvuru!$F:$F,"&lt;&gt;"&amp;""))</f>
        <v>6</v>
      </c>
      <c r="H16" s="162">
        <f>IF(C16="","",COUNTIFS(Başvuru!$D:$D,C16,Başvuru!$G:$G,"Doktora Tezi",Başvuru!$A:$A,"&lt;&gt;"&amp;"",Başvuru!$F:$F,"&lt;&gt;"&amp;""))</f>
        <v>0</v>
      </c>
      <c r="I16" s="162">
        <f>IF(C16="","",COUNTIFS(Başvuru!$D:$D,C16,Başvuru!$G:$G,"Yüksek Lisans Tezi",Başvuru!$A:$A,"&lt;&gt;"&amp;"",Başvuru!$F:$F,"&lt;&gt;"&amp;""))</f>
        <v>0</v>
      </c>
      <c r="J16" s="163">
        <f>IF(C16="","",COUNTIFS(Başvuru!$D:$D,C16,Başvuru!$L:$L,"ONAY",Başvuru!$A:$A,"&lt;&gt;"&amp;"",Başvuru!$F:$F,"&lt;&gt;"&amp;""))</f>
        <v>9</v>
      </c>
      <c r="K16" s="164">
        <f>IF(C16="","",COUNTIFS(Başvuru!$D:$D,C16,Başvuru!$L:$L,"DÜZELTME",Başvuru!$A:$A,"&lt;&gt;"&amp;"",Başvuru!$F:$F,"&lt;&gt;"&amp;""))</f>
        <v>5</v>
      </c>
      <c r="L16" s="165">
        <f>IF(C16="","",COUNTIFS(Başvuru!$D:$D,C16,Başvuru!$L:$L,"KAEK",Başvuru!$A:$A,"&lt;&gt;"&amp;"",Başvuru!$F:$F,"&lt;&gt;"&amp;""))</f>
        <v>0</v>
      </c>
      <c r="M16" s="166">
        <f>IF(C16="","",COUNTIFS(Başvuru!$D:$D,C16,Başvuru!$L:$L,"GÖRÜŞ",Başvuru!$A:$A,"&lt;&gt;"&amp;"",Başvuru!$F:$F,"&lt;&gt;"&amp;""))</f>
        <v>0</v>
      </c>
      <c r="N16" s="167">
        <f>IF(C16="","",COUNTIFS(Başvuru!$D:$D,C16,Başvuru!$L:$L,"RET",Başvuru!$A:$A,"&lt;&gt;"&amp;"",Başvuru!$F:$F,"&lt;&gt;"&amp;""))</f>
        <v>0</v>
      </c>
      <c r="O16" s="168">
        <f>IF(C16="","",COUNTIFS(Başvuru!$D:$D,C16,Başvuru!$L:$L,"KAPSAM DIŞI",Başvuru!$A:$A,"&lt;&gt;"&amp;"",Başvuru!$F:$F,"&lt;&gt;"&amp;""))</f>
        <v>0</v>
      </c>
      <c r="P16" s="169">
        <f>IF(C16="","",COUNTIFS(Başvuru!$D:$D,C16,Başvuru!$L:$L,"GERİ ÇEKİLDİ",Başvuru!$A:$A,"&lt;&gt;"&amp;"",Başvuru!$F:$F,"&lt;&gt;"&amp;""))</f>
        <v>0</v>
      </c>
      <c r="Q16" s="170" t="str">
        <f>IFERROR(INDEX(Başvuru!$D$2:$D$1851,MATCH(11,Başvuru!$Z$2:$Z$1851,0)),"")</f>
        <v>Tıp Eğitimi ve Bilişimi Anabilim Dalı</v>
      </c>
      <c r="R16" s="171">
        <f>IF(Q16="","",COUNTIFS(Başvuru!$D:$D,Q16,Başvuru!$A:$A,"&lt;&gt;"&amp;"",Başvuru!$F:$F,"&lt;&gt;"&amp;""))</f>
        <v>3</v>
      </c>
      <c r="S16" s="171">
        <f>IF(R16="","",RANK(R16,$R$6:$R$155,0)+COUNTIF($R$6:R16,R16)-1)</f>
        <v>41</v>
      </c>
    </row>
    <row r="17" spans="2:19" x14ac:dyDescent="0.25">
      <c r="B17" s="159">
        <v>12</v>
      </c>
      <c r="C17" s="160" t="str">
        <f>IFERROR(INDEX($Q$6:$Q$155,MATCH(12,$S$6:$S$155,0)),"")</f>
        <v>Kulak Burun Boğaz Anabilim Dalı</v>
      </c>
      <c r="D17" s="161">
        <f>IF(C17="","",COUNTIFS(Başvuru!$D:$D,C17,Başvuru!$A:$A,"&lt;&gt;"&amp;"",Başvuru!$F:$F,"&lt;&gt;"&amp;""))</f>
        <v>15</v>
      </c>
      <c r="E17" s="159" t="str">
        <f>IF(C17="","-",IF(D17&gt;0,TEXT(D17/(COUNTIFS(Başvuru!$A:$A,"&lt;&gt;",Başvuru!$F:$F,"&lt;&gt;")-1)*100,"0.0")&amp;"%","-"))</f>
        <v>02%</v>
      </c>
      <c r="F17" s="162">
        <f>IF(C17="","",COUNTIFS(Başvuru!$D:$D,C17,Başvuru!$G:$G,"Bireysel Araştırma",Başvuru!$A:$A,"&lt;&gt;"&amp;"",Başvuru!$F:$F,"&lt;&gt;"&amp;""))</f>
        <v>13</v>
      </c>
      <c r="G17" s="162">
        <f>IF(C17="","",COUNTIFS(Başvuru!$D:$D,C17,Başvuru!$G:$G,"Uzmanlık Tezi",Başvuru!$A:$A,"&lt;&gt;"&amp;"",Başvuru!$F:$F,"&lt;&gt;"&amp;""))</f>
        <v>2</v>
      </c>
      <c r="H17" s="162">
        <f>IF(C17="","",COUNTIFS(Başvuru!$D:$D,C17,Başvuru!$G:$G,"Doktora Tezi",Başvuru!$A:$A,"&lt;&gt;"&amp;"",Başvuru!$F:$F,"&lt;&gt;"&amp;""))</f>
        <v>0</v>
      </c>
      <c r="I17" s="162">
        <f>IF(C17="","",COUNTIFS(Başvuru!$D:$D,C17,Başvuru!$G:$G,"Yüksek Lisans Tezi",Başvuru!$A:$A,"&lt;&gt;"&amp;"",Başvuru!$F:$F,"&lt;&gt;"&amp;""))</f>
        <v>0</v>
      </c>
      <c r="J17" s="163">
        <f>IF(C17="","",COUNTIFS(Başvuru!$D:$D,C17,Başvuru!$L:$L,"ONAY",Başvuru!$A:$A,"&lt;&gt;"&amp;"",Başvuru!$F:$F,"&lt;&gt;"&amp;""))</f>
        <v>7</v>
      </c>
      <c r="K17" s="164">
        <f>IF(C17="","",COUNTIFS(Başvuru!$D:$D,C17,Başvuru!$L:$L,"DÜZELTME",Başvuru!$A:$A,"&lt;&gt;"&amp;"",Başvuru!$F:$F,"&lt;&gt;"&amp;""))</f>
        <v>4</v>
      </c>
      <c r="L17" s="165">
        <f>IF(C17="","",COUNTIFS(Başvuru!$D:$D,C17,Başvuru!$L:$L,"KAEK",Başvuru!$A:$A,"&lt;&gt;"&amp;"",Başvuru!$F:$F,"&lt;&gt;"&amp;""))</f>
        <v>0</v>
      </c>
      <c r="M17" s="166">
        <f>IF(C17="","",COUNTIFS(Başvuru!$D:$D,C17,Başvuru!$L:$L,"GÖRÜŞ",Başvuru!$A:$A,"&lt;&gt;"&amp;"",Başvuru!$F:$F,"&lt;&gt;"&amp;""))</f>
        <v>1</v>
      </c>
      <c r="N17" s="167">
        <f>IF(C17="","",COUNTIFS(Başvuru!$D:$D,C17,Başvuru!$L:$L,"RET",Başvuru!$A:$A,"&lt;&gt;"&amp;"",Başvuru!$F:$F,"&lt;&gt;"&amp;""))</f>
        <v>2</v>
      </c>
      <c r="O17" s="168">
        <f>IF(C17="","",COUNTIFS(Başvuru!$D:$D,C17,Başvuru!$L:$L,"KAPSAM DIŞI",Başvuru!$A:$A,"&lt;&gt;"&amp;"",Başvuru!$F:$F,"&lt;&gt;"&amp;""))</f>
        <v>0</v>
      </c>
      <c r="P17" s="169">
        <f>IF(C17="","",COUNTIFS(Başvuru!$D:$D,C17,Başvuru!$L:$L,"GERİ ÇEKİLDİ",Başvuru!$A:$A,"&lt;&gt;"&amp;"",Başvuru!$F:$F,"&lt;&gt;"&amp;""))</f>
        <v>0</v>
      </c>
      <c r="Q17" s="170" t="str">
        <f>IFERROR(INDEX(Başvuru!$D$2:$D$1851,MATCH(12,Başvuru!$Z$2:$Z$1851,0)),"")</f>
        <v>Spor Hekimliği Anabilim Dalı</v>
      </c>
      <c r="R17" s="171">
        <f>IF(Q17="","",COUNTIFS(Başvuru!$D:$D,Q17,Başvuru!$A:$A,"&lt;&gt;"&amp;"",Başvuru!$F:$F,"&lt;&gt;"&amp;""))</f>
        <v>4</v>
      </c>
      <c r="S17" s="171">
        <f>IF(R17="","",RANK(R17,$R$6:$R$155,0)+COUNTIF($R$6:R17,R17)-1)</f>
        <v>37</v>
      </c>
    </row>
    <row r="18" spans="2:19" x14ac:dyDescent="0.25">
      <c r="B18" s="159">
        <v>13</v>
      </c>
      <c r="C18" s="160" t="str">
        <f>IFERROR(INDEX($Q$6:$Q$155,MATCH(13,$S$6:$S$155,0)),"")</f>
        <v>Çocuk Cerrahisi Anabilim Dalı</v>
      </c>
      <c r="D18" s="161">
        <f>IF(C18="","",COUNTIFS(Başvuru!$D:$D,C18,Başvuru!$A:$A,"&lt;&gt;"&amp;"",Başvuru!$F:$F,"&lt;&gt;"&amp;""))</f>
        <v>13</v>
      </c>
      <c r="E18" s="159" t="str">
        <f>IF(C18="","-",IF(D18&gt;0,TEXT(D18/(COUNTIFS(Başvuru!$A:$A,"&lt;&gt;",Başvuru!$F:$F,"&lt;&gt;")-1)*100,"0.0")&amp;"%","-"))</f>
        <v>02%</v>
      </c>
      <c r="F18" s="162">
        <f>IF(C18="","",COUNTIFS(Başvuru!$D:$D,C18,Başvuru!$G:$G,"Bireysel Araştırma",Başvuru!$A:$A,"&lt;&gt;"&amp;"",Başvuru!$F:$F,"&lt;&gt;"&amp;""))</f>
        <v>12</v>
      </c>
      <c r="G18" s="162">
        <f>IF(C18="","",COUNTIFS(Başvuru!$D:$D,C18,Başvuru!$G:$G,"Uzmanlık Tezi",Başvuru!$A:$A,"&lt;&gt;"&amp;"",Başvuru!$F:$F,"&lt;&gt;"&amp;""))</f>
        <v>1</v>
      </c>
      <c r="H18" s="162">
        <f>IF(C18="","",COUNTIFS(Başvuru!$D:$D,C18,Başvuru!$G:$G,"Doktora Tezi",Başvuru!$A:$A,"&lt;&gt;"&amp;"",Başvuru!$F:$F,"&lt;&gt;"&amp;""))</f>
        <v>0</v>
      </c>
      <c r="I18" s="162">
        <f>IF(C18="","",COUNTIFS(Başvuru!$D:$D,C18,Başvuru!$G:$G,"Yüksek Lisans Tezi",Başvuru!$A:$A,"&lt;&gt;"&amp;"",Başvuru!$F:$F,"&lt;&gt;"&amp;""))</f>
        <v>0</v>
      </c>
      <c r="J18" s="163">
        <f>IF(C18="","",COUNTIFS(Başvuru!$D:$D,C18,Başvuru!$L:$L,"ONAY",Başvuru!$A:$A,"&lt;&gt;"&amp;"",Başvuru!$F:$F,"&lt;&gt;"&amp;""))</f>
        <v>7</v>
      </c>
      <c r="K18" s="164">
        <f>IF(C18="","",COUNTIFS(Başvuru!$D:$D,C18,Başvuru!$L:$L,"DÜZELTME",Başvuru!$A:$A,"&lt;&gt;"&amp;"",Başvuru!$F:$F,"&lt;&gt;"&amp;""))</f>
        <v>6</v>
      </c>
      <c r="L18" s="165">
        <f>IF(C18="","",COUNTIFS(Başvuru!$D:$D,C18,Başvuru!$L:$L,"KAEK",Başvuru!$A:$A,"&lt;&gt;"&amp;"",Başvuru!$F:$F,"&lt;&gt;"&amp;""))</f>
        <v>0</v>
      </c>
      <c r="M18" s="166">
        <f>IF(C18="","",COUNTIFS(Başvuru!$D:$D,C18,Başvuru!$L:$L,"GÖRÜŞ",Başvuru!$A:$A,"&lt;&gt;"&amp;"",Başvuru!$F:$F,"&lt;&gt;"&amp;""))</f>
        <v>0</v>
      </c>
      <c r="N18" s="167">
        <f>IF(C18="","",COUNTIFS(Başvuru!$D:$D,C18,Başvuru!$L:$L,"RET",Başvuru!$A:$A,"&lt;&gt;"&amp;"",Başvuru!$F:$F,"&lt;&gt;"&amp;""))</f>
        <v>0</v>
      </c>
      <c r="O18" s="168">
        <f>IF(C18="","",COUNTIFS(Başvuru!$D:$D,C18,Başvuru!$L:$L,"KAPSAM DIŞI",Başvuru!$A:$A,"&lt;&gt;"&amp;"",Başvuru!$F:$F,"&lt;&gt;"&amp;""))</f>
        <v>0</v>
      </c>
      <c r="P18" s="169">
        <f>IF(C18="","",COUNTIFS(Başvuru!$D:$D,C18,Başvuru!$L:$L,"GERİ ÇEKİLDİ",Başvuru!$A:$A,"&lt;&gt;"&amp;"",Başvuru!$F:$F,"&lt;&gt;"&amp;""))</f>
        <v>0</v>
      </c>
      <c r="Q18" s="170" t="str">
        <f>IFERROR(INDEX(Başvuru!$D$2:$D$1851,MATCH(13,Başvuru!$Z$2:$Z$1851,0)),"")</f>
        <v>Göğüs Hastalıkları Anabilim Dalı</v>
      </c>
      <c r="R18" s="171">
        <f>IF(Q18="","",COUNTIFS(Başvuru!$D:$D,Q18,Başvuru!$A:$A,"&lt;&gt;"&amp;"",Başvuru!$F:$F,"&lt;&gt;"&amp;""))</f>
        <v>19</v>
      </c>
      <c r="S18" s="171">
        <f>IF(R18="","",RANK(R18,$R$6:$R$155,0)+COUNTIF($R$6:R18,R18)-1)</f>
        <v>8</v>
      </c>
    </row>
    <row r="19" spans="2:19" x14ac:dyDescent="0.25">
      <c r="B19" s="159">
        <v>14</v>
      </c>
      <c r="C19" s="160" t="str">
        <f>IFERROR(INDEX($Q$6:$Q$155,MATCH(14,$S$6:$S$155,0)),"")</f>
        <v>Üroloji Anabilim Dalı</v>
      </c>
      <c r="D19" s="161">
        <f>IF(C19="","",COUNTIFS(Başvuru!$D:$D,C19,Başvuru!$A:$A,"&lt;&gt;"&amp;"",Başvuru!$F:$F,"&lt;&gt;"&amp;""))</f>
        <v>13</v>
      </c>
      <c r="E19" s="159" t="str">
        <f>IF(C19="","-",IF(D19&gt;0,TEXT(D19/(COUNTIFS(Başvuru!$A:$A,"&lt;&gt;",Başvuru!$F:$F,"&lt;&gt;")-1)*100,"0.0")&amp;"%","-"))</f>
        <v>02%</v>
      </c>
      <c r="F19" s="162">
        <f>IF(C19="","",COUNTIFS(Başvuru!$D:$D,C19,Başvuru!$G:$G,"Bireysel Araştırma",Başvuru!$A:$A,"&lt;&gt;"&amp;"",Başvuru!$F:$F,"&lt;&gt;"&amp;""))</f>
        <v>12</v>
      </c>
      <c r="G19" s="162">
        <f>IF(C19="","",COUNTIFS(Başvuru!$D:$D,C19,Başvuru!$G:$G,"Uzmanlık Tezi",Başvuru!$A:$A,"&lt;&gt;"&amp;"",Başvuru!$F:$F,"&lt;&gt;"&amp;""))</f>
        <v>1</v>
      </c>
      <c r="H19" s="162">
        <f>IF(C19="","",COUNTIFS(Başvuru!$D:$D,C19,Başvuru!$G:$G,"Doktora Tezi",Başvuru!$A:$A,"&lt;&gt;"&amp;"",Başvuru!$F:$F,"&lt;&gt;"&amp;""))</f>
        <v>0</v>
      </c>
      <c r="I19" s="162">
        <f>IF(C19="","",COUNTIFS(Başvuru!$D:$D,C19,Başvuru!$G:$G,"Yüksek Lisans Tezi",Başvuru!$A:$A,"&lt;&gt;"&amp;"",Başvuru!$F:$F,"&lt;&gt;"&amp;""))</f>
        <v>0</v>
      </c>
      <c r="J19" s="163">
        <f>IF(C19="","",COUNTIFS(Başvuru!$D:$D,C19,Başvuru!$L:$L,"ONAY",Başvuru!$A:$A,"&lt;&gt;"&amp;"",Başvuru!$F:$F,"&lt;&gt;"&amp;""))</f>
        <v>6</v>
      </c>
      <c r="K19" s="164">
        <f>IF(C19="","",COUNTIFS(Başvuru!$D:$D,C19,Başvuru!$L:$L,"DÜZELTME",Başvuru!$A:$A,"&lt;&gt;"&amp;"",Başvuru!$F:$F,"&lt;&gt;"&amp;""))</f>
        <v>2</v>
      </c>
      <c r="L19" s="165">
        <f>IF(C19="","",COUNTIFS(Başvuru!$D:$D,C19,Başvuru!$L:$L,"KAEK",Başvuru!$A:$A,"&lt;&gt;"&amp;"",Başvuru!$F:$F,"&lt;&gt;"&amp;""))</f>
        <v>0</v>
      </c>
      <c r="M19" s="166">
        <f>IF(C19="","",COUNTIFS(Başvuru!$D:$D,C19,Başvuru!$L:$L,"GÖRÜŞ",Başvuru!$A:$A,"&lt;&gt;"&amp;"",Başvuru!$F:$F,"&lt;&gt;"&amp;""))</f>
        <v>0</v>
      </c>
      <c r="N19" s="167">
        <f>IF(C19="","",COUNTIFS(Başvuru!$D:$D,C19,Başvuru!$L:$L,"RET",Başvuru!$A:$A,"&lt;&gt;"&amp;"",Başvuru!$F:$F,"&lt;&gt;"&amp;""))</f>
        <v>0</v>
      </c>
      <c r="O19" s="168">
        <f>IF(C19="","",COUNTIFS(Başvuru!$D:$D,C19,Başvuru!$L:$L,"KAPSAM DIŞI",Başvuru!$A:$A,"&lt;&gt;"&amp;"",Başvuru!$F:$F,"&lt;&gt;"&amp;""))</f>
        <v>0</v>
      </c>
      <c r="P19" s="169">
        <f>IF(C19="","",COUNTIFS(Başvuru!$D:$D,C19,Başvuru!$L:$L,"GERİ ÇEKİLDİ",Başvuru!$A:$A,"&lt;&gt;"&amp;"",Başvuru!$F:$F,"&lt;&gt;"&amp;""))</f>
        <v>0</v>
      </c>
      <c r="Q19" s="170" t="str">
        <f>IFERROR(INDEX(Başvuru!$D$2:$D$1851,MATCH(14,Başvuru!$Z$2:$Z$1851,0)),"")</f>
        <v>Anesteziyoloji ve Reanimasyon Anabilim Dalı</v>
      </c>
      <c r="R19" s="171">
        <f>IF(Q19="","",COUNTIFS(Başvuru!$D:$D,Q19,Başvuru!$A:$A,"&lt;&gt;"&amp;"",Başvuru!$F:$F,"&lt;&gt;"&amp;""))</f>
        <v>11</v>
      </c>
      <c r="S19" s="171">
        <f>IF(R19="","",RANK(R19,$R$6:$R$155,0)+COUNTIF($R$6:R19,R19)-1)</f>
        <v>16</v>
      </c>
    </row>
    <row r="20" spans="2:19" x14ac:dyDescent="0.25">
      <c r="B20" s="159">
        <v>15</v>
      </c>
      <c r="C20" s="160" t="str">
        <f>IFERROR(INDEX($Q$6:$Q$155,MATCH(15,$S$6:$S$155,0)),"")</f>
        <v>Deri ve Zührevi Hastalıklar Anabilim Dalı</v>
      </c>
      <c r="D20" s="161">
        <f>IF(C20="","",COUNTIFS(Başvuru!$D:$D,C20,Başvuru!$A:$A,"&lt;&gt;"&amp;"",Başvuru!$F:$F,"&lt;&gt;"&amp;""))</f>
        <v>12</v>
      </c>
      <c r="E20" s="159" t="str">
        <f>IF(C20="","-",IF(D20&gt;0,TEXT(D20/(COUNTIFS(Başvuru!$A:$A,"&lt;&gt;",Başvuru!$F:$F,"&lt;&gt;")-1)*100,"0.0")&amp;"%","-"))</f>
        <v>02%</v>
      </c>
      <c r="F20" s="162">
        <f>IF(C20="","",COUNTIFS(Başvuru!$D:$D,C20,Başvuru!$G:$G,"Bireysel Araştırma",Başvuru!$A:$A,"&lt;&gt;"&amp;"",Başvuru!$F:$F,"&lt;&gt;"&amp;""))</f>
        <v>8</v>
      </c>
      <c r="G20" s="162">
        <f>IF(C20="","",COUNTIFS(Başvuru!$D:$D,C20,Başvuru!$G:$G,"Uzmanlık Tezi",Başvuru!$A:$A,"&lt;&gt;"&amp;"",Başvuru!$F:$F,"&lt;&gt;"&amp;""))</f>
        <v>4</v>
      </c>
      <c r="H20" s="162">
        <f>IF(C20="","",COUNTIFS(Başvuru!$D:$D,C20,Başvuru!$G:$G,"Doktora Tezi",Başvuru!$A:$A,"&lt;&gt;"&amp;"",Başvuru!$F:$F,"&lt;&gt;"&amp;""))</f>
        <v>0</v>
      </c>
      <c r="I20" s="162">
        <f>IF(C20="","",COUNTIFS(Başvuru!$D:$D,C20,Başvuru!$G:$G,"Yüksek Lisans Tezi",Başvuru!$A:$A,"&lt;&gt;"&amp;"",Başvuru!$F:$F,"&lt;&gt;"&amp;""))</f>
        <v>0</v>
      </c>
      <c r="J20" s="163">
        <f>IF(C20="","",COUNTIFS(Başvuru!$D:$D,C20,Başvuru!$L:$L,"ONAY",Başvuru!$A:$A,"&lt;&gt;"&amp;"",Başvuru!$F:$F,"&lt;&gt;"&amp;""))</f>
        <v>6</v>
      </c>
      <c r="K20" s="164">
        <f>IF(C20="","",COUNTIFS(Başvuru!$D:$D,C20,Başvuru!$L:$L,"DÜZELTME",Başvuru!$A:$A,"&lt;&gt;"&amp;"",Başvuru!$F:$F,"&lt;&gt;"&amp;""))</f>
        <v>3</v>
      </c>
      <c r="L20" s="165">
        <f>IF(C20="","",COUNTIFS(Başvuru!$D:$D,C20,Başvuru!$L:$L,"KAEK",Başvuru!$A:$A,"&lt;&gt;"&amp;"",Başvuru!$F:$F,"&lt;&gt;"&amp;""))</f>
        <v>1</v>
      </c>
      <c r="M20" s="166">
        <f>IF(C20="","",COUNTIFS(Başvuru!$D:$D,C20,Başvuru!$L:$L,"GÖRÜŞ",Başvuru!$A:$A,"&lt;&gt;"&amp;"",Başvuru!$F:$F,"&lt;&gt;"&amp;""))</f>
        <v>1</v>
      </c>
      <c r="N20" s="167">
        <f>IF(C20="","",COUNTIFS(Başvuru!$D:$D,C20,Başvuru!$L:$L,"RET",Başvuru!$A:$A,"&lt;&gt;"&amp;"",Başvuru!$F:$F,"&lt;&gt;"&amp;""))</f>
        <v>0</v>
      </c>
      <c r="O20" s="168">
        <f>IF(C20="","",COUNTIFS(Başvuru!$D:$D,C20,Başvuru!$L:$L,"KAPSAM DIŞI",Başvuru!$A:$A,"&lt;&gt;"&amp;"",Başvuru!$F:$F,"&lt;&gt;"&amp;""))</f>
        <v>0</v>
      </c>
      <c r="P20" s="169">
        <f>IF(C20="","",COUNTIFS(Başvuru!$D:$D,C20,Başvuru!$L:$L,"GERİ ÇEKİLDİ",Başvuru!$A:$A,"&lt;&gt;"&amp;"",Başvuru!$F:$F,"&lt;&gt;"&amp;""))</f>
        <v>0</v>
      </c>
      <c r="Q20" s="170" t="str">
        <f>IFERROR(INDEX(Başvuru!$D$2:$D$1851,MATCH(15,Başvuru!$Z$2:$Z$1851,0)),"")</f>
        <v>Göğüs Cerrahisi Anabilim Dalı</v>
      </c>
      <c r="R20" s="171">
        <f>IF(Q20="","",COUNTIFS(Başvuru!$D:$D,Q20,Başvuru!$A:$A,"&lt;&gt;"&amp;"",Başvuru!$F:$F,"&lt;&gt;"&amp;""))</f>
        <v>5</v>
      </c>
      <c r="S20" s="171">
        <f>IF(R20="","",RANK(R20,$R$6:$R$155,0)+COUNTIF($R$6:R20,R20)-1)</f>
        <v>35</v>
      </c>
    </row>
    <row r="21" spans="2:19" x14ac:dyDescent="0.25">
      <c r="B21" s="159">
        <v>16</v>
      </c>
      <c r="C21" s="160" t="str">
        <f>IFERROR(INDEX($Q$6:$Q$155,MATCH(16,$S$6:$S$155,0)),"")</f>
        <v>Anesteziyoloji ve Reanimasyon Anabilim Dalı</v>
      </c>
      <c r="D21" s="161">
        <f>IF(C21="","",COUNTIFS(Başvuru!$D:$D,C21,Başvuru!$A:$A,"&lt;&gt;"&amp;"",Başvuru!$F:$F,"&lt;&gt;"&amp;""))</f>
        <v>11</v>
      </c>
      <c r="E21" s="159" t="str">
        <f>IF(C21="","-",IF(D21&gt;0,TEXT(D21/(COUNTIFS(Başvuru!$A:$A,"&lt;&gt;",Başvuru!$F:$F,"&lt;&gt;")-1)*100,"0.0")&amp;"%","-"))</f>
        <v>01%</v>
      </c>
      <c r="F21" s="162">
        <f>IF(C21="","",COUNTIFS(Başvuru!$D:$D,C21,Başvuru!$G:$G,"Bireysel Araştırma",Başvuru!$A:$A,"&lt;&gt;"&amp;"",Başvuru!$F:$F,"&lt;&gt;"&amp;""))</f>
        <v>6</v>
      </c>
      <c r="G21" s="162">
        <f>IF(C21="","",COUNTIFS(Başvuru!$D:$D,C21,Başvuru!$G:$G,"Uzmanlık Tezi",Başvuru!$A:$A,"&lt;&gt;"&amp;"",Başvuru!$F:$F,"&lt;&gt;"&amp;""))</f>
        <v>5</v>
      </c>
      <c r="H21" s="162">
        <f>IF(C21="","",COUNTIFS(Başvuru!$D:$D,C21,Başvuru!$G:$G,"Doktora Tezi",Başvuru!$A:$A,"&lt;&gt;"&amp;"",Başvuru!$F:$F,"&lt;&gt;"&amp;""))</f>
        <v>0</v>
      </c>
      <c r="I21" s="162">
        <f>IF(C21="","",COUNTIFS(Başvuru!$D:$D,C21,Başvuru!$G:$G,"Yüksek Lisans Tezi",Başvuru!$A:$A,"&lt;&gt;"&amp;"",Başvuru!$F:$F,"&lt;&gt;"&amp;""))</f>
        <v>0</v>
      </c>
      <c r="J21" s="163">
        <f>IF(C21="","",COUNTIFS(Başvuru!$D:$D,C21,Başvuru!$L:$L,"ONAY",Başvuru!$A:$A,"&lt;&gt;"&amp;"",Başvuru!$F:$F,"&lt;&gt;"&amp;""))</f>
        <v>4</v>
      </c>
      <c r="K21" s="164">
        <f>IF(C21="","",COUNTIFS(Başvuru!$D:$D,C21,Başvuru!$L:$L,"DÜZELTME",Başvuru!$A:$A,"&lt;&gt;"&amp;"",Başvuru!$F:$F,"&lt;&gt;"&amp;""))</f>
        <v>4</v>
      </c>
      <c r="L21" s="165">
        <f>IF(C21="","",COUNTIFS(Başvuru!$D:$D,C21,Başvuru!$L:$L,"KAEK",Başvuru!$A:$A,"&lt;&gt;"&amp;"",Başvuru!$F:$F,"&lt;&gt;"&amp;""))</f>
        <v>1</v>
      </c>
      <c r="M21" s="166">
        <f>IF(C21="","",COUNTIFS(Başvuru!$D:$D,C21,Başvuru!$L:$L,"GÖRÜŞ",Başvuru!$A:$A,"&lt;&gt;"&amp;"",Başvuru!$F:$F,"&lt;&gt;"&amp;""))</f>
        <v>1</v>
      </c>
      <c r="N21" s="167">
        <f>IF(C21="","",COUNTIFS(Başvuru!$D:$D,C21,Başvuru!$L:$L,"RET",Başvuru!$A:$A,"&lt;&gt;"&amp;"",Başvuru!$F:$F,"&lt;&gt;"&amp;""))</f>
        <v>0</v>
      </c>
      <c r="O21" s="168">
        <f>IF(C21="","",COUNTIFS(Başvuru!$D:$D,C21,Başvuru!$L:$L,"KAPSAM DIŞI",Başvuru!$A:$A,"&lt;&gt;"&amp;"",Başvuru!$F:$F,"&lt;&gt;"&amp;""))</f>
        <v>0</v>
      </c>
      <c r="P21" s="169">
        <f>IF(C21="","",COUNTIFS(Başvuru!$D:$D,C21,Başvuru!$L:$L,"GERİ ÇEKİLDİ",Başvuru!$A:$A,"&lt;&gt;"&amp;"",Başvuru!$F:$F,"&lt;&gt;"&amp;""))</f>
        <v>0</v>
      </c>
      <c r="Q21" s="170" t="str">
        <f>IFERROR(INDEX(Başvuru!$D$2:$D$1851,MATCH(16,Başvuru!$Z$2:$Z$1851,0)),"")</f>
        <v>Göz Hastalıkları Anabilim Dalı</v>
      </c>
      <c r="R21" s="171">
        <f>IF(Q21="","",COUNTIFS(Başvuru!$D:$D,Q21,Başvuru!$A:$A,"&lt;&gt;"&amp;"",Başvuru!$F:$F,"&lt;&gt;"&amp;""))</f>
        <v>17</v>
      </c>
      <c r="S21" s="171">
        <f>IF(R21="","",RANK(R21,$R$6:$R$155,0)+COUNTIF($R$6:R21,R21)-1)</f>
        <v>9</v>
      </c>
    </row>
    <row r="22" spans="2:19" x14ac:dyDescent="0.25">
      <c r="B22" s="159">
        <v>17</v>
      </c>
      <c r="C22" s="160" t="str">
        <f>IFERROR(INDEX($Q$6:$Q$155,MATCH(17,$S$6:$S$155,0)),"")</f>
        <v>Aile Hekimliği Anabilim Dalı</v>
      </c>
      <c r="D22" s="161">
        <f>IF(C22="","",COUNTIFS(Başvuru!$D:$D,C22,Başvuru!$A:$A,"&lt;&gt;"&amp;"",Başvuru!$F:$F,"&lt;&gt;"&amp;""))</f>
        <v>11</v>
      </c>
      <c r="E22" s="159" t="str">
        <f>IF(C22="","-",IF(D22&gt;0,TEXT(D22/(COUNTIFS(Başvuru!$A:$A,"&lt;&gt;",Başvuru!$F:$F,"&lt;&gt;")-1)*100,"0.0")&amp;"%","-"))</f>
        <v>01%</v>
      </c>
      <c r="F22" s="162">
        <f>IF(C22="","",COUNTIFS(Başvuru!$D:$D,C22,Başvuru!$G:$G,"Bireysel Araştırma",Başvuru!$A:$A,"&lt;&gt;"&amp;"",Başvuru!$F:$F,"&lt;&gt;"&amp;""))</f>
        <v>7</v>
      </c>
      <c r="G22" s="162">
        <f>IF(C22="","",COUNTIFS(Başvuru!$D:$D,C22,Başvuru!$G:$G,"Uzmanlık Tezi",Başvuru!$A:$A,"&lt;&gt;"&amp;"",Başvuru!$F:$F,"&lt;&gt;"&amp;""))</f>
        <v>4</v>
      </c>
      <c r="H22" s="162">
        <f>IF(C22="","",COUNTIFS(Başvuru!$D:$D,C22,Başvuru!$G:$G,"Doktora Tezi",Başvuru!$A:$A,"&lt;&gt;"&amp;"",Başvuru!$F:$F,"&lt;&gt;"&amp;""))</f>
        <v>0</v>
      </c>
      <c r="I22" s="162">
        <f>IF(C22="","",COUNTIFS(Başvuru!$D:$D,C22,Başvuru!$G:$G,"Yüksek Lisans Tezi",Başvuru!$A:$A,"&lt;&gt;"&amp;"",Başvuru!$F:$F,"&lt;&gt;"&amp;""))</f>
        <v>0</v>
      </c>
      <c r="J22" s="163">
        <f>IF(C22="","",COUNTIFS(Başvuru!$D:$D,C22,Başvuru!$L:$L,"ONAY",Başvuru!$A:$A,"&lt;&gt;"&amp;"",Başvuru!$F:$F,"&lt;&gt;"&amp;""))</f>
        <v>3</v>
      </c>
      <c r="K22" s="164">
        <f>IF(C22="","",COUNTIFS(Başvuru!$D:$D,C22,Başvuru!$L:$L,"DÜZELTME",Başvuru!$A:$A,"&lt;&gt;"&amp;"",Başvuru!$F:$F,"&lt;&gt;"&amp;""))</f>
        <v>5</v>
      </c>
      <c r="L22" s="165">
        <f>IF(C22="","",COUNTIFS(Başvuru!$D:$D,C22,Başvuru!$L:$L,"KAEK",Başvuru!$A:$A,"&lt;&gt;"&amp;"",Başvuru!$F:$F,"&lt;&gt;"&amp;""))</f>
        <v>0</v>
      </c>
      <c r="M22" s="166">
        <f>IF(C22="","",COUNTIFS(Başvuru!$D:$D,C22,Başvuru!$L:$L,"GÖRÜŞ",Başvuru!$A:$A,"&lt;&gt;"&amp;"",Başvuru!$F:$F,"&lt;&gt;"&amp;""))</f>
        <v>1</v>
      </c>
      <c r="N22" s="167">
        <f>IF(C22="","",COUNTIFS(Başvuru!$D:$D,C22,Başvuru!$L:$L,"RET",Başvuru!$A:$A,"&lt;&gt;"&amp;"",Başvuru!$F:$F,"&lt;&gt;"&amp;""))</f>
        <v>2</v>
      </c>
      <c r="O22" s="168">
        <f>IF(C22="","",COUNTIFS(Başvuru!$D:$D,C22,Başvuru!$L:$L,"KAPSAM DIŞI",Başvuru!$A:$A,"&lt;&gt;"&amp;"",Başvuru!$F:$F,"&lt;&gt;"&amp;""))</f>
        <v>0</v>
      </c>
      <c r="P22" s="169">
        <f>IF(C22="","",COUNTIFS(Başvuru!$D:$D,C22,Başvuru!$L:$L,"GERİ ÇEKİLDİ",Başvuru!$A:$A,"&lt;&gt;"&amp;"",Başvuru!$F:$F,"&lt;&gt;"&amp;""))</f>
        <v>0</v>
      </c>
      <c r="Q22" s="170" t="str">
        <f>IFERROR(INDEX(Başvuru!$D$2:$D$1851,MATCH(17,Başvuru!$Z$2:$Z$1851,0)),"")</f>
        <v>Sağlık Yönetimi Anabilim Dalı</v>
      </c>
      <c r="R22" s="171">
        <f>IF(Q22="","",COUNTIFS(Başvuru!$D:$D,Q22,Başvuru!$A:$A,"&lt;&gt;"&amp;"",Başvuru!$F:$F,"&lt;&gt;"&amp;""))</f>
        <v>7</v>
      </c>
      <c r="S22" s="171">
        <f>IF(R22="","",RANK(R22,$R$6:$R$155,0)+COUNTIF($R$6:R22,R22)-1)</f>
        <v>26</v>
      </c>
    </row>
    <row r="23" spans="2:19" x14ac:dyDescent="0.25">
      <c r="B23" s="159">
        <v>18</v>
      </c>
      <c r="C23" s="160" t="str">
        <f>IFERROR(INDEX($Q$6:$Q$155,MATCH(18,$S$6:$S$155,0)),"")</f>
        <v>Endodonti Anabilim Dalı</v>
      </c>
      <c r="D23" s="161">
        <f>IF(C23="","",COUNTIFS(Başvuru!$D:$D,C23,Başvuru!$A:$A,"&lt;&gt;"&amp;"",Başvuru!$F:$F,"&lt;&gt;"&amp;""))</f>
        <v>10</v>
      </c>
      <c r="E23" s="159" t="str">
        <f>IF(C23="","-",IF(D23&gt;0,TEXT(D23/(COUNTIFS(Başvuru!$A:$A,"&lt;&gt;",Başvuru!$F:$F,"&lt;&gt;")-1)*100,"0.0")&amp;"%","-"))</f>
        <v>01%</v>
      </c>
      <c r="F23" s="162">
        <f>IF(C23="","",COUNTIFS(Başvuru!$D:$D,C23,Başvuru!$G:$G,"Bireysel Araştırma",Başvuru!$A:$A,"&lt;&gt;"&amp;"",Başvuru!$F:$F,"&lt;&gt;"&amp;""))</f>
        <v>4</v>
      </c>
      <c r="G23" s="162">
        <f>IF(C23="","",COUNTIFS(Başvuru!$D:$D,C23,Başvuru!$G:$G,"Uzmanlık Tezi",Başvuru!$A:$A,"&lt;&gt;"&amp;"",Başvuru!$F:$F,"&lt;&gt;"&amp;""))</f>
        <v>5</v>
      </c>
      <c r="H23" s="162">
        <f>IF(C23="","",COUNTIFS(Başvuru!$D:$D,C23,Başvuru!$G:$G,"Doktora Tezi",Başvuru!$A:$A,"&lt;&gt;"&amp;"",Başvuru!$F:$F,"&lt;&gt;"&amp;""))</f>
        <v>1</v>
      </c>
      <c r="I23" s="162">
        <f>IF(C23="","",COUNTIFS(Başvuru!$D:$D,C23,Başvuru!$G:$G,"Yüksek Lisans Tezi",Başvuru!$A:$A,"&lt;&gt;"&amp;"",Başvuru!$F:$F,"&lt;&gt;"&amp;""))</f>
        <v>0</v>
      </c>
      <c r="J23" s="163">
        <f>IF(C23="","",COUNTIFS(Başvuru!$D:$D,C23,Başvuru!$L:$L,"ONAY",Başvuru!$A:$A,"&lt;&gt;"&amp;"",Başvuru!$F:$F,"&lt;&gt;"&amp;""))</f>
        <v>7</v>
      </c>
      <c r="K23" s="164">
        <f>IF(C23="","",COUNTIFS(Başvuru!$D:$D,C23,Başvuru!$L:$L,"DÜZELTME",Başvuru!$A:$A,"&lt;&gt;"&amp;"",Başvuru!$F:$F,"&lt;&gt;"&amp;""))</f>
        <v>0</v>
      </c>
      <c r="L23" s="165">
        <f>IF(C23="","",COUNTIFS(Başvuru!$D:$D,C23,Başvuru!$L:$L,"KAEK",Başvuru!$A:$A,"&lt;&gt;"&amp;"",Başvuru!$F:$F,"&lt;&gt;"&amp;""))</f>
        <v>0</v>
      </c>
      <c r="M23" s="166">
        <f>IF(C23="","",COUNTIFS(Başvuru!$D:$D,C23,Başvuru!$L:$L,"GÖRÜŞ",Başvuru!$A:$A,"&lt;&gt;"&amp;"",Başvuru!$F:$F,"&lt;&gt;"&amp;""))</f>
        <v>0</v>
      </c>
      <c r="N23" s="167">
        <f>IF(C23="","",COUNTIFS(Başvuru!$D:$D,C23,Başvuru!$L:$L,"RET",Başvuru!$A:$A,"&lt;&gt;"&amp;"",Başvuru!$F:$F,"&lt;&gt;"&amp;""))</f>
        <v>1</v>
      </c>
      <c r="O23" s="168">
        <f>IF(C23="","",COUNTIFS(Başvuru!$D:$D,C23,Başvuru!$L:$L,"KAPSAM DIŞI",Başvuru!$A:$A,"&lt;&gt;"&amp;"",Başvuru!$F:$F,"&lt;&gt;"&amp;""))</f>
        <v>1</v>
      </c>
      <c r="P23" s="169">
        <f>IF(C23="","",COUNTIFS(Başvuru!$D:$D,C23,Başvuru!$L:$L,"GERİ ÇEKİLDİ",Başvuru!$A:$A,"&lt;&gt;"&amp;"",Başvuru!$F:$F,"&lt;&gt;"&amp;""))</f>
        <v>0</v>
      </c>
      <c r="Q23" s="170" t="str">
        <f>IFERROR(INDEX(Başvuru!$D$2:$D$1851,MATCH(18,Başvuru!$Z$2:$Z$1851,0)),"")</f>
        <v>Ağız, Diş ve Çene Cerrahisi Anabilim Dalı</v>
      </c>
      <c r="R23" s="171">
        <f>IF(Q23="","",COUNTIFS(Başvuru!$D:$D,Q23,Başvuru!$A:$A,"&lt;&gt;"&amp;"",Başvuru!$F:$F,"&lt;&gt;"&amp;""))</f>
        <v>10</v>
      </c>
      <c r="S23" s="171">
        <f>IF(R23="","",RANK(R23,$R$6:$R$155,0)+COUNTIF($R$6:R23,R23)-1)</f>
        <v>19</v>
      </c>
    </row>
    <row r="24" spans="2:19" x14ac:dyDescent="0.25">
      <c r="B24" s="159">
        <v>19</v>
      </c>
      <c r="C24" s="160" t="str">
        <f>IFERROR(INDEX($Q$6:$Q$155,MATCH(19,$S$6:$S$155,0)),"")</f>
        <v>Ağız, Diş ve Çene Cerrahisi Anabilim Dalı</v>
      </c>
      <c r="D24" s="161">
        <f>IF(C24="","",COUNTIFS(Başvuru!$D:$D,C24,Başvuru!$A:$A,"&lt;&gt;"&amp;"",Başvuru!$F:$F,"&lt;&gt;"&amp;""))</f>
        <v>10</v>
      </c>
      <c r="E24" s="159" t="str">
        <f>IF(C24="","-",IF(D24&gt;0,TEXT(D24/(COUNTIFS(Başvuru!$A:$A,"&lt;&gt;",Başvuru!$F:$F,"&lt;&gt;")-1)*100,"0.0")&amp;"%","-"))</f>
        <v>01%</v>
      </c>
      <c r="F24" s="162">
        <f>IF(C24="","",COUNTIFS(Başvuru!$D:$D,C24,Başvuru!$G:$G,"Bireysel Araştırma",Başvuru!$A:$A,"&lt;&gt;"&amp;"",Başvuru!$F:$F,"&lt;&gt;"&amp;""))</f>
        <v>9</v>
      </c>
      <c r="G24" s="162">
        <f>IF(C24="","",COUNTIFS(Başvuru!$D:$D,C24,Başvuru!$G:$G,"Uzmanlık Tezi",Başvuru!$A:$A,"&lt;&gt;"&amp;"",Başvuru!$F:$F,"&lt;&gt;"&amp;""))</f>
        <v>1</v>
      </c>
      <c r="H24" s="162">
        <f>IF(C24="","",COUNTIFS(Başvuru!$D:$D,C24,Başvuru!$G:$G,"Doktora Tezi",Başvuru!$A:$A,"&lt;&gt;"&amp;"",Başvuru!$F:$F,"&lt;&gt;"&amp;""))</f>
        <v>0</v>
      </c>
      <c r="I24" s="162">
        <f>IF(C24="","",COUNTIFS(Başvuru!$D:$D,C24,Başvuru!$G:$G,"Yüksek Lisans Tezi",Başvuru!$A:$A,"&lt;&gt;"&amp;"",Başvuru!$F:$F,"&lt;&gt;"&amp;""))</f>
        <v>0</v>
      </c>
      <c r="J24" s="163">
        <f>IF(C24="","",COUNTIFS(Başvuru!$D:$D,C24,Başvuru!$L:$L,"ONAY",Başvuru!$A:$A,"&lt;&gt;"&amp;"",Başvuru!$F:$F,"&lt;&gt;"&amp;""))</f>
        <v>6</v>
      </c>
      <c r="K24" s="164">
        <f>IF(C24="","",COUNTIFS(Başvuru!$D:$D,C24,Başvuru!$L:$L,"DÜZELTME",Başvuru!$A:$A,"&lt;&gt;"&amp;"",Başvuru!$F:$F,"&lt;&gt;"&amp;""))</f>
        <v>3</v>
      </c>
      <c r="L24" s="165">
        <f>IF(C24="","",COUNTIFS(Başvuru!$D:$D,C24,Başvuru!$L:$L,"KAEK",Başvuru!$A:$A,"&lt;&gt;"&amp;"",Başvuru!$F:$F,"&lt;&gt;"&amp;""))</f>
        <v>0</v>
      </c>
      <c r="M24" s="166">
        <f>IF(C24="","",COUNTIFS(Başvuru!$D:$D,C24,Başvuru!$L:$L,"GÖRÜŞ",Başvuru!$A:$A,"&lt;&gt;"&amp;"",Başvuru!$F:$F,"&lt;&gt;"&amp;""))</f>
        <v>1</v>
      </c>
      <c r="N24" s="167">
        <f>IF(C24="","",COUNTIFS(Başvuru!$D:$D,C24,Başvuru!$L:$L,"RET",Başvuru!$A:$A,"&lt;&gt;"&amp;"",Başvuru!$F:$F,"&lt;&gt;"&amp;""))</f>
        <v>0</v>
      </c>
      <c r="O24" s="168">
        <f>IF(C24="","",COUNTIFS(Başvuru!$D:$D,C24,Başvuru!$L:$L,"KAPSAM DIŞI",Başvuru!$A:$A,"&lt;&gt;"&amp;"",Başvuru!$F:$F,"&lt;&gt;"&amp;""))</f>
        <v>0</v>
      </c>
      <c r="P24" s="169">
        <f>IF(C24="","",COUNTIFS(Başvuru!$D:$D,C24,Başvuru!$L:$L,"GERİ ÇEKİLDİ",Başvuru!$A:$A,"&lt;&gt;"&amp;"",Başvuru!$F:$F,"&lt;&gt;"&amp;""))</f>
        <v>0</v>
      </c>
      <c r="Q24" s="170" t="str">
        <f>IFERROR(INDEX(Başvuru!$D$2:$D$1851,MATCH(19,Başvuru!$Z$2:$Z$1851,0)),"")</f>
        <v>Çocuk Sağlığı ve Hastalıkları Anabilim Dalı</v>
      </c>
      <c r="R24" s="171">
        <f>IF(Q24="","",COUNTIFS(Başvuru!$D:$D,Q24,Başvuru!$A:$A,"&lt;&gt;"&amp;"",Başvuru!$F:$F,"&lt;&gt;"&amp;""))</f>
        <v>129</v>
      </c>
      <c r="S24" s="171">
        <f>IF(R24="","",RANK(R24,$R$6:$R$155,0)+COUNTIF($R$6:R24,R24)-1)</f>
        <v>2</v>
      </c>
    </row>
    <row r="25" spans="2:19" x14ac:dyDescent="0.25">
      <c r="B25" s="159">
        <v>20</v>
      </c>
      <c r="C25" s="160" t="str">
        <f>IFERROR(INDEX($Q$6:$Q$155,MATCH(20,$S$6:$S$155,0)),"")</f>
        <v>Ortodonti Anabilim Dalı</v>
      </c>
      <c r="D25" s="161">
        <f>IF(C25="","",COUNTIFS(Başvuru!$D:$D,C25,Başvuru!$A:$A,"&lt;&gt;"&amp;"",Başvuru!$F:$F,"&lt;&gt;"&amp;""))</f>
        <v>10</v>
      </c>
      <c r="E25" s="159" t="str">
        <f>IF(C25="","-",IF(D25&gt;0,TEXT(D25/(COUNTIFS(Başvuru!$A:$A,"&lt;&gt;",Başvuru!$F:$F,"&lt;&gt;")-1)*100,"0.0")&amp;"%","-"))</f>
        <v>01%</v>
      </c>
      <c r="F25" s="162">
        <f>IF(C25="","",COUNTIFS(Başvuru!$D:$D,C25,Başvuru!$G:$G,"Bireysel Araştırma",Başvuru!$A:$A,"&lt;&gt;"&amp;"",Başvuru!$F:$F,"&lt;&gt;"&amp;""))</f>
        <v>10</v>
      </c>
      <c r="G25" s="162">
        <f>IF(C25="","",COUNTIFS(Başvuru!$D:$D,C25,Başvuru!$G:$G,"Uzmanlık Tezi",Başvuru!$A:$A,"&lt;&gt;"&amp;"",Başvuru!$F:$F,"&lt;&gt;"&amp;""))</f>
        <v>0</v>
      </c>
      <c r="H25" s="162">
        <f>IF(C25="","",COUNTIFS(Başvuru!$D:$D,C25,Başvuru!$G:$G,"Doktora Tezi",Başvuru!$A:$A,"&lt;&gt;"&amp;"",Başvuru!$F:$F,"&lt;&gt;"&amp;""))</f>
        <v>0</v>
      </c>
      <c r="I25" s="162">
        <f>IF(C25="","",COUNTIFS(Başvuru!$D:$D,C25,Başvuru!$G:$G,"Yüksek Lisans Tezi",Başvuru!$A:$A,"&lt;&gt;"&amp;"",Başvuru!$F:$F,"&lt;&gt;"&amp;""))</f>
        <v>0</v>
      </c>
      <c r="J25" s="163">
        <f>IF(C25="","",COUNTIFS(Başvuru!$D:$D,C25,Başvuru!$L:$L,"ONAY",Başvuru!$A:$A,"&lt;&gt;"&amp;"",Başvuru!$F:$F,"&lt;&gt;"&amp;""))</f>
        <v>6</v>
      </c>
      <c r="K25" s="164">
        <f>IF(C25="","",COUNTIFS(Başvuru!$D:$D,C25,Başvuru!$L:$L,"DÜZELTME",Başvuru!$A:$A,"&lt;&gt;"&amp;"",Başvuru!$F:$F,"&lt;&gt;"&amp;""))</f>
        <v>2</v>
      </c>
      <c r="L25" s="165">
        <f>IF(C25="","",COUNTIFS(Başvuru!$D:$D,C25,Başvuru!$L:$L,"KAEK",Başvuru!$A:$A,"&lt;&gt;"&amp;"",Başvuru!$F:$F,"&lt;&gt;"&amp;""))</f>
        <v>1</v>
      </c>
      <c r="M25" s="166">
        <f>IF(C25="","",COUNTIFS(Başvuru!$D:$D,C25,Başvuru!$L:$L,"GÖRÜŞ",Başvuru!$A:$A,"&lt;&gt;"&amp;"",Başvuru!$F:$F,"&lt;&gt;"&amp;""))</f>
        <v>0</v>
      </c>
      <c r="N25" s="167">
        <f>IF(C25="","",COUNTIFS(Başvuru!$D:$D,C25,Başvuru!$L:$L,"RET",Başvuru!$A:$A,"&lt;&gt;"&amp;"",Başvuru!$F:$F,"&lt;&gt;"&amp;""))</f>
        <v>1</v>
      </c>
      <c r="O25" s="168">
        <f>IF(C25="","",COUNTIFS(Başvuru!$D:$D,C25,Başvuru!$L:$L,"KAPSAM DIŞI",Başvuru!$A:$A,"&lt;&gt;"&amp;"",Başvuru!$F:$F,"&lt;&gt;"&amp;""))</f>
        <v>0</v>
      </c>
      <c r="P25" s="169">
        <f>IF(C25="","",COUNTIFS(Başvuru!$D:$D,C25,Başvuru!$L:$L,"GERİ ÇEKİLDİ",Başvuru!$A:$A,"&lt;&gt;"&amp;"",Başvuru!$F:$F,"&lt;&gt;"&amp;""))</f>
        <v>0</v>
      </c>
      <c r="Q25" s="170" t="str">
        <f>IFERROR(INDEX(Başvuru!$D$2:$D$1851,MATCH(20,Başvuru!$Z$2:$Z$1851,0)),"")</f>
        <v>Kadın Hastalıkları ve Doğum Anabilim Dalı</v>
      </c>
      <c r="R25" s="171">
        <f>IF(Q25="","",COUNTIFS(Başvuru!$D:$D,Q25,Başvuru!$A:$A,"&lt;&gt;"&amp;"",Başvuru!$F:$F,"&lt;&gt;"&amp;""))</f>
        <v>31</v>
      </c>
      <c r="S25" s="171">
        <f>IF(R25="","",RANK(R25,$R$6:$R$155,0)+COUNTIF($R$6:R25,R25)-1)</f>
        <v>3</v>
      </c>
    </row>
    <row r="26" spans="2:19" x14ac:dyDescent="0.25">
      <c r="B26" s="159">
        <v>21</v>
      </c>
      <c r="C26" s="160" t="str">
        <f>IFERROR(INDEX($Q$6:$Q$155,MATCH(21,$S$6:$S$155,0)),"")</f>
        <v>Ağız, Diş ve Çene Radyolojisi Anabilim Dalı</v>
      </c>
      <c r="D26" s="161">
        <f>IF(C26="","",COUNTIFS(Başvuru!$D:$D,C26,Başvuru!$A:$A,"&lt;&gt;"&amp;"",Başvuru!$F:$F,"&lt;&gt;"&amp;""))</f>
        <v>10</v>
      </c>
      <c r="E26" s="159" t="str">
        <f>IF(C26="","-",IF(D26&gt;0,TEXT(D26/(COUNTIFS(Başvuru!$A:$A,"&lt;&gt;",Başvuru!$F:$F,"&lt;&gt;")-1)*100,"0.0")&amp;"%","-"))</f>
        <v>01%</v>
      </c>
      <c r="F26" s="162">
        <f>IF(C26="","",COUNTIFS(Başvuru!$D:$D,C26,Başvuru!$G:$G,"Bireysel Araştırma",Başvuru!$A:$A,"&lt;&gt;"&amp;"",Başvuru!$F:$F,"&lt;&gt;"&amp;""))</f>
        <v>5</v>
      </c>
      <c r="G26" s="162">
        <f>IF(C26="","",COUNTIFS(Başvuru!$D:$D,C26,Başvuru!$G:$G,"Uzmanlık Tezi",Başvuru!$A:$A,"&lt;&gt;"&amp;"",Başvuru!$F:$F,"&lt;&gt;"&amp;""))</f>
        <v>5</v>
      </c>
      <c r="H26" s="162">
        <f>IF(C26="","",COUNTIFS(Başvuru!$D:$D,C26,Başvuru!$G:$G,"Doktora Tezi",Başvuru!$A:$A,"&lt;&gt;"&amp;"",Başvuru!$F:$F,"&lt;&gt;"&amp;""))</f>
        <v>0</v>
      </c>
      <c r="I26" s="162">
        <f>IF(C26="","",COUNTIFS(Başvuru!$D:$D,C26,Başvuru!$G:$G,"Yüksek Lisans Tezi",Başvuru!$A:$A,"&lt;&gt;"&amp;"",Başvuru!$F:$F,"&lt;&gt;"&amp;""))</f>
        <v>0</v>
      </c>
      <c r="J26" s="163">
        <f>IF(C26="","",COUNTIFS(Başvuru!$D:$D,C26,Başvuru!$L:$L,"ONAY",Başvuru!$A:$A,"&lt;&gt;"&amp;"",Başvuru!$F:$F,"&lt;&gt;"&amp;""))</f>
        <v>6</v>
      </c>
      <c r="K26" s="164">
        <f>IF(C26="","",COUNTIFS(Başvuru!$D:$D,C26,Başvuru!$L:$L,"DÜZELTME",Başvuru!$A:$A,"&lt;&gt;"&amp;"",Başvuru!$F:$F,"&lt;&gt;"&amp;""))</f>
        <v>1</v>
      </c>
      <c r="L26" s="165">
        <f>IF(C26="","",COUNTIFS(Başvuru!$D:$D,C26,Başvuru!$L:$L,"KAEK",Başvuru!$A:$A,"&lt;&gt;"&amp;"",Başvuru!$F:$F,"&lt;&gt;"&amp;""))</f>
        <v>0</v>
      </c>
      <c r="M26" s="166">
        <f>IF(C26="","",COUNTIFS(Başvuru!$D:$D,C26,Başvuru!$L:$L,"GÖRÜŞ",Başvuru!$A:$A,"&lt;&gt;"&amp;"",Başvuru!$F:$F,"&lt;&gt;"&amp;""))</f>
        <v>0</v>
      </c>
      <c r="N26" s="167">
        <f>IF(C26="","",COUNTIFS(Başvuru!$D:$D,C26,Başvuru!$L:$L,"RET",Başvuru!$A:$A,"&lt;&gt;"&amp;"",Başvuru!$F:$F,"&lt;&gt;"&amp;""))</f>
        <v>0</v>
      </c>
      <c r="O26" s="168">
        <f>IF(C26="","",COUNTIFS(Başvuru!$D:$D,C26,Başvuru!$L:$L,"KAPSAM DIŞI",Başvuru!$A:$A,"&lt;&gt;"&amp;"",Başvuru!$F:$F,"&lt;&gt;"&amp;""))</f>
        <v>0</v>
      </c>
      <c r="P26" s="169">
        <f>IF(C26="","",COUNTIFS(Başvuru!$D:$D,C26,Başvuru!$L:$L,"GERİ ÇEKİLDİ",Başvuru!$A:$A,"&lt;&gt;"&amp;"",Başvuru!$F:$F,"&lt;&gt;"&amp;""))</f>
        <v>0</v>
      </c>
      <c r="Q26" s="170" t="str">
        <f>IFERROR(INDEX(Başvuru!$D$2:$D$1851,MATCH(21,Başvuru!$Z$2:$Z$1851,0)),"")</f>
        <v>Kardiyoloji Anabilim Dalı</v>
      </c>
      <c r="R26" s="171">
        <f>IF(Q26="","",COUNTIFS(Başvuru!$D:$D,Q26,Başvuru!$A:$A,"&lt;&gt;"&amp;"",Başvuru!$F:$F,"&lt;&gt;"&amp;""))</f>
        <v>20</v>
      </c>
      <c r="S26" s="171">
        <f>IF(R26="","",RANK(R26,$R$6:$R$155,0)+COUNTIF($R$6:R26,R26)-1)</f>
        <v>6</v>
      </c>
    </row>
    <row r="27" spans="2:19" x14ac:dyDescent="0.25">
      <c r="B27" s="159">
        <v>22</v>
      </c>
      <c r="C27" s="160" t="str">
        <f>IFERROR(INDEX($Q$6:$Q$155,MATCH(22,$S$6:$S$155,0)),"")</f>
        <v>Anatomi Anabilim Dalı</v>
      </c>
      <c r="D27" s="161">
        <f>IF(C27="","",COUNTIFS(Başvuru!$D:$D,C27,Başvuru!$A:$A,"&lt;&gt;"&amp;"",Başvuru!$F:$F,"&lt;&gt;"&amp;""))</f>
        <v>9</v>
      </c>
      <c r="E27" s="159" t="str">
        <f>IF(C27="","-",IF(D27&gt;0,TEXT(D27/(COUNTIFS(Başvuru!$A:$A,"&lt;&gt;",Başvuru!$F:$F,"&lt;&gt;")-1)*100,"0.0")&amp;"%","-"))</f>
        <v>01%</v>
      </c>
      <c r="F27" s="162">
        <f>IF(C27="","",COUNTIFS(Başvuru!$D:$D,C27,Başvuru!$G:$G,"Bireysel Araştırma",Başvuru!$A:$A,"&lt;&gt;"&amp;"",Başvuru!$F:$F,"&lt;&gt;"&amp;""))</f>
        <v>7</v>
      </c>
      <c r="G27" s="162">
        <f>IF(C27="","",COUNTIFS(Başvuru!$D:$D,C27,Başvuru!$G:$G,"Uzmanlık Tezi",Başvuru!$A:$A,"&lt;&gt;"&amp;"",Başvuru!$F:$F,"&lt;&gt;"&amp;""))</f>
        <v>0</v>
      </c>
      <c r="H27" s="162">
        <f>IF(C27="","",COUNTIFS(Başvuru!$D:$D,C27,Başvuru!$G:$G,"Doktora Tezi",Başvuru!$A:$A,"&lt;&gt;"&amp;"",Başvuru!$F:$F,"&lt;&gt;"&amp;""))</f>
        <v>1</v>
      </c>
      <c r="I27" s="162">
        <f>IF(C27="","",COUNTIFS(Başvuru!$D:$D,C27,Başvuru!$G:$G,"Yüksek Lisans Tezi",Başvuru!$A:$A,"&lt;&gt;"&amp;"",Başvuru!$F:$F,"&lt;&gt;"&amp;""))</f>
        <v>1</v>
      </c>
      <c r="J27" s="163">
        <f>IF(C27="","",COUNTIFS(Başvuru!$D:$D,C27,Başvuru!$L:$L,"ONAY",Başvuru!$A:$A,"&lt;&gt;"&amp;"",Başvuru!$F:$F,"&lt;&gt;"&amp;""))</f>
        <v>7</v>
      </c>
      <c r="K27" s="164">
        <f>IF(C27="","",COUNTIFS(Başvuru!$D:$D,C27,Başvuru!$L:$L,"DÜZELTME",Başvuru!$A:$A,"&lt;&gt;"&amp;"",Başvuru!$F:$F,"&lt;&gt;"&amp;""))</f>
        <v>2</v>
      </c>
      <c r="L27" s="165">
        <f>IF(C27="","",COUNTIFS(Başvuru!$D:$D,C27,Başvuru!$L:$L,"KAEK",Başvuru!$A:$A,"&lt;&gt;"&amp;"",Başvuru!$F:$F,"&lt;&gt;"&amp;""))</f>
        <v>0</v>
      </c>
      <c r="M27" s="166">
        <f>IF(C27="","",COUNTIFS(Başvuru!$D:$D,C27,Başvuru!$L:$L,"GÖRÜŞ",Başvuru!$A:$A,"&lt;&gt;"&amp;"",Başvuru!$F:$F,"&lt;&gt;"&amp;""))</f>
        <v>0</v>
      </c>
      <c r="N27" s="167">
        <f>IF(C27="","",COUNTIFS(Başvuru!$D:$D,C27,Başvuru!$L:$L,"RET",Başvuru!$A:$A,"&lt;&gt;"&amp;"",Başvuru!$F:$F,"&lt;&gt;"&amp;""))</f>
        <v>0</v>
      </c>
      <c r="O27" s="168">
        <f>IF(C27="","",COUNTIFS(Başvuru!$D:$D,C27,Başvuru!$L:$L,"KAPSAM DIŞI",Başvuru!$A:$A,"&lt;&gt;"&amp;"",Başvuru!$F:$F,"&lt;&gt;"&amp;""))</f>
        <v>0</v>
      </c>
      <c r="P27" s="169">
        <f>IF(C27="","",COUNTIFS(Başvuru!$D:$D,C27,Başvuru!$L:$L,"GERİ ÇEKİLDİ",Başvuru!$A:$A,"&lt;&gt;"&amp;"",Başvuru!$F:$F,"&lt;&gt;"&amp;""))</f>
        <v>0</v>
      </c>
      <c r="Q27" s="170" t="str">
        <f>IFERROR(INDEX(Başvuru!$D$2:$D$1851,MATCH(22,Başvuru!$Z$2:$Z$1851,0)),"")</f>
        <v>Anatomi Anabilim Dalı</v>
      </c>
      <c r="R27" s="171">
        <f>IF(Q27="","",COUNTIFS(Başvuru!$D:$D,Q27,Başvuru!$A:$A,"&lt;&gt;"&amp;"",Başvuru!$F:$F,"&lt;&gt;"&amp;""))</f>
        <v>9</v>
      </c>
      <c r="S27" s="171">
        <f>IF(R27="","",RANK(R27,$R$6:$R$155,0)+COUNTIF($R$6:R27,R27)-1)</f>
        <v>22</v>
      </c>
    </row>
    <row r="28" spans="2:19" x14ac:dyDescent="0.25">
      <c r="B28" s="159">
        <v>23</v>
      </c>
      <c r="C28" s="160" t="str">
        <f>IFERROR(INDEX($Q$6:$Q$155,MATCH(23,$S$6:$S$155,0)),"")</f>
        <v>Plastik, Rekonstrüktif ve Estetik Cerrahi Anabilim Dalı</v>
      </c>
      <c r="D28" s="161">
        <f>IF(C28="","",COUNTIFS(Başvuru!$D:$D,C28,Başvuru!$A:$A,"&lt;&gt;"&amp;"",Başvuru!$F:$F,"&lt;&gt;"&amp;""))</f>
        <v>9</v>
      </c>
      <c r="E28" s="159" t="str">
        <f>IF(C28="","-",IF(D28&gt;0,TEXT(D28/(COUNTIFS(Başvuru!$A:$A,"&lt;&gt;",Başvuru!$F:$F,"&lt;&gt;")-1)*100,"0.0")&amp;"%","-"))</f>
        <v>01%</v>
      </c>
      <c r="F28" s="162">
        <f>IF(C28="","",COUNTIFS(Başvuru!$D:$D,C28,Başvuru!$G:$G,"Bireysel Araştırma",Başvuru!$A:$A,"&lt;&gt;"&amp;"",Başvuru!$F:$F,"&lt;&gt;"&amp;""))</f>
        <v>6</v>
      </c>
      <c r="G28" s="162">
        <f>IF(C28="","",COUNTIFS(Başvuru!$D:$D,C28,Başvuru!$G:$G,"Uzmanlık Tezi",Başvuru!$A:$A,"&lt;&gt;"&amp;"",Başvuru!$F:$F,"&lt;&gt;"&amp;""))</f>
        <v>3</v>
      </c>
      <c r="H28" s="162">
        <f>IF(C28="","",COUNTIFS(Başvuru!$D:$D,C28,Başvuru!$G:$G,"Doktora Tezi",Başvuru!$A:$A,"&lt;&gt;"&amp;"",Başvuru!$F:$F,"&lt;&gt;"&amp;""))</f>
        <v>0</v>
      </c>
      <c r="I28" s="162">
        <f>IF(C28="","",COUNTIFS(Başvuru!$D:$D,C28,Başvuru!$G:$G,"Yüksek Lisans Tezi",Başvuru!$A:$A,"&lt;&gt;"&amp;"",Başvuru!$F:$F,"&lt;&gt;"&amp;""))</f>
        <v>0</v>
      </c>
      <c r="J28" s="163">
        <f>IF(C28="","",COUNTIFS(Başvuru!$D:$D,C28,Başvuru!$L:$L,"ONAY",Başvuru!$A:$A,"&lt;&gt;"&amp;"",Başvuru!$F:$F,"&lt;&gt;"&amp;""))</f>
        <v>5</v>
      </c>
      <c r="K28" s="164">
        <f>IF(C28="","",COUNTIFS(Başvuru!$D:$D,C28,Başvuru!$L:$L,"DÜZELTME",Başvuru!$A:$A,"&lt;&gt;"&amp;"",Başvuru!$F:$F,"&lt;&gt;"&amp;""))</f>
        <v>1</v>
      </c>
      <c r="L28" s="165">
        <f>IF(C28="","",COUNTIFS(Başvuru!$D:$D,C28,Başvuru!$L:$L,"KAEK",Başvuru!$A:$A,"&lt;&gt;"&amp;"",Başvuru!$F:$F,"&lt;&gt;"&amp;""))</f>
        <v>1</v>
      </c>
      <c r="M28" s="166">
        <f>IF(C28="","",COUNTIFS(Başvuru!$D:$D,C28,Başvuru!$L:$L,"GÖRÜŞ",Başvuru!$A:$A,"&lt;&gt;"&amp;"",Başvuru!$F:$F,"&lt;&gt;"&amp;""))</f>
        <v>0</v>
      </c>
      <c r="N28" s="167">
        <f>IF(C28="","",COUNTIFS(Başvuru!$D:$D,C28,Başvuru!$L:$L,"RET",Başvuru!$A:$A,"&lt;&gt;"&amp;"",Başvuru!$F:$F,"&lt;&gt;"&amp;""))</f>
        <v>0</v>
      </c>
      <c r="O28" s="168">
        <f>IF(C28="","",COUNTIFS(Başvuru!$D:$D,C28,Başvuru!$L:$L,"KAPSAM DIŞI",Başvuru!$A:$A,"&lt;&gt;"&amp;"",Başvuru!$F:$F,"&lt;&gt;"&amp;""))</f>
        <v>0</v>
      </c>
      <c r="P28" s="169">
        <f>IF(C28="","",COUNTIFS(Başvuru!$D:$D,C28,Başvuru!$L:$L,"GERİ ÇEKİLDİ",Başvuru!$A:$A,"&lt;&gt;"&amp;"",Başvuru!$F:$F,"&lt;&gt;"&amp;""))</f>
        <v>0</v>
      </c>
      <c r="Q28" s="170" t="str">
        <f>IFERROR(INDEX(Başvuru!$D$2:$D$1851,MATCH(23,Başvuru!$Z$2:$Z$1851,0)),"")</f>
        <v>Nükleer Tıp Anabilim Dalı</v>
      </c>
      <c r="R28" s="171">
        <f>IF(Q28="","",COUNTIFS(Başvuru!$D:$D,Q28,Başvuru!$A:$A,"&lt;&gt;"&amp;"",Başvuru!$F:$F,"&lt;&gt;"&amp;""))</f>
        <v>8</v>
      </c>
      <c r="S28" s="171">
        <f>IF(R28="","",RANK(R28,$R$6:$R$155,0)+COUNTIF($R$6:R28,R28)-1)</f>
        <v>24</v>
      </c>
    </row>
    <row r="29" spans="2:19" x14ac:dyDescent="0.25">
      <c r="B29" s="159">
        <v>24</v>
      </c>
      <c r="C29" s="160" t="str">
        <f>IFERROR(INDEX($Q$6:$Q$155,MATCH(24,$S$6:$S$155,0)),"")</f>
        <v>Nükleer Tıp Anabilim Dalı</v>
      </c>
      <c r="D29" s="161">
        <f>IF(C29="","",COUNTIFS(Başvuru!$D:$D,C29,Başvuru!$A:$A,"&lt;&gt;"&amp;"",Başvuru!$F:$F,"&lt;&gt;"&amp;""))</f>
        <v>8</v>
      </c>
      <c r="E29" s="159" t="str">
        <f>IF(C29="","-",IF(D29&gt;0,TEXT(D29/(COUNTIFS(Başvuru!$A:$A,"&lt;&gt;",Başvuru!$F:$F,"&lt;&gt;")-1)*100,"0.0")&amp;"%","-"))</f>
        <v>01%</v>
      </c>
      <c r="F29" s="162">
        <f>IF(C29="","",COUNTIFS(Başvuru!$D:$D,C29,Başvuru!$G:$G,"Bireysel Araştırma",Başvuru!$A:$A,"&lt;&gt;"&amp;"",Başvuru!$F:$F,"&lt;&gt;"&amp;""))</f>
        <v>6</v>
      </c>
      <c r="G29" s="162">
        <f>IF(C29="","",COUNTIFS(Başvuru!$D:$D,C29,Başvuru!$G:$G,"Uzmanlık Tezi",Başvuru!$A:$A,"&lt;&gt;"&amp;"",Başvuru!$F:$F,"&lt;&gt;"&amp;""))</f>
        <v>2</v>
      </c>
      <c r="H29" s="162">
        <f>IF(C29="","",COUNTIFS(Başvuru!$D:$D,C29,Başvuru!$G:$G,"Doktora Tezi",Başvuru!$A:$A,"&lt;&gt;"&amp;"",Başvuru!$F:$F,"&lt;&gt;"&amp;""))</f>
        <v>0</v>
      </c>
      <c r="I29" s="162">
        <f>IF(C29="","",COUNTIFS(Başvuru!$D:$D,C29,Başvuru!$G:$G,"Yüksek Lisans Tezi",Başvuru!$A:$A,"&lt;&gt;"&amp;"",Başvuru!$F:$F,"&lt;&gt;"&amp;""))</f>
        <v>0</v>
      </c>
      <c r="J29" s="163">
        <f>IF(C29="","",COUNTIFS(Başvuru!$D:$D,C29,Başvuru!$L:$L,"ONAY",Başvuru!$A:$A,"&lt;&gt;"&amp;"",Başvuru!$F:$F,"&lt;&gt;"&amp;""))</f>
        <v>5</v>
      </c>
      <c r="K29" s="164">
        <f>IF(C29="","",COUNTIFS(Başvuru!$D:$D,C29,Başvuru!$L:$L,"DÜZELTME",Başvuru!$A:$A,"&lt;&gt;"&amp;"",Başvuru!$F:$F,"&lt;&gt;"&amp;""))</f>
        <v>0</v>
      </c>
      <c r="L29" s="165">
        <f>IF(C29="","",COUNTIFS(Başvuru!$D:$D,C29,Başvuru!$L:$L,"KAEK",Başvuru!$A:$A,"&lt;&gt;"&amp;"",Başvuru!$F:$F,"&lt;&gt;"&amp;""))</f>
        <v>0</v>
      </c>
      <c r="M29" s="166">
        <f>IF(C29="","",COUNTIFS(Başvuru!$D:$D,C29,Başvuru!$L:$L,"GÖRÜŞ",Başvuru!$A:$A,"&lt;&gt;"&amp;"",Başvuru!$F:$F,"&lt;&gt;"&amp;""))</f>
        <v>0</v>
      </c>
      <c r="N29" s="167">
        <f>IF(C29="","",COUNTIFS(Başvuru!$D:$D,C29,Başvuru!$L:$L,"RET",Başvuru!$A:$A,"&lt;&gt;"&amp;"",Başvuru!$F:$F,"&lt;&gt;"&amp;""))</f>
        <v>1</v>
      </c>
      <c r="O29" s="168">
        <f>IF(C29="","",COUNTIFS(Başvuru!$D:$D,C29,Başvuru!$L:$L,"KAPSAM DIŞI",Başvuru!$A:$A,"&lt;&gt;"&amp;"",Başvuru!$F:$F,"&lt;&gt;"&amp;""))</f>
        <v>0</v>
      </c>
      <c r="P29" s="169">
        <f>IF(C29="","",COUNTIFS(Başvuru!$D:$D,C29,Başvuru!$L:$L,"GERİ ÇEKİLDİ",Başvuru!$A:$A,"&lt;&gt;"&amp;"",Başvuru!$F:$F,"&lt;&gt;"&amp;""))</f>
        <v>0</v>
      </c>
      <c r="Q29" s="170" t="str">
        <f>IFERROR(INDEX(Başvuru!$D$2:$D$1851,MATCH(24,Başvuru!$Z$2:$Z$1851,0)),"")</f>
        <v>Kulak Burun Boğaz Anabilim Dalı</v>
      </c>
      <c r="R29" s="171">
        <f>IF(Q29="","",COUNTIFS(Başvuru!$D:$D,Q29,Başvuru!$A:$A,"&lt;&gt;"&amp;"",Başvuru!$F:$F,"&lt;&gt;"&amp;""))</f>
        <v>15</v>
      </c>
      <c r="S29" s="171">
        <f>IF(R29="","",RANK(R29,$R$6:$R$155,0)+COUNTIF($R$6:R29,R29)-1)</f>
        <v>12</v>
      </c>
    </row>
    <row r="30" spans="2:19" x14ac:dyDescent="0.25">
      <c r="B30" s="159">
        <v>25</v>
      </c>
      <c r="C30" s="160" t="str">
        <f>IFERROR(INDEX($Q$6:$Q$155,MATCH(25,$S$6:$S$155,0)),"")</f>
        <v>Ruh Sağlığı ve Hastalıkları Anabilim Dalı</v>
      </c>
      <c r="D30" s="161">
        <f>IF(C30="","",COUNTIFS(Başvuru!$D:$D,C30,Başvuru!$A:$A,"&lt;&gt;"&amp;"",Başvuru!$F:$F,"&lt;&gt;"&amp;""))</f>
        <v>8</v>
      </c>
      <c r="E30" s="159" t="str">
        <f>IF(C30="","-",IF(D30&gt;0,TEXT(D30/(COUNTIFS(Başvuru!$A:$A,"&lt;&gt;",Başvuru!$F:$F,"&lt;&gt;")-1)*100,"0.0")&amp;"%","-"))</f>
        <v>01%</v>
      </c>
      <c r="F30" s="162">
        <f>IF(C30="","",COUNTIFS(Başvuru!$D:$D,C30,Başvuru!$G:$G,"Bireysel Araştırma",Başvuru!$A:$A,"&lt;&gt;"&amp;"",Başvuru!$F:$F,"&lt;&gt;"&amp;""))</f>
        <v>5</v>
      </c>
      <c r="G30" s="162">
        <f>IF(C30="","",COUNTIFS(Başvuru!$D:$D,C30,Başvuru!$G:$G,"Uzmanlık Tezi",Başvuru!$A:$A,"&lt;&gt;"&amp;"",Başvuru!$F:$F,"&lt;&gt;"&amp;""))</f>
        <v>3</v>
      </c>
      <c r="H30" s="162">
        <f>IF(C30="","",COUNTIFS(Başvuru!$D:$D,C30,Başvuru!$G:$G,"Doktora Tezi",Başvuru!$A:$A,"&lt;&gt;"&amp;"",Başvuru!$F:$F,"&lt;&gt;"&amp;""))</f>
        <v>0</v>
      </c>
      <c r="I30" s="162">
        <f>IF(C30="","",COUNTIFS(Başvuru!$D:$D,C30,Başvuru!$G:$G,"Yüksek Lisans Tezi",Başvuru!$A:$A,"&lt;&gt;"&amp;"",Başvuru!$F:$F,"&lt;&gt;"&amp;""))</f>
        <v>0</v>
      </c>
      <c r="J30" s="163">
        <f>IF(C30="","",COUNTIFS(Başvuru!$D:$D,C30,Başvuru!$L:$L,"ONAY",Başvuru!$A:$A,"&lt;&gt;"&amp;"",Başvuru!$F:$F,"&lt;&gt;"&amp;""))</f>
        <v>1</v>
      </c>
      <c r="K30" s="164">
        <f>IF(C30="","",COUNTIFS(Başvuru!$D:$D,C30,Başvuru!$L:$L,"DÜZELTME",Başvuru!$A:$A,"&lt;&gt;"&amp;"",Başvuru!$F:$F,"&lt;&gt;"&amp;""))</f>
        <v>5</v>
      </c>
      <c r="L30" s="165">
        <f>IF(C30="","",COUNTIFS(Başvuru!$D:$D,C30,Başvuru!$L:$L,"KAEK",Başvuru!$A:$A,"&lt;&gt;"&amp;"",Başvuru!$F:$F,"&lt;&gt;"&amp;""))</f>
        <v>0</v>
      </c>
      <c r="M30" s="166">
        <f>IF(C30="","",COUNTIFS(Başvuru!$D:$D,C30,Başvuru!$L:$L,"GÖRÜŞ",Başvuru!$A:$A,"&lt;&gt;"&amp;"",Başvuru!$F:$F,"&lt;&gt;"&amp;""))</f>
        <v>0</v>
      </c>
      <c r="N30" s="167">
        <f>IF(C30="","",COUNTIFS(Başvuru!$D:$D,C30,Başvuru!$L:$L,"RET",Başvuru!$A:$A,"&lt;&gt;"&amp;"",Başvuru!$F:$F,"&lt;&gt;"&amp;""))</f>
        <v>0</v>
      </c>
      <c r="O30" s="168">
        <f>IF(C30="","",COUNTIFS(Başvuru!$D:$D,C30,Başvuru!$L:$L,"KAPSAM DIŞI",Başvuru!$A:$A,"&lt;&gt;"&amp;"",Başvuru!$F:$F,"&lt;&gt;"&amp;""))</f>
        <v>0</v>
      </c>
      <c r="P30" s="169">
        <f>IF(C30="","",COUNTIFS(Başvuru!$D:$D,C30,Başvuru!$L:$L,"GERİ ÇEKİLDİ",Başvuru!$A:$A,"&lt;&gt;"&amp;"",Başvuru!$F:$F,"&lt;&gt;"&amp;""))</f>
        <v>0</v>
      </c>
      <c r="Q30" s="170" t="str">
        <f>IFERROR(INDEX(Başvuru!$D$2:$D$1851,MATCH(25,Başvuru!$Z$2:$Z$1851,0)),"")</f>
        <v>Ortodonti Anabilim Dalı</v>
      </c>
      <c r="R30" s="171">
        <f>IF(Q30="","",COUNTIFS(Başvuru!$D:$D,Q30,Başvuru!$A:$A,"&lt;&gt;"&amp;"",Başvuru!$F:$F,"&lt;&gt;"&amp;""))</f>
        <v>10</v>
      </c>
      <c r="S30" s="171">
        <f>IF(R30="","",RANK(R30,$R$6:$R$155,0)+COUNTIF($R$6:R30,R30)-1)</f>
        <v>20</v>
      </c>
    </row>
    <row r="31" spans="2:19" x14ac:dyDescent="0.25">
      <c r="B31" s="159">
        <v>26</v>
      </c>
      <c r="C31" s="160" t="str">
        <f>IFERROR(INDEX($Q$6:$Q$155,MATCH(26,$S$6:$S$155,0)),"")</f>
        <v>Sağlık Yönetimi Anabilim Dalı</v>
      </c>
      <c r="D31" s="161">
        <f>IF(C31="","",COUNTIFS(Başvuru!$D:$D,C31,Başvuru!$A:$A,"&lt;&gt;"&amp;"",Başvuru!$F:$F,"&lt;&gt;"&amp;""))</f>
        <v>7</v>
      </c>
      <c r="E31" s="159" t="str">
        <f>IF(C31="","-",IF(D31&gt;0,TEXT(D31/(COUNTIFS(Başvuru!$A:$A,"&lt;&gt;",Başvuru!$F:$F,"&lt;&gt;")-1)*100,"0.0")&amp;"%","-"))</f>
        <v>01%</v>
      </c>
      <c r="F31" s="162">
        <f>IF(C31="","",COUNTIFS(Başvuru!$D:$D,C31,Başvuru!$G:$G,"Bireysel Araştırma",Başvuru!$A:$A,"&lt;&gt;"&amp;"",Başvuru!$F:$F,"&lt;&gt;"&amp;""))</f>
        <v>1</v>
      </c>
      <c r="G31" s="162">
        <f>IF(C31="","",COUNTIFS(Başvuru!$D:$D,C31,Başvuru!$G:$G,"Uzmanlık Tezi",Başvuru!$A:$A,"&lt;&gt;"&amp;"",Başvuru!$F:$F,"&lt;&gt;"&amp;""))</f>
        <v>0</v>
      </c>
      <c r="H31" s="162">
        <f>IF(C31="","",COUNTIFS(Başvuru!$D:$D,C31,Başvuru!$G:$G,"Doktora Tezi",Başvuru!$A:$A,"&lt;&gt;"&amp;"",Başvuru!$F:$F,"&lt;&gt;"&amp;""))</f>
        <v>6</v>
      </c>
      <c r="I31" s="162">
        <f>IF(C31="","",COUNTIFS(Başvuru!$D:$D,C31,Başvuru!$G:$G,"Yüksek Lisans Tezi",Başvuru!$A:$A,"&lt;&gt;"&amp;"",Başvuru!$F:$F,"&lt;&gt;"&amp;""))</f>
        <v>0</v>
      </c>
      <c r="J31" s="163">
        <f>IF(C31="","",COUNTIFS(Başvuru!$D:$D,C31,Başvuru!$L:$L,"ONAY",Başvuru!$A:$A,"&lt;&gt;"&amp;"",Başvuru!$F:$F,"&lt;&gt;"&amp;""))</f>
        <v>2</v>
      </c>
      <c r="K31" s="164">
        <f>IF(C31="","",COUNTIFS(Başvuru!$D:$D,C31,Başvuru!$L:$L,"DÜZELTME",Başvuru!$A:$A,"&lt;&gt;"&amp;"",Başvuru!$F:$F,"&lt;&gt;"&amp;""))</f>
        <v>4</v>
      </c>
      <c r="L31" s="165">
        <f>IF(C31="","",COUNTIFS(Başvuru!$D:$D,C31,Başvuru!$L:$L,"KAEK",Başvuru!$A:$A,"&lt;&gt;"&amp;"",Başvuru!$F:$F,"&lt;&gt;"&amp;""))</f>
        <v>0</v>
      </c>
      <c r="M31" s="166">
        <f>IF(C31="","",COUNTIFS(Başvuru!$D:$D,C31,Başvuru!$L:$L,"GÖRÜŞ",Başvuru!$A:$A,"&lt;&gt;"&amp;"",Başvuru!$F:$F,"&lt;&gt;"&amp;""))</f>
        <v>1</v>
      </c>
      <c r="N31" s="167">
        <f>IF(C31="","",COUNTIFS(Başvuru!$D:$D,C31,Başvuru!$L:$L,"RET",Başvuru!$A:$A,"&lt;&gt;"&amp;"",Başvuru!$F:$F,"&lt;&gt;"&amp;""))</f>
        <v>0</v>
      </c>
      <c r="O31" s="168">
        <f>IF(C31="","",COUNTIFS(Başvuru!$D:$D,C31,Başvuru!$L:$L,"KAPSAM DIŞI",Başvuru!$A:$A,"&lt;&gt;"&amp;"",Başvuru!$F:$F,"&lt;&gt;"&amp;""))</f>
        <v>0</v>
      </c>
      <c r="P31" s="169">
        <f>IF(C31="","",COUNTIFS(Başvuru!$D:$D,C31,Başvuru!$L:$L,"GERİ ÇEKİLDİ",Başvuru!$A:$A,"&lt;&gt;"&amp;"",Başvuru!$F:$F,"&lt;&gt;"&amp;""))</f>
        <v>0</v>
      </c>
      <c r="Q31" s="170" t="str">
        <f>IFERROR(INDEX(Başvuru!$D$2:$D$1851,MATCH(26,Başvuru!$Z$2:$Z$1851,0)),"")</f>
        <v>Halk Sağlığı Anabilim Dalı</v>
      </c>
      <c r="R31" s="171">
        <f>IF(Q31="","",COUNTIFS(Başvuru!$D:$D,Q31,Başvuru!$A:$A,"&lt;&gt;"&amp;"",Başvuru!$F:$F,"&lt;&gt;"&amp;""))</f>
        <v>5</v>
      </c>
      <c r="S31" s="171">
        <f>IF(R31="","",RANK(R31,$R$6:$R$155,0)+COUNTIF($R$6:R31,R31)-1)</f>
        <v>36</v>
      </c>
    </row>
    <row r="32" spans="2:19" x14ac:dyDescent="0.25">
      <c r="B32" s="159">
        <v>27</v>
      </c>
      <c r="C32" s="160" t="str">
        <f>IFERROR(INDEX($Q$6:$Q$155,MATCH(27,$S$6:$S$155,0)),"")</f>
        <v>Fiziksel Tıp ve Rehabilitasyon Anabilim Dalı</v>
      </c>
      <c r="D32" s="161">
        <f>IF(C32="","",COUNTIFS(Başvuru!$D:$D,C32,Başvuru!$A:$A,"&lt;&gt;"&amp;"",Başvuru!$F:$F,"&lt;&gt;"&amp;""))</f>
        <v>7</v>
      </c>
      <c r="E32" s="159" t="str">
        <f>IF(C32="","-",IF(D32&gt;0,TEXT(D32/(COUNTIFS(Başvuru!$A:$A,"&lt;&gt;",Başvuru!$F:$F,"&lt;&gt;")-1)*100,"0.0")&amp;"%","-"))</f>
        <v>01%</v>
      </c>
      <c r="F32" s="162">
        <f>IF(C32="","",COUNTIFS(Başvuru!$D:$D,C32,Başvuru!$G:$G,"Bireysel Araştırma",Başvuru!$A:$A,"&lt;&gt;"&amp;"",Başvuru!$F:$F,"&lt;&gt;"&amp;""))</f>
        <v>4</v>
      </c>
      <c r="G32" s="162">
        <f>IF(C32="","",COUNTIFS(Başvuru!$D:$D,C32,Başvuru!$G:$G,"Uzmanlık Tezi",Başvuru!$A:$A,"&lt;&gt;"&amp;"",Başvuru!$F:$F,"&lt;&gt;"&amp;""))</f>
        <v>3</v>
      </c>
      <c r="H32" s="162">
        <f>IF(C32="","",COUNTIFS(Başvuru!$D:$D,C32,Başvuru!$G:$G,"Doktora Tezi",Başvuru!$A:$A,"&lt;&gt;"&amp;"",Başvuru!$F:$F,"&lt;&gt;"&amp;""))</f>
        <v>0</v>
      </c>
      <c r="I32" s="162">
        <f>IF(C32="","",COUNTIFS(Başvuru!$D:$D,C32,Başvuru!$G:$G,"Yüksek Lisans Tezi",Başvuru!$A:$A,"&lt;&gt;"&amp;"",Başvuru!$F:$F,"&lt;&gt;"&amp;""))</f>
        <v>0</v>
      </c>
      <c r="J32" s="163">
        <f>IF(C32="","",COUNTIFS(Başvuru!$D:$D,C32,Başvuru!$L:$L,"ONAY",Başvuru!$A:$A,"&lt;&gt;"&amp;"",Başvuru!$F:$F,"&lt;&gt;"&amp;""))</f>
        <v>2</v>
      </c>
      <c r="K32" s="164">
        <f>IF(C32="","",COUNTIFS(Başvuru!$D:$D,C32,Başvuru!$L:$L,"DÜZELTME",Başvuru!$A:$A,"&lt;&gt;"&amp;"",Başvuru!$F:$F,"&lt;&gt;"&amp;""))</f>
        <v>2</v>
      </c>
      <c r="L32" s="165">
        <f>IF(C32="","",COUNTIFS(Başvuru!$D:$D,C32,Başvuru!$L:$L,"KAEK",Başvuru!$A:$A,"&lt;&gt;"&amp;"",Başvuru!$F:$F,"&lt;&gt;"&amp;""))</f>
        <v>0</v>
      </c>
      <c r="M32" s="166">
        <f>IF(C32="","",COUNTIFS(Başvuru!$D:$D,C32,Başvuru!$L:$L,"GÖRÜŞ",Başvuru!$A:$A,"&lt;&gt;"&amp;"",Başvuru!$F:$F,"&lt;&gt;"&amp;""))</f>
        <v>0</v>
      </c>
      <c r="N32" s="167">
        <f>IF(C32="","",COUNTIFS(Başvuru!$D:$D,C32,Başvuru!$L:$L,"RET",Başvuru!$A:$A,"&lt;&gt;"&amp;"",Başvuru!$F:$F,"&lt;&gt;"&amp;""))</f>
        <v>2</v>
      </c>
      <c r="O32" s="168">
        <f>IF(C32="","",COUNTIFS(Başvuru!$D:$D,C32,Başvuru!$L:$L,"KAPSAM DIŞI",Başvuru!$A:$A,"&lt;&gt;"&amp;"",Başvuru!$F:$F,"&lt;&gt;"&amp;""))</f>
        <v>0</v>
      </c>
      <c r="P32" s="169">
        <f>IF(C32="","",COUNTIFS(Başvuru!$D:$D,C32,Başvuru!$L:$L,"GERİ ÇEKİLDİ",Başvuru!$A:$A,"&lt;&gt;"&amp;"",Başvuru!$F:$F,"&lt;&gt;"&amp;""))</f>
        <v>0</v>
      </c>
      <c r="Q32" s="170" t="str">
        <f>IFERROR(INDEX(Başvuru!$D$2:$D$1851,MATCH(27,Başvuru!$Z$2:$Z$1851,0)),"")</f>
        <v>Deri ve Zührevi Hastalıklar Anabilim Dalı</v>
      </c>
      <c r="R32" s="171">
        <f>IF(Q32="","",COUNTIFS(Başvuru!$D:$D,Q32,Başvuru!$A:$A,"&lt;&gt;"&amp;"",Başvuru!$F:$F,"&lt;&gt;"&amp;""))</f>
        <v>12</v>
      </c>
      <c r="S32" s="171">
        <f>IF(R32="","",RANK(R32,$R$6:$R$155,0)+COUNTIF($R$6:R32,R32)-1)</f>
        <v>15</v>
      </c>
    </row>
    <row r="33" spans="2:19" x14ac:dyDescent="0.25">
      <c r="B33" s="159">
        <v>28</v>
      </c>
      <c r="C33" s="160" t="str">
        <f>IFERROR(INDEX($Q$6:$Q$155,MATCH(28,$S$6:$S$155,0)),"")</f>
        <v>Periodontoloji Anabilim Dalı</v>
      </c>
      <c r="D33" s="161">
        <f>IF(C33="","",COUNTIFS(Başvuru!$D:$D,C33,Başvuru!$A:$A,"&lt;&gt;"&amp;"",Başvuru!$F:$F,"&lt;&gt;"&amp;""))</f>
        <v>7</v>
      </c>
      <c r="E33" s="159" t="str">
        <f>IF(C33="","-",IF(D33&gt;0,TEXT(D33/(COUNTIFS(Başvuru!$A:$A,"&lt;&gt;",Başvuru!$F:$F,"&lt;&gt;")-1)*100,"0.0")&amp;"%","-"))</f>
        <v>01%</v>
      </c>
      <c r="F33" s="162">
        <f>IF(C33="","",COUNTIFS(Başvuru!$D:$D,C33,Başvuru!$G:$G,"Bireysel Araştırma",Başvuru!$A:$A,"&lt;&gt;"&amp;"",Başvuru!$F:$F,"&lt;&gt;"&amp;""))</f>
        <v>3</v>
      </c>
      <c r="G33" s="162">
        <f>IF(C33="","",COUNTIFS(Başvuru!$D:$D,C33,Başvuru!$G:$G,"Uzmanlık Tezi",Başvuru!$A:$A,"&lt;&gt;"&amp;"",Başvuru!$F:$F,"&lt;&gt;"&amp;""))</f>
        <v>4</v>
      </c>
      <c r="H33" s="162">
        <f>IF(C33="","",COUNTIFS(Başvuru!$D:$D,C33,Başvuru!$G:$G,"Doktora Tezi",Başvuru!$A:$A,"&lt;&gt;"&amp;"",Başvuru!$F:$F,"&lt;&gt;"&amp;""))</f>
        <v>0</v>
      </c>
      <c r="I33" s="162">
        <f>IF(C33="","",COUNTIFS(Başvuru!$D:$D,C33,Başvuru!$G:$G,"Yüksek Lisans Tezi",Başvuru!$A:$A,"&lt;&gt;"&amp;"",Başvuru!$F:$F,"&lt;&gt;"&amp;""))</f>
        <v>0</v>
      </c>
      <c r="J33" s="163">
        <f>IF(C33="","",COUNTIFS(Başvuru!$D:$D,C33,Başvuru!$L:$L,"ONAY",Başvuru!$A:$A,"&lt;&gt;"&amp;"",Başvuru!$F:$F,"&lt;&gt;"&amp;""))</f>
        <v>3</v>
      </c>
      <c r="K33" s="164">
        <f>IF(C33="","",COUNTIFS(Başvuru!$D:$D,C33,Başvuru!$L:$L,"DÜZELTME",Başvuru!$A:$A,"&lt;&gt;"&amp;"",Başvuru!$F:$F,"&lt;&gt;"&amp;""))</f>
        <v>4</v>
      </c>
      <c r="L33" s="165">
        <f>IF(C33="","",COUNTIFS(Başvuru!$D:$D,C33,Başvuru!$L:$L,"KAEK",Başvuru!$A:$A,"&lt;&gt;"&amp;"",Başvuru!$F:$F,"&lt;&gt;"&amp;""))</f>
        <v>0</v>
      </c>
      <c r="M33" s="166">
        <f>IF(C33="","",COUNTIFS(Başvuru!$D:$D,C33,Başvuru!$L:$L,"GÖRÜŞ",Başvuru!$A:$A,"&lt;&gt;"&amp;"",Başvuru!$F:$F,"&lt;&gt;"&amp;""))</f>
        <v>0</v>
      </c>
      <c r="N33" s="167">
        <f>IF(C33="","",COUNTIFS(Başvuru!$D:$D,C33,Başvuru!$L:$L,"RET",Başvuru!$A:$A,"&lt;&gt;"&amp;"",Başvuru!$F:$F,"&lt;&gt;"&amp;""))</f>
        <v>0</v>
      </c>
      <c r="O33" s="168">
        <f>IF(C33="","",COUNTIFS(Başvuru!$D:$D,C33,Başvuru!$L:$L,"KAPSAM DIŞI",Başvuru!$A:$A,"&lt;&gt;"&amp;"",Başvuru!$F:$F,"&lt;&gt;"&amp;""))</f>
        <v>0</v>
      </c>
      <c r="P33" s="169">
        <f>IF(C33="","",COUNTIFS(Başvuru!$D:$D,C33,Başvuru!$L:$L,"GERİ ÇEKİLDİ",Başvuru!$A:$A,"&lt;&gt;"&amp;"",Başvuru!$F:$F,"&lt;&gt;"&amp;""))</f>
        <v>0</v>
      </c>
      <c r="Q33" s="170" t="str">
        <f>IFERROR(INDEX(Başvuru!$D$2:$D$1851,MATCH(28,Başvuru!$Z$2:$Z$1851,0)),"")</f>
        <v>Fiziksel Tıp ve Rehabilitasyon Anabilim Dalı</v>
      </c>
      <c r="R33" s="171">
        <f>IF(Q33="","",COUNTIFS(Başvuru!$D:$D,Q33,Başvuru!$A:$A,"&lt;&gt;"&amp;"",Başvuru!$F:$F,"&lt;&gt;"&amp;""))</f>
        <v>7</v>
      </c>
      <c r="S33" s="171">
        <f>IF(R33="","",RANK(R33,$R$6:$R$155,0)+COUNTIF($R$6:R33,R33)-1)</f>
        <v>27</v>
      </c>
    </row>
    <row r="34" spans="2:19" x14ac:dyDescent="0.25">
      <c r="B34" s="159">
        <v>29</v>
      </c>
      <c r="C34" s="160" t="str">
        <f>IFERROR(INDEX($Q$6:$Q$155,MATCH(29,$S$6:$S$155,0)),"")</f>
        <v>Histoloji ve Embriyoloji Anabilim Dalı</v>
      </c>
      <c r="D34" s="161">
        <f>IF(C34="","",COUNTIFS(Başvuru!$D:$D,C34,Başvuru!$A:$A,"&lt;&gt;"&amp;"",Başvuru!$F:$F,"&lt;&gt;"&amp;""))</f>
        <v>6</v>
      </c>
      <c r="E34" s="159" t="str">
        <f>IF(C34="","-",IF(D34&gt;0,TEXT(D34/(COUNTIFS(Başvuru!$A:$A,"&lt;&gt;",Başvuru!$F:$F,"&lt;&gt;")-1)*100,"0.0")&amp;"%","-"))</f>
        <v>01%</v>
      </c>
      <c r="F34" s="162">
        <f>IF(C34="","",COUNTIFS(Başvuru!$D:$D,C34,Başvuru!$G:$G,"Bireysel Araştırma",Başvuru!$A:$A,"&lt;&gt;"&amp;"",Başvuru!$F:$F,"&lt;&gt;"&amp;""))</f>
        <v>2</v>
      </c>
      <c r="G34" s="162">
        <f>IF(C34="","",COUNTIFS(Başvuru!$D:$D,C34,Başvuru!$G:$G,"Uzmanlık Tezi",Başvuru!$A:$A,"&lt;&gt;"&amp;"",Başvuru!$F:$F,"&lt;&gt;"&amp;""))</f>
        <v>4</v>
      </c>
      <c r="H34" s="162">
        <f>IF(C34="","",COUNTIFS(Başvuru!$D:$D,C34,Başvuru!$G:$G,"Doktora Tezi",Başvuru!$A:$A,"&lt;&gt;"&amp;"",Başvuru!$F:$F,"&lt;&gt;"&amp;""))</f>
        <v>0</v>
      </c>
      <c r="I34" s="162">
        <f>IF(C34="","",COUNTIFS(Başvuru!$D:$D,C34,Başvuru!$G:$G,"Yüksek Lisans Tezi",Başvuru!$A:$A,"&lt;&gt;"&amp;"",Başvuru!$F:$F,"&lt;&gt;"&amp;""))</f>
        <v>0</v>
      </c>
      <c r="J34" s="163">
        <f>IF(C34="","",COUNTIFS(Başvuru!$D:$D,C34,Başvuru!$L:$L,"ONAY",Başvuru!$A:$A,"&lt;&gt;"&amp;"",Başvuru!$F:$F,"&lt;&gt;"&amp;""))</f>
        <v>0</v>
      </c>
      <c r="K34" s="164">
        <f>IF(C34="","",COUNTIFS(Başvuru!$D:$D,C34,Başvuru!$L:$L,"DÜZELTME",Başvuru!$A:$A,"&lt;&gt;"&amp;"",Başvuru!$F:$F,"&lt;&gt;"&amp;""))</f>
        <v>3</v>
      </c>
      <c r="L34" s="165">
        <f>IF(C34="","",COUNTIFS(Başvuru!$D:$D,C34,Başvuru!$L:$L,"KAEK",Başvuru!$A:$A,"&lt;&gt;"&amp;"",Başvuru!$F:$F,"&lt;&gt;"&amp;""))</f>
        <v>0</v>
      </c>
      <c r="M34" s="166">
        <f>IF(C34="","",COUNTIFS(Başvuru!$D:$D,C34,Başvuru!$L:$L,"GÖRÜŞ",Başvuru!$A:$A,"&lt;&gt;"&amp;"",Başvuru!$F:$F,"&lt;&gt;"&amp;""))</f>
        <v>0</v>
      </c>
      <c r="N34" s="167">
        <f>IF(C34="","",COUNTIFS(Başvuru!$D:$D,C34,Başvuru!$L:$L,"RET",Başvuru!$A:$A,"&lt;&gt;"&amp;"",Başvuru!$F:$F,"&lt;&gt;"&amp;""))</f>
        <v>0</v>
      </c>
      <c r="O34" s="168">
        <f>IF(C34="","",COUNTIFS(Başvuru!$D:$D,C34,Başvuru!$L:$L,"KAPSAM DIŞI",Başvuru!$A:$A,"&lt;&gt;"&amp;"",Başvuru!$F:$F,"&lt;&gt;"&amp;""))</f>
        <v>2</v>
      </c>
      <c r="P34" s="169">
        <f>IF(C34="","",COUNTIFS(Başvuru!$D:$D,C34,Başvuru!$L:$L,"GERİ ÇEKİLDİ",Başvuru!$A:$A,"&lt;&gt;"&amp;"",Başvuru!$F:$F,"&lt;&gt;"&amp;""))</f>
        <v>0</v>
      </c>
      <c r="Q34" s="170" t="str">
        <f>IFERROR(INDEX(Başvuru!$D$2:$D$1851,MATCH(29,Başvuru!$Z$2:$Z$1851,0)),"")</f>
        <v>Sağlık Araştırmaları Anabilim Dalı</v>
      </c>
      <c r="R34" s="171">
        <f>IF(Q34="","",COUNTIFS(Başvuru!$D:$D,Q34,Başvuru!$A:$A,"&lt;&gt;"&amp;"",Başvuru!$F:$F,"&lt;&gt;"&amp;""))</f>
        <v>1</v>
      </c>
      <c r="S34" s="171">
        <f>IF(R34="","",RANK(R34,$R$6:$R$155,0)+COUNTIF($R$6:R34,R34)-1)</f>
        <v>61</v>
      </c>
    </row>
    <row r="35" spans="2:19" x14ac:dyDescent="0.25">
      <c r="B35" s="159">
        <v>30</v>
      </c>
      <c r="C35" s="160" t="str">
        <f>IFERROR(INDEX($Q$6:$Q$155,MATCH(30,$S$6:$S$155,0)),"")</f>
        <v>Protetik Diş Tedavisi Anabilim Dalı</v>
      </c>
      <c r="D35" s="161">
        <f>IF(C35="","",COUNTIFS(Başvuru!$D:$D,C35,Başvuru!$A:$A,"&lt;&gt;"&amp;"",Başvuru!$F:$F,"&lt;&gt;"&amp;""))</f>
        <v>6</v>
      </c>
      <c r="E35" s="159" t="str">
        <f>IF(C35="","-",IF(D35&gt;0,TEXT(D35/(COUNTIFS(Başvuru!$A:$A,"&lt;&gt;",Başvuru!$F:$F,"&lt;&gt;")-1)*100,"0.0")&amp;"%","-"))</f>
        <v>01%</v>
      </c>
      <c r="F35" s="162">
        <f>IF(C35="","",COUNTIFS(Başvuru!$D:$D,C35,Başvuru!$G:$G,"Bireysel Araştırma",Başvuru!$A:$A,"&lt;&gt;"&amp;"",Başvuru!$F:$F,"&lt;&gt;"&amp;""))</f>
        <v>3</v>
      </c>
      <c r="G35" s="162">
        <f>IF(C35="","",COUNTIFS(Başvuru!$D:$D,C35,Başvuru!$G:$G,"Uzmanlık Tezi",Başvuru!$A:$A,"&lt;&gt;"&amp;"",Başvuru!$F:$F,"&lt;&gt;"&amp;""))</f>
        <v>3</v>
      </c>
      <c r="H35" s="162">
        <f>IF(C35="","",COUNTIFS(Başvuru!$D:$D,C35,Başvuru!$G:$G,"Doktora Tezi",Başvuru!$A:$A,"&lt;&gt;"&amp;"",Başvuru!$F:$F,"&lt;&gt;"&amp;""))</f>
        <v>0</v>
      </c>
      <c r="I35" s="162">
        <f>IF(C35="","",COUNTIFS(Başvuru!$D:$D,C35,Başvuru!$G:$G,"Yüksek Lisans Tezi",Başvuru!$A:$A,"&lt;&gt;"&amp;"",Başvuru!$F:$F,"&lt;&gt;"&amp;""))</f>
        <v>0</v>
      </c>
      <c r="J35" s="163">
        <f>IF(C35="","",COUNTIFS(Başvuru!$D:$D,C35,Başvuru!$L:$L,"ONAY",Başvuru!$A:$A,"&lt;&gt;"&amp;"",Başvuru!$F:$F,"&lt;&gt;"&amp;""))</f>
        <v>4</v>
      </c>
      <c r="K35" s="164">
        <f>IF(C35="","",COUNTIFS(Başvuru!$D:$D,C35,Başvuru!$L:$L,"DÜZELTME",Başvuru!$A:$A,"&lt;&gt;"&amp;"",Başvuru!$F:$F,"&lt;&gt;"&amp;""))</f>
        <v>0</v>
      </c>
      <c r="L35" s="165">
        <f>IF(C35="","",COUNTIFS(Başvuru!$D:$D,C35,Başvuru!$L:$L,"KAEK",Başvuru!$A:$A,"&lt;&gt;"&amp;"",Başvuru!$F:$F,"&lt;&gt;"&amp;""))</f>
        <v>0</v>
      </c>
      <c r="M35" s="166">
        <f>IF(C35="","",COUNTIFS(Başvuru!$D:$D,C35,Başvuru!$L:$L,"GÖRÜŞ",Başvuru!$A:$A,"&lt;&gt;"&amp;"",Başvuru!$F:$F,"&lt;&gt;"&amp;""))</f>
        <v>2</v>
      </c>
      <c r="N35" s="167">
        <f>IF(C35="","",COUNTIFS(Başvuru!$D:$D,C35,Başvuru!$L:$L,"RET",Başvuru!$A:$A,"&lt;&gt;"&amp;"",Başvuru!$F:$F,"&lt;&gt;"&amp;""))</f>
        <v>0</v>
      </c>
      <c r="O35" s="168">
        <f>IF(C35="","",COUNTIFS(Başvuru!$D:$D,C35,Başvuru!$L:$L,"KAPSAM DIŞI",Başvuru!$A:$A,"&lt;&gt;"&amp;"",Başvuru!$F:$F,"&lt;&gt;"&amp;""))</f>
        <v>0</v>
      </c>
      <c r="P35" s="169">
        <f>IF(C35="","",COUNTIFS(Başvuru!$D:$D,C35,Başvuru!$L:$L,"GERİ ÇEKİLDİ",Başvuru!$A:$A,"&lt;&gt;"&amp;"",Başvuru!$F:$F,"&lt;&gt;"&amp;""))</f>
        <v>0</v>
      </c>
      <c r="Q35" s="170" t="str">
        <f>IFERROR(INDEX(Başvuru!$D$2:$D$1851,MATCH(30,Başvuru!$Z$2:$Z$1851,0)),"")</f>
        <v>Nöroloji Anabilim Dalı</v>
      </c>
      <c r="R35" s="171">
        <f>IF(Q35="","",COUNTIFS(Başvuru!$D:$D,Q35,Başvuru!$A:$A,"&lt;&gt;"&amp;"",Başvuru!$F:$F,"&lt;&gt;"&amp;""))</f>
        <v>24</v>
      </c>
      <c r="S35" s="171">
        <f>IF(R35="","",RANK(R35,$R$6:$R$155,0)+COUNTIF($R$6:R35,R35)-1)</f>
        <v>5</v>
      </c>
    </row>
    <row r="36" spans="2:19" x14ac:dyDescent="0.25">
      <c r="B36" s="159">
        <v>31</v>
      </c>
      <c r="C36" s="160" t="str">
        <f>IFERROR(INDEX($Q$6:$Q$155,MATCH(31,$S$6:$S$155,0)),"")</f>
        <v>Sosyal Hizmet Anabilim Dalı</v>
      </c>
      <c r="D36" s="161">
        <f>IF(C36="","",COUNTIFS(Başvuru!$D:$D,C36,Başvuru!$A:$A,"&lt;&gt;"&amp;"",Başvuru!$F:$F,"&lt;&gt;"&amp;""))</f>
        <v>6</v>
      </c>
      <c r="E36" s="159" t="str">
        <f>IF(C36="","-",IF(D36&gt;0,TEXT(D36/(COUNTIFS(Başvuru!$A:$A,"&lt;&gt;",Başvuru!$F:$F,"&lt;&gt;")-1)*100,"0.0")&amp;"%","-"))</f>
        <v>01%</v>
      </c>
      <c r="F36" s="162">
        <f>IF(C36="","",COUNTIFS(Başvuru!$D:$D,C36,Başvuru!$G:$G,"Bireysel Araştırma",Başvuru!$A:$A,"&lt;&gt;"&amp;"",Başvuru!$F:$F,"&lt;&gt;"&amp;""))</f>
        <v>1</v>
      </c>
      <c r="G36" s="162">
        <f>IF(C36="","",COUNTIFS(Başvuru!$D:$D,C36,Başvuru!$G:$G,"Uzmanlık Tezi",Başvuru!$A:$A,"&lt;&gt;"&amp;"",Başvuru!$F:$F,"&lt;&gt;"&amp;""))</f>
        <v>0</v>
      </c>
      <c r="H36" s="162">
        <f>IF(C36="","",COUNTIFS(Başvuru!$D:$D,C36,Başvuru!$G:$G,"Doktora Tezi",Başvuru!$A:$A,"&lt;&gt;"&amp;"",Başvuru!$F:$F,"&lt;&gt;"&amp;""))</f>
        <v>5</v>
      </c>
      <c r="I36" s="162">
        <f>IF(C36="","",COUNTIFS(Başvuru!$D:$D,C36,Başvuru!$G:$G,"Yüksek Lisans Tezi",Başvuru!$A:$A,"&lt;&gt;"&amp;"",Başvuru!$F:$F,"&lt;&gt;"&amp;""))</f>
        <v>0</v>
      </c>
      <c r="J36" s="163">
        <f>IF(C36="","",COUNTIFS(Başvuru!$D:$D,C36,Başvuru!$L:$L,"ONAY",Başvuru!$A:$A,"&lt;&gt;"&amp;"",Başvuru!$F:$F,"&lt;&gt;"&amp;""))</f>
        <v>4</v>
      </c>
      <c r="K36" s="164">
        <f>IF(C36="","",COUNTIFS(Başvuru!$D:$D,C36,Başvuru!$L:$L,"DÜZELTME",Başvuru!$A:$A,"&lt;&gt;"&amp;"",Başvuru!$F:$F,"&lt;&gt;"&amp;""))</f>
        <v>2</v>
      </c>
      <c r="L36" s="165">
        <f>IF(C36="","",COUNTIFS(Başvuru!$D:$D,C36,Başvuru!$L:$L,"KAEK",Başvuru!$A:$A,"&lt;&gt;"&amp;"",Başvuru!$F:$F,"&lt;&gt;"&amp;""))</f>
        <v>0</v>
      </c>
      <c r="M36" s="166">
        <f>IF(C36="","",COUNTIFS(Başvuru!$D:$D,C36,Başvuru!$L:$L,"GÖRÜŞ",Başvuru!$A:$A,"&lt;&gt;"&amp;"",Başvuru!$F:$F,"&lt;&gt;"&amp;""))</f>
        <v>0</v>
      </c>
      <c r="N36" s="167">
        <f>IF(C36="","",COUNTIFS(Başvuru!$D:$D,C36,Başvuru!$L:$L,"RET",Başvuru!$A:$A,"&lt;&gt;"&amp;"",Başvuru!$F:$F,"&lt;&gt;"&amp;""))</f>
        <v>0</v>
      </c>
      <c r="O36" s="168">
        <f>IF(C36="","",COUNTIFS(Başvuru!$D:$D,C36,Başvuru!$L:$L,"KAPSAM DIŞI",Başvuru!$A:$A,"&lt;&gt;"&amp;"",Başvuru!$F:$F,"&lt;&gt;"&amp;""))</f>
        <v>0</v>
      </c>
      <c r="P36" s="169">
        <f>IF(C36="","",COUNTIFS(Başvuru!$D:$D,C36,Başvuru!$L:$L,"GERİ ÇEKİLDİ",Başvuru!$A:$A,"&lt;&gt;"&amp;"",Başvuru!$F:$F,"&lt;&gt;"&amp;""))</f>
        <v>0</v>
      </c>
      <c r="Q36" s="170" t="str">
        <f>IFERROR(INDEX(Başvuru!$D$2:$D$1851,MATCH(31,Başvuru!$Z$2:$Z$1851,0)),"")</f>
        <v>Çocuk Cerrahisi Anabilim Dalı</v>
      </c>
      <c r="R36" s="171">
        <f>IF(Q36="","",COUNTIFS(Başvuru!$D:$D,Q36,Başvuru!$A:$A,"&lt;&gt;"&amp;"",Başvuru!$F:$F,"&lt;&gt;"&amp;""))</f>
        <v>13</v>
      </c>
      <c r="S36" s="171">
        <f>IF(R36="","",RANK(R36,$R$6:$R$155,0)+COUNTIF($R$6:R36,R36)-1)</f>
        <v>13</v>
      </c>
    </row>
    <row r="37" spans="2:19" x14ac:dyDescent="0.25">
      <c r="B37" s="159">
        <v>32</v>
      </c>
      <c r="C37" s="160" t="str">
        <f>IFERROR(INDEX($Q$6:$Q$155,MATCH(32,$S$6:$S$155,0)),"")</f>
        <v>Hareket ve Antrenman Bilimleri Anabilim Dalı</v>
      </c>
      <c r="D37" s="161">
        <f>IF(C37="","",COUNTIFS(Başvuru!$D:$D,C37,Başvuru!$A:$A,"&lt;&gt;"&amp;"",Başvuru!$F:$F,"&lt;&gt;"&amp;""))</f>
        <v>6</v>
      </c>
      <c r="E37" s="159" t="str">
        <f>IF(C37="","-",IF(D37&gt;0,TEXT(D37/(COUNTIFS(Başvuru!$A:$A,"&lt;&gt;",Başvuru!$F:$F,"&lt;&gt;")-1)*100,"0.0")&amp;"%","-"))</f>
        <v>01%</v>
      </c>
      <c r="F37" s="162">
        <f>IF(C37="","",COUNTIFS(Başvuru!$D:$D,C37,Başvuru!$G:$G,"Bireysel Araştırma",Başvuru!$A:$A,"&lt;&gt;"&amp;"",Başvuru!$F:$F,"&lt;&gt;"&amp;""))</f>
        <v>2</v>
      </c>
      <c r="G37" s="162">
        <f>IF(C37="","",COUNTIFS(Başvuru!$D:$D,C37,Başvuru!$G:$G,"Uzmanlık Tezi",Başvuru!$A:$A,"&lt;&gt;"&amp;"",Başvuru!$F:$F,"&lt;&gt;"&amp;""))</f>
        <v>0</v>
      </c>
      <c r="H37" s="162">
        <f>IF(C37="","",COUNTIFS(Başvuru!$D:$D,C37,Başvuru!$G:$G,"Doktora Tezi",Başvuru!$A:$A,"&lt;&gt;"&amp;"",Başvuru!$F:$F,"&lt;&gt;"&amp;""))</f>
        <v>1</v>
      </c>
      <c r="I37" s="162">
        <f>IF(C37="","",COUNTIFS(Başvuru!$D:$D,C37,Başvuru!$G:$G,"Yüksek Lisans Tezi",Başvuru!$A:$A,"&lt;&gt;"&amp;"",Başvuru!$F:$F,"&lt;&gt;"&amp;""))</f>
        <v>3</v>
      </c>
      <c r="J37" s="163">
        <f>IF(C37="","",COUNTIFS(Başvuru!$D:$D,C37,Başvuru!$L:$L,"ONAY",Başvuru!$A:$A,"&lt;&gt;"&amp;"",Başvuru!$F:$F,"&lt;&gt;"&amp;""))</f>
        <v>4</v>
      </c>
      <c r="K37" s="164">
        <f>IF(C37="","",COUNTIFS(Başvuru!$D:$D,C37,Başvuru!$L:$L,"DÜZELTME",Başvuru!$A:$A,"&lt;&gt;"&amp;"",Başvuru!$F:$F,"&lt;&gt;"&amp;""))</f>
        <v>2</v>
      </c>
      <c r="L37" s="165">
        <f>IF(C37="","",COUNTIFS(Başvuru!$D:$D,C37,Başvuru!$L:$L,"KAEK",Başvuru!$A:$A,"&lt;&gt;"&amp;"",Başvuru!$F:$F,"&lt;&gt;"&amp;""))</f>
        <v>0</v>
      </c>
      <c r="M37" s="166">
        <f>IF(C37="","",COUNTIFS(Başvuru!$D:$D,C37,Başvuru!$L:$L,"GÖRÜŞ",Başvuru!$A:$A,"&lt;&gt;"&amp;"",Başvuru!$F:$F,"&lt;&gt;"&amp;""))</f>
        <v>0</v>
      </c>
      <c r="N37" s="167">
        <f>IF(C37="","",COUNTIFS(Başvuru!$D:$D,C37,Başvuru!$L:$L,"RET",Başvuru!$A:$A,"&lt;&gt;"&amp;"",Başvuru!$F:$F,"&lt;&gt;"&amp;""))</f>
        <v>0</v>
      </c>
      <c r="O37" s="168">
        <f>IF(C37="","",COUNTIFS(Başvuru!$D:$D,C37,Başvuru!$L:$L,"KAPSAM DIŞI",Başvuru!$A:$A,"&lt;&gt;"&amp;"",Başvuru!$F:$F,"&lt;&gt;"&amp;""))</f>
        <v>0</v>
      </c>
      <c r="P37" s="169">
        <f>IF(C37="","",COUNTIFS(Başvuru!$D:$D,C37,Başvuru!$L:$L,"GERİ ÇEKİLDİ",Başvuru!$A:$A,"&lt;&gt;"&amp;"",Başvuru!$F:$F,"&lt;&gt;"&amp;""))</f>
        <v>0</v>
      </c>
      <c r="Q37" s="170" t="str">
        <f>IFERROR(INDEX(Başvuru!$D$2:$D$1851,MATCH(32,Başvuru!$Z$2:$Z$1851,0)),"")</f>
        <v>Ortopedi ve Travmatoloji Anabilim Dalı</v>
      </c>
      <c r="R37" s="171">
        <f>IF(Q37="","",COUNTIFS(Başvuru!$D:$D,Q37,Başvuru!$A:$A,"&lt;&gt;"&amp;"",Başvuru!$F:$F,"&lt;&gt;"&amp;""))</f>
        <v>17</v>
      </c>
      <c r="S37" s="171">
        <f>IF(R37="","",RANK(R37,$R$6:$R$155,0)+COUNTIF($R$6:R37,R37)-1)</f>
        <v>10</v>
      </c>
    </row>
    <row r="38" spans="2:19" x14ac:dyDescent="0.25">
      <c r="B38" s="159">
        <v>33</v>
      </c>
      <c r="C38" s="160" t="str">
        <f>IFERROR(INDEX($Q$6:$Q$155,MATCH(33,$S$6:$S$155,0)),"")</f>
        <v>Restoratif Diş Tedavisi Anabilim Dalı</v>
      </c>
      <c r="D38" s="161">
        <f>IF(C38="","",COUNTIFS(Başvuru!$D:$D,C38,Başvuru!$A:$A,"&lt;&gt;"&amp;"",Başvuru!$F:$F,"&lt;&gt;"&amp;""))</f>
        <v>6</v>
      </c>
      <c r="E38" s="159" t="str">
        <f>IF(C38="","-",IF(D38&gt;0,TEXT(D38/(COUNTIFS(Başvuru!$A:$A,"&lt;&gt;",Başvuru!$F:$F,"&lt;&gt;")-1)*100,"0.0")&amp;"%","-"))</f>
        <v>01%</v>
      </c>
      <c r="F38" s="162">
        <f>IF(C38="","",COUNTIFS(Başvuru!$D:$D,C38,Başvuru!$G:$G,"Bireysel Araştırma",Başvuru!$A:$A,"&lt;&gt;"&amp;"",Başvuru!$F:$F,"&lt;&gt;"&amp;""))</f>
        <v>6</v>
      </c>
      <c r="G38" s="162">
        <f>IF(C38="","",COUNTIFS(Başvuru!$D:$D,C38,Başvuru!$G:$G,"Uzmanlık Tezi",Başvuru!$A:$A,"&lt;&gt;"&amp;"",Başvuru!$F:$F,"&lt;&gt;"&amp;""))</f>
        <v>0</v>
      </c>
      <c r="H38" s="162">
        <f>IF(C38="","",COUNTIFS(Başvuru!$D:$D,C38,Başvuru!$G:$G,"Doktora Tezi",Başvuru!$A:$A,"&lt;&gt;"&amp;"",Başvuru!$F:$F,"&lt;&gt;"&amp;""))</f>
        <v>0</v>
      </c>
      <c r="I38" s="162">
        <f>IF(C38="","",COUNTIFS(Başvuru!$D:$D,C38,Başvuru!$G:$G,"Yüksek Lisans Tezi",Başvuru!$A:$A,"&lt;&gt;"&amp;"",Başvuru!$F:$F,"&lt;&gt;"&amp;""))</f>
        <v>0</v>
      </c>
      <c r="J38" s="163">
        <f>IF(C38="","",COUNTIFS(Başvuru!$D:$D,C38,Başvuru!$L:$L,"ONAY",Başvuru!$A:$A,"&lt;&gt;"&amp;"",Başvuru!$F:$F,"&lt;&gt;"&amp;""))</f>
        <v>2</v>
      </c>
      <c r="K38" s="164">
        <f>IF(C38="","",COUNTIFS(Başvuru!$D:$D,C38,Başvuru!$L:$L,"DÜZELTME",Başvuru!$A:$A,"&lt;&gt;"&amp;"",Başvuru!$F:$F,"&lt;&gt;"&amp;""))</f>
        <v>1</v>
      </c>
      <c r="L38" s="165">
        <f>IF(C38="","",COUNTIFS(Başvuru!$D:$D,C38,Başvuru!$L:$L,"KAEK",Başvuru!$A:$A,"&lt;&gt;"&amp;"",Başvuru!$F:$F,"&lt;&gt;"&amp;""))</f>
        <v>0</v>
      </c>
      <c r="M38" s="166">
        <f>IF(C38="","",COUNTIFS(Başvuru!$D:$D,C38,Başvuru!$L:$L,"GÖRÜŞ",Başvuru!$A:$A,"&lt;&gt;"&amp;"",Başvuru!$F:$F,"&lt;&gt;"&amp;""))</f>
        <v>0</v>
      </c>
      <c r="N38" s="167">
        <f>IF(C38="","",COUNTIFS(Başvuru!$D:$D,C38,Başvuru!$L:$L,"RET",Başvuru!$A:$A,"&lt;&gt;"&amp;"",Başvuru!$F:$F,"&lt;&gt;"&amp;""))</f>
        <v>0</v>
      </c>
      <c r="O38" s="168">
        <f>IF(C38="","",COUNTIFS(Başvuru!$D:$D,C38,Başvuru!$L:$L,"KAPSAM DIŞI",Başvuru!$A:$A,"&lt;&gt;"&amp;"",Başvuru!$F:$F,"&lt;&gt;"&amp;""))</f>
        <v>0</v>
      </c>
      <c r="P38" s="169">
        <f>IF(C38="","",COUNTIFS(Başvuru!$D:$D,C38,Başvuru!$L:$L,"GERİ ÇEKİLDİ",Başvuru!$A:$A,"&lt;&gt;"&amp;"",Başvuru!$F:$F,"&lt;&gt;"&amp;""))</f>
        <v>0</v>
      </c>
      <c r="Q38" s="170" t="str">
        <f>IFERROR(INDEX(Başvuru!$D$2:$D$1851,MATCH(33,Başvuru!$Z$2:$Z$1851,0)),"")</f>
        <v>Klinik Eczacılık Anabilim Dalı</v>
      </c>
      <c r="R38" s="171">
        <f>IF(Q38="","",COUNTIFS(Başvuru!$D:$D,Q38,Başvuru!$A:$A,"&lt;&gt;"&amp;"",Başvuru!$F:$F,"&lt;&gt;"&amp;""))</f>
        <v>20</v>
      </c>
      <c r="S38" s="171">
        <f>IF(R38="","",RANK(R38,$R$6:$R$155,0)+COUNTIF($R$6:R38,R38)-1)</f>
        <v>7</v>
      </c>
    </row>
    <row r="39" spans="2:19" x14ac:dyDescent="0.25">
      <c r="B39" s="159">
        <v>34</v>
      </c>
      <c r="C39" s="160" t="str">
        <f>IFERROR(INDEX($Q$6:$Q$155,MATCH(34,$S$6:$S$155,0)),"")</f>
        <v>Tıbbi Patoloji Anabilim Dalı</v>
      </c>
      <c r="D39" s="161">
        <f>IF(C39="","",COUNTIFS(Başvuru!$D:$D,C39,Başvuru!$A:$A,"&lt;&gt;"&amp;"",Başvuru!$F:$F,"&lt;&gt;"&amp;""))</f>
        <v>6</v>
      </c>
      <c r="E39" s="159" t="str">
        <f>IF(C39="","-",IF(D39&gt;0,TEXT(D39/(COUNTIFS(Başvuru!$A:$A,"&lt;&gt;",Başvuru!$F:$F,"&lt;&gt;")-1)*100,"0.0")&amp;"%","-"))</f>
        <v>01%</v>
      </c>
      <c r="F39" s="162">
        <f>IF(C39="","",COUNTIFS(Başvuru!$D:$D,C39,Başvuru!$G:$G,"Bireysel Araştırma",Başvuru!$A:$A,"&lt;&gt;"&amp;"",Başvuru!$F:$F,"&lt;&gt;"&amp;""))</f>
        <v>5</v>
      </c>
      <c r="G39" s="162">
        <f>IF(C39="","",COUNTIFS(Başvuru!$D:$D,C39,Başvuru!$G:$G,"Uzmanlık Tezi",Başvuru!$A:$A,"&lt;&gt;"&amp;"",Başvuru!$F:$F,"&lt;&gt;"&amp;""))</f>
        <v>1</v>
      </c>
      <c r="H39" s="162">
        <f>IF(C39="","",COUNTIFS(Başvuru!$D:$D,C39,Başvuru!$G:$G,"Doktora Tezi",Başvuru!$A:$A,"&lt;&gt;"&amp;"",Başvuru!$F:$F,"&lt;&gt;"&amp;""))</f>
        <v>0</v>
      </c>
      <c r="I39" s="162">
        <f>IF(C39="","",COUNTIFS(Başvuru!$D:$D,C39,Başvuru!$G:$G,"Yüksek Lisans Tezi",Başvuru!$A:$A,"&lt;&gt;"&amp;"",Başvuru!$F:$F,"&lt;&gt;"&amp;""))</f>
        <v>0</v>
      </c>
      <c r="J39" s="163">
        <f>IF(C39="","",COUNTIFS(Başvuru!$D:$D,C39,Başvuru!$L:$L,"ONAY",Başvuru!$A:$A,"&lt;&gt;"&amp;"",Başvuru!$F:$F,"&lt;&gt;"&amp;""))</f>
        <v>4</v>
      </c>
      <c r="K39" s="164">
        <f>IF(C39="","",COUNTIFS(Başvuru!$D:$D,C39,Başvuru!$L:$L,"DÜZELTME",Başvuru!$A:$A,"&lt;&gt;"&amp;"",Başvuru!$F:$F,"&lt;&gt;"&amp;""))</f>
        <v>2</v>
      </c>
      <c r="L39" s="165">
        <f>IF(C39="","",COUNTIFS(Başvuru!$D:$D,C39,Başvuru!$L:$L,"KAEK",Başvuru!$A:$A,"&lt;&gt;"&amp;"",Başvuru!$F:$F,"&lt;&gt;"&amp;""))</f>
        <v>0</v>
      </c>
      <c r="M39" s="166">
        <f>IF(C39="","",COUNTIFS(Başvuru!$D:$D,C39,Başvuru!$L:$L,"GÖRÜŞ",Başvuru!$A:$A,"&lt;&gt;"&amp;"",Başvuru!$F:$F,"&lt;&gt;"&amp;""))</f>
        <v>0</v>
      </c>
      <c r="N39" s="167">
        <f>IF(C39="","",COUNTIFS(Başvuru!$D:$D,C39,Başvuru!$L:$L,"RET",Başvuru!$A:$A,"&lt;&gt;"&amp;"",Başvuru!$F:$F,"&lt;&gt;"&amp;""))</f>
        <v>0</v>
      </c>
      <c r="O39" s="168">
        <f>IF(C39="","",COUNTIFS(Başvuru!$D:$D,C39,Başvuru!$L:$L,"KAPSAM DIŞI",Başvuru!$A:$A,"&lt;&gt;"&amp;"",Başvuru!$F:$F,"&lt;&gt;"&amp;""))</f>
        <v>0</v>
      </c>
      <c r="P39" s="169">
        <f>IF(C39="","",COUNTIFS(Başvuru!$D:$D,C39,Başvuru!$L:$L,"GERİ ÇEKİLDİ",Başvuru!$A:$A,"&lt;&gt;"&amp;"",Başvuru!$F:$F,"&lt;&gt;"&amp;""))</f>
        <v>0</v>
      </c>
      <c r="Q39" s="170" t="str">
        <f>IFERROR(INDEX(Başvuru!$D$2:$D$1851,MATCH(34,Başvuru!$Z$2:$Z$1851,0)),"")</f>
        <v>Üroloji Anabilim Dalı</v>
      </c>
      <c r="R39" s="171">
        <f>IF(Q39="","",COUNTIFS(Başvuru!$D:$D,Q39,Başvuru!$A:$A,"&lt;&gt;"&amp;"",Başvuru!$F:$F,"&lt;&gt;"&amp;""))</f>
        <v>13</v>
      </c>
      <c r="S39" s="171">
        <f>IF(R39="","",RANK(R39,$R$6:$R$155,0)+COUNTIF($R$6:R39,R39)-1)</f>
        <v>14</v>
      </c>
    </row>
    <row r="40" spans="2:19" x14ac:dyDescent="0.25">
      <c r="B40" s="159">
        <v>35</v>
      </c>
      <c r="C40" s="160" t="str">
        <f>IFERROR(INDEX($Q$6:$Q$155,MATCH(35,$S$6:$S$155,0)),"")</f>
        <v>Göğüs Cerrahisi Anabilim Dalı</v>
      </c>
      <c r="D40" s="161">
        <f>IF(C40="","",COUNTIFS(Başvuru!$D:$D,C40,Başvuru!$A:$A,"&lt;&gt;"&amp;"",Başvuru!$F:$F,"&lt;&gt;"&amp;""))</f>
        <v>5</v>
      </c>
      <c r="E40" s="159" t="str">
        <f>IF(C40="","-",IF(D40&gt;0,TEXT(D40/(COUNTIFS(Başvuru!$A:$A,"&lt;&gt;",Başvuru!$F:$F,"&lt;&gt;")-1)*100,"0.0")&amp;"%","-"))</f>
        <v>01%</v>
      </c>
      <c r="F40" s="162">
        <f>IF(C40="","",COUNTIFS(Başvuru!$D:$D,C40,Başvuru!$G:$G,"Bireysel Araştırma",Başvuru!$A:$A,"&lt;&gt;"&amp;"",Başvuru!$F:$F,"&lt;&gt;"&amp;""))</f>
        <v>5</v>
      </c>
      <c r="G40" s="162">
        <f>IF(C40="","",COUNTIFS(Başvuru!$D:$D,C40,Başvuru!$G:$G,"Uzmanlık Tezi",Başvuru!$A:$A,"&lt;&gt;"&amp;"",Başvuru!$F:$F,"&lt;&gt;"&amp;""))</f>
        <v>0</v>
      </c>
      <c r="H40" s="162">
        <f>IF(C40="","",COUNTIFS(Başvuru!$D:$D,C40,Başvuru!$G:$G,"Doktora Tezi",Başvuru!$A:$A,"&lt;&gt;"&amp;"",Başvuru!$F:$F,"&lt;&gt;"&amp;""))</f>
        <v>0</v>
      </c>
      <c r="I40" s="162">
        <f>IF(C40="","",COUNTIFS(Başvuru!$D:$D,C40,Başvuru!$G:$G,"Yüksek Lisans Tezi",Başvuru!$A:$A,"&lt;&gt;"&amp;"",Başvuru!$F:$F,"&lt;&gt;"&amp;""))</f>
        <v>0</v>
      </c>
      <c r="J40" s="163">
        <f>IF(C40="","",COUNTIFS(Başvuru!$D:$D,C40,Başvuru!$L:$L,"ONAY",Başvuru!$A:$A,"&lt;&gt;"&amp;"",Başvuru!$F:$F,"&lt;&gt;"&amp;""))</f>
        <v>4</v>
      </c>
      <c r="K40" s="164">
        <f>IF(C40="","",COUNTIFS(Başvuru!$D:$D,C40,Başvuru!$L:$L,"DÜZELTME",Başvuru!$A:$A,"&lt;&gt;"&amp;"",Başvuru!$F:$F,"&lt;&gt;"&amp;""))</f>
        <v>1</v>
      </c>
      <c r="L40" s="165">
        <f>IF(C40="","",COUNTIFS(Başvuru!$D:$D,C40,Başvuru!$L:$L,"KAEK",Başvuru!$A:$A,"&lt;&gt;"&amp;"",Başvuru!$F:$F,"&lt;&gt;"&amp;""))</f>
        <v>0</v>
      </c>
      <c r="M40" s="166">
        <f>IF(C40="","",COUNTIFS(Başvuru!$D:$D,C40,Başvuru!$L:$L,"GÖRÜŞ",Başvuru!$A:$A,"&lt;&gt;"&amp;"",Başvuru!$F:$F,"&lt;&gt;"&amp;""))</f>
        <v>0</v>
      </c>
      <c r="N40" s="167">
        <f>IF(C40="","",COUNTIFS(Başvuru!$D:$D,C40,Başvuru!$L:$L,"RET",Başvuru!$A:$A,"&lt;&gt;"&amp;"",Başvuru!$F:$F,"&lt;&gt;"&amp;""))</f>
        <v>0</v>
      </c>
      <c r="O40" s="168">
        <f>IF(C40="","",COUNTIFS(Başvuru!$D:$D,C40,Başvuru!$L:$L,"KAPSAM DIŞI",Başvuru!$A:$A,"&lt;&gt;"&amp;"",Başvuru!$F:$F,"&lt;&gt;"&amp;""))</f>
        <v>0</v>
      </c>
      <c r="P40" s="169">
        <f>IF(C40="","",COUNTIFS(Başvuru!$D:$D,C40,Başvuru!$L:$L,"GERİ ÇEKİLDİ",Başvuru!$A:$A,"&lt;&gt;"&amp;"",Başvuru!$F:$F,"&lt;&gt;"&amp;""))</f>
        <v>0</v>
      </c>
      <c r="Q40" s="170" t="str">
        <f>IFERROR(INDEX(Başvuru!$D$2:$D$1851,MATCH(35,Başvuru!$Z$2:$Z$1851,0)),"")</f>
        <v>Protetik Diş Tedavisi Anabilim Dalı</v>
      </c>
      <c r="R40" s="171">
        <f>IF(Q40="","",COUNTIFS(Başvuru!$D:$D,Q40,Başvuru!$A:$A,"&lt;&gt;"&amp;"",Başvuru!$F:$F,"&lt;&gt;"&amp;""))</f>
        <v>6</v>
      </c>
      <c r="S40" s="171">
        <f>IF(R40="","",RANK(R40,$R$6:$R$155,0)+COUNTIF($R$6:R40,R40)-1)</f>
        <v>30</v>
      </c>
    </row>
    <row r="41" spans="2:19" x14ac:dyDescent="0.25">
      <c r="B41" s="159">
        <v>36</v>
      </c>
      <c r="C41" s="160" t="str">
        <f>IFERROR(INDEX($Q$6:$Q$155,MATCH(36,$S$6:$S$155,0)),"")</f>
        <v>Halk Sağlığı Anabilim Dalı</v>
      </c>
      <c r="D41" s="161">
        <f>IF(C41="","",COUNTIFS(Başvuru!$D:$D,C41,Başvuru!$A:$A,"&lt;&gt;"&amp;"",Başvuru!$F:$F,"&lt;&gt;"&amp;""))</f>
        <v>5</v>
      </c>
      <c r="E41" s="159" t="str">
        <f>IF(C41="","-",IF(D41&gt;0,TEXT(D41/(COUNTIFS(Başvuru!$A:$A,"&lt;&gt;",Başvuru!$F:$F,"&lt;&gt;")-1)*100,"0.0")&amp;"%","-"))</f>
        <v>01%</v>
      </c>
      <c r="F41" s="162">
        <f>IF(C41="","",COUNTIFS(Başvuru!$D:$D,C41,Başvuru!$G:$G,"Bireysel Araştırma",Başvuru!$A:$A,"&lt;&gt;"&amp;"",Başvuru!$F:$F,"&lt;&gt;"&amp;""))</f>
        <v>2</v>
      </c>
      <c r="G41" s="162">
        <f>IF(C41="","",COUNTIFS(Başvuru!$D:$D,C41,Başvuru!$G:$G,"Uzmanlık Tezi",Başvuru!$A:$A,"&lt;&gt;"&amp;"",Başvuru!$F:$F,"&lt;&gt;"&amp;""))</f>
        <v>2</v>
      </c>
      <c r="H41" s="162">
        <f>IF(C41="","",COUNTIFS(Başvuru!$D:$D,C41,Başvuru!$G:$G,"Doktora Tezi",Başvuru!$A:$A,"&lt;&gt;"&amp;"",Başvuru!$F:$F,"&lt;&gt;"&amp;""))</f>
        <v>1</v>
      </c>
      <c r="I41" s="162">
        <f>IF(C41="","",COUNTIFS(Başvuru!$D:$D,C41,Başvuru!$G:$G,"Yüksek Lisans Tezi",Başvuru!$A:$A,"&lt;&gt;"&amp;"",Başvuru!$F:$F,"&lt;&gt;"&amp;""))</f>
        <v>0</v>
      </c>
      <c r="J41" s="163">
        <f>IF(C41="","",COUNTIFS(Başvuru!$D:$D,C41,Başvuru!$L:$L,"ONAY",Başvuru!$A:$A,"&lt;&gt;"&amp;"",Başvuru!$F:$F,"&lt;&gt;"&amp;""))</f>
        <v>5</v>
      </c>
      <c r="K41" s="164">
        <f>IF(C41="","",COUNTIFS(Başvuru!$D:$D,C41,Başvuru!$L:$L,"DÜZELTME",Başvuru!$A:$A,"&lt;&gt;"&amp;"",Başvuru!$F:$F,"&lt;&gt;"&amp;""))</f>
        <v>0</v>
      </c>
      <c r="L41" s="165">
        <f>IF(C41="","",COUNTIFS(Başvuru!$D:$D,C41,Başvuru!$L:$L,"KAEK",Başvuru!$A:$A,"&lt;&gt;"&amp;"",Başvuru!$F:$F,"&lt;&gt;"&amp;""))</f>
        <v>0</v>
      </c>
      <c r="M41" s="166">
        <f>IF(C41="","",COUNTIFS(Başvuru!$D:$D,C41,Başvuru!$L:$L,"GÖRÜŞ",Başvuru!$A:$A,"&lt;&gt;"&amp;"",Başvuru!$F:$F,"&lt;&gt;"&amp;""))</f>
        <v>0</v>
      </c>
      <c r="N41" s="167">
        <f>IF(C41="","",COUNTIFS(Başvuru!$D:$D,C41,Başvuru!$L:$L,"RET",Başvuru!$A:$A,"&lt;&gt;"&amp;"",Başvuru!$F:$F,"&lt;&gt;"&amp;""))</f>
        <v>0</v>
      </c>
      <c r="O41" s="168">
        <f>IF(C41="","",COUNTIFS(Başvuru!$D:$D,C41,Başvuru!$L:$L,"KAPSAM DIŞI",Başvuru!$A:$A,"&lt;&gt;"&amp;"",Başvuru!$F:$F,"&lt;&gt;"&amp;""))</f>
        <v>0</v>
      </c>
      <c r="P41" s="169">
        <f>IF(C41="","",COUNTIFS(Başvuru!$D:$D,C41,Başvuru!$L:$L,"GERİ ÇEKİLDİ",Başvuru!$A:$A,"&lt;&gt;"&amp;"",Başvuru!$F:$F,"&lt;&gt;"&amp;""))</f>
        <v>0</v>
      </c>
      <c r="Q41" s="170" t="str">
        <f>IFERROR(INDEX(Başvuru!$D$2:$D$1851,MATCH(36,Başvuru!$Z$2:$Z$1851,0)),"")</f>
        <v>Ruh Sağlığı ve Hastalıkları Anabilim Dalı</v>
      </c>
      <c r="R41" s="171">
        <f>IF(Q41="","",COUNTIFS(Başvuru!$D:$D,Q41,Başvuru!$A:$A,"&lt;&gt;"&amp;"",Başvuru!$F:$F,"&lt;&gt;"&amp;""))</f>
        <v>8</v>
      </c>
      <c r="S41" s="171">
        <f>IF(R41="","",RANK(R41,$R$6:$R$155,0)+COUNTIF($R$6:R41,R41)-1)</f>
        <v>25</v>
      </c>
    </row>
    <row r="42" spans="2:19" x14ac:dyDescent="0.25">
      <c r="B42" s="159">
        <v>37</v>
      </c>
      <c r="C42" s="160" t="str">
        <f>IFERROR(INDEX($Q$6:$Q$155,MATCH(37,$S$6:$S$155,0)),"")</f>
        <v>Spor Hekimliği Anabilim Dalı</v>
      </c>
      <c r="D42" s="161">
        <f>IF(C42="","",COUNTIFS(Başvuru!$D:$D,C42,Başvuru!$A:$A,"&lt;&gt;"&amp;"",Başvuru!$F:$F,"&lt;&gt;"&amp;""))</f>
        <v>4</v>
      </c>
      <c r="E42" s="159" t="str">
        <f>IF(C42="","-",IF(D42&gt;0,TEXT(D42/(COUNTIFS(Başvuru!$A:$A,"&lt;&gt;",Başvuru!$F:$F,"&lt;&gt;")-1)*100,"0.0")&amp;"%","-"))</f>
        <v>01%</v>
      </c>
      <c r="F42" s="162">
        <f>IF(C42="","",COUNTIFS(Başvuru!$D:$D,C42,Başvuru!$G:$G,"Bireysel Araştırma",Başvuru!$A:$A,"&lt;&gt;"&amp;"",Başvuru!$F:$F,"&lt;&gt;"&amp;""))</f>
        <v>4</v>
      </c>
      <c r="G42" s="162">
        <f>IF(C42="","",COUNTIFS(Başvuru!$D:$D,C42,Başvuru!$G:$G,"Uzmanlık Tezi",Başvuru!$A:$A,"&lt;&gt;"&amp;"",Başvuru!$F:$F,"&lt;&gt;"&amp;""))</f>
        <v>0</v>
      </c>
      <c r="H42" s="162">
        <f>IF(C42="","",COUNTIFS(Başvuru!$D:$D,C42,Başvuru!$G:$G,"Doktora Tezi",Başvuru!$A:$A,"&lt;&gt;"&amp;"",Başvuru!$F:$F,"&lt;&gt;"&amp;""))</f>
        <v>0</v>
      </c>
      <c r="I42" s="162">
        <f>IF(C42="","",COUNTIFS(Başvuru!$D:$D,C42,Başvuru!$G:$G,"Yüksek Lisans Tezi",Başvuru!$A:$A,"&lt;&gt;"&amp;"",Başvuru!$F:$F,"&lt;&gt;"&amp;""))</f>
        <v>0</v>
      </c>
      <c r="J42" s="163">
        <f>IF(C42="","",COUNTIFS(Başvuru!$D:$D,C42,Başvuru!$L:$L,"ONAY",Başvuru!$A:$A,"&lt;&gt;"&amp;"",Başvuru!$F:$F,"&lt;&gt;"&amp;""))</f>
        <v>3</v>
      </c>
      <c r="K42" s="164">
        <f>IF(C42="","",COUNTIFS(Başvuru!$D:$D,C42,Başvuru!$L:$L,"DÜZELTME",Başvuru!$A:$A,"&lt;&gt;"&amp;"",Başvuru!$F:$F,"&lt;&gt;"&amp;""))</f>
        <v>1</v>
      </c>
      <c r="L42" s="165">
        <f>IF(C42="","",COUNTIFS(Başvuru!$D:$D,C42,Başvuru!$L:$L,"KAEK",Başvuru!$A:$A,"&lt;&gt;"&amp;"",Başvuru!$F:$F,"&lt;&gt;"&amp;""))</f>
        <v>0</v>
      </c>
      <c r="M42" s="166">
        <f>IF(C42="","",COUNTIFS(Başvuru!$D:$D,C42,Başvuru!$L:$L,"GÖRÜŞ",Başvuru!$A:$A,"&lt;&gt;"&amp;"",Başvuru!$F:$F,"&lt;&gt;"&amp;""))</f>
        <v>0</v>
      </c>
      <c r="N42" s="167">
        <f>IF(C42="","",COUNTIFS(Başvuru!$D:$D,C42,Başvuru!$L:$L,"RET",Başvuru!$A:$A,"&lt;&gt;"&amp;"",Başvuru!$F:$F,"&lt;&gt;"&amp;""))</f>
        <v>0</v>
      </c>
      <c r="O42" s="168">
        <f>IF(C42="","",COUNTIFS(Başvuru!$D:$D,C42,Başvuru!$L:$L,"KAPSAM DIŞI",Başvuru!$A:$A,"&lt;&gt;"&amp;"",Başvuru!$F:$F,"&lt;&gt;"&amp;""))</f>
        <v>0</v>
      </c>
      <c r="P42" s="169">
        <f>IF(C42="","",COUNTIFS(Başvuru!$D:$D,C42,Başvuru!$L:$L,"GERİ ÇEKİLDİ",Başvuru!$A:$A,"&lt;&gt;"&amp;"",Başvuru!$F:$F,"&lt;&gt;"&amp;""))</f>
        <v>0</v>
      </c>
      <c r="Q42" s="170" t="str">
        <f>IFERROR(INDEX(Başvuru!$D$2:$D$1851,MATCH(37,Başvuru!$Z$2:$Z$1851,0)),"")</f>
        <v>Barcelona Institute for Global Health</v>
      </c>
      <c r="R42" s="171">
        <f>IF(Q42="","",COUNTIFS(Başvuru!$D:$D,Q42,Başvuru!$A:$A,"&lt;&gt;"&amp;"",Başvuru!$F:$F,"&lt;&gt;"&amp;""))</f>
        <v>1</v>
      </c>
      <c r="S42" s="171">
        <f>IF(R42="","",RANK(R42,$R$6:$R$155,0)+COUNTIF($R$6:R42,R42)-1)</f>
        <v>62</v>
      </c>
    </row>
    <row r="43" spans="2:19" x14ac:dyDescent="0.25">
      <c r="B43" s="159">
        <v>38</v>
      </c>
      <c r="C43" s="160" t="str">
        <f>IFERROR(INDEX($Q$6:$Q$155,MATCH(38,$S$6:$S$155,0)),"")</f>
        <v>Kök Hücre Bilimleri Anabilim Dalı</v>
      </c>
      <c r="D43" s="161">
        <f>IF(C43="","",COUNTIFS(Başvuru!$D:$D,C43,Başvuru!$A:$A,"&lt;&gt;"&amp;"",Başvuru!$F:$F,"&lt;&gt;"&amp;""))</f>
        <v>4</v>
      </c>
      <c r="E43" s="159" t="str">
        <f>IF(C43="","-",IF(D43&gt;0,TEXT(D43/(COUNTIFS(Başvuru!$A:$A,"&lt;&gt;",Başvuru!$F:$F,"&lt;&gt;")-1)*100,"0.0")&amp;"%","-"))</f>
        <v>01%</v>
      </c>
      <c r="F43" s="162">
        <f>IF(C43="","",COUNTIFS(Başvuru!$D:$D,C43,Başvuru!$G:$G,"Bireysel Araştırma",Başvuru!$A:$A,"&lt;&gt;"&amp;"",Başvuru!$F:$F,"&lt;&gt;"&amp;""))</f>
        <v>2</v>
      </c>
      <c r="G43" s="162">
        <f>IF(C43="","",COUNTIFS(Başvuru!$D:$D,C43,Başvuru!$G:$G,"Uzmanlık Tezi",Başvuru!$A:$A,"&lt;&gt;"&amp;"",Başvuru!$F:$F,"&lt;&gt;"&amp;""))</f>
        <v>0</v>
      </c>
      <c r="H43" s="162">
        <f>IF(C43="","",COUNTIFS(Başvuru!$D:$D,C43,Başvuru!$G:$G,"Doktora Tezi",Başvuru!$A:$A,"&lt;&gt;"&amp;"",Başvuru!$F:$F,"&lt;&gt;"&amp;""))</f>
        <v>0</v>
      </c>
      <c r="I43" s="162">
        <f>IF(C43="","",COUNTIFS(Başvuru!$D:$D,C43,Başvuru!$G:$G,"Yüksek Lisans Tezi",Başvuru!$A:$A,"&lt;&gt;"&amp;"",Başvuru!$F:$F,"&lt;&gt;"&amp;""))</f>
        <v>2</v>
      </c>
      <c r="J43" s="163">
        <f>IF(C43="","",COUNTIFS(Başvuru!$D:$D,C43,Başvuru!$L:$L,"ONAY",Başvuru!$A:$A,"&lt;&gt;"&amp;"",Başvuru!$F:$F,"&lt;&gt;"&amp;""))</f>
        <v>4</v>
      </c>
      <c r="K43" s="164">
        <f>IF(C43="","",COUNTIFS(Başvuru!$D:$D,C43,Başvuru!$L:$L,"DÜZELTME",Başvuru!$A:$A,"&lt;&gt;"&amp;"",Başvuru!$F:$F,"&lt;&gt;"&amp;""))</f>
        <v>0</v>
      </c>
      <c r="L43" s="165">
        <f>IF(C43="","",COUNTIFS(Başvuru!$D:$D,C43,Başvuru!$L:$L,"KAEK",Başvuru!$A:$A,"&lt;&gt;"&amp;"",Başvuru!$F:$F,"&lt;&gt;"&amp;""))</f>
        <v>0</v>
      </c>
      <c r="M43" s="166">
        <f>IF(C43="","",COUNTIFS(Başvuru!$D:$D,C43,Başvuru!$L:$L,"GÖRÜŞ",Başvuru!$A:$A,"&lt;&gt;"&amp;"",Başvuru!$F:$F,"&lt;&gt;"&amp;""))</f>
        <v>0</v>
      </c>
      <c r="N43" s="167">
        <f>IF(C43="","",COUNTIFS(Başvuru!$D:$D,C43,Başvuru!$L:$L,"RET",Başvuru!$A:$A,"&lt;&gt;"&amp;"",Başvuru!$F:$F,"&lt;&gt;"&amp;""))</f>
        <v>0</v>
      </c>
      <c r="O43" s="168">
        <f>IF(C43="","",COUNTIFS(Başvuru!$D:$D,C43,Başvuru!$L:$L,"KAPSAM DIŞI",Başvuru!$A:$A,"&lt;&gt;"&amp;"",Başvuru!$F:$F,"&lt;&gt;"&amp;""))</f>
        <v>0</v>
      </c>
      <c r="P43" s="169">
        <f>IF(C43="","",COUNTIFS(Başvuru!$D:$D,C43,Başvuru!$L:$L,"GERİ ÇEKİLDİ",Başvuru!$A:$A,"&lt;&gt;"&amp;"",Başvuru!$F:$F,"&lt;&gt;"&amp;""))</f>
        <v>0</v>
      </c>
      <c r="Q43" s="170" t="str">
        <f>IFERROR(INDEX(Başvuru!$D$2:$D$1851,MATCH(38,Başvuru!$Z$2:$Z$1851,0)),"")</f>
        <v>Sosyal Pediatri Anabilim Dalı</v>
      </c>
      <c r="R43" s="171">
        <f>IF(Q43="","",COUNTIFS(Başvuru!$D:$D,Q43,Başvuru!$A:$A,"&lt;&gt;"&amp;"",Başvuru!$F:$F,"&lt;&gt;"&amp;""))</f>
        <v>1</v>
      </c>
      <c r="S43" s="171">
        <f>IF(R43="","",RANK(R43,$R$6:$R$155,0)+COUNTIF($R$6:R43,R43)-1)</f>
        <v>63</v>
      </c>
    </row>
    <row r="44" spans="2:19" x14ac:dyDescent="0.25">
      <c r="B44" s="159">
        <v>39</v>
      </c>
      <c r="C44" s="160" t="str">
        <f>IFERROR(INDEX($Q$6:$Q$155,MATCH(39,$S$6:$S$155,0)),"")</f>
        <v>Enfeksiyon Hastalıkları ve Klinik Mikrobiyoloji Anabilim Dalı</v>
      </c>
      <c r="D44" s="161">
        <f>IF(C44="","",COUNTIFS(Başvuru!$D:$D,C44,Başvuru!$A:$A,"&lt;&gt;"&amp;"",Başvuru!$F:$F,"&lt;&gt;"&amp;""))</f>
        <v>4</v>
      </c>
      <c r="E44" s="159" t="str">
        <f>IF(C44="","-",IF(D44&gt;0,TEXT(D44/(COUNTIFS(Başvuru!$A:$A,"&lt;&gt;",Başvuru!$F:$F,"&lt;&gt;")-1)*100,"0.0")&amp;"%","-"))</f>
        <v>01%</v>
      </c>
      <c r="F44" s="162">
        <f>IF(C44="","",COUNTIFS(Başvuru!$D:$D,C44,Başvuru!$G:$G,"Bireysel Araştırma",Başvuru!$A:$A,"&lt;&gt;"&amp;"",Başvuru!$F:$F,"&lt;&gt;"&amp;""))</f>
        <v>2</v>
      </c>
      <c r="G44" s="162">
        <f>IF(C44="","",COUNTIFS(Başvuru!$D:$D,C44,Başvuru!$G:$G,"Uzmanlık Tezi",Başvuru!$A:$A,"&lt;&gt;"&amp;"",Başvuru!$F:$F,"&lt;&gt;"&amp;""))</f>
        <v>2</v>
      </c>
      <c r="H44" s="162">
        <f>IF(C44="","",COUNTIFS(Başvuru!$D:$D,C44,Başvuru!$G:$G,"Doktora Tezi",Başvuru!$A:$A,"&lt;&gt;"&amp;"",Başvuru!$F:$F,"&lt;&gt;"&amp;""))</f>
        <v>0</v>
      </c>
      <c r="I44" s="162">
        <f>IF(C44="","",COUNTIFS(Başvuru!$D:$D,C44,Başvuru!$G:$G,"Yüksek Lisans Tezi",Başvuru!$A:$A,"&lt;&gt;"&amp;"",Başvuru!$F:$F,"&lt;&gt;"&amp;""))</f>
        <v>0</v>
      </c>
      <c r="J44" s="163">
        <f>IF(C44="","",COUNTIFS(Başvuru!$D:$D,C44,Başvuru!$L:$L,"ONAY",Başvuru!$A:$A,"&lt;&gt;"&amp;"",Başvuru!$F:$F,"&lt;&gt;"&amp;""))</f>
        <v>4</v>
      </c>
      <c r="K44" s="164">
        <f>IF(C44="","",COUNTIFS(Başvuru!$D:$D,C44,Başvuru!$L:$L,"DÜZELTME",Başvuru!$A:$A,"&lt;&gt;"&amp;"",Başvuru!$F:$F,"&lt;&gt;"&amp;""))</f>
        <v>0</v>
      </c>
      <c r="L44" s="165">
        <f>IF(C44="","",COUNTIFS(Başvuru!$D:$D,C44,Başvuru!$L:$L,"KAEK",Başvuru!$A:$A,"&lt;&gt;"&amp;"",Başvuru!$F:$F,"&lt;&gt;"&amp;""))</f>
        <v>0</v>
      </c>
      <c r="M44" s="166">
        <f>IF(C44="","",COUNTIFS(Başvuru!$D:$D,C44,Başvuru!$L:$L,"GÖRÜŞ",Başvuru!$A:$A,"&lt;&gt;"&amp;"",Başvuru!$F:$F,"&lt;&gt;"&amp;""))</f>
        <v>0</v>
      </c>
      <c r="N44" s="167">
        <f>IF(C44="","",COUNTIFS(Başvuru!$D:$D,C44,Başvuru!$L:$L,"RET",Başvuru!$A:$A,"&lt;&gt;"&amp;"",Başvuru!$F:$F,"&lt;&gt;"&amp;""))</f>
        <v>0</v>
      </c>
      <c r="O44" s="168">
        <f>IF(C44="","",COUNTIFS(Başvuru!$D:$D,C44,Başvuru!$L:$L,"KAPSAM DIŞI",Başvuru!$A:$A,"&lt;&gt;"&amp;"",Başvuru!$F:$F,"&lt;&gt;"&amp;""))</f>
        <v>0</v>
      </c>
      <c r="P44" s="169">
        <f>IF(C44="","",COUNTIFS(Başvuru!$D:$D,C44,Başvuru!$L:$L,"GERİ ÇEKİLDİ",Başvuru!$A:$A,"&lt;&gt;"&amp;"",Başvuru!$F:$F,"&lt;&gt;"&amp;""))</f>
        <v>0</v>
      </c>
      <c r="Q44" s="170" t="str">
        <f>IFERROR(INDEX(Başvuru!$D$2:$D$1851,MATCH(39,Başvuru!$Z$2:$Z$1851,0)),"")</f>
        <v>Ağız, Diş ve Çene Radyolojisi Anabilim Dalı</v>
      </c>
      <c r="R44" s="171">
        <f>IF(Q44="","",COUNTIFS(Başvuru!$D:$D,Q44,Başvuru!$A:$A,"&lt;&gt;"&amp;"",Başvuru!$F:$F,"&lt;&gt;"&amp;""))</f>
        <v>10</v>
      </c>
      <c r="S44" s="171">
        <f>IF(R44="","",RANK(R44,$R$6:$R$155,0)+COUNTIF($R$6:R44,R44)-1)</f>
        <v>21</v>
      </c>
    </row>
    <row r="45" spans="2:19" x14ac:dyDescent="0.25">
      <c r="B45" s="159">
        <v>40</v>
      </c>
      <c r="C45" s="160" t="str">
        <f>IFERROR(INDEX($Q$6:$Q$155,MATCH(40,$S$6:$S$155,0)),"")</f>
        <v>Pedodonti Anabilim Dalı</v>
      </c>
      <c r="D45" s="161">
        <f>IF(C45="","",COUNTIFS(Başvuru!$D:$D,C45,Başvuru!$A:$A,"&lt;&gt;"&amp;"",Başvuru!$F:$F,"&lt;&gt;"&amp;""))</f>
        <v>4</v>
      </c>
      <c r="E45" s="159" t="str">
        <f>IF(C45="","-",IF(D45&gt;0,TEXT(D45/(COUNTIFS(Başvuru!$A:$A,"&lt;&gt;",Başvuru!$F:$F,"&lt;&gt;")-1)*100,"0.0")&amp;"%","-"))</f>
        <v>01%</v>
      </c>
      <c r="F45" s="162">
        <f>IF(C45="","",COUNTIFS(Başvuru!$D:$D,C45,Başvuru!$G:$G,"Bireysel Araştırma",Başvuru!$A:$A,"&lt;&gt;"&amp;"",Başvuru!$F:$F,"&lt;&gt;"&amp;""))</f>
        <v>1</v>
      </c>
      <c r="G45" s="162">
        <f>IF(C45="","",COUNTIFS(Başvuru!$D:$D,C45,Başvuru!$G:$G,"Uzmanlık Tezi",Başvuru!$A:$A,"&lt;&gt;"&amp;"",Başvuru!$F:$F,"&lt;&gt;"&amp;""))</f>
        <v>3</v>
      </c>
      <c r="H45" s="162">
        <f>IF(C45="","",COUNTIFS(Başvuru!$D:$D,C45,Başvuru!$G:$G,"Doktora Tezi",Başvuru!$A:$A,"&lt;&gt;"&amp;"",Başvuru!$F:$F,"&lt;&gt;"&amp;""))</f>
        <v>0</v>
      </c>
      <c r="I45" s="162">
        <f>IF(C45="","",COUNTIFS(Başvuru!$D:$D,C45,Başvuru!$G:$G,"Yüksek Lisans Tezi",Başvuru!$A:$A,"&lt;&gt;"&amp;"",Başvuru!$F:$F,"&lt;&gt;"&amp;""))</f>
        <v>0</v>
      </c>
      <c r="J45" s="163">
        <f>IF(C45="","",COUNTIFS(Başvuru!$D:$D,C45,Başvuru!$L:$L,"ONAY",Başvuru!$A:$A,"&lt;&gt;"&amp;"",Başvuru!$F:$F,"&lt;&gt;"&amp;""))</f>
        <v>3</v>
      </c>
      <c r="K45" s="164">
        <f>IF(C45="","",COUNTIFS(Başvuru!$D:$D,C45,Başvuru!$L:$L,"DÜZELTME",Başvuru!$A:$A,"&lt;&gt;"&amp;"",Başvuru!$F:$F,"&lt;&gt;"&amp;""))</f>
        <v>0</v>
      </c>
      <c r="L45" s="165">
        <f>IF(C45="","",COUNTIFS(Başvuru!$D:$D,C45,Başvuru!$L:$L,"KAEK",Başvuru!$A:$A,"&lt;&gt;"&amp;"",Başvuru!$F:$F,"&lt;&gt;"&amp;""))</f>
        <v>0</v>
      </c>
      <c r="M45" s="166">
        <f>IF(C45="","",COUNTIFS(Başvuru!$D:$D,C45,Başvuru!$L:$L,"GÖRÜŞ",Başvuru!$A:$A,"&lt;&gt;"&amp;"",Başvuru!$F:$F,"&lt;&gt;"&amp;""))</f>
        <v>0</v>
      </c>
      <c r="N45" s="167">
        <f>IF(C45="","",COUNTIFS(Başvuru!$D:$D,C45,Başvuru!$L:$L,"RET",Başvuru!$A:$A,"&lt;&gt;"&amp;"",Başvuru!$F:$F,"&lt;&gt;"&amp;""))</f>
        <v>0</v>
      </c>
      <c r="O45" s="168">
        <f>IF(C45="","",COUNTIFS(Başvuru!$D:$D,C45,Başvuru!$L:$L,"KAPSAM DIŞI",Başvuru!$A:$A,"&lt;&gt;"&amp;"",Başvuru!$F:$F,"&lt;&gt;"&amp;""))</f>
        <v>0</v>
      </c>
      <c r="P45" s="169">
        <f>IF(C45="","",COUNTIFS(Başvuru!$D:$D,C45,Başvuru!$L:$L,"GERİ ÇEKİLDİ",Başvuru!$A:$A,"&lt;&gt;"&amp;"",Başvuru!$F:$F,"&lt;&gt;"&amp;""))</f>
        <v>0</v>
      </c>
      <c r="Q45" s="170" t="str">
        <f>IFERROR(INDEX(Başvuru!$D$2:$D$1851,MATCH(40,Başvuru!$Z$2:$Z$1851,0)),"")</f>
        <v>Farmasötik Toksikoloji Anabilim Dalı</v>
      </c>
      <c r="R45" s="171">
        <f>IF(Q45="","",COUNTIFS(Başvuru!$D:$D,Q45,Başvuru!$A:$A,"&lt;&gt;"&amp;"",Başvuru!$F:$F,"&lt;&gt;"&amp;""))</f>
        <v>2</v>
      </c>
      <c r="S45" s="171">
        <f>IF(R45="","",RANK(R45,$R$6:$R$155,0)+COUNTIF($R$6:R45,R45)-1)</f>
        <v>48</v>
      </c>
    </row>
    <row r="46" spans="2:19" x14ac:dyDescent="0.25">
      <c r="B46" s="159">
        <v>41</v>
      </c>
      <c r="C46" s="160" t="str">
        <f>IFERROR(INDEX($Q$6:$Q$155,MATCH(41,$S$6:$S$155,0)),"")</f>
        <v>Tıp Eğitimi ve Bilişimi Anabilim Dalı</v>
      </c>
      <c r="D46" s="161">
        <f>IF(C46="","",COUNTIFS(Başvuru!$D:$D,C46,Başvuru!$A:$A,"&lt;&gt;"&amp;"",Başvuru!$F:$F,"&lt;&gt;"&amp;""))</f>
        <v>3</v>
      </c>
      <c r="E46" s="159" t="str">
        <f>IF(C46="","-",IF(D46&gt;0,TEXT(D46/(COUNTIFS(Başvuru!$A:$A,"&lt;&gt;",Başvuru!$F:$F,"&lt;&gt;")-1)*100,"0.0")&amp;"%","-"))</f>
        <v>00%</v>
      </c>
      <c r="F46" s="162">
        <f>IF(C46="","",COUNTIFS(Başvuru!$D:$D,C46,Başvuru!$G:$G,"Bireysel Araştırma",Başvuru!$A:$A,"&lt;&gt;"&amp;"",Başvuru!$F:$F,"&lt;&gt;"&amp;""))</f>
        <v>1</v>
      </c>
      <c r="G46" s="162">
        <f>IF(C46="","",COUNTIFS(Başvuru!$D:$D,C46,Başvuru!$G:$G,"Uzmanlık Tezi",Başvuru!$A:$A,"&lt;&gt;"&amp;"",Başvuru!$F:$F,"&lt;&gt;"&amp;""))</f>
        <v>0</v>
      </c>
      <c r="H46" s="162">
        <f>IF(C46="","",COUNTIFS(Başvuru!$D:$D,C46,Başvuru!$G:$G,"Doktora Tezi",Başvuru!$A:$A,"&lt;&gt;"&amp;"",Başvuru!$F:$F,"&lt;&gt;"&amp;""))</f>
        <v>1</v>
      </c>
      <c r="I46" s="162">
        <f>IF(C46="","",COUNTIFS(Başvuru!$D:$D,C46,Başvuru!$G:$G,"Yüksek Lisans Tezi",Başvuru!$A:$A,"&lt;&gt;"&amp;"",Başvuru!$F:$F,"&lt;&gt;"&amp;""))</f>
        <v>1</v>
      </c>
      <c r="J46" s="163">
        <f>IF(C46="","",COUNTIFS(Başvuru!$D:$D,C46,Başvuru!$L:$L,"ONAY",Başvuru!$A:$A,"&lt;&gt;"&amp;"",Başvuru!$F:$F,"&lt;&gt;"&amp;""))</f>
        <v>2</v>
      </c>
      <c r="K46" s="164">
        <f>IF(C46="","",COUNTIFS(Başvuru!$D:$D,C46,Başvuru!$L:$L,"DÜZELTME",Başvuru!$A:$A,"&lt;&gt;"&amp;"",Başvuru!$F:$F,"&lt;&gt;"&amp;""))</f>
        <v>1</v>
      </c>
      <c r="L46" s="165">
        <f>IF(C46="","",COUNTIFS(Başvuru!$D:$D,C46,Başvuru!$L:$L,"KAEK",Başvuru!$A:$A,"&lt;&gt;"&amp;"",Başvuru!$F:$F,"&lt;&gt;"&amp;""))</f>
        <v>0</v>
      </c>
      <c r="M46" s="166">
        <f>IF(C46="","",COUNTIFS(Başvuru!$D:$D,C46,Başvuru!$L:$L,"GÖRÜŞ",Başvuru!$A:$A,"&lt;&gt;"&amp;"",Başvuru!$F:$F,"&lt;&gt;"&amp;""))</f>
        <v>0</v>
      </c>
      <c r="N46" s="167">
        <f>IF(C46="","",COUNTIFS(Başvuru!$D:$D,C46,Başvuru!$L:$L,"RET",Başvuru!$A:$A,"&lt;&gt;"&amp;"",Başvuru!$F:$F,"&lt;&gt;"&amp;""))</f>
        <v>0</v>
      </c>
      <c r="O46" s="168">
        <f>IF(C46="","",COUNTIFS(Başvuru!$D:$D,C46,Başvuru!$L:$L,"KAPSAM DIŞI",Başvuru!$A:$A,"&lt;&gt;"&amp;"",Başvuru!$F:$F,"&lt;&gt;"&amp;""))</f>
        <v>0</v>
      </c>
      <c r="P46" s="169">
        <f>IF(C46="","",COUNTIFS(Başvuru!$D:$D,C46,Başvuru!$L:$L,"GERİ ÇEKİLDİ",Başvuru!$A:$A,"&lt;&gt;"&amp;"",Başvuru!$F:$F,"&lt;&gt;"&amp;""))</f>
        <v>0</v>
      </c>
      <c r="Q46" s="170" t="str">
        <f>IFERROR(INDEX(Başvuru!$D$2:$D$1851,MATCH(41,Başvuru!$Z$2:$Z$1851,0)),"")</f>
        <v>Periodontoloji Anabilim Dalı</v>
      </c>
      <c r="R46" s="171">
        <f>IF(Q46="","",COUNTIFS(Başvuru!$D:$D,Q46,Başvuru!$A:$A,"&lt;&gt;"&amp;"",Başvuru!$F:$F,"&lt;&gt;"&amp;""))</f>
        <v>7</v>
      </c>
      <c r="S46" s="171">
        <f>IF(R46="","",RANK(R46,$R$6:$R$155,0)+COUNTIF($R$6:R46,R46)-1)</f>
        <v>28</v>
      </c>
    </row>
    <row r="47" spans="2:19" x14ac:dyDescent="0.25">
      <c r="B47" s="159">
        <v>42</v>
      </c>
      <c r="C47" s="160" t="str">
        <f>IFERROR(INDEX($Q$6:$Q$155,MATCH(42,$S$6:$S$155,0)),"")</f>
        <v>Pediatrik Temel Bilimler Anabilim Dalı</v>
      </c>
      <c r="D47" s="161">
        <f>IF(C47="","",COUNTIFS(Başvuru!$D:$D,C47,Başvuru!$A:$A,"&lt;&gt;"&amp;"",Başvuru!$F:$F,"&lt;&gt;"&amp;""))</f>
        <v>3</v>
      </c>
      <c r="E47" s="159" t="str">
        <f>IF(C47="","-",IF(D47&gt;0,TEXT(D47/(COUNTIFS(Başvuru!$A:$A,"&lt;&gt;",Başvuru!$F:$F,"&lt;&gt;")-1)*100,"0.0")&amp;"%","-"))</f>
        <v>00%</v>
      </c>
      <c r="F47" s="162">
        <f>IF(C47="","",COUNTIFS(Başvuru!$D:$D,C47,Başvuru!$G:$G,"Bireysel Araştırma",Başvuru!$A:$A,"&lt;&gt;"&amp;"",Başvuru!$F:$F,"&lt;&gt;"&amp;""))</f>
        <v>1</v>
      </c>
      <c r="G47" s="162">
        <f>IF(C47="","",COUNTIFS(Başvuru!$D:$D,C47,Başvuru!$G:$G,"Uzmanlık Tezi",Başvuru!$A:$A,"&lt;&gt;"&amp;"",Başvuru!$F:$F,"&lt;&gt;"&amp;""))</f>
        <v>0</v>
      </c>
      <c r="H47" s="162">
        <f>IF(C47="","",COUNTIFS(Başvuru!$D:$D,C47,Başvuru!$G:$G,"Doktora Tezi",Başvuru!$A:$A,"&lt;&gt;"&amp;"",Başvuru!$F:$F,"&lt;&gt;"&amp;""))</f>
        <v>0</v>
      </c>
      <c r="I47" s="162">
        <f>IF(C47="","",COUNTIFS(Başvuru!$D:$D,C47,Başvuru!$G:$G,"Yüksek Lisans Tezi",Başvuru!$A:$A,"&lt;&gt;"&amp;"",Başvuru!$F:$F,"&lt;&gt;"&amp;""))</f>
        <v>2</v>
      </c>
      <c r="J47" s="163">
        <f>IF(C47="","",COUNTIFS(Başvuru!$D:$D,C47,Başvuru!$L:$L,"ONAY",Başvuru!$A:$A,"&lt;&gt;"&amp;"",Başvuru!$F:$F,"&lt;&gt;"&amp;""))</f>
        <v>0</v>
      </c>
      <c r="K47" s="164">
        <f>IF(C47="","",COUNTIFS(Başvuru!$D:$D,C47,Başvuru!$L:$L,"DÜZELTME",Başvuru!$A:$A,"&lt;&gt;"&amp;"",Başvuru!$F:$F,"&lt;&gt;"&amp;""))</f>
        <v>3</v>
      </c>
      <c r="L47" s="165">
        <f>IF(C47="","",COUNTIFS(Başvuru!$D:$D,C47,Başvuru!$L:$L,"KAEK",Başvuru!$A:$A,"&lt;&gt;"&amp;"",Başvuru!$F:$F,"&lt;&gt;"&amp;""))</f>
        <v>0</v>
      </c>
      <c r="M47" s="166">
        <f>IF(C47="","",COUNTIFS(Başvuru!$D:$D,C47,Başvuru!$L:$L,"GÖRÜŞ",Başvuru!$A:$A,"&lt;&gt;"&amp;"",Başvuru!$F:$F,"&lt;&gt;"&amp;""))</f>
        <v>0</v>
      </c>
      <c r="N47" s="167">
        <f>IF(C47="","",COUNTIFS(Başvuru!$D:$D,C47,Başvuru!$L:$L,"RET",Başvuru!$A:$A,"&lt;&gt;"&amp;"",Başvuru!$F:$F,"&lt;&gt;"&amp;""))</f>
        <v>0</v>
      </c>
      <c r="O47" s="168">
        <f>IF(C47="","",COUNTIFS(Başvuru!$D:$D,C47,Başvuru!$L:$L,"KAPSAM DIŞI",Başvuru!$A:$A,"&lt;&gt;"&amp;"",Başvuru!$F:$F,"&lt;&gt;"&amp;""))</f>
        <v>0</v>
      </c>
      <c r="P47" s="169">
        <f>IF(C47="","",COUNTIFS(Başvuru!$D:$D,C47,Başvuru!$L:$L,"GERİ ÇEKİLDİ",Başvuru!$A:$A,"&lt;&gt;"&amp;"",Başvuru!$F:$F,"&lt;&gt;"&amp;""))</f>
        <v>0</v>
      </c>
      <c r="Q47" s="170" t="str">
        <f>IFERROR(INDEX(Başvuru!$D$2:$D$1851,MATCH(42,Başvuru!$Z$2:$Z$1851,0)),"")</f>
        <v>Sosyal Hizmet Anabilim Dalı</v>
      </c>
      <c r="R47" s="171">
        <f>IF(Q47="","",COUNTIFS(Başvuru!$D:$D,Q47,Başvuru!$A:$A,"&lt;&gt;"&amp;"",Başvuru!$F:$F,"&lt;&gt;"&amp;""))</f>
        <v>6</v>
      </c>
      <c r="S47" s="171">
        <f>IF(R47="","",RANK(R47,$R$6:$R$155,0)+COUNTIF($R$6:R47,R47)-1)</f>
        <v>31</v>
      </c>
    </row>
    <row r="48" spans="2:19" x14ac:dyDescent="0.25">
      <c r="B48" s="159">
        <v>43</v>
      </c>
      <c r="C48" s="160" t="str">
        <f>IFERROR(INDEX($Q$6:$Q$155,MATCH(43,$S$6:$S$155,0)),"")</f>
        <v>Tıbbi Biyokimya Anabilim Dalı</v>
      </c>
      <c r="D48" s="161">
        <f>IF(C48="","",COUNTIFS(Başvuru!$D:$D,C48,Başvuru!$A:$A,"&lt;&gt;"&amp;"",Başvuru!$F:$F,"&lt;&gt;"&amp;""))</f>
        <v>3</v>
      </c>
      <c r="E48" s="159" t="str">
        <f>IF(C48="","-",IF(D48&gt;0,TEXT(D48/(COUNTIFS(Başvuru!$A:$A,"&lt;&gt;",Başvuru!$F:$F,"&lt;&gt;")-1)*100,"0.0")&amp;"%","-"))</f>
        <v>00%</v>
      </c>
      <c r="F48" s="162">
        <f>IF(C48="","",COUNTIFS(Başvuru!$D:$D,C48,Başvuru!$G:$G,"Bireysel Araştırma",Başvuru!$A:$A,"&lt;&gt;"&amp;"",Başvuru!$F:$F,"&lt;&gt;"&amp;""))</f>
        <v>1</v>
      </c>
      <c r="G48" s="162">
        <f>IF(C48="","",COUNTIFS(Başvuru!$D:$D,C48,Başvuru!$G:$G,"Uzmanlık Tezi",Başvuru!$A:$A,"&lt;&gt;"&amp;"",Başvuru!$F:$F,"&lt;&gt;"&amp;""))</f>
        <v>2</v>
      </c>
      <c r="H48" s="162">
        <f>IF(C48="","",COUNTIFS(Başvuru!$D:$D,C48,Başvuru!$G:$G,"Doktora Tezi",Başvuru!$A:$A,"&lt;&gt;"&amp;"",Başvuru!$F:$F,"&lt;&gt;"&amp;""))</f>
        <v>0</v>
      </c>
      <c r="I48" s="162">
        <f>IF(C48="","",COUNTIFS(Başvuru!$D:$D,C48,Başvuru!$G:$G,"Yüksek Lisans Tezi",Başvuru!$A:$A,"&lt;&gt;"&amp;"",Başvuru!$F:$F,"&lt;&gt;"&amp;""))</f>
        <v>0</v>
      </c>
      <c r="J48" s="163">
        <f>IF(C48="","",COUNTIFS(Başvuru!$D:$D,C48,Başvuru!$L:$L,"ONAY",Başvuru!$A:$A,"&lt;&gt;"&amp;"",Başvuru!$F:$F,"&lt;&gt;"&amp;""))</f>
        <v>0</v>
      </c>
      <c r="K48" s="164">
        <f>IF(C48="","",COUNTIFS(Başvuru!$D:$D,C48,Başvuru!$L:$L,"DÜZELTME",Başvuru!$A:$A,"&lt;&gt;"&amp;"",Başvuru!$F:$F,"&lt;&gt;"&amp;""))</f>
        <v>2</v>
      </c>
      <c r="L48" s="165">
        <f>IF(C48="","",COUNTIFS(Başvuru!$D:$D,C48,Başvuru!$L:$L,"KAEK",Başvuru!$A:$A,"&lt;&gt;"&amp;"",Başvuru!$F:$F,"&lt;&gt;"&amp;""))</f>
        <v>0</v>
      </c>
      <c r="M48" s="166">
        <f>IF(C48="","",COUNTIFS(Başvuru!$D:$D,C48,Başvuru!$L:$L,"GÖRÜŞ",Başvuru!$A:$A,"&lt;&gt;"&amp;"",Başvuru!$F:$F,"&lt;&gt;"&amp;""))</f>
        <v>0</v>
      </c>
      <c r="N48" s="167">
        <f>IF(C48="","",COUNTIFS(Başvuru!$D:$D,C48,Başvuru!$L:$L,"RET",Başvuru!$A:$A,"&lt;&gt;"&amp;"",Başvuru!$F:$F,"&lt;&gt;"&amp;""))</f>
        <v>1</v>
      </c>
      <c r="O48" s="168">
        <f>IF(C48="","",COUNTIFS(Başvuru!$D:$D,C48,Başvuru!$L:$L,"KAPSAM DIŞI",Başvuru!$A:$A,"&lt;&gt;"&amp;"",Başvuru!$F:$F,"&lt;&gt;"&amp;""))</f>
        <v>0</v>
      </c>
      <c r="P48" s="169">
        <f>IF(C48="","",COUNTIFS(Başvuru!$D:$D,C48,Başvuru!$L:$L,"GERİ ÇEKİLDİ",Başvuru!$A:$A,"&lt;&gt;"&amp;"",Başvuru!$F:$F,"&lt;&gt;"&amp;""))</f>
        <v>0</v>
      </c>
      <c r="Q48" s="170" t="str">
        <f>IFERROR(INDEX(Başvuru!$D$2:$D$1851,MATCH(43,Başvuru!$Z$2:$Z$1851,0)),"")</f>
        <v>Hareket ve Antrenman Bilimleri Anabilim Dalı</v>
      </c>
      <c r="R48" s="171">
        <f>IF(Q48="","",COUNTIFS(Başvuru!$D:$D,Q48,Başvuru!$A:$A,"&lt;&gt;"&amp;"",Başvuru!$F:$F,"&lt;&gt;"&amp;""))</f>
        <v>6</v>
      </c>
      <c r="S48" s="171">
        <f>IF(R48="","",RANK(R48,$R$6:$R$155,0)+COUNTIF($R$6:R48,R48)-1)</f>
        <v>32</v>
      </c>
    </row>
    <row r="49" spans="2:19" x14ac:dyDescent="0.25">
      <c r="B49" s="159">
        <v>44</v>
      </c>
      <c r="C49" s="160" t="str">
        <f>IFERROR(INDEX($Q$6:$Q$155,MATCH(44,$S$6:$S$155,0)),"")</f>
        <v>Biyofizik Anabilim Dalı</v>
      </c>
      <c r="D49" s="161">
        <f>IF(C49="","",COUNTIFS(Başvuru!$D:$D,C49,Başvuru!$A:$A,"&lt;&gt;"&amp;"",Başvuru!$F:$F,"&lt;&gt;"&amp;""))</f>
        <v>3</v>
      </c>
      <c r="E49" s="159" t="str">
        <f>IF(C49="","-",IF(D49&gt;0,TEXT(D49/(COUNTIFS(Başvuru!$A:$A,"&lt;&gt;",Başvuru!$F:$F,"&lt;&gt;")-1)*100,"0.0")&amp;"%","-"))</f>
        <v>00%</v>
      </c>
      <c r="F49" s="162">
        <f>IF(C49="","",COUNTIFS(Başvuru!$D:$D,C49,Başvuru!$G:$G,"Bireysel Araştırma",Başvuru!$A:$A,"&lt;&gt;"&amp;"",Başvuru!$F:$F,"&lt;&gt;"&amp;""))</f>
        <v>2</v>
      </c>
      <c r="G49" s="162">
        <f>IF(C49="","",COUNTIFS(Başvuru!$D:$D,C49,Başvuru!$G:$G,"Uzmanlık Tezi",Başvuru!$A:$A,"&lt;&gt;"&amp;"",Başvuru!$F:$F,"&lt;&gt;"&amp;""))</f>
        <v>0</v>
      </c>
      <c r="H49" s="162">
        <f>IF(C49="","",COUNTIFS(Başvuru!$D:$D,C49,Başvuru!$G:$G,"Doktora Tezi",Başvuru!$A:$A,"&lt;&gt;"&amp;"",Başvuru!$F:$F,"&lt;&gt;"&amp;""))</f>
        <v>1</v>
      </c>
      <c r="I49" s="162">
        <f>IF(C49="","",COUNTIFS(Başvuru!$D:$D,C49,Başvuru!$G:$G,"Yüksek Lisans Tezi",Başvuru!$A:$A,"&lt;&gt;"&amp;"",Başvuru!$F:$F,"&lt;&gt;"&amp;""))</f>
        <v>0</v>
      </c>
      <c r="J49" s="163">
        <f>IF(C49="","",COUNTIFS(Başvuru!$D:$D,C49,Başvuru!$L:$L,"ONAY",Başvuru!$A:$A,"&lt;&gt;"&amp;"",Başvuru!$F:$F,"&lt;&gt;"&amp;""))</f>
        <v>2</v>
      </c>
      <c r="K49" s="164">
        <f>IF(C49="","",COUNTIFS(Başvuru!$D:$D,C49,Başvuru!$L:$L,"DÜZELTME",Başvuru!$A:$A,"&lt;&gt;"&amp;"",Başvuru!$F:$F,"&lt;&gt;"&amp;""))</f>
        <v>0</v>
      </c>
      <c r="L49" s="165">
        <f>IF(C49="","",COUNTIFS(Başvuru!$D:$D,C49,Başvuru!$L:$L,"KAEK",Başvuru!$A:$A,"&lt;&gt;"&amp;"",Başvuru!$F:$F,"&lt;&gt;"&amp;""))</f>
        <v>0</v>
      </c>
      <c r="M49" s="166">
        <f>IF(C49="","",COUNTIFS(Başvuru!$D:$D,C49,Başvuru!$L:$L,"GÖRÜŞ",Başvuru!$A:$A,"&lt;&gt;"&amp;"",Başvuru!$F:$F,"&lt;&gt;"&amp;""))</f>
        <v>0</v>
      </c>
      <c r="N49" s="167">
        <f>IF(C49="","",COUNTIFS(Başvuru!$D:$D,C49,Başvuru!$L:$L,"RET",Başvuru!$A:$A,"&lt;&gt;"&amp;"",Başvuru!$F:$F,"&lt;&gt;"&amp;""))</f>
        <v>0</v>
      </c>
      <c r="O49" s="168">
        <f>IF(C49="","",COUNTIFS(Başvuru!$D:$D,C49,Başvuru!$L:$L,"KAPSAM DIŞI",Başvuru!$A:$A,"&lt;&gt;"&amp;"",Başvuru!$F:$F,"&lt;&gt;"&amp;""))</f>
        <v>0</v>
      </c>
      <c r="P49" s="169">
        <f>IF(C49="","",COUNTIFS(Başvuru!$D:$D,C49,Başvuru!$L:$L,"GERİ ÇEKİLDİ",Başvuru!$A:$A,"&lt;&gt;"&amp;"",Başvuru!$F:$F,"&lt;&gt;"&amp;""))</f>
        <v>0</v>
      </c>
      <c r="Q49" s="170" t="str">
        <f>IFERROR(INDEX(Başvuru!$D$2:$D$1851,MATCH(44,Başvuru!$Z$2:$Z$1851,0)),"")</f>
        <v>Tıbbi Laboratuvar Teknikleri Programı</v>
      </c>
      <c r="R49" s="171">
        <f>IF(Q49="","",COUNTIFS(Başvuru!$D:$D,Q49,Başvuru!$A:$A,"&lt;&gt;"&amp;"",Başvuru!$F:$F,"&lt;&gt;"&amp;""))</f>
        <v>1</v>
      </c>
      <c r="S49" s="171">
        <f>IF(R49="","",RANK(R49,$R$6:$R$155,0)+COUNTIF($R$6:R49,R49)-1)</f>
        <v>64</v>
      </c>
    </row>
    <row r="50" spans="2:19" x14ac:dyDescent="0.25">
      <c r="B50" s="159">
        <v>45</v>
      </c>
      <c r="C50" s="160" t="str">
        <f>IFERROR(INDEX($Q$6:$Q$155,MATCH(45,$S$6:$S$155,0)),"")</f>
        <v>Beyin ve Sinir Cerrahisi Anabilim Dalı</v>
      </c>
      <c r="D50" s="161">
        <f>IF(C50="","",COUNTIFS(Başvuru!$D:$D,C50,Başvuru!$A:$A,"&lt;&gt;"&amp;"",Başvuru!$F:$F,"&lt;&gt;"&amp;""))</f>
        <v>3</v>
      </c>
      <c r="E50" s="159" t="str">
        <f>IF(C50="","-",IF(D50&gt;0,TEXT(D50/(COUNTIFS(Başvuru!$A:$A,"&lt;&gt;",Başvuru!$F:$F,"&lt;&gt;")-1)*100,"0.0")&amp;"%","-"))</f>
        <v>00%</v>
      </c>
      <c r="F50" s="162">
        <f>IF(C50="","",COUNTIFS(Başvuru!$D:$D,C50,Başvuru!$G:$G,"Bireysel Araştırma",Başvuru!$A:$A,"&lt;&gt;"&amp;"",Başvuru!$F:$F,"&lt;&gt;"&amp;""))</f>
        <v>1</v>
      </c>
      <c r="G50" s="162">
        <f>IF(C50="","",COUNTIFS(Başvuru!$D:$D,C50,Başvuru!$G:$G,"Uzmanlık Tezi",Başvuru!$A:$A,"&lt;&gt;"&amp;"",Başvuru!$F:$F,"&lt;&gt;"&amp;""))</f>
        <v>1</v>
      </c>
      <c r="H50" s="162">
        <f>IF(C50="","",COUNTIFS(Başvuru!$D:$D,C50,Başvuru!$G:$G,"Doktora Tezi",Başvuru!$A:$A,"&lt;&gt;"&amp;"",Başvuru!$F:$F,"&lt;&gt;"&amp;""))</f>
        <v>0</v>
      </c>
      <c r="I50" s="162">
        <f>IF(C50="","",COUNTIFS(Başvuru!$D:$D,C50,Başvuru!$G:$G,"Yüksek Lisans Tezi",Başvuru!$A:$A,"&lt;&gt;"&amp;"",Başvuru!$F:$F,"&lt;&gt;"&amp;""))</f>
        <v>1</v>
      </c>
      <c r="J50" s="163">
        <f>IF(C50="","",COUNTIFS(Başvuru!$D:$D,C50,Başvuru!$L:$L,"ONAY",Başvuru!$A:$A,"&lt;&gt;"&amp;"",Başvuru!$F:$F,"&lt;&gt;"&amp;""))</f>
        <v>2</v>
      </c>
      <c r="K50" s="164">
        <f>IF(C50="","",COUNTIFS(Başvuru!$D:$D,C50,Başvuru!$L:$L,"DÜZELTME",Başvuru!$A:$A,"&lt;&gt;"&amp;"",Başvuru!$F:$F,"&lt;&gt;"&amp;""))</f>
        <v>1</v>
      </c>
      <c r="L50" s="165">
        <f>IF(C50="","",COUNTIFS(Başvuru!$D:$D,C50,Başvuru!$L:$L,"KAEK",Başvuru!$A:$A,"&lt;&gt;"&amp;"",Başvuru!$F:$F,"&lt;&gt;"&amp;""))</f>
        <v>0</v>
      </c>
      <c r="M50" s="166">
        <f>IF(C50="","",COUNTIFS(Başvuru!$D:$D,C50,Başvuru!$L:$L,"GÖRÜŞ",Başvuru!$A:$A,"&lt;&gt;"&amp;"",Başvuru!$F:$F,"&lt;&gt;"&amp;""))</f>
        <v>0</v>
      </c>
      <c r="N50" s="167">
        <f>IF(C50="","",COUNTIFS(Başvuru!$D:$D,C50,Başvuru!$L:$L,"RET",Başvuru!$A:$A,"&lt;&gt;"&amp;"",Başvuru!$F:$F,"&lt;&gt;"&amp;""))</f>
        <v>0</v>
      </c>
      <c r="O50" s="168">
        <f>IF(C50="","",COUNTIFS(Başvuru!$D:$D,C50,Başvuru!$L:$L,"KAPSAM DIŞI",Başvuru!$A:$A,"&lt;&gt;"&amp;"",Başvuru!$F:$F,"&lt;&gt;"&amp;""))</f>
        <v>0</v>
      </c>
      <c r="P50" s="169">
        <f>IF(C50="","",COUNTIFS(Başvuru!$D:$D,C50,Başvuru!$L:$L,"GERİ ÇEKİLDİ",Başvuru!$A:$A,"&lt;&gt;"&amp;"",Başvuru!$F:$F,"&lt;&gt;"&amp;""))</f>
        <v>0</v>
      </c>
      <c r="Q50" s="170" t="str">
        <f>IFERROR(INDEX(Başvuru!$D$2:$D$1851,MATCH(45,Başvuru!$Z$2:$Z$1851,0)),"")</f>
        <v>Pediatrik Temel Bilimler Anabilim Dalı</v>
      </c>
      <c r="R50" s="171">
        <f>IF(Q50="","",COUNTIFS(Başvuru!$D:$D,Q50,Başvuru!$A:$A,"&lt;&gt;"&amp;"",Başvuru!$F:$F,"&lt;&gt;"&amp;""))</f>
        <v>3</v>
      </c>
      <c r="S50" s="171">
        <f>IF(R50="","",RANK(R50,$R$6:$R$155,0)+COUNTIF($R$6:R50,R50)-1)</f>
        <v>42</v>
      </c>
    </row>
    <row r="51" spans="2:19" ht="24" customHeight="1" x14ac:dyDescent="0.25">
      <c r="B51" s="159">
        <v>46</v>
      </c>
      <c r="C51" s="173" t="str">
        <f>IFERROR(INDEX($Q$6:$Q$155,MATCH(46,$S$6:$S$155,0)),"")</f>
        <v>Lokman Hekim Üniversitesi
Sağlık Hizmetleri Meslek Yüksekokulu</v>
      </c>
      <c r="D51" s="161">
        <f>IF(C51="","",COUNTIFS(Başvuru!$D:$D,C51,Başvuru!$A:$A,"&lt;&gt;"&amp;"",Başvuru!$F:$F,"&lt;&gt;"&amp;""))</f>
        <v>2</v>
      </c>
      <c r="E51" s="159" t="str">
        <f>IF(C51="","-",IF(D51&gt;0,TEXT(D51/(COUNTIFS(Başvuru!$A:$A,"&lt;&gt;",Başvuru!$F:$F,"&lt;&gt;")-1)*100,"0.0")&amp;"%","-"))</f>
        <v>00%</v>
      </c>
      <c r="F51" s="162">
        <f>IF(C51="","",COUNTIFS(Başvuru!$D:$D,C51,Başvuru!$G:$G,"Bireysel Araştırma",Başvuru!$A:$A,"&lt;&gt;"&amp;"",Başvuru!$F:$F,"&lt;&gt;"&amp;""))</f>
        <v>0</v>
      </c>
      <c r="G51" s="162">
        <f>IF(C51="","",COUNTIFS(Başvuru!$D:$D,C51,Başvuru!$G:$G,"Uzmanlık Tezi",Başvuru!$A:$A,"&lt;&gt;"&amp;"",Başvuru!$F:$F,"&lt;&gt;"&amp;""))</f>
        <v>0</v>
      </c>
      <c r="H51" s="162">
        <f>IF(C51="","",COUNTIFS(Başvuru!$D:$D,C51,Başvuru!$G:$G,"Doktora Tezi",Başvuru!$A:$A,"&lt;&gt;"&amp;"",Başvuru!$F:$F,"&lt;&gt;"&amp;""))</f>
        <v>1</v>
      </c>
      <c r="I51" s="162">
        <f>IF(C51="","",COUNTIFS(Başvuru!$D:$D,C51,Başvuru!$G:$G,"Yüksek Lisans Tezi",Başvuru!$A:$A,"&lt;&gt;"&amp;"",Başvuru!$F:$F,"&lt;&gt;"&amp;""))</f>
        <v>1</v>
      </c>
      <c r="J51" s="163">
        <f>IF(C51="","",COUNTIFS(Başvuru!$D:$D,C51,Başvuru!$L:$L,"ONAY",Başvuru!$A:$A,"&lt;&gt;"&amp;"",Başvuru!$F:$F,"&lt;&gt;"&amp;""))</f>
        <v>0</v>
      </c>
      <c r="K51" s="164">
        <f>IF(C51="","",COUNTIFS(Başvuru!$D:$D,C51,Başvuru!$L:$L,"DÜZELTME",Başvuru!$A:$A,"&lt;&gt;"&amp;"",Başvuru!$F:$F,"&lt;&gt;"&amp;""))</f>
        <v>1</v>
      </c>
      <c r="L51" s="165">
        <f>IF(C51="","",COUNTIFS(Başvuru!$D:$D,C51,Başvuru!$L:$L,"KAEK",Başvuru!$A:$A,"&lt;&gt;"&amp;"",Başvuru!$F:$F,"&lt;&gt;"&amp;""))</f>
        <v>0</v>
      </c>
      <c r="M51" s="166">
        <f>IF(C51="","",COUNTIFS(Başvuru!$D:$D,C51,Başvuru!$L:$L,"GÖRÜŞ",Başvuru!$A:$A,"&lt;&gt;"&amp;"",Başvuru!$F:$F,"&lt;&gt;"&amp;""))</f>
        <v>0</v>
      </c>
      <c r="N51" s="167">
        <f>IF(C51="","",COUNTIFS(Başvuru!$D:$D,C51,Başvuru!$L:$L,"RET",Başvuru!$A:$A,"&lt;&gt;"&amp;"",Başvuru!$F:$F,"&lt;&gt;"&amp;""))</f>
        <v>1</v>
      </c>
      <c r="O51" s="168">
        <f>IF(C51="","",COUNTIFS(Başvuru!$D:$D,C51,Başvuru!$L:$L,"KAPSAM DIŞI",Başvuru!$A:$A,"&lt;&gt;"&amp;"",Başvuru!$F:$F,"&lt;&gt;"&amp;""))</f>
        <v>0</v>
      </c>
      <c r="P51" s="169">
        <f>IF(C51="","",COUNTIFS(Başvuru!$D:$D,C51,Başvuru!$L:$L,"GERİ ÇEKİLDİ",Başvuru!$A:$A,"&lt;&gt;"&amp;"",Başvuru!$F:$F,"&lt;&gt;"&amp;""))</f>
        <v>0</v>
      </c>
      <c r="Q51" s="170" t="str">
        <f>IFERROR(INDEX(Başvuru!$D$2:$D$1851,MATCH(46,Başvuru!$Z$2:$Z$1851,0)),"")</f>
        <v>Farmasötik Mikrobiyoloji Anabilim Dalı</v>
      </c>
      <c r="R51" s="171">
        <f>IF(Q51="","",COUNTIFS(Başvuru!$D:$D,Q51,Başvuru!$A:$A,"&lt;&gt;"&amp;"",Başvuru!$F:$F,"&lt;&gt;"&amp;""))</f>
        <v>2</v>
      </c>
      <c r="S51" s="171">
        <f>IF(R51="","",RANK(R51,$R$6:$R$155,0)+COUNTIF($R$6:R51,R51)-1)</f>
        <v>49</v>
      </c>
    </row>
    <row r="52" spans="2:19" x14ac:dyDescent="0.25">
      <c r="B52" s="159">
        <v>47</v>
      </c>
      <c r="C52" s="160" t="str">
        <f>IFERROR(INDEX($Q$6:$Q$155,MATCH(47,$S$6:$S$155,0)),"")</f>
        <v>Tıbbi Mikrobiyoloji Anabilim Dalı</v>
      </c>
      <c r="D52" s="161">
        <f>IF(C52="","",COUNTIFS(Başvuru!$D:$D,C52,Başvuru!$A:$A,"&lt;&gt;"&amp;"",Başvuru!$F:$F,"&lt;&gt;"&amp;""))</f>
        <v>2</v>
      </c>
      <c r="E52" s="159" t="str">
        <f>IF(C52="","-",IF(D52&gt;0,TEXT(D52/(COUNTIFS(Başvuru!$A:$A,"&lt;&gt;",Başvuru!$F:$F,"&lt;&gt;")-1)*100,"0.0")&amp;"%","-"))</f>
        <v>00%</v>
      </c>
      <c r="F52" s="162">
        <f>IF(C52="","",COUNTIFS(Başvuru!$D:$D,C52,Başvuru!$G:$G,"Bireysel Araştırma",Başvuru!$A:$A,"&lt;&gt;"&amp;"",Başvuru!$F:$F,"&lt;&gt;"&amp;""))</f>
        <v>1</v>
      </c>
      <c r="G52" s="162">
        <f>IF(C52="","",COUNTIFS(Başvuru!$D:$D,C52,Başvuru!$G:$G,"Uzmanlık Tezi",Başvuru!$A:$A,"&lt;&gt;"&amp;"",Başvuru!$F:$F,"&lt;&gt;"&amp;""))</f>
        <v>0</v>
      </c>
      <c r="H52" s="162">
        <f>IF(C52="","",COUNTIFS(Başvuru!$D:$D,C52,Başvuru!$G:$G,"Doktora Tezi",Başvuru!$A:$A,"&lt;&gt;"&amp;"",Başvuru!$F:$F,"&lt;&gt;"&amp;""))</f>
        <v>1</v>
      </c>
      <c r="I52" s="162">
        <f>IF(C52="","",COUNTIFS(Başvuru!$D:$D,C52,Başvuru!$G:$G,"Yüksek Lisans Tezi",Başvuru!$A:$A,"&lt;&gt;"&amp;"",Başvuru!$F:$F,"&lt;&gt;"&amp;""))</f>
        <v>0</v>
      </c>
      <c r="J52" s="163">
        <f>IF(C52="","",COUNTIFS(Başvuru!$D:$D,C52,Başvuru!$L:$L,"ONAY",Başvuru!$A:$A,"&lt;&gt;"&amp;"",Başvuru!$F:$F,"&lt;&gt;"&amp;""))</f>
        <v>1</v>
      </c>
      <c r="K52" s="164">
        <f>IF(C52="","",COUNTIFS(Başvuru!$D:$D,C52,Başvuru!$L:$L,"DÜZELTME",Başvuru!$A:$A,"&lt;&gt;"&amp;"",Başvuru!$F:$F,"&lt;&gt;"&amp;""))</f>
        <v>1</v>
      </c>
      <c r="L52" s="165">
        <f>IF(C52="","",COUNTIFS(Başvuru!$D:$D,C52,Başvuru!$L:$L,"KAEK",Başvuru!$A:$A,"&lt;&gt;"&amp;"",Başvuru!$F:$F,"&lt;&gt;"&amp;""))</f>
        <v>0</v>
      </c>
      <c r="M52" s="166">
        <f>IF(C52="","",COUNTIFS(Başvuru!$D:$D,C52,Başvuru!$L:$L,"GÖRÜŞ",Başvuru!$A:$A,"&lt;&gt;"&amp;"",Başvuru!$F:$F,"&lt;&gt;"&amp;""))</f>
        <v>0</v>
      </c>
      <c r="N52" s="167">
        <f>IF(C52="","",COUNTIFS(Başvuru!$D:$D,C52,Başvuru!$L:$L,"RET",Başvuru!$A:$A,"&lt;&gt;"&amp;"",Başvuru!$F:$F,"&lt;&gt;"&amp;""))</f>
        <v>0</v>
      </c>
      <c r="O52" s="168">
        <f>IF(C52="","",COUNTIFS(Başvuru!$D:$D,C52,Başvuru!$L:$L,"KAPSAM DIŞI",Başvuru!$A:$A,"&lt;&gt;"&amp;"",Başvuru!$F:$F,"&lt;&gt;"&amp;""))</f>
        <v>0</v>
      </c>
      <c r="P52" s="169">
        <f>IF(C52="","",COUNTIFS(Başvuru!$D:$D,C52,Başvuru!$L:$L,"GERİ ÇEKİLDİ",Başvuru!$A:$A,"&lt;&gt;"&amp;"",Başvuru!$F:$F,"&lt;&gt;"&amp;""))</f>
        <v>0</v>
      </c>
      <c r="Q52" s="170" t="str">
        <f>IFERROR(INDEX(Başvuru!$D$2:$D$1851,MATCH(47,Başvuru!$Z$2:$Z$1851,0)),"")</f>
        <v>Biyoinformatik Anabilim Dalı</v>
      </c>
      <c r="R52" s="171">
        <f>IF(Q52="","",COUNTIFS(Başvuru!$D:$D,Q52,Başvuru!$A:$A,"&lt;&gt;"&amp;"",Başvuru!$F:$F,"&lt;&gt;"&amp;""))</f>
        <v>1</v>
      </c>
      <c r="S52" s="171">
        <f>IF(R52="","",RANK(R52,$R$6:$R$155,0)+COUNTIF($R$6:R52,R52)-1)</f>
        <v>65</v>
      </c>
    </row>
    <row r="53" spans="2:19" ht="33.75" customHeight="1" x14ac:dyDescent="0.25">
      <c r="B53" s="159">
        <v>48</v>
      </c>
      <c r="C53" s="160" t="str">
        <f>IFERROR(INDEX($Q$6:$Q$155,MATCH(48,$S$6:$S$155,0)),"")</f>
        <v>Farmasötik Toksikoloji Anabilim Dalı</v>
      </c>
      <c r="D53" s="161">
        <f>IF(C53="","",COUNTIFS(Başvuru!$D:$D,C53,Başvuru!$A:$A,"&lt;&gt;"&amp;"",Başvuru!$F:$F,"&lt;&gt;"&amp;""))</f>
        <v>2</v>
      </c>
      <c r="E53" s="159" t="str">
        <f>IF(C53="","-",IF(D53&gt;0,TEXT(D53/(COUNTIFS(Başvuru!$A:$A,"&lt;&gt;",Başvuru!$F:$F,"&lt;&gt;")-1)*100,"0.0")&amp;"%","-"))</f>
        <v>00%</v>
      </c>
      <c r="F53" s="162">
        <f>IF(C53="","",COUNTIFS(Başvuru!$D:$D,C53,Başvuru!$G:$G,"Bireysel Araştırma",Başvuru!$A:$A,"&lt;&gt;"&amp;"",Başvuru!$F:$F,"&lt;&gt;"&amp;""))</f>
        <v>1</v>
      </c>
      <c r="G53" s="162">
        <f>IF(C53="","",COUNTIFS(Başvuru!$D:$D,C53,Başvuru!$G:$G,"Uzmanlık Tezi",Başvuru!$A:$A,"&lt;&gt;"&amp;"",Başvuru!$F:$F,"&lt;&gt;"&amp;""))</f>
        <v>0</v>
      </c>
      <c r="H53" s="162">
        <f>IF(C53="","",COUNTIFS(Başvuru!$D:$D,C53,Başvuru!$G:$G,"Doktora Tezi",Başvuru!$A:$A,"&lt;&gt;"&amp;"",Başvuru!$F:$F,"&lt;&gt;"&amp;""))</f>
        <v>1</v>
      </c>
      <c r="I53" s="162">
        <f>IF(C53="","",COUNTIFS(Başvuru!$D:$D,C53,Başvuru!$G:$G,"Yüksek Lisans Tezi",Başvuru!$A:$A,"&lt;&gt;"&amp;"",Başvuru!$F:$F,"&lt;&gt;"&amp;""))</f>
        <v>0</v>
      </c>
      <c r="J53" s="163">
        <f>IF(C53="","",COUNTIFS(Başvuru!$D:$D,C53,Başvuru!$L:$L,"ONAY",Başvuru!$A:$A,"&lt;&gt;"&amp;"",Başvuru!$F:$F,"&lt;&gt;"&amp;""))</f>
        <v>0</v>
      </c>
      <c r="K53" s="164">
        <f>IF(C53="","",COUNTIFS(Başvuru!$D:$D,C53,Başvuru!$L:$L,"DÜZELTME",Başvuru!$A:$A,"&lt;&gt;"&amp;"",Başvuru!$F:$F,"&lt;&gt;"&amp;""))</f>
        <v>1</v>
      </c>
      <c r="L53" s="165">
        <f>IF(C53="","",COUNTIFS(Başvuru!$D:$D,C53,Başvuru!$L:$L,"KAEK",Başvuru!$A:$A,"&lt;&gt;"&amp;"",Başvuru!$F:$F,"&lt;&gt;"&amp;""))</f>
        <v>0</v>
      </c>
      <c r="M53" s="166">
        <f>IF(C53="","",COUNTIFS(Başvuru!$D:$D,C53,Başvuru!$L:$L,"GÖRÜŞ",Başvuru!$A:$A,"&lt;&gt;"&amp;"",Başvuru!$F:$F,"&lt;&gt;"&amp;""))</f>
        <v>1</v>
      </c>
      <c r="N53" s="167">
        <f>IF(C53="","",COUNTIFS(Başvuru!$D:$D,C53,Başvuru!$L:$L,"RET",Başvuru!$A:$A,"&lt;&gt;"&amp;"",Başvuru!$F:$F,"&lt;&gt;"&amp;""))</f>
        <v>0</v>
      </c>
      <c r="O53" s="168">
        <f>IF(C53="","",COUNTIFS(Başvuru!$D:$D,C53,Başvuru!$L:$L,"KAPSAM DIŞI",Başvuru!$A:$A,"&lt;&gt;"&amp;"",Başvuru!$F:$F,"&lt;&gt;"&amp;""))</f>
        <v>0</v>
      </c>
      <c r="P53" s="169">
        <f>IF(C53="","",COUNTIFS(Başvuru!$D:$D,C53,Başvuru!$L:$L,"GERİ ÇEKİLDİ",Başvuru!$A:$A,"&lt;&gt;"&amp;"",Başvuru!$F:$F,"&lt;&gt;"&amp;""))</f>
        <v>0</v>
      </c>
      <c r="Q53" s="172" t="str">
        <f>IFERROR(INDEX(Başvuru!$D$2:$D$1851,MATCH(48,Başvuru!$Z$2:$Z$1851,0)),"")</f>
        <v>Gülhane Sağlık Bilimleri Üniversitesi
Hemşirelik Fakültesi
Doğum ve Kadın Hastalıkları Hemşireliği Anabilim Dalı</v>
      </c>
      <c r="R53" s="171">
        <f>IF(Q53="","",COUNTIFS(Başvuru!$D:$D,Q53,Başvuru!$A:$A,"&lt;&gt;"&amp;"",Başvuru!$F:$F,"&lt;&gt;"&amp;""))</f>
        <v>2</v>
      </c>
      <c r="S53" s="171">
        <f>IF(R53="","",RANK(R53,$R$6:$R$155,0)+COUNTIF($R$6:R53,R53)-1)</f>
        <v>50</v>
      </c>
    </row>
    <row r="54" spans="2:19" x14ac:dyDescent="0.25">
      <c r="B54" s="159">
        <v>49</v>
      </c>
      <c r="C54" s="160" t="str">
        <f>IFERROR(INDEX($Q$6:$Q$155,MATCH(49,$S$6:$S$155,0)),"")</f>
        <v>Farmasötik Mikrobiyoloji Anabilim Dalı</v>
      </c>
      <c r="D54" s="161">
        <f>IF(C54="","",COUNTIFS(Başvuru!$D:$D,C54,Başvuru!$A:$A,"&lt;&gt;"&amp;"",Başvuru!$F:$F,"&lt;&gt;"&amp;""))</f>
        <v>2</v>
      </c>
      <c r="E54" s="159" t="str">
        <f>IF(C54="","-",IF(D54&gt;0,TEXT(D54/(COUNTIFS(Başvuru!$A:$A,"&lt;&gt;",Başvuru!$F:$F,"&lt;&gt;")-1)*100,"0.0")&amp;"%","-"))</f>
        <v>00%</v>
      </c>
      <c r="F54" s="162">
        <f>IF(C54="","",COUNTIFS(Başvuru!$D:$D,C54,Başvuru!$G:$G,"Bireysel Araştırma",Başvuru!$A:$A,"&lt;&gt;"&amp;"",Başvuru!$F:$F,"&lt;&gt;"&amp;""))</f>
        <v>1</v>
      </c>
      <c r="G54" s="162">
        <f>IF(C54="","",COUNTIFS(Başvuru!$D:$D,C54,Başvuru!$G:$G,"Uzmanlık Tezi",Başvuru!$A:$A,"&lt;&gt;"&amp;"",Başvuru!$F:$F,"&lt;&gt;"&amp;""))</f>
        <v>0</v>
      </c>
      <c r="H54" s="162">
        <f>IF(C54="","",COUNTIFS(Başvuru!$D:$D,C54,Başvuru!$G:$G,"Doktora Tezi",Başvuru!$A:$A,"&lt;&gt;"&amp;"",Başvuru!$F:$F,"&lt;&gt;"&amp;""))</f>
        <v>1</v>
      </c>
      <c r="I54" s="162">
        <f>IF(C54="","",COUNTIFS(Başvuru!$D:$D,C54,Başvuru!$G:$G,"Yüksek Lisans Tezi",Başvuru!$A:$A,"&lt;&gt;"&amp;"",Başvuru!$F:$F,"&lt;&gt;"&amp;""))</f>
        <v>0</v>
      </c>
      <c r="J54" s="163">
        <f>IF(C54="","",COUNTIFS(Başvuru!$D:$D,C54,Başvuru!$L:$L,"ONAY",Başvuru!$A:$A,"&lt;&gt;"&amp;"",Başvuru!$F:$F,"&lt;&gt;"&amp;""))</f>
        <v>0</v>
      </c>
      <c r="K54" s="164">
        <f>IF(C54="","",COUNTIFS(Başvuru!$D:$D,C54,Başvuru!$L:$L,"DÜZELTME",Başvuru!$A:$A,"&lt;&gt;"&amp;"",Başvuru!$F:$F,"&lt;&gt;"&amp;""))</f>
        <v>2</v>
      </c>
      <c r="L54" s="165">
        <f>IF(C54="","",COUNTIFS(Başvuru!$D:$D,C54,Başvuru!$L:$L,"KAEK",Başvuru!$A:$A,"&lt;&gt;"&amp;"",Başvuru!$F:$F,"&lt;&gt;"&amp;""))</f>
        <v>0</v>
      </c>
      <c r="M54" s="166">
        <f>IF(C54="","",COUNTIFS(Başvuru!$D:$D,C54,Başvuru!$L:$L,"GÖRÜŞ",Başvuru!$A:$A,"&lt;&gt;"&amp;"",Başvuru!$F:$F,"&lt;&gt;"&amp;""))</f>
        <v>0</v>
      </c>
      <c r="N54" s="167">
        <f>IF(C54="","",COUNTIFS(Başvuru!$D:$D,C54,Başvuru!$L:$L,"RET",Başvuru!$A:$A,"&lt;&gt;"&amp;"",Başvuru!$F:$F,"&lt;&gt;"&amp;""))</f>
        <v>0</v>
      </c>
      <c r="O54" s="168">
        <f>IF(C54="","",COUNTIFS(Başvuru!$D:$D,C54,Başvuru!$L:$L,"KAPSAM DIŞI",Başvuru!$A:$A,"&lt;&gt;"&amp;"",Başvuru!$F:$F,"&lt;&gt;"&amp;""))</f>
        <v>0</v>
      </c>
      <c r="P54" s="169">
        <f>IF(C54="","",COUNTIFS(Başvuru!$D:$D,C54,Başvuru!$L:$L,"GERİ ÇEKİLDİ",Başvuru!$A:$A,"&lt;&gt;"&amp;"",Başvuru!$F:$F,"&lt;&gt;"&amp;""))</f>
        <v>0</v>
      </c>
      <c r="Q54" s="170" t="str">
        <f>IFERROR(INDEX(Başvuru!$D$2:$D$1851,MATCH(49,Başvuru!$Z$2:$Z$1851,0)),"")</f>
        <v>Fizyoloji Anabilim Dalı</v>
      </c>
      <c r="R54" s="171">
        <f>IF(Q54="","",COUNTIFS(Başvuru!$D:$D,Q54,Başvuru!$A:$A,"&lt;&gt;"&amp;"",Başvuru!$F:$F,"&lt;&gt;"&amp;""))</f>
        <v>2</v>
      </c>
      <c r="S54" s="171">
        <f>IF(R54="","",RANK(R54,$R$6:$R$155,0)+COUNTIF($R$6:R54,R54)-1)</f>
        <v>51</v>
      </c>
    </row>
    <row r="55" spans="2:19" ht="36" customHeight="1" x14ac:dyDescent="0.25">
      <c r="B55" s="159">
        <v>50</v>
      </c>
      <c r="C55" s="173" t="str">
        <f>IFERROR(INDEX($Q$6:$Q$155,MATCH(50,$S$6:$S$155,0)),"")</f>
        <v>Gülhane Sağlık Bilimleri Üniversitesi
Hemşirelik Fakültesi
Doğum ve Kadın Hastalıkları Hemşireliği Anabilim Dalı</v>
      </c>
      <c r="D55" s="161">
        <f>IF(C55="","",COUNTIFS(Başvuru!$D:$D,C55,Başvuru!$A:$A,"&lt;&gt;"&amp;"",Başvuru!$F:$F,"&lt;&gt;"&amp;""))</f>
        <v>2</v>
      </c>
      <c r="E55" s="159" t="str">
        <f>IF(C55="","-",IF(D55&gt;0,TEXT(D55/(COUNTIFS(Başvuru!$A:$A,"&lt;&gt;",Başvuru!$F:$F,"&lt;&gt;")-1)*100,"0.0")&amp;"%","-"))</f>
        <v>00%</v>
      </c>
      <c r="F55" s="162">
        <f>IF(C55="","",COUNTIFS(Başvuru!$D:$D,C55,Başvuru!$G:$G,"Bireysel Araştırma",Başvuru!$A:$A,"&lt;&gt;"&amp;"",Başvuru!$F:$F,"&lt;&gt;"&amp;""))</f>
        <v>2</v>
      </c>
      <c r="G55" s="162">
        <f>IF(C55="","",COUNTIFS(Başvuru!$D:$D,C55,Başvuru!$G:$G,"Uzmanlık Tezi",Başvuru!$A:$A,"&lt;&gt;"&amp;"",Başvuru!$F:$F,"&lt;&gt;"&amp;""))</f>
        <v>0</v>
      </c>
      <c r="H55" s="162">
        <f>IF(C55="","",COUNTIFS(Başvuru!$D:$D,C55,Başvuru!$G:$G,"Doktora Tezi",Başvuru!$A:$A,"&lt;&gt;"&amp;"",Başvuru!$F:$F,"&lt;&gt;"&amp;""))</f>
        <v>0</v>
      </c>
      <c r="I55" s="162">
        <f>IF(C55="","",COUNTIFS(Başvuru!$D:$D,C55,Başvuru!$G:$G,"Yüksek Lisans Tezi",Başvuru!$A:$A,"&lt;&gt;"&amp;"",Başvuru!$F:$F,"&lt;&gt;"&amp;""))</f>
        <v>0</v>
      </c>
      <c r="J55" s="163">
        <f>IF(C55="","",COUNTIFS(Başvuru!$D:$D,C55,Başvuru!$L:$L,"ONAY",Başvuru!$A:$A,"&lt;&gt;"&amp;"",Başvuru!$F:$F,"&lt;&gt;"&amp;""))</f>
        <v>1</v>
      </c>
      <c r="K55" s="164">
        <f>IF(C55="","",COUNTIFS(Başvuru!$D:$D,C55,Başvuru!$L:$L,"DÜZELTME",Başvuru!$A:$A,"&lt;&gt;"&amp;"",Başvuru!$F:$F,"&lt;&gt;"&amp;""))</f>
        <v>1</v>
      </c>
      <c r="L55" s="165">
        <f>IF(C55="","",COUNTIFS(Başvuru!$D:$D,C55,Başvuru!$L:$L,"KAEK",Başvuru!$A:$A,"&lt;&gt;"&amp;"",Başvuru!$F:$F,"&lt;&gt;"&amp;""))</f>
        <v>0</v>
      </c>
      <c r="M55" s="166">
        <f>IF(C55="","",COUNTIFS(Başvuru!$D:$D,C55,Başvuru!$L:$L,"GÖRÜŞ",Başvuru!$A:$A,"&lt;&gt;"&amp;"",Başvuru!$F:$F,"&lt;&gt;"&amp;""))</f>
        <v>0</v>
      </c>
      <c r="N55" s="167">
        <f>IF(C55="","",COUNTIFS(Başvuru!$D:$D,C55,Başvuru!$L:$L,"RET",Başvuru!$A:$A,"&lt;&gt;"&amp;"",Başvuru!$F:$F,"&lt;&gt;"&amp;""))</f>
        <v>0</v>
      </c>
      <c r="O55" s="168">
        <f>IF(C55="","",COUNTIFS(Başvuru!$D:$D,C55,Başvuru!$L:$L,"KAPSAM DIŞI",Başvuru!$A:$A,"&lt;&gt;"&amp;"",Başvuru!$F:$F,"&lt;&gt;"&amp;""))</f>
        <v>0</v>
      </c>
      <c r="P55" s="169">
        <f>IF(C55="","",COUNTIFS(Başvuru!$D:$D,C55,Başvuru!$L:$L,"GERİ ÇEKİLDİ",Başvuru!$A:$A,"&lt;&gt;"&amp;"",Başvuru!$F:$F,"&lt;&gt;"&amp;""))</f>
        <v>0</v>
      </c>
      <c r="Q55" s="170" t="str">
        <f>IFERROR(INDEX(Başvuru!$D$2:$D$1851,MATCH(50,Başvuru!$Z$2:$Z$1851,0)),"")</f>
        <v>Aile Hekimliği Anabilim Dalı</v>
      </c>
      <c r="R55" s="171">
        <f>IF(Q55="","",COUNTIFS(Başvuru!$D:$D,Q55,Başvuru!$A:$A,"&lt;&gt;"&amp;"",Başvuru!$F:$F,"&lt;&gt;"&amp;""))</f>
        <v>11</v>
      </c>
      <c r="S55" s="171">
        <f>IF(R55="","",RANK(R55,$R$6:$R$155,0)+COUNTIF($R$6:R55,R55)-1)</f>
        <v>17</v>
      </c>
    </row>
    <row r="56" spans="2:19" x14ac:dyDescent="0.25">
      <c r="B56" s="159">
        <v>51</v>
      </c>
      <c r="C56" s="160" t="str">
        <f>IFERROR(INDEX($Q$6:$Q$155,MATCH(51,$S$6:$S$155,0)),"")</f>
        <v>Fizyoloji Anabilim Dalı</v>
      </c>
      <c r="D56" s="161">
        <f>IF(C56="","",COUNTIFS(Başvuru!$D:$D,C56,Başvuru!$A:$A,"&lt;&gt;"&amp;"",Başvuru!$F:$F,"&lt;&gt;"&amp;""))</f>
        <v>2</v>
      </c>
      <c r="E56" s="159" t="str">
        <f>IF(C56="","-",IF(D56&gt;0,TEXT(D56/(COUNTIFS(Başvuru!$A:$A,"&lt;&gt;",Başvuru!$F:$F,"&lt;&gt;")-1)*100,"0.0")&amp;"%","-"))</f>
        <v>00%</v>
      </c>
      <c r="F56" s="162">
        <f>IF(C56="","",COUNTIFS(Başvuru!$D:$D,C56,Başvuru!$G:$G,"Bireysel Araştırma",Başvuru!$A:$A,"&lt;&gt;"&amp;"",Başvuru!$F:$F,"&lt;&gt;"&amp;""))</f>
        <v>2</v>
      </c>
      <c r="G56" s="162">
        <f>IF(C56="","",COUNTIFS(Başvuru!$D:$D,C56,Başvuru!$G:$G,"Uzmanlık Tezi",Başvuru!$A:$A,"&lt;&gt;"&amp;"",Başvuru!$F:$F,"&lt;&gt;"&amp;""))</f>
        <v>0</v>
      </c>
      <c r="H56" s="162">
        <f>IF(C56="","",COUNTIFS(Başvuru!$D:$D,C56,Başvuru!$G:$G,"Doktora Tezi",Başvuru!$A:$A,"&lt;&gt;"&amp;"",Başvuru!$F:$F,"&lt;&gt;"&amp;""))</f>
        <v>0</v>
      </c>
      <c r="I56" s="162">
        <f>IF(C56="","",COUNTIFS(Başvuru!$D:$D,C56,Başvuru!$G:$G,"Yüksek Lisans Tezi",Başvuru!$A:$A,"&lt;&gt;"&amp;"",Başvuru!$F:$F,"&lt;&gt;"&amp;""))</f>
        <v>0</v>
      </c>
      <c r="J56" s="163">
        <f>IF(C56="","",COUNTIFS(Başvuru!$D:$D,C56,Başvuru!$L:$L,"ONAY",Başvuru!$A:$A,"&lt;&gt;"&amp;"",Başvuru!$F:$F,"&lt;&gt;"&amp;""))</f>
        <v>0</v>
      </c>
      <c r="K56" s="164">
        <f>IF(C56="","",COUNTIFS(Başvuru!$D:$D,C56,Başvuru!$L:$L,"DÜZELTME",Başvuru!$A:$A,"&lt;&gt;"&amp;"",Başvuru!$F:$F,"&lt;&gt;"&amp;""))</f>
        <v>2</v>
      </c>
      <c r="L56" s="165">
        <f>IF(C56="","",COUNTIFS(Başvuru!$D:$D,C56,Başvuru!$L:$L,"KAEK",Başvuru!$A:$A,"&lt;&gt;"&amp;"",Başvuru!$F:$F,"&lt;&gt;"&amp;""))</f>
        <v>0</v>
      </c>
      <c r="M56" s="166">
        <f>IF(C56="","",COUNTIFS(Başvuru!$D:$D,C56,Başvuru!$L:$L,"GÖRÜŞ",Başvuru!$A:$A,"&lt;&gt;"&amp;"",Başvuru!$F:$F,"&lt;&gt;"&amp;""))</f>
        <v>0</v>
      </c>
      <c r="N56" s="167">
        <f>IF(C56="","",COUNTIFS(Başvuru!$D:$D,C56,Başvuru!$L:$L,"RET",Başvuru!$A:$A,"&lt;&gt;"&amp;"",Başvuru!$F:$F,"&lt;&gt;"&amp;""))</f>
        <v>0</v>
      </c>
      <c r="O56" s="168">
        <f>IF(C56="","",COUNTIFS(Başvuru!$D:$D,C56,Başvuru!$L:$L,"KAPSAM DIŞI",Başvuru!$A:$A,"&lt;&gt;"&amp;"",Başvuru!$F:$F,"&lt;&gt;"&amp;""))</f>
        <v>0</v>
      </c>
      <c r="P56" s="169">
        <f>IF(C56="","",COUNTIFS(Başvuru!$D:$D,C56,Başvuru!$L:$L,"GERİ ÇEKİLDİ",Başvuru!$A:$A,"&lt;&gt;"&amp;"",Başvuru!$F:$F,"&lt;&gt;"&amp;""))</f>
        <v>0</v>
      </c>
      <c r="Q56" s="170" t="str">
        <f>IFERROR(INDEX(Başvuru!$D$2:$D$1851,MATCH(51,Başvuru!$Z$2:$Z$1851,0)),"")</f>
        <v>Restoratif Diş Tedavisi Anabilim Dalı</v>
      </c>
      <c r="R56" s="171">
        <f>IF(Q56="","",COUNTIFS(Başvuru!$D:$D,Q56,Başvuru!$A:$A,"&lt;&gt;"&amp;"",Başvuru!$F:$F,"&lt;&gt;"&amp;""))</f>
        <v>6</v>
      </c>
      <c r="S56" s="171">
        <f>IF(R56="","",RANK(R56,$R$6:$R$155,0)+COUNTIF($R$6:R56,R56)-1)</f>
        <v>33</v>
      </c>
    </row>
    <row r="57" spans="2:19" x14ac:dyDescent="0.25">
      <c r="B57" s="159">
        <v>52</v>
      </c>
      <c r="C57" s="160" t="str">
        <f>IFERROR(INDEX($Q$6:$Q$155,MATCH(52,$S$6:$S$155,0)),"")</f>
        <v>Biyoistatistik Anabilim Dalı</v>
      </c>
      <c r="D57" s="161">
        <f>IF(C57="","",COUNTIFS(Başvuru!$D:$D,C57,Başvuru!$A:$A,"&lt;&gt;"&amp;"",Başvuru!$F:$F,"&lt;&gt;"&amp;""))</f>
        <v>2</v>
      </c>
      <c r="E57" s="159" t="str">
        <f>IF(C57="","-",IF(D57&gt;0,TEXT(D57/(COUNTIFS(Başvuru!$A:$A,"&lt;&gt;",Başvuru!$F:$F,"&lt;&gt;")-1)*100,"0.0")&amp;"%","-"))</f>
        <v>00%</v>
      </c>
      <c r="F57" s="162">
        <f>IF(C57="","",COUNTIFS(Başvuru!$D:$D,C57,Başvuru!$G:$G,"Bireysel Araştırma",Başvuru!$A:$A,"&lt;&gt;"&amp;"",Başvuru!$F:$F,"&lt;&gt;"&amp;""))</f>
        <v>1</v>
      </c>
      <c r="G57" s="162">
        <f>IF(C57="","",COUNTIFS(Başvuru!$D:$D,C57,Başvuru!$G:$G,"Uzmanlık Tezi",Başvuru!$A:$A,"&lt;&gt;"&amp;"",Başvuru!$F:$F,"&lt;&gt;"&amp;""))</f>
        <v>0</v>
      </c>
      <c r="H57" s="162">
        <f>IF(C57="","",COUNTIFS(Başvuru!$D:$D,C57,Başvuru!$G:$G,"Doktora Tezi",Başvuru!$A:$A,"&lt;&gt;"&amp;"",Başvuru!$F:$F,"&lt;&gt;"&amp;""))</f>
        <v>1</v>
      </c>
      <c r="I57" s="162">
        <f>IF(C57="","",COUNTIFS(Başvuru!$D:$D,C57,Başvuru!$G:$G,"Yüksek Lisans Tezi",Başvuru!$A:$A,"&lt;&gt;"&amp;"",Başvuru!$F:$F,"&lt;&gt;"&amp;""))</f>
        <v>0</v>
      </c>
      <c r="J57" s="163">
        <f>IF(C57="","",COUNTIFS(Başvuru!$D:$D,C57,Başvuru!$L:$L,"ONAY",Başvuru!$A:$A,"&lt;&gt;"&amp;"",Başvuru!$F:$F,"&lt;&gt;"&amp;""))</f>
        <v>1</v>
      </c>
      <c r="K57" s="164">
        <f>IF(C57="","",COUNTIFS(Başvuru!$D:$D,C57,Başvuru!$L:$L,"DÜZELTME",Başvuru!$A:$A,"&lt;&gt;"&amp;"",Başvuru!$F:$F,"&lt;&gt;"&amp;""))</f>
        <v>0</v>
      </c>
      <c r="L57" s="165">
        <f>IF(C57="","",COUNTIFS(Başvuru!$D:$D,C57,Başvuru!$L:$L,"KAEK",Başvuru!$A:$A,"&lt;&gt;"&amp;"",Başvuru!$F:$F,"&lt;&gt;"&amp;""))</f>
        <v>0</v>
      </c>
      <c r="M57" s="166">
        <f>IF(C57="","",COUNTIFS(Başvuru!$D:$D,C57,Başvuru!$L:$L,"GÖRÜŞ",Başvuru!$A:$A,"&lt;&gt;"&amp;"",Başvuru!$F:$F,"&lt;&gt;"&amp;""))</f>
        <v>1</v>
      </c>
      <c r="N57" s="167">
        <f>IF(C57="","",COUNTIFS(Başvuru!$D:$D,C57,Başvuru!$L:$L,"RET",Başvuru!$A:$A,"&lt;&gt;"&amp;"",Başvuru!$F:$F,"&lt;&gt;"&amp;""))</f>
        <v>0</v>
      </c>
      <c r="O57" s="168">
        <f>IF(C57="","",COUNTIFS(Başvuru!$D:$D,C57,Başvuru!$L:$L,"KAPSAM DIŞI",Başvuru!$A:$A,"&lt;&gt;"&amp;"",Başvuru!$F:$F,"&lt;&gt;"&amp;""))</f>
        <v>0</v>
      </c>
      <c r="P57" s="169">
        <f>IF(C57="","",COUNTIFS(Başvuru!$D:$D,C57,Başvuru!$L:$L,"GERİ ÇEKİLDİ",Başvuru!$A:$A,"&lt;&gt;"&amp;"",Başvuru!$F:$F,"&lt;&gt;"&amp;""))</f>
        <v>0</v>
      </c>
      <c r="Q57" s="170" t="str">
        <f>IFERROR(INDEX(Başvuru!$D$2:$D$1851,MATCH(52,Başvuru!$Z$2:$Z$1851,0)),"")</f>
        <v>Biyoistatistik Anabilim Dalı</v>
      </c>
      <c r="R57" s="171">
        <f>IF(Q57="","",COUNTIFS(Başvuru!$D:$D,Q57,Başvuru!$A:$A,"&lt;&gt;"&amp;"",Başvuru!$F:$F,"&lt;&gt;"&amp;""))</f>
        <v>2</v>
      </c>
      <c r="S57" s="171">
        <f>IF(R57="","",RANK(R57,$R$6:$R$155,0)+COUNTIF($R$6:R57,R57)-1)</f>
        <v>52</v>
      </c>
    </row>
    <row r="58" spans="2:19" x14ac:dyDescent="0.25">
      <c r="B58" s="159">
        <v>53</v>
      </c>
      <c r="C58" s="160" t="str">
        <f>IFERROR(INDEX($Q$6:$Q$155,MATCH(53,$S$6:$S$155,0)),"")</f>
        <v>Gıda Bilimleri Anabilim Dalı</v>
      </c>
      <c r="D58" s="161">
        <f>IF(C58="","",COUNTIFS(Başvuru!$D:$D,C58,Başvuru!$A:$A,"&lt;&gt;"&amp;"",Başvuru!$F:$F,"&lt;&gt;"&amp;""))</f>
        <v>2</v>
      </c>
      <c r="E58" s="159" t="str">
        <f>IF(C58="","-",IF(D58&gt;0,TEXT(D58/(COUNTIFS(Başvuru!$A:$A,"&lt;&gt;",Başvuru!$F:$F,"&lt;&gt;")-1)*100,"0.0")&amp;"%","-"))</f>
        <v>00%</v>
      </c>
      <c r="F58" s="162">
        <f>IF(C58="","",COUNTIFS(Başvuru!$D:$D,C58,Başvuru!$G:$G,"Bireysel Araştırma",Başvuru!$A:$A,"&lt;&gt;"&amp;"",Başvuru!$F:$F,"&lt;&gt;"&amp;""))</f>
        <v>1</v>
      </c>
      <c r="G58" s="162">
        <f>IF(C58="","",COUNTIFS(Başvuru!$D:$D,C58,Başvuru!$G:$G,"Uzmanlık Tezi",Başvuru!$A:$A,"&lt;&gt;"&amp;"",Başvuru!$F:$F,"&lt;&gt;"&amp;""))</f>
        <v>0</v>
      </c>
      <c r="H58" s="162">
        <f>IF(C58="","",COUNTIFS(Başvuru!$D:$D,C58,Başvuru!$G:$G,"Doktora Tezi",Başvuru!$A:$A,"&lt;&gt;"&amp;"",Başvuru!$F:$F,"&lt;&gt;"&amp;""))</f>
        <v>0</v>
      </c>
      <c r="I58" s="162">
        <f>IF(C58="","",COUNTIFS(Başvuru!$D:$D,C58,Başvuru!$G:$G,"Yüksek Lisans Tezi",Başvuru!$A:$A,"&lt;&gt;"&amp;"",Başvuru!$F:$F,"&lt;&gt;"&amp;""))</f>
        <v>1</v>
      </c>
      <c r="J58" s="163">
        <f>IF(C58="","",COUNTIFS(Başvuru!$D:$D,C58,Başvuru!$L:$L,"ONAY",Başvuru!$A:$A,"&lt;&gt;"&amp;"",Başvuru!$F:$F,"&lt;&gt;"&amp;""))</f>
        <v>1</v>
      </c>
      <c r="K58" s="164">
        <f>IF(C58="","",COUNTIFS(Başvuru!$D:$D,C58,Başvuru!$L:$L,"DÜZELTME",Başvuru!$A:$A,"&lt;&gt;"&amp;"",Başvuru!$F:$F,"&lt;&gt;"&amp;""))</f>
        <v>1</v>
      </c>
      <c r="L58" s="165">
        <f>IF(C58="","",COUNTIFS(Başvuru!$D:$D,C58,Başvuru!$L:$L,"KAEK",Başvuru!$A:$A,"&lt;&gt;"&amp;"",Başvuru!$F:$F,"&lt;&gt;"&amp;""))</f>
        <v>0</v>
      </c>
      <c r="M58" s="166">
        <f>IF(C58="","",COUNTIFS(Başvuru!$D:$D,C58,Başvuru!$L:$L,"GÖRÜŞ",Başvuru!$A:$A,"&lt;&gt;"&amp;"",Başvuru!$F:$F,"&lt;&gt;"&amp;""))</f>
        <v>0</v>
      </c>
      <c r="N58" s="167">
        <f>IF(C58="","",COUNTIFS(Başvuru!$D:$D,C58,Başvuru!$L:$L,"RET",Başvuru!$A:$A,"&lt;&gt;"&amp;"",Başvuru!$F:$F,"&lt;&gt;"&amp;""))</f>
        <v>0</v>
      </c>
      <c r="O58" s="168">
        <f>IF(C58="","",COUNTIFS(Başvuru!$D:$D,C58,Başvuru!$L:$L,"KAPSAM DIŞI",Başvuru!$A:$A,"&lt;&gt;"&amp;"",Başvuru!$F:$F,"&lt;&gt;"&amp;""))</f>
        <v>0</v>
      </c>
      <c r="P58" s="169">
        <f>IF(C58="","",COUNTIFS(Başvuru!$D:$D,C58,Başvuru!$L:$L,"GERİ ÇEKİLDİ",Başvuru!$A:$A,"&lt;&gt;"&amp;"",Başvuru!$F:$F,"&lt;&gt;"&amp;""))</f>
        <v>0</v>
      </c>
      <c r="Q58" s="170" t="str">
        <f>IFERROR(INDEX(Başvuru!$D$2:$D$1851,MATCH(53,Başvuru!$Z$2:$Z$1851,0)),"")</f>
        <v>Gıda Bilimleri Anabilim Dalı</v>
      </c>
      <c r="R58" s="171">
        <f>IF(Q58="","",COUNTIFS(Başvuru!$D:$D,Q58,Başvuru!$A:$A,"&lt;&gt;"&amp;"",Başvuru!$F:$F,"&lt;&gt;"&amp;""))</f>
        <v>2</v>
      </c>
      <c r="S58" s="171">
        <f>IF(R58="","",RANK(R58,$R$6:$R$155,0)+COUNTIF($R$6:R58,R58)-1)</f>
        <v>53</v>
      </c>
    </row>
    <row r="59" spans="2:19" x14ac:dyDescent="0.25">
      <c r="B59" s="159">
        <v>54</v>
      </c>
      <c r="C59" s="160" t="str">
        <f>IFERROR(INDEX($Q$6:$Q$155,MATCH(54,$S$6:$S$155,0)),"")</f>
        <v>Adli Tıp Anabilim Dalı</v>
      </c>
      <c r="D59" s="161">
        <f>IF(C59="","",COUNTIFS(Başvuru!$D:$D,C59,Başvuru!$A:$A,"&lt;&gt;"&amp;"",Başvuru!$F:$F,"&lt;&gt;"&amp;""))</f>
        <v>2</v>
      </c>
      <c r="E59" s="159" t="str">
        <f>IF(C59="","-",IF(D59&gt;0,TEXT(D59/(COUNTIFS(Başvuru!$A:$A,"&lt;&gt;",Başvuru!$F:$F,"&lt;&gt;")-1)*100,"0.0")&amp;"%","-"))</f>
        <v>00%</v>
      </c>
      <c r="F59" s="162">
        <f>IF(C59="","",COUNTIFS(Başvuru!$D:$D,C59,Başvuru!$G:$G,"Bireysel Araştırma",Başvuru!$A:$A,"&lt;&gt;"&amp;"",Başvuru!$F:$F,"&lt;&gt;"&amp;""))</f>
        <v>1</v>
      </c>
      <c r="G59" s="162">
        <f>IF(C59="","",COUNTIFS(Başvuru!$D:$D,C59,Başvuru!$G:$G,"Uzmanlık Tezi",Başvuru!$A:$A,"&lt;&gt;"&amp;"",Başvuru!$F:$F,"&lt;&gt;"&amp;""))</f>
        <v>1</v>
      </c>
      <c r="H59" s="162">
        <f>IF(C59="","",COUNTIFS(Başvuru!$D:$D,C59,Başvuru!$G:$G,"Doktora Tezi",Başvuru!$A:$A,"&lt;&gt;"&amp;"",Başvuru!$F:$F,"&lt;&gt;"&amp;""))</f>
        <v>0</v>
      </c>
      <c r="I59" s="162">
        <f>IF(C59="","",COUNTIFS(Başvuru!$D:$D,C59,Başvuru!$G:$G,"Yüksek Lisans Tezi",Başvuru!$A:$A,"&lt;&gt;"&amp;"",Başvuru!$F:$F,"&lt;&gt;"&amp;""))</f>
        <v>0</v>
      </c>
      <c r="J59" s="163">
        <f>IF(C59="","",COUNTIFS(Başvuru!$D:$D,C59,Başvuru!$L:$L,"ONAY",Başvuru!$A:$A,"&lt;&gt;"&amp;"",Başvuru!$F:$F,"&lt;&gt;"&amp;""))</f>
        <v>2</v>
      </c>
      <c r="K59" s="164">
        <f>IF(C59="","",COUNTIFS(Başvuru!$D:$D,C59,Başvuru!$L:$L,"DÜZELTME",Başvuru!$A:$A,"&lt;&gt;"&amp;"",Başvuru!$F:$F,"&lt;&gt;"&amp;""))</f>
        <v>0</v>
      </c>
      <c r="L59" s="165">
        <f>IF(C59="","",COUNTIFS(Başvuru!$D:$D,C59,Başvuru!$L:$L,"KAEK",Başvuru!$A:$A,"&lt;&gt;"&amp;"",Başvuru!$F:$F,"&lt;&gt;"&amp;""))</f>
        <v>0</v>
      </c>
      <c r="M59" s="166">
        <f>IF(C59="","",COUNTIFS(Başvuru!$D:$D,C59,Başvuru!$L:$L,"GÖRÜŞ",Başvuru!$A:$A,"&lt;&gt;"&amp;"",Başvuru!$F:$F,"&lt;&gt;"&amp;""))</f>
        <v>0</v>
      </c>
      <c r="N59" s="167">
        <f>IF(C59="","",COUNTIFS(Başvuru!$D:$D,C59,Başvuru!$L:$L,"RET",Başvuru!$A:$A,"&lt;&gt;"&amp;"",Başvuru!$F:$F,"&lt;&gt;"&amp;""))</f>
        <v>0</v>
      </c>
      <c r="O59" s="168">
        <f>IF(C59="","",COUNTIFS(Başvuru!$D:$D,C59,Başvuru!$L:$L,"KAPSAM DIŞI",Başvuru!$A:$A,"&lt;&gt;"&amp;"",Başvuru!$F:$F,"&lt;&gt;"&amp;""))</f>
        <v>0</v>
      </c>
      <c r="P59" s="169">
        <f>IF(C59="","",COUNTIFS(Başvuru!$D:$D,C59,Başvuru!$L:$L,"GERİ ÇEKİLDİ",Başvuru!$A:$A,"&lt;&gt;"&amp;"",Başvuru!$F:$F,"&lt;&gt;"&amp;""))</f>
        <v>0</v>
      </c>
      <c r="Q59" s="170" t="str">
        <f>IFERROR(INDEX(Başvuru!$D$2:$D$1851,MATCH(54,Başvuru!$Z$2:$Z$1851,0)),"")</f>
        <v>Plastik, Rekonstrüktif ve Estetik Cerrahi Anabilim Dalı</v>
      </c>
      <c r="R59" s="171">
        <f>IF(Q59="","",COUNTIFS(Başvuru!$D:$D,Q59,Başvuru!$A:$A,"&lt;&gt;"&amp;"",Başvuru!$F:$F,"&lt;&gt;"&amp;""))</f>
        <v>9</v>
      </c>
      <c r="S59" s="171">
        <f>IF(R59="","",RANK(R59,$R$6:$R$155,0)+COUNTIF($R$6:R59,R59)-1)</f>
        <v>23</v>
      </c>
    </row>
    <row r="60" spans="2:19" x14ac:dyDescent="0.25">
      <c r="B60" s="159">
        <v>55</v>
      </c>
      <c r="C60" s="160" t="str">
        <f>IFERROR(INDEX($Q$6:$Q$155,MATCH(55,$S$6:$S$155,0)),"")</f>
        <v>Genel Cerrahi Anabilim Dalı</v>
      </c>
      <c r="D60" s="161">
        <f>IF(C60="","",COUNTIFS(Başvuru!$D:$D,C60,Başvuru!$A:$A,"&lt;&gt;"&amp;"",Başvuru!$F:$F,"&lt;&gt;"&amp;""))</f>
        <v>2</v>
      </c>
      <c r="E60" s="159" t="str">
        <f>IF(C60="","-",IF(D60&gt;0,TEXT(D60/(COUNTIFS(Başvuru!$A:$A,"&lt;&gt;",Başvuru!$F:$F,"&lt;&gt;")-1)*100,"0.0")&amp;"%","-"))</f>
        <v>00%</v>
      </c>
      <c r="F60" s="162">
        <f>IF(C60="","",COUNTIFS(Başvuru!$D:$D,C60,Başvuru!$G:$G,"Bireysel Araştırma",Başvuru!$A:$A,"&lt;&gt;"&amp;"",Başvuru!$F:$F,"&lt;&gt;"&amp;""))</f>
        <v>2</v>
      </c>
      <c r="G60" s="162">
        <f>IF(C60="","",COUNTIFS(Başvuru!$D:$D,C60,Başvuru!$G:$G,"Uzmanlık Tezi",Başvuru!$A:$A,"&lt;&gt;"&amp;"",Başvuru!$F:$F,"&lt;&gt;"&amp;""))</f>
        <v>0</v>
      </c>
      <c r="H60" s="162">
        <f>IF(C60="","",COUNTIFS(Başvuru!$D:$D,C60,Başvuru!$G:$G,"Doktora Tezi",Başvuru!$A:$A,"&lt;&gt;"&amp;"",Başvuru!$F:$F,"&lt;&gt;"&amp;""))</f>
        <v>0</v>
      </c>
      <c r="I60" s="162">
        <f>IF(C60="","",COUNTIFS(Başvuru!$D:$D,C60,Başvuru!$G:$G,"Yüksek Lisans Tezi",Başvuru!$A:$A,"&lt;&gt;"&amp;"",Başvuru!$F:$F,"&lt;&gt;"&amp;""))</f>
        <v>0</v>
      </c>
      <c r="J60" s="163">
        <f>IF(C60="","",COUNTIFS(Başvuru!$D:$D,C60,Başvuru!$L:$L,"ONAY",Başvuru!$A:$A,"&lt;&gt;"&amp;"",Başvuru!$F:$F,"&lt;&gt;"&amp;""))</f>
        <v>1</v>
      </c>
      <c r="K60" s="164">
        <f>IF(C60="","",COUNTIFS(Başvuru!$D:$D,C60,Başvuru!$L:$L,"DÜZELTME",Başvuru!$A:$A,"&lt;&gt;"&amp;"",Başvuru!$F:$F,"&lt;&gt;"&amp;""))</f>
        <v>0</v>
      </c>
      <c r="L60" s="165">
        <f>IF(C60="","",COUNTIFS(Başvuru!$D:$D,C60,Başvuru!$L:$L,"KAEK",Başvuru!$A:$A,"&lt;&gt;"&amp;"",Başvuru!$F:$F,"&lt;&gt;"&amp;""))</f>
        <v>0</v>
      </c>
      <c r="M60" s="166">
        <f>IF(C60="","",COUNTIFS(Başvuru!$D:$D,C60,Başvuru!$L:$L,"GÖRÜŞ",Başvuru!$A:$A,"&lt;&gt;"&amp;"",Başvuru!$F:$F,"&lt;&gt;"&amp;""))</f>
        <v>0</v>
      </c>
      <c r="N60" s="167">
        <f>IF(C60="","",COUNTIFS(Başvuru!$D:$D,C60,Başvuru!$L:$L,"RET",Başvuru!$A:$A,"&lt;&gt;"&amp;"",Başvuru!$F:$F,"&lt;&gt;"&amp;""))</f>
        <v>0</v>
      </c>
      <c r="O60" s="168">
        <f>IF(C60="","",COUNTIFS(Başvuru!$D:$D,C60,Başvuru!$L:$L,"KAPSAM DIŞI",Başvuru!$A:$A,"&lt;&gt;"&amp;"",Başvuru!$F:$F,"&lt;&gt;"&amp;""))</f>
        <v>0</v>
      </c>
      <c r="P60" s="169">
        <f>IF(C60="","",COUNTIFS(Başvuru!$D:$D,C60,Başvuru!$L:$L,"GERİ ÇEKİLDİ",Başvuru!$A:$A,"&lt;&gt;"&amp;"",Başvuru!$F:$F,"&lt;&gt;"&amp;""))</f>
        <v>0</v>
      </c>
      <c r="Q60" s="170" t="str">
        <f>IFERROR(INDEX(Başvuru!$D$2:$D$1851,MATCH(55,Başvuru!$Z$2:$Z$1851,0)),"")</f>
        <v>Kök Hücre Bilimleri Anabilim Dalı</v>
      </c>
      <c r="R60" s="171">
        <f>IF(Q60="","",COUNTIFS(Başvuru!$D:$D,Q60,Başvuru!$A:$A,"&lt;&gt;"&amp;"",Başvuru!$F:$F,"&lt;&gt;"&amp;""))</f>
        <v>4</v>
      </c>
      <c r="S60" s="171">
        <f>IF(R60="","",RANK(R60,$R$6:$R$155,0)+COUNTIF($R$6:R60,R60)-1)</f>
        <v>38</v>
      </c>
    </row>
    <row r="61" spans="2:19" x14ac:dyDescent="0.25">
      <c r="B61" s="159">
        <v>56</v>
      </c>
      <c r="C61" s="160" t="str">
        <f>IFERROR(INDEX($Q$6:$Q$155,MATCH(56,$S$6:$S$155,0)),"")</f>
        <v>Egzersizde Beslenme ve Metabolizma Anabilim Dalı</v>
      </c>
      <c r="D61" s="161">
        <f>IF(C61="","",COUNTIFS(Başvuru!$D:$D,C61,Başvuru!$A:$A,"&lt;&gt;"&amp;"",Başvuru!$F:$F,"&lt;&gt;"&amp;""))</f>
        <v>2</v>
      </c>
      <c r="E61" s="159" t="str">
        <f>IF(C61="","-",IF(D61&gt;0,TEXT(D61/(COUNTIFS(Başvuru!$A:$A,"&lt;&gt;",Başvuru!$F:$F,"&lt;&gt;")-1)*100,"0.0")&amp;"%","-"))</f>
        <v>00%</v>
      </c>
      <c r="F61" s="162">
        <f>IF(C61="","",COUNTIFS(Başvuru!$D:$D,C61,Başvuru!$G:$G,"Bireysel Araştırma",Başvuru!$A:$A,"&lt;&gt;"&amp;"",Başvuru!$F:$F,"&lt;&gt;"&amp;""))</f>
        <v>1</v>
      </c>
      <c r="G61" s="162">
        <f>IF(C61="","",COUNTIFS(Başvuru!$D:$D,C61,Başvuru!$G:$G,"Uzmanlık Tezi",Başvuru!$A:$A,"&lt;&gt;"&amp;"",Başvuru!$F:$F,"&lt;&gt;"&amp;""))</f>
        <v>0</v>
      </c>
      <c r="H61" s="162">
        <f>IF(C61="","",COUNTIFS(Başvuru!$D:$D,C61,Başvuru!$G:$G,"Doktora Tezi",Başvuru!$A:$A,"&lt;&gt;"&amp;"",Başvuru!$F:$F,"&lt;&gt;"&amp;""))</f>
        <v>0</v>
      </c>
      <c r="I61" s="162">
        <f>IF(C61="","",COUNTIFS(Başvuru!$D:$D,C61,Başvuru!$G:$G,"Yüksek Lisans Tezi",Başvuru!$A:$A,"&lt;&gt;"&amp;"",Başvuru!$F:$F,"&lt;&gt;"&amp;""))</f>
        <v>1</v>
      </c>
      <c r="J61" s="163">
        <f>IF(C61="","",COUNTIFS(Başvuru!$D:$D,C61,Başvuru!$L:$L,"ONAY",Başvuru!$A:$A,"&lt;&gt;"&amp;"",Başvuru!$F:$F,"&lt;&gt;"&amp;""))</f>
        <v>1</v>
      </c>
      <c r="K61" s="164">
        <f>IF(C61="","",COUNTIFS(Başvuru!$D:$D,C61,Başvuru!$L:$L,"DÜZELTME",Başvuru!$A:$A,"&lt;&gt;"&amp;"",Başvuru!$F:$F,"&lt;&gt;"&amp;""))</f>
        <v>1</v>
      </c>
      <c r="L61" s="165">
        <f>IF(C61="","",COUNTIFS(Başvuru!$D:$D,C61,Başvuru!$L:$L,"KAEK",Başvuru!$A:$A,"&lt;&gt;"&amp;"",Başvuru!$F:$F,"&lt;&gt;"&amp;""))</f>
        <v>0</v>
      </c>
      <c r="M61" s="166">
        <f>IF(C61="","",COUNTIFS(Başvuru!$D:$D,C61,Başvuru!$L:$L,"GÖRÜŞ",Başvuru!$A:$A,"&lt;&gt;"&amp;"",Başvuru!$F:$F,"&lt;&gt;"&amp;""))</f>
        <v>0</v>
      </c>
      <c r="N61" s="167">
        <f>IF(C61="","",COUNTIFS(Başvuru!$D:$D,C61,Başvuru!$L:$L,"RET",Başvuru!$A:$A,"&lt;&gt;"&amp;"",Başvuru!$F:$F,"&lt;&gt;"&amp;""))</f>
        <v>0</v>
      </c>
      <c r="O61" s="168">
        <f>IF(C61="","",COUNTIFS(Başvuru!$D:$D,C61,Başvuru!$L:$L,"KAPSAM DIŞI",Başvuru!$A:$A,"&lt;&gt;"&amp;"",Başvuru!$F:$F,"&lt;&gt;"&amp;""))</f>
        <v>0</v>
      </c>
      <c r="P61" s="169">
        <f>IF(C61="","",COUNTIFS(Başvuru!$D:$D,C61,Başvuru!$L:$L,"GERİ ÇEKİLDİ",Başvuru!$A:$A,"&lt;&gt;"&amp;"",Başvuru!$F:$F,"&lt;&gt;"&amp;""))</f>
        <v>0</v>
      </c>
      <c r="Q61" s="170" t="str">
        <f>IFERROR(INDEX(Başvuru!$D$2:$D$1851,MATCH(56,Başvuru!$Z$2:$Z$1851,0)),"")</f>
        <v>Enfeksiyon Hastalıkları ve Klinik Mikrobiyoloji Anabilim Dalı</v>
      </c>
      <c r="R61" s="171">
        <f>IF(Q61="","",COUNTIFS(Başvuru!$D:$D,Q61,Başvuru!$A:$A,"&lt;&gt;"&amp;"",Başvuru!$F:$F,"&lt;&gt;"&amp;""))</f>
        <v>4</v>
      </c>
      <c r="S61" s="171">
        <f>IF(R61="","",RANK(R61,$R$6:$R$155,0)+COUNTIF($R$6:R61,R61)-1)</f>
        <v>39</v>
      </c>
    </row>
    <row r="62" spans="2:19" x14ac:dyDescent="0.25">
      <c r="B62" s="159">
        <v>57</v>
      </c>
      <c r="C62" s="160" t="str">
        <f>IFERROR(INDEX($Q$6:$Q$155,MATCH(57,$S$6:$S$155,0)),"")</f>
        <v>Kalp ve Damar Cerrahisi Anabilim Dalı</v>
      </c>
      <c r="D62" s="161">
        <f>IF(C62="","",COUNTIFS(Başvuru!$D:$D,C62,Başvuru!$A:$A,"&lt;&gt;"&amp;"",Başvuru!$F:$F,"&lt;&gt;"&amp;""))</f>
        <v>2</v>
      </c>
      <c r="E62" s="159" t="str">
        <f>IF(C62="","-",IF(D62&gt;0,TEXT(D62/(COUNTIFS(Başvuru!$A:$A,"&lt;&gt;",Başvuru!$F:$F,"&lt;&gt;")-1)*100,"0.0")&amp;"%","-"))</f>
        <v>00%</v>
      </c>
      <c r="F62" s="162">
        <f>IF(C62="","",COUNTIFS(Başvuru!$D:$D,C62,Başvuru!$G:$G,"Bireysel Araştırma",Başvuru!$A:$A,"&lt;&gt;"&amp;"",Başvuru!$F:$F,"&lt;&gt;"&amp;""))</f>
        <v>0</v>
      </c>
      <c r="G62" s="162">
        <f>IF(C62="","",COUNTIFS(Başvuru!$D:$D,C62,Başvuru!$G:$G,"Uzmanlık Tezi",Başvuru!$A:$A,"&lt;&gt;"&amp;"",Başvuru!$F:$F,"&lt;&gt;"&amp;""))</f>
        <v>2</v>
      </c>
      <c r="H62" s="162">
        <f>IF(C62="","",COUNTIFS(Başvuru!$D:$D,C62,Başvuru!$G:$G,"Doktora Tezi",Başvuru!$A:$A,"&lt;&gt;"&amp;"",Başvuru!$F:$F,"&lt;&gt;"&amp;""))</f>
        <v>0</v>
      </c>
      <c r="I62" s="162">
        <f>IF(C62="","",COUNTIFS(Başvuru!$D:$D,C62,Başvuru!$G:$G,"Yüksek Lisans Tezi",Başvuru!$A:$A,"&lt;&gt;"&amp;"",Başvuru!$F:$F,"&lt;&gt;"&amp;""))</f>
        <v>0</v>
      </c>
      <c r="J62" s="163">
        <f>IF(C62="","",COUNTIFS(Başvuru!$D:$D,C62,Başvuru!$L:$L,"ONAY",Başvuru!$A:$A,"&lt;&gt;"&amp;"",Başvuru!$F:$F,"&lt;&gt;"&amp;""))</f>
        <v>0</v>
      </c>
      <c r="K62" s="164">
        <f>IF(C62="","",COUNTIFS(Başvuru!$D:$D,C62,Başvuru!$L:$L,"DÜZELTME",Başvuru!$A:$A,"&lt;&gt;"&amp;"",Başvuru!$F:$F,"&lt;&gt;"&amp;""))</f>
        <v>0</v>
      </c>
      <c r="L62" s="165">
        <f>IF(C62="","",COUNTIFS(Başvuru!$D:$D,C62,Başvuru!$L:$L,"KAEK",Başvuru!$A:$A,"&lt;&gt;"&amp;"",Başvuru!$F:$F,"&lt;&gt;"&amp;""))</f>
        <v>0</v>
      </c>
      <c r="M62" s="166">
        <f>IF(C62="","",COUNTIFS(Başvuru!$D:$D,C62,Başvuru!$L:$L,"GÖRÜŞ",Başvuru!$A:$A,"&lt;&gt;"&amp;"",Başvuru!$F:$F,"&lt;&gt;"&amp;""))</f>
        <v>0</v>
      </c>
      <c r="N62" s="167">
        <f>IF(C62="","",COUNTIFS(Başvuru!$D:$D,C62,Başvuru!$L:$L,"RET",Başvuru!$A:$A,"&lt;&gt;"&amp;"",Başvuru!$F:$F,"&lt;&gt;"&amp;""))</f>
        <v>0</v>
      </c>
      <c r="O62" s="168">
        <f>IF(C62="","",COUNTIFS(Başvuru!$D:$D,C62,Başvuru!$L:$L,"KAPSAM DIŞI",Başvuru!$A:$A,"&lt;&gt;"&amp;"",Başvuru!$F:$F,"&lt;&gt;"&amp;""))</f>
        <v>0</v>
      </c>
      <c r="P62" s="169">
        <f>IF(C62="","",COUNTIFS(Başvuru!$D:$D,C62,Başvuru!$L:$L,"GERİ ÇEKİLDİ",Başvuru!$A:$A,"&lt;&gt;"&amp;"",Başvuru!$F:$F,"&lt;&gt;"&amp;""))</f>
        <v>0</v>
      </c>
      <c r="Q62" s="170" t="str">
        <f>IFERROR(INDEX(Başvuru!$D$2:$D$1851,MATCH(57,Başvuru!$Z$2:$Z$1851,0)),"")</f>
        <v>Çocuk Sağlığı Entitüsü</v>
      </c>
      <c r="R62" s="171">
        <f>IF(Q62="","",COUNTIFS(Başvuru!$D:$D,Q62,Başvuru!$A:$A,"&lt;&gt;"&amp;"",Başvuru!$F:$F,"&lt;&gt;"&amp;""))</f>
        <v>1</v>
      </c>
      <c r="S62" s="171">
        <f>IF(R62="","",RANK(R62,$R$6:$R$155,0)+COUNTIF($R$6:R62,R62)-1)</f>
        <v>66</v>
      </c>
    </row>
    <row r="63" spans="2:19" x14ac:dyDescent="0.25">
      <c r="B63" s="159">
        <v>58</v>
      </c>
      <c r="C63" s="160" t="str">
        <f>IFERROR(INDEX($Q$6:$Q$155,MATCH(58,$S$6:$S$155,0)),"")</f>
        <v>Sağlık Bilimleri Enstitüsü</v>
      </c>
      <c r="D63" s="161">
        <f>IF(C63="","",COUNTIFS(Başvuru!$D:$D,C63,Başvuru!$A:$A,"&lt;&gt;"&amp;"",Başvuru!$F:$F,"&lt;&gt;"&amp;""))</f>
        <v>1</v>
      </c>
      <c r="E63" s="159" t="str">
        <f>IF(C63="","-",IF(D63&gt;0,TEXT(D63/(COUNTIFS(Başvuru!$A:$A,"&lt;&gt;",Başvuru!$F:$F,"&lt;&gt;")-1)*100,"0.0")&amp;"%","-"))</f>
        <v>00%</v>
      </c>
      <c r="F63" s="162">
        <f>IF(C63="","",COUNTIFS(Başvuru!$D:$D,C63,Başvuru!$G:$G,"Bireysel Araştırma",Başvuru!$A:$A,"&lt;&gt;"&amp;"",Başvuru!$F:$F,"&lt;&gt;"&amp;""))</f>
        <v>1</v>
      </c>
      <c r="G63" s="162">
        <f>IF(C63="","",COUNTIFS(Başvuru!$D:$D,C63,Başvuru!$G:$G,"Uzmanlık Tezi",Başvuru!$A:$A,"&lt;&gt;"&amp;"",Başvuru!$F:$F,"&lt;&gt;"&amp;""))</f>
        <v>0</v>
      </c>
      <c r="H63" s="162">
        <f>IF(C63="","",COUNTIFS(Başvuru!$D:$D,C63,Başvuru!$G:$G,"Doktora Tezi",Başvuru!$A:$A,"&lt;&gt;"&amp;"",Başvuru!$F:$F,"&lt;&gt;"&amp;""))</f>
        <v>0</v>
      </c>
      <c r="I63" s="162">
        <f>IF(C63="","",COUNTIFS(Başvuru!$D:$D,C63,Başvuru!$G:$G,"Yüksek Lisans Tezi",Başvuru!$A:$A,"&lt;&gt;"&amp;"",Başvuru!$F:$F,"&lt;&gt;"&amp;""))</f>
        <v>0</v>
      </c>
      <c r="J63" s="163">
        <f>IF(C63="","",COUNTIFS(Başvuru!$D:$D,C63,Başvuru!$L:$L,"ONAY",Başvuru!$A:$A,"&lt;&gt;"&amp;"",Başvuru!$F:$F,"&lt;&gt;"&amp;""))</f>
        <v>1</v>
      </c>
      <c r="K63" s="164">
        <f>IF(C63="","",COUNTIFS(Başvuru!$D:$D,C63,Başvuru!$L:$L,"DÜZELTME",Başvuru!$A:$A,"&lt;&gt;"&amp;"",Başvuru!$F:$F,"&lt;&gt;"&amp;""))</f>
        <v>0</v>
      </c>
      <c r="L63" s="165">
        <f>IF(C63="","",COUNTIFS(Başvuru!$D:$D,C63,Başvuru!$L:$L,"KAEK",Başvuru!$A:$A,"&lt;&gt;"&amp;"",Başvuru!$F:$F,"&lt;&gt;"&amp;""))</f>
        <v>0</v>
      </c>
      <c r="M63" s="166">
        <f>IF(C63="","",COUNTIFS(Başvuru!$D:$D,C63,Başvuru!$L:$L,"GÖRÜŞ",Başvuru!$A:$A,"&lt;&gt;"&amp;"",Başvuru!$F:$F,"&lt;&gt;"&amp;""))</f>
        <v>0</v>
      </c>
      <c r="N63" s="167">
        <f>IF(C63="","",COUNTIFS(Başvuru!$D:$D,C63,Başvuru!$L:$L,"RET",Başvuru!$A:$A,"&lt;&gt;"&amp;"",Başvuru!$F:$F,"&lt;&gt;"&amp;""))</f>
        <v>0</v>
      </c>
      <c r="O63" s="168">
        <f>IF(C63="","",COUNTIFS(Başvuru!$D:$D,C63,Başvuru!$L:$L,"KAPSAM DIŞI",Başvuru!$A:$A,"&lt;&gt;"&amp;"",Başvuru!$F:$F,"&lt;&gt;"&amp;""))</f>
        <v>0</v>
      </c>
      <c r="P63" s="169">
        <f>IF(C63="","",COUNTIFS(Başvuru!$D:$D,C63,Başvuru!$L:$L,"GERİ ÇEKİLDİ",Başvuru!$A:$A,"&lt;&gt;"&amp;"",Başvuru!$F:$F,"&lt;&gt;"&amp;""))</f>
        <v>0</v>
      </c>
      <c r="Q63" s="170" t="str">
        <f>IFERROR(INDEX(Başvuru!$D$2:$D$1851,MATCH(58,Başvuru!$Z$2:$Z$1851,0)),"")</f>
        <v>Adli Tıp Anabilim Dalı</v>
      </c>
      <c r="R63" s="171">
        <f>IF(Q63="","",COUNTIFS(Başvuru!$D:$D,Q63,Başvuru!$A:$A,"&lt;&gt;"&amp;"",Başvuru!$F:$F,"&lt;&gt;"&amp;""))</f>
        <v>2</v>
      </c>
      <c r="S63" s="171">
        <f>IF(R63="","",RANK(R63,$R$6:$R$155,0)+COUNTIF($R$6:R63,R63)-1)</f>
        <v>54</v>
      </c>
    </row>
    <row r="64" spans="2:19" x14ac:dyDescent="0.25">
      <c r="B64" s="159">
        <v>59</v>
      </c>
      <c r="C64" s="160" t="str">
        <f>IFERROR(INDEX($Q$6:$Q$155,MATCH(59,$S$6:$S$155,0)),"")</f>
        <v>Moleküler Biyoloji Anabilim Dalı</v>
      </c>
      <c r="D64" s="161">
        <f>IF(C64="","",COUNTIFS(Başvuru!$D:$D,C64,Başvuru!$A:$A,"&lt;&gt;"&amp;"",Başvuru!$F:$F,"&lt;&gt;"&amp;""))</f>
        <v>1</v>
      </c>
      <c r="E64" s="159" t="str">
        <f>IF(C64="","-",IF(D64&gt;0,TEXT(D64/(COUNTIFS(Başvuru!$A:$A,"&lt;&gt;",Başvuru!$F:$F,"&lt;&gt;")-1)*100,"0.0")&amp;"%","-"))</f>
        <v>00%</v>
      </c>
      <c r="F64" s="162">
        <f>IF(C64="","",COUNTIFS(Başvuru!$D:$D,C64,Başvuru!$G:$G,"Bireysel Araştırma",Başvuru!$A:$A,"&lt;&gt;"&amp;"",Başvuru!$F:$F,"&lt;&gt;"&amp;""))</f>
        <v>1</v>
      </c>
      <c r="G64" s="162">
        <f>IF(C64="","",COUNTIFS(Başvuru!$D:$D,C64,Başvuru!$G:$G,"Uzmanlık Tezi",Başvuru!$A:$A,"&lt;&gt;"&amp;"",Başvuru!$F:$F,"&lt;&gt;"&amp;""))</f>
        <v>0</v>
      </c>
      <c r="H64" s="162">
        <f>IF(C64="","",COUNTIFS(Başvuru!$D:$D,C64,Başvuru!$G:$G,"Doktora Tezi",Başvuru!$A:$A,"&lt;&gt;"&amp;"",Başvuru!$F:$F,"&lt;&gt;"&amp;""))</f>
        <v>0</v>
      </c>
      <c r="I64" s="162">
        <f>IF(C64="","",COUNTIFS(Başvuru!$D:$D,C64,Başvuru!$G:$G,"Yüksek Lisans Tezi",Başvuru!$A:$A,"&lt;&gt;"&amp;"",Başvuru!$F:$F,"&lt;&gt;"&amp;""))</f>
        <v>0</v>
      </c>
      <c r="J64" s="163">
        <f>IF(C64="","",COUNTIFS(Başvuru!$D:$D,C64,Başvuru!$L:$L,"ONAY",Başvuru!$A:$A,"&lt;&gt;"&amp;"",Başvuru!$F:$F,"&lt;&gt;"&amp;""))</f>
        <v>1</v>
      </c>
      <c r="K64" s="164">
        <f>IF(C64="","",COUNTIFS(Başvuru!$D:$D,C64,Başvuru!$L:$L,"DÜZELTME",Başvuru!$A:$A,"&lt;&gt;"&amp;"",Başvuru!$F:$F,"&lt;&gt;"&amp;""))</f>
        <v>0</v>
      </c>
      <c r="L64" s="165">
        <f>IF(C64="","",COUNTIFS(Başvuru!$D:$D,C64,Başvuru!$L:$L,"KAEK",Başvuru!$A:$A,"&lt;&gt;"&amp;"",Başvuru!$F:$F,"&lt;&gt;"&amp;""))</f>
        <v>0</v>
      </c>
      <c r="M64" s="166">
        <f>IF(C64="","",COUNTIFS(Başvuru!$D:$D,C64,Başvuru!$L:$L,"GÖRÜŞ",Başvuru!$A:$A,"&lt;&gt;"&amp;"",Başvuru!$F:$F,"&lt;&gt;"&amp;""))</f>
        <v>0</v>
      </c>
      <c r="N64" s="167">
        <f>IF(C64="","",COUNTIFS(Başvuru!$D:$D,C64,Başvuru!$L:$L,"RET",Başvuru!$A:$A,"&lt;&gt;"&amp;"",Başvuru!$F:$F,"&lt;&gt;"&amp;""))</f>
        <v>0</v>
      </c>
      <c r="O64" s="168">
        <f>IF(C64="","",COUNTIFS(Başvuru!$D:$D,C64,Başvuru!$L:$L,"KAPSAM DIŞI",Başvuru!$A:$A,"&lt;&gt;"&amp;"",Başvuru!$F:$F,"&lt;&gt;"&amp;""))</f>
        <v>0</v>
      </c>
      <c r="P64" s="169">
        <f>IF(C64="","",COUNTIFS(Başvuru!$D:$D,C64,Başvuru!$L:$L,"GERİ ÇEKİLDİ",Başvuru!$A:$A,"&lt;&gt;"&amp;"",Başvuru!$F:$F,"&lt;&gt;"&amp;""))</f>
        <v>0</v>
      </c>
      <c r="Q64" s="170" t="str">
        <f>IFERROR(INDEX(Başvuru!$D$2:$D$1851,MATCH(59,Başvuru!$Z$2:$Z$1851,0)),"")</f>
        <v>Tıbbi Genetik Anabilim Dalı</v>
      </c>
      <c r="R64" s="171">
        <f>IF(Q64="","",COUNTIFS(Başvuru!$D:$D,Q64,Başvuru!$A:$A,"&lt;&gt;"&amp;"",Başvuru!$F:$F,"&lt;&gt;"&amp;""))</f>
        <v>1</v>
      </c>
      <c r="S64" s="171">
        <f>IF(R64="","",RANK(R64,$R$6:$R$155,0)+COUNTIF($R$6:R64,R64)-1)</f>
        <v>67</v>
      </c>
    </row>
    <row r="65" spans="2:19" x14ac:dyDescent="0.25">
      <c r="B65" s="159">
        <v>60</v>
      </c>
      <c r="C65" s="160" t="str">
        <f>IFERROR(INDEX($Q$6:$Q$155,MATCH(60,$S$6:$S$155,0)),"")</f>
        <v>Fizikokimya Anabilim Dalı</v>
      </c>
      <c r="D65" s="161">
        <f>IF(C65="","",COUNTIFS(Başvuru!$D:$D,C65,Başvuru!$A:$A,"&lt;&gt;"&amp;"",Başvuru!$F:$F,"&lt;&gt;"&amp;""))</f>
        <v>1</v>
      </c>
      <c r="E65" s="159" t="str">
        <f>IF(C65="","-",IF(D65&gt;0,TEXT(D65/(COUNTIFS(Başvuru!$A:$A,"&lt;&gt;",Başvuru!$F:$F,"&lt;&gt;")-1)*100,"0.0")&amp;"%","-"))</f>
        <v>00%</v>
      </c>
      <c r="F65" s="162">
        <f>IF(C65="","",COUNTIFS(Başvuru!$D:$D,C65,Başvuru!$G:$G,"Bireysel Araştırma",Başvuru!$A:$A,"&lt;&gt;"&amp;"",Başvuru!$F:$F,"&lt;&gt;"&amp;""))</f>
        <v>0</v>
      </c>
      <c r="G65" s="162">
        <f>IF(C65="","",COUNTIFS(Başvuru!$D:$D,C65,Başvuru!$G:$G,"Uzmanlık Tezi",Başvuru!$A:$A,"&lt;&gt;"&amp;"",Başvuru!$F:$F,"&lt;&gt;"&amp;""))</f>
        <v>0</v>
      </c>
      <c r="H65" s="162">
        <f>IF(C65="","",COUNTIFS(Başvuru!$D:$D,C65,Başvuru!$G:$G,"Doktora Tezi",Başvuru!$A:$A,"&lt;&gt;"&amp;"",Başvuru!$F:$F,"&lt;&gt;"&amp;""))</f>
        <v>1</v>
      </c>
      <c r="I65" s="162">
        <f>IF(C65="","",COUNTIFS(Başvuru!$D:$D,C65,Başvuru!$G:$G,"Yüksek Lisans Tezi",Başvuru!$A:$A,"&lt;&gt;"&amp;"",Başvuru!$F:$F,"&lt;&gt;"&amp;""))</f>
        <v>0</v>
      </c>
      <c r="J65" s="163">
        <f>IF(C65="","",COUNTIFS(Başvuru!$D:$D,C65,Başvuru!$L:$L,"ONAY",Başvuru!$A:$A,"&lt;&gt;"&amp;"",Başvuru!$F:$F,"&lt;&gt;"&amp;""))</f>
        <v>0</v>
      </c>
      <c r="K65" s="164">
        <f>IF(C65="","",COUNTIFS(Başvuru!$D:$D,C65,Başvuru!$L:$L,"DÜZELTME",Başvuru!$A:$A,"&lt;&gt;"&amp;"",Başvuru!$F:$F,"&lt;&gt;"&amp;""))</f>
        <v>1</v>
      </c>
      <c r="L65" s="165">
        <f>IF(C65="","",COUNTIFS(Başvuru!$D:$D,C65,Başvuru!$L:$L,"KAEK",Başvuru!$A:$A,"&lt;&gt;"&amp;"",Başvuru!$F:$F,"&lt;&gt;"&amp;""))</f>
        <v>0</v>
      </c>
      <c r="M65" s="166">
        <f>IF(C65="","",COUNTIFS(Başvuru!$D:$D,C65,Başvuru!$L:$L,"GÖRÜŞ",Başvuru!$A:$A,"&lt;&gt;"&amp;"",Başvuru!$F:$F,"&lt;&gt;"&amp;""))</f>
        <v>0</v>
      </c>
      <c r="N65" s="167">
        <f>IF(C65="","",COUNTIFS(Başvuru!$D:$D,C65,Başvuru!$L:$L,"RET",Başvuru!$A:$A,"&lt;&gt;"&amp;"",Başvuru!$F:$F,"&lt;&gt;"&amp;""))</f>
        <v>0</v>
      </c>
      <c r="O65" s="168">
        <f>IF(C65="","",COUNTIFS(Başvuru!$D:$D,C65,Başvuru!$L:$L,"KAPSAM DIŞI",Başvuru!$A:$A,"&lt;&gt;"&amp;"",Başvuru!$F:$F,"&lt;&gt;"&amp;""))</f>
        <v>0</v>
      </c>
      <c r="P65" s="169">
        <f>IF(C65="","",COUNTIFS(Başvuru!$D:$D,C65,Başvuru!$L:$L,"GERİ ÇEKİLDİ",Başvuru!$A:$A,"&lt;&gt;"&amp;"",Başvuru!$F:$F,"&lt;&gt;"&amp;""))</f>
        <v>0</v>
      </c>
      <c r="Q65" s="170" t="str">
        <f>IFERROR(INDEX(Başvuru!$D$2:$D$1851,MATCH(60,Başvuru!$Z$2:$Z$1851,0)),"")</f>
        <v>Tıbbi Patoloji Anabilim Dalı</v>
      </c>
      <c r="R65" s="171">
        <f>IF(Q65="","",COUNTIFS(Başvuru!$D:$D,Q65,Başvuru!$A:$A,"&lt;&gt;"&amp;"",Başvuru!$F:$F,"&lt;&gt;"&amp;""))</f>
        <v>6</v>
      </c>
      <c r="S65" s="171">
        <f>IF(R65="","",RANK(R65,$R$6:$R$155,0)+COUNTIF($R$6:R65,R65)-1)</f>
        <v>34</v>
      </c>
    </row>
    <row r="66" spans="2:19" x14ac:dyDescent="0.25">
      <c r="B66" s="159">
        <v>61</v>
      </c>
      <c r="C66" s="160" t="str">
        <f>IFERROR(INDEX($Q$6:$Q$155,MATCH(61,$S$6:$S$155,0)),"")</f>
        <v>Sağlık Araştırmaları Anabilim Dalı</v>
      </c>
      <c r="D66" s="161">
        <f>IF(C66="","",COUNTIFS(Başvuru!$D:$D,C66,Başvuru!$A:$A,"&lt;&gt;"&amp;"",Başvuru!$F:$F,"&lt;&gt;"&amp;""))</f>
        <v>1</v>
      </c>
      <c r="E66" s="159" t="str">
        <f>IF(C66="","-",IF(D66&gt;0,TEXT(D66/(COUNTIFS(Başvuru!$A:$A,"&lt;&gt;",Başvuru!$F:$F,"&lt;&gt;")-1)*100,"0.0")&amp;"%","-"))</f>
        <v>00%</v>
      </c>
      <c r="F66" s="162">
        <f>IF(C66="","",COUNTIFS(Başvuru!$D:$D,C66,Başvuru!$G:$G,"Bireysel Araştırma",Başvuru!$A:$A,"&lt;&gt;"&amp;"",Başvuru!$F:$F,"&lt;&gt;"&amp;""))</f>
        <v>1</v>
      </c>
      <c r="G66" s="162">
        <f>IF(C66="","",COUNTIFS(Başvuru!$D:$D,C66,Başvuru!$G:$G,"Uzmanlık Tezi",Başvuru!$A:$A,"&lt;&gt;"&amp;"",Başvuru!$F:$F,"&lt;&gt;"&amp;""))</f>
        <v>0</v>
      </c>
      <c r="H66" s="162">
        <f>IF(C66="","",COUNTIFS(Başvuru!$D:$D,C66,Başvuru!$G:$G,"Doktora Tezi",Başvuru!$A:$A,"&lt;&gt;"&amp;"",Başvuru!$F:$F,"&lt;&gt;"&amp;""))</f>
        <v>0</v>
      </c>
      <c r="I66" s="162">
        <f>IF(C66="","",COUNTIFS(Başvuru!$D:$D,C66,Başvuru!$G:$G,"Yüksek Lisans Tezi",Başvuru!$A:$A,"&lt;&gt;"&amp;"",Başvuru!$F:$F,"&lt;&gt;"&amp;""))</f>
        <v>0</v>
      </c>
      <c r="J66" s="163">
        <f>IF(C66="","",COUNTIFS(Başvuru!$D:$D,C66,Başvuru!$L:$L,"ONAY",Başvuru!$A:$A,"&lt;&gt;"&amp;"",Başvuru!$F:$F,"&lt;&gt;"&amp;""))</f>
        <v>0</v>
      </c>
      <c r="K66" s="164">
        <f>IF(C66="","",COUNTIFS(Başvuru!$D:$D,C66,Başvuru!$L:$L,"DÜZELTME",Başvuru!$A:$A,"&lt;&gt;"&amp;"",Başvuru!$F:$F,"&lt;&gt;"&amp;""))</f>
        <v>1</v>
      </c>
      <c r="L66" s="165">
        <f>IF(C66="","",COUNTIFS(Başvuru!$D:$D,C66,Başvuru!$L:$L,"KAEK",Başvuru!$A:$A,"&lt;&gt;"&amp;"",Başvuru!$F:$F,"&lt;&gt;"&amp;""))</f>
        <v>0</v>
      </c>
      <c r="M66" s="166">
        <f>IF(C66="","",COUNTIFS(Başvuru!$D:$D,C66,Başvuru!$L:$L,"GÖRÜŞ",Başvuru!$A:$A,"&lt;&gt;"&amp;"",Başvuru!$F:$F,"&lt;&gt;"&amp;""))</f>
        <v>0</v>
      </c>
      <c r="N66" s="167">
        <f>IF(C66="","",COUNTIFS(Başvuru!$D:$D,C66,Başvuru!$L:$L,"RET",Başvuru!$A:$A,"&lt;&gt;"&amp;"",Başvuru!$F:$F,"&lt;&gt;"&amp;""))</f>
        <v>0</v>
      </c>
      <c r="O66" s="168">
        <f>IF(C66="","",COUNTIFS(Başvuru!$D:$D,C66,Başvuru!$L:$L,"KAPSAM DIŞI",Başvuru!$A:$A,"&lt;&gt;"&amp;"",Başvuru!$F:$F,"&lt;&gt;"&amp;""))</f>
        <v>0</v>
      </c>
      <c r="P66" s="169">
        <f>IF(C66="","",COUNTIFS(Başvuru!$D:$D,C66,Başvuru!$L:$L,"GERİ ÇEKİLDİ",Başvuru!$A:$A,"&lt;&gt;"&amp;"",Başvuru!$F:$F,"&lt;&gt;"&amp;""))</f>
        <v>0</v>
      </c>
      <c r="Q66" s="170" t="str">
        <f>IFERROR(INDEX(Başvuru!$D$2:$D$1851,MATCH(61,Başvuru!$Z$2:$Z$1851,0)),"")</f>
        <v>Pedodonti Anabilim Dalı</v>
      </c>
      <c r="R66" s="171">
        <f>IF(Q66="","",COUNTIFS(Başvuru!$D:$D,Q66,Başvuru!$A:$A,"&lt;&gt;"&amp;"",Başvuru!$F:$F,"&lt;&gt;"&amp;""))</f>
        <v>4</v>
      </c>
      <c r="S66" s="171">
        <f>IF(R66="","",RANK(R66,$R$6:$R$155,0)+COUNTIF($R$6:R66,R66)-1)</f>
        <v>40</v>
      </c>
    </row>
    <row r="67" spans="2:19" x14ac:dyDescent="0.25">
      <c r="B67" s="159">
        <v>62</v>
      </c>
      <c r="C67" s="160" t="str">
        <f>IFERROR(INDEX($Q$6:$Q$155,MATCH(62,$S$6:$S$155,0)),"")</f>
        <v>Barcelona Institute for Global Health</v>
      </c>
      <c r="D67" s="161">
        <f>IF(C67="","",COUNTIFS(Başvuru!$D:$D,C67,Başvuru!$A:$A,"&lt;&gt;"&amp;"",Başvuru!$F:$F,"&lt;&gt;"&amp;""))</f>
        <v>1</v>
      </c>
      <c r="E67" s="159" t="str">
        <f>IF(C67="","-",IF(D67&gt;0,TEXT(D67/(COUNTIFS(Başvuru!$A:$A,"&lt;&gt;",Başvuru!$F:$F,"&lt;&gt;")-1)*100,"0.0")&amp;"%","-"))</f>
        <v>00%</v>
      </c>
      <c r="F67" s="162">
        <f>IF(C67="","",COUNTIFS(Başvuru!$D:$D,C67,Başvuru!$G:$G,"Bireysel Araştırma",Başvuru!$A:$A,"&lt;&gt;"&amp;"",Başvuru!$F:$F,"&lt;&gt;"&amp;""))</f>
        <v>1</v>
      </c>
      <c r="G67" s="162">
        <f>IF(C67="","",COUNTIFS(Başvuru!$D:$D,C67,Başvuru!$G:$G,"Uzmanlık Tezi",Başvuru!$A:$A,"&lt;&gt;"&amp;"",Başvuru!$F:$F,"&lt;&gt;"&amp;""))</f>
        <v>0</v>
      </c>
      <c r="H67" s="162">
        <f>IF(C67="","",COUNTIFS(Başvuru!$D:$D,C67,Başvuru!$G:$G,"Doktora Tezi",Başvuru!$A:$A,"&lt;&gt;"&amp;"",Başvuru!$F:$F,"&lt;&gt;"&amp;""))</f>
        <v>0</v>
      </c>
      <c r="I67" s="162">
        <f>IF(C67="","",COUNTIFS(Başvuru!$D:$D,C67,Başvuru!$G:$G,"Yüksek Lisans Tezi",Başvuru!$A:$A,"&lt;&gt;"&amp;"",Başvuru!$F:$F,"&lt;&gt;"&amp;""))</f>
        <v>0</v>
      </c>
      <c r="J67" s="163">
        <f>IF(C67="","",COUNTIFS(Başvuru!$D:$D,C67,Başvuru!$L:$L,"ONAY",Başvuru!$A:$A,"&lt;&gt;"&amp;"",Başvuru!$F:$F,"&lt;&gt;"&amp;""))</f>
        <v>0</v>
      </c>
      <c r="K67" s="164">
        <f>IF(C67="","",COUNTIFS(Başvuru!$D:$D,C67,Başvuru!$L:$L,"DÜZELTME",Başvuru!$A:$A,"&lt;&gt;"&amp;"",Başvuru!$F:$F,"&lt;&gt;"&amp;""))</f>
        <v>1</v>
      </c>
      <c r="L67" s="165">
        <f>IF(C67="","",COUNTIFS(Başvuru!$D:$D,C67,Başvuru!$L:$L,"KAEK",Başvuru!$A:$A,"&lt;&gt;"&amp;"",Başvuru!$F:$F,"&lt;&gt;"&amp;""))</f>
        <v>0</v>
      </c>
      <c r="M67" s="166">
        <f>IF(C67="","",COUNTIFS(Başvuru!$D:$D,C67,Başvuru!$L:$L,"GÖRÜŞ",Başvuru!$A:$A,"&lt;&gt;"&amp;"",Başvuru!$F:$F,"&lt;&gt;"&amp;""))</f>
        <v>0</v>
      </c>
      <c r="N67" s="167">
        <f>IF(C67="","",COUNTIFS(Başvuru!$D:$D,C67,Başvuru!$L:$L,"RET",Başvuru!$A:$A,"&lt;&gt;"&amp;"",Başvuru!$F:$F,"&lt;&gt;"&amp;""))</f>
        <v>0</v>
      </c>
      <c r="O67" s="168">
        <f>IF(C67="","",COUNTIFS(Başvuru!$D:$D,C67,Başvuru!$L:$L,"KAPSAM DIŞI",Başvuru!$A:$A,"&lt;&gt;"&amp;"",Başvuru!$F:$F,"&lt;&gt;"&amp;""))</f>
        <v>0</v>
      </c>
      <c r="P67" s="169">
        <f>IF(C67="","",COUNTIFS(Başvuru!$D:$D,C67,Başvuru!$L:$L,"GERİ ÇEKİLDİ",Başvuru!$A:$A,"&lt;&gt;"&amp;"",Başvuru!$F:$F,"&lt;&gt;"&amp;""))</f>
        <v>0</v>
      </c>
      <c r="Q67" s="170" t="str">
        <f>IFERROR(INDEX(Başvuru!$D$2:$D$1851,MATCH(62,Başvuru!$Z$2:$Z$1851,0)),"")</f>
        <v>Tıbbi Biyokimya Anabilim Dalı</v>
      </c>
      <c r="R67" s="171">
        <f>IF(Q67="","",COUNTIFS(Başvuru!$D:$D,Q67,Başvuru!$A:$A,"&lt;&gt;"&amp;"",Başvuru!$F:$F,"&lt;&gt;"&amp;""))</f>
        <v>3</v>
      </c>
      <c r="S67" s="171">
        <f>IF(R67="","",RANK(R67,$R$6:$R$155,0)+COUNTIF($R$6:R67,R67)-1)</f>
        <v>43</v>
      </c>
    </row>
    <row r="68" spans="2:19" x14ac:dyDescent="0.25">
      <c r="B68" s="159">
        <v>63</v>
      </c>
      <c r="C68" s="160" t="str">
        <f>IFERROR(INDEX($Q$6:$Q$155,MATCH(63,$S$6:$S$155,0)),"")</f>
        <v>Sosyal Pediatri Anabilim Dalı</v>
      </c>
      <c r="D68" s="161">
        <f>IF(C68="","",COUNTIFS(Başvuru!$D:$D,C68,Başvuru!$A:$A,"&lt;&gt;"&amp;"",Başvuru!$F:$F,"&lt;&gt;"&amp;""))</f>
        <v>1</v>
      </c>
      <c r="E68" s="159" t="str">
        <f>IF(C68="","-",IF(D68&gt;0,TEXT(D68/(COUNTIFS(Başvuru!$A:$A,"&lt;&gt;",Başvuru!$F:$F,"&lt;&gt;")-1)*100,"0.0")&amp;"%","-"))</f>
        <v>00%</v>
      </c>
      <c r="F68" s="162">
        <f>IF(C68="","",COUNTIFS(Başvuru!$D:$D,C68,Başvuru!$G:$G,"Bireysel Araştırma",Başvuru!$A:$A,"&lt;&gt;"&amp;"",Başvuru!$F:$F,"&lt;&gt;"&amp;""))</f>
        <v>0</v>
      </c>
      <c r="G68" s="162">
        <f>IF(C68="","",COUNTIFS(Başvuru!$D:$D,C68,Başvuru!$G:$G,"Uzmanlık Tezi",Başvuru!$A:$A,"&lt;&gt;"&amp;"",Başvuru!$F:$F,"&lt;&gt;"&amp;""))</f>
        <v>0</v>
      </c>
      <c r="H68" s="162">
        <f>IF(C68="","",COUNTIFS(Başvuru!$D:$D,C68,Başvuru!$G:$G,"Doktora Tezi",Başvuru!$A:$A,"&lt;&gt;"&amp;"",Başvuru!$F:$F,"&lt;&gt;"&amp;""))</f>
        <v>1</v>
      </c>
      <c r="I68" s="162">
        <f>IF(C68="","",COUNTIFS(Başvuru!$D:$D,C68,Başvuru!$G:$G,"Yüksek Lisans Tezi",Başvuru!$A:$A,"&lt;&gt;"&amp;"",Başvuru!$F:$F,"&lt;&gt;"&amp;""))</f>
        <v>0</v>
      </c>
      <c r="J68" s="163">
        <f>IF(C68="","",COUNTIFS(Başvuru!$D:$D,C68,Başvuru!$L:$L,"ONAY",Başvuru!$A:$A,"&lt;&gt;"&amp;"",Başvuru!$F:$F,"&lt;&gt;"&amp;""))</f>
        <v>1</v>
      </c>
      <c r="K68" s="164">
        <f>IF(C68="","",COUNTIFS(Başvuru!$D:$D,C68,Başvuru!$L:$L,"DÜZELTME",Başvuru!$A:$A,"&lt;&gt;"&amp;"",Başvuru!$F:$F,"&lt;&gt;"&amp;""))</f>
        <v>0</v>
      </c>
      <c r="L68" s="165">
        <f>IF(C68="","",COUNTIFS(Başvuru!$D:$D,C68,Başvuru!$L:$L,"KAEK",Başvuru!$A:$A,"&lt;&gt;"&amp;"",Başvuru!$F:$F,"&lt;&gt;"&amp;""))</f>
        <v>0</v>
      </c>
      <c r="M68" s="166">
        <f>IF(C68="","",COUNTIFS(Başvuru!$D:$D,C68,Başvuru!$L:$L,"GÖRÜŞ",Başvuru!$A:$A,"&lt;&gt;"&amp;"",Başvuru!$F:$F,"&lt;&gt;"&amp;""))</f>
        <v>0</v>
      </c>
      <c r="N68" s="167">
        <f>IF(C68="","",COUNTIFS(Başvuru!$D:$D,C68,Başvuru!$L:$L,"RET",Başvuru!$A:$A,"&lt;&gt;"&amp;"",Başvuru!$F:$F,"&lt;&gt;"&amp;""))</f>
        <v>0</v>
      </c>
      <c r="O68" s="168">
        <f>IF(C68="","",COUNTIFS(Başvuru!$D:$D,C68,Başvuru!$L:$L,"KAPSAM DIŞI",Başvuru!$A:$A,"&lt;&gt;"&amp;"",Başvuru!$F:$F,"&lt;&gt;"&amp;""))</f>
        <v>0</v>
      </c>
      <c r="P68" s="169">
        <f>IF(C68="","",COUNTIFS(Başvuru!$D:$D,C68,Başvuru!$L:$L,"GERİ ÇEKİLDİ",Başvuru!$A:$A,"&lt;&gt;"&amp;"",Başvuru!$F:$F,"&lt;&gt;"&amp;""))</f>
        <v>0</v>
      </c>
      <c r="Q68" s="170" t="str">
        <f>IFERROR(INDEX(Başvuru!$D$2:$D$1851,MATCH(63,Başvuru!$Z$2:$Z$1851,0)),"")</f>
        <v>Genel Cerrahi Anabilim Dalı</v>
      </c>
      <c r="R68" s="171">
        <f>IF(Q68="","",COUNTIFS(Başvuru!$D:$D,Q68,Başvuru!$A:$A,"&lt;&gt;"&amp;"",Başvuru!$F:$F,"&lt;&gt;"&amp;""))</f>
        <v>2</v>
      </c>
      <c r="S68" s="171">
        <f>IF(R68="","",RANK(R68,$R$6:$R$155,0)+COUNTIF($R$6:R68,R68)-1)</f>
        <v>55</v>
      </c>
    </row>
    <row r="69" spans="2:19" x14ac:dyDescent="0.25">
      <c r="B69" s="159">
        <v>64</v>
      </c>
      <c r="C69" s="160" t="str">
        <f>IFERROR(INDEX($Q$6:$Q$155,MATCH(64,$S$6:$S$155,0)),"")</f>
        <v>Tıbbi Laboratuvar Teknikleri Programı</v>
      </c>
      <c r="D69" s="161">
        <f>IF(C69="","",COUNTIFS(Başvuru!$D:$D,C69,Başvuru!$A:$A,"&lt;&gt;"&amp;"",Başvuru!$F:$F,"&lt;&gt;"&amp;""))</f>
        <v>1</v>
      </c>
      <c r="E69" s="159" t="str">
        <f>IF(C69="","-",IF(D69&gt;0,TEXT(D69/(COUNTIFS(Başvuru!$A:$A,"&lt;&gt;",Başvuru!$F:$F,"&lt;&gt;")-1)*100,"0.0")&amp;"%","-"))</f>
        <v>00%</v>
      </c>
      <c r="F69" s="162">
        <f>IF(C69="","",COUNTIFS(Başvuru!$D:$D,C69,Başvuru!$G:$G,"Bireysel Araştırma",Başvuru!$A:$A,"&lt;&gt;"&amp;"",Başvuru!$F:$F,"&lt;&gt;"&amp;""))</f>
        <v>1</v>
      </c>
      <c r="G69" s="162">
        <f>IF(C69="","",COUNTIFS(Başvuru!$D:$D,C69,Başvuru!$G:$G,"Uzmanlık Tezi",Başvuru!$A:$A,"&lt;&gt;"&amp;"",Başvuru!$F:$F,"&lt;&gt;"&amp;""))</f>
        <v>0</v>
      </c>
      <c r="H69" s="162">
        <f>IF(C69="","",COUNTIFS(Başvuru!$D:$D,C69,Başvuru!$G:$G,"Doktora Tezi",Başvuru!$A:$A,"&lt;&gt;"&amp;"",Başvuru!$F:$F,"&lt;&gt;"&amp;""))</f>
        <v>0</v>
      </c>
      <c r="I69" s="162">
        <f>IF(C69="","",COUNTIFS(Başvuru!$D:$D,C69,Başvuru!$G:$G,"Yüksek Lisans Tezi",Başvuru!$A:$A,"&lt;&gt;"&amp;"",Başvuru!$F:$F,"&lt;&gt;"&amp;""))</f>
        <v>0</v>
      </c>
      <c r="J69" s="163">
        <f>IF(C69="","",COUNTIFS(Başvuru!$D:$D,C69,Başvuru!$L:$L,"ONAY",Başvuru!$A:$A,"&lt;&gt;"&amp;"",Başvuru!$F:$F,"&lt;&gt;"&amp;""))</f>
        <v>0</v>
      </c>
      <c r="K69" s="164">
        <f>IF(C69="","",COUNTIFS(Başvuru!$D:$D,C69,Başvuru!$L:$L,"DÜZELTME",Başvuru!$A:$A,"&lt;&gt;"&amp;"",Başvuru!$F:$F,"&lt;&gt;"&amp;""))</f>
        <v>1</v>
      </c>
      <c r="L69" s="165">
        <f>IF(C69="","",COUNTIFS(Başvuru!$D:$D,C69,Başvuru!$L:$L,"KAEK",Başvuru!$A:$A,"&lt;&gt;"&amp;"",Başvuru!$F:$F,"&lt;&gt;"&amp;""))</f>
        <v>0</v>
      </c>
      <c r="M69" s="166">
        <f>IF(C69="","",COUNTIFS(Başvuru!$D:$D,C69,Başvuru!$L:$L,"GÖRÜŞ",Başvuru!$A:$A,"&lt;&gt;"&amp;"",Başvuru!$F:$F,"&lt;&gt;"&amp;""))</f>
        <v>0</v>
      </c>
      <c r="N69" s="167">
        <f>IF(C69="","",COUNTIFS(Başvuru!$D:$D,C69,Başvuru!$L:$L,"RET",Başvuru!$A:$A,"&lt;&gt;"&amp;"",Başvuru!$F:$F,"&lt;&gt;"&amp;""))</f>
        <v>0</v>
      </c>
      <c r="O69" s="168">
        <f>IF(C69="","",COUNTIFS(Başvuru!$D:$D,C69,Başvuru!$L:$L,"KAPSAM DIŞI",Başvuru!$A:$A,"&lt;&gt;"&amp;"",Başvuru!$F:$F,"&lt;&gt;"&amp;""))</f>
        <v>0</v>
      </c>
      <c r="P69" s="169">
        <f>IF(C69="","",COUNTIFS(Başvuru!$D:$D,C69,Başvuru!$L:$L,"GERİ ÇEKİLDİ",Başvuru!$A:$A,"&lt;&gt;"&amp;"",Başvuru!$F:$F,"&lt;&gt;"&amp;""))</f>
        <v>0</v>
      </c>
      <c r="Q69" s="170" t="str">
        <f>IFERROR(INDEX(Başvuru!$D$2:$D$1851,MATCH(64,Başvuru!$Z$2:$Z$1851,0)),"")</f>
        <v>Egzersizde Beslenme ve Metabolizma Anabilim Dalı</v>
      </c>
      <c r="R69" s="171">
        <f>IF(Q69="","",COUNTIFS(Başvuru!$D:$D,Q69,Başvuru!$A:$A,"&lt;&gt;"&amp;"",Başvuru!$F:$F,"&lt;&gt;"&amp;""))</f>
        <v>2</v>
      </c>
      <c r="S69" s="171">
        <f>IF(R69="","",RANK(R69,$R$6:$R$155,0)+COUNTIF($R$6:R69,R69)-1)</f>
        <v>56</v>
      </c>
    </row>
    <row r="70" spans="2:19" x14ac:dyDescent="0.25">
      <c r="B70" s="159">
        <v>65</v>
      </c>
      <c r="C70" s="160" t="str">
        <f>IFERROR(INDEX($Q$6:$Q$155,MATCH(65,$S$6:$S$155,0)),"")</f>
        <v>Biyoinformatik Anabilim Dalı</v>
      </c>
      <c r="D70" s="161">
        <f>IF(C70="","",COUNTIFS(Başvuru!$D:$D,C70,Başvuru!$A:$A,"&lt;&gt;"&amp;"",Başvuru!$F:$F,"&lt;&gt;"&amp;""))</f>
        <v>1</v>
      </c>
      <c r="E70" s="159" t="str">
        <f>IF(C70="","-",IF(D70&gt;0,TEXT(D70/(COUNTIFS(Başvuru!$A:$A,"&lt;&gt;",Başvuru!$F:$F,"&lt;&gt;")-1)*100,"0.0")&amp;"%","-"))</f>
        <v>00%</v>
      </c>
      <c r="F70" s="162">
        <f>IF(C70="","",COUNTIFS(Başvuru!$D:$D,C70,Başvuru!$G:$G,"Bireysel Araştırma",Başvuru!$A:$A,"&lt;&gt;"&amp;"",Başvuru!$F:$F,"&lt;&gt;"&amp;""))</f>
        <v>0</v>
      </c>
      <c r="G70" s="162">
        <f>IF(C70="","",COUNTIFS(Başvuru!$D:$D,C70,Başvuru!$G:$G,"Uzmanlık Tezi",Başvuru!$A:$A,"&lt;&gt;"&amp;"",Başvuru!$F:$F,"&lt;&gt;"&amp;""))</f>
        <v>0</v>
      </c>
      <c r="H70" s="162">
        <f>IF(C70="","",COUNTIFS(Başvuru!$D:$D,C70,Başvuru!$G:$G,"Doktora Tezi",Başvuru!$A:$A,"&lt;&gt;"&amp;"",Başvuru!$F:$F,"&lt;&gt;"&amp;""))</f>
        <v>0</v>
      </c>
      <c r="I70" s="162">
        <f>IF(C70="","",COUNTIFS(Başvuru!$D:$D,C70,Başvuru!$G:$G,"Yüksek Lisans Tezi",Başvuru!$A:$A,"&lt;&gt;"&amp;"",Başvuru!$F:$F,"&lt;&gt;"&amp;""))</f>
        <v>1</v>
      </c>
      <c r="J70" s="163">
        <f>IF(C70="","",COUNTIFS(Başvuru!$D:$D,C70,Başvuru!$L:$L,"ONAY",Başvuru!$A:$A,"&lt;&gt;"&amp;"",Başvuru!$F:$F,"&lt;&gt;"&amp;""))</f>
        <v>1</v>
      </c>
      <c r="K70" s="164">
        <f>IF(C70="","",COUNTIFS(Başvuru!$D:$D,C70,Başvuru!$L:$L,"DÜZELTME",Başvuru!$A:$A,"&lt;&gt;"&amp;"",Başvuru!$F:$F,"&lt;&gt;"&amp;""))</f>
        <v>0</v>
      </c>
      <c r="L70" s="165">
        <f>IF(C70="","",COUNTIFS(Başvuru!$D:$D,C70,Başvuru!$L:$L,"KAEK",Başvuru!$A:$A,"&lt;&gt;"&amp;"",Başvuru!$F:$F,"&lt;&gt;"&amp;""))</f>
        <v>0</v>
      </c>
      <c r="M70" s="166">
        <f>IF(C70="","",COUNTIFS(Başvuru!$D:$D,C70,Başvuru!$L:$L,"GÖRÜŞ",Başvuru!$A:$A,"&lt;&gt;"&amp;"",Başvuru!$F:$F,"&lt;&gt;"&amp;""))</f>
        <v>0</v>
      </c>
      <c r="N70" s="167">
        <f>IF(C70="","",COUNTIFS(Başvuru!$D:$D,C70,Başvuru!$L:$L,"RET",Başvuru!$A:$A,"&lt;&gt;"&amp;"",Başvuru!$F:$F,"&lt;&gt;"&amp;""))</f>
        <v>0</v>
      </c>
      <c r="O70" s="168">
        <f>IF(C70="","",COUNTIFS(Başvuru!$D:$D,C70,Başvuru!$L:$L,"KAPSAM DIŞI",Başvuru!$A:$A,"&lt;&gt;"&amp;"",Başvuru!$F:$F,"&lt;&gt;"&amp;""))</f>
        <v>0</v>
      </c>
      <c r="P70" s="169">
        <f>IF(C70="","",COUNTIFS(Başvuru!$D:$D,C70,Başvuru!$L:$L,"GERİ ÇEKİLDİ",Başvuru!$A:$A,"&lt;&gt;"&amp;"",Başvuru!$F:$F,"&lt;&gt;"&amp;""))</f>
        <v>0</v>
      </c>
      <c r="Q70" s="170" t="str">
        <f>IFERROR(INDEX(Başvuru!$D$2:$D$1851,MATCH(65,Başvuru!$Z$2:$Z$1851,0)),"")</f>
        <v>Biyofizik Anabilim Dalı</v>
      </c>
      <c r="R70" s="171">
        <f>IF(Q70="","",COUNTIFS(Başvuru!$D:$D,Q70,Başvuru!$A:$A,"&lt;&gt;"&amp;"",Başvuru!$F:$F,"&lt;&gt;"&amp;""))</f>
        <v>3</v>
      </c>
      <c r="S70" s="171">
        <f>IF(R70="","",RANK(R70,$R$6:$R$155,0)+COUNTIF($R$6:R70,R70)-1)</f>
        <v>44</v>
      </c>
    </row>
    <row r="71" spans="2:19" x14ac:dyDescent="0.25">
      <c r="B71" s="159">
        <v>66</v>
      </c>
      <c r="C71" s="160" t="str">
        <f>IFERROR(INDEX($Q$6:$Q$155,MATCH(66,$S$6:$S$155,0)),"")</f>
        <v>Çocuk Sağlığı Entitüsü</v>
      </c>
      <c r="D71" s="161">
        <f>IF(C71="","",COUNTIFS(Başvuru!$D:$D,C71,Başvuru!$A:$A,"&lt;&gt;"&amp;"",Başvuru!$F:$F,"&lt;&gt;"&amp;""))</f>
        <v>1</v>
      </c>
      <c r="E71" s="159" t="str">
        <f>IF(C71="","-",IF(D71&gt;0,TEXT(D71/(COUNTIFS(Başvuru!$A:$A,"&lt;&gt;",Başvuru!$F:$F,"&lt;&gt;")-1)*100,"0.0")&amp;"%","-"))</f>
        <v>00%</v>
      </c>
      <c r="F71" s="162">
        <f>IF(C71="","",COUNTIFS(Başvuru!$D:$D,C71,Başvuru!$G:$G,"Bireysel Araştırma",Başvuru!$A:$A,"&lt;&gt;"&amp;"",Başvuru!$F:$F,"&lt;&gt;"&amp;""))</f>
        <v>1</v>
      </c>
      <c r="G71" s="162">
        <f>IF(C71="","",COUNTIFS(Başvuru!$D:$D,C71,Başvuru!$G:$G,"Uzmanlık Tezi",Başvuru!$A:$A,"&lt;&gt;"&amp;"",Başvuru!$F:$F,"&lt;&gt;"&amp;""))</f>
        <v>0</v>
      </c>
      <c r="H71" s="162">
        <f>IF(C71="","",COUNTIFS(Başvuru!$D:$D,C71,Başvuru!$G:$G,"Doktora Tezi",Başvuru!$A:$A,"&lt;&gt;"&amp;"",Başvuru!$F:$F,"&lt;&gt;"&amp;""))</f>
        <v>0</v>
      </c>
      <c r="I71" s="162">
        <f>IF(C71="","",COUNTIFS(Başvuru!$D:$D,C71,Başvuru!$G:$G,"Yüksek Lisans Tezi",Başvuru!$A:$A,"&lt;&gt;"&amp;"",Başvuru!$F:$F,"&lt;&gt;"&amp;""))</f>
        <v>0</v>
      </c>
      <c r="J71" s="163">
        <f>IF(C71="","",COUNTIFS(Başvuru!$D:$D,C71,Başvuru!$L:$L,"ONAY",Başvuru!$A:$A,"&lt;&gt;"&amp;"",Başvuru!$F:$F,"&lt;&gt;"&amp;""))</f>
        <v>0</v>
      </c>
      <c r="K71" s="164">
        <f>IF(C71="","",COUNTIFS(Başvuru!$D:$D,C71,Başvuru!$L:$L,"DÜZELTME",Başvuru!$A:$A,"&lt;&gt;"&amp;"",Başvuru!$F:$F,"&lt;&gt;"&amp;""))</f>
        <v>1</v>
      </c>
      <c r="L71" s="165">
        <f>IF(C71="","",COUNTIFS(Başvuru!$D:$D,C71,Başvuru!$L:$L,"KAEK",Başvuru!$A:$A,"&lt;&gt;"&amp;"",Başvuru!$F:$F,"&lt;&gt;"&amp;""))</f>
        <v>0</v>
      </c>
      <c r="M71" s="166">
        <f>IF(C71="","",COUNTIFS(Başvuru!$D:$D,C71,Başvuru!$L:$L,"GÖRÜŞ",Başvuru!$A:$A,"&lt;&gt;"&amp;"",Başvuru!$F:$F,"&lt;&gt;"&amp;""))</f>
        <v>0</v>
      </c>
      <c r="N71" s="167">
        <f>IF(C71="","",COUNTIFS(Başvuru!$D:$D,C71,Başvuru!$L:$L,"RET",Başvuru!$A:$A,"&lt;&gt;"&amp;"",Başvuru!$F:$F,"&lt;&gt;"&amp;""))</f>
        <v>0</v>
      </c>
      <c r="O71" s="168">
        <f>IF(C71="","",COUNTIFS(Başvuru!$D:$D,C71,Başvuru!$L:$L,"KAPSAM DIŞI",Başvuru!$A:$A,"&lt;&gt;"&amp;"",Başvuru!$F:$F,"&lt;&gt;"&amp;""))</f>
        <v>0</v>
      </c>
      <c r="P71" s="169">
        <f>IF(C71="","",COUNTIFS(Başvuru!$D:$D,C71,Başvuru!$L:$L,"GERİ ÇEKİLDİ",Başvuru!$A:$A,"&lt;&gt;"&amp;"",Başvuru!$F:$F,"&lt;&gt;"&amp;""))</f>
        <v>0</v>
      </c>
      <c r="Q71" s="170" t="str">
        <f>IFERROR(INDEX(Başvuru!$D$2:$D$1851,MATCH(66,Başvuru!$Z$2:$Z$1851,0)),"")</f>
        <v>Klinik Psikoloji Anabilim Dalı</v>
      </c>
      <c r="R71" s="171">
        <f>IF(Q71="","",COUNTIFS(Başvuru!$D:$D,Q71,Başvuru!$A:$A,"&lt;&gt;"&amp;"",Başvuru!$F:$F,"&lt;&gt;"&amp;""))</f>
        <v>1</v>
      </c>
      <c r="S71" s="171">
        <f>IF(R71="","",RANK(R71,$R$6:$R$155,0)+COUNTIF($R$6:R71,R71)-1)</f>
        <v>68</v>
      </c>
    </row>
    <row r="72" spans="2:19" x14ac:dyDescent="0.25">
      <c r="B72" s="159">
        <v>67</v>
      </c>
      <c r="C72" s="160" t="str">
        <f>IFERROR(INDEX($Q$6:$Q$155,MATCH(67,$S$6:$S$155,0)),"")</f>
        <v>Tıbbi Genetik Anabilim Dalı</v>
      </c>
      <c r="D72" s="161">
        <f>IF(C72="","",COUNTIFS(Başvuru!$D:$D,C72,Başvuru!$A:$A,"&lt;&gt;"&amp;"",Başvuru!$F:$F,"&lt;&gt;"&amp;""))</f>
        <v>1</v>
      </c>
      <c r="E72" s="159" t="str">
        <f>IF(C72="","-",IF(D72&gt;0,TEXT(D72/(COUNTIFS(Başvuru!$A:$A,"&lt;&gt;",Başvuru!$F:$F,"&lt;&gt;")-1)*100,"0.0")&amp;"%","-"))</f>
        <v>00%</v>
      </c>
      <c r="F72" s="162">
        <f>IF(C72="","",COUNTIFS(Başvuru!$D:$D,C72,Başvuru!$G:$G,"Bireysel Araştırma",Başvuru!$A:$A,"&lt;&gt;"&amp;"",Başvuru!$F:$F,"&lt;&gt;"&amp;""))</f>
        <v>0</v>
      </c>
      <c r="G72" s="162">
        <f>IF(C72="","",COUNTIFS(Başvuru!$D:$D,C72,Başvuru!$G:$G,"Uzmanlık Tezi",Başvuru!$A:$A,"&lt;&gt;"&amp;"",Başvuru!$F:$F,"&lt;&gt;"&amp;""))</f>
        <v>1</v>
      </c>
      <c r="H72" s="162">
        <f>IF(C72="","",COUNTIFS(Başvuru!$D:$D,C72,Başvuru!$G:$G,"Doktora Tezi",Başvuru!$A:$A,"&lt;&gt;"&amp;"",Başvuru!$F:$F,"&lt;&gt;"&amp;""))</f>
        <v>0</v>
      </c>
      <c r="I72" s="162">
        <f>IF(C72="","",COUNTIFS(Başvuru!$D:$D,C72,Başvuru!$G:$G,"Yüksek Lisans Tezi",Başvuru!$A:$A,"&lt;&gt;"&amp;"",Başvuru!$F:$F,"&lt;&gt;"&amp;""))</f>
        <v>0</v>
      </c>
      <c r="J72" s="163">
        <f>IF(C72="","",COUNTIFS(Başvuru!$D:$D,C72,Başvuru!$L:$L,"ONAY",Başvuru!$A:$A,"&lt;&gt;"&amp;"",Başvuru!$F:$F,"&lt;&gt;"&amp;""))</f>
        <v>1</v>
      </c>
      <c r="K72" s="164">
        <f>IF(C72="","",COUNTIFS(Başvuru!$D:$D,C72,Başvuru!$L:$L,"DÜZELTME",Başvuru!$A:$A,"&lt;&gt;"&amp;"",Başvuru!$F:$F,"&lt;&gt;"&amp;""))</f>
        <v>0</v>
      </c>
      <c r="L72" s="165">
        <f>IF(C72="","",COUNTIFS(Başvuru!$D:$D,C72,Başvuru!$L:$L,"KAEK",Başvuru!$A:$A,"&lt;&gt;"&amp;"",Başvuru!$F:$F,"&lt;&gt;"&amp;""))</f>
        <v>0</v>
      </c>
      <c r="M72" s="166">
        <f>IF(C72="","",COUNTIFS(Başvuru!$D:$D,C72,Başvuru!$L:$L,"GÖRÜŞ",Başvuru!$A:$A,"&lt;&gt;"&amp;"",Başvuru!$F:$F,"&lt;&gt;"&amp;""))</f>
        <v>0</v>
      </c>
      <c r="N72" s="167">
        <f>IF(C72="","",COUNTIFS(Başvuru!$D:$D,C72,Başvuru!$L:$L,"RET",Başvuru!$A:$A,"&lt;&gt;"&amp;"",Başvuru!$F:$F,"&lt;&gt;"&amp;""))</f>
        <v>0</v>
      </c>
      <c r="O72" s="168">
        <f>IF(C72="","",COUNTIFS(Başvuru!$D:$D,C72,Başvuru!$L:$L,"KAPSAM DIŞI",Başvuru!$A:$A,"&lt;&gt;"&amp;"",Başvuru!$F:$F,"&lt;&gt;"&amp;""))</f>
        <v>0</v>
      </c>
      <c r="P72" s="169">
        <f>IF(C72="","",COUNTIFS(Başvuru!$D:$D,C72,Başvuru!$L:$L,"GERİ ÇEKİLDİ",Başvuru!$A:$A,"&lt;&gt;"&amp;"",Başvuru!$F:$F,"&lt;&gt;"&amp;""))</f>
        <v>0</v>
      </c>
      <c r="Q72" s="170" t="str">
        <f>IFERROR(INDEX(Başvuru!$D$2:$D$1851,MATCH(67,Başvuru!$Z$2:$Z$1851,0)),"")</f>
        <v>Tıbbi Farmakoloji Anabilim Dalı</v>
      </c>
      <c r="R72" s="171">
        <f>IF(Q72="","",COUNTIFS(Başvuru!$D:$D,Q72,Başvuru!$A:$A,"&lt;&gt;"&amp;"",Başvuru!$F:$F,"&lt;&gt;"&amp;""))</f>
        <v>1</v>
      </c>
      <c r="S72" s="171">
        <f>IF(R72="","",RANK(R72,$R$6:$R$155,0)+COUNTIF($R$6:R72,R72)-1)</f>
        <v>69</v>
      </c>
    </row>
    <row r="73" spans="2:19" x14ac:dyDescent="0.25">
      <c r="B73" s="159">
        <v>68</v>
      </c>
      <c r="C73" s="160" t="str">
        <f>IFERROR(INDEX($Q$6:$Q$155,MATCH(68,$S$6:$S$155,0)),"")</f>
        <v>Klinik Psikoloji Anabilim Dalı</v>
      </c>
      <c r="D73" s="161">
        <f>IF(C73="","",COUNTIFS(Başvuru!$D:$D,C73,Başvuru!$A:$A,"&lt;&gt;"&amp;"",Başvuru!$F:$F,"&lt;&gt;"&amp;""))</f>
        <v>1</v>
      </c>
      <c r="E73" s="159" t="str">
        <f>IF(C73="","-",IF(D73&gt;0,TEXT(D73/(COUNTIFS(Başvuru!$A:$A,"&lt;&gt;",Başvuru!$F:$F,"&lt;&gt;")-1)*100,"0.0")&amp;"%","-"))</f>
        <v>00%</v>
      </c>
      <c r="F73" s="162">
        <f>IF(C73="","",COUNTIFS(Başvuru!$D:$D,C73,Başvuru!$G:$G,"Bireysel Araştırma",Başvuru!$A:$A,"&lt;&gt;"&amp;"",Başvuru!$F:$F,"&lt;&gt;"&amp;""))</f>
        <v>0</v>
      </c>
      <c r="G73" s="162">
        <f>IF(C73="","",COUNTIFS(Başvuru!$D:$D,C73,Başvuru!$G:$G,"Uzmanlık Tezi",Başvuru!$A:$A,"&lt;&gt;"&amp;"",Başvuru!$F:$F,"&lt;&gt;"&amp;""))</f>
        <v>0</v>
      </c>
      <c r="H73" s="162">
        <f>IF(C73="","",COUNTIFS(Başvuru!$D:$D,C73,Başvuru!$G:$G,"Doktora Tezi",Başvuru!$A:$A,"&lt;&gt;"&amp;"",Başvuru!$F:$F,"&lt;&gt;"&amp;""))</f>
        <v>1</v>
      </c>
      <c r="I73" s="162">
        <f>IF(C73="","",COUNTIFS(Başvuru!$D:$D,C73,Başvuru!$G:$G,"Yüksek Lisans Tezi",Başvuru!$A:$A,"&lt;&gt;"&amp;"",Başvuru!$F:$F,"&lt;&gt;"&amp;""))</f>
        <v>0</v>
      </c>
      <c r="J73" s="163">
        <f>IF(C73="","",COUNTIFS(Başvuru!$D:$D,C73,Başvuru!$L:$L,"ONAY",Başvuru!$A:$A,"&lt;&gt;"&amp;"",Başvuru!$F:$F,"&lt;&gt;"&amp;""))</f>
        <v>1</v>
      </c>
      <c r="K73" s="164">
        <f>IF(C73="","",COUNTIFS(Başvuru!$D:$D,C73,Başvuru!$L:$L,"DÜZELTME",Başvuru!$A:$A,"&lt;&gt;"&amp;"",Başvuru!$F:$F,"&lt;&gt;"&amp;""))</f>
        <v>0</v>
      </c>
      <c r="L73" s="165">
        <f>IF(C73="","",COUNTIFS(Başvuru!$D:$D,C73,Başvuru!$L:$L,"KAEK",Başvuru!$A:$A,"&lt;&gt;"&amp;"",Başvuru!$F:$F,"&lt;&gt;"&amp;""))</f>
        <v>0</v>
      </c>
      <c r="M73" s="166">
        <f>IF(C73="","",COUNTIFS(Başvuru!$D:$D,C73,Başvuru!$L:$L,"GÖRÜŞ",Başvuru!$A:$A,"&lt;&gt;"&amp;"",Başvuru!$F:$F,"&lt;&gt;"&amp;""))</f>
        <v>0</v>
      </c>
      <c r="N73" s="167">
        <f>IF(C73="","",COUNTIFS(Başvuru!$D:$D,C73,Başvuru!$L:$L,"RET",Başvuru!$A:$A,"&lt;&gt;"&amp;"",Başvuru!$F:$F,"&lt;&gt;"&amp;""))</f>
        <v>0</v>
      </c>
      <c r="O73" s="168">
        <f>IF(C73="","",COUNTIFS(Başvuru!$D:$D,C73,Başvuru!$L:$L,"KAPSAM DIŞI",Başvuru!$A:$A,"&lt;&gt;"&amp;"",Başvuru!$F:$F,"&lt;&gt;"&amp;""))</f>
        <v>0</v>
      </c>
      <c r="P73" s="169">
        <f>IF(C73="","",COUNTIFS(Başvuru!$D:$D,C73,Başvuru!$L:$L,"GERİ ÇEKİLDİ",Başvuru!$A:$A,"&lt;&gt;"&amp;"",Başvuru!$F:$F,"&lt;&gt;"&amp;""))</f>
        <v>0</v>
      </c>
      <c r="Q73" s="170" t="str">
        <f>IFERROR(INDEX(Başvuru!$D$2:$D$1851,MATCH(68,Başvuru!$Z$2:$Z$1851,0)),"")</f>
        <v>Analitik Kimya Anabilim Dalı</v>
      </c>
      <c r="R73" s="171">
        <f>IF(Q73="","",COUNTIFS(Başvuru!$D:$D,Q73,Başvuru!$A:$A,"&lt;&gt;"&amp;"",Başvuru!$F:$F,"&lt;&gt;"&amp;""))</f>
        <v>1</v>
      </c>
      <c r="S73" s="171">
        <f>IF(R73="","",RANK(R73,$R$6:$R$155,0)+COUNTIF($R$6:R73,R73)-1)</f>
        <v>70</v>
      </c>
    </row>
    <row r="74" spans="2:19" x14ac:dyDescent="0.25">
      <c r="B74" s="159">
        <v>69</v>
      </c>
      <c r="C74" s="160" t="str">
        <f>IFERROR(INDEX($Q$6:$Q$155,MATCH(69,$S$6:$S$155,0)),"")</f>
        <v>Tıbbi Farmakoloji Anabilim Dalı</v>
      </c>
      <c r="D74" s="161">
        <f>IF(C74="","",COUNTIFS(Başvuru!$D:$D,C74,Başvuru!$A:$A,"&lt;&gt;"&amp;"",Başvuru!$F:$F,"&lt;&gt;"&amp;""))</f>
        <v>1</v>
      </c>
      <c r="E74" s="159" t="str">
        <f>IF(C74="","-",IF(D74&gt;0,TEXT(D74/(COUNTIFS(Başvuru!$A:$A,"&lt;&gt;",Başvuru!$F:$F,"&lt;&gt;")-1)*100,"0.0")&amp;"%","-"))</f>
        <v>00%</v>
      </c>
      <c r="F74" s="162">
        <f>IF(C74="","",COUNTIFS(Başvuru!$D:$D,C74,Başvuru!$G:$G,"Bireysel Araştırma",Başvuru!$A:$A,"&lt;&gt;"&amp;"",Başvuru!$F:$F,"&lt;&gt;"&amp;""))</f>
        <v>0</v>
      </c>
      <c r="G74" s="162">
        <f>IF(C74="","",COUNTIFS(Başvuru!$D:$D,C74,Başvuru!$G:$G,"Uzmanlık Tezi",Başvuru!$A:$A,"&lt;&gt;"&amp;"",Başvuru!$F:$F,"&lt;&gt;"&amp;""))</f>
        <v>1</v>
      </c>
      <c r="H74" s="162">
        <f>IF(C74="","",COUNTIFS(Başvuru!$D:$D,C74,Başvuru!$G:$G,"Doktora Tezi",Başvuru!$A:$A,"&lt;&gt;"&amp;"",Başvuru!$F:$F,"&lt;&gt;"&amp;""))</f>
        <v>0</v>
      </c>
      <c r="I74" s="162">
        <f>IF(C74="","",COUNTIFS(Başvuru!$D:$D,C74,Başvuru!$G:$G,"Yüksek Lisans Tezi",Başvuru!$A:$A,"&lt;&gt;"&amp;"",Başvuru!$F:$F,"&lt;&gt;"&amp;""))</f>
        <v>0</v>
      </c>
      <c r="J74" s="163">
        <f>IF(C74="","",COUNTIFS(Başvuru!$D:$D,C74,Başvuru!$L:$L,"ONAY",Başvuru!$A:$A,"&lt;&gt;"&amp;"",Başvuru!$F:$F,"&lt;&gt;"&amp;""))</f>
        <v>1</v>
      </c>
      <c r="K74" s="164">
        <f>IF(C74="","",COUNTIFS(Başvuru!$D:$D,C74,Başvuru!$L:$L,"DÜZELTME",Başvuru!$A:$A,"&lt;&gt;"&amp;"",Başvuru!$F:$F,"&lt;&gt;"&amp;""))</f>
        <v>0</v>
      </c>
      <c r="L74" s="165">
        <f>IF(C74="","",COUNTIFS(Başvuru!$D:$D,C74,Başvuru!$L:$L,"KAEK",Başvuru!$A:$A,"&lt;&gt;"&amp;"",Başvuru!$F:$F,"&lt;&gt;"&amp;""))</f>
        <v>0</v>
      </c>
      <c r="M74" s="166">
        <f>IF(C74="","",COUNTIFS(Başvuru!$D:$D,C74,Başvuru!$L:$L,"GÖRÜŞ",Başvuru!$A:$A,"&lt;&gt;"&amp;"",Başvuru!$F:$F,"&lt;&gt;"&amp;""))</f>
        <v>0</v>
      </c>
      <c r="N74" s="167">
        <f>IF(C74="","",COUNTIFS(Başvuru!$D:$D,C74,Başvuru!$L:$L,"RET",Başvuru!$A:$A,"&lt;&gt;"&amp;"",Başvuru!$F:$F,"&lt;&gt;"&amp;""))</f>
        <v>0</v>
      </c>
      <c r="O74" s="168">
        <f>IF(C74="","",COUNTIFS(Başvuru!$D:$D,C74,Başvuru!$L:$L,"KAPSAM DIŞI",Başvuru!$A:$A,"&lt;&gt;"&amp;"",Başvuru!$F:$F,"&lt;&gt;"&amp;""))</f>
        <v>0</v>
      </c>
      <c r="P74" s="169">
        <f>IF(C74="","",COUNTIFS(Başvuru!$D:$D,C74,Başvuru!$L:$L,"GERİ ÇEKİLDİ",Başvuru!$A:$A,"&lt;&gt;"&amp;"",Başvuru!$F:$F,"&lt;&gt;"&amp;""))</f>
        <v>0</v>
      </c>
      <c r="Q74" s="170" t="str">
        <f>IFERROR(INDEX(Başvuru!$D$2:$D$1851,MATCH(69,Başvuru!$Z$2:$Z$1851,0)),"")</f>
        <v>Gıda Mühendisliği Anabilim Dalı</v>
      </c>
      <c r="R74" s="171">
        <f>IF(Q74="","",COUNTIFS(Başvuru!$D:$D,Q74,Başvuru!$A:$A,"&lt;&gt;"&amp;"",Başvuru!$F:$F,"&lt;&gt;"&amp;""))</f>
        <v>1</v>
      </c>
      <c r="S74" s="171">
        <f>IF(R74="","",RANK(R74,$R$6:$R$155,0)+COUNTIF($R$6:R74,R74)-1)</f>
        <v>71</v>
      </c>
    </row>
    <row r="75" spans="2:19" x14ac:dyDescent="0.25">
      <c r="B75" s="159">
        <v>70</v>
      </c>
      <c r="C75" s="160" t="str">
        <f>IFERROR(INDEX($Q$6:$Q$155,MATCH(70,$S$6:$S$155,0)),"")</f>
        <v>Analitik Kimya Anabilim Dalı</v>
      </c>
      <c r="D75" s="161">
        <f>IF(C75="","",COUNTIFS(Başvuru!$D:$D,C75,Başvuru!$A:$A,"&lt;&gt;"&amp;"",Başvuru!$F:$F,"&lt;&gt;"&amp;""))</f>
        <v>1</v>
      </c>
      <c r="E75" s="159" t="str">
        <f>IF(C75="","-",IF(D75&gt;0,TEXT(D75/(COUNTIFS(Başvuru!$A:$A,"&lt;&gt;",Başvuru!$F:$F,"&lt;&gt;")-1)*100,"0.0")&amp;"%","-"))</f>
        <v>00%</v>
      </c>
      <c r="F75" s="162">
        <f>IF(C75="","",COUNTIFS(Başvuru!$D:$D,C75,Başvuru!$G:$G,"Bireysel Araştırma",Başvuru!$A:$A,"&lt;&gt;"&amp;"",Başvuru!$F:$F,"&lt;&gt;"&amp;""))</f>
        <v>1</v>
      </c>
      <c r="G75" s="162">
        <f>IF(C75="","",COUNTIFS(Başvuru!$D:$D,C75,Başvuru!$G:$G,"Uzmanlık Tezi",Başvuru!$A:$A,"&lt;&gt;"&amp;"",Başvuru!$F:$F,"&lt;&gt;"&amp;""))</f>
        <v>0</v>
      </c>
      <c r="H75" s="162">
        <f>IF(C75="","",COUNTIFS(Başvuru!$D:$D,C75,Başvuru!$G:$G,"Doktora Tezi",Başvuru!$A:$A,"&lt;&gt;"&amp;"",Başvuru!$F:$F,"&lt;&gt;"&amp;""))</f>
        <v>0</v>
      </c>
      <c r="I75" s="162">
        <f>IF(C75="","",COUNTIFS(Başvuru!$D:$D,C75,Başvuru!$G:$G,"Yüksek Lisans Tezi",Başvuru!$A:$A,"&lt;&gt;"&amp;"",Başvuru!$F:$F,"&lt;&gt;"&amp;""))</f>
        <v>0</v>
      </c>
      <c r="J75" s="163">
        <f>IF(C75="","",COUNTIFS(Başvuru!$D:$D,C75,Başvuru!$L:$L,"ONAY",Başvuru!$A:$A,"&lt;&gt;"&amp;"",Başvuru!$F:$F,"&lt;&gt;"&amp;""))</f>
        <v>0</v>
      </c>
      <c r="K75" s="164">
        <f>IF(C75="","",COUNTIFS(Başvuru!$D:$D,C75,Başvuru!$L:$L,"DÜZELTME",Başvuru!$A:$A,"&lt;&gt;"&amp;"",Başvuru!$F:$F,"&lt;&gt;"&amp;""))</f>
        <v>0</v>
      </c>
      <c r="L75" s="165">
        <f>IF(C75="","",COUNTIFS(Başvuru!$D:$D,C75,Başvuru!$L:$L,"KAEK",Başvuru!$A:$A,"&lt;&gt;"&amp;"",Başvuru!$F:$F,"&lt;&gt;"&amp;""))</f>
        <v>0</v>
      </c>
      <c r="M75" s="166">
        <f>IF(C75="","",COUNTIFS(Başvuru!$D:$D,C75,Başvuru!$L:$L,"GÖRÜŞ",Başvuru!$A:$A,"&lt;&gt;"&amp;"",Başvuru!$F:$F,"&lt;&gt;"&amp;""))</f>
        <v>1</v>
      </c>
      <c r="N75" s="167">
        <f>IF(C75="","",COUNTIFS(Başvuru!$D:$D,C75,Başvuru!$L:$L,"RET",Başvuru!$A:$A,"&lt;&gt;"&amp;"",Başvuru!$F:$F,"&lt;&gt;"&amp;""))</f>
        <v>0</v>
      </c>
      <c r="O75" s="168">
        <f>IF(C75="","",COUNTIFS(Başvuru!$D:$D,C75,Başvuru!$L:$L,"KAPSAM DIŞI",Başvuru!$A:$A,"&lt;&gt;"&amp;"",Başvuru!$F:$F,"&lt;&gt;"&amp;""))</f>
        <v>0</v>
      </c>
      <c r="P75" s="169">
        <f>IF(C75="","",COUNTIFS(Başvuru!$D:$D,C75,Başvuru!$L:$L,"GERİ ÇEKİLDİ",Başvuru!$A:$A,"&lt;&gt;"&amp;"",Başvuru!$F:$F,"&lt;&gt;"&amp;""))</f>
        <v>0</v>
      </c>
      <c r="Q75" s="170" t="str">
        <f>IFERROR(INDEX(Başvuru!$D$2:$D$1851,MATCH(70,Başvuru!$Z$2:$Z$1851,0)),"")</f>
        <v>Sağlık Bilişimi Anabilim Dalı</v>
      </c>
      <c r="R75" s="171">
        <f>IF(Q75="","",COUNTIFS(Başvuru!$D:$D,Q75,Başvuru!$A:$A,"&lt;&gt;"&amp;"",Başvuru!$F:$F,"&lt;&gt;"&amp;""))</f>
        <v>1</v>
      </c>
      <c r="S75" s="171">
        <f>IF(R75="","",RANK(R75,$R$6:$R$155,0)+COUNTIF($R$6:R75,R75)-1)</f>
        <v>72</v>
      </c>
    </row>
    <row r="76" spans="2:19" ht="33.75" customHeight="1" x14ac:dyDescent="0.25">
      <c r="B76" s="159">
        <v>71</v>
      </c>
      <c r="C76" s="160" t="str">
        <f>IFERROR(INDEX($Q$6:$Q$155,MATCH(71,$S$6:$S$155,0)),"")</f>
        <v>Gıda Mühendisliği Anabilim Dalı</v>
      </c>
      <c r="D76" s="161">
        <f>IF(C76="","",COUNTIFS(Başvuru!$D:$D,C76,Başvuru!$A:$A,"&lt;&gt;"&amp;"",Başvuru!$F:$F,"&lt;&gt;"&amp;""))</f>
        <v>1</v>
      </c>
      <c r="E76" s="159" t="str">
        <f>IF(C76="","-",IF(D76&gt;0,TEXT(D76/(COUNTIFS(Başvuru!$A:$A,"&lt;&gt;",Başvuru!$F:$F,"&lt;&gt;")-1)*100,"0.0")&amp;"%","-"))</f>
        <v>00%</v>
      </c>
      <c r="F76" s="162">
        <f>IF(C76="","",COUNTIFS(Başvuru!$D:$D,C76,Başvuru!$G:$G,"Bireysel Araştırma",Başvuru!$A:$A,"&lt;&gt;"&amp;"",Başvuru!$F:$F,"&lt;&gt;"&amp;""))</f>
        <v>0</v>
      </c>
      <c r="G76" s="162">
        <f>IF(C76="","",COUNTIFS(Başvuru!$D:$D,C76,Başvuru!$G:$G,"Uzmanlık Tezi",Başvuru!$A:$A,"&lt;&gt;"&amp;"",Başvuru!$F:$F,"&lt;&gt;"&amp;""))</f>
        <v>0</v>
      </c>
      <c r="H76" s="162">
        <f>IF(C76="","",COUNTIFS(Başvuru!$D:$D,C76,Başvuru!$G:$G,"Doktora Tezi",Başvuru!$A:$A,"&lt;&gt;"&amp;"",Başvuru!$F:$F,"&lt;&gt;"&amp;""))</f>
        <v>0</v>
      </c>
      <c r="I76" s="162">
        <f>IF(C76="","",COUNTIFS(Başvuru!$D:$D,C76,Başvuru!$G:$G,"Yüksek Lisans Tezi",Başvuru!$A:$A,"&lt;&gt;"&amp;"",Başvuru!$F:$F,"&lt;&gt;"&amp;""))</f>
        <v>1</v>
      </c>
      <c r="J76" s="163">
        <f>IF(C76="","",COUNTIFS(Başvuru!$D:$D,C76,Başvuru!$L:$L,"ONAY",Başvuru!$A:$A,"&lt;&gt;"&amp;"",Başvuru!$F:$F,"&lt;&gt;"&amp;""))</f>
        <v>0</v>
      </c>
      <c r="K76" s="164">
        <f>IF(C76="","",COUNTIFS(Başvuru!$D:$D,C76,Başvuru!$L:$L,"DÜZELTME",Başvuru!$A:$A,"&lt;&gt;"&amp;"",Başvuru!$F:$F,"&lt;&gt;"&amp;""))</f>
        <v>1</v>
      </c>
      <c r="L76" s="165">
        <f>IF(C76="","",COUNTIFS(Başvuru!$D:$D,C76,Başvuru!$L:$L,"KAEK",Başvuru!$A:$A,"&lt;&gt;"&amp;"",Başvuru!$F:$F,"&lt;&gt;"&amp;""))</f>
        <v>0</v>
      </c>
      <c r="M76" s="166">
        <f>IF(C76="","",COUNTIFS(Başvuru!$D:$D,C76,Başvuru!$L:$L,"GÖRÜŞ",Başvuru!$A:$A,"&lt;&gt;"&amp;"",Başvuru!$F:$F,"&lt;&gt;"&amp;""))</f>
        <v>0</v>
      </c>
      <c r="N76" s="167">
        <f>IF(C76="","",COUNTIFS(Başvuru!$D:$D,C76,Başvuru!$L:$L,"RET",Başvuru!$A:$A,"&lt;&gt;"&amp;"",Başvuru!$F:$F,"&lt;&gt;"&amp;""))</f>
        <v>0</v>
      </c>
      <c r="O76" s="168">
        <f>IF(C76="","",COUNTIFS(Başvuru!$D:$D,C76,Başvuru!$L:$L,"KAPSAM DIŞI",Başvuru!$A:$A,"&lt;&gt;"&amp;"",Başvuru!$F:$F,"&lt;&gt;"&amp;""))</f>
        <v>0</v>
      </c>
      <c r="P76" s="169">
        <f>IF(C76="","",COUNTIFS(Başvuru!$D:$D,C76,Başvuru!$L:$L,"GERİ ÇEKİLDİ",Başvuru!$A:$A,"&lt;&gt;"&amp;"",Başvuru!$F:$F,"&lt;&gt;"&amp;""))</f>
        <v>0</v>
      </c>
      <c r="Q76" s="172" t="str">
        <f>IFERROR(INDEX(Başvuru!$D$2:$D$1851,MATCH(71,Başvuru!$Z$2:$Z$1851,0)),"")</f>
        <v>Amasya Üniversitesi
Hemşirelik Fakültesi
İç Hastalıkları Hemşireliği Anabilim Dalı</v>
      </c>
      <c r="R76" s="171">
        <f>IF(Q76="","",COUNTIFS(Başvuru!$D:$D,Q76,Başvuru!$A:$A,"&lt;&gt;"&amp;"",Başvuru!$F:$F,"&lt;&gt;"&amp;""))</f>
        <v>1</v>
      </c>
      <c r="S76" s="171">
        <f>IF(R76="","",RANK(R76,$R$6:$R$155,0)+COUNTIF($R$6:R76,R76)-1)</f>
        <v>73</v>
      </c>
    </row>
    <row r="77" spans="2:19" x14ac:dyDescent="0.25">
      <c r="B77" s="159">
        <v>72</v>
      </c>
      <c r="C77" s="160" t="str">
        <f>IFERROR(INDEX($Q$6:$Q$155,MATCH(72,$S$6:$S$155,0)),"")</f>
        <v>Sağlık Bilişimi Anabilim Dalı</v>
      </c>
      <c r="D77" s="161">
        <f>IF(C77="","",COUNTIFS(Başvuru!$D:$D,C77,Başvuru!$A:$A,"&lt;&gt;"&amp;"",Başvuru!$F:$F,"&lt;&gt;"&amp;""))</f>
        <v>1</v>
      </c>
      <c r="E77" s="159" t="str">
        <f>IF(C77="","-",IF(D77&gt;0,TEXT(D77/(COUNTIFS(Başvuru!$A:$A,"&lt;&gt;",Başvuru!$F:$F,"&lt;&gt;")-1)*100,"0.0")&amp;"%","-"))</f>
        <v>00%</v>
      </c>
      <c r="F77" s="162">
        <f>IF(C77="","",COUNTIFS(Başvuru!$D:$D,C77,Başvuru!$G:$G,"Bireysel Araştırma",Başvuru!$A:$A,"&lt;&gt;"&amp;"",Başvuru!$F:$F,"&lt;&gt;"&amp;""))</f>
        <v>0</v>
      </c>
      <c r="G77" s="162">
        <f>IF(C77="","",COUNTIFS(Başvuru!$D:$D,C77,Başvuru!$G:$G,"Uzmanlık Tezi",Başvuru!$A:$A,"&lt;&gt;"&amp;"",Başvuru!$F:$F,"&lt;&gt;"&amp;""))</f>
        <v>0</v>
      </c>
      <c r="H77" s="162">
        <f>IF(C77="","",COUNTIFS(Başvuru!$D:$D,C77,Başvuru!$G:$G,"Doktora Tezi",Başvuru!$A:$A,"&lt;&gt;"&amp;"",Başvuru!$F:$F,"&lt;&gt;"&amp;""))</f>
        <v>1</v>
      </c>
      <c r="I77" s="162">
        <f>IF(C77="","",COUNTIFS(Başvuru!$D:$D,C77,Başvuru!$G:$G,"Yüksek Lisans Tezi",Başvuru!$A:$A,"&lt;&gt;"&amp;"",Başvuru!$F:$F,"&lt;&gt;"&amp;""))</f>
        <v>0</v>
      </c>
      <c r="J77" s="163">
        <f>IF(C77="","",COUNTIFS(Başvuru!$D:$D,C77,Başvuru!$L:$L,"ONAY",Başvuru!$A:$A,"&lt;&gt;"&amp;"",Başvuru!$F:$F,"&lt;&gt;"&amp;""))</f>
        <v>1</v>
      </c>
      <c r="K77" s="164">
        <f>IF(C77="","",COUNTIFS(Başvuru!$D:$D,C77,Başvuru!$L:$L,"DÜZELTME",Başvuru!$A:$A,"&lt;&gt;"&amp;"",Başvuru!$F:$F,"&lt;&gt;"&amp;""))</f>
        <v>0</v>
      </c>
      <c r="L77" s="165">
        <f>IF(C77="","",COUNTIFS(Başvuru!$D:$D,C77,Başvuru!$L:$L,"KAEK",Başvuru!$A:$A,"&lt;&gt;"&amp;"",Başvuru!$F:$F,"&lt;&gt;"&amp;""))</f>
        <v>0</v>
      </c>
      <c r="M77" s="166">
        <f>IF(C77="","",COUNTIFS(Başvuru!$D:$D,C77,Başvuru!$L:$L,"GÖRÜŞ",Başvuru!$A:$A,"&lt;&gt;"&amp;"",Başvuru!$F:$F,"&lt;&gt;"&amp;""))</f>
        <v>0</v>
      </c>
      <c r="N77" s="167">
        <f>IF(C77="","",COUNTIFS(Başvuru!$D:$D,C77,Başvuru!$L:$L,"RET",Başvuru!$A:$A,"&lt;&gt;"&amp;"",Başvuru!$F:$F,"&lt;&gt;"&amp;""))</f>
        <v>0</v>
      </c>
      <c r="O77" s="168">
        <f>IF(C77="","",COUNTIFS(Başvuru!$D:$D,C77,Başvuru!$L:$L,"KAPSAM DIŞI",Başvuru!$A:$A,"&lt;&gt;"&amp;"",Başvuru!$F:$F,"&lt;&gt;"&amp;""))</f>
        <v>0</v>
      </c>
      <c r="P77" s="169">
        <f>IF(C77="","",COUNTIFS(Başvuru!$D:$D,C77,Başvuru!$L:$L,"GERİ ÇEKİLDİ",Başvuru!$A:$A,"&lt;&gt;"&amp;"",Başvuru!$F:$F,"&lt;&gt;"&amp;""))</f>
        <v>0</v>
      </c>
      <c r="Q77" s="170" t="str">
        <f>IFERROR(INDEX(Başvuru!$D$2:$D$1851,MATCH(72,Başvuru!$Z$2:$Z$1851,0)),"")</f>
        <v>Beyin ve Sinir Cerrahisi Anabilim Dalı</v>
      </c>
      <c r="R77" s="171">
        <f>IF(Q77="","",COUNTIFS(Başvuru!$D:$D,Q77,Başvuru!$A:$A,"&lt;&gt;"&amp;"",Başvuru!$F:$F,"&lt;&gt;"&amp;""))</f>
        <v>3</v>
      </c>
      <c r="S77" s="171">
        <f>IF(R77="","",RANK(R77,$R$6:$R$155,0)+COUNTIF($R$6:R77,R77)-1)</f>
        <v>45</v>
      </c>
    </row>
    <row r="78" spans="2:19" ht="36" customHeight="1" x14ac:dyDescent="0.25">
      <c r="B78" s="159">
        <v>73</v>
      </c>
      <c r="C78" s="173" t="str">
        <f>IFERROR(INDEX($Q$6:$Q$155,MATCH(73,$S$6:$S$155,0)),"")</f>
        <v>Amasya Üniversitesi
Hemşirelik Fakültesi
İç Hastalıkları Hemşireliği Anabilim Dalı</v>
      </c>
      <c r="D78" s="161">
        <f>IF(C78="","",COUNTIFS(Başvuru!$D:$D,C78,Başvuru!$A:$A,"&lt;&gt;"&amp;"",Başvuru!$F:$F,"&lt;&gt;"&amp;""))</f>
        <v>1</v>
      </c>
      <c r="E78" s="159" t="str">
        <f>IF(C78="","-",IF(D78&gt;0,TEXT(D78/(COUNTIFS(Başvuru!$A:$A,"&lt;&gt;",Başvuru!$F:$F,"&lt;&gt;")-1)*100,"0.0")&amp;"%","-"))</f>
        <v>00%</v>
      </c>
      <c r="F78" s="162">
        <f>IF(C78="","",COUNTIFS(Başvuru!$D:$D,C78,Başvuru!$G:$G,"Bireysel Araştırma",Başvuru!$A:$A,"&lt;&gt;"&amp;"",Başvuru!$F:$F,"&lt;&gt;"&amp;""))</f>
        <v>0</v>
      </c>
      <c r="G78" s="162">
        <f>IF(C78="","",COUNTIFS(Başvuru!$D:$D,C78,Başvuru!$G:$G,"Uzmanlık Tezi",Başvuru!$A:$A,"&lt;&gt;"&amp;"",Başvuru!$F:$F,"&lt;&gt;"&amp;""))</f>
        <v>0</v>
      </c>
      <c r="H78" s="162">
        <f>IF(C78="","",COUNTIFS(Başvuru!$D:$D,C78,Başvuru!$G:$G,"Doktora Tezi",Başvuru!$A:$A,"&lt;&gt;"&amp;"",Başvuru!$F:$F,"&lt;&gt;"&amp;""))</f>
        <v>0</v>
      </c>
      <c r="I78" s="162">
        <f>IF(C78="","",COUNTIFS(Başvuru!$D:$D,C78,Başvuru!$G:$G,"Yüksek Lisans Tezi",Başvuru!$A:$A,"&lt;&gt;"&amp;"",Başvuru!$F:$F,"&lt;&gt;"&amp;""))</f>
        <v>1</v>
      </c>
      <c r="J78" s="163">
        <f>IF(C78="","",COUNTIFS(Başvuru!$D:$D,C78,Başvuru!$L:$L,"ONAY",Başvuru!$A:$A,"&lt;&gt;"&amp;"",Başvuru!$F:$F,"&lt;&gt;"&amp;""))</f>
        <v>0</v>
      </c>
      <c r="K78" s="164">
        <f>IF(C78="","",COUNTIFS(Başvuru!$D:$D,C78,Başvuru!$L:$L,"DÜZELTME",Başvuru!$A:$A,"&lt;&gt;"&amp;"",Başvuru!$F:$F,"&lt;&gt;"&amp;""))</f>
        <v>0</v>
      </c>
      <c r="L78" s="165">
        <f>IF(C78="","",COUNTIFS(Başvuru!$D:$D,C78,Başvuru!$L:$L,"KAEK",Başvuru!$A:$A,"&lt;&gt;"&amp;"",Başvuru!$F:$F,"&lt;&gt;"&amp;""))</f>
        <v>1</v>
      </c>
      <c r="M78" s="166">
        <f>IF(C78="","",COUNTIFS(Başvuru!$D:$D,C78,Başvuru!$L:$L,"GÖRÜŞ",Başvuru!$A:$A,"&lt;&gt;"&amp;"",Başvuru!$F:$F,"&lt;&gt;"&amp;""))</f>
        <v>0</v>
      </c>
      <c r="N78" s="167">
        <f>IF(C78="","",COUNTIFS(Başvuru!$D:$D,C78,Başvuru!$L:$L,"RET",Başvuru!$A:$A,"&lt;&gt;"&amp;"",Başvuru!$F:$F,"&lt;&gt;"&amp;""))</f>
        <v>0</v>
      </c>
      <c r="O78" s="168">
        <f>IF(C78="","",COUNTIFS(Başvuru!$D:$D,C78,Başvuru!$L:$L,"KAPSAM DIŞI",Başvuru!$A:$A,"&lt;&gt;"&amp;"",Başvuru!$F:$F,"&lt;&gt;"&amp;""))</f>
        <v>0</v>
      </c>
      <c r="P78" s="169">
        <f>IF(C78="","",COUNTIFS(Başvuru!$D:$D,C78,Başvuru!$L:$L,"GERİ ÇEKİLDİ",Başvuru!$A:$A,"&lt;&gt;"&amp;"",Başvuru!$F:$F,"&lt;&gt;"&amp;""))</f>
        <v>0</v>
      </c>
      <c r="Q78" s="170" t="str">
        <f>IFERROR(INDEX(Başvuru!$D$2:$D$1851,MATCH(73,Başvuru!$Z$2:$Z$1851,0)),"")</f>
        <v>Bilişim ve Enformasyon Teknolojileri Anabilim Dalı</v>
      </c>
      <c r="R78" s="171">
        <f>IF(Q78="","",COUNTIFS(Başvuru!$D:$D,Q78,Başvuru!$A:$A,"&lt;&gt;"&amp;"",Başvuru!$F:$F,"&lt;&gt;"&amp;""))</f>
        <v>1</v>
      </c>
      <c r="S78" s="171">
        <f>IF(R78="","",RANK(R78,$R$6:$R$155,0)+COUNTIF($R$6:R78,R78)-1)</f>
        <v>74</v>
      </c>
    </row>
    <row r="79" spans="2:19" x14ac:dyDescent="0.25">
      <c r="B79" s="159">
        <v>74</v>
      </c>
      <c r="C79" s="160" t="str">
        <f>IFERROR(INDEX($Q$6:$Q$155,MATCH(74,$S$6:$S$155,0)),"")</f>
        <v>Bilişim ve Enformasyon Teknolojileri Anabilim Dalı</v>
      </c>
      <c r="D79" s="161">
        <f>IF(C79="","",COUNTIFS(Başvuru!$D:$D,C79,Başvuru!$A:$A,"&lt;&gt;"&amp;"",Başvuru!$F:$F,"&lt;&gt;"&amp;""))</f>
        <v>1</v>
      </c>
      <c r="E79" s="159" t="str">
        <f>IF(C79="","-",IF(D79&gt;0,TEXT(D79/(COUNTIFS(Başvuru!$A:$A,"&lt;&gt;",Başvuru!$F:$F,"&lt;&gt;")-1)*100,"0.0")&amp;"%","-"))</f>
        <v>00%</v>
      </c>
      <c r="F79" s="162">
        <f>IF(C79="","",COUNTIFS(Başvuru!$D:$D,C79,Başvuru!$G:$G,"Bireysel Araştırma",Başvuru!$A:$A,"&lt;&gt;"&amp;"",Başvuru!$F:$F,"&lt;&gt;"&amp;""))</f>
        <v>0</v>
      </c>
      <c r="G79" s="162">
        <f>IF(C79="","",COUNTIFS(Başvuru!$D:$D,C79,Başvuru!$G:$G,"Uzmanlık Tezi",Başvuru!$A:$A,"&lt;&gt;"&amp;"",Başvuru!$F:$F,"&lt;&gt;"&amp;""))</f>
        <v>0</v>
      </c>
      <c r="H79" s="162">
        <f>IF(C79="","",COUNTIFS(Başvuru!$D:$D,C79,Başvuru!$G:$G,"Doktora Tezi",Başvuru!$A:$A,"&lt;&gt;"&amp;"",Başvuru!$F:$F,"&lt;&gt;"&amp;""))</f>
        <v>0</v>
      </c>
      <c r="I79" s="162">
        <f>IF(C79="","",COUNTIFS(Başvuru!$D:$D,C79,Başvuru!$G:$G,"Yüksek Lisans Tezi",Başvuru!$A:$A,"&lt;&gt;"&amp;"",Başvuru!$F:$F,"&lt;&gt;"&amp;""))</f>
        <v>1</v>
      </c>
      <c r="J79" s="163">
        <f>IF(C79="","",COUNTIFS(Başvuru!$D:$D,C79,Başvuru!$L:$L,"ONAY",Başvuru!$A:$A,"&lt;&gt;"&amp;"",Başvuru!$F:$F,"&lt;&gt;"&amp;""))</f>
        <v>0</v>
      </c>
      <c r="K79" s="164">
        <f>IF(C79="","",COUNTIFS(Başvuru!$D:$D,C79,Başvuru!$L:$L,"DÜZELTME",Başvuru!$A:$A,"&lt;&gt;"&amp;"",Başvuru!$F:$F,"&lt;&gt;"&amp;""))</f>
        <v>1</v>
      </c>
      <c r="L79" s="165">
        <f>IF(C79="","",COUNTIFS(Başvuru!$D:$D,C79,Başvuru!$L:$L,"KAEK",Başvuru!$A:$A,"&lt;&gt;"&amp;"",Başvuru!$F:$F,"&lt;&gt;"&amp;""))</f>
        <v>0</v>
      </c>
      <c r="M79" s="166">
        <f>IF(C79="","",COUNTIFS(Başvuru!$D:$D,C79,Başvuru!$L:$L,"GÖRÜŞ",Başvuru!$A:$A,"&lt;&gt;"&amp;"",Başvuru!$F:$F,"&lt;&gt;"&amp;""))</f>
        <v>0</v>
      </c>
      <c r="N79" s="167">
        <f>IF(C79="","",COUNTIFS(Başvuru!$D:$D,C79,Başvuru!$L:$L,"RET",Başvuru!$A:$A,"&lt;&gt;"&amp;"",Başvuru!$F:$F,"&lt;&gt;"&amp;""))</f>
        <v>0</v>
      </c>
      <c r="O79" s="168">
        <f>IF(C79="","",COUNTIFS(Başvuru!$D:$D,C79,Başvuru!$L:$L,"KAPSAM DIŞI",Başvuru!$A:$A,"&lt;&gt;"&amp;"",Başvuru!$F:$F,"&lt;&gt;"&amp;""))</f>
        <v>0</v>
      </c>
      <c r="P79" s="169">
        <f>IF(C79="","",COUNTIFS(Başvuru!$D:$D,C79,Başvuru!$L:$L,"GERİ ÇEKİLDİ",Başvuru!$A:$A,"&lt;&gt;"&amp;"",Başvuru!$F:$F,"&lt;&gt;"&amp;""))</f>
        <v>0</v>
      </c>
      <c r="Q79" s="170" t="str">
        <f>IFERROR(INDEX(Başvuru!$D$2:$D$1851,MATCH(74,Başvuru!$Z$2:$Z$1851,0)),"")</f>
        <v>Biyokimya Anabilim Dalı</v>
      </c>
      <c r="R79" s="171">
        <f>IF(Q79="","",COUNTIFS(Başvuru!$D:$D,Q79,Başvuru!$A:$A,"&lt;&gt;"&amp;"",Başvuru!$F:$F,"&lt;&gt;"&amp;""))</f>
        <v>1</v>
      </c>
      <c r="S79" s="171">
        <f>IF(R79="","",RANK(R79,$R$6:$R$155,0)+COUNTIF($R$6:R79,R79)-1)</f>
        <v>75</v>
      </c>
    </row>
    <row r="80" spans="2:19" x14ac:dyDescent="0.25">
      <c r="B80" s="159">
        <v>75</v>
      </c>
      <c r="C80" s="160" t="str">
        <f>IFERROR(INDEX($Q$6:$Q$155,MATCH(75,$S$6:$S$155,0)),"")</f>
        <v>Biyokimya Anabilim Dalı</v>
      </c>
      <c r="D80" s="161">
        <f>IF(C80="","",COUNTIFS(Başvuru!$D:$D,C80,Başvuru!$A:$A,"&lt;&gt;"&amp;"",Başvuru!$F:$F,"&lt;&gt;"&amp;""))</f>
        <v>1</v>
      </c>
      <c r="E80" s="159" t="str">
        <f>IF(C80="","-",IF(D80&gt;0,TEXT(D80/(COUNTIFS(Başvuru!$A:$A,"&lt;&gt;",Başvuru!$F:$F,"&lt;&gt;")-1)*100,"0.0")&amp;"%","-"))</f>
        <v>00%</v>
      </c>
      <c r="F80" s="162">
        <f>IF(C80="","",COUNTIFS(Başvuru!$D:$D,C80,Başvuru!$G:$G,"Bireysel Araştırma",Başvuru!$A:$A,"&lt;&gt;"&amp;"",Başvuru!$F:$F,"&lt;&gt;"&amp;""))</f>
        <v>1</v>
      </c>
      <c r="G80" s="162">
        <f>IF(C80="","",COUNTIFS(Başvuru!$D:$D,C80,Başvuru!$G:$G,"Uzmanlık Tezi",Başvuru!$A:$A,"&lt;&gt;"&amp;"",Başvuru!$F:$F,"&lt;&gt;"&amp;""))</f>
        <v>0</v>
      </c>
      <c r="H80" s="162">
        <f>IF(C80="","",COUNTIFS(Başvuru!$D:$D,C80,Başvuru!$G:$G,"Doktora Tezi",Başvuru!$A:$A,"&lt;&gt;"&amp;"",Başvuru!$F:$F,"&lt;&gt;"&amp;""))</f>
        <v>0</v>
      </c>
      <c r="I80" s="162">
        <f>IF(C80="","",COUNTIFS(Başvuru!$D:$D,C80,Başvuru!$G:$G,"Yüksek Lisans Tezi",Başvuru!$A:$A,"&lt;&gt;"&amp;"",Başvuru!$F:$F,"&lt;&gt;"&amp;""))</f>
        <v>0</v>
      </c>
      <c r="J80" s="163">
        <f>IF(C80="","",COUNTIFS(Başvuru!$D:$D,C80,Başvuru!$L:$L,"ONAY",Başvuru!$A:$A,"&lt;&gt;"&amp;"",Başvuru!$F:$F,"&lt;&gt;"&amp;""))</f>
        <v>0</v>
      </c>
      <c r="K80" s="164">
        <f>IF(C80="","",COUNTIFS(Başvuru!$D:$D,C80,Başvuru!$L:$L,"DÜZELTME",Başvuru!$A:$A,"&lt;&gt;"&amp;"",Başvuru!$F:$F,"&lt;&gt;"&amp;""))</f>
        <v>0</v>
      </c>
      <c r="L80" s="165">
        <f>IF(C80="","",COUNTIFS(Başvuru!$D:$D,C80,Başvuru!$L:$L,"KAEK",Başvuru!$A:$A,"&lt;&gt;"&amp;"",Başvuru!$F:$F,"&lt;&gt;"&amp;""))</f>
        <v>0</v>
      </c>
      <c r="M80" s="166">
        <f>IF(C80="","",COUNTIFS(Başvuru!$D:$D,C80,Başvuru!$L:$L,"GÖRÜŞ",Başvuru!$A:$A,"&lt;&gt;"&amp;"",Başvuru!$F:$F,"&lt;&gt;"&amp;""))</f>
        <v>0</v>
      </c>
      <c r="N80" s="167">
        <f>IF(C80="","",COUNTIFS(Başvuru!$D:$D,C80,Başvuru!$L:$L,"RET",Başvuru!$A:$A,"&lt;&gt;"&amp;"",Başvuru!$F:$F,"&lt;&gt;"&amp;""))</f>
        <v>0</v>
      </c>
      <c r="O80" s="168">
        <f>IF(C80="","",COUNTIFS(Başvuru!$D:$D,C80,Başvuru!$L:$L,"KAPSAM DIŞI",Başvuru!$A:$A,"&lt;&gt;"&amp;"",Başvuru!$F:$F,"&lt;&gt;"&amp;""))</f>
        <v>1</v>
      </c>
      <c r="P80" s="169">
        <f>IF(C80="","",COUNTIFS(Başvuru!$D:$D,C80,Başvuru!$L:$L,"GERİ ÇEKİLDİ",Başvuru!$A:$A,"&lt;&gt;"&amp;"",Başvuru!$F:$F,"&lt;&gt;"&amp;""))</f>
        <v>0</v>
      </c>
      <c r="Q80" s="170" t="str">
        <f>IFERROR(INDEX(Başvuru!$D$2:$D$1851,MATCH(75,Başvuru!$Z$2:$Z$1851,0)),"")</f>
        <v>Kontrol ve Kumanda Sistemleri Anabilim Dalı</v>
      </c>
      <c r="R80" s="171">
        <f>IF(Q80="","",COUNTIFS(Başvuru!$D:$D,Q80,Başvuru!$A:$A,"&lt;&gt;"&amp;"",Başvuru!$F:$F,"&lt;&gt;"&amp;""))</f>
        <v>1</v>
      </c>
      <c r="S80" s="171">
        <f>IF(R80="","",RANK(R80,$R$6:$R$155,0)+COUNTIF($R$6:R80,R80)-1)</f>
        <v>76</v>
      </c>
    </row>
    <row r="81" spans="2:19" x14ac:dyDescent="0.25">
      <c r="B81" s="159">
        <v>76</v>
      </c>
      <c r="C81" s="160" t="str">
        <f>IFERROR(INDEX($Q$6:$Q$155,MATCH(76,$S$6:$S$155,0)),"")</f>
        <v>Kontrol ve Kumanda Sistemleri Anabilim Dalı</v>
      </c>
      <c r="D81" s="161">
        <f>IF(C81="","",COUNTIFS(Başvuru!$D:$D,C81,Başvuru!$A:$A,"&lt;&gt;"&amp;"",Başvuru!$F:$F,"&lt;&gt;"&amp;""))</f>
        <v>1</v>
      </c>
      <c r="E81" s="159" t="str">
        <f>IF(C81="","-",IF(D81&gt;0,TEXT(D81/(COUNTIFS(Başvuru!$A:$A,"&lt;&gt;",Başvuru!$F:$F,"&lt;&gt;")-1)*100,"0.0")&amp;"%","-"))</f>
        <v>00%</v>
      </c>
      <c r="F81" s="162">
        <f>IF(C81="","",COUNTIFS(Başvuru!$D:$D,C81,Başvuru!$G:$G,"Bireysel Araştırma",Başvuru!$A:$A,"&lt;&gt;"&amp;"",Başvuru!$F:$F,"&lt;&gt;"&amp;""))</f>
        <v>1</v>
      </c>
      <c r="G81" s="162">
        <f>IF(C81="","",COUNTIFS(Başvuru!$D:$D,C81,Başvuru!$G:$G,"Uzmanlık Tezi",Başvuru!$A:$A,"&lt;&gt;"&amp;"",Başvuru!$F:$F,"&lt;&gt;"&amp;""))</f>
        <v>0</v>
      </c>
      <c r="H81" s="162">
        <f>IF(C81="","",COUNTIFS(Başvuru!$D:$D,C81,Başvuru!$G:$G,"Doktora Tezi",Başvuru!$A:$A,"&lt;&gt;"&amp;"",Başvuru!$F:$F,"&lt;&gt;"&amp;""))</f>
        <v>0</v>
      </c>
      <c r="I81" s="162">
        <f>IF(C81="","",COUNTIFS(Başvuru!$D:$D,C81,Başvuru!$G:$G,"Yüksek Lisans Tezi",Başvuru!$A:$A,"&lt;&gt;"&amp;"",Başvuru!$F:$F,"&lt;&gt;"&amp;""))</f>
        <v>0</v>
      </c>
      <c r="J81" s="163">
        <f>IF(C81="","",COUNTIFS(Başvuru!$D:$D,C81,Başvuru!$L:$L,"ONAY",Başvuru!$A:$A,"&lt;&gt;"&amp;"",Başvuru!$F:$F,"&lt;&gt;"&amp;""))</f>
        <v>0</v>
      </c>
      <c r="K81" s="164">
        <f>IF(C81="","",COUNTIFS(Başvuru!$D:$D,C81,Başvuru!$L:$L,"DÜZELTME",Başvuru!$A:$A,"&lt;&gt;"&amp;"",Başvuru!$F:$F,"&lt;&gt;"&amp;""))</f>
        <v>1</v>
      </c>
      <c r="L81" s="165">
        <f>IF(C81="","",COUNTIFS(Başvuru!$D:$D,C81,Başvuru!$L:$L,"KAEK",Başvuru!$A:$A,"&lt;&gt;"&amp;"",Başvuru!$F:$F,"&lt;&gt;"&amp;""))</f>
        <v>0</v>
      </c>
      <c r="M81" s="166">
        <f>IF(C81="","",COUNTIFS(Başvuru!$D:$D,C81,Başvuru!$L:$L,"GÖRÜŞ",Başvuru!$A:$A,"&lt;&gt;"&amp;"",Başvuru!$F:$F,"&lt;&gt;"&amp;""))</f>
        <v>0</v>
      </c>
      <c r="N81" s="167">
        <f>IF(C81="","",COUNTIFS(Başvuru!$D:$D,C81,Başvuru!$L:$L,"RET",Başvuru!$A:$A,"&lt;&gt;"&amp;"",Başvuru!$F:$F,"&lt;&gt;"&amp;""))</f>
        <v>0</v>
      </c>
      <c r="O81" s="168">
        <f>IF(C81="","",COUNTIFS(Başvuru!$D:$D,C81,Başvuru!$L:$L,"KAPSAM DIŞI",Başvuru!$A:$A,"&lt;&gt;"&amp;"",Başvuru!$F:$F,"&lt;&gt;"&amp;""))</f>
        <v>0</v>
      </c>
      <c r="P81" s="169">
        <f>IF(C81="","",COUNTIFS(Başvuru!$D:$D,C81,Başvuru!$L:$L,"GERİ ÇEKİLDİ",Başvuru!$A:$A,"&lt;&gt;"&amp;"",Başvuru!$F:$F,"&lt;&gt;"&amp;""))</f>
        <v>0</v>
      </c>
      <c r="Q81" s="170" t="str">
        <f>IFERROR(INDEX(Başvuru!$D$2:$D$1851,MATCH(76,Başvuru!$Z$2:$Z$1851,0)),"")</f>
        <v>Biyomühendislik Anabilim Dalı</v>
      </c>
      <c r="R81" s="171">
        <f>IF(Q81="","",COUNTIFS(Başvuru!$D:$D,Q81,Başvuru!$A:$A,"&lt;&gt;"&amp;"",Başvuru!$F:$F,"&lt;&gt;"&amp;""))</f>
        <v>1</v>
      </c>
      <c r="S81" s="171">
        <f>IF(R81="","",RANK(R81,$R$6:$R$155,0)+COUNTIF($R$6:R81,R81)-1)</f>
        <v>77</v>
      </c>
    </row>
    <row r="82" spans="2:19" x14ac:dyDescent="0.25">
      <c r="B82" s="159">
        <v>77</v>
      </c>
      <c r="C82" s="160" t="str">
        <f>IFERROR(INDEX($Q$6:$Q$155,MATCH(77,$S$6:$S$155,0)),"")</f>
        <v>Biyomühendislik Anabilim Dalı</v>
      </c>
      <c r="D82" s="161">
        <f>IF(C82="","",COUNTIFS(Başvuru!$D:$D,C82,Başvuru!$A:$A,"&lt;&gt;"&amp;"",Başvuru!$F:$F,"&lt;&gt;"&amp;""))</f>
        <v>1</v>
      </c>
      <c r="E82" s="159" t="str">
        <f>IF(C82="","-",IF(D82&gt;0,TEXT(D82/(COUNTIFS(Başvuru!$A:$A,"&lt;&gt;",Başvuru!$F:$F,"&lt;&gt;")-1)*100,"0.0")&amp;"%","-"))</f>
        <v>00%</v>
      </c>
      <c r="F82" s="162">
        <f>IF(C82="","",COUNTIFS(Başvuru!$D:$D,C82,Başvuru!$G:$G,"Bireysel Araştırma",Başvuru!$A:$A,"&lt;&gt;"&amp;"",Başvuru!$F:$F,"&lt;&gt;"&amp;""))</f>
        <v>0</v>
      </c>
      <c r="G82" s="162">
        <f>IF(C82="","",COUNTIFS(Başvuru!$D:$D,C82,Başvuru!$G:$G,"Uzmanlık Tezi",Başvuru!$A:$A,"&lt;&gt;"&amp;"",Başvuru!$F:$F,"&lt;&gt;"&amp;""))</f>
        <v>0</v>
      </c>
      <c r="H82" s="162">
        <f>IF(C82="","",COUNTIFS(Başvuru!$D:$D,C82,Başvuru!$G:$G,"Doktora Tezi",Başvuru!$A:$A,"&lt;&gt;"&amp;"",Başvuru!$F:$F,"&lt;&gt;"&amp;""))</f>
        <v>1</v>
      </c>
      <c r="I82" s="162">
        <f>IF(C82="","",COUNTIFS(Başvuru!$D:$D,C82,Başvuru!$G:$G,"Yüksek Lisans Tezi",Başvuru!$A:$A,"&lt;&gt;"&amp;"",Başvuru!$F:$F,"&lt;&gt;"&amp;""))</f>
        <v>0</v>
      </c>
      <c r="J82" s="163">
        <f>IF(C82="","",COUNTIFS(Başvuru!$D:$D,C82,Başvuru!$L:$L,"ONAY",Başvuru!$A:$A,"&lt;&gt;"&amp;"",Başvuru!$F:$F,"&lt;&gt;"&amp;""))</f>
        <v>0</v>
      </c>
      <c r="K82" s="164">
        <f>IF(C82="","",COUNTIFS(Başvuru!$D:$D,C82,Başvuru!$L:$L,"DÜZELTME",Başvuru!$A:$A,"&lt;&gt;"&amp;"",Başvuru!$F:$F,"&lt;&gt;"&amp;""))</f>
        <v>1</v>
      </c>
      <c r="L82" s="165">
        <f>IF(C82="","",COUNTIFS(Başvuru!$D:$D,C82,Başvuru!$L:$L,"KAEK",Başvuru!$A:$A,"&lt;&gt;"&amp;"",Başvuru!$F:$F,"&lt;&gt;"&amp;""))</f>
        <v>0</v>
      </c>
      <c r="M82" s="166">
        <f>IF(C82="","",COUNTIFS(Başvuru!$D:$D,C82,Başvuru!$L:$L,"GÖRÜŞ",Başvuru!$A:$A,"&lt;&gt;"&amp;"",Başvuru!$F:$F,"&lt;&gt;"&amp;""))</f>
        <v>0</v>
      </c>
      <c r="N82" s="167">
        <f>IF(C82="","",COUNTIFS(Başvuru!$D:$D,C82,Başvuru!$L:$L,"RET",Başvuru!$A:$A,"&lt;&gt;"&amp;"",Başvuru!$F:$F,"&lt;&gt;"&amp;""))</f>
        <v>0</v>
      </c>
      <c r="O82" s="168">
        <f>IF(C82="","",COUNTIFS(Başvuru!$D:$D,C82,Başvuru!$L:$L,"KAPSAM DIŞI",Başvuru!$A:$A,"&lt;&gt;"&amp;"",Başvuru!$F:$F,"&lt;&gt;"&amp;""))</f>
        <v>0</v>
      </c>
      <c r="P82" s="169">
        <f>IF(C82="","",COUNTIFS(Başvuru!$D:$D,C82,Başvuru!$L:$L,"GERİ ÇEKİLDİ",Başvuru!$A:$A,"&lt;&gt;"&amp;"",Başvuru!$F:$F,"&lt;&gt;"&amp;""))</f>
        <v>0</v>
      </c>
      <c r="Q82" s="170" t="str">
        <f>IFERROR(INDEX(Başvuru!$D$2:$D$1851,MATCH(77,Başvuru!$Z$2:$Z$1851,0)),"")</f>
        <v>Bilgisayar Bilimleri Anabilim Dalı</v>
      </c>
      <c r="R82" s="171">
        <f>IF(Q82="","",COUNTIFS(Başvuru!$D:$D,Q82,Başvuru!$A:$A,"&lt;&gt;"&amp;"",Başvuru!$F:$F,"&lt;&gt;"&amp;""))</f>
        <v>1</v>
      </c>
      <c r="S82" s="171">
        <f>IF(R82="","",RANK(R82,$R$6:$R$155,0)+COUNTIF($R$6:R82,R82)-1)</f>
        <v>78</v>
      </c>
    </row>
    <row r="83" spans="2:19" x14ac:dyDescent="0.25">
      <c r="B83" s="159">
        <v>78</v>
      </c>
      <c r="C83" s="160" t="str">
        <f>IFERROR(INDEX($Q$6:$Q$155,MATCH(78,$S$6:$S$155,0)),"")</f>
        <v>Bilgisayar Bilimleri Anabilim Dalı</v>
      </c>
      <c r="D83" s="161">
        <f>IF(C83="","",COUNTIFS(Başvuru!$D:$D,C83,Başvuru!$A:$A,"&lt;&gt;"&amp;"",Başvuru!$F:$F,"&lt;&gt;"&amp;""))</f>
        <v>1</v>
      </c>
      <c r="E83" s="159" t="str">
        <f>IF(C83="","-",IF(D83&gt;0,TEXT(D83/(COUNTIFS(Başvuru!$A:$A,"&lt;&gt;",Başvuru!$F:$F,"&lt;&gt;")-1)*100,"0.0")&amp;"%","-"))</f>
        <v>00%</v>
      </c>
      <c r="F83" s="162">
        <f>IF(C83="","",COUNTIFS(Başvuru!$D:$D,C83,Başvuru!$G:$G,"Bireysel Araştırma",Başvuru!$A:$A,"&lt;&gt;"&amp;"",Başvuru!$F:$F,"&lt;&gt;"&amp;""))</f>
        <v>1</v>
      </c>
      <c r="G83" s="162">
        <f>IF(C83="","",COUNTIFS(Başvuru!$D:$D,C83,Başvuru!$G:$G,"Uzmanlık Tezi",Başvuru!$A:$A,"&lt;&gt;"&amp;"",Başvuru!$F:$F,"&lt;&gt;"&amp;""))</f>
        <v>0</v>
      </c>
      <c r="H83" s="162">
        <f>IF(C83="","",COUNTIFS(Başvuru!$D:$D,C83,Başvuru!$G:$G,"Doktora Tezi",Başvuru!$A:$A,"&lt;&gt;"&amp;"",Başvuru!$F:$F,"&lt;&gt;"&amp;""))</f>
        <v>0</v>
      </c>
      <c r="I83" s="162">
        <f>IF(C83="","",COUNTIFS(Başvuru!$D:$D,C83,Başvuru!$G:$G,"Yüksek Lisans Tezi",Başvuru!$A:$A,"&lt;&gt;"&amp;"",Başvuru!$F:$F,"&lt;&gt;"&amp;""))</f>
        <v>0</v>
      </c>
      <c r="J83" s="163">
        <f>IF(C83="","",COUNTIFS(Başvuru!$D:$D,C83,Başvuru!$L:$L,"ONAY",Başvuru!$A:$A,"&lt;&gt;"&amp;"",Başvuru!$F:$F,"&lt;&gt;"&amp;""))</f>
        <v>0</v>
      </c>
      <c r="K83" s="164">
        <f>IF(C83="","",COUNTIFS(Başvuru!$D:$D,C83,Başvuru!$L:$L,"DÜZELTME",Başvuru!$A:$A,"&lt;&gt;"&amp;"",Başvuru!$F:$F,"&lt;&gt;"&amp;""))</f>
        <v>0</v>
      </c>
      <c r="L83" s="165">
        <f>IF(C83="","",COUNTIFS(Başvuru!$D:$D,C83,Başvuru!$L:$L,"KAEK",Başvuru!$A:$A,"&lt;&gt;"&amp;"",Başvuru!$F:$F,"&lt;&gt;"&amp;""))</f>
        <v>0</v>
      </c>
      <c r="M83" s="166">
        <f>IF(C83="","",COUNTIFS(Başvuru!$D:$D,C83,Başvuru!$L:$L,"GÖRÜŞ",Başvuru!$A:$A,"&lt;&gt;"&amp;"",Başvuru!$F:$F,"&lt;&gt;"&amp;""))</f>
        <v>0</v>
      </c>
      <c r="N83" s="167">
        <f>IF(C83="","",COUNTIFS(Başvuru!$D:$D,C83,Başvuru!$L:$L,"RET",Başvuru!$A:$A,"&lt;&gt;"&amp;"",Başvuru!$F:$F,"&lt;&gt;"&amp;""))</f>
        <v>0</v>
      </c>
      <c r="O83" s="168">
        <f>IF(C83="","",COUNTIFS(Başvuru!$D:$D,C83,Başvuru!$L:$L,"KAPSAM DIŞI",Başvuru!$A:$A,"&lt;&gt;"&amp;"",Başvuru!$F:$F,"&lt;&gt;"&amp;""))</f>
        <v>1</v>
      </c>
      <c r="P83" s="169">
        <f>IF(C83="","",COUNTIFS(Başvuru!$D:$D,C83,Başvuru!$L:$L,"GERİ ÇEKİLDİ",Başvuru!$A:$A,"&lt;&gt;"&amp;"",Başvuru!$F:$F,"&lt;&gt;"&amp;""))</f>
        <v>0</v>
      </c>
      <c r="Q83" s="170" t="str">
        <f>IFERROR(INDEX(Başvuru!$D$2:$D$1851,MATCH(78,Başvuru!$Z$2:$Z$1851,0)),"")</f>
        <v>Tıp Tarihi ve Etik Anabilim Dalı</v>
      </c>
      <c r="R83" s="171">
        <f>IF(Q83="","",COUNTIFS(Başvuru!$D:$D,Q83,Başvuru!$A:$A,"&lt;&gt;"&amp;"",Başvuru!$F:$F,"&lt;&gt;"&amp;""))</f>
        <v>1</v>
      </c>
      <c r="S83" s="171">
        <f>IF(R83="","",RANK(R83,$R$6:$R$155,0)+COUNTIF($R$6:R83,R83)-1)</f>
        <v>79</v>
      </c>
    </row>
    <row r="84" spans="2:19" x14ac:dyDescent="0.25">
      <c r="B84" s="159">
        <v>79</v>
      </c>
      <c r="C84" s="160" t="str">
        <f>IFERROR(INDEX($Q$6:$Q$155,MATCH(79,$S$6:$S$155,0)),"")</f>
        <v>Tıp Tarihi ve Etik Anabilim Dalı</v>
      </c>
      <c r="D84" s="161">
        <f>IF(C84="","",COUNTIFS(Başvuru!$D:$D,C84,Başvuru!$A:$A,"&lt;&gt;"&amp;"",Başvuru!$F:$F,"&lt;&gt;"&amp;""))</f>
        <v>1</v>
      </c>
      <c r="E84" s="159" t="str">
        <f>IF(C84="","-",IF(D84&gt;0,TEXT(D84/(COUNTIFS(Başvuru!$A:$A,"&lt;&gt;",Başvuru!$F:$F,"&lt;&gt;")-1)*100,"0.0")&amp;"%","-"))</f>
        <v>00%</v>
      </c>
      <c r="F84" s="162">
        <f>IF(C84="","",COUNTIFS(Başvuru!$D:$D,C84,Başvuru!$G:$G,"Bireysel Araştırma",Başvuru!$A:$A,"&lt;&gt;"&amp;"",Başvuru!$F:$F,"&lt;&gt;"&amp;""))</f>
        <v>0</v>
      </c>
      <c r="G84" s="162">
        <f>IF(C84="","",COUNTIFS(Başvuru!$D:$D,C84,Başvuru!$G:$G,"Uzmanlık Tezi",Başvuru!$A:$A,"&lt;&gt;"&amp;"",Başvuru!$F:$F,"&lt;&gt;"&amp;""))</f>
        <v>0</v>
      </c>
      <c r="H84" s="162">
        <f>IF(C84="","",COUNTIFS(Başvuru!$D:$D,C84,Başvuru!$G:$G,"Doktora Tezi",Başvuru!$A:$A,"&lt;&gt;"&amp;"",Başvuru!$F:$F,"&lt;&gt;"&amp;""))</f>
        <v>1</v>
      </c>
      <c r="I84" s="162">
        <f>IF(C84="","",COUNTIFS(Başvuru!$D:$D,C84,Başvuru!$G:$G,"Yüksek Lisans Tezi",Başvuru!$A:$A,"&lt;&gt;"&amp;"",Başvuru!$F:$F,"&lt;&gt;"&amp;""))</f>
        <v>0</v>
      </c>
      <c r="J84" s="163">
        <f>IF(C84="","",COUNTIFS(Başvuru!$D:$D,C84,Başvuru!$L:$L,"ONAY",Başvuru!$A:$A,"&lt;&gt;"&amp;"",Başvuru!$F:$F,"&lt;&gt;"&amp;""))</f>
        <v>1</v>
      </c>
      <c r="K84" s="164">
        <f>IF(C84="","",COUNTIFS(Başvuru!$D:$D,C84,Başvuru!$L:$L,"DÜZELTME",Başvuru!$A:$A,"&lt;&gt;"&amp;"",Başvuru!$F:$F,"&lt;&gt;"&amp;""))</f>
        <v>0</v>
      </c>
      <c r="L84" s="165">
        <f>IF(C84="","",COUNTIFS(Başvuru!$D:$D,C84,Başvuru!$L:$L,"KAEK",Başvuru!$A:$A,"&lt;&gt;"&amp;"",Başvuru!$F:$F,"&lt;&gt;"&amp;""))</f>
        <v>0</v>
      </c>
      <c r="M84" s="166">
        <f>IF(C84="","",COUNTIFS(Başvuru!$D:$D,C84,Başvuru!$L:$L,"GÖRÜŞ",Başvuru!$A:$A,"&lt;&gt;"&amp;"",Başvuru!$F:$F,"&lt;&gt;"&amp;""))</f>
        <v>0</v>
      </c>
      <c r="N84" s="167">
        <f>IF(C84="","",COUNTIFS(Başvuru!$D:$D,C84,Başvuru!$L:$L,"RET",Başvuru!$A:$A,"&lt;&gt;"&amp;"",Başvuru!$F:$F,"&lt;&gt;"&amp;""))</f>
        <v>0</v>
      </c>
      <c r="O84" s="168">
        <f>IF(C84="","",COUNTIFS(Başvuru!$D:$D,C84,Başvuru!$L:$L,"KAPSAM DIŞI",Başvuru!$A:$A,"&lt;&gt;"&amp;"",Başvuru!$F:$F,"&lt;&gt;"&amp;""))</f>
        <v>0</v>
      </c>
      <c r="P84" s="169">
        <f>IF(C84="","",COUNTIFS(Başvuru!$D:$D,C84,Başvuru!$L:$L,"GERİ ÇEKİLDİ",Başvuru!$A:$A,"&lt;&gt;"&amp;"",Başvuru!$F:$F,"&lt;&gt;"&amp;""))</f>
        <v>0</v>
      </c>
      <c r="Q84" s="170" t="str">
        <f>IFERROR(INDEX(Başvuru!$D$2:$D$1851,MATCH(79,Başvuru!$Z$2:$Z$1851,0)),"")</f>
        <v>Farmakoloji Anabilim Dalı</v>
      </c>
      <c r="R84" s="171">
        <f>IF(Q84="","",COUNTIFS(Başvuru!$D:$D,Q84,Başvuru!$A:$A,"&lt;&gt;"&amp;"",Başvuru!$F:$F,"&lt;&gt;"&amp;""))</f>
        <v>1</v>
      </c>
      <c r="S84" s="171">
        <f>IF(R84="","",RANK(R84,$R$6:$R$155,0)+COUNTIF($R$6:R84,R84)-1)</f>
        <v>80</v>
      </c>
    </row>
    <row r="85" spans="2:19" x14ac:dyDescent="0.25">
      <c r="B85" s="159">
        <v>80</v>
      </c>
      <c r="C85" s="160" t="str">
        <f>IFERROR(INDEX($Q$6:$Q$155,MATCH(80,$S$6:$S$155,0)),"")</f>
        <v>Farmakoloji Anabilim Dalı</v>
      </c>
      <c r="D85" s="161">
        <f>IF(C85="","",COUNTIFS(Başvuru!$D:$D,C85,Başvuru!$A:$A,"&lt;&gt;"&amp;"",Başvuru!$F:$F,"&lt;&gt;"&amp;""))</f>
        <v>1</v>
      </c>
      <c r="E85" s="159" t="str">
        <f>IF(C85="","-",IF(D85&gt;0,TEXT(D85/(COUNTIFS(Başvuru!$A:$A,"&lt;&gt;",Başvuru!$F:$F,"&lt;&gt;")-1)*100,"0.0")&amp;"%","-"))</f>
        <v>00%</v>
      </c>
      <c r="F85" s="162">
        <f>IF(C85="","",COUNTIFS(Başvuru!$D:$D,C85,Başvuru!$G:$G,"Bireysel Araştırma",Başvuru!$A:$A,"&lt;&gt;"&amp;"",Başvuru!$F:$F,"&lt;&gt;"&amp;""))</f>
        <v>1</v>
      </c>
      <c r="G85" s="162">
        <f>IF(C85="","",COUNTIFS(Başvuru!$D:$D,C85,Başvuru!$G:$G,"Uzmanlık Tezi",Başvuru!$A:$A,"&lt;&gt;"&amp;"",Başvuru!$F:$F,"&lt;&gt;"&amp;""))</f>
        <v>0</v>
      </c>
      <c r="H85" s="162">
        <f>IF(C85="","",COUNTIFS(Başvuru!$D:$D,C85,Başvuru!$G:$G,"Doktora Tezi",Başvuru!$A:$A,"&lt;&gt;"&amp;"",Başvuru!$F:$F,"&lt;&gt;"&amp;""))</f>
        <v>0</v>
      </c>
      <c r="I85" s="162">
        <f>IF(C85="","",COUNTIFS(Başvuru!$D:$D,C85,Başvuru!$G:$G,"Yüksek Lisans Tezi",Başvuru!$A:$A,"&lt;&gt;"&amp;"",Başvuru!$F:$F,"&lt;&gt;"&amp;""))</f>
        <v>0</v>
      </c>
      <c r="J85" s="163">
        <f>IF(C85="","",COUNTIFS(Başvuru!$D:$D,C85,Başvuru!$L:$L,"ONAY",Başvuru!$A:$A,"&lt;&gt;"&amp;"",Başvuru!$F:$F,"&lt;&gt;"&amp;""))</f>
        <v>0</v>
      </c>
      <c r="K85" s="164">
        <f>IF(C85="","",COUNTIFS(Başvuru!$D:$D,C85,Başvuru!$L:$L,"DÜZELTME",Başvuru!$A:$A,"&lt;&gt;"&amp;"",Başvuru!$F:$F,"&lt;&gt;"&amp;""))</f>
        <v>0</v>
      </c>
      <c r="L85" s="165">
        <f>IF(C85="","",COUNTIFS(Başvuru!$D:$D,C85,Başvuru!$L:$L,"KAEK",Başvuru!$A:$A,"&lt;&gt;"&amp;"",Başvuru!$F:$F,"&lt;&gt;"&amp;""))</f>
        <v>0</v>
      </c>
      <c r="M85" s="166">
        <f>IF(C85="","",COUNTIFS(Başvuru!$D:$D,C85,Başvuru!$L:$L,"GÖRÜŞ",Başvuru!$A:$A,"&lt;&gt;"&amp;"",Başvuru!$F:$F,"&lt;&gt;"&amp;""))</f>
        <v>0</v>
      </c>
      <c r="N85" s="167">
        <f>IF(C85="","",COUNTIFS(Başvuru!$D:$D,C85,Başvuru!$L:$L,"RET",Başvuru!$A:$A,"&lt;&gt;"&amp;"",Başvuru!$F:$F,"&lt;&gt;"&amp;""))</f>
        <v>0</v>
      </c>
      <c r="O85" s="168">
        <f>IF(C85="","",COUNTIFS(Başvuru!$D:$D,C85,Başvuru!$L:$L,"KAPSAM DIŞI",Başvuru!$A:$A,"&lt;&gt;"&amp;"",Başvuru!$F:$F,"&lt;&gt;"&amp;""))</f>
        <v>0</v>
      </c>
      <c r="P85" s="169">
        <f>IF(C85="","",COUNTIFS(Başvuru!$D:$D,C85,Başvuru!$L:$L,"GERİ ÇEKİLDİ",Başvuru!$A:$A,"&lt;&gt;"&amp;"",Başvuru!$F:$F,"&lt;&gt;"&amp;""))</f>
        <v>0</v>
      </c>
      <c r="Q85" s="170" t="str">
        <f>IFERROR(INDEX(Başvuru!$D$2:$D$1851,MATCH(80,Başvuru!$Z$2:$Z$1851,0)),"")</f>
        <v>Sosyoloji ve Metodoloji Anabilim Dalı</v>
      </c>
      <c r="R85" s="171">
        <f>IF(Q85="","",COUNTIFS(Başvuru!$D:$D,Q85,Başvuru!$A:$A,"&lt;&gt;"&amp;"",Başvuru!$F:$F,"&lt;&gt;"&amp;""))</f>
        <v>1</v>
      </c>
      <c r="S85" s="171">
        <f>IF(R85="","",RANK(R85,$R$6:$R$155,0)+COUNTIF($R$6:R85,R85)-1)</f>
        <v>81</v>
      </c>
    </row>
    <row r="86" spans="2:19" x14ac:dyDescent="0.25">
      <c r="B86" s="159">
        <v>81</v>
      </c>
      <c r="C86" s="160" t="str">
        <f>IFERROR(INDEX($Q$6:$Q$155,MATCH(81,$S$6:$S$155,0)),"")</f>
        <v>Sosyoloji ve Metodoloji Anabilim Dalı</v>
      </c>
      <c r="D86" s="161">
        <f>IF(C86="","",COUNTIFS(Başvuru!$D:$D,C86,Başvuru!$A:$A,"&lt;&gt;"&amp;"",Başvuru!$F:$F,"&lt;&gt;"&amp;""))</f>
        <v>1</v>
      </c>
      <c r="E86" s="159" t="str">
        <f>IF(C86="","-",IF(D86&gt;0,TEXT(D86/(COUNTIFS(Başvuru!$A:$A,"&lt;&gt;",Başvuru!$F:$F,"&lt;&gt;")-1)*100,"0.0")&amp;"%","-"))</f>
        <v>00%</v>
      </c>
      <c r="F86" s="162">
        <f>IF(C86="","",COUNTIFS(Başvuru!$D:$D,C86,Başvuru!$G:$G,"Bireysel Araştırma",Başvuru!$A:$A,"&lt;&gt;"&amp;"",Başvuru!$F:$F,"&lt;&gt;"&amp;""))</f>
        <v>1</v>
      </c>
      <c r="G86" s="162">
        <f>IF(C86="","",COUNTIFS(Başvuru!$D:$D,C86,Başvuru!$G:$G,"Uzmanlık Tezi",Başvuru!$A:$A,"&lt;&gt;"&amp;"",Başvuru!$F:$F,"&lt;&gt;"&amp;""))</f>
        <v>0</v>
      </c>
      <c r="H86" s="162">
        <f>IF(C86="","",COUNTIFS(Başvuru!$D:$D,C86,Başvuru!$G:$G,"Doktora Tezi",Başvuru!$A:$A,"&lt;&gt;"&amp;"",Başvuru!$F:$F,"&lt;&gt;"&amp;""))</f>
        <v>0</v>
      </c>
      <c r="I86" s="162">
        <f>IF(C86="","",COUNTIFS(Başvuru!$D:$D,C86,Başvuru!$G:$G,"Yüksek Lisans Tezi",Başvuru!$A:$A,"&lt;&gt;"&amp;"",Başvuru!$F:$F,"&lt;&gt;"&amp;""))</f>
        <v>0</v>
      </c>
      <c r="J86" s="163">
        <f>IF(C86="","",COUNTIFS(Başvuru!$D:$D,C86,Başvuru!$L:$L,"ONAY",Başvuru!$A:$A,"&lt;&gt;"&amp;"",Başvuru!$F:$F,"&lt;&gt;"&amp;""))</f>
        <v>0</v>
      </c>
      <c r="K86" s="164">
        <f>IF(C86="","",COUNTIFS(Başvuru!$D:$D,C86,Başvuru!$L:$L,"DÜZELTME",Başvuru!$A:$A,"&lt;&gt;"&amp;"",Başvuru!$F:$F,"&lt;&gt;"&amp;""))</f>
        <v>0</v>
      </c>
      <c r="L86" s="165">
        <f>IF(C86="","",COUNTIFS(Başvuru!$D:$D,C86,Başvuru!$L:$L,"KAEK",Başvuru!$A:$A,"&lt;&gt;"&amp;"",Başvuru!$F:$F,"&lt;&gt;"&amp;""))</f>
        <v>0</v>
      </c>
      <c r="M86" s="166">
        <f>IF(C86="","",COUNTIFS(Başvuru!$D:$D,C86,Başvuru!$L:$L,"GÖRÜŞ",Başvuru!$A:$A,"&lt;&gt;"&amp;"",Başvuru!$F:$F,"&lt;&gt;"&amp;""))</f>
        <v>0</v>
      </c>
      <c r="N86" s="167">
        <f>IF(C86="","",COUNTIFS(Başvuru!$D:$D,C86,Başvuru!$L:$L,"RET",Başvuru!$A:$A,"&lt;&gt;"&amp;"",Başvuru!$F:$F,"&lt;&gt;"&amp;""))</f>
        <v>0</v>
      </c>
      <c r="O86" s="168">
        <f>IF(C86="","",COUNTIFS(Başvuru!$D:$D,C86,Başvuru!$L:$L,"KAPSAM DIŞI",Başvuru!$A:$A,"&lt;&gt;"&amp;"",Başvuru!$F:$F,"&lt;&gt;"&amp;""))</f>
        <v>0</v>
      </c>
      <c r="P86" s="169">
        <f>IF(C86="","",COUNTIFS(Başvuru!$D:$D,C86,Başvuru!$L:$L,"GERİ ÇEKİLDİ",Başvuru!$A:$A,"&lt;&gt;"&amp;"",Başvuru!$F:$F,"&lt;&gt;"&amp;""))</f>
        <v>0</v>
      </c>
      <c r="Q86" s="170" t="str">
        <f>IFERROR(INDEX(Başvuru!$D$2:$D$1851,MATCH(81,Başvuru!$Z$2:$Z$1851,0)),"")</f>
        <v>Kalp ve Damar Cerrahisi Anabilim Dalı</v>
      </c>
      <c r="R86" s="171">
        <f>IF(Q86="","",COUNTIFS(Başvuru!$D:$D,Q86,Başvuru!$A:$A,"&lt;&gt;"&amp;"",Başvuru!$F:$F,"&lt;&gt;"&amp;""))</f>
        <v>2</v>
      </c>
      <c r="S86" s="171">
        <f>IF(R86="","",RANK(R86,$R$6:$R$155,0)+COUNTIF($R$6:R86,R86)-1)</f>
        <v>57</v>
      </c>
    </row>
    <row r="87" spans="2:19" ht="24" customHeight="1" x14ac:dyDescent="0.25">
      <c r="B87" s="159">
        <v>82</v>
      </c>
      <c r="C87" s="173" t="str">
        <f>IFERROR(INDEX($Q$6:$Q$155,MATCH(82,$S$6:$S$155,0)),"")</f>
        <v>Sağlık Bilimleri Üniversitesi
Ulucanlar Göz Eğitim ve Araştırma Hastanesi</v>
      </c>
      <c r="D87" s="161">
        <f>IF(C87="","",COUNTIFS(Başvuru!$D:$D,C87,Başvuru!$A:$A,"&lt;&gt;"&amp;"",Başvuru!$F:$F,"&lt;&gt;"&amp;""))</f>
        <v>1</v>
      </c>
      <c r="E87" s="159" t="str">
        <f>IF(C87="","-",IF(D87&gt;0,TEXT(D87/(COUNTIFS(Başvuru!$A:$A,"&lt;&gt;",Başvuru!$F:$F,"&lt;&gt;")-1)*100,"0.0")&amp;"%","-"))</f>
        <v>00%</v>
      </c>
      <c r="F87" s="162">
        <f>IF(C87="","",COUNTIFS(Başvuru!$D:$D,C87,Başvuru!$G:$G,"Bireysel Araştırma",Başvuru!$A:$A,"&lt;&gt;"&amp;"",Başvuru!$F:$F,"&lt;&gt;"&amp;""))</f>
        <v>1</v>
      </c>
      <c r="G87" s="162">
        <f>IF(C87="","",COUNTIFS(Başvuru!$D:$D,C87,Başvuru!$G:$G,"Uzmanlık Tezi",Başvuru!$A:$A,"&lt;&gt;"&amp;"",Başvuru!$F:$F,"&lt;&gt;"&amp;""))</f>
        <v>0</v>
      </c>
      <c r="H87" s="162">
        <f>IF(C87="","",COUNTIFS(Başvuru!$D:$D,C87,Başvuru!$G:$G,"Doktora Tezi",Başvuru!$A:$A,"&lt;&gt;"&amp;"",Başvuru!$F:$F,"&lt;&gt;"&amp;""))</f>
        <v>0</v>
      </c>
      <c r="I87" s="162">
        <f>IF(C87="","",COUNTIFS(Başvuru!$D:$D,C87,Başvuru!$G:$G,"Yüksek Lisans Tezi",Başvuru!$A:$A,"&lt;&gt;"&amp;"",Başvuru!$F:$F,"&lt;&gt;"&amp;""))</f>
        <v>0</v>
      </c>
      <c r="J87" s="163">
        <f>IF(C87="","",COUNTIFS(Başvuru!$D:$D,C87,Başvuru!$L:$L,"ONAY",Başvuru!$A:$A,"&lt;&gt;"&amp;"",Başvuru!$F:$F,"&lt;&gt;"&amp;""))</f>
        <v>0</v>
      </c>
      <c r="K87" s="164">
        <f>IF(C87="","",COUNTIFS(Başvuru!$D:$D,C87,Başvuru!$L:$L,"DÜZELTME",Başvuru!$A:$A,"&lt;&gt;"&amp;"",Başvuru!$F:$F,"&lt;&gt;"&amp;""))</f>
        <v>0</v>
      </c>
      <c r="L87" s="165">
        <f>IF(C87="","",COUNTIFS(Başvuru!$D:$D,C87,Başvuru!$L:$L,"KAEK",Başvuru!$A:$A,"&lt;&gt;"&amp;"",Başvuru!$F:$F,"&lt;&gt;"&amp;""))</f>
        <v>0</v>
      </c>
      <c r="M87" s="166">
        <f>IF(C87="","",COUNTIFS(Başvuru!$D:$D,C87,Başvuru!$L:$L,"GÖRÜŞ",Başvuru!$A:$A,"&lt;&gt;"&amp;"",Başvuru!$F:$F,"&lt;&gt;"&amp;""))</f>
        <v>0</v>
      </c>
      <c r="N87" s="167">
        <f>IF(C87="","",COUNTIFS(Başvuru!$D:$D,C87,Başvuru!$L:$L,"RET",Başvuru!$A:$A,"&lt;&gt;"&amp;"",Başvuru!$F:$F,"&lt;&gt;"&amp;""))</f>
        <v>0</v>
      </c>
      <c r="O87" s="168">
        <f>IF(C87="","",COUNTIFS(Başvuru!$D:$D,C87,Başvuru!$L:$L,"KAPSAM DIŞI",Başvuru!$A:$A,"&lt;&gt;"&amp;"",Başvuru!$F:$F,"&lt;&gt;"&amp;""))</f>
        <v>0</v>
      </c>
      <c r="P87" s="169">
        <f>IF(C87="","",COUNTIFS(Başvuru!$D:$D,C87,Başvuru!$L:$L,"GERİ ÇEKİLDİ",Başvuru!$A:$A,"&lt;&gt;"&amp;"",Başvuru!$F:$F,"&lt;&gt;"&amp;""))</f>
        <v>0</v>
      </c>
      <c r="Q87" s="172" t="str">
        <f>IFERROR(INDEX(Başvuru!$D$2:$D$1851,MATCH(82,Başvuru!$Z$2:$Z$1851,0)),"")</f>
        <v>Sağlık Bilimleri Üniversitesi
Ulucanlar Göz Eğitim ve Araştırma Hastanesi</v>
      </c>
      <c r="R87" s="171">
        <f>IF(Q87="","",COUNTIFS(Başvuru!$D:$D,Q87,Başvuru!$A:$A,"&lt;&gt;"&amp;"",Başvuru!$F:$F,"&lt;&gt;"&amp;""))</f>
        <v>1</v>
      </c>
      <c r="S87" s="171">
        <f>IF(R87="","",RANK(R87,$R$6:$R$155,0)+COUNTIF($R$6:R87,R87)-1)</f>
        <v>82</v>
      </c>
    </row>
    <row r="88" spans="2:19" x14ac:dyDescent="0.25">
      <c r="B88" s="159">
        <v>83</v>
      </c>
      <c r="C88" s="160" t="str">
        <f>IFERROR(INDEX($Q$6:$Q$155,MATCH(83,$S$6:$S$155,0)),"")</f>
        <v/>
      </c>
      <c r="D88" s="161" t="str">
        <f>IF(C88="","",COUNTIFS(Başvuru!$D:$D,C88,Başvuru!$A:$A,"&lt;&gt;"&amp;"",Başvuru!$F:$F,"&lt;&gt;"&amp;""))</f>
        <v/>
      </c>
      <c r="E88" s="159" t="str">
        <f>IF(C88="","-",IF(D88&gt;0,TEXT(D88/(COUNTIFS(Başvuru!$A:$A,"&lt;&gt;",Başvuru!$F:$F,"&lt;&gt;")-1)*100,"0.0")&amp;"%","-"))</f>
        <v>-</v>
      </c>
      <c r="F88" s="162" t="str">
        <f>IF(C88="","",COUNTIFS(Başvuru!$D:$D,C88,Başvuru!$G:$G,"Bireysel Araştırma",Başvuru!$A:$A,"&lt;&gt;"&amp;"",Başvuru!$F:$F,"&lt;&gt;"&amp;""))</f>
        <v/>
      </c>
      <c r="G88" s="162" t="str">
        <f>IF(C88="","",COUNTIFS(Başvuru!$D:$D,C88,Başvuru!$G:$G,"Uzmanlık Tezi",Başvuru!$A:$A,"&lt;&gt;"&amp;"",Başvuru!$F:$F,"&lt;&gt;"&amp;""))</f>
        <v/>
      </c>
      <c r="H88" s="162" t="str">
        <f>IF(C88="","",COUNTIFS(Başvuru!$D:$D,C88,Başvuru!$G:$G,"Doktora Tezi",Başvuru!$A:$A,"&lt;&gt;"&amp;"",Başvuru!$F:$F,"&lt;&gt;"&amp;""))</f>
        <v/>
      </c>
      <c r="I88" s="162" t="str">
        <f>IF(C88="","",COUNTIFS(Başvuru!$D:$D,C88,Başvuru!$G:$G,"Yüksek Lisans Tezi",Başvuru!$A:$A,"&lt;&gt;"&amp;"",Başvuru!$F:$F,"&lt;&gt;"&amp;""))</f>
        <v/>
      </c>
      <c r="J88" s="163" t="str">
        <f>IF(C88="","",COUNTIFS(Başvuru!$D:$D,C88,Başvuru!$L:$L,"ONAY",Başvuru!$A:$A,"&lt;&gt;"&amp;"",Başvuru!$F:$F,"&lt;&gt;"&amp;""))</f>
        <v/>
      </c>
      <c r="K88" s="164" t="str">
        <f>IF(C88="","",COUNTIFS(Başvuru!$D:$D,C88,Başvuru!$L:$L,"DÜZELTME",Başvuru!$A:$A,"&lt;&gt;"&amp;"",Başvuru!$F:$F,"&lt;&gt;"&amp;""))</f>
        <v/>
      </c>
      <c r="L88" s="165" t="str">
        <f>IF(C88="","",COUNTIFS(Başvuru!$D:$D,C88,Başvuru!$L:$L,"KAEK",Başvuru!$A:$A,"&lt;&gt;"&amp;"",Başvuru!$F:$F,"&lt;&gt;"&amp;""))</f>
        <v/>
      </c>
      <c r="M88" s="166" t="str">
        <f>IF(C88="","",COUNTIFS(Başvuru!$D:$D,C88,Başvuru!$L:$L,"GÖRÜŞ",Başvuru!$A:$A,"&lt;&gt;"&amp;"",Başvuru!$F:$F,"&lt;&gt;"&amp;""))</f>
        <v/>
      </c>
      <c r="N88" s="167" t="str">
        <f>IF(C88="","",COUNTIFS(Başvuru!$D:$D,C88,Başvuru!$L:$L,"RET",Başvuru!$A:$A,"&lt;&gt;"&amp;"",Başvuru!$F:$F,"&lt;&gt;"&amp;""))</f>
        <v/>
      </c>
      <c r="O88" s="168" t="str">
        <f>IF(C88="","",COUNTIFS(Başvuru!$D:$D,C88,Başvuru!$L:$L,"KAPSAM DIŞI",Başvuru!$A:$A,"&lt;&gt;"&amp;"",Başvuru!$F:$F,"&lt;&gt;"&amp;""))</f>
        <v/>
      </c>
      <c r="P88" s="169" t="str">
        <f>IF(C88="","",COUNTIFS(Başvuru!$D:$D,C88,Başvuru!$L:$L,"GERİ ÇEKİLDİ",Başvuru!$A:$A,"&lt;&gt;"&amp;"",Başvuru!$F:$F,"&lt;&gt;"&amp;""))</f>
        <v/>
      </c>
      <c r="Q88" s="170" t="str">
        <f>IFERROR(INDEX(Başvuru!$D$2:$D$1851,MATCH(83,Başvuru!$Z$2:$Z$1851,0)),"")</f>
        <v/>
      </c>
      <c r="R88" s="171" t="str">
        <f>IF(Q88="","",COUNTIFS(Başvuru!$D:$D,Q88,Başvuru!$A:$A,"&lt;&gt;"&amp;"",Başvuru!$F:$F,"&lt;&gt;"&amp;""))</f>
        <v/>
      </c>
      <c r="S88" s="171" t="str">
        <f>IF(R88="","",RANK(R88,$R$6:$R$155,0)+COUNTIF($R$6:R88,R88)-1)</f>
        <v/>
      </c>
    </row>
    <row r="89" spans="2:19" x14ac:dyDescent="0.25">
      <c r="B89" s="159">
        <v>84</v>
      </c>
      <c r="C89" s="160" t="str">
        <f>IFERROR(INDEX($Q$6:$Q$155,MATCH(84,$S$6:$S$155,0)),"")</f>
        <v/>
      </c>
      <c r="D89" s="161" t="str">
        <f>IF(C89="","",COUNTIFS(Başvuru!$D:$D,C89,Başvuru!$A:$A,"&lt;&gt;"&amp;"",Başvuru!$F:$F,"&lt;&gt;"&amp;""))</f>
        <v/>
      </c>
      <c r="E89" s="159" t="str">
        <f>IF(C89="","-",IF(D89&gt;0,TEXT(D89/(COUNTIFS(Başvuru!$A:$A,"&lt;&gt;",Başvuru!$F:$F,"&lt;&gt;")-1)*100,"0.0")&amp;"%","-"))</f>
        <v>-</v>
      </c>
      <c r="F89" s="162" t="str">
        <f>IF(C89="","",COUNTIFS(Başvuru!$D:$D,C89,Başvuru!$G:$G,"Bireysel Araştırma",Başvuru!$A:$A,"&lt;&gt;"&amp;"",Başvuru!$F:$F,"&lt;&gt;"&amp;""))</f>
        <v/>
      </c>
      <c r="G89" s="162" t="str">
        <f>IF(C89="","",COUNTIFS(Başvuru!$D:$D,C89,Başvuru!$G:$G,"Uzmanlık Tezi",Başvuru!$A:$A,"&lt;&gt;"&amp;"",Başvuru!$F:$F,"&lt;&gt;"&amp;""))</f>
        <v/>
      </c>
      <c r="H89" s="162" t="str">
        <f>IF(C89="","",COUNTIFS(Başvuru!$D:$D,C89,Başvuru!$G:$G,"Doktora Tezi",Başvuru!$A:$A,"&lt;&gt;"&amp;"",Başvuru!$F:$F,"&lt;&gt;"&amp;""))</f>
        <v/>
      </c>
      <c r="I89" s="162" t="str">
        <f>IF(C89="","",COUNTIFS(Başvuru!$D:$D,C89,Başvuru!$G:$G,"Yüksek Lisans Tezi",Başvuru!$A:$A,"&lt;&gt;"&amp;"",Başvuru!$F:$F,"&lt;&gt;"&amp;""))</f>
        <v/>
      </c>
      <c r="J89" s="163" t="str">
        <f>IF(C89="","",COUNTIFS(Başvuru!$D:$D,C89,Başvuru!$L:$L,"ONAY",Başvuru!$A:$A,"&lt;&gt;"&amp;"",Başvuru!$F:$F,"&lt;&gt;"&amp;""))</f>
        <v/>
      </c>
      <c r="K89" s="164" t="str">
        <f>IF(C89="","",COUNTIFS(Başvuru!$D:$D,C89,Başvuru!$L:$L,"DÜZELTME",Başvuru!$A:$A,"&lt;&gt;"&amp;"",Başvuru!$F:$F,"&lt;&gt;"&amp;""))</f>
        <v/>
      </c>
      <c r="L89" s="165" t="str">
        <f>IF(C89="","",COUNTIFS(Başvuru!$D:$D,C89,Başvuru!$L:$L,"KAEK",Başvuru!$A:$A,"&lt;&gt;"&amp;"",Başvuru!$F:$F,"&lt;&gt;"&amp;""))</f>
        <v/>
      </c>
      <c r="M89" s="166" t="str">
        <f>IF(C89="","",COUNTIFS(Başvuru!$D:$D,C89,Başvuru!$L:$L,"GÖRÜŞ",Başvuru!$A:$A,"&lt;&gt;"&amp;"",Başvuru!$F:$F,"&lt;&gt;"&amp;""))</f>
        <v/>
      </c>
      <c r="N89" s="167" t="str">
        <f>IF(C89="","",COUNTIFS(Başvuru!$D:$D,C89,Başvuru!$L:$L,"RET",Başvuru!$A:$A,"&lt;&gt;"&amp;"",Başvuru!$F:$F,"&lt;&gt;"&amp;""))</f>
        <v/>
      </c>
      <c r="O89" s="168" t="str">
        <f>IF(C89="","",COUNTIFS(Başvuru!$D:$D,C89,Başvuru!$L:$L,"KAPSAM DIŞI",Başvuru!$A:$A,"&lt;&gt;"&amp;"",Başvuru!$F:$F,"&lt;&gt;"&amp;""))</f>
        <v/>
      </c>
      <c r="P89" s="169" t="str">
        <f>IF(C89="","",COUNTIFS(Başvuru!$D:$D,C89,Başvuru!$L:$L,"GERİ ÇEKİLDİ",Başvuru!$A:$A,"&lt;&gt;"&amp;"",Başvuru!$F:$F,"&lt;&gt;"&amp;""))</f>
        <v/>
      </c>
      <c r="Q89" s="170" t="str">
        <f>IFERROR(INDEX(Başvuru!$D$2:$D$1851,MATCH(84,Başvuru!$Z$2:$Z$1851,0)),"")</f>
        <v/>
      </c>
      <c r="R89" s="171" t="str">
        <f>IF(Q89="","",COUNTIFS(Başvuru!$D:$D,Q89,Başvuru!$A:$A,"&lt;&gt;"&amp;"",Başvuru!$F:$F,"&lt;&gt;"&amp;""))</f>
        <v/>
      </c>
      <c r="S89" s="171" t="str">
        <f>IF(R89="","",RANK(R89,$R$6:$R$155,0)+COUNTIF($R$6:R89,R89)-1)</f>
        <v/>
      </c>
    </row>
    <row r="90" spans="2:19" x14ac:dyDescent="0.25">
      <c r="B90" s="159">
        <v>85</v>
      </c>
      <c r="C90" s="160" t="str">
        <f>IFERROR(INDEX($Q$6:$Q$155,MATCH(85,$S$6:$S$155,0)),"")</f>
        <v/>
      </c>
      <c r="D90" s="161" t="str">
        <f>IF(C90="","",COUNTIFS(Başvuru!$D:$D,C90,Başvuru!$A:$A,"&lt;&gt;"&amp;"",Başvuru!$F:$F,"&lt;&gt;"&amp;""))</f>
        <v/>
      </c>
      <c r="E90" s="159" t="str">
        <f>IF(C90="","-",IF(D90&gt;0,TEXT(D90/(COUNTIFS(Başvuru!$A:$A,"&lt;&gt;",Başvuru!$F:$F,"&lt;&gt;")-1)*100,"0.0")&amp;"%","-"))</f>
        <v>-</v>
      </c>
      <c r="F90" s="162" t="str">
        <f>IF(C90="","",COUNTIFS(Başvuru!$D:$D,C90,Başvuru!$G:$G,"Bireysel Araştırma",Başvuru!$A:$A,"&lt;&gt;"&amp;"",Başvuru!$F:$F,"&lt;&gt;"&amp;""))</f>
        <v/>
      </c>
      <c r="G90" s="162" t="str">
        <f>IF(C90="","",COUNTIFS(Başvuru!$D:$D,C90,Başvuru!$G:$G,"Uzmanlık Tezi",Başvuru!$A:$A,"&lt;&gt;"&amp;"",Başvuru!$F:$F,"&lt;&gt;"&amp;""))</f>
        <v/>
      </c>
      <c r="H90" s="162" t="str">
        <f>IF(C90="","",COUNTIFS(Başvuru!$D:$D,C90,Başvuru!$G:$G,"Doktora Tezi",Başvuru!$A:$A,"&lt;&gt;"&amp;"",Başvuru!$F:$F,"&lt;&gt;"&amp;""))</f>
        <v/>
      </c>
      <c r="I90" s="162" t="str">
        <f>IF(C90="","",COUNTIFS(Başvuru!$D:$D,C90,Başvuru!$G:$G,"Yüksek Lisans Tezi",Başvuru!$A:$A,"&lt;&gt;"&amp;"",Başvuru!$F:$F,"&lt;&gt;"&amp;""))</f>
        <v/>
      </c>
      <c r="J90" s="163" t="str">
        <f>IF(C90="","",COUNTIFS(Başvuru!$D:$D,C90,Başvuru!$L:$L,"ONAY",Başvuru!$A:$A,"&lt;&gt;"&amp;"",Başvuru!$F:$F,"&lt;&gt;"&amp;""))</f>
        <v/>
      </c>
      <c r="K90" s="164" t="str">
        <f>IF(C90="","",COUNTIFS(Başvuru!$D:$D,C90,Başvuru!$L:$L,"DÜZELTME",Başvuru!$A:$A,"&lt;&gt;"&amp;"",Başvuru!$F:$F,"&lt;&gt;"&amp;""))</f>
        <v/>
      </c>
      <c r="L90" s="165" t="str">
        <f>IF(C90="","",COUNTIFS(Başvuru!$D:$D,C90,Başvuru!$L:$L,"KAEK",Başvuru!$A:$A,"&lt;&gt;"&amp;"",Başvuru!$F:$F,"&lt;&gt;"&amp;""))</f>
        <v/>
      </c>
      <c r="M90" s="166" t="str">
        <f>IF(C90="","",COUNTIFS(Başvuru!$D:$D,C90,Başvuru!$L:$L,"GÖRÜŞ",Başvuru!$A:$A,"&lt;&gt;"&amp;"",Başvuru!$F:$F,"&lt;&gt;"&amp;""))</f>
        <v/>
      </c>
      <c r="N90" s="167" t="str">
        <f>IF(C90="","",COUNTIFS(Başvuru!$D:$D,C90,Başvuru!$L:$L,"RET",Başvuru!$A:$A,"&lt;&gt;"&amp;"",Başvuru!$F:$F,"&lt;&gt;"&amp;""))</f>
        <v/>
      </c>
      <c r="O90" s="168" t="str">
        <f>IF(C90="","",COUNTIFS(Başvuru!$D:$D,C90,Başvuru!$L:$L,"KAPSAM DIŞI",Başvuru!$A:$A,"&lt;&gt;"&amp;"",Başvuru!$F:$F,"&lt;&gt;"&amp;""))</f>
        <v/>
      </c>
      <c r="P90" s="169" t="str">
        <f>IF(C90="","",COUNTIFS(Başvuru!$D:$D,C90,Başvuru!$L:$L,"GERİ ÇEKİLDİ",Başvuru!$A:$A,"&lt;&gt;"&amp;"",Başvuru!$F:$F,"&lt;&gt;"&amp;""))</f>
        <v/>
      </c>
      <c r="Q90" s="170" t="str">
        <f>IFERROR(INDEX(Başvuru!$D$2:$D$1851,MATCH(85,Başvuru!$Z$2:$Z$1851,0)),"")</f>
        <v/>
      </c>
      <c r="R90" s="171" t="str">
        <f>IF(Q90="","",COUNTIFS(Başvuru!$D:$D,Q90,Başvuru!$A:$A,"&lt;&gt;"&amp;"",Başvuru!$F:$F,"&lt;&gt;"&amp;""))</f>
        <v/>
      </c>
      <c r="S90" s="171" t="str">
        <f>IF(R90="","",RANK(R90,$R$6:$R$155,0)+COUNTIF($R$6:R90,R90)-1)</f>
        <v/>
      </c>
    </row>
    <row r="91" spans="2:19" x14ac:dyDescent="0.25">
      <c r="B91" s="159">
        <v>86</v>
      </c>
      <c r="C91" s="160" t="str">
        <f>IFERROR(INDEX($Q$6:$Q$155,MATCH(86,$S$6:$S$155,0)),"")</f>
        <v/>
      </c>
      <c r="D91" s="161" t="str">
        <f>IF(C91="","",COUNTIFS(Başvuru!$D:$D,C91,Başvuru!$A:$A,"&lt;&gt;"&amp;"",Başvuru!$F:$F,"&lt;&gt;"&amp;""))</f>
        <v/>
      </c>
      <c r="E91" s="159" t="str">
        <f>IF(C91="","-",IF(D91&gt;0,TEXT(D91/(COUNTIFS(Başvuru!$A:$A,"&lt;&gt;",Başvuru!$F:$F,"&lt;&gt;")-1)*100,"0.0")&amp;"%","-"))</f>
        <v>-</v>
      </c>
      <c r="F91" s="162" t="str">
        <f>IF(C91="","",COUNTIFS(Başvuru!$D:$D,C91,Başvuru!$G:$G,"Bireysel Araştırma",Başvuru!$A:$A,"&lt;&gt;"&amp;"",Başvuru!$F:$F,"&lt;&gt;"&amp;""))</f>
        <v/>
      </c>
      <c r="G91" s="162" t="str">
        <f>IF(C91="","",COUNTIFS(Başvuru!$D:$D,C91,Başvuru!$G:$G,"Uzmanlık Tezi",Başvuru!$A:$A,"&lt;&gt;"&amp;"",Başvuru!$F:$F,"&lt;&gt;"&amp;""))</f>
        <v/>
      </c>
      <c r="H91" s="162" t="str">
        <f>IF(C91="","",COUNTIFS(Başvuru!$D:$D,C91,Başvuru!$G:$G,"Doktora Tezi",Başvuru!$A:$A,"&lt;&gt;"&amp;"",Başvuru!$F:$F,"&lt;&gt;"&amp;""))</f>
        <v/>
      </c>
      <c r="I91" s="162" t="str">
        <f>IF(C91="","",COUNTIFS(Başvuru!$D:$D,C91,Başvuru!$G:$G,"Yüksek Lisans Tezi",Başvuru!$A:$A,"&lt;&gt;"&amp;"",Başvuru!$F:$F,"&lt;&gt;"&amp;""))</f>
        <v/>
      </c>
      <c r="J91" s="163" t="str">
        <f>IF(C91="","",COUNTIFS(Başvuru!$D:$D,C91,Başvuru!$L:$L,"ONAY",Başvuru!$A:$A,"&lt;&gt;"&amp;"",Başvuru!$F:$F,"&lt;&gt;"&amp;""))</f>
        <v/>
      </c>
      <c r="K91" s="164" t="str">
        <f>IF(C91="","",COUNTIFS(Başvuru!$D:$D,C91,Başvuru!$L:$L,"DÜZELTME",Başvuru!$A:$A,"&lt;&gt;"&amp;"",Başvuru!$F:$F,"&lt;&gt;"&amp;""))</f>
        <v/>
      </c>
      <c r="L91" s="165" t="str">
        <f>IF(C91="","",COUNTIFS(Başvuru!$D:$D,C91,Başvuru!$L:$L,"KAEK",Başvuru!$A:$A,"&lt;&gt;"&amp;"",Başvuru!$F:$F,"&lt;&gt;"&amp;""))</f>
        <v/>
      </c>
      <c r="M91" s="166" t="str">
        <f>IF(C91="","",COUNTIFS(Başvuru!$D:$D,C91,Başvuru!$L:$L,"GÖRÜŞ",Başvuru!$A:$A,"&lt;&gt;"&amp;"",Başvuru!$F:$F,"&lt;&gt;"&amp;""))</f>
        <v/>
      </c>
      <c r="N91" s="167" t="str">
        <f>IF(C91="","",COUNTIFS(Başvuru!$D:$D,C91,Başvuru!$L:$L,"RET",Başvuru!$A:$A,"&lt;&gt;"&amp;"",Başvuru!$F:$F,"&lt;&gt;"&amp;""))</f>
        <v/>
      </c>
      <c r="O91" s="168" t="str">
        <f>IF(C91="","",COUNTIFS(Başvuru!$D:$D,C91,Başvuru!$L:$L,"KAPSAM DIŞI",Başvuru!$A:$A,"&lt;&gt;"&amp;"",Başvuru!$F:$F,"&lt;&gt;"&amp;""))</f>
        <v/>
      </c>
      <c r="P91" s="169" t="str">
        <f>IF(C91="","",COUNTIFS(Başvuru!$D:$D,C91,Başvuru!$L:$L,"GERİ ÇEKİLDİ",Başvuru!$A:$A,"&lt;&gt;"&amp;"",Başvuru!$F:$F,"&lt;&gt;"&amp;""))</f>
        <v/>
      </c>
      <c r="Q91" s="170" t="str">
        <f>IFERROR(INDEX(Başvuru!$D$2:$D$1851,MATCH(86,Başvuru!$Z$2:$Z$1851,0)),"")</f>
        <v/>
      </c>
      <c r="R91" s="171" t="str">
        <f>IF(Q91="","",COUNTIFS(Başvuru!$D:$D,Q91,Başvuru!$A:$A,"&lt;&gt;"&amp;"",Başvuru!$F:$F,"&lt;&gt;"&amp;""))</f>
        <v/>
      </c>
      <c r="S91" s="171" t="str">
        <f>IF(R91="","",RANK(R91,$R$6:$R$155,0)+COUNTIF($R$6:R91,R91)-1)</f>
        <v/>
      </c>
    </row>
    <row r="92" spans="2:19" x14ac:dyDescent="0.25">
      <c r="B92" s="159">
        <v>87</v>
      </c>
      <c r="C92" s="160" t="str">
        <f>IFERROR(INDEX($Q$6:$Q$155,MATCH(87,$S$6:$S$155,0)),"")</f>
        <v/>
      </c>
      <c r="D92" s="161" t="str">
        <f>IF(C92="","",COUNTIFS(Başvuru!$D:$D,C92,Başvuru!$A:$A,"&lt;&gt;"&amp;"",Başvuru!$F:$F,"&lt;&gt;"&amp;""))</f>
        <v/>
      </c>
      <c r="E92" s="159" t="str">
        <f>IF(C92="","-",IF(D92&gt;0,TEXT(D92/(COUNTIFS(Başvuru!$A:$A,"&lt;&gt;",Başvuru!$F:$F,"&lt;&gt;")-1)*100,"0.0")&amp;"%","-"))</f>
        <v>-</v>
      </c>
      <c r="F92" s="162" t="str">
        <f>IF(C92="","",COUNTIFS(Başvuru!$D:$D,C92,Başvuru!$G:$G,"Bireysel Araştırma",Başvuru!$A:$A,"&lt;&gt;"&amp;"",Başvuru!$F:$F,"&lt;&gt;"&amp;""))</f>
        <v/>
      </c>
      <c r="G92" s="162" t="str">
        <f>IF(C92="","",COUNTIFS(Başvuru!$D:$D,C92,Başvuru!$G:$G,"Uzmanlık Tezi",Başvuru!$A:$A,"&lt;&gt;"&amp;"",Başvuru!$F:$F,"&lt;&gt;"&amp;""))</f>
        <v/>
      </c>
      <c r="H92" s="162" t="str">
        <f>IF(C92="","",COUNTIFS(Başvuru!$D:$D,C92,Başvuru!$G:$G,"Doktora Tezi",Başvuru!$A:$A,"&lt;&gt;"&amp;"",Başvuru!$F:$F,"&lt;&gt;"&amp;""))</f>
        <v/>
      </c>
      <c r="I92" s="162" t="str">
        <f>IF(C92="","",COUNTIFS(Başvuru!$D:$D,C92,Başvuru!$G:$G,"Yüksek Lisans Tezi",Başvuru!$A:$A,"&lt;&gt;"&amp;"",Başvuru!$F:$F,"&lt;&gt;"&amp;""))</f>
        <v/>
      </c>
      <c r="J92" s="163" t="str">
        <f>IF(C92="","",COUNTIFS(Başvuru!$D:$D,C92,Başvuru!$L:$L,"ONAY",Başvuru!$A:$A,"&lt;&gt;"&amp;"",Başvuru!$F:$F,"&lt;&gt;"&amp;""))</f>
        <v/>
      </c>
      <c r="K92" s="164" t="str">
        <f>IF(C92="","",COUNTIFS(Başvuru!$D:$D,C92,Başvuru!$L:$L,"DÜZELTME",Başvuru!$A:$A,"&lt;&gt;"&amp;"",Başvuru!$F:$F,"&lt;&gt;"&amp;""))</f>
        <v/>
      </c>
      <c r="L92" s="165" t="str">
        <f>IF(C92="","",COUNTIFS(Başvuru!$D:$D,C92,Başvuru!$L:$L,"KAEK",Başvuru!$A:$A,"&lt;&gt;"&amp;"",Başvuru!$F:$F,"&lt;&gt;"&amp;""))</f>
        <v/>
      </c>
      <c r="M92" s="166" t="str">
        <f>IF(C92="","",COUNTIFS(Başvuru!$D:$D,C92,Başvuru!$L:$L,"GÖRÜŞ",Başvuru!$A:$A,"&lt;&gt;"&amp;"",Başvuru!$F:$F,"&lt;&gt;"&amp;""))</f>
        <v/>
      </c>
      <c r="N92" s="167" t="str">
        <f>IF(C92="","",COUNTIFS(Başvuru!$D:$D,C92,Başvuru!$L:$L,"RET",Başvuru!$A:$A,"&lt;&gt;"&amp;"",Başvuru!$F:$F,"&lt;&gt;"&amp;""))</f>
        <v/>
      </c>
      <c r="O92" s="168" t="str">
        <f>IF(C92="","",COUNTIFS(Başvuru!$D:$D,C92,Başvuru!$L:$L,"KAPSAM DIŞI",Başvuru!$A:$A,"&lt;&gt;"&amp;"",Başvuru!$F:$F,"&lt;&gt;"&amp;""))</f>
        <v/>
      </c>
      <c r="P92" s="169" t="str">
        <f>IF(C92="","",COUNTIFS(Başvuru!$D:$D,C92,Başvuru!$L:$L,"GERİ ÇEKİLDİ",Başvuru!$A:$A,"&lt;&gt;"&amp;"",Başvuru!$F:$F,"&lt;&gt;"&amp;""))</f>
        <v/>
      </c>
      <c r="Q92" s="170" t="str">
        <f>IFERROR(INDEX(Başvuru!$D$2:$D$1851,MATCH(87,Başvuru!$Z$2:$Z$1851,0)),"")</f>
        <v/>
      </c>
      <c r="R92" s="171" t="str">
        <f>IF(Q92="","",COUNTIFS(Başvuru!$D:$D,Q92,Başvuru!$A:$A,"&lt;&gt;"&amp;"",Başvuru!$F:$F,"&lt;&gt;"&amp;""))</f>
        <v/>
      </c>
      <c r="S92" s="171" t="str">
        <f>IF(R92="","",RANK(R92,$R$6:$R$155,0)+COUNTIF($R$6:R92,R92)-1)</f>
        <v/>
      </c>
    </row>
    <row r="93" spans="2:19" x14ac:dyDescent="0.25">
      <c r="B93" s="159">
        <v>88</v>
      </c>
      <c r="C93" s="160" t="str">
        <f>IFERROR(INDEX($Q$6:$Q$155,MATCH(88,$S$6:$S$155,0)),"")</f>
        <v/>
      </c>
      <c r="D93" s="161" t="str">
        <f>IF(C93="","",COUNTIFS(Başvuru!$D:$D,C93,Başvuru!$A:$A,"&lt;&gt;"&amp;"",Başvuru!$F:$F,"&lt;&gt;"&amp;""))</f>
        <v/>
      </c>
      <c r="E93" s="159" t="str">
        <f>IF(C93="","-",IF(D93&gt;0,TEXT(D93/(COUNTIFS(Başvuru!$A:$A,"&lt;&gt;",Başvuru!$F:$F,"&lt;&gt;")-1)*100,"0.0")&amp;"%","-"))</f>
        <v>-</v>
      </c>
      <c r="F93" s="162" t="str">
        <f>IF(C93="","",COUNTIFS(Başvuru!$D:$D,C93,Başvuru!$G:$G,"Bireysel Araştırma",Başvuru!$A:$A,"&lt;&gt;"&amp;"",Başvuru!$F:$F,"&lt;&gt;"&amp;""))</f>
        <v/>
      </c>
      <c r="G93" s="162" t="str">
        <f>IF(C93="","",COUNTIFS(Başvuru!$D:$D,C93,Başvuru!$G:$G,"Uzmanlık Tezi",Başvuru!$A:$A,"&lt;&gt;"&amp;"",Başvuru!$F:$F,"&lt;&gt;"&amp;""))</f>
        <v/>
      </c>
      <c r="H93" s="162" t="str">
        <f>IF(C93="","",COUNTIFS(Başvuru!$D:$D,C93,Başvuru!$G:$G,"Doktora Tezi",Başvuru!$A:$A,"&lt;&gt;"&amp;"",Başvuru!$F:$F,"&lt;&gt;"&amp;""))</f>
        <v/>
      </c>
      <c r="I93" s="162" t="str">
        <f>IF(C93="","",COUNTIFS(Başvuru!$D:$D,C93,Başvuru!$G:$G,"Yüksek Lisans Tezi",Başvuru!$A:$A,"&lt;&gt;"&amp;"",Başvuru!$F:$F,"&lt;&gt;"&amp;""))</f>
        <v/>
      </c>
      <c r="J93" s="163" t="str">
        <f>IF(C93="","",COUNTIFS(Başvuru!$D:$D,C93,Başvuru!$L:$L,"ONAY",Başvuru!$A:$A,"&lt;&gt;"&amp;"",Başvuru!$F:$F,"&lt;&gt;"&amp;""))</f>
        <v/>
      </c>
      <c r="K93" s="164" t="str">
        <f>IF(C93="","",COUNTIFS(Başvuru!$D:$D,C93,Başvuru!$L:$L,"DÜZELTME",Başvuru!$A:$A,"&lt;&gt;"&amp;"",Başvuru!$F:$F,"&lt;&gt;"&amp;""))</f>
        <v/>
      </c>
      <c r="L93" s="165" t="str">
        <f>IF(C93="","",COUNTIFS(Başvuru!$D:$D,C93,Başvuru!$L:$L,"KAEK",Başvuru!$A:$A,"&lt;&gt;"&amp;"",Başvuru!$F:$F,"&lt;&gt;"&amp;""))</f>
        <v/>
      </c>
      <c r="M93" s="166" t="str">
        <f>IF(C93="","",COUNTIFS(Başvuru!$D:$D,C93,Başvuru!$L:$L,"GÖRÜŞ",Başvuru!$A:$A,"&lt;&gt;"&amp;"",Başvuru!$F:$F,"&lt;&gt;"&amp;""))</f>
        <v/>
      </c>
      <c r="N93" s="167" t="str">
        <f>IF(C93="","",COUNTIFS(Başvuru!$D:$D,C93,Başvuru!$L:$L,"RET",Başvuru!$A:$A,"&lt;&gt;"&amp;"",Başvuru!$F:$F,"&lt;&gt;"&amp;""))</f>
        <v/>
      </c>
      <c r="O93" s="168" t="str">
        <f>IF(C93="","",COUNTIFS(Başvuru!$D:$D,C93,Başvuru!$L:$L,"KAPSAM DIŞI",Başvuru!$A:$A,"&lt;&gt;"&amp;"",Başvuru!$F:$F,"&lt;&gt;"&amp;""))</f>
        <v/>
      </c>
      <c r="P93" s="169" t="str">
        <f>IF(C93="","",COUNTIFS(Başvuru!$D:$D,C93,Başvuru!$L:$L,"GERİ ÇEKİLDİ",Başvuru!$A:$A,"&lt;&gt;"&amp;"",Başvuru!$F:$F,"&lt;&gt;"&amp;""))</f>
        <v/>
      </c>
      <c r="Q93" s="170" t="str">
        <f>IFERROR(INDEX(Başvuru!$D$2:$D$1851,MATCH(88,Başvuru!$Z$2:$Z$1851,0)),"")</f>
        <v/>
      </c>
      <c r="R93" s="171" t="str">
        <f>IF(Q93="","",COUNTIFS(Başvuru!$D:$D,Q93,Başvuru!$A:$A,"&lt;&gt;"&amp;"",Başvuru!$F:$F,"&lt;&gt;"&amp;""))</f>
        <v/>
      </c>
      <c r="S93" s="171" t="str">
        <f>IF(R93="","",RANK(R93,$R$6:$R$155,0)+COUNTIF($R$6:R93,R93)-1)</f>
        <v/>
      </c>
    </row>
    <row r="94" spans="2:19" x14ac:dyDescent="0.25">
      <c r="B94" s="159">
        <v>89</v>
      </c>
      <c r="C94" s="160" t="str">
        <f>IFERROR(INDEX($Q$6:$Q$155,MATCH(89,$S$6:$S$155,0)),"")</f>
        <v/>
      </c>
      <c r="D94" s="161" t="str">
        <f>IF(C94="","",COUNTIFS(Başvuru!$D:$D,C94,Başvuru!$A:$A,"&lt;&gt;"&amp;"",Başvuru!$F:$F,"&lt;&gt;"&amp;""))</f>
        <v/>
      </c>
      <c r="E94" s="159" t="str">
        <f>IF(C94="","-",IF(D94&gt;0,TEXT(D94/(COUNTIFS(Başvuru!$A:$A,"&lt;&gt;",Başvuru!$F:$F,"&lt;&gt;")-1)*100,"0.0")&amp;"%","-"))</f>
        <v>-</v>
      </c>
      <c r="F94" s="162" t="str">
        <f>IF(C94="","",COUNTIFS(Başvuru!$D:$D,C94,Başvuru!$G:$G,"Bireysel Araştırma",Başvuru!$A:$A,"&lt;&gt;"&amp;"",Başvuru!$F:$F,"&lt;&gt;"&amp;""))</f>
        <v/>
      </c>
      <c r="G94" s="162" t="str">
        <f>IF(C94="","",COUNTIFS(Başvuru!$D:$D,C94,Başvuru!$G:$G,"Uzmanlık Tezi",Başvuru!$A:$A,"&lt;&gt;"&amp;"",Başvuru!$F:$F,"&lt;&gt;"&amp;""))</f>
        <v/>
      </c>
      <c r="H94" s="162" t="str">
        <f>IF(C94="","",COUNTIFS(Başvuru!$D:$D,C94,Başvuru!$G:$G,"Doktora Tezi",Başvuru!$A:$A,"&lt;&gt;"&amp;"",Başvuru!$F:$F,"&lt;&gt;"&amp;""))</f>
        <v/>
      </c>
      <c r="I94" s="162" t="str">
        <f>IF(C94="","",COUNTIFS(Başvuru!$D:$D,C94,Başvuru!$G:$G,"Yüksek Lisans Tezi",Başvuru!$A:$A,"&lt;&gt;"&amp;"",Başvuru!$F:$F,"&lt;&gt;"&amp;""))</f>
        <v/>
      </c>
      <c r="J94" s="163" t="str">
        <f>IF(C94="","",COUNTIFS(Başvuru!$D:$D,C94,Başvuru!$L:$L,"ONAY",Başvuru!$A:$A,"&lt;&gt;"&amp;"",Başvuru!$F:$F,"&lt;&gt;"&amp;""))</f>
        <v/>
      </c>
      <c r="K94" s="164" t="str">
        <f>IF(C94="","",COUNTIFS(Başvuru!$D:$D,C94,Başvuru!$L:$L,"DÜZELTME",Başvuru!$A:$A,"&lt;&gt;"&amp;"",Başvuru!$F:$F,"&lt;&gt;"&amp;""))</f>
        <v/>
      </c>
      <c r="L94" s="165" t="str">
        <f>IF(C94="","",COUNTIFS(Başvuru!$D:$D,C94,Başvuru!$L:$L,"KAEK",Başvuru!$A:$A,"&lt;&gt;"&amp;"",Başvuru!$F:$F,"&lt;&gt;"&amp;""))</f>
        <v/>
      </c>
      <c r="M94" s="166" t="str">
        <f>IF(C94="","",COUNTIFS(Başvuru!$D:$D,C94,Başvuru!$L:$L,"GÖRÜŞ",Başvuru!$A:$A,"&lt;&gt;"&amp;"",Başvuru!$F:$F,"&lt;&gt;"&amp;""))</f>
        <v/>
      </c>
      <c r="N94" s="167" t="str">
        <f>IF(C94="","",COUNTIFS(Başvuru!$D:$D,C94,Başvuru!$L:$L,"RET",Başvuru!$A:$A,"&lt;&gt;"&amp;"",Başvuru!$F:$F,"&lt;&gt;"&amp;""))</f>
        <v/>
      </c>
      <c r="O94" s="168" t="str">
        <f>IF(C94="","",COUNTIFS(Başvuru!$D:$D,C94,Başvuru!$L:$L,"KAPSAM DIŞI",Başvuru!$A:$A,"&lt;&gt;"&amp;"",Başvuru!$F:$F,"&lt;&gt;"&amp;""))</f>
        <v/>
      </c>
      <c r="P94" s="169" t="str">
        <f>IF(C94="","",COUNTIFS(Başvuru!$D:$D,C94,Başvuru!$L:$L,"GERİ ÇEKİLDİ",Başvuru!$A:$A,"&lt;&gt;"&amp;"",Başvuru!$F:$F,"&lt;&gt;"&amp;""))</f>
        <v/>
      </c>
      <c r="Q94" s="170" t="str">
        <f>IFERROR(INDEX(Başvuru!$D$2:$D$1851,MATCH(89,Başvuru!$Z$2:$Z$1851,0)),"")</f>
        <v/>
      </c>
      <c r="R94" s="171" t="str">
        <f>IF(Q94="","",COUNTIFS(Başvuru!$D:$D,Q94,Başvuru!$A:$A,"&lt;&gt;"&amp;"",Başvuru!$F:$F,"&lt;&gt;"&amp;""))</f>
        <v/>
      </c>
      <c r="S94" s="171" t="str">
        <f>IF(R94="","",RANK(R94,$R$6:$R$155,0)+COUNTIF($R$6:R94,R94)-1)</f>
        <v/>
      </c>
    </row>
    <row r="95" spans="2:19" x14ac:dyDescent="0.25">
      <c r="B95" s="159">
        <v>90</v>
      </c>
      <c r="C95" s="160" t="str">
        <f>IFERROR(INDEX($Q$6:$Q$155,MATCH(90,$S$6:$S$155,0)),"")</f>
        <v/>
      </c>
      <c r="D95" s="161" t="str">
        <f>IF(C95="","",COUNTIFS(Başvuru!$D:$D,C95,Başvuru!$A:$A,"&lt;&gt;"&amp;"",Başvuru!$F:$F,"&lt;&gt;"&amp;""))</f>
        <v/>
      </c>
      <c r="E95" s="159" t="str">
        <f>IF(C95="","-",IF(D95&gt;0,TEXT(D95/(COUNTIFS(Başvuru!$A:$A,"&lt;&gt;",Başvuru!$F:$F,"&lt;&gt;")-1)*100,"0.0")&amp;"%","-"))</f>
        <v>-</v>
      </c>
      <c r="F95" s="162" t="str">
        <f>IF(C95="","",COUNTIFS(Başvuru!$D:$D,C95,Başvuru!$G:$G,"Bireysel Araştırma",Başvuru!$A:$A,"&lt;&gt;"&amp;"",Başvuru!$F:$F,"&lt;&gt;"&amp;""))</f>
        <v/>
      </c>
      <c r="G95" s="162" t="str">
        <f>IF(C95="","",COUNTIFS(Başvuru!$D:$D,C95,Başvuru!$G:$G,"Uzmanlık Tezi",Başvuru!$A:$A,"&lt;&gt;"&amp;"",Başvuru!$F:$F,"&lt;&gt;"&amp;""))</f>
        <v/>
      </c>
      <c r="H95" s="162" t="str">
        <f>IF(C95="","",COUNTIFS(Başvuru!$D:$D,C95,Başvuru!$G:$G,"Doktora Tezi",Başvuru!$A:$A,"&lt;&gt;"&amp;"",Başvuru!$F:$F,"&lt;&gt;"&amp;""))</f>
        <v/>
      </c>
      <c r="I95" s="162" t="str">
        <f>IF(C95="","",COUNTIFS(Başvuru!$D:$D,C95,Başvuru!$G:$G,"Yüksek Lisans Tezi",Başvuru!$A:$A,"&lt;&gt;"&amp;"",Başvuru!$F:$F,"&lt;&gt;"&amp;""))</f>
        <v/>
      </c>
      <c r="J95" s="163" t="str">
        <f>IF(C95="","",COUNTIFS(Başvuru!$D:$D,C95,Başvuru!$L:$L,"ONAY",Başvuru!$A:$A,"&lt;&gt;"&amp;"",Başvuru!$F:$F,"&lt;&gt;"&amp;""))</f>
        <v/>
      </c>
      <c r="K95" s="164" t="str">
        <f>IF(C95="","",COUNTIFS(Başvuru!$D:$D,C95,Başvuru!$L:$L,"DÜZELTME",Başvuru!$A:$A,"&lt;&gt;"&amp;"",Başvuru!$F:$F,"&lt;&gt;"&amp;""))</f>
        <v/>
      </c>
      <c r="L95" s="165" t="str">
        <f>IF(C95="","",COUNTIFS(Başvuru!$D:$D,C95,Başvuru!$L:$L,"KAEK",Başvuru!$A:$A,"&lt;&gt;"&amp;"",Başvuru!$F:$F,"&lt;&gt;"&amp;""))</f>
        <v/>
      </c>
      <c r="M95" s="166" t="str">
        <f>IF(C95="","",COUNTIFS(Başvuru!$D:$D,C95,Başvuru!$L:$L,"GÖRÜŞ",Başvuru!$A:$A,"&lt;&gt;"&amp;"",Başvuru!$F:$F,"&lt;&gt;"&amp;""))</f>
        <v/>
      </c>
      <c r="N95" s="167" t="str">
        <f>IF(C95="","",COUNTIFS(Başvuru!$D:$D,C95,Başvuru!$L:$L,"RET",Başvuru!$A:$A,"&lt;&gt;"&amp;"",Başvuru!$F:$F,"&lt;&gt;"&amp;""))</f>
        <v/>
      </c>
      <c r="O95" s="168" t="str">
        <f>IF(C95="","",COUNTIFS(Başvuru!$D:$D,C95,Başvuru!$L:$L,"KAPSAM DIŞI",Başvuru!$A:$A,"&lt;&gt;"&amp;"",Başvuru!$F:$F,"&lt;&gt;"&amp;""))</f>
        <v/>
      </c>
      <c r="P95" s="169" t="str">
        <f>IF(C95="","",COUNTIFS(Başvuru!$D:$D,C95,Başvuru!$L:$L,"GERİ ÇEKİLDİ",Başvuru!$A:$A,"&lt;&gt;"&amp;"",Başvuru!$F:$F,"&lt;&gt;"&amp;""))</f>
        <v/>
      </c>
      <c r="Q95" s="170" t="str">
        <f>IFERROR(INDEX(Başvuru!$D$2:$D$1851,MATCH(90,Başvuru!$Z$2:$Z$1851,0)),"")</f>
        <v/>
      </c>
      <c r="R95" s="171" t="str">
        <f>IF(Q95="","",COUNTIFS(Başvuru!$D:$D,Q95,Başvuru!$A:$A,"&lt;&gt;"&amp;"",Başvuru!$F:$F,"&lt;&gt;"&amp;""))</f>
        <v/>
      </c>
      <c r="S95" s="171" t="str">
        <f>IF(R95="","",RANK(R95,$R$6:$R$155,0)+COUNTIF($R$6:R95,R95)-1)</f>
        <v/>
      </c>
    </row>
    <row r="96" spans="2:19" x14ac:dyDescent="0.25">
      <c r="B96" s="159">
        <v>91</v>
      </c>
      <c r="C96" s="160" t="str">
        <f>IFERROR(INDEX($Q$6:$Q$155,MATCH(91,$S$6:$S$155,0)),"")</f>
        <v/>
      </c>
      <c r="D96" s="161" t="str">
        <f>IF(C96="","",COUNTIFS(Başvuru!$D:$D,C96,Başvuru!$A:$A,"&lt;&gt;"&amp;"",Başvuru!$F:$F,"&lt;&gt;"&amp;""))</f>
        <v/>
      </c>
      <c r="E96" s="159" t="str">
        <f>IF(C96="","-",IF(D96&gt;0,TEXT(D96/(COUNTIFS(Başvuru!$A:$A,"&lt;&gt;",Başvuru!$F:$F,"&lt;&gt;")-1)*100,"0.0")&amp;"%","-"))</f>
        <v>-</v>
      </c>
      <c r="F96" s="162" t="str">
        <f>IF(C96="","",COUNTIFS(Başvuru!$D:$D,C96,Başvuru!$G:$G,"Bireysel Araştırma",Başvuru!$A:$A,"&lt;&gt;"&amp;"",Başvuru!$F:$F,"&lt;&gt;"&amp;""))</f>
        <v/>
      </c>
      <c r="G96" s="162" t="str">
        <f>IF(C96="","",COUNTIFS(Başvuru!$D:$D,C96,Başvuru!$G:$G,"Uzmanlık Tezi",Başvuru!$A:$A,"&lt;&gt;"&amp;"",Başvuru!$F:$F,"&lt;&gt;"&amp;""))</f>
        <v/>
      </c>
      <c r="H96" s="162" t="str">
        <f>IF(C96="","",COUNTIFS(Başvuru!$D:$D,C96,Başvuru!$G:$G,"Doktora Tezi",Başvuru!$A:$A,"&lt;&gt;"&amp;"",Başvuru!$F:$F,"&lt;&gt;"&amp;""))</f>
        <v/>
      </c>
      <c r="I96" s="162" t="str">
        <f>IF(C96="","",COUNTIFS(Başvuru!$D:$D,C96,Başvuru!$G:$G,"Yüksek Lisans Tezi",Başvuru!$A:$A,"&lt;&gt;"&amp;"",Başvuru!$F:$F,"&lt;&gt;"&amp;""))</f>
        <v/>
      </c>
      <c r="J96" s="163" t="str">
        <f>IF(C96="","",COUNTIFS(Başvuru!$D:$D,C96,Başvuru!$L:$L,"ONAY",Başvuru!$A:$A,"&lt;&gt;"&amp;"",Başvuru!$F:$F,"&lt;&gt;"&amp;""))</f>
        <v/>
      </c>
      <c r="K96" s="164" t="str">
        <f>IF(C96="","",COUNTIFS(Başvuru!$D:$D,C96,Başvuru!$L:$L,"DÜZELTME",Başvuru!$A:$A,"&lt;&gt;"&amp;"",Başvuru!$F:$F,"&lt;&gt;"&amp;""))</f>
        <v/>
      </c>
      <c r="L96" s="165" t="str">
        <f>IF(C96="","",COUNTIFS(Başvuru!$D:$D,C96,Başvuru!$L:$L,"KAEK",Başvuru!$A:$A,"&lt;&gt;"&amp;"",Başvuru!$F:$F,"&lt;&gt;"&amp;""))</f>
        <v/>
      </c>
      <c r="M96" s="166" t="str">
        <f>IF(C96="","",COUNTIFS(Başvuru!$D:$D,C96,Başvuru!$L:$L,"GÖRÜŞ",Başvuru!$A:$A,"&lt;&gt;"&amp;"",Başvuru!$F:$F,"&lt;&gt;"&amp;""))</f>
        <v/>
      </c>
      <c r="N96" s="167" t="str">
        <f>IF(C96="","",COUNTIFS(Başvuru!$D:$D,C96,Başvuru!$L:$L,"RET",Başvuru!$A:$A,"&lt;&gt;"&amp;"",Başvuru!$F:$F,"&lt;&gt;"&amp;""))</f>
        <v/>
      </c>
      <c r="O96" s="168" t="str">
        <f>IF(C96="","",COUNTIFS(Başvuru!$D:$D,C96,Başvuru!$L:$L,"KAPSAM DIŞI",Başvuru!$A:$A,"&lt;&gt;"&amp;"",Başvuru!$F:$F,"&lt;&gt;"&amp;""))</f>
        <v/>
      </c>
      <c r="P96" s="169" t="str">
        <f>IF(C96="","",COUNTIFS(Başvuru!$D:$D,C96,Başvuru!$L:$L,"GERİ ÇEKİLDİ",Başvuru!$A:$A,"&lt;&gt;"&amp;"",Başvuru!$F:$F,"&lt;&gt;"&amp;""))</f>
        <v/>
      </c>
      <c r="Q96" s="170" t="str">
        <f>IFERROR(INDEX(Başvuru!$D$2:$D$1851,MATCH(91,Başvuru!$Z$2:$Z$1851,0)),"")</f>
        <v/>
      </c>
      <c r="R96" s="171" t="str">
        <f>IF(Q96="","",COUNTIFS(Başvuru!$D:$D,Q96,Başvuru!$A:$A,"&lt;&gt;"&amp;"",Başvuru!$F:$F,"&lt;&gt;"&amp;""))</f>
        <v/>
      </c>
      <c r="S96" s="171" t="str">
        <f>IF(R96="","",RANK(R96,$R$6:$R$155,0)+COUNTIF($R$6:R96,R96)-1)</f>
        <v/>
      </c>
    </row>
    <row r="97" spans="2:19" x14ac:dyDescent="0.25">
      <c r="B97" s="159">
        <v>92</v>
      </c>
      <c r="C97" s="160" t="str">
        <f>IFERROR(INDEX($Q$6:$Q$155,MATCH(92,$S$6:$S$155,0)),"")</f>
        <v/>
      </c>
      <c r="D97" s="161" t="str">
        <f>IF(C97="","",COUNTIFS(Başvuru!$D:$D,C97,Başvuru!$A:$A,"&lt;&gt;"&amp;"",Başvuru!$F:$F,"&lt;&gt;"&amp;""))</f>
        <v/>
      </c>
      <c r="E97" s="159" t="str">
        <f>IF(C97="","-",IF(D97&gt;0,TEXT(D97/(COUNTIFS(Başvuru!$A:$A,"&lt;&gt;",Başvuru!$F:$F,"&lt;&gt;")-1)*100,"0.0")&amp;"%","-"))</f>
        <v>-</v>
      </c>
      <c r="F97" s="162" t="str">
        <f>IF(C97="","",COUNTIFS(Başvuru!$D:$D,C97,Başvuru!$G:$G,"Bireysel Araştırma",Başvuru!$A:$A,"&lt;&gt;"&amp;"",Başvuru!$F:$F,"&lt;&gt;"&amp;""))</f>
        <v/>
      </c>
      <c r="G97" s="162" t="str">
        <f>IF(C97="","",COUNTIFS(Başvuru!$D:$D,C97,Başvuru!$G:$G,"Uzmanlık Tezi",Başvuru!$A:$A,"&lt;&gt;"&amp;"",Başvuru!$F:$F,"&lt;&gt;"&amp;""))</f>
        <v/>
      </c>
      <c r="H97" s="162" t="str">
        <f>IF(C97="","",COUNTIFS(Başvuru!$D:$D,C97,Başvuru!$G:$G,"Doktora Tezi",Başvuru!$A:$A,"&lt;&gt;"&amp;"",Başvuru!$F:$F,"&lt;&gt;"&amp;""))</f>
        <v/>
      </c>
      <c r="I97" s="162" t="str">
        <f>IF(C97="","",COUNTIFS(Başvuru!$D:$D,C97,Başvuru!$G:$G,"Yüksek Lisans Tezi",Başvuru!$A:$A,"&lt;&gt;"&amp;"",Başvuru!$F:$F,"&lt;&gt;"&amp;""))</f>
        <v/>
      </c>
      <c r="J97" s="163" t="str">
        <f>IF(C97="","",COUNTIFS(Başvuru!$D:$D,C97,Başvuru!$L:$L,"ONAY",Başvuru!$A:$A,"&lt;&gt;"&amp;"",Başvuru!$F:$F,"&lt;&gt;"&amp;""))</f>
        <v/>
      </c>
      <c r="K97" s="164" t="str">
        <f>IF(C97="","",COUNTIFS(Başvuru!$D:$D,C97,Başvuru!$L:$L,"DÜZELTME",Başvuru!$A:$A,"&lt;&gt;"&amp;"",Başvuru!$F:$F,"&lt;&gt;"&amp;""))</f>
        <v/>
      </c>
      <c r="L97" s="165" t="str">
        <f>IF(C97="","",COUNTIFS(Başvuru!$D:$D,C97,Başvuru!$L:$L,"KAEK",Başvuru!$A:$A,"&lt;&gt;"&amp;"",Başvuru!$F:$F,"&lt;&gt;"&amp;""))</f>
        <v/>
      </c>
      <c r="M97" s="166" t="str">
        <f>IF(C97="","",COUNTIFS(Başvuru!$D:$D,C97,Başvuru!$L:$L,"GÖRÜŞ",Başvuru!$A:$A,"&lt;&gt;"&amp;"",Başvuru!$F:$F,"&lt;&gt;"&amp;""))</f>
        <v/>
      </c>
      <c r="N97" s="167" t="str">
        <f>IF(C97="","",COUNTIFS(Başvuru!$D:$D,C97,Başvuru!$L:$L,"RET",Başvuru!$A:$A,"&lt;&gt;"&amp;"",Başvuru!$F:$F,"&lt;&gt;"&amp;""))</f>
        <v/>
      </c>
      <c r="O97" s="168" t="str">
        <f>IF(C97="","",COUNTIFS(Başvuru!$D:$D,C97,Başvuru!$L:$L,"KAPSAM DIŞI",Başvuru!$A:$A,"&lt;&gt;"&amp;"",Başvuru!$F:$F,"&lt;&gt;"&amp;""))</f>
        <v/>
      </c>
      <c r="P97" s="169" t="str">
        <f>IF(C97="","",COUNTIFS(Başvuru!$D:$D,C97,Başvuru!$L:$L,"GERİ ÇEKİLDİ",Başvuru!$A:$A,"&lt;&gt;"&amp;"",Başvuru!$F:$F,"&lt;&gt;"&amp;""))</f>
        <v/>
      </c>
      <c r="Q97" s="170" t="str">
        <f>IFERROR(INDEX(Başvuru!$D$2:$D$1851,MATCH(92,Başvuru!$Z$2:$Z$1851,0)),"")</f>
        <v/>
      </c>
      <c r="R97" s="171" t="str">
        <f>IF(Q97="","",COUNTIFS(Başvuru!$D:$D,Q97,Başvuru!$A:$A,"&lt;&gt;"&amp;"",Başvuru!$F:$F,"&lt;&gt;"&amp;""))</f>
        <v/>
      </c>
      <c r="S97" s="171" t="str">
        <f>IF(R97="","",RANK(R97,$R$6:$R$155,0)+COUNTIF($R$6:R97,R97)-1)</f>
        <v/>
      </c>
    </row>
    <row r="98" spans="2:19" x14ac:dyDescent="0.25">
      <c r="B98" s="159">
        <v>93</v>
      </c>
      <c r="C98" s="160" t="str">
        <f>IFERROR(INDEX($Q$6:$Q$155,MATCH(93,$S$6:$S$155,0)),"")</f>
        <v/>
      </c>
      <c r="D98" s="161" t="str">
        <f>IF(C98="","",COUNTIFS(Başvuru!$D:$D,C98,Başvuru!$A:$A,"&lt;&gt;"&amp;"",Başvuru!$F:$F,"&lt;&gt;"&amp;""))</f>
        <v/>
      </c>
      <c r="E98" s="159" t="str">
        <f>IF(C98="","-",IF(D98&gt;0,TEXT(D98/(COUNTIFS(Başvuru!$A:$A,"&lt;&gt;",Başvuru!$F:$F,"&lt;&gt;")-1)*100,"0.0")&amp;"%","-"))</f>
        <v>-</v>
      </c>
      <c r="F98" s="162" t="str">
        <f>IF(C98="","",COUNTIFS(Başvuru!$D:$D,C98,Başvuru!$G:$G,"Bireysel Araştırma",Başvuru!$A:$A,"&lt;&gt;"&amp;"",Başvuru!$F:$F,"&lt;&gt;"&amp;""))</f>
        <v/>
      </c>
      <c r="G98" s="162" t="str">
        <f>IF(C98="","",COUNTIFS(Başvuru!$D:$D,C98,Başvuru!$G:$G,"Uzmanlık Tezi",Başvuru!$A:$A,"&lt;&gt;"&amp;"",Başvuru!$F:$F,"&lt;&gt;"&amp;""))</f>
        <v/>
      </c>
      <c r="H98" s="162" t="str">
        <f>IF(C98="","",COUNTIFS(Başvuru!$D:$D,C98,Başvuru!$G:$G,"Doktora Tezi",Başvuru!$A:$A,"&lt;&gt;"&amp;"",Başvuru!$F:$F,"&lt;&gt;"&amp;""))</f>
        <v/>
      </c>
      <c r="I98" s="162" t="str">
        <f>IF(C98="","",COUNTIFS(Başvuru!$D:$D,C98,Başvuru!$G:$G,"Yüksek Lisans Tezi",Başvuru!$A:$A,"&lt;&gt;"&amp;"",Başvuru!$F:$F,"&lt;&gt;"&amp;""))</f>
        <v/>
      </c>
      <c r="J98" s="163" t="str">
        <f>IF(C98="","",COUNTIFS(Başvuru!$D:$D,C98,Başvuru!$L:$L,"ONAY",Başvuru!$A:$A,"&lt;&gt;"&amp;"",Başvuru!$F:$F,"&lt;&gt;"&amp;""))</f>
        <v/>
      </c>
      <c r="K98" s="164" t="str">
        <f>IF(C98="","",COUNTIFS(Başvuru!$D:$D,C98,Başvuru!$L:$L,"DÜZELTME",Başvuru!$A:$A,"&lt;&gt;"&amp;"",Başvuru!$F:$F,"&lt;&gt;"&amp;""))</f>
        <v/>
      </c>
      <c r="L98" s="165" t="str">
        <f>IF(C98="","",COUNTIFS(Başvuru!$D:$D,C98,Başvuru!$L:$L,"KAEK",Başvuru!$A:$A,"&lt;&gt;"&amp;"",Başvuru!$F:$F,"&lt;&gt;"&amp;""))</f>
        <v/>
      </c>
      <c r="M98" s="166" t="str">
        <f>IF(C98="","",COUNTIFS(Başvuru!$D:$D,C98,Başvuru!$L:$L,"GÖRÜŞ",Başvuru!$A:$A,"&lt;&gt;"&amp;"",Başvuru!$F:$F,"&lt;&gt;"&amp;""))</f>
        <v/>
      </c>
      <c r="N98" s="167" t="str">
        <f>IF(C98="","",COUNTIFS(Başvuru!$D:$D,C98,Başvuru!$L:$L,"RET",Başvuru!$A:$A,"&lt;&gt;"&amp;"",Başvuru!$F:$F,"&lt;&gt;"&amp;""))</f>
        <v/>
      </c>
      <c r="O98" s="168" t="str">
        <f>IF(C98="","",COUNTIFS(Başvuru!$D:$D,C98,Başvuru!$L:$L,"KAPSAM DIŞI",Başvuru!$A:$A,"&lt;&gt;"&amp;"",Başvuru!$F:$F,"&lt;&gt;"&amp;""))</f>
        <v/>
      </c>
      <c r="P98" s="169" t="str">
        <f>IF(C98="","",COUNTIFS(Başvuru!$D:$D,C98,Başvuru!$L:$L,"GERİ ÇEKİLDİ",Başvuru!$A:$A,"&lt;&gt;"&amp;"",Başvuru!$F:$F,"&lt;&gt;"&amp;""))</f>
        <v/>
      </c>
      <c r="Q98" s="170" t="str">
        <f>IFERROR(INDEX(Başvuru!$D$2:$D$1851,MATCH(93,Başvuru!$Z$2:$Z$1851,0)),"")</f>
        <v/>
      </c>
      <c r="R98" s="171" t="str">
        <f>IF(Q98="","",COUNTIFS(Başvuru!$D:$D,Q98,Başvuru!$A:$A,"&lt;&gt;"&amp;"",Başvuru!$F:$F,"&lt;&gt;"&amp;""))</f>
        <v/>
      </c>
      <c r="S98" s="171" t="str">
        <f>IF(R98="","",RANK(R98,$R$6:$R$155,0)+COUNTIF($R$6:R98,R98)-1)</f>
        <v/>
      </c>
    </row>
    <row r="99" spans="2:19" x14ac:dyDescent="0.25">
      <c r="B99" s="159">
        <v>94</v>
      </c>
      <c r="C99" s="160" t="str">
        <f>IFERROR(INDEX($Q$6:$Q$155,MATCH(94,$S$6:$S$155,0)),"")</f>
        <v/>
      </c>
      <c r="D99" s="161" t="str">
        <f>IF(C99="","",COUNTIFS(Başvuru!$D:$D,C99,Başvuru!$A:$A,"&lt;&gt;"&amp;"",Başvuru!$F:$F,"&lt;&gt;"&amp;""))</f>
        <v/>
      </c>
      <c r="E99" s="159" t="str">
        <f>IF(C99="","-",IF(D99&gt;0,TEXT(D99/(COUNTIFS(Başvuru!$A:$A,"&lt;&gt;",Başvuru!$F:$F,"&lt;&gt;")-1)*100,"0.0")&amp;"%","-"))</f>
        <v>-</v>
      </c>
      <c r="F99" s="162" t="str">
        <f>IF(C99="","",COUNTIFS(Başvuru!$D:$D,C99,Başvuru!$G:$G,"Bireysel Araştırma",Başvuru!$A:$A,"&lt;&gt;"&amp;"",Başvuru!$F:$F,"&lt;&gt;"&amp;""))</f>
        <v/>
      </c>
      <c r="G99" s="162" t="str">
        <f>IF(C99="","",COUNTIFS(Başvuru!$D:$D,C99,Başvuru!$G:$G,"Uzmanlık Tezi",Başvuru!$A:$A,"&lt;&gt;"&amp;"",Başvuru!$F:$F,"&lt;&gt;"&amp;""))</f>
        <v/>
      </c>
      <c r="H99" s="162" t="str">
        <f>IF(C99="","",COUNTIFS(Başvuru!$D:$D,C99,Başvuru!$G:$G,"Doktora Tezi",Başvuru!$A:$A,"&lt;&gt;"&amp;"",Başvuru!$F:$F,"&lt;&gt;"&amp;""))</f>
        <v/>
      </c>
      <c r="I99" s="162" t="str">
        <f>IF(C99="","",COUNTIFS(Başvuru!$D:$D,C99,Başvuru!$G:$G,"Yüksek Lisans Tezi",Başvuru!$A:$A,"&lt;&gt;"&amp;"",Başvuru!$F:$F,"&lt;&gt;"&amp;""))</f>
        <v/>
      </c>
      <c r="J99" s="163" t="str">
        <f>IF(C99="","",COUNTIFS(Başvuru!$D:$D,C99,Başvuru!$L:$L,"ONAY",Başvuru!$A:$A,"&lt;&gt;"&amp;"",Başvuru!$F:$F,"&lt;&gt;"&amp;""))</f>
        <v/>
      </c>
      <c r="K99" s="164" t="str">
        <f>IF(C99="","",COUNTIFS(Başvuru!$D:$D,C99,Başvuru!$L:$L,"DÜZELTME",Başvuru!$A:$A,"&lt;&gt;"&amp;"",Başvuru!$F:$F,"&lt;&gt;"&amp;""))</f>
        <v/>
      </c>
      <c r="L99" s="165" t="str">
        <f>IF(C99="","",COUNTIFS(Başvuru!$D:$D,C99,Başvuru!$L:$L,"KAEK",Başvuru!$A:$A,"&lt;&gt;"&amp;"",Başvuru!$F:$F,"&lt;&gt;"&amp;""))</f>
        <v/>
      </c>
      <c r="M99" s="166" t="str">
        <f>IF(C99="","",COUNTIFS(Başvuru!$D:$D,C99,Başvuru!$L:$L,"GÖRÜŞ",Başvuru!$A:$A,"&lt;&gt;"&amp;"",Başvuru!$F:$F,"&lt;&gt;"&amp;""))</f>
        <v/>
      </c>
      <c r="N99" s="167" t="str">
        <f>IF(C99="","",COUNTIFS(Başvuru!$D:$D,C99,Başvuru!$L:$L,"RET",Başvuru!$A:$A,"&lt;&gt;"&amp;"",Başvuru!$F:$F,"&lt;&gt;"&amp;""))</f>
        <v/>
      </c>
      <c r="O99" s="168" t="str">
        <f>IF(C99="","",COUNTIFS(Başvuru!$D:$D,C99,Başvuru!$L:$L,"KAPSAM DIŞI",Başvuru!$A:$A,"&lt;&gt;"&amp;"",Başvuru!$F:$F,"&lt;&gt;"&amp;""))</f>
        <v/>
      </c>
      <c r="P99" s="169" t="str">
        <f>IF(C99="","",COUNTIFS(Başvuru!$D:$D,C99,Başvuru!$L:$L,"GERİ ÇEKİLDİ",Başvuru!$A:$A,"&lt;&gt;"&amp;"",Başvuru!$F:$F,"&lt;&gt;"&amp;""))</f>
        <v/>
      </c>
      <c r="Q99" s="170" t="str">
        <f>IFERROR(INDEX(Başvuru!$D$2:$D$1851,MATCH(94,Başvuru!$Z$2:$Z$1851,0)),"")</f>
        <v/>
      </c>
      <c r="R99" s="171" t="str">
        <f>IF(Q99="","",COUNTIFS(Başvuru!$D:$D,Q99,Başvuru!$A:$A,"&lt;&gt;"&amp;"",Başvuru!$F:$F,"&lt;&gt;"&amp;""))</f>
        <v/>
      </c>
      <c r="S99" s="171" t="str">
        <f>IF(R99="","",RANK(R99,$R$6:$R$155,0)+COUNTIF($R$6:R99,R99)-1)</f>
        <v/>
      </c>
    </row>
    <row r="100" spans="2:19" x14ac:dyDescent="0.25">
      <c r="B100" s="159">
        <v>95</v>
      </c>
      <c r="C100" s="160" t="str">
        <f>IFERROR(INDEX($Q$6:$Q$155,MATCH(95,$S$6:$S$155,0)),"")</f>
        <v/>
      </c>
      <c r="D100" s="161" t="str">
        <f>IF(C100="","",COUNTIFS(Başvuru!$D:$D,C100,Başvuru!$A:$A,"&lt;&gt;"&amp;"",Başvuru!$F:$F,"&lt;&gt;"&amp;""))</f>
        <v/>
      </c>
      <c r="E100" s="159" t="str">
        <f>IF(C100="","-",IF(D100&gt;0,TEXT(D100/(COUNTIFS(Başvuru!$A:$A,"&lt;&gt;",Başvuru!$F:$F,"&lt;&gt;")-1)*100,"0.0")&amp;"%","-"))</f>
        <v>-</v>
      </c>
      <c r="F100" s="162" t="str">
        <f>IF(C100="","",COUNTIFS(Başvuru!$D:$D,C100,Başvuru!$G:$G,"Bireysel Araştırma",Başvuru!$A:$A,"&lt;&gt;"&amp;"",Başvuru!$F:$F,"&lt;&gt;"&amp;""))</f>
        <v/>
      </c>
      <c r="G100" s="162" t="str">
        <f>IF(C100="","",COUNTIFS(Başvuru!$D:$D,C100,Başvuru!$G:$G,"Uzmanlık Tezi",Başvuru!$A:$A,"&lt;&gt;"&amp;"",Başvuru!$F:$F,"&lt;&gt;"&amp;""))</f>
        <v/>
      </c>
      <c r="H100" s="162" t="str">
        <f>IF(C100="","",COUNTIFS(Başvuru!$D:$D,C100,Başvuru!$G:$G,"Doktora Tezi",Başvuru!$A:$A,"&lt;&gt;"&amp;"",Başvuru!$F:$F,"&lt;&gt;"&amp;""))</f>
        <v/>
      </c>
      <c r="I100" s="162" t="str">
        <f>IF(C100="","",COUNTIFS(Başvuru!$D:$D,C100,Başvuru!$G:$G,"Yüksek Lisans Tezi",Başvuru!$A:$A,"&lt;&gt;"&amp;"",Başvuru!$F:$F,"&lt;&gt;"&amp;""))</f>
        <v/>
      </c>
      <c r="J100" s="163" t="str">
        <f>IF(C100="","",COUNTIFS(Başvuru!$D:$D,C100,Başvuru!$L:$L,"ONAY",Başvuru!$A:$A,"&lt;&gt;"&amp;"",Başvuru!$F:$F,"&lt;&gt;"&amp;""))</f>
        <v/>
      </c>
      <c r="K100" s="164" t="str">
        <f>IF(C100="","",COUNTIFS(Başvuru!$D:$D,C100,Başvuru!$L:$L,"DÜZELTME",Başvuru!$A:$A,"&lt;&gt;"&amp;"",Başvuru!$F:$F,"&lt;&gt;"&amp;""))</f>
        <v/>
      </c>
      <c r="L100" s="165" t="str">
        <f>IF(C100="","",COUNTIFS(Başvuru!$D:$D,C100,Başvuru!$L:$L,"KAEK",Başvuru!$A:$A,"&lt;&gt;"&amp;"",Başvuru!$F:$F,"&lt;&gt;"&amp;""))</f>
        <v/>
      </c>
      <c r="M100" s="166" t="str">
        <f>IF(C100="","",COUNTIFS(Başvuru!$D:$D,C100,Başvuru!$L:$L,"GÖRÜŞ",Başvuru!$A:$A,"&lt;&gt;"&amp;"",Başvuru!$F:$F,"&lt;&gt;"&amp;""))</f>
        <v/>
      </c>
      <c r="N100" s="167" t="str">
        <f>IF(C100="","",COUNTIFS(Başvuru!$D:$D,C100,Başvuru!$L:$L,"RET",Başvuru!$A:$A,"&lt;&gt;"&amp;"",Başvuru!$F:$F,"&lt;&gt;"&amp;""))</f>
        <v/>
      </c>
      <c r="O100" s="168" t="str">
        <f>IF(C100="","",COUNTIFS(Başvuru!$D:$D,C100,Başvuru!$L:$L,"KAPSAM DIŞI",Başvuru!$A:$A,"&lt;&gt;"&amp;"",Başvuru!$F:$F,"&lt;&gt;"&amp;""))</f>
        <v/>
      </c>
      <c r="P100" s="169" t="str">
        <f>IF(C100="","",COUNTIFS(Başvuru!$D:$D,C100,Başvuru!$L:$L,"GERİ ÇEKİLDİ",Başvuru!$A:$A,"&lt;&gt;"&amp;"",Başvuru!$F:$F,"&lt;&gt;"&amp;""))</f>
        <v/>
      </c>
      <c r="Q100" s="170" t="str">
        <f>IFERROR(INDEX(Başvuru!$D$2:$D$1851,MATCH(95,Başvuru!$Z$2:$Z$1851,0)),"")</f>
        <v/>
      </c>
      <c r="R100" s="171" t="str">
        <f>IF(Q100="","",COUNTIFS(Başvuru!$D:$D,Q100,Başvuru!$A:$A,"&lt;&gt;"&amp;"",Başvuru!$F:$F,"&lt;&gt;"&amp;""))</f>
        <v/>
      </c>
      <c r="S100" s="171" t="str">
        <f>IF(R100="","",RANK(R100,$R$6:$R$155,0)+COUNTIF($R$6:R100,R100)-1)</f>
        <v/>
      </c>
    </row>
    <row r="101" spans="2:19" x14ac:dyDescent="0.25">
      <c r="B101" s="159">
        <v>96</v>
      </c>
      <c r="C101" s="160" t="str">
        <f>IFERROR(INDEX($Q$6:$Q$155,MATCH(96,$S$6:$S$155,0)),"")</f>
        <v/>
      </c>
      <c r="D101" s="161" t="str">
        <f>IF(C101="","",COUNTIFS(Başvuru!$D:$D,C101,Başvuru!$A:$A,"&lt;&gt;"&amp;"",Başvuru!$F:$F,"&lt;&gt;"&amp;""))</f>
        <v/>
      </c>
      <c r="E101" s="159" t="str">
        <f>IF(C101="","-",IF(D101&gt;0,TEXT(D101/(COUNTIFS(Başvuru!$A:$A,"&lt;&gt;",Başvuru!$F:$F,"&lt;&gt;")-1)*100,"0.0")&amp;"%","-"))</f>
        <v>-</v>
      </c>
      <c r="F101" s="162" t="str">
        <f>IF(C101="","",COUNTIFS(Başvuru!$D:$D,C101,Başvuru!$G:$G,"Bireysel Araştırma",Başvuru!$A:$A,"&lt;&gt;"&amp;"",Başvuru!$F:$F,"&lt;&gt;"&amp;""))</f>
        <v/>
      </c>
      <c r="G101" s="162" t="str">
        <f>IF(C101="","",COUNTIFS(Başvuru!$D:$D,C101,Başvuru!$G:$G,"Uzmanlık Tezi",Başvuru!$A:$A,"&lt;&gt;"&amp;"",Başvuru!$F:$F,"&lt;&gt;"&amp;""))</f>
        <v/>
      </c>
      <c r="H101" s="162" t="str">
        <f>IF(C101="","",COUNTIFS(Başvuru!$D:$D,C101,Başvuru!$G:$G,"Doktora Tezi",Başvuru!$A:$A,"&lt;&gt;"&amp;"",Başvuru!$F:$F,"&lt;&gt;"&amp;""))</f>
        <v/>
      </c>
      <c r="I101" s="162" t="str">
        <f>IF(C101="","",COUNTIFS(Başvuru!$D:$D,C101,Başvuru!$G:$G,"Yüksek Lisans Tezi",Başvuru!$A:$A,"&lt;&gt;"&amp;"",Başvuru!$F:$F,"&lt;&gt;"&amp;""))</f>
        <v/>
      </c>
      <c r="J101" s="163" t="str">
        <f>IF(C101="","",COUNTIFS(Başvuru!$D:$D,C101,Başvuru!$L:$L,"ONAY",Başvuru!$A:$A,"&lt;&gt;"&amp;"",Başvuru!$F:$F,"&lt;&gt;"&amp;""))</f>
        <v/>
      </c>
      <c r="K101" s="164" t="str">
        <f>IF(C101="","",COUNTIFS(Başvuru!$D:$D,C101,Başvuru!$L:$L,"DÜZELTME",Başvuru!$A:$A,"&lt;&gt;"&amp;"",Başvuru!$F:$F,"&lt;&gt;"&amp;""))</f>
        <v/>
      </c>
      <c r="L101" s="165" t="str">
        <f>IF(C101="","",COUNTIFS(Başvuru!$D:$D,C101,Başvuru!$L:$L,"KAEK",Başvuru!$A:$A,"&lt;&gt;"&amp;"",Başvuru!$F:$F,"&lt;&gt;"&amp;""))</f>
        <v/>
      </c>
      <c r="M101" s="166" t="str">
        <f>IF(C101="","",COUNTIFS(Başvuru!$D:$D,C101,Başvuru!$L:$L,"GÖRÜŞ",Başvuru!$A:$A,"&lt;&gt;"&amp;"",Başvuru!$F:$F,"&lt;&gt;"&amp;""))</f>
        <v/>
      </c>
      <c r="N101" s="167" t="str">
        <f>IF(C101="","",COUNTIFS(Başvuru!$D:$D,C101,Başvuru!$L:$L,"RET",Başvuru!$A:$A,"&lt;&gt;"&amp;"",Başvuru!$F:$F,"&lt;&gt;"&amp;""))</f>
        <v/>
      </c>
      <c r="O101" s="168" t="str">
        <f>IF(C101="","",COUNTIFS(Başvuru!$D:$D,C101,Başvuru!$L:$L,"KAPSAM DIŞI",Başvuru!$A:$A,"&lt;&gt;"&amp;"",Başvuru!$F:$F,"&lt;&gt;"&amp;""))</f>
        <v/>
      </c>
      <c r="P101" s="169" t="str">
        <f>IF(C101="","",COUNTIFS(Başvuru!$D:$D,C101,Başvuru!$L:$L,"GERİ ÇEKİLDİ",Başvuru!$A:$A,"&lt;&gt;"&amp;"",Başvuru!$F:$F,"&lt;&gt;"&amp;""))</f>
        <v/>
      </c>
      <c r="Q101" s="170" t="str">
        <f>IFERROR(INDEX(Başvuru!$D$2:$D$1851,MATCH(96,Başvuru!$Z$2:$Z$1851,0)),"")</f>
        <v/>
      </c>
      <c r="R101" s="171" t="str">
        <f>IF(Q101="","",COUNTIFS(Başvuru!$D:$D,Q101,Başvuru!$A:$A,"&lt;&gt;"&amp;"",Başvuru!$F:$F,"&lt;&gt;"&amp;""))</f>
        <v/>
      </c>
      <c r="S101" s="171" t="str">
        <f>IF(R101="","",RANK(R101,$R$6:$R$155,0)+COUNTIF($R$6:R101,R101)-1)</f>
        <v/>
      </c>
    </row>
    <row r="102" spans="2:19" x14ac:dyDescent="0.25">
      <c r="B102" s="159">
        <v>97</v>
      </c>
      <c r="C102" s="160" t="str">
        <f>IFERROR(INDEX($Q$6:$Q$155,MATCH(97,$S$6:$S$155,0)),"")</f>
        <v/>
      </c>
      <c r="D102" s="161" t="str">
        <f>IF(C102="","",COUNTIFS(Başvuru!$D:$D,C102,Başvuru!$A:$A,"&lt;&gt;"&amp;"",Başvuru!$F:$F,"&lt;&gt;"&amp;""))</f>
        <v/>
      </c>
      <c r="E102" s="159" t="str">
        <f>IF(C102="","-",IF(D102&gt;0,TEXT(D102/(COUNTIFS(Başvuru!$A:$A,"&lt;&gt;",Başvuru!$F:$F,"&lt;&gt;")-1)*100,"0.0")&amp;"%","-"))</f>
        <v>-</v>
      </c>
      <c r="F102" s="162" t="str">
        <f>IF(C102="","",COUNTIFS(Başvuru!$D:$D,C102,Başvuru!$G:$G,"Bireysel Araştırma",Başvuru!$A:$A,"&lt;&gt;"&amp;"",Başvuru!$F:$F,"&lt;&gt;"&amp;""))</f>
        <v/>
      </c>
      <c r="G102" s="162" t="str">
        <f>IF(C102="","",COUNTIFS(Başvuru!$D:$D,C102,Başvuru!$G:$G,"Uzmanlık Tezi",Başvuru!$A:$A,"&lt;&gt;"&amp;"",Başvuru!$F:$F,"&lt;&gt;"&amp;""))</f>
        <v/>
      </c>
      <c r="H102" s="162" t="str">
        <f>IF(C102="","",COUNTIFS(Başvuru!$D:$D,C102,Başvuru!$G:$G,"Doktora Tezi",Başvuru!$A:$A,"&lt;&gt;"&amp;"",Başvuru!$F:$F,"&lt;&gt;"&amp;""))</f>
        <v/>
      </c>
      <c r="I102" s="162" t="str">
        <f>IF(C102="","",COUNTIFS(Başvuru!$D:$D,C102,Başvuru!$G:$G,"Yüksek Lisans Tezi",Başvuru!$A:$A,"&lt;&gt;"&amp;"",Başvuru!$F:$F,"&lt;&gt;"&amp;""))</f>
        <v/>
      </c>
      <c r="J102" s="163" t="str">
        <f>IF(C102="","",COUNTIFS(Başvuru!$D:$D,C102,Başvuru!$L:$L,"ONAY",Başvuru!$A:$A,"&lt;&gt;"&amp;"",Başvuru!$F:$F,"&lt;&gt;"&amp;""))</f>
        <v/>
      </c>
      <c r="K102" s="164" t="str">
        <f>IF(C102="","",COUNTIFS(Başvuru!$D:$D,C102,Başvuru!$L:$L,"DÜZELTME",Başvuru!$A:$A,"&lt;&gt;"&amp;"",Başvuru!$F:$F,"&lt;&gt;"&amp;""))</f>
        <v/>
      </c>
      <c r="L102" s="165" t="str">
        <f>IF(C102="","",COUNTIFS(Başvuru!$D:$D,C102,Başvuru!$L:$L,"KAEK",Başvuru!$A:$A,"&lt;&gt;"&amp;"",Başvuru!$F:$F,"&lt;&gt;"&amp;""))</f>
        <v/>
      </c>
      <c r="M102" s="166" t="str">
        <f>IF(C102="","",COUNTIFS(Başvuru!$D:$D,C102,Başvuru!$L:$L,"GÖRÜŞ",Başvuru!$A:$A,"&lt;&gt;"&amp;"",Başvuru!$F:$F,"&lt;&gt;"&amp;""))</f>
        <v/>
      </c>
      <c r="N102" s="167" t="str">
        <f>IF(C102="","",COUNTIFS(Başvuru!$D:$D,C102,Başvuru!$L:$L,"RET",Başvuru!$A:$A,"&lt;&gt;"&amp;"",Başvuru!$F:$F,"&lt;&gt;"&amp;""))</f>
        <v/>
      </c>
      <c r="O102" s="168" t="str">
        <f>IF(C102="","",COUNTIFS(Başvuru!$D:$D,C102,Başvuru!$L:$L,"KAPSAM DIŞI",Başvuru!$A:$A,"&lt;&gt;"&amp;"",Başvuru!$F:$F,"&lt;&gt;"&amp;""))</f>
        <v/>
      </c>
      <c r="P102" s="169" t="str">
        <f>IF(C102="","",COUNTIFS(Başvuru!$D:$D,C102,Başvuru!$L:$L,"GERİ ÇEKİLDİ",Başvuru!$A:$A,"&lt;&gt;"&amp;"",Başvuru!$F:$F,"&lt;&gt;"&amp;""))</f>
        <v/>
      </c>
      <c r="Q102" s="170" t="str">
        <f>IFERROR(INDEX(Başvuru!$D$2:$D$1851,MATCH(97,Başvuru!$Z$2:$Z$1851,0)),"")</f>
        <v/>
      </c>
      <c r="R102" s="171" t="str">
        <f>IF(Q102="","",COUNTIFS(Başvuru!$D:$D,Q102,Başvuru!$A:$A,"&lt;&gt;"&amp;"",Başvuru!$F:$F,"&lt;&gt;"&amp;""))</f>
        <v/>
      </c>
      <c r="S102" s="171" t="str">
        <f>IF(R102="","",RANK(R102,$R$6:$R$155,0)+COUNTIF($R$6:R102,R102)-1)</f>
        <v/>
      </c>
    </row>
    <row r="103" spans="2:19" x14ac:dyDescent="0.25">
      <c r="B103" s="159">
        <v>98</v>
      </c>
      <c r="C103" s="160" t="str">
        <f>IFERROR(INDEX($Q$6:$Q$155,MATCH(98,$S$6:$S$155,0)),"")</f>
        <v/>
      </c>
      <c r="D103" s="161" t="str">
        <f>IF(C103="","",COUNTIFS(Başvuru!$D:$D,C103,Başvuru!$A:$A,"&lt;&gt;"&amp;"",Başvuru!$F:$F,"&lt;&gt;"&amp;""))</f>
        <v/>
      </c>
      <c r="E103" s="159" t="str">
        <f>IF(C103="","-",IF(D103&gt;0,TEXT(D103/(COUNTIFS(Başvuru!$A:$A,"&lt;&gt;",Başvuru!$F:$F,"&lt;&gt;")-1)*100,"0.0")&amp;"%","-"))</f>
        <v>-</v>
      </c>
      <c r="F103" s="162" t="str">
        <f>IF(C103="","",COUNTIFS(Başvuru!$D:$D,C103,Başvuru!$G:$G,"Bireysel Araştırma",Başvuru!$A:$A,"&lt;&gt;"&amp;"",Başvuru!$F:$F,"&lt;&gt;"&amp;""))</f>
        <v/>
      </c>
      <c r="G103" s="162" t="str">
        <f>IF(C103="","",COUNTIFS(Başvuru!$D:$D,C103,Başvuru!$G:$G,"Uzmanlık Tezi",Başvuru!$A:$A,"&lt;&gt;"&amp;"",Başvuru!$F:$F,"&lt;&gt;"&amp;""))</f>
        <v/>
      </c>
      <c r="H103" s="162" t="str">
        <f>IF(C103="","",COUNTIFS(Başvuru!$D:$D,C103,Başvuru!$G:$G,"Doktora Tezi",Başvuru!$A:$A,"&lt;&gt;"&amp;"",Başvuru!$F:$F,"&lt;&gt;"&amp;""))</f>
        <v/>
      </c>
      <c r="I103" s="162" t="str">
        <f>IF(C103="","",COUNTIFS(Başvuru!$D:$D,C103,Başvuru!$G:$G,"Yüksek Lisans Tezi",Başvuru!$A:$A,"&lt;&gt;"&amp;"",Başvuru!$F:$F,"&lt;&gt;"&amp;""))</f>
        <v/>
      </c>
      <c r="J103" s="163" t="str">
        <f>IF(C103="","",COUNTIFS(Başvuru!$D:$D,C103,Başvuru!$L:$L,"ONAY",Başvuru!$A:$A,"&lt;&gt;"&amp;"",Başvuru!$F:$F,"&lt;&gt;"&amp;""))</f>
        <v/>
      </c>
      <c r="K103" s="164" t="str">
        <f>IF(C103="","",COUNTIFS(Başvuru!$D:$D,C103,Başvuru!$L:$L,"DÜZELTME",Başvuru!$A:$A,"&lt;&gt;"&amp;"",Başvuru!$F:$F,"&lt;&gt;"&amp;""))</f>
        <v/>
      </c>
      <c r="L103" s="165" t="str">
        <f>IF(C103="","",COUNTIFS(Başvuru!$D:$D,C103,Başvuru!$L:$L,"KAEK",Başvuru!$A:$A,"&lt;&gt;"&amp;"",Başvuru!$F:$F,"&lt;&gt;"&amp;""))</f>
        <v/>
      </c>
      <c r="M103" s="166" t="str">
        <f>IF(C103="","",COUNTIFS(Başvuru!$D:$D,C103,Başvuru!$L:$L,"GÖRÜŞ",Başvuru!$A:$A,"&lt;&gt;"&amp;"",Başvuru!$F:$F,"&lt;&gt;"&amp;""))</f>
        <v/>
      </c>
      <c r="N103" s="167" t="str">
        <f>IF(C103="","",COUNTIFS(Başvuru!$D:$D,C103,Başvuru!$L:$L,"RET",Başvuru!$A:$A,"&lt;&gt;"&amp;"",Başvuru!$F:$F,"&lt;&gt;"&amp;""))</f>
        <v/>
      </c>
      <c r="O103" s="168" t="str">
        <f>IF(C103="","",COUNTIFS(Başvuru!$D:$D,C103,Başvuru!$L:$L,"KAPSAM DIŞI",Başvuru!$A:$A,"&lt;&gt;"&amp;"",Başvuru!$F:$F,"&lt;&gt;"&amp;""))</f>
        <v/>
      </c>
      <c r="P103" s="169" t="str">
        <f>IF(C103="","",COUNTIFS(Başvuru!$D:$D,C103,Başvuru!$L:$L,"GERİ ÇEKİLDİ",Başvuru!$A:$A,"&lt;&gt;"&amp;"",Başvuru!$F:$F,"&lt;&gt;"&amp;""))</f>
        <v/>
      </c>
      <c r="Q103" s="170" t="str">
        <f>IFERROR(INDEX(Başvuru!$D$2:$D$1851,MATCH(98,Başvuru!$Z$2:$Z$1851,0)),"")</f>
        <v/>
      </c>
      <c r="R103" s="171" t="str">
        <f>IF(Q103="","",COUNTIFS(Başvuru!$D:$D,Q103,Başvuru!$A:$A,"&lt;&gt;"&amp;"",Başvuru!$F:$F,"&lt;&gt;"&amp;""))</f>
        <v/>
      </c>
      <c r="S103" s="171" t="str">
        <f>IF(R103="","",RANK(R103,$R$6:$R$155,0)+COUNTIF($R$6:R103,R103)-1)</f>
        <v/>
      </c>
    </row>
    <row r="104" spans="2:19" x14ac:dyDescent="0.25">
      <c r="B104" s="159">
        <v>99</v>
      </c>
      <c r="C104" s="160" t="str">
        <f>IFERROR(INDEX($Q$6:$Q$155,MATCH(99,$S$6:$S$155,0)),"")</f>
        <v/>
      </c>
      <c r="D104" s="161" t="str">
        <f>IF(C104="","",COUNTIFS(Başvuru!$D:$D,C104,Başvuru!$A:$A,"&lt;&gt;"&amp;"",Başvuru!$F:$F,"&lt;&gt;"&amp;""))</f>
        <v/>
      </c>
      <c r="E104" s="159" t="str">
        <f>IF(C104="","-",IF(D104&gt;0,TEXT(D104/(COUNTIFS(Başvuru!$A:$A,"&lt;&gt;",Başvuru!$F:$F,"&lt;&gt;")-1)*100,"0.0")&amp;"%","-"))</f>
        <v>-</v>
      </c>
      <c r="F104" s="162" t="str">
        <f>IF(C104="","",COUNTIFS(Başvuru!$D:$D,C104,Başvuru!$G:$G,"Bireysel Araştırma",Başvuru!$A:$A,"&lt;&gt;"&amp;"",Başvuru!$F:$F,"&lt;&gt;"&amp;""))</f>
        <v/>
      </c>
      <c r="G104" s="162" t="str">
        <f>IF(C104="","",COUNTIFS(Başvuru!$D:$D,C104,Başvuru!$G:$G,"Uzmanlık Tezi",Başvuru!$A:$A,"&lt;&gt;"&amp;"",Başvuru!$F:$F,"&lt;&gt;"&amp;""))</f>
        <v/>
      </c>
      <c r="H104" s="162" t="str">
        <f>IF(C104="","",COUNTIFS(Başvuru!$D:$D,C104,Başvuru!$G:$G,"Doktora Tezi",Başvuru!$A:$A,"&lt;&gt;"&amp;"",Başvuru!$F:$F,"&lt;&gt;"&amp;""))</f>
        <v/>
      </c>
      <c r="I104" s="162" t="str">
        <f>IF(C104="","",COUNTIFS(Başvuru!$D:$D,C104,Başvuru!$G:$G,"Yüksek Lisans Tezi",Başvuru!$A:$A,"&lt;&gt;"&amp;"",Başvuru!$F:$F,"&lt;&gt;"&amp;""))</f>
        <v/>
      </c>
      <c r="J104" s="163" t="str">
        <f>IF(C104="","",COUNTIFS(Başvuru!$D:$D,C104,Başvuru!$L:$L,"ONAY",Başvuru!$A:$A,"&lt;&gt;"&amp;"",Başvuru!$F:$F,"&lt;&gt;"&amp;""))</f>
        <v/>
      </c>
      <c r="K104" s="164" t="str">
        <f>IF(C104="","",COUNTIFS(Başvuru!$D:$D,C104,Başvuru!$L:$L,"DÜZELTME",Başvuru!$A:$A,"&lt;&gt;"&amp;"",Başvuru!$F:$F,"&lt;&gt;"&amp;""))</f>
        <v/>
      </c>
      <c r="L104" s="165" t="str">
        <f>IF(C104="","",COUNTIFS(Başvuru!$D:$D,C104,Başvuru!$L:$L,"KAEK",Başvuru!$A:$A,"&lt;&gt;"&amp;"",Başvuru!$F:$F,"&lt;&gt;"&amp;""))</f>
        <v/>
      </c>
      <c r="M104" s="166" t="str">
        <f>IF(C104="","",COUNTIFS(Başvuru!$D:$D,C104,Başvuru!$L:$L,"GÖRÜŞ",Başvuru!$A:$A,"&lt;&gt;"&amp;"",Başvuru!$F:$F,"&lt;&gt;"&amp;""))</f>
        <v/>
      </c>
      <c r="N104" s="167" t="str">
        <f>IF(C104="","",COUNTIFS(Başvuru!$D:$D,C104,Başvuru!$L:$L,"RET",Başvuru!$A:$A,"&lt;&gt;"&amp;"",Başvuru!$F:$F,"&lt;&gt;"&amp;""))</f>
        <v/>
      </c>
      <c r="O104" s="168" t="str">
        <f>IF(C104="","",COUNTIFS(Başvuru!$D:$D,C104,Başvuru!$L:$L,"KAPSAM DIŞI",Başvuru!$A:$A,"&lt;&gt;"&amp;"",Başvuru!$F:$F,"&lt;&gt;"&amp;""))</f>
        <v/>
      </c>
      <c r="P104" s="169" t="str">
        <f>IF(C104="","",COUNTIFS(Başvuru!$D:$D,C104,Başvuru!$L:$L,"GERİ ÇEKİLDİ",Başvuru!$A:$A,"&lt;&gt;"&amp;"",Başvuru!$F:$F,"&lt;&gt;"&amp;""))</f>
        <v/>
      </c>
      <c r="Q104" s="170" t="str">
        <f>IFERROR(INDEX(Başvuru!$D$2:$D$1851,MATCH(99,Başvuru!$Z$2:$Z$1851,0)),"")</f>
        <v/>
      </c>
      <c r="R104" s="171" t="str">
        <f>IF(Q104="","",COUNTIFS(Başvuru!$D:$D,Q104,Başvuru!$A:$A,"&lt;&gt;"&amp;"",Başvuru!$F:$F,"&lt;&gt;"&amp;""))</f>
        <v/>
      </c>
      <c r="S104" s="171" t="str">
        <f>IF(R104="","",RANK(R104,$R$6:$R$155,0)+COUNTIF($R$6:R104,R104)-1)</f>
        <v/>
      </c>
    </row>
    <row r="105" spans="2:19" x14ac:dyDescent="0.25">
      <c r="B105" s="159">
        <v>100</v>
      </c>
      <c r="C105" s="160" t="str">
        <f>IFERROR(INDEX($Q$6:$Q$155,MATCH(100,$S$6:$S$155,0)),"")</f>
        <v/>
      </c>
      <c r="D105" s="161" t="str">
        <f>IF(C105="","",COUNTIFS(Başvuru!$D:$D,C105,Başvuru!$A:$A,"&lt;&gt;"&amp;"",Başvuru!$F:$F,"&lt;&gt;"&amp;""))</f>
        <v/>
      </c>
      <c r="E105" s="159" t="str">
        <f>IF(C105="","-",IF(D105&gt;0,TEXT(D105/(COUNTIFS(Başvuru!$A:$A,"&lt;&gt;",Başvuru!$F:$F,"&lt;&gt;")-1)*100,"0.0")&amp;"%","-"))</f>
        <v>-</v>
      </c>
      <c r="F105" s="162" t="str">
        <f>IF(C105="","",COUNTIFS(Başvuru!$D:$D,C105,Başvuru!$G:$G,"Bireysel Araştırma",Başvuru!$A:$A,"&lt;&gt;"&amp;"",Başvuru!$F:$F,"&lt;&gt;"&amp;""))</f>
        <v/>
      </c>
      <c r="G105" s="162" t="str">
        <f>IF(C105="","",COUNTIFS(Başvuru!$D:$D,C105,Başvuru!$G:$G,"Uzmanlık Tezi",Başvuru!$A:$A,"&lt;&gt;"&amp;"",Başvuru!$F:$F,"&lt;&gt;"&amp;""))</f>
        <v/>
      </c>
      <c r="H105" s="162" t="str">
        <f>IF(C105="","",COUNTIFS(Başvuru!$D:$D,C105,Başvuru!$G:$G,"Doktora Tezi",Başvuru!$A:$A,"&lt;&gt;"&amp;"",Başvuru!$F:$F,"&lt;&gt;"&amp;""))</f>
        <v/>
      </c>
      <c r="I105" s="162" t="str">
        <f>IF(C105="","",COUNTIFS(Başvuru!$D:$D,C105,Başvuru!$G:$G,"Yüksek Lisans Tezi",Başvuru!$A:$A,"&lt;&gt;"&amp;"",Başvuru!$F:$F,"&lt;&gt;"&amp;""))</f>
        <v/>
      </c>
      <c r="J105" s="163" t="str">
        <f>IF(C105="","",COUNTIFS(Başvuru!$D:$D,C105,Başvuru!$L:$L,"ONAY",Başvuru!$A:$A,"&lt;&gt;"&amp;"",Başvuru!$F:$F,"&lt;&gt;"&amp;""))</f>
        <v/>
      </c>
      <c r="K105" s="164" t="str">
        <f>IF(C105="","",COUNTIFS(Başvuru!$D:$D,C105,Başvuru!$L:$L,"DÜZELTME",Başvuru!$A:$A,"&lt;&gt;"&amp;"",Başvuru!$F:$F,"&lt;&gt;"&amp;""))</f>
        <v/>
      </c>
      <c r="L105" s="165" t="str">
        <f>IF(C105="","",COUNTIFS(Başvuru!$D:$D,C105,Başvuru!$L:$L,"KAEK",Başvuru!$A:$A,"&lt;&gt;"&amp;"",Başvuru!$F:$F,"&lt;&gt;"&amp;""))</f>
        <v/>
      </c>
      <c r="M105" s="166" t="str">
        <f>IF(C105="","",COUNTIFS(Başvuru!$D:$D,C105,Başvuru!$L:$L,"GÖRÜŞ",Başvuru!$A:$A,"&lt;&gt;"&amp;"",Başvuru!$F:$F,"&lt;&gt;"&amp;""))</f>
        <v/>
      </c>
      <c r="N105" s="167" t="str">
        <f>IF(C105="","",COUNTIFS(Başvuru!$D:$D,C105,Başvuru!$L:$L,"RET",Başvuru!$A:$A,"&lt;&gt;"&amp;"",Başvuru!$F:$F,"&lt;&gt;"&amp;""))</f>
        <v/>
      </c>
      <c r="O105" s="168" t="str">
        <f>IF(C105="","",COUNTIFS(Başvuru!$D:$D,C105,Başvuru!$L:$L,"KAPSAM DIŞI",Başvuru!$A:$A,"&lt;&gt;"&amp;"",Başvuru!$F:$F,"&lt;&gt;"&amp;""))</f>
        <v/>
      </c>
      <c r="P105" s="169" t="str">
        <f>IF(C105="","",COUNTIFS(Başvuru!$D:$D,C105,Başvuru!$L:$L,"GERİ ÇEKİLDİ",Başvuru!$A:$A,"&lt;&gt;"&amp;"",Başvuru!$F:$F,"&lt;&gt;"&amp;""))</f>
        <v/>
      </c>
      <c r="Q105" s="170" t="str">
        <f>IFERROR(INDEX(Başvuru!$D$2:$D$1851,MATCH(100,Başvuru!$Z$2:$Z$1851,0)),"")</f>
        <v/>
      </c>
      <c r="R105" s="171" t="str">
        <f>IF(Q105="","",COUNTIFS(Başvuru!$D:$D,Q105,Başvuru!$A:$A,"&lt;&gt;"&amp;"",Başvuru!$F:$F,"&lt;&gt;"&amp;""))</f>
        <v/>
      </c>
      <c r="S105" s="171" t="str">
        <f>IF(R105="","",RANK(R105,$R$6:$R$155,0)+COUNTIF($R$6:R105,R105)-1)</f>
        <v/>
      </c>
    </row>
    <row r="106" spans="2:19" x14ac:dyDescent="0.25">
      <c r="B106" s="159">
        <v>101</v>
      </c>
      <c r="C106" s="160" t="str">
        <f>IFERROR(INDEX($Q$6:$Q$155,MATCH(101,$S$6:$S$155,0)),"")</f>
        <v/>
      </c>
      <c r="D106" s="161" t="str">
        <f>IF(C106="","",COUNTIFS(Başvuru!$D:$D,C106,Başvuru!$A:$A,"&lt;&gt;"&amp;"",Başvuru!$F:$F,"&lt;&gt;"&amp;""))</f>
        <v/>
      </c>
      <c r="E106" s="159" t="str">
        <f>IF(C106="","-",IF(D106&gt;0,TEXT(D106/(COUNTIFS(Başvuru!$A:$A,"&lt;&gt;",Başvuru!$F:$F,"&lt;&gt;")-1)*100,"0.0")&amp;"%","-"))</f>
        <v>-</v>
      </c>
      <c r="F106" s="162" t="str">
        <f>IF(C106="","",COUNTIFS(Başvuru!$D:$D,C106,Başvuru!$G:$G,"Bireysel Araştırma",Başvuru!$A:$A,"&lt;&gt;"&amp;"",Başvuru!$F:$F,"&lt;&gt;"&amp;""))</f>
        <v/>
      </c>
      <c r="G106" s="162" t="str">
        <f>IF(C106="","",COUNTIFS(Başvuru!$D:$D,C106,Başvuru!$G:$G,"Uzmanlık Tezi",Başvuru!$A:$A,"&lt;&gt;"&amp;"",Başvuru!$F:$F,"&lt;&gt;"&amp;""))</f>
        <v/>
      </c>
      <c r="H106" s="162" t="str">
        <f>IF(C106="","",COUNTIFS(Başvuru!$D:$D,C106,Başvuru!$G:$G,"Doktora Tezi",Başvuru!$A:$A,"&lt;&gt;"&amp;"",Başvuru!$F:$F,"&lt;&gt;"&amp;""))</f>
        <v/>
      </c>
      <c r="I106" s="162" t="str">
        <f>IF(C106="","",COUNTIFS(Başvuru!$D:$D,C106,Başvuru!$G:$G,"Yüksek Lisans Tezi",Başvuru!$A:$A,"&lt;&gt;"&amp;"",Başvuru!$F:$F,"&lt;&gt;"&amp;""))</f>
        <v/>
      </c>
      <c r="J106" s="163" t="str">
        <f>IF(C106="","",COUNTIFS(Başvuru!$D:$D,C106,Başvuru!$L:$L,"ONAY",Başvuru!$A:$A,"&lt;&gt;"&amp;"",Başvuru!$F:$F,"&lt;&gt;"&amp;""))</f>
        <v/>
      </c>
      <c r="K106" s="164" t="str">
        <f>IF(C106="","",COUNTIFS(Başvuru!$D:$D,C106,Başvuru!$L:$L,"DÜZELTME",Başvuru!$A:$A,"&lt;&gt;"&amp;"",Başvuru!$F:$F,"&lt;&gt;"&amp;""))</f>
        <v/>
      </c>
      <c r="L106" s="165" t="str">
        <f>IF(C106="","",COUNTIFS(Başvuru!$D:$D,C106,Başvuru!$L:$L,"KAEK",Başvuru!$A:$A,"&lt;&gt;"&amp;"",Başvuru!$F:$F,"&lt;&gt;"&amp;""))</f>
        <v/>
      </c>
      <c r="M106" s="166" t="str">
        <f>IF(C106="","",COUNTIFS(Başvuru!$D:$D,C106,Başvuru!$L:$L,"GÖRÜŞ",Başvuru!$A:$A,"&lt;&gt;"&amp;"",Başvuru!$F:$F,"&lt;&gt;"&amp;""))</f>
        <v/>
      </c>
      <c r="N106" s="167" t="str">
        <f>IF(C106="","",COUNTIFS(Başvuru!$D:$D,C106,Başvuru!$L:$L,"RET",Başvuru!$A:$A,"&lt;&gt;"&amp;"",Başvuru!$F:$F,"&lt;&gt;"&amp;""))</f>
        <v/>
      </c>
      <c r="O106" s="168" t="str">
        <f>IF(C106="","",COUNTIFS(Başvuru!$D:$D,C106,Başvuru!$L:$L,"KAPSAM DIŞI",Başvuru!$A:$A,"&lt;&gt;"&amp;"",Başvuru!$F:$F,"&lt;&gt;"&amp;""))</f>
        <v/>
      </c>
      <c r="P106" s="169" t="str">
        <f>IF(C106="","",COUNTIFS(Başvuru!$D:$D,C106,Başvuru!$L:$L,"GERİ ÇEKİLDİ",Başvuru!$A:$A,"&lt;&gt;"&amp;"",Başvuru!$F:$F,"&lt;&gt;"&amp;""))</f>
        <v/>
      </c>
      <c r="Q106" s="170" t="str">
        <f>IFERROR(INDEX(Başvuru!$D$2:$D$1851,MATCH(101,Başvuru!$Z$2:$Z$1851,0)),"")</f>
        <v/>
      </c>
      <c r="R106" s="171" t="str">
        <f>IF(Q106="","",COUNTIFS(Başvuru!$D:$D,Q106,Başvuru!$A:$A,"&lt;&gt;"&amp;"",Başvuru!$F:$F,"&lt;&gt;"&amp;""))</f>
        <v/>
      </c>
      <c r="S106" s="171" t="str">
        <f>IF(R106="","",RANK(R106,$R$6:$R$155,0)+COUNTIF($R$6:R106,R106)-1)</f>
        <v/>
      </c>
    </row>
    <row r="107" spans="2:19" x14ac:dyDescent="0.25">
      <c r="B107" s="159">
        <v>102</v>
      </c>
      <c r="C107" s="160" t="str">
        <f>IFERROR(INDEX($Q$6:$Q$155,MATCH(102,$S$6:$S$155,0)),"")</f>
        <v/>
      </c>
      <c r="D107" s="161" t="str">
        <f>IF(C107="","",COUNTIFS(Başvuru!$D:$D,C107,Başvuru!$A:$A,"&lt;&gt;"&amp;"",Başvuru!$F:$F,"&lt;&gt;"&amp;""))</f>
        <v/>
      </c>
      <c r="E107" s="159" t="str">
        <f>IF(C107="","-",IF(D107&gt;0,TEXT(D107/(COUNTIFS(Başvuru!$A:$A,"&lt;&gt;",Başvuru!$F:$F,"&lt;&gt;")-1)*100,"0.0")&amp;"%","-"))</f>
        <v>-</v>
      </c>
      <c r="F107" s="162" t="str">
        <f>IF(C107="","",COUNTIFS(Başvuru!$D:$D,C107,Başvuru!$G:$G,"Bireysel Araştırma",Başvuru!$A:$A,"&lt;&gt;"&amp;"",Başvuru!$F:$F,"&lt;&gt;"&amp;""))</f>
        <v/>
      </c>
      <c r="G107" s="162" t="str">
        <f>IF(C107="","",COUNTIFS(Başvuru!$D:$D,C107,Başvuru!$G:$G,"Uzmanlık Tezi",Başvuru!$A:$A,"&lt;&gt;"&amp;"",Başvuru!$F:$F,"&lt;&gt;"&amp;""))</f>
        <v/>
      </c>
      <c r="H107" s="162" t="str">
        <f>IF(C107="","",COUNTIFS(Başvuru!$D:$D,C107,Başvuru!$G:$G,"Doktora Tezi",Başvuru!$A:$A,"&lt;&gt;"&amp;"",Başvuru!$F:$F,"&lt;&gt;"&amp;""))</f>
        <v/>
      </c>
      <c r="I107" s="162" t="str">
        <f>IF(C107="","",COUNTIFS(Başvuru!$D:$D,C107,Başvuru!$G:$G,"Yüksek Lisans Tezi",Başvuru!$A:$A,"&lt;&gt;"&amp;"",Başvuru!$F:$F,"&lt;&gt;"&amp;""))</f>
        <v/>
      </c>
      <c r="J107" s="163" t="str">
        <f>IF(C107="","",COUNTIFS(Başvuru!$D:$D,C107,Başvuru!$L:$L,"ONAY",Başvuru!$A:$A,"&lt;&gt;"&amp;"",Başvuru!$F:$F,"&lt;&gt;"&amp;""))</f>
        <v/>
      </c>
      <c r="K107" s="164" t="str">
        <f>IF(C107="","",COUNTIFS(Başvuru!$D:$D,C107,Başvuru!$L:$L,"DÜZELTME",Başvuru!$A:$A,"&lt;&gt;"&amp;"",Başvuru!$F:$F,"&lt;&gt;"&amp;""))</f>
        <v/>
      </c>
      <c r="L107" s="165" t="str">
        <f>IF(C107="","",COUNTIFS(Başvuru!$D:$D,C107,Başvuru!$L:$L,"KAEK",Başvuru!$A:$A,"&lt;&gt;"&amp;"",Başvuru!$F:$F,"&lt;&gt;"&amp;""))</f>
        <v/>
      </c>
      <c r="M107" s="166" t="str">
        <f>IF(C107="","",COUNTIFS(Başvuru!$D:$D,C107,Başvuru!$L:$L,"GÖRÜŞ",Başvuru!$A:$A,"&lt;&gt;"&amp;"",Başvuru!$F:$F,"&lt;&gt;"&amp;""))</f>
        <v/>
      </c>
      <c r="N107" s="167" t="str">
        <f>IF(C107="","",COUNTIFS(Başvuru!$D:$D,C107,Başvuru!$L:$L,"RET",Başvuru!$A:$A,"&lt;&gt;"&amp;"",Başvuru!$F:$F,"&lt;&gt;"&amp;""))</f>
        <v/>
      </c>
      <c r="O107" s="168" t="str">
        <f>IF(C107="","",COUNTIFS(Başvuru!$D:$D,C107,Başvuru!$L:$L,"KAPSAM DIŞI",Başvuru!$A:$A,"&lt;&gt;"&amp;"",Başvuru!$F:$F,"&lt;&gt;"&amp;""))</f>
        <v/>
      </c>
      <c r="P107" s="169" t="str">
        <f>IF(C107="","",COUNTIFS(Başvuru!$D:$D,C107,Başvuru!$L:$L,"GERİ ÇEKİLDİ",Başvuru!$A:$A,"&lt;&gt;"&amp;"",Başvuru!$F:$F,"&lt;&gt;"&amp;""))</f>
        <v/>
      </c>
      <c r="Q107" s="170" t="str">
        <f>IFERROR(INDEX(Başvuru!$D$2:$D$1851,MATCH(102,Başvuru!$Z$2:$Z$1851,0)),"")</f>
        <v/>
      </c>
      <c r="R107" s="171" t="str">
        <f>IF(Q107="","",COUNTIFS(Başvuru!$D:$D,Q107,Başvuru!$A:$A,"&lt;&gt;"&amp;"",Başvuru!$F:$F,"&lt;&gt;"&amp;""))</f>
        <v/>
      </c>
      <c r="S107" s="171" t="str">
        <f>IF(R107="","",RANK(R107,$R$6:$R$155,0)+COUNTIF($R$6:R107,R107)-1)</f>
        <v/>
      </c>
    </row>
    <row r="108" spans="2:19" x14ac:dyDescent="0.25">
      <c r="B108" s="159">
        <v>103</v>
      </c>
      <c r="C108" s="160" t="str">
        <f>IFERROR(INDEX($Q$6:$Q$155,MATCH(103,$S$6:$S$155,0)),"")</f>
        <v/>
      </c>
      <c r="D108" s="161" t="str">
        <f>IF(C108="","",COUNTIFS(Başvuru!$D:$D,C108,Başvuru!$A:$A,"&lt;&gt;"&amp;"",Başvuru!$F:$F,"&lt;&gt;"&amp;""))</f>
        <v/>
      </c>
      <c r="E108" s="159" t="str">
        <f>IF(C108="","-",IF(D108&gt;0,TEXT(D108/(COUNTIFS(Başvuru!$A:$A,"&lt;&gt;",Başvuru!$F:$F,"&lt;&gt;")-1)*100,"0.0")&amp;"%","-"))</f>
        <v>-</v>
      </c>
      <c r="F108" s="162" t="str">
        <f>IF(C108="","",COUNTIFS(Başvuru!$D:$D,C108,Başvuru!$G:$G,"Bireysel Araştırma",Başvuru!$A:$A,"&lt;&gt;"&amp;"",Başvuru!$F:$F,"&lt;&gt;"&amp;""))</f>
        <v/>
      </c>
      <c r="G108" s="162" t="str">
        <f>IF(C108="","",COUNTIFS(Başvuru!$D:$D,C108,Başvuru!$G:$G,"Uzmanlık Tezi",Başvuru!$A:$A,"&lt;&gt;"&amp;"",Başvuru!$F:$F,"&lt;&gt;"&amp;""))</f>
        <v/>
      </c>
      <c r="H108" s="162" t="str">
        <f>IF(C108="","",COUNTIFS(Başvuru!$D:$D,C108,Başvuru!$G:$G,"Doktora Tezi",Başvuru!$A:$A,"&lt;&gt;"&amp;"",Başvuru!$F:$F,"&lt;&gt;"&amp;""))</f>
        <v/>
      </c>
      <c r="I108" s="162" t="str">
        <f>IF(C108="","",COUNTIFS(Başvuru!$D:$D,C108,Başvuru!$G:$G,"Yüksek Lisans Tezi",Başvuru!$A:$A,"&lt;&gt;"&amp;"",Başvuru!$F:$F,"&lt;&gt;"&amp;""))</f>
        <v/>
      </c>
      <c r="J108" s="163" t="str">
        <f>IF(C108="","",COUNTIFS(Başvuru!$D:$D,C108,Başvuru!$L:$L,"ONAY",Başvuru!$A:$A,"&lt;&gt;"&amp;"",Başvuru!$F:$F,"&lt;&gt;"&amp;""))</f>
        <v/>
      </c>
      <c r="K108" s="164" t="str">
        <f>IF(C108="","",COUNTIFS(Başvuru!$D:$D,C108,Başvuru!$L:$L,"DÜZELTME",Başvuru!$A:$A,"&lt;&gt;"&amp;"",Başvuru!$F:$F,"&lt;&gt;"&amp;""))</f>
        <v/>
      </c>
      <c r="L108" s="165" t="str">
        <f>IF(C108="","",COUNTIFS(Başvuru!$D:$D,C108,Başvuru!$L:$L,"KAEK",Başvuru!$A:$A,"&lt;&gt;"&amp;"",Başvuru!$F:$F,"&lt;&gt;"&amp;""))</f>
        <v/>
      </c>
      <c r="M108" s="166" t="str">
        <f>IF(C108="","",COUNTIFS(Başvuru!$D:$D,C108,Başvuru!$L:$L,"GÖRÜŞ",Başvuru!$A:$A,"&lt;&gt;"&amp;"",Başvuru!$F:$F,"&lt;&gt;"&amp;""))</f>
        <v/>
      </c>
      <c r="N108" s="167" t="str">
        <f>IF(C108="","",COUNTIFS(Başvuru!$D:$D,C108,Başvuru!$L:$L,"RET",Başvuru!$A:$A,"&lt;&gt;"&amp;"",Başvuru!$F:$F,"&lt;&gt;"&amp;""))</f>
        <v/>
      </c>
      <c r="O108" s="168" t="str">
        <f>IF(C108="","",COUNTIFS(Başvuru!$D:$D,C108,Başvuru!$L:$L,"KAPSAM DIŞI",Başvuru!$A:$A,"&lt;&gt;"&amp;"",Başvuru!$F:$F,"&lt;&gt;"&amp;""))</f>
        <v/>
      </c>
      <c r="P108" s="169" t="str">
        <f>IF(C108="","",COUNTIFS(Başvuru!$D:$D,C108,Başvuru!$L:$L,"GERİ ÇEKİLDİ",Başvuru!$A:$A,"&lt;&gt;"&amp;"",Başvuru!$F:$F,"&lt;&gt;"&amp;""))</f>
        <v/>
      </c>
      <c r="Q108" s="170" t="str">
        <f>IFERROR(INDEX(Başvuru!$D$2:$D$1851,MATCH(103,Başvuru!$Z$2:$Z$1851,0)),"")</f>
        <v/>
      </c>
      <c r="R108" s="171" t="str">
        <f>IF(Q108="","",COUNTIFS(Başvuru!$D:$D,Q108,Başvuru!$A:$A,"&lt;&gt;"&amp;"",Başvuru!$F:$F,"&lt;&gt;"&amp;""))</f>
        <v/>
      </c>
      <c r="S108" s="171" t="str">
        <f>IF(R108="","",RANK(R108,$R$6:$R$155,0)+COUNTIF($R$6:R108,R108)-1)</f>
        <v/>
      </c>
    </row>
    <row r="109" spans="2:19" x14ac:dyDescent="0.25">
      <c r="B109" s="159">
        <v>104</v>
      </c>
      <c r="C109" s="160" t="str">
        <f>IFERROR(INDEX($Q$6:$Q$155,MATCH(104,$S$6:$S$155,0)),"")</f>
        <v/>
      </c>
      <c r="D109" s="161" t="str">
        <f>IF(C109="","",COUNTIFS(Başvuru!$D:$D,C109,Başvuru!$A:$A,"&lt;&gt;"&amp;"",Başvuru!$F:$F,"&lt;&gt;"&amp;""))</f>
        <v/>
      </c>
      <c r="E109" s="159" t="str">
        <f>IF(C109="","-",IF(D109&gt;0,TEXT(D109/(COUNTIFS(Başvuru!$A:$A,"&lt;&gt;",Başvuru!$F:$F,"&lt;&gt;")-1)*100,"0.0")&amp;"%","-"))</f>
        <v>-</v>
      </c>
      <c r="F109" s="162" t="str">
        <f>IF(C109="","",COUNTIFS(Başvuru!$D:$D,C109,Başvuru!$G:$G,"Bireysel Araştırma",Başvuru!$A:$A,"&lt;&gt;"&amp;"",Başvuru!$F:$F,"&lt;&gt;"&amp;""))</f>
        <v/>
      </c>
      <c r="G109" s="162" t="str">
        <f>IF(C109="","",COUNTIFS(Başvuru!$D:$D,C109,Başvuru!$G:$G,"Uzmanlık Tezi",Başvuru!$A:$A,"&lt;&gt;"&amp;"",Başvuru!$F:$F,"&lt;&gt;"&amp;""))</f>
        <v/>
      </c>
      <c r="H109" s="162" t="str">
        <f>IF(C109="","",COUNTIFS(Başvuru!$D:$D,C109,Başvuru!$G:$G,"Doktora Tezi",Başvuru!$A:$A,"&lt;&gt;"&amp;"",Başvuru!$F:$F,"&lt;&gt;"&amp;""))</f>
        <v/>
      </c>
      <c r="I109" s="162" t="str">
        <f>IF(C109="","",COUNTIFS(Başvuru!$D:$D,C109,Başvuru!$G:$G,"Yüksek Lisans Tezi",Başvuru!$A:$A,"&lt;&gt;"&amp;"",Başvuru!$F:$F,"&lt;&gt;"&amp;""))</f>
        <v/>
      </c>
      <c r="J109" s="163" t="str">
        <f>IF(C109="","",COUNTIFS(Başvuru!$D:$D,C109,Başvuru!$L:$L,"ONAY",Başvuru!$A:$A,"&lt;&gt;"&amp;"",Başvuru!$F:$F,"&lt;&gt;"&amp;""))</f>
        <v/>
      </c>
      <c r="K109" s="164" t="str">
        <f>IF(C109="","",COUNTIFS(Başvuru!$D:$D,C109,Başvuru!$L:$L,"DÜZELTME",Başvuru!$A:$A,"&lt;&gt;"&amp;"",Başvuru!$F:$F,"&lt;&gt;"&amp;""))</f>
        <v/>
      </c>
      <c r="L109" s="165" t="str">
        <f>IF(C109="","",COUNTIFS(Başvuru!$D:$D,C109,Başvuru!$L:$L,"KAEK",Başvuru!$A:$A,"&lt;&gt;"&amp;"",Başvuru!$F:$F,"&lt;&gt;"&amp;""))</f>
        <v/>
      </c>
      <c r="M109" s="166" t="str">
        <f>IF(C109="","",COUNTIFS(Başvuru!$D:$D,C109,Başvuru!$L:$L,"GÖRÜŞ",Başvuru!$A:$A,"&lt;&gt;"&amp;"",Başvuru!$F:$F,"&lt;&gt;"&amp;""))</f>
        <v/>
      </c>
      <c r="N109" s="167" t="str">
        <f>IF(C109="","",COUNTIFS(Başvuru!$D:$D,C109,Başvuru!$L:$L,"RET",Başvuru!$A:$A,"&lt;&gt;"&amp;"",Başvuru!$F:$F,"&lt;&gt;"&amp;""))</f>
        <v/>
      </c>
      <c r="O109" s="168" t="str">
        <f>IF(C109="","",COUNTIFS(Başvuru!$D:$D,C109,Başvuru!$L:$L,"KAPSAM DIŞI",Başvuru!$A:$A,"&lt;&gt;"&amp;"",Başvuru!$F:$F,"&lt;&gt;"&amp;""))</f>
        <v/>
      </c>
      <c r="P109" s="169" t="str">
        <f>IF(C109="","",COUNTIFS(Başvuru!$D:$D,C109,Başvuru!$L:$L,"GERİ ÇEKİLDİ",Başvuru!$A:$A,"&lt;&gt;"&amp;"",Başvuru!$F:$F,"&lt;&gt;"&amp;""))</f>
        <v/>
      </c>
      <c r="Q109" s="170" t="str">
        <f>IFERROR(INDEX(Başvuru!$D$2:$D$1851,MATCH(104,Başvuru!$Z$2:$Z$1851,0)),"")</f>
        <v/>
      </c>
      <c r="R109" s="171" t="str">
        <f>IF(Q109="","",COUNTIFS(Başvuru!$D:$D,Q109,Başvuru!$A:$A,"&lt;&gt;"&amp;"",Başvuru!$F:$F,"&lt;&gt;"&amp;""))</f>
        <v/>
      </c>
      <c r="S109" s="171" t="str">
        <f>IF(R109="","",RANK(R109,$R$6:$R$155,0)+COUNTIF($R$6:R109,R109)-1)</f>
        <v/>
      </c>
    </row>
    <row r="110" spans="2:19" x14ac:dyDescent="0.25">
      <c r="B110" s="159">
        <v>105</v>
      </c>
      <c r="C110" s="160" t="str">
        <f>IFERROR(INDEX($Q$6:$Q$155,MATCH(105,$S$6:$S$155,0)),"")</f>
        <v/>
      </c>
      <c r="D110" s="161" t="str">
        <f>IF(C110="","",COUNTIFS(Başvuru!$D:$D,C110,Başvuru!$A:$A,"&lt;&gt;"&amp;"",Başvuru!$F:$F,"&lt;&gt;"&amp;""))</f>
        <v/>
      </c>
      <c r="E110" s="159" t="str">
        <f>IF(C110="","-",IF(D110&gt;0,TEXT(D110/(COUNTIFS(Başvuru!$A:$A,"&lt;&gt;",Başvuru!$F:$F,"&lt;&gt;")-1)*100,"0.0")&amp;"%","-"))</f>
        <v>-</v>
      </c>
      <c r="F110" s="162" t="str">
        <f>IF(C110="","",COUNTIFS(Başvuru!$D:$D,C110,Başvuru!$G:$G,"Bireysel Araştırma",Başvuru!$A:$A,"&lt;&gt;"&amp;"",Başvuru!$F:$F,"&lt;&gt;"&amp;""))</f>
        <v/>
      </c>
      <c r="G110" s="162" t="str">
        <f>IF(C110="","",COUNTIFS(Başvuru!$D:$D,C110,Başvuru!$G:$G,"Uzmanlık Tezi",Başvuru!$A:$A,"&lt;&gt;"&amp;"",Başvuru!$F:$F,"&lt;&gt;"&amp;""))</f>
        <v/>
      </c>
      <c r="H110" s="162" t="str">
        <f>IF(C110="","",COUNTIFS(Başvuru!$D:$D,C110,Başvuru!$G:$G,"Doktora Tezi",Başvuru!$A:$A,"&lt;&gt;"&amp;"",Başvuru!$F:$F,"&lt;&gt;"&amp;""))</f>
        <v/>
      </c>
      <c r="I110" s="162" t="str">
        <f>IF(C110="","",COUNTIFS(Başvuru!$D:$D,C110,Başvuru!$G:$G,"Yüksek Lisans Tezi",Başvuru!$A:$A,"&lt;&gt;"&amp;"",Başvuru!$F:$F,"&lt;&gt;"&amp;""))</f>
        <v/>
      </c>
      <c r="J110" s="163" t="str">
        <f>IF(C110="","",COUNTIFS(Başvuru!$D:$D,C110,Başvuru!$L:$L,"ONAY",Başvuru!$A:$A,"&lt;&gt;"&amp;"",Başvuru!$F:$F,"&lt;&gt;"&amp;""))</f>
        <v/>
      </c>
      <c r="K110" s="164" t="str">
        <f>IF(C110="","",COUNTIFS(Başvuru!$D:$D,C110,Başvuru!$L:$L,"DÜZELTME",Başvuru!$A:$A,"&lt;&gt;"&amp;"",Başvuru!$F:$F,"&lt;&gt;"&amp;""))</f>
        <v/>
      </c>
      <c r="L110" s="165" t="str">
        <f>IF(C110="","",COUNTIFS(Başvuru!$D:$D,C110,Başvuru!$L:$L,"KAEK",Başvuru!$A:$A,"&lt;&gt;"&amp;"",Başvuru!$F:$F,"&lt;&gt;"&amp;""))</f>
        <v/>
      </c>
      <c r="M110" s="166" t="str">
        <f>IF(C110="","",COUNTIFS(Başvuru!$D:$D,C110,Başvuru!$L:$L,"GÖRÜŞ",Başvuru!$A:$A,"&lt;&gt;"&amp;"",Başvuru!$F:$F,"&lt;&gt;"&amp;""))</f>
        <v/>
      </c>
      <c r="N110" s="167" t="str">
        <f>IF(C110="","",COUNTIFS(Başvuru!$D:$D,C110,Başvuru!$L:$L,"RET",Başvuru!$A:$A,"&lt;&gt;"&amp;"",Başvuru!$F:$F,"&lt;&gt;"&amp;""))</f>
        <v/>
      </c>
      <c r="O110" s="168" t="str">
        <f>IF(C110="","",COUNTIFS(Başvuru!$D:$D,C110,Başvuru!$L:$L,"KAPSAM DIŞI",Başvuru!$A:$A,"&lt;&gt;"&amp;"",Başvuru!$F:$F,"&lt;&gt;"&amp;""))</f>
        <v/>
      </c>
      <c r="P110" s="169" t="str">
        <f>IF(C110="","",COUNTIFS(Başvuru!$D:$D,C110,Başvuru!$L:$L,"GERİ ÇEKİLDİ",Başvuru!$A:$A,"&lt;&gt;"&amp;"",Başvuru!$F:$F,"&lt;&gt;"&amp;""))</f>
        <v/>
      </c>
      <c r="Q110" s="170" t="str">
        <f>IFERROR(INDEX(Başvuru!$D$2:$D$1851,MATCH(105,Başvuru!$Z$2:$Z$1851,0)),"")</f>
        <v/>
      </c>
      <c r="R110" s="171" t="str">
        <f>IF(Q110="","",COUNTIFS(Başvuru!$D:$D,Q110,Başvuru!$A:$A,"&lt;&gt;"&amp;"",Başvuru!$F:$F,"&lt;&gt;"&amp;""))</f>
        <v/>
      </c>
      <c r="S110" s="171" t="str">
        <f>IF(R110="","",RANK(R110,$R$6:$R$155,0)+COUNTIF($R$6:R110,R110)-1)</f>
        <v/>
      </c>
    </row>
    <row r="111" spans="2:19" x14ac:dyDescent="0.25">
      <c r="B111" s="159">
        <v>106</v>
      </c>
      <c r="C111" s="160" t="str">
        <f>IFERROR(INDEX($Q$6:$Q$155,MATCH(106,$S$6:$S$155,0)),"")</f>
        <v/>
      </c>
      <c r="D111" s="161" t="str">
        <f>IF(C111="","",COUNTIFS(Başvuru!$D:$D,C111,Başvuru!$A:$A,"&lt;&gt;"&amp;"",Başvuru!$F:$F,"&lt;&gt;"&amp;""))</f>
        <v/>
      </c>
      <c r="E111" s="159" t="str">
        <f>IF(C111="","-",IF(D111&gt;0,TEXT(D111/(COUNTIFS(Başvuru!$A:$A,"&lt;&gt;",Başvuru!$F:$F,"&lt;&gt;")-1)*100,"0.0")&amp;"%","-"))</f>
        <v>-</v>
      </c>
      <c r="F111" s="162" t="str">
        <f>IF(C111="","",COUNTIFS(Başvuru!$D:$D,C111,Başvuru!$G:$G,"Bireysel Araştırma",Başvuru!$A:$A,"&lt;&gt;"&amp;"",Başvuru!$F:$F,"&lt;&gt;"&amp;""))</f>
        <v/>
      </c>
      <c r="G111" s="162" t="str">
        <f>IF(C111="","",COUNTIFS(Başvuru!$D:$D,C111,Başvuru!$G:$G,"Uzmanlık Tezi",Başvuru!$A:$A,"&lt;&gt;"&amp;"",Başvuru!$F:$F,"&lt;&gt;"&amp;""))</f>
        <v/>
      </c>
      <c r="H111" s="162" t="str">
        <f>IF(C111="","",COUNTIFS(Başvuru!$D:$D,C111,Başvuru!$G:$G,"Doktora Tezi",Başvuru!$A:$A,"&lt;&gt;"&amp;"",Başvuru!$F:$F,"&lt;&gt;"&amp;""))</f>
        <v/>
      </c>
      <c r="I111" s="162" t="str">
        <f>IF(C111="","",COUNTIFS(Başvuru!$D:$D,C111,Başvuru!$G:$G,"Yüksek Lisans Tezi",Başvuru!$A:$A,"&lt;&gt;"&amp;"",Başvuru!$F:$F,"&lt;&gt;"&amp;""))</f>
        <v/>
      </c>
      <c r="J111" s="163" t="str">
        <f>IF(C111="","",COUNTIFS(Başvuru!$D:$D,C111,Başvuru!$L:$L,"ONAY",Başvuru!$A:$A,"&lt;&gt;"&amp;"",Başvuru!$F:$F,"&lt;&gt;"&amp;""))</f>
        <v/>
      </c>
      <c r="K111" s="164" t="str">
        <f>IF(C111="","",COUNTIFS(Başvuru!$D:$D,C111,Başvuru!$L:$L,"DÜZELTME",Başvuru!$A:$A,"&lt;&gt;"&amp;"",Başvuru!$F:$F,"&lt;&gt;"&amp;""))</f>
        <v/>
      </c>
      <c r="L111" s="165" t="str">
        <f>IF(C111="","",COUNTIFS(Başvuru!$D:$D,C111,Başvuru!$L:$L,"KAEK",Başvuru!$A:$A,"&lt;&gt;"&amp;"",Başvuru!$F:$F,"&lt;&gt;"&amp;""))</f>
        <v/>
      </c>
      <c r="M111" s="166" t="str">
        <f>IF(C111="","",COUNTIFS(Başvuru!$D:$D,C111,Başvuru!$L:$L,"GÖRÜŞ",Başvuru!$A:$A,"&lt;&gt;"&amp;"",Başvuru!$F:$F,"&lt;&gt;"&amp;""))</f>
        <v/>
      </c>
      <c r="N111" s="167" t="str">
        <f>IF(C111="","",COUNTIFS(Başvuru!$D:$D,C111,Başvuru!$L:$L,"RET",Başvuru!$A:$A,"&lt;&gt;"&amp;"",Başvuru!$F:$F,"&lt;&gt;"&amp;""))</f>
        <v/>
      </c>
      <c r="O111" s="168" t="str">
        <f>IF(C111="","",COUNTIFS(Başvuru!$D:$D,C111,Başvuru!$L:$L,"KAPSAM DIŞI",Başvuru!$A:$A,"&lt;&gt;"&amp;"",Başvuru!$F:$F,"&lt;&gt;"&amp;""))</f>
        <v/>
      </c>
      <c r="P111" s="169" t="str">
        <f>IF(C111="","",COUNTIFS(Başvuru!$D:$D,C111,Başvuru!$L:$L,"GERİ ÇEKİLDİ",Başvuru!$A:$A,"&lt;&gt;"&amp;"",Başvuru!$F:$F,"&lt;&gt;"&amp;""))</f>
        <v/>
      </c>
      <c r="Q111" s="170" t="str">
        <f>IFERROR(INDEX(Başvuru!$D$2:$D$1851,MATCH(106,Başvuru!$Z$2:$Z$1851,0)),"")</f>
        <v/>
      </c>
      <c r="R111" s="171" t="str">
        <f>IF(Q111="","",COUNTIFS(Başvuru!$D:$D,Q111,Başvuru!$A:$A,"&lt;&gt;"&amp;"",Başvuru!$F:$F,"&lt;&gt;"&amp;""))</f>
        <v/>
      </c>
      <c r="S111" s="171" t="str">
        <f>IF(R111="","",RANK(R111,$R$6:$R$155,0)+COUNTIF($R$6:R111,R111)-1)</f>
        <v/>
      </c>
    </row>
    <row r="112" spans="2:19" x14ac:dyDescent="0.25">
      <c r="B112" s="159">
        <v>107</v>
      </c>
      <c r="C112" s="160" t="str">
        <f>IFERROR(INDEX($Q$6:$Q$155,MATCH(107,$S$6:$S$155,0)),"")</f>
        <v/>
      </c>
      <c r="D112" s="161" t="str">
        <f>IF(C112="","",COUNTIFS(Başvuru!$D:$D,C112,Başvuru!$A:$A,"&lt;&gt;"&amp;"",Başvuru!$F:$F,"&lt;&gt;"&amp;""))</f>
        <v/>
      </c>
      <c r="E112" s="159" t="str">
        <f>IF(C112="","-",IF(D112&gt;0,TEXT(D112/(COUNTIFS(Başvuru!$A:$A,"&lt;&gt;",Başvuru!$F:$F,"&lt;&gt;")-1)*100,"0.0")&amp;"%","-"))</f>
        <v>-</v>
      </c>
      <c r="F112" s="162" t="str">
        <f>IF(C112="","",COUNTIFS(Başvuru!$D:$D,C112,Başvuru!$G:$G,"Bireysel Araştırma",Başvuru!$A:$A,"&lt;&gt;"&amp;"",Başvuru!$F:$F,"&lt;&gt;"&amp;""))</f>
        <v/>
      </c>
      <c r="G112" s="162" t="str">
        <f>IF(C112="","",COUNTIFS(Başvuru!$D:$D,C112,Başvuru!$G:$G,"Uzmanlık Tezi",Başvuru!$A:$A,"&lt;&gt;"&amp;"",Başvuru!$F:$F,"&lt;&gt;"&amp;""))</f>
        <v/>
      </c>
      <c r="H112" s="162" t="str">
        <f>IF(C112="","",COUNTIFS(Başvuru!$D:$D,C112,Başvuru!$G:$G,"Doktora Tezi",Başvuru!$A:$A,"&lt;&gt;"&amp;"",Başvuru!$F:$F,"&lt;&gt;"&amp;""))</f>
        <v/>
      </c>
      <c r="I112" s="162" t="str">
        <f>IF(C112="","",COUNTIFS(Başvuru!$D:$D,C112,Başvuru!$G:$G,"Yüksek Lisans Tezi",Başvuru!$A:$A,"&lt;&gt;"&amp;"",Başvuru!$F:$F,"&lt;&gt;"&amp;""))</f>
        <v/>
      </c>
      <c r="J112" s="163" t="str">
        <f>IF(C112="","",COUNTIFS(Başvuru!$D:$D,C112,Başvuru!$L:$L,"ONAY",Başvuru!$A:$A,"&lt;&gt;"&amp;"",Başvuru!$F:$F,"&lt;&gt;"&amp;""))</f>
        <v/>
      </c>
      <c r="K112" s="164" t="str">
        <f>IF(C112="","",COUNTIFS(Başvuru!$D:$D,C112,Başvuru!$L:$L,"DÜZELTME",Başvuru!$A:$A,"&lt;&gt;"&amp;"",Başvuru!$F:$F,"&lt;&gt;"&amp;""))</f>
        <v/>
      </c>
      <c r="L112" s="165" t="str">
        <f>IF(C112="","",COUNTIFS(Başvuru!$D:$D,C112,Başvuru!$L:$L,"KAEK",Başvuru!$A:$A,"&lt;&gt;"&amp;"",Başvuru!$F:$F,"&lt;&gt;"&amp;""))</f>
        <v/>
      </c>
      <c r="M112" s="166" t="str">
        <f>IF(C112="","",COUNTIFS(Başvuru!$D:$D,C112,Başvuru!$L:$L,"GÖRÜŞ",Başvuru!$A:$A,"&lt;&gt;"&amp;"",Başvuru!$F:$F,"&lt;&gt;"&amp;""))</f>
        <v/>
      </c>
      <c r="N112" s="167" t="str">
        <f>IF(C112="","",COUNTIFS(Başvuru!$D:$D,C112,Başvuru!$L:$L,"RET",Başvuru!$A:$A,"&lt;&gt;"&amp;"",Başvuru!$F:$F,"&lt;&gt;"&amp;""))</f>
        <v/>
      </c>
      <c r="O112" s="168" t="str">
        <f>IF(C112="","",COUNTIFS(Başvuru!$D:$D,C112,Başvuru!$L:$L,"KAPSAM DIŞI",Başvuru!$A:$A,"&lt;&gt;"&amp;"",Başvuru!$F:$F,"&lt;&gt;"&amp;""))</f>
        <v/>
      </c>
      <c r="P112" s="169" t="str">
        <f>IF(C112="","",COUNTIFS(Başvuru!$D:$D,C112,Başvuru!$L:$L,"GERİ ÇEKİLDİ",Başvuru!$A:$A,"&lt;&gt;"&amp;"",Başvuru!$F:$F,"&lt;&gt;"&amp;""))</f>
        <v/>
      </c>
      <c r="Q112" s="170" t="str">
        <f>IFERROR(INDEX(Başvuru!$D$2:$D$1851,MATCH(107,Başvuru!$Z$2:$Z$1851,0)),"")</f>
        <v/>
      </c>
      <c r="R112" s="171" t="str">
        <f>IF(Q112="","",COUNTIFS(Başvuru!$D:$D,Q112,Başvuru!$A:$A,"&lt;&gt;"&amp;"",Başvuru!$F:$F,"&lt;&gt;"&amp;""))</f>
        <v/>
      </c>
      <c r="S112" s="171" t="str">
        <f>IF(R112="","",RANK(R112,$R$6:$R$155,0)+COUNTIF($R$6:R112,R112)-1)</f>
        <v/>
      </c>
    </row>
    <row r="113" spans="2:19" x14ac:dyDescent="0.25">
      <c r="B113" s="159">
        <v>108</v>
      </c>
      <c r="C113" s="160" t="str">
        <f>IFERROR(INDEX($Q$6:$Q$155,MATCH(108,$S$6:$S$155,0)),"")</f>
        <v/>
      </c>
      <c r="D113" s="161" t="str">
        <f>IF(C113="","",COUNTIFS(Başvuru!$D:$D,C113,Başvuru!$A:$A,"&lt;&gt;"&amp;"",Başvuru!$F:$F,"&lt;&gt;"&amp;""))</f>
        <v/>
      </c>
      <c r="E113" s="159" t="str">
        <f>IF(C113="","-",IF(D113&gt;0,TEXT(D113/(COUNTIFS(Başvuru!$A:$A,"&lt;&gt;",Başvuru!$F:$F,"&lt;&gt;")-1)*100,"0.0")&amp;"%","-"))</f>
        <v>-</v>
      </c>
      <c r="F113" s="162" t="str">
        <f>IF(C113="","",COUNTIFS(Başvuru!$D:$D,C113,Başvuru!$G:$G,"Bireysel Araştırma",Başvuru!$A:$A,"&lt;&gt;"&amp;"",Başvuru!$F:$F,"&lt;&gt;"&amp;""))</f>
        <v/>
      </c>
      <c r="G113" s="162" t="str">
        <f>IF(C113="","",COUNTIFS(Başvuru!$D:$D,C113,Başvuru!$G:$G,"Uzmanlık Tezi",Başvuru!$A:$A,"&lt;&gt;"&amp;"",Başvuru!$F:$F,"&lt;&gt;"&amp;""))</f>
        <v/>
      </c>
      <c r="H113" s="162" t="str">
        <f>IF(C113="","",COUNTIFS(Başvuru!$D:$D,C113,Başvuru!$G:$G,"Doktora Tezi",Başvuru!$A:$A,"&lt;&gt;"&amp;"",Başvuru!$F:$F,"&lt;&gt;"&amp;""))</f>
        <v/>
      </c>
      <c r="I113" s="162" t="str">
        <f>IF(C113="","",COUNTIFS(Başvuru!$D:$D,C113,Başvuru!$G:$G,"Yüksek Lisans Tezi",Başvuru!$A:$A,"&lt;&gt;"&amp;"",Başvuru!$F:$F,"&lt;&gt;"&amp;""))</f>
        <v/>
      </c>
      <c r="J113" s="163" t="str">
        <f>IF(C113="","",COUNTIFS(Başvuru!$D:$D,C113,Başvuru!$L:$L,"ONAY",Başvuru!$A:$A,"&lt;&gt;"&amp;"",Başvuru!$F:$F,"&lt;&gt;"&amp;""))</f>
        <v/>
      </c>
      <c r="K113" s="164" t="str">
        <f>IF(C113="","",COUNTIFS(Başvuru!$D:$D,C113,Başvuru!$L:$L,"DÜZELTME",Başvuru!$A:$A,"&lt;&gt;"&amp;"",Başvuru!$F:$F,"&lt;&gt;"&amp;""))</f>
        <v/>
      </c>
      <c r="L113" s="165" t="str">
        <f>IF(C113="","",COUNTIFS(Başvuru!$D:$D,C113,Başvuru!$L:$L,"KAEK",Başvuru!$A:$A,"&lt;&gt;"&amp;"",Başvuru!$F:$F,"&lt;&gt;"&amp;""))</f>
        <v/>
      </c>
      <c r="M113" s="166" t="str">
        <f>IF(C113="","",COUNTIFS(Başvuru!$D:$D,C113,Başvuru!$L:$L,"GÖRÜŞ",Başvuru!$A:$A,"&lt;&gt;"&amp;"",Başvuru!$F:$F,"&lt;&gt;"&amp;""))</f>
        <v/>
      </c>
      <c r="N113" s="167" t="str">
        <f>IF(C113="","",COUNTIFS(Başvuru!$D:$D,C113,Başvuru!$L:$L,"RET",Başvuru!$A:$A,"&lt;&gt;"&amp;"",Başvuru!$F:$F,"&lt;&gt;"&amp;""))</f>
        <v/>
      </c>
      <c r="O113" s="168" t="str">
        <f>IF(C113="","",COUNTIFS(Başvuru!$D:$D,C113,Başvuru!$L:$L,"KAPSAM DIŞI",Başvuru!$A:$A,"&lt;&gt;"&amp;"",Başvuru!$F:$F,"&lt;&gt;"&amp;""))</f>
        <v/>
      </c>
      <c r="P113" s="169" t="str">
        <f>IF(C113="","",COUNTIFS(Başvuru!$D:$D,C113,Başvuru!$L:$L,"GERİ ÇEKİLDİ",Başvuru!$A:$A,"&lt;&gt;"&amp;"",Başvuru!$F:$F,"&lt;&gt;"&amp;""))</f>
        <v/>
      </c>
      <c r="Q113" s="170" t="str">
        <f>IFERROR(INDEX(Başvuru!$D$2:$D$1851,MATCH(108,Başvuru!$Z$2:$Z$1851,0)),"")</f>
        <v/>
      </c>
      <c r="R113" s="171" t="str">
        <f>IF(Q113="","",COUNTIFS(Başvuru!$D:$D,Q113,Başvuru!$A:$A,"&lt;&gt;"&amp;"",Başvuru!$F:$F,"&lt;&gt;"&amp;""))</f>
        <v/>
      </c>
      <c r="S113" s="171" t="str">
        <f>IF(R113="","",RANK(R113,$R$6:$R$155,0)+COUNTIF($R$6:R113,R113)-1)</f>
        <v/>
      </c>
    </row>
    <row r="114" spans="2:19" x14ac:dyDescent="0.25">
      <c r="B114" s="159">
        <v>109</v>
      </c>
      <c r="C114" s="160" t="str">
        <f>IFERROR(INDEX($Q$6:$Q$155,MATCH(109,$S$6:$S$155,0)),"")</f>
        <v/>
      </c>
      <c r="D114" s="161" t="str">
        <f>IF(C114="","",COUNTIFS(Başvuru!$D:$D,C114,Başvuru!$A:$A,"&lt;&gt;"&amp;"",Başvuru!$F:$F,"&lt;&gt;"&amp;""))</f>
        <v/>
      </c>
      <c r="E114" s="159" t="str">
        <f>IF(C114="","-",IF(D114&gt;0,TEXT(D114/(COUNTIFS(Başvuru!$A:$A,"&lt;&gt;",Başvuru!$F:$F,"&lt;&gt;")-1)*100,"0.0")&amp;"%","-"))</f>
        <v>-</v>
      </c>
      <c r="F114" s="162" t="str">
        <f>IF(C114="","",COUNTIFS(Başvuru!$D:$D,C114,Başvuru!$G:$G,"Bireysel Araştırma",Başvuru!$A:$A,"&lt;&gt;"&amp;"",Başvuru!$F:$F,"&lt;&gt;"&amp;""))</f>
        <v/>
      </c>
      <c r="G114" s="162" t="str">
        <f>IF(C114="","",COUNTIFS(Başvuru!$D:$D,C114,Başvuru!$G:$G,"Uzmanlık Tezi",Başvuru!$A:$A,"&lt;&gt;"&amp;"",Başvuru!$F:$F,"&lt;&gt;"&amp;""))</f>
        <v/>
      </c>
      <c r="H114" s="162" t="str">
        <f>IF(C114="","",COUNTIFS(Başvuru!$D:$D,C114,Başvuru!$G:$G,"Doktora Tezi",Başvuru!$A:$A,"&lt;&gt;"&amp;"",Başvuru!$F:$F,"&lt;&gt;"&amp;""))</f>
        <v/>
      </c>
      <c r="I114" s="162" t="str">
        <f>IF(C114="","",COUNTIFS(Başvuru!$D:$D,C114,Başvuru!$G:$G,"Yüksek Lisans Tezi",Başvuru!$A:$A,"&lt;&gt;"&amp;"",Başvuru!$F:$F,"&lt;&gt;"&amp;""))</f>
        <v/>
      </c>
      <c r="J114" s="163" t="str">
        <f>IF(C114="","",COUNTIFS(Başvuru!$D:$D,C114,Başvuru!$L:$L,"ONAY",Başvuru!$A:$A,"&lt;&gt;"&amp;"",Başvuru!$F:$F,"&lt;&gt;"&amp;""))</f>
        <v/>
      </c>
      <c r="K114" s="164" t="str">
        <f>IF(C114="","",COUNTIFS(Başvuru!$D:$D,C114,Başvuru!$L:$L,"DÜZELTME",Başvuru!$A:$A,"&lt;&gt;"&amp;"",Başvuru!$F:$F,"&lt;&gt;"&amp;""))</f>
        <v/>
      </c>
      <c r="L114" s="165" t="str">
        <f>IF(C114="","",COUNTIFS(Başvuru!$D:$D,C114,Başvuru!$L:$L,"KAEK",Başvuru!$A:$A,"&lt;&gt;"&amp;"",Başvuru!$F:$F,"&lt;&gt;"&amp;""))</f>
        <v/>
      </c>
      <c r="M114" s="166" t="str">
        <f>IF(C114="","",COUNTIFS(Başvuru!$D:$D,C114,Başvuru!$L:$L,"GÖRÜŞ",Başvuru!$A:$A,"&lt;&gt;"&amp;"",Başvuru!$F:$F,"&lt;&gt;"&amp;""))</f>
        <v/>
      </c>
      <c r="N114" s="167" t="str">
        <f>IF(C114="","",COUNTIFS(Başvuru!$D:$D,C114,Başvuru!$L:$L,"RET",Başvuru!$A:$A,"&lt;&gt;"&amp;"",Başvuru!$F:$F,"&lt;&gt;"&amp;""))</f>
        <v/>
      </c>
      <c r="O114" s="168" t="str">
        <f>IF(C114="","",COUNTIFS(Başvuru!$D:$D,C114,Başvuru!$L:$L,"KAPSAM DIŞI",Başvuru!$A:$A,"&lt;&gt;"&amp;"",Başvuru!$F:$F,"&lt;&gt;"&amp;""))</f>
        <v/>
      </c>
      <c r="P114" s="169" t="str">
        <f>IF(C114="","",COUNTIFS(Başvuru!$D:$D,C114,Başvuru!$L:$L,"GERİ ÇEKİLDİ",Başvuru!$A:$A,"&lt;&gt;"&amp;"",Başvuru!$F:$F,"&lt;&gt;"&amp;""))</f>
        <v/>
      </c>
      <c r="Q114" s="170" t="str">
        <f>IFERROR(INDEX(Başvuru!$D$2:$D$1851,MATCH(109,Başvuru!$Z$2:$Z$1851,0)),"")</f>
        <v/>
      </c>
      <c r="R114" s="171" t="str">
        <f>IF(Q114="","",COUNTIFS(Başvuru!$D:$D,Q114,Başvuru!$A:$A,"&lt;&gt;"&amp;"",Başvuru!$F:$F,"&lt;&gt;"&amp;""))</f>
        <v/>
      </c>
      <c r="S114" s="171" t="str">
        <f>IF(R114="","",RANK(R114,$R$6:$R$155,0)+COUNTIF($R$6:R114,R114)-1)</f>
        <v/>
      </c>
    </row>
    <row r="115" spans="2:19" x14ac:dyDescent="0.25">
      <c r="B115" s="159">
        <v>110</v>
      </c>
      <c r="C115" s="160" t="str">
        <f>IFERROR(INDEX($Q$6:$Q$155,MATCH(110,$S$6:$S$155,0)),"")</f>
        <v/>
      </c>
      <c r="D115" s="161" t="str">
        <f>IF(C115="","",COUNTIFS(Başvuru!$D:$D,C115,Başvuru!$A:$A,"&lt;&gt;"&amp;"",Başvuru!$F:$F,"&lt;&gt;"&amp;""))</f>
        <v/>
      </c>
      <c r="E115" s="159" t="str">
        <f>IF(C115="","-",IF(D115&gt;0,TEXT(D115/(COUNTIFS(Başvuru!$A:$A,"&lt;&gt;",Başvuru!$F:$F,"&lt;&gt;")-1)*100,"0.0")&amp;"%","-"))</f>
        <v>-</v>
      </c>
      <c r="F115" s="162" t="str">
        <f>IF(C115="","",COUNTIFS(Başvuru!$D:$D,C115,Başvuru!$G:$G,"Bireysel Araştırma",Başvuru!$A:$A,"&lt;&gt;"&amp;"",Başvuru!$F:$F,"&lt;&gt;"&amp;""))</f>
        <v/>
      </c>
      <c r="G115" s="162" t="str">
        <f>IF(C115="","",COUNTIFS(Başvuru!$D:$D,C115,Başvuru!$G:$G,"Uzmanlık Tezi",Başvuru!$A:$A,"&lt;&gt;"&amp;"",Başvuru!$F:$F,"&lt;&gt;"&amp;""))</f>
        <v/>
      </c>
      <c r="H115" s="162" t="str">
        <f>IF(C115="","",COUNTIFS(Başvuru!$D:$D,C115,Başvuru!$G:$G,"Doktora Tezi",Başvuru!$A:$A,"&lt;&gt;"&amp;"",Başvuru!$F:$F,"&lt;&gt;"&amp;""))</f>
        <v/>
      </c>
      <c r="I115" s="162" t="str">
        <f>IF(C115="","",COUNTIFS(Başvuru!$D:$D,C115,Başvuru!$G:$G,"Yüksek Lisans Tezi",Başvuru!$A:$A,"&lt;&gt;"&amp;"",Başvuru!$F:$F,"&lt;&gt;"&amp;""))</f>
        <v/>
      </c>
      <c r="J115" s="163" t="str">
        <f>IF(C115="","",COUNTIFS(Başvuru!$D:$D,C115,Başvuru!$L:$L,"ONAY",Başvuru!$A:$A,"&lt;&gt;"&amp;"",Başvuru!$F:$F,"&lt;&gt;"&amp;""))</f>
        <v/>
      </c>
      <c r="K115" s="164" t="str">
        <f>IF(C115="","",COUNTIFS(Başvuru!$D:$D,C115,Başvuru!$L:$L,"DÜZELTME",Başvuru!$A:$A,"&lt;&gt;"&amp;"",Başvuru!$F:$F,"&lt;&gt;"&amp;""))</f>
        <v/>
      </c>
      <c r="L115" s="165" t="str">
        <f>IF(C115="","",COUNTIFS(Başvuru!$D:$D,C115,Başvuru!$L:$L,"KAEK",Başvuru!$A:$A,"&lt;&gt;"&amp;"",Başvuru!$F:$F,"&lt;&gt;"&amp;""))</f>
        <v/>
      </c>
      <c r="M115" s="166" t="str">
        <f>IF(C115="","",COUNTIFS(Başvuru!$D:$D,C115,Başvuru!$L:$L,"GÖRÜŞ",Başvuru!$A:$A,"&lt;&gt;"&amp;"",Başvuru!$F:$F,"&lt;&gt;"&amp;""))</f>
        <v/>
      </c>
      <c r="N115" s="167" t="str">
        <f>IF(C115="","",COUNTIFS(Başvuru!$D:$D,C115,Başvuru!$L:$L,"RET",Başvuru!$A:$A,"&lt;&gt;"&amp;"",Başvuru!$F:$F,"&lt;&gt;"&amp;""))</f>
        <v/>
      </c>
      <c r="O115" s="168" t="str">
        <f>IF(C115="","",COUNTIFS(Başvuru!$D:$D,C115,Başvuru!$L:$L,"KAPSAM DIŞI",Başvuru!$A:$A,"&lt;&gt;"&amp;"",Başvuru!$F:$F,"&lt;&gt;"&amp;""))</f>
        <v/>
      </c>
      <c r="P115" s="169" t="str">
        <f>IF(C115="","",COUNTIFS(Başvuru!$D:$D,C115,Başvuru!$L:$L,"GERİ ÇEKİLDİ",Başvuru!$A:$A,"&lt;&gt;"&amp;"",Başvuru!$F:$F,"&lt;&gt;"&amp;""))</f>
        <v/>
      </c>
      <c r="Q115" s="170" t="str">
        <f>IFERROR(INDEX(Başvuru!$D$2:$D$1851,MATCH(110,Başvuru!$Z$2:$Z$1851,0)),"")</f>
        <v/>
      </c>
      <c r="R115" s="171" t="str">
        <f>IF(Q115="","",COUNTIFS(Başvuru!$D:$D,Q115,Başvuru!$A:$A,"&lt;&gt;"&amp;"",Başvuru!$F:$F,"&lt;&gt;"&amp;""))</f>
        <v/>
      </c>
      <c r="S115" s="171" t="str">
        <f>IF(R115="","",RANK(R115,$R$6:$R$155,0)+COUNTIF($R$6:R115,R115)-1)</f>
        <v/>
      </c>
    </row>
    <row r="116" spans="2:19" x14ac:dyDescent="0.25">
      <c r="B116" s="159">
        <v>111</v>
      </c>
      <c r="C116" s="160" t="str">
        <f>IFERROR(INDEX($Q$6:$Q$155,MATCH(111,$S$6:$S$155,0)),"")</f>
        <v/>
      </c>
      <c r="D116" s="161" t="str">
        <f>IF(C116="","",COUNTIFS(Başvuru!$D:$D,C116,Başvuru!$A:$A,"&lt;&gt;"&amp;"",Başvuru!$F:$F,"&lt;&gt;"&amp;""))</f>
        <v/>
      </c>
      <c r="E116" s="159" t="str">
        <f>IF(C116="","-",IF(D116&gt;0,TEXT(D116/(COUNTIFS(Başvuru!$A:$A,"&lt;&gt;",Başvuru!$F:$F,"&lt;&gt;")-1)*100,"0.0")&amp;"%","-"))</f>
        <v>-</v>
      </c>
      <c r="F116" s="162" t="str">
        <f>IF(C116="","",COUNTIFS(Başvuru!$D:$D,C116,Başvuru!$G:$G,"Bireysel Araştırma",Başvuru!$A:$A,"&lt;&gt;"&amp;"",Başvuru!$F:$F,"&lt;&gt;"&amp;""))</f>
        <v/>
      </c>
      <c r="G116" s="162" t="str">
        <f>IF(C116="","",COUNTIFS(Başvuru!$D:$D,C116,Başvuru!$G:$G,"Uzmanlık Tezi",Başvuru!$A:$A,"&lt;&gt;"&amp;"",Başvuru!$F:$F,"&lt;&gt;"&amp;""))</f>
        <v/>
      </c>
      <c r="H116" s="162" t="str">
        <f>IF(C116="","",COUNTIFS(Başvuru!$D:$D,C116,Başvuru!$G:$G,"Doktora Tezi",Başvuru!$A:$A,"&lt;&gt;"&amp;"",Başvuru!$F:$F,"&lt;&gt;"&amp;""))</f>
        <v/>
      </c>
      <c r="I116" s="162" t="str">
        <f>IF(C116="","",COUNTIFS(Başvuru!$D:$D,C116,Başvuru!$G:$G,"Yüksek Lisans Tezi",Başvuru!$A:$A,"&lt;&gt;"&amp;"",Başvuru!$F:$F,"&lt;&gt;"&amp;""))</f>
        <v/>
      </c>
      <c r="J116" s="163" t="str">
        <f>IF(C116="","",COUNTIFS(Başvuru!$D:$D,C116,Başvuru!$L:$L,"ONAY",Başvuru!$A:$A,"&lt;&gt;"&amp;"",Başvuru!$F:$F,"&lt;&gt;"&amp;""))</f>
        <v/>
      </c>
      <c r="K116" s="164" t="str">
        <f>IF(C116="","",COUNTIFS(Başvuru!$D:$D,C116,Başvuru!$L:$L,"DÜZELTME",Başvuru!$A:$A,"&lt;&gt;"&amp;"",Başvuru!$F:$F,"&lt;&gt;"&amp;""))</f>
        <v/>
      </c>
      <c r="L116" s="165" t="str">
        <f>IF(C116="","",COUNTIFS(Başvuru!$D:$D,C116,Başvuru!$L:$L,"KAEK",Başvuru!$A:$A,"&lt;&gt;"&amp;"",Başvuru!$F:$F,"&lt;&gt;"&amp;""))</f>
        <v/>
      </c>
      <c r="M116" s="166" t="str">
        <f>IF(C116="","",COUNTIFS(Başvuru!$D:$D,C116,Başvuru!$L:$L,"GÖRÜŞ",Başvuru!$A:$A,"&lt;&gt;"&amp;"",Başvuru!$F:$F,"&lt;&gt;"&amp;""))</f>
        <v/>
      </c>
      <c r="N116" s="167" t="str">
        <f>IF(C116="","",COUNTIFS(Başvuru!$D:$D,C116,Başvuru!$L:$L,"RET",Başvuru!$A:$A,"&lt;&gt;"&amp;"",Başvuru!$F:$F,"&lt;&gt;"&amp;""))</f>
        <v/>
      </c>
      <c r="O116" s="168" t="str">
        <f>IF(C116="","",COUNTIFS(Başvuru!$D:$D,C116,Başvuru!$L:$L,"KAPSAM DIŞI",Başvuru!$A:$A,"&lt;&gt;"&amp;"",Başvuru!$F:$F,"&lt;&gt;"&amp;""))</f>
        <v/>
      </c>
      <c r="P116" s="169" t="str">
        <f>IF(C116="","",COUNTIFS(Başvuru!$D:$D,C116,Başvuru!$L:$L,"GERİ ÇEKİLDİ",Başvuru!$A:$A,"&lt;&gt;"&amp;"",Başvuru!$F:$F,"&lt;&gt;"&amp;""))</f>
        <v/>
      </c>
      <c r="Q116" s="170" t="str">
        <f>IFERROR(INDEX(Başvuru!$D$2:$D$1851,MATCH(111,Başvuru!$Z$2:$Z$1851,0)),"")</f>
        <v/>
      </c>
      <c r="R116" s="171" t="str">
        <f>IF(Q116="","",COUNTIFS(Başvuru!$D:$D,Q116,Başvuru!$A:$A,"&lt;&gt;"&amp;"",Başvuru!$F:$F,"&lt;&gt;"&amp;""))</f>
        <v/>
      </c>
      <c r="S116" s="171" t="str">
        <f>IF(R116="","",RANK(R116,$R$6:$R$155,0)+COUNTIF($R$6:R116,R116)-1)</f>
        <v/>
      </c>
    </row>
    <row r="117" spans="2:19" x14ac:dyDescent="0.25">
      <c r="B117" s="159">
        <v>112</v>
      </c>
      <c r="C117" s="160" t="str">
        <f>IFERROR(INDEX($Q$6:$Q$155,MATCH(112,$S$6:$S$155,0)),"")</f>
        <v/>
      </c>
      <c r="D117" s="161" t="str">
        <f>IF(C117="","",COUNTIFS(Başvuru!$D:$D,C117,Başvuru!$A:$A,"&lt;&gt;"&amp;"",Başvuru!$F:$F,"&lt;&gt;"&amp;""))</f>
        <v/>
      </c>
      <c r="E117" s="159" t="str">
        <f>IF(C117="","-",IF(D117&gt;0,TEXT(D117/(COUNTIFS(Başvuru!$A:$A,"&lt;&gt;",Başvuru!$F:$F,"&lt;&gt;")-1)*100,"0.0")&amp;"%","-"))</f>
        <v>-</v>
      </c>
      <c r="F117" s="162" t="str">
        <f>IF(C117="","",COUNTIFS(Başvuru!$D:$D,C117,Başvuru!$G:$G,"Bireysel Araştırma",Başvuru!$A:$A,"&lt;&gt;"&amp;"",Başvuru!$F:$F,"&lt;&gt;"&amp;""))</f>
        <v/>
      </c>
      <c r="G117" s="162" t="str">
        <f>IF(C117="","",COUNTIFS(Başvuru!$D:$D,C117,Başvuru!$G:$G,"Uzmanlık Tezi",Başvuru!$A:$A,"&lt;&gt;"&amp;"",Başvuru!$F:$F,"&lt;&gt;"&amp;""))</f>
        <v/>
      </c>
      <c r="H117" s="162" t="str">
        <f>IF(C117="","",COUNTIFS(Başvuru!$D:$D,C117,Başvuru!$G:$G,"Doktora Tezi",Başvuru!$A:$A,"&lt;&gt;"&amp;"",Başvuru!$F:$F,"&lt;&gt;"&amp;""))</f>
        <v/>
      </c>
      <c r="I117" s="162" t="str">
        <f>IF(C117="","",COUNTIFS(Başvuru!$D:$D,C117,Başvuru!$G:$G,"Yüksek Lisans Tezi",Başvuru!$A:$A,"&lt;&gt;"&amp;"",Başvuru!$F:$F,"&lt;&gt;"&amp;""))</f>
        <v/>
      </c>
      <c r="J117" s="163" t="str">
        <f>IF(C117="","",COUNTIFS(Başvuru!$D:$D,C117,Başvuru!$L:$L,"ONAY",Başvuru!$A:$A,"&lt;&gt;"&amp;"",Başvuru!$F:$F,"&lt;&gt;"&amp;""))</f>
        <v/>
      </c>
      <c r="K117" s="164" t="str">
        <f>IF(C117="","",COUNTIFS(Başvuru!$D:$D,C117,Başvuru!$L:$L,"DÜZELTME",Başvuru!$A:$A,"&lt;&gt;"&amp;"",Başvuru!$F:$F,"&lt;&gt;"&amp;""))</f>
        <v/>
      </c>
      <c r="L117" s="165" t="str">
        <f>IF(C117="","",COUNTIFS(Başvuru!$D:$D,C117,Başvuru!$L:$L,"KAEK",Başvuru!$A:$A,"&lt;&gt;"&amp;"",Başvuru!$F:$F,"&lt;&gt;"&amp;""))</f>
        <v/>
      </c>
      <c r="M117" s="166" t="str">
        <f>IF(C117="","",COUNTIFS(Başvuru!$D:$D,C117,Başvuru!$L:$L,"GÖRÜŞ",Başvuru!$A:$A,"&lt;&gt;"&amp;"",Başvuru!$F:$F,"&lt;&gt;"&amp;""))</f>
        <v/>
      </c>
      <c r="N117" s="167" t="str">
        <f>IF(C117="","",COUNTIFS(Başvuru!$D:$D,C117,Başvuru!$L:$L,"RET",Başvuru!$A:$A,"&lt;&gt;"&amp;"",Başvuru!$F:$F,"&lt;&gt;"&amp;""))</f>
        <v/>
      </c>
      <c r="O117" s="168" t="str">
        <f>IF(C117="","",COUNTIFS(Başvuru!$D:$D,C117,Başvuru!$L:$L,"KAPSAM DIŞI",Başvuru!$A:$A,"&lt;&gt;"&amp;"",Başvuru!$F:$F,"&lt;&gt;"&amp;""))</f>
        <v/>
      </c>
      <c r="P117" s="169" t="str">
        <f>IF(C117="","",COUNTIFS(Başvuru!$D:$D,C117,Başvuru!$L:$L,"GERİ ÇEKİLDİ",Başvuru!$A:$A,"&lt;&gt;"&amp;"",Başvuru!$F:$F,"&lt;&gt;"&amp;""))</f>
        <v/>
      </c>
      <c r="Q117" s="170" t="str">
        <f>IFERROR(INDEX(Başvuru!$D$2:$D$1851,MATCH(112,Başvuru!$Z$2:$Z$1851,0)),"")</f>
        <v/>
      </c>
      <c r="R117" s="171" t="str">
        <f>IF(Q117="","",COUNTIFS(Başvuru!$D:$D,Q117,Başvuru!$A:$A,"&lt;&gt;"&amp;"",Başvuru!$F:$F,"&lt;&gt;"&amp;""))</f>
        <v/>
      </c>
      <c r="S117" s="171" t="str">
        <f>IF(R117="","",RANK(R117,$R$6:$R$155,0)+COUNTIF($R$6:R117,R117)-1)</f>
        <v/>
      </c>
    </row>
    <row r="118" spans="2:19" x14ac:dyDescent="0.25">
      <c r="B118" s="159">
        <v>113</v>
      </c>
      <c r="C118" s="160" t="str">
        <f>IFERROR(INDEX($Q$6:$Q$155,MATCH(113,$S$6:$S$155,0)),"")</f>
        <v/>
      </c>
      <c r="D118" s="161" t="str">
        <f>IF(C118="","",COUNTIFS(Başvuru!$D:$D,C118,Başvuru!$A:$A,"&lt;&gt;"&amp;"",Başvuru!$F:$F,"&lt;&gt;"&amp;""))</f>
        <v/>
      </c>
      <c r="E118" s="159" t="str">
        <f>IF(C118="","-",IF(D118&gt;0,TEXT(D118/(COUNTIFS(Başvuru!$A:$A,"&lt;&gt;",Başvuru!$F:$F,"&lt;&gt;")-1)*100,"0.0")&amp;"%","-"))</f>
        <v>-</v>
      </c>
      <c r="F118" s="162" t="str">
        <f>IF(C118="","",COUNTIFS(Başvuru!$D:$D,C118,Başvuru!$G:$G,"Bireysel Araştırma",Başvuru!$A:$A,"&lt;&gt;"&amp;"",Başvuru!$F:$F,"&lt;&gt;"&amp;""))</f>
        <v/>
      </c>
      <c r="G118" s="162" t="str">
        <f>IF(C118="","",COUNTIFS(Başvuru!$D:$D,C118,Başvuru!$G:$G,"Uzmanlık Tezi",Başvuru!$A:$A,"&lt;&gt;"&amp;"",Başvuru!$F:$F,"&lt;&gt;"&amp;""))</f>
        <v/>
      </c>
      <c r="H118" s="162" t="str">
        <f>IF(C118="","",COUNTIFS(Başvuru!$D:$D,C118,Başvuru!$G:$G,"Doktora Tezi",Başvuru!$A:$A,"&lt;&gt;"&amp;"",Başvuru!$F:$F,"&lt;&gt;"&amp;""))</f>
        <v/>
      </c>
      <c r="I118" s="162" t="str">
        <f>IF(C118="","",COUNTIFS(Başvuru!$D:$D,C118,Başvuru!$G:$G,"Yüksek Lisans Tezi",Başvuru!$A:$A,"&lt;&gt;"&amp;"",Başvuru!$F:$F,"&lt;&gt;"&amp;""))</f>
        <v/>
      </c>
      <c r="J118" s="163" t="str">
        <f>IF(C118="","",COUNTIFS(Başvuru!$D:$D,C118,Başvuru!$L:$L,"ONAY",Başvuru!$A:$A,"&lt;&gt;"&amp;"",Başvuru!$F:$F,"&lt;&gt;"&amp;""))</f>
        <v/>
      </c>
      <c r="K118" s="164" t="str">
        <f>IF(C118="","",COUNTIFS(Başvuru!$D:$D,C118,Başvuru!$L:$L,"DÜZELTME",Başvuru!$A:$A,"&lt;&gt;"&amp;"",Başvuru!$F:$F,"&lt;&gt;"&amp;""))</f>
        <v/>
      </c>
      <c r="L118" s="165" t="str">
        <f>IF(C118="","",COUNTIFS(Başvuru!$D:$D,C118,Başvuru!$L:$L,"KAEK",Başvuru!$A:$A,"&lt;&gt;"&amp;"",Başvuru!$F:$F,"&lt;&gt;"&amp;""))</f>
        <v/>
      </c>
      <c r="M118" s="166" t="str">
        <f>IF(C118="","",COUNTIFS(Başvuru!$D:$D,C118,Başvuru!$L:$L,"GÖRÜŞ",Başvuru!$A:$A,"&lt;&gt;"&amp;"",Başvuru!$F:$F,"&lt;&gt;"&amp;""))</f>
        <v/>
      </c>
      <c r="N118" s="167" t="str">
        <f>IF(C118="","",COUNTIFS(Başvuru!$D:$D,C118,Başvuru!$L:$L,"RET",Başvuru!$A:$A,"&lt;&gt;"&amp;"",Başvuru!$F:$F,"&lt;&gt;"&amp;""))</f>
        <v/>
      </c>
      <c r="O118" s="168" t="str">
        <f>IF(C118="","",COUNTIFS(Başvuru!$D:$D,C118,Başvuru!$L:$L,"KAPSAM DIŞI",Başvuru!$A:$A,"&lt;&gt;"&amp;"",Başvuru!$F:$F,"&lt;&gt;"&amp;""))</f>
        <v/>
      </c>
      <c r="P118" s="169" t="str">
        <f>IF(C118="","",COUNTIFS(Başvuru!$D:$D,C118,Başvuru!$L:$L,"GERİ ÇEKİLDİ",Başvuru!$A:$A,"&lt;&gt;"&amp;"",Başvuru!$F:$F,"&lt;&gt;"&amp;""))</f>
        <v/>
      </c>
      <c r="Q118" s="170" t="str">
        <f>IFERROR(INDEX(Başvuru!$D$2:$D$1851,MATCH(113,Başvuru!$Z$2:$Z$1851,0)),"")</f>
        <v/>
      </c>
      <c r="R118" s="171" t="str">
        <f>IF(Q118="","",COUNTIFS(Başvuru!$D:$D,Q118,Başvuru!$A:$A,"&lt;&gt;"&amp;"",Başvuru!$F:$F,"&lt;&gt;"&amp;""))</f>
        <v/>
      </c>
      <c r="S118" s="171" t="str">
        <f>IF(R118="","",RANK(R118,$R$6:$R$155,0)+COUNTIF($R$6:R118,R118)-1)</f>
        <v/>
      </c>
    </row>
    <row r="119" spans="2:19" x14ac:dyDescent="0.25">
      <c r="B119" s="159">
        <v>114</v>
      </c>
      <c r="C119" s="160" t="str">
        <f>IFERROR(INDEX($Q$6:$Q$155,MATCH(114,$S$6:$S$155,0)),"")</f>
        <v/>
      </c>
      <c r="D119" s="161" t="str">
        <f>IF(C119="","",COUNTIFS(Başvuru!$D:$D,C119,Başvuru!$A:$A,"&lt;&gt;"&amp;"",Başvuru!$F:$F,"&lt;&gt;"&amp;""))</f>
        <v/>
      </c>
      <c r="E119" s="159" t="str">
        <f>IF(C119="","-",IF(D119&gt;0,TEXT(D119/(COUNTIFS(Başvuru!$A:$A,"&lt;&gt;",Başvuru!$F:$F,"&lt;&gt;")-1)*100,"0.0")&amp;"%","-"))</f>
        <v>-</v>
      </c>
      <c r="F119" s="162" t="str">
        <f>IF(C119="","",COUNTIFS(Başvuru!$D:$D,C119,Başvuru!$G:$G,"Bireysel Araştırma",Başvuru!$A:$A,"&lt;&gt;"&amp;"",Başvuru!$F:$F,"&lt;&gt;"&amp;""))</f>
        <v/>
      </c>
      <c r="G119" s="162" t="str">
        <f>IF(C119="","",COUNTIFS(Başvuru!$D:$D,C119,Başvuru!$G:$G,"Uzmanlık Tezi",Başvuru!$A:$A,"&lt;&gt;"&amp;"",Başvuru!$F:$F,"&lt;&gt;"&amp;""))</f>
        <v/>
      </c>
      <c r="H119" s="162" t="str">
        <f>IF(C119="","",COUNTIFS(Başvuru!$D:$D,C119,Başvuru!$G:$G,"Doktora Tezi",Başvuru!$A:$A,"&lt;&gt;"&amp;"",Başvuru!$F:$F,"&lt;&gt;"&amp;""))</f>
        <v/>
      </c>
      <c r="I119" s="162" t="str">
        <f>IF(C119="","",COUNTIFS(Başvuru!$D:$D,C119,Başvuru!$G:$G,"Yüksek Lisans Tezi",Başvuru!$A:$A,"&lt;&gt;"&amp;"",Başvuru!$F:$F,"&lt;&gt;"&amp;""))</f>
        <v/>
      </c>
      <c r="J119" s="163" t="str">
        <f>IF(C119="","",COUNTIFS(Başvuru!$D:$D,C119,Başvuru!$L:$L,"ONAY",Başvuru!$A:$A,"&lt;&gt;"&amp;"",Başvuru!$F:$F,"&lt;&gt;"&amp;""))</f>
        <v/>
      </c>
      <c r="K119" s="164" t="str">
        <f>IF(C119="","",COUNTIFS(Başvuru!$D:$D,C119,Başvuru!$L:$L,"DÜZELTME",Başvuru!$A:$A,"&lt;&gt;"&amp;"",Başvuru!$F:$F,"&lt;&gt;"&amp;""))</f>
        <v/>
      </c>
      <c r="L119" s="165" t="str">
        <f>IF(C119="","",COUNTIFS(Başvuru!$D:$D,C119,Başvuru!$L:$L,"KAEK",Başvuru!$A:$A,"&lt;&gt;"&amp;"",Başvuru!$F:$F,"&lt;&gt;"&amp;""))</f>
        <v/>
      </c>
      <c r="M119" s="166" t="str">
        <f>IF(C119="","",COUNTIFS(Başvuru!$D:$D,C119,Başvuru!$L:$L,"GÖRÜŞ",Başvuru!$A:$A,"&lt;&gt;"&amp;"",Başvuru!$F:$F,"&lt;&gt;"&amp;""))</f>
        <v/>
      </c>
      <c r="N119" s="167" t="str">
        <f>IF(C119="","",COUNTIFS(Başvuru!$D:$D,C119,Başvuru!$L:$L,"RET",Başvuru!$A:$A,"&lt;&gt;"&amp;"",Başvuru!$F:$F,"&lt;&gt;"&amp;""))</f>
        <v/>
      </c>
      <c r="O119" s="168" t="str">
        <f>IF(C119="","",COUNTIFS(Başvuru!$D:$D,C119,Başvuru!$L:$L,"KAPSAM DIŞI",Başvuru!$A:$A,"&lt;&gt;"&amp;"",Başvuru!$F:$F,"&lt;&gt;"&amp;""))</f>
        <v/>
      </c>
      <c r="P119" s="169" t="str">
        <f>IF(C119="","",COUNTIFS(Başvuru!$D:$D,C119,Başvuru!$L:$L,"GERİ ÇEKİLDİ",Başvuru!$A:$A,"&lt;&gt;"&amp;"",Başvuru!$F:$F,"&lt;&gt;"&amp;""))</f>
        <v/>
      </c>
      <c r="Q119" s="170" t="str">
        <f>IFERROR(INDEX(Başvuru!$D$2:$D$1851,MATCH(114,Başvuru!$Z$2:$Z$1851,0)),"")</f>
        <v/>
      </c>
      <c r="R119" s="171" t="str">
        <f>IF(Q119="","",COUNTIFS(Başvuru!$D:$D,Q119,Başvuru!$A:$A,"&lt;&gt;"&amp;"",Başvuru!$F:$F,"&lt;&gt;"&amp;""))</f>
        <v/>
      </c>
      <c r="S119" s="171" t="str">
        <f>IF(R119="","",RANK(R119,$R$6:$R$155,0)+COUNTIF($R$6:R119,R119)-1)</f>
        <v/>
      </c>
    </row>
    <row r="120" spans="2:19" x14ac:dyDescent="0.25">
      <c r="B120" s="159">
        <v>115</v>
      </c>
      <c r="C120" s="160" t="str">
        <f>IFERROR(INDEX($Q$6:$Q$155,MATCH(115,$S$6:$S$155,0)),"")</f>
        <v/>
      </c>
      <c r="D120" s="161" t="str">
        <f>IF(C120="","",COUNTIFS(Başvuru!$D:$D,C120,Başvuru!$A:$A,"&lt;&gt;"&amp;"",Başvuru!$F:$F,"&lt;&gt;"&amp;""))</f>
        <v/>
      </c>
      <c r="E120" s="159" t="str">
        <f>IF(C120="","-",IF(D120&gt;0,TEXT(D120/(COUNTIFS(Başvuru!$A:$A,"&lt;&gt;",Başvuru!$F:$F,"&lt;&gt;")-1)*100,"0.0")&amp;"%","-"))</f>
        <v>-</v>
      </c>
      <c r="F120" s="162" t="str">
        <f>IF(C120="","",COUNTIFS(Başvuru!$D:$D,C120,Başvuru!$G:$G,"Bireysel Araştırma",Başvuru!$A:$A,"&lt;&gt;"&amp;"",Başvuru!$F:$F,"&lt;&gt;"&amp;""))</f>
        <v/>
      </c>
      <c r="G120" s="162" t="str">
        <f>IF(C120="","",COUNTIFS(Başvuru!$D:$D,C120,Başvuru!$G:$G,"Uzmanlık Tezi",Başvuru!$A:$A,"&lt;&gt;"&amp;"",Başvuru!$F:$F,"&lt;&gt;"&amp;""))</f>
        <v/>
      </c>
      <c r="H120" s="162" t="str">
        <f>IF(C120="","",COUNTIFS(Başvuru!$D:$D,C120,Başvuru!$G:$G,"Doktora Tezi",Başvuru!$A:$A,"&lt;&gt;"&amp;"",Başvuru!$F:$F,"&lt;&gt;"&amp;""))</f>
        <v/>
      </c>
      <c r="I120" s="162" t="str">
        <f>IF(C120="","",COUNTIFS(Başvuru!$D:$D,C120,Başvuru!$G:$G,"Yüksek Lisans Tezi",Başvuru!$A:$A,"&lt;&gt;"&amp;"",Başvuru!$F:$F,"&lt;&gt;"&amp;""))</f>
        <v/>
      </c>
      <c r="J120" s="163" t="str">
        <f>IF(C120="","",COUNTIFS(Başvuru!$D:$D,C120,Başvuru!$L:$L,"ONAY",Başvuru!$A:$A,"&lt;&gt;"&amp;"",Başvuru!$F:$F,"&lt;&gt;"&amp;""))</f>
        <v/>
      </c>
      <c r="K120" s="164" t="str">
        <f>IF(C120="","",COUNTIFS(Başvuru!$D:$D,C120,Başvuru!$L:$L,"DÜZELTME",Başvuru!$A:$A,"&lt;&gt;"&amp;"",Başvuru!$F:$F,"&lt;&gt;"&amp;""))</f>
        <v/>
      </c>
      <c r="L120" s="165" t="str">
        <f>IF(C120="","",COUNTIFS(Başvuru!$D:$D,C120,Başvuru!$L:$L,"KAEK",Başvuru!$A:$A,"&lt;&gt;"&amp;"",Başvuru!$F:$F,"&lt;&gt;"&amp;""))</f>
        <v/>
      </c>
      <c r="M120" s="166" t="str">
        <f>IF(C120="","",COUNTIFS(Başvuru!$D:$D,C120,Başvuru!$L:$L,"GÖRÜŞ",Başvuru!$A:$A,"&lt;&gt;"&amp;"",Başvuru!$F:$F,"&lt;&gt;"&amp;""))</f>
        <v/>
      </c>
      <c r="N120" s="167" t="str">
        <f>IF(C120="","",COUNTIFS(Başvuru!$D:$D,C120,Başvuru!$L:$L,"RET",Başvuru!$A:$A,"&lt;&gt;"&amp;"",Başvuru!$F:$F,"&lt;&gt;"&amp;""))</f>
        <v/>
      </c>
      <c r="O120" s="168" t="str">
        <f>IF(C120="","",COUNTIFS(Başvuru!$D:$D,C120,Başvuru!$L:$L,"KAPSAM DIŞI",Başvuru!$A:$A,"&lt;&gt;"&amp;"",Başvuru!$F:$F,"&lt;&gt;"&amp;""))</f>
        <v/>
      </c>
      <c r="P120" s="169" t="str">
        <f>IF(C120="","",COUNTIFS(Başvuru!$D:$D,C120,Başvuru!$L:$L,"GERİ ÇEKİLDİ",Başvuru!$A:$A,"&lt;&gt;"&amp;"",Başvuru!$F:$F,"&lt;&gt;"&amp;""))</f>
        <v/>
      </c>
      <c r="Q120" s="170" t="str">
        <f>IFERROR(INDEX(Başvuru!$D$2:$D$1851,MATCH(115,Başvuru!$Z$2:$Z$1851,0)),"")</f>
        <v/>
      </c>
      <c r="R120" s="171" t="str">
        <f>IF(Q120="","",COUNTIFS(Başvuru!$D:$D,Q120,Başvuru!$A:$A,"&lt;&gt;"&amp;"",Başvuru!$F:$F,"&lt;&gt;"&amp;""))</f>
        <v/>
      </c>
      <c r="S120" s="171" t="str">
        <f>IF(R120="","",RANK(R120,$R$6:$R$155,0)+COUNTIF($R$6:R120,R120)-1)</f>
        <v/>
      </c>
    </row>
    <row r="121" spans="2:19" x14ac:dyDescent="0.25">
      <c r="B121" s="159">
        <v>116</v>
      </c>
      <c r="C121" s="160" t="str">
        <f>IFERROR(INDEX($Q$6:$Q$155,MATCH(116,$S$6:$S$155,0)),"")</f>
        <v/>
      </c>
      <c r="D121" s="161" t="str">
        <f>IF(C121="","",COUNTIFS(Başvuru!$D:$D,C121,Başvuru!$A:$A,"&lt;&gt;"&amp;"",Başvuru!$F:$F,"&lt;&gt;"&amp;""))</f>
        <v/>
      </c>
      <c r="E121" s="159" t="str">
        <f>IF(C121="","-",IF(D121&gt;0,TEXT(D121/(COUNTIFS(Başvuru!$A:$A,"&lt;&gt;",Başvuru!$F:$F,"&lt;&gt;")-1)*100,"0.0")&amp;"%","-"))</f>
        <v>-</v>
      </c>
      <c r="F121" s="162" t="str">
        <f>IF(C121="","",COUNTIFS(Başvuru!$D:$D,C121,Başvuru!$G:$G,"Bireysel Araştırma",Başvuru!$A:$A,"&lt;&gt;"&amp;"",Başvuru!$F:$F,"&lt;&gt;"&amp;""))</f>
        <v/>
      </c>
      <c r="G121" s="162" t="str">
        <f>IF(C121="","",COUNTIFS(Başvuru!$D:$D,C121,Başvuru!$G:$G,"Uzmanlık Tezi",Başvuru!$A:$A,"&lt;&gt;"&amp;"",Başvuru!$F:$F,"&lt;&gt;"&amp;""))</f>
        <v/>
      </c>
      <c r="H121" s="162" t="str">
        <f>IF(C121="","",COUNTIFS(Başvuru!$D:$D,C121,Başvuru!$G:$G,"Doktora Tezi",Başvuru!$A:$A,"&lt;&gt;"&amp;"",Başvuru!$F:$F,"&lt;&gt;"&amp;""))</f>
        <v/>
      </c>
      <c r="I121" s="162" t="str">
        <f>IF(C121="","",COUNTIFS(Başvuru!$D:$D,C121,Başvuru!$G:$G,"Yüksek Lisans Tezi",Başvuru!$A:$A,"&lt;&gt;"&amp;"",Başvuru!$F:$F,"&lt;&gt;"&amp;""))</f>
        <v/>
      </c>
      <c r="J121" s="163" t="str">
        <f>IF(C121="","",COUNTIFS(Başvuru!$D:$D,C121,Başvuru!$L:$L,"ONAY",Başvuru!$A:$A,"&lt;&gt;"&amp;"",Başvuru!$F:$F,"&lt;&gt;"&amp;""))</f>
        <v/>
      </c>
      <c r="K121" s="164" t="str">
        <f>IF(C121="","",COUNTIFS(Başvuru!$D:$D,C121,Başvuru!$L:$L,"DÜZELTME",Başvuru!$A:$A,"&lt;&gt;"&amp;"",Başvuru!$F:$F,"&lt;&gt;"&amp;""))</f>
        <v/>
      </c>
      <c r="L121" s="165" t="str">
        <f>IF(C121="","",COUNTIFS(Başvuru!$D:$D,C121,Başvuru!$L:$L,"KAEK",Başvuru!$A:$A,"&lt;&gt;"&amp;"",Başvuru!$F:$F,"&lt;&gt;"&amp;""))</f>
        <v/>
      </c>
      <c r="M121" s="166" t="str">
        <f>IF(C121="","",COUNTIFS(Başvuru!$D:$D,C121,Başvuru!$L:$L,"GÖRÜŞ",Başvuru!$A:$A,"&lt;&gt;"&amp;"",Başvuru!$F:$F,"&lt;&gt;"&amp;""))</f>
        <v/>
      </c>
      <c r="N121" s="167" t="str">
        <f>IF(C121="","",COUNTIFS(Başvuru!$D:$D,C121,Başvuru!$L:$L,"RET",Başvuru!$A:$A,"&lt;&gt;"&amp;"",Başvuru!$F:$F,"&lt;&gt;"&amp;""))</f>
        <v/>
      </c>
      <c r="O121" s="168" t="str">
        <f>IF(C121="","",COUNTIFS(Başvuru!$D:$D,C121,Başvuru!$L:$L,"KAPSAM DIŞI",Başvuru!$A:$A,"&lt;&gt;"&amp;"",Başvuru!$F:$F,"&lt;&gt;"&amp;""))</f>
        <v/>
      </c>
      <c r="P121" s="169" t="str">
        <f>IF(C121="","",COUNTIFS(Başvuru!$D:$D,C121,Başvuru!$L:$L,"GERİ ÇEKİLDİ",Başvuru!$A:$A,"&lt;&gt;"&amp;"",Başvuru!$F:$F,"&lt;&gt;"&amp;""))</f>
        <v/>
      </c>
      <c r="Q121" s="170" t="str">
        <f>IFERROR(INDEX(Başvuru!$D$2:$D$1851,MATCH(116,Başvuru!$Z$2:$Z$1851,0)),"")</f>
        <v/>
      </c>
      <c r="R121" s="171" t="str">
        <f>IF(Q121="","",COUNTIFS(Başvuru!$D:$D,Q121,Başvuru!$A:$A,"&lt;&gt;"&amp;"",Başvuru!$F:$F,"&lt;&gt;"&amp;""))</f>
        <v/>
      </c>
      <c r="S121" s="171" t="str">
        <f>IF(R121="","",RANK(R121,$R$6:$R$155,0)+COUNTIF($R$6:R121,R121)-1)</f>
        <v/>
      </c>
    </row>
    <row r="122" spans="2:19" x14ac:dyDescent="0.25">
      <c r="B122" s="159">
        <v>117</v>
      </c>
      <c r="C122" s="160" t="str">
        <f>IFERROR(INDEX($Q$6:$Q$155,MATCH(117,$S$6:$S$155,0)),"")</f>
        <v/>
      </c>
      <c r="D122" s="161" t="str">
        <f>IF(C122="","",COUNTIFS(Başvuru!$D:$D,C122,Başvuru!$A:$A,"&lt;&gt;"&amp;"",Başvuru!$F:$F,"&lt;&gt;"&amp;""))</f>
        <v/>
      </c>
      <c r="E122" s="159" t="str">
        <f>IF(C122="","-",IF(D122&gt;0,TEXT(D122/(COUNTIFS(Başvuru!$A:$A,"&lt;&gt;",Başvuru!$F:$F,"&lt;&gt;")-1)*100,"0.0")&amp;"%","-"))</f>
        <v>-</v>
      </c>
      <c r="F122" s="162" t="str">
        <f>IF(C122="","",COUNTIFS(Başvuru!$D:$D,C122,Başvuru!$G:$G,"Bireysel Araştırma",Başvuru!$A:$A,"&lt;&gt;"&amp;"",Başvuru!$F:$F,"&lt;&gt;"&amp;""))</f>
        <v/>
      </c>
      <c r="G122" s="162" t="str">
        <f>IF(C122="","",COUNTIFS(Başvuru!$D:$D,C122,Başvuru!$G:$G,"Uzmanlık Tezi",Başvuru!$A:$A,"&lt;&gt;"&amp;"",Başvuru!$F:$F,"&lt;&gt;"&amp;""))</f>
        <v/>
      </c>
      <c r="H122" s="162" t="str">
        <f>IF(C122="","",COUNTIFS(Başvuru!$D:$D,C122,Başvuru!$G:$G,"Doktora Tezi",Başvuru!$A:$A,"&lt;&gt;"&amp;"",Başvuru!$F:$F,"&lt;&gt;"&amp;""))</f>
        <v/>
      </c>
      <c r="I122" s="162" t="str">
        <f>IF(C122="","",COUNTIFS(Başvuru!$D:$D,C122,Başvuru!$G:$G,"Yüksek Lisans Tezi",Başvuru!$A:$A,"&lt;&gt;"&amp;"",Başvuru!$F:$F,"&lt;&gt;"&amp;""))</f>
        <v/>
      </c>
      <c r="J122" s="163" t="str">
        <f>IF(C122="","",COUNTIFS(Başvuru!$D:$D,C122,Başvuru!$L:$L,"ONAY",Başvuru!$A:$A,"&lt;&gt;"&amp;"",Başvuru!$F:$F,"&lt;&gt;"&amp;""))</f>
        <v/>
      </c>
      <c r="K122" s="164" t="str">
        <f>IF(C122="","",COUNTIFS(Başvuru!$D:$D,C122,Başvuru!$L:$L,"DÜZELTME",Başvuru!$A:$A,"&lt;&gt;"&amp;"",Başvuru!$F:$F,"&lt;&gt;"&amp;""))</f>
        <v/>
      </c>
      <c r="L122" s="165" t="str">
        <f>IF(C122="","",COUNTIFS(Başvuru!$D:$D,C122,Başvuru!$L:$L,"KAEK",Başvuru!$A:$A,"&lt;&gt;"&amp;"",Başvuru!$F:$F,"&lt;&gt;"&amp;""))</f>
        <v/>
      </c>
      <c r="M122" s="166" t="str">
        <f>IF(C122="","",COUNTIFS(Başvuru!$D:$D,C122,Başvuru!$L:$L,"GÖRÜŞ",Başvuru!$A:$A,"&lt;&gt;"&amp;"",Başvuru!$F:$F,"&lt;&gt;"&amp;""))</f>
        <v/>
      </c>
      <c r="N122" s="167" t="str">
        <f>IF(C122="","",COUNTIFS(Başvuru!$D:$D,C122,Başvuru!$L:$L,"RET",Başvuru!$A:$A,"&lt;&gt;"&amp;"",Başvuru!$F:$F,"&lt;&gt;"&amp;""))</f>
        <v/>
      </c>
      <c r="O122" s="168" t="str">
        <f>IF(C122="","",COUNTIFS(Başvuru!$D:$D,C122,Başvuru!$L:$L,"KAPSAM DIŞI",Başvuru!$A:$A,"&lt;&gt;"&amp;"",Başvuru!$F:$F,"&lt;&gt;"&amp;""))</f>
        <v/>
      </c>
      <c r="P122" s="169" t="str">
        <f>IF(C122="","",COUNTIFS(Başvuru!$D:$D,C122,Başvuru!$L:$L,"GERİ ÇEKİLDİ",Başvuru!$A:$A,"&lt;&gt;"&amp;"",Başvuru!$F:$F,"&lt;&gt;"&amp;""))</f>
        <v/>
      </c>
      <c r="Q122" s="170" t="str">
        <f>IFERROR(INDEX(Başvuru!$D$2:$D$1851,MATCH(117,Başvuru!$Z$2:$Z$1851,0)),"")</f>
        <v/>
      </c>
      <c r="R122" s="171" t="str">
        <f>IF(Q122="","",COUNTIFS(Başvuru!$D:$D,Q122,Başvuru!$A:$A,"&lt;&gt;"&amp;"",Başvuru!$F:$F,"&lt;&gt;"&amp;""))</f>
        <v/>
      </c>
      <c r="S122" s="171" t="str">
        <f>IF(R122="","",RANK(R122,$R$6:$R$155,0)+COUNTIF($R$6:R122,R122)-1)</f>
        <v/>
      </c>
    </row>
    <row r="123" spans="2:19" x14ac:dyDescent="0.25">
      <c r="B123" s="159">
        <v>118</v>
      </c>
      <c r="C123" s="160" t="str">
        <f>IFERROR(INDEX($Q$6:$Q$155,MATCH(118,$S$6:$S$155,0)),"")</f>
        <v/>
      </c>
      <c r="D123" s="161" t="str">
        <f>IF(C123="","",COUNTIFS(Başvuru!$D:$D,C123,Başvuru!$A:$A,"&lt;&gt;"&amp;"",Başvuru!$F:$F,"&lt;&gt;"&amp;""))</f>
        <v/>
      </c>
      <c r="E123" s="159" t="str">
        <f>IF(C123="","-",IF(D123&gt;0,TEXT(D123/(COUNTIFS(Başvuru!$A:$A,"&lt;&gt;",Başvuru!$F:$F,"&lt;&gt;")-1)*100,"0.0")&amp;"%","-"))</f>
        <v>-</v>
      </c>
      <c r="F123" s="162" t="str">
        <f>IF(C123="","",COUNTIFS(Başvuru!$D:$D,C123,Başvuru!$G:$G,"Bireysel Araştırma",Başvuru!$A:$A,"&lt;&gt;"&amp;"",Başvuru!$F:$F,"&lt;&gt;"&amp;""))</f>
        <v/>
      </c>
      <c r="G123" s="162" t="str">
        <f>IF(C123="","",COUNTIFS(Başvuru!$D:$D,C123,Başvuru!$G:$G,"Uzmanlık Tezi",Başvuru!$A:$A,"&lt;&gt;"&amp;"",Başvuru!$F:$F,"&lt;&gt;"&amp;""))</f>
        <v/>
      </c>
      <c r="H123" s="162" t="str">
        <f>IF(C123="","",COUNTIFS(Başvuru!$D:$D,C123,Başvuru!$G:$G,"Doktora Tezi",Başvuru!$A:$A,"&lt;&gt;"&amp;"",Başvuru!$F:$F,"&lt;&gt;"&amp;""))</f>
        <v/>
      </c>
      <c r="I123" s="162" t="str">
        <f>IF(C123="","",COUNTIFS(Başvuru!$D:$D,C123,Başvuru!$G:$G,"Yüksek Lisans Tezi",Başvuru!$A:$A,"&lt;&gt;"&amp;"",Başvuru!$F:$F,"&lt;&gt;"&amp;""))</f>
        <v/>
      </c>
      <c r="J123" s="163" t="str">
        <f>IF(C123="","",COUNTIFS(Başvuru!$D:$D,C123,Başvuru!$L:$L,"ONAY",Başvuru!$A:$A,"&lt;&gt;"&amp;"",Başvuru!$F:$F,"&lt;&gt;"&amp;""))</f>
        <v/>
      </c>
      <c r="K123" s="164" t="str">
        <f>IF(C123="","",COUNTIFS(Başvuru!$D:$D,C123,Başvuru!$L:$L,"DÜZELTME",Başvuru!$A:$A,"&lt;&gt;"&amp;"",Başvuru!$F:$F,"&lt;&gt;"&amp;""))</f>
        <v/>
      </c>
      <c r="L123" s="165" t="str">
        <f>IF(C123="","",COUNTIFS(Başvuru!$D:$D,C123,Başvuru!$L:$L,"KAEK",Başvuru!$A:$A,"&lt;&gt;"&amp;"",Başvuru!$F:$F,"&lt;&gt;"&amp;""))</f>
        <v/>
      </c>
      <c r="M123" s="166" t="str">
        <f>IF(C123="","",COUNTIFS(Başvuru!$D:$D,C123,Başvuru!$L:$L,"GÖRÜŞ",Başvuru!$A:$A,"&lt;&gt;"&amp;"",Başvuru!$F:$F,"&lt;&gt;"&amp;""))</f>
        <v/>
      </c>
      <c r="N123" s="167" t="str">
        <f>IF(C123="","",COUNTIFS(Başvuru!$D:$D,C123,Başvuru!$L:$L,"RET",Başvuru!$A:$A,"&lt;&gt;"&amp;"",Başvuru!$F:$F,"&lt;&gt;"&amp;""))</f>
        <v/>
      </c>
      <c r="O123" s="168" t="str">
        <f>IF(C123="","",COUNTIFS(Başvuru!$D:$D,C123,Başvuru!$L:$L,"KAPSAM DIŞI",Başvuru!$A:$A,"&lt;&gt;"&amp;"",Başvuru!$F:$F,"&lt;&gt;"&amp;""))</f>
        <v/>
      </c>
      <c r="P123" s="169" t="str">
        <f>IF(C123="","",COUNTIFS(Başvuru!$D:$D,C123,Başvuru!$L:$L,"GERİ ÇEKİLDİ",Başvuru!$A:$A,"&lt;&gt;"&amp;"",Başvuru!$F:$F,"&lt;&gt;"&amp;""))</f>
        <v/>
      </c>
      <c r="Q123" s="170" t="str">
        <f>IFERROR(INDEX(Başvuru!$D$2:$D$1851,MATCH(118,Başvuru!$Z$2:$Z$1851,0)),"")</f>
        <v/>
      </c>
      <c r="R123" s="171" t="str">
        <f>IF(Q123="","",COUNTIFS(Başvuru!$D:$D,Q123,Başvuru!$A:$A,"&lt;&gt;"&amp;"",Başvuru!$F:$F,"&lt;&gt;"&amp;""))</f>
        <v/>
      </c>
      <c r="S123" s="171" t="str">
        <f>IF(R123="","",RANK(R123,$R$6:$R$155,0)+COUNTIF($R$6:R123,R123)-1)</f>
        <v/>
      </c>
    </row>
    <row r="124" spans="2:19" x14ac:dyDescent="0.25">
      <c r="B124" s="159">
        <v>119</v>
      </c>
      <c r="C124" s="160" t="str">
        <f>IFERROR(INDEX($Q$6:$Q$155,MATCH(119,$S$6:$S$155,0)),"")</f>
        <v/>
      </c>
      <c r="D124" s="161" t="str">
        <f>IF(C124="","",COUNTIFS(Başvuru!$D:$D,C124,Başvuru!$A:$A,"&lt;&gt;"&amp;"",Başvuru!$F:$F,"&lt;&gt;"&amp;""))</f>
        <v/>
      </c>
      <c r="E124" s="159" t="str">
        <f>IF(C124="","-",IF(D124&gt;0,TEXT(D124/(COUNTIFS(Başvuru!$A:$A,"&lt;&gt;",Başvuru!$F:$F,"&lt;&gt;")-1)*100,"0.0")&amp;"%","-"))</f>
        <v>-</v>
      </c>
      <c r="F124" s="162" t="str">
        <f>IF(C124="","",COUNTIFS(Başvuru!$D:$D,C124,Başvuru!$G:$G,"Bireysel Araştırma",Başvuru!$A:$A,"&lt;&gt;"&amp;"",Başvuru!$F:$F,"&lt;&gt;"&amp;""))</f>
        <v/>
      </c>
      <c r="G124" s="162" t="str">
        <f>IF(C124="","",COUNTIFS(Başvuru!$D:$D,C124,Başvuru!$G:$G,"Uzmanlık Tezi",Başvuru!$A:$A,"&lt;&gt;"&amp;"",Başvuru!$F:$F,"&lt;&gt;"&amp;""))</f>
        <v/>
      </c>
      <c r="H124" s="162" t="str">
        <f>IF(C124="","",COUNTIFS(Başvuru!$D:$D,C124,Başvuru!$G:$G,"Doktora Tezi",Başvuru!$A:$A,"&lt;&gt;"&amp;"",Başvuru!$F:$F,"&lt;&gt;"&amp;""))</f>
        <v/>
      </c>
      <c r="I124" s="162" t="str">
        <f>IF(C124="","",COUNTIFS(Başvuru!$D:$D,C124,Başvuru!$G:$G,"Yüksek Lisans Tezi",Başvuru!$A:$A,"&lt;&gt;"&amp;"",Başvuru!$F:$F,"&lt;&gt;"&amp;""))</f>
        <v/>
      </c>
      <c r="J124" s="163" t="str">
        <f>IF(C124="","",COUNTIFS(Başvuru!$D:$D,C124,Başvuru!$L:$L,"ONAY",Başvuru!$A:$A,"&lt;&gt;"&amp;"",Başvuru!$F:$F,"&lt;&gt;"&amp;""))</f>
        <v/>
      </c>
      <c r="K124" s="164" t="str">
        <f>IF(C124="","",COUNTIFS(Başvuru!$D:$D,C124,Başvuru!$L:$L,"DÜZELTME",Başvuru!$A:$A,"&lt;&gt;"&amp;"",Başvuru!$F:$F,"&lt;&gt;"&amp;""))</f>
        <v/>
      </c>
      <c r="L124" s="165" t="str">
        <f>IF(C124="","",COUNTIFS(Başvuru!$D:$D,C124,Başvuru!$L:$L,"KAEK",Başvuru!$A:$A,"&lt;&gt;"&amp;"",Başvuru!$F:$F,"&lt;&gt;"&amp;""))</f>
        <v/>
      </c>
      <c r="M124" s="166" t="str">
        <f>IF(C124="","",COUNTIFS(Başvuru!$D:$D,C124,Başvuru!$L:$L,"GÖRÜŞ",Başvuru!$A:$A,"&lt;&gt;"&amp;"",Başvuru!$F:$F,"&lt;&gt;"&amp;""))</f>
        <v/>
      </c>
      <c r="N124" s="167" t="str">
        <f>IF(C124="","",COUNTIFS(Başvuru!$D:$D,C124,Başvuru!$L:$L,"RET",Başvuru!$A:$A,"&lt;&gt;"&amp;"",Başvuru!$F:$F,"&lt;&gt;"&amp;""))</f>
        <v/>
      </c>
      <c r="O124" s="168" t="str">
        <f>IF(C124="","",COUNTIFS(Başvuru!$D:$D,C124,Başvuru!$L:$L,"KAPSAM DIŞI",Başvuru!$A:$A,"&lt;&gt;"&amp;"",Başvuru!$F:$F,"&lt;&gt;"&amp;""))</f>
        <v/>
      </c>
      <c r="P124" s="169" t="str">
        <f>IF(C124="","",COUNTIFS(Başvuru!$D:$D,C124,Başvuru!$L:$L,"GERİ ÇEKİLDİ",Başvuru!$A:$A,"&lt;&gt;"&amp;"",Başvuru!$F:$F,"&lt;&gt;"&amp;""))</f>
        <v/>
      </c>
      <c r="Q124" s="170" t="str">
        <f>IFERROR(INDEX(Başvuru!$D$2:$D$1851,MATCH(119,Başvuru!$Z$2:$Z$1851,0)),"")</f>
        <v/>
      </c>
      <c r="R124" s="171" t="str">
        <f>IF(Q124="","",COUNTIFS(Başvuru!$D:$D,Q124,Başvuru!$A:$A,"&lt;&gt;"&amp;"",Başvuru!$F:$F,"&lt;&gt;"&amp;""))</f>
        <v/>
      </c>
      <c r="S124" s="171" t="str">
        <f>IF(R124="","",RANK(R124,$R$6:$R$155,0)+COUNTIF($R$6:R124,R124)-1)</f>
        <v/>
      </c>
    </row>
    <row r="125" spans="2:19" x14ac:dyDescent="0.25">
      <c r="B125" s="159">
        <v>120</v>
      </c>
      <c r="C125" s="160" t="str">
        <f>IFERROR(INDEX($Q$6:$Q$155,MATCH(120,$S$6:$S$155,0)),"")</f>
        <v/>
      </c>
      <c r="D125" s="161" t="str">
        <f>IF(C125="","",COUNTIFS(Başvuru!$D:$D,C125,Başvuru!$A:$A,"&lt;&gt;"&amp;"",Başvuru!$F:$F,"&lt;&gt;"&amp;""))</f>
        <v/>
      </c>
      <c r="E125" s="159" t="str">
        <f>IF(C125="","-",IF(D125&gt;0,TEXT(D125/(COUNTIFS(Başvuru!$A:$A,"&lt;&gt;",Başvuru!$F:$F,"&lt;&gt;")-1)*100,"0.0")&amp;"%","-"))</f>
        <v>-</v>
      </c>
      <c r="F125" s="162" t="str">
        <f>IF(C125="","",COUNTIFS(Başvuru!$D:$D,C125,Başvuru!$G:$G,"Bireysel Araştırma",Başvuru!$A:$A,"&lt;&gt;"&amp;"",Başvuru!$F:$F,"&lt;&gt;"&amp;""))</f>
        <v/>
      </c>
      <c r="G125" s="162" t="str">
        <f>IF(C125="","",COUNTIFS(Başvuru!$D:$D,C125,Başvuru!$G:$G,"Uzmanlık Tezi",Başvuru!$A:$A,"&lt;&gt;"&amp;"",Başvuru!$F:$F,"&lt;&gt;"&amp;""))</f>
        <v/>
      </c>
      <c r="H125" s="162" t="str">
        <f>IF(C125="","",COUNTIFS(Başvuru!$D:$D,C125,Başvuru!$G:$G,"Doktora Tezi",Başvuru!$A:$A,"&lt;&gt;"&amp;"",Başvuru!$F:$F,"&lt;&gt;"&amp;""))</f>
        <v/>
      </c>
      <c r="I125" s="162" t="str">
        <f>IF(C125="","",COUNTIFS(Başvuru!$D:$D,C125,Başvuru!$G:$G,"Yüksek Lisans Tezi",Başvuru!$A:$A,"&lt;&gt;"&amp;"",Başvuru!$F:$F,"&lt;&gt;"&amp;""))</f>
        <v/>
      </c>
      <c r="J125" s="163" t="str">
        <f>IF(C125="","",COUNTIFS(Başvuru!$D:$D,C125,Başvuru!$L:$L,"ONAY",Başvuru!$A:$A,"&lt;&gt;"&amp;"",Başvuru!$F:$F,"&lt;&gt;"&amp;""))</f>
        <v/>
      </c>
      <c r="K125" s="164" t="str">
        <f>IF(C125="","",COUNTIFS(Başvuru!$D:$D,C125,Başvuru!$L:$L,"DÜZELTME",Başvuru!$A:$A,"&lt;&gt;"&amp;"",Başvuru!$F:$F,"&lt;&gt;"&amp;""))</f>
        <v/>
      </c>
      <c r="L125" s="165" t="str">
        <f>IF(C125="","",COUNTIFS(Başvuru!$D:$D,C125,Başvuru!$L:$L,"KAEK",Başvuru!$A:$A,"&lt;&gt;"&amp;"",Başvuru!$F:$F,"&lt;&gt;"&amp;""))</f>
        <v/>
      </c>
      <c r="M125" s="166" t="str">
        <f>IF(C125="","",COUNTIFS(Başvuru!$D:$D,C125,Başvuru!$L:$L,"GÖRÜŞ",Başvuru!$A:$A,"&lt;&gt;"&amp;"",Başvuru!$F:$F,"&lt;&gt;"&amp;""))</f>
        <v/>
      </c>
      <c r="N125" s="167" t="str">
        <f>IF(C125="","",COUNTIFS(Başvuru!$D:$D,C125,Başvuru!$L:$L,"RET",Başvuru!$A:$A,"&lt;&gt;"&amp;"",Başvuru!$F:$F,"&lt;&gt;"&amp;""))</f>
        <v/>
      </c>
      <c r="O125" s="168" t="str">
        <f>IF(C125="","",COUNTIFS(Başvuru!$D:$D,C125,Başvuru!$L:$L,"KAPSAM DIŞI",Başvuru!$A:$A,"&lt;&gt;"&amp;"",Başvuru!$F:$F,"&lt;&gt;"&amp;""))</f>
        <v/>
      </c>
      <c r="P125" s="169" t="str">
        <f>IF(C125="","",COUNTIFS(Başvuru!$D:$D,C125,Başvuru!$L:$L,"GERİ ÇEKİLDİ",Başvuru!$A:$A,"&lt;&gt;"&amp;"",Başvuru!$F:$F,"&lt;&gt;"&amp;""))</f>
        <v/>
      </c>
      <c r="Q125" s="170" t="str">
        <f>IFERROR(INDEX(Başvuru!$D$2:$D$1851,MATCH(120,Başvuru!$Z$2:$Z$1851,0)),"")</f>
        <v/>
      </c>
      <c r="R125" s="171" t="str">
        <f>IF(Q125="","",COUNTIFS(Başvuru!$D:$D,Q125,Başvuru!$A:$A,"&lt;&gt;"&amp;"",Başvuru!$F:$F,"&lt;&gt;"&amp;""))</f>
        <v/>
      </c>
      <c r="S125" s="171" t="str">
        <f>IF(R125="","",RANK(R125,$R$6:$R$155,0)+COUNTIF($R$6:R125,R125)-1)</f>
        <v/>
      </c>
    </row>
    <row r="126" spans="2:19" x14ac:dyDescent="0.25">
      <c r="B126" s="159">
        <v>121</v>
      </c>
      <c r="C126" s="160" t="str">
        <f>IFERROR(INDEX($Q$6:$Q$155,MATCH(121,$S$6:$S$155,0)),"")</f>
        <v/>
      </c>
      <c r="D126" s="161" t="str">
        <f>IF(C126="","",COUNTIFS(Başvuru!$D:$D,C126,Başvuru!$A:$A,"&lt;&gt;"&amp;"",Başvuru!$F:$F,"&lt;&gt;"&amp;""))</f>
        <v/>
      </c>
      <c r="E126" s="159" t="str">
        <f>IF(C126="","-",IF(D126&gt;0,TEXT(D126/(COUNTIFS(Başvuru!$A:$A,"&lt;&gt;",Başvuru!$F:$F,"&lt;&gt;")-1)*100,"0.0")&amp;"%","-"))</f>
        <v>-</v>
      </c>
      <c r="F126" s="162" t="str">
        <f>IF(C126="","",COUNTIFS(Başvuru!$D:$D,C126,Başvuru!$G:$G,"Bireysel Araştırma",Başvuru!$A:$A,"&lt;&gt;"&amp;"",Başvuru!$F:$F,"&lt;&gt;"&amp;""))</f>
        <v/>
      </c>
      <c r="G126" s="162" t="str">
        <f>IF(C126="","",COUNTIFS(Başvuru!$D:$D,C126,Başvuru!$G:$G,"Uzmanlık Tezi",Başvuru!$A:$A,"&lt;&gt;"&amp;"",Başvuru!$F:$F,"&lt;&gt;"&amp;""))</f>
        <v/>
      </c>
      <c r="H126" s="162" t="str">
        <f>IF(C126="","",COUNTIFS(Başvuru!$D:$D,C126,Başvuru!$G:$G,"Doktora Tezi",Başvuru!$A:$A,"&lt;&gt;"&amp;"",Başvuru!$F:$F,"&lt;&gt;"&amp;""))</f>
        <v/>
      </c>
      <c r="I126" s="162" t="str">
        <f>IF(C126="","",COUNTIFS(Başvuru!$D:$D,C126,Başvuru!$G:$G,"Yüksek Lisans Tezi",Başvuru!$A:$A,"&lt;&gt;"&amp;"",Başvuru!$F:$F,"&lt;&gt;"&amp;""))</f>
        <v/>
      </c>
      <c r="J126" s="163" t="str">
        <f>IF(C126="","",COUNTIFS(Başvuru!$D:$D,C126,Başvuru!$L:$L,"ONAY",Başvuru!$A:$A,"&lt;&gt;"&amp;"",Başvuru!$F:$F,"&lt;&gt;"&amp;""))</f>
        <v/>
      </c>
      <c r="K126" s="164" t="str">
        <f>IF(C126="","",COUNTIFS(Başvuru!$D:$D,C126,Başvuru!$L:$L,"DÜZELTME",Başvuru!$A:$A,"&lt;&gt;"&amp;"",Başvuru!$F:$F,"&lt;&gt;"&amp;""))</f>
        <v/>
      </c>
      <c r="L126" s="165" t="str">
        <f>IF(C126="","",COUNTIFS(Başvuru!$D:$D,C126,Başvuru!$L:$L,"KAEK",Başvuru!$A:$A,"&lt;&gt;"&amp;"",Başvuru!$F:$F,"&lt;&gt;"&amp;""))</f>
        <v/>
      </c>
      <c r="M126" s="166" t="str">
        <f>IF(C126="","",COUNTIFS(Başvuru!$D:$D,C126,Başvuru!$L:$L,"GÖRÜŞ",Başvuru!$A:$A,"&lt;&gt;"&amp;"",Başvuru!$F:$F,"&lt;&gt;"&amp;""))</f>
        <v/>
      </c>
      <c r="N126" s="167" t="str">
        <f>IF(C126="","",COUNTIFS(Başvuru!$D:$D,C126,Başvuru!$L:$L,"RET",Başvuru!$A:$A,"&lt;&gt;"&amp;"",Başvuru!$F:$F,"&lt;&gt;"&amp;""))</f>
        <v/>
      </c>
      <c r="O126" s="168" t="str">
        <f>IF(C126="","",COUNTIFS(Başvuru!$D:$D,C126,Başvuru!$L:$L,"KAPSAM DIŞI",Başvuru!$A:$A,"&lt;&gt;"&amp;"",Başvuru!$F:$F,"&lt;&gt;"&amp;""))</f>
        <v/>
      </c>
      <c r="P126" s="169" t="str">
        <f>IF(C126="","",COUNTIFS(Başvuru!$D:$D,C126,Başvuru!$L:$L,"GERİ ÇEKİLDİ",Başvuru!$A:$A,"&lt;&gt;"&amp;"",Başvuru!$F:$F,"&lt;&gt;"&amp;""))</f>
        <v/>
      </c>
      <c r="Q126" s="170" t="str">
        <f>IFERROR(INDEX(Başvuru!$D$2:$D$1851,MATCH(121,Başvuru!$Z$2:$Z$1851,0)),"")</f>
        <v/>
      </c>
      <c r="R126" s="171" t="str">
        <f>IF(Q126="","",COUNTIFS(Başvuru!$D:$D,Q126,Başvuru!$A:$A,"&lt;&gt;"&amp;"",Başvuru!$F:$F,"&lt;&gt;"&amp;""))</f>
        <v/>
      </c>
      <c r="S126" s="171" t="str">
        <f>IF(R126="","",RANK(R126,$R$6:$R$155,0)+COUNTIF($R$6:R126,R126)-1)</f>
        <v/>
      </c>
    </row>
    <row r="127" spans="2:19" x14ac:dyDescent="0.25">
      <c r="B127" s="159">
        <v>122</v>
      </c>
      <c r="C127" s="160" t="str">
        <f>IFERROR(INDEX($Q$6:$Q$155,MATCH(122,$S$6:$S$155,0)),"")</f>
        <v/>
      </c>
      <c r="D127" s="161" t="str">
        <f>IF(C127="","",COUNTIFS(Başvuru!$D:$D,C127,Başvuru!$A:$A,"&lt;&gt;"&amp;"",Başvuru!$F:$F,"&lt;&gt;"&amp;""))</f>
        <v/>
      </c>
      <c r="E127" s="159" t="str">
        <f>IF(C127="","-",IF(D127&gt;0,TEXT(D127/(COUNTIFS(Başvuru!$A:$A,"&lt;&gt;",Başvuru!$F:$F,"&lt;&gt;")-1)*100,"0.0")&amp;"%","-"))</f>
        <v>-</v>
      </c>
      <c r="F127" s="162" t="str">
        <f>IF(C127="","",COUNTIFS(Başvuru!$D:$D,C127,Başvuru!$G:$G,"Bireysel Araştırma",Başvuru!$A:$A,"&lt;&gt;"&amp;"",Başvuru!$F:$F,"&lt;&gt;"&amp;""))</f>
        <v/>
      </c>
      <c r="G127" s="162" t="str">
        <f>IF(C127="","",COUNTIFS(Başvuru!$D:$D,C127,Başvuru!$G:$G,"Uzmanlık Tezi",Başvuru!$A:$A,"&lt;&gt;"&amp;"",Başvuru!$F:$F,"&lt;&gt;"&amp;""))</f>
        <v/>
      </c>
      <c r="H127" s="162" t="str">
        <f>IF(C127="","",COUNTIFS(Başvuru!$D:$D,C127,Başvuru!$G:$G,"Doktora Tezi",Başvuru!$A:$A,"&lt;&gt;"&amp;"",Başvuru!$F:$F,"&lt;&gt;"&amp;""))</f>
        <v/>
      </c>
      <c r="I127" s="162" t="str">
        <f>IF(C127="","",COUNTIFS(Başvuru!$D:$D,C127,Başvuru!$G:$G,"Yüksek Lisans Tezi",Başvuru!$A:$A,"&lt;&gt;"&amp;"",Başvuru!$F:$F,"&lt;&gt;"&amp;""))</f>
        <v/>
      </c>
      <c r="J127" s="163" t="str">
        <f>IF(C127="","",COUNTIFS(Başvuru!$D:$D,C127,Başvuru!$L:$L,"ONAY",Başvuru!$A:$A,"&lt;&gt;"&amp;"",Başvuru!$F:$F,"&lt;&gt;"&amp;""))</f>
        <v/>
      </c>
      <c r="K127" s="164" t="str">
        <f>IF(C127="","",COUNTIFS(Başvuru!$D:$D,C127,Başvuru!$L:$L,"DÜZELTME",Başvuru!$A:$A,"&lt;&gt;"&amp;"",Başvuru!$F:$F,"&lt;&gt;"&amp;""))</f>
        <v/>
      </c>
      <c r="L127" s="165" t="str">
        <f>IF(C127="","",COUNTIFS(Başvuru!$D:$D,C127,Başvuru!$L:$L,"KAEK",Başvuru!$A:$A,"&lt;&gt;"&amp;"",Başvuru!$F:$F,"&lt;&gt;"&amp;""))</f>
        <v/>
      </c>
      <c r="M127" s="166" t="str">
        <f>IF(C127="","",COUNTIFS(Başvuru!$D:$D,C127,Başvuru!$L:$L,"GÖRÜŞ",Başvuru!$A:$A,"&lt;&gt;"&amp;"",Başvuru!$F:$F,"&lt;&gt;"&amp;""))</f>
        <v/>
      </c>
      <c r="N127" s="167" t="str">
        <f>IF(C127="","",COUNTIFS(Başvuru!$D:$D,C127,Başvuru!$L:$L,"RET",Başvuru!$A:$A,"&lt;&gt;"&amp;"",Başvuru!$F:$F,"&lt;&gt;"&amp;""))</f>
        <v/>
      </c>
      <c r="O127" s="168" t="str">
        <f>IF(C127="","",COUNTIFS(Başvuru!$D:$D,C127,Başvuru!$L:$L,"KAPSAM DIŞI",Başvuru!$A:$A,"&lt;&gt;"&amp;"",Başvuru!$F:$F,"&lt;&gt;"&amp;""))</f>
        <v/>
      </c>
      <c r="P127" s="169" t="str">
        <f>IF(C127="","",COUNTIFS(Başvuru!$D:$D,C127,Başvuru!$L:$L,"GERİ ÇEKİLDİ",Başvuru!$A:$A,"&lt;&gt;"&amp;"",Başvuru!$F:$F,"&lt;&gt;"&amp;""))</f>
        <v/>
      </c>
      <c r="Q127" s="170" t="str">
        <f>IFERROR(INDEX(Başvuru!$D$2:$D$1851,MATCH(122,Başvuru!$Z$2:$Z$1851,0)),"")</f>
        <v/>
      </c>
      <c r="R127" s="171" t="str">
        <f>IF(Q127="","",COUNTIFS(Başvuru!$D:$D,Q127,Başvuru!$A:$A,"&lt;&gt;"&amp;"",Başvuru!$F:$F,"&lt;&gt;"&amp;""))</f>
        <v/>
      </c>
      <c r="S127" s="171" t="str">
        <f>IF(R127="","",RANK(R127,$R$6:$R$155,0)+COUNTIF($R$6:R127,R127)-1)</f>
        <v/>
      </c>
    </row>
    <row r="128" spans="2:19" x14ac:dyDescent="0.25">
      <c r="B128" s="159">
        <v>123</v>
      </c>
      <c r="C128" s="160" t="str">
        <f>IFERROR(INDEX($Q$6:$Q$155,MATCH(123,$S$6:$S$155,0)),"")</f>
        <v/>
      </c>
      <c r="D128" s="161" t="str">
        <f>IF(C128="","",COUNTIFS(Başvuru!$D:$D,C128,Başvuru!$A:$A,"&lt;&gt;"&amp;"",Başvuru!$F:$F,"&lt;&gt;"&amp;""))</f>
        <v/>
      </c>
      <c r="E128" s="159" t="str">
        <f>IF(C128="","-",IF(D128&gt;0,TEXT(D128/(COUNTIFS(Başvuru!$A:$A,"&lt;&gt;",Başvuru!$F:$F,"&lt;&gt;")-1)*100,"0.0")&amp;"%","-"))</f>
        <v>-</v>
      </c>
      <c r="F128" s="162" t="str">
        <f>IF(C128="","",COUNTIFS(Başvuru!$D:$D,C128,Başvuru!$G:$G,"Bireysel Araştırma",Başvuru!$A:$A,"&lt;&gt;"&amp;"",Başvuru!$F:$F,"&lt;&gt;"&amp;""))</f>
        <v/>
      </c>
      <c r="G128" s="162" t="str">
        <f>IF(C128="","",COUNTIFS(Başvuru!$D:$D,C128,Başvuru!$G:$G,"Uzmanlık Tezi",Başvuru!$A:$A,"&lt;&gt;"&amp;"",Başvuru!$F:$F,"&lt;&gt;"&amp;""))</f>
        <v/>
      </c>
      <c r="H128" s="162" t="str">
        <f>IF(C128="","",COUNTIFS(Başvuru!$D:$D,C128,Başvuru!$G:$G,"Doktora Tezi",Başvuru!$A:$A,"&lt;&gt;"&amp;"",Başvuru!$F:$F,"&lt;&gt;"&amp;""))</f>
        <v/>
      </c>
      <c r="I128" s="162" t="str">
        <f>IF(C128="","",COUNTIFS(Başvuru!$D:$D,C128,Başvuru!$G:$G,"Yüksek Lisans Tezi",Başvuru!$A:$A,"&lt;&gt;"&amp;"",Başvuru!$F:$F,"&lt;&gt;"&amp;""))</f>
        <v/>
      </c>
      <c r="J128" s="163" t="str">
        <f>IF(C128="","",COUNTIFS(Başvuru!$D:$D,C128,Başvuru!$L:$L,"ONAY",Başvuru!$A:$A,"&lt;&gt;"&amp;"",Başvuru!$F:$F,"&lt;&gt;"&amp;""))</f>
        <v/>
      </c>
      <c r="K128" s="164" t="str">
        <f>IF(C128="","",COUNTIFS(Başvuru!$D:$D,C128,Başvuru!$L:$L,"DÜZELTME",Başvuru!$A:$A,"&lt;&gt;"&amp;"",Başvuru!$F:$F,"&lt;&gt;"&amp;""))</f>
        <v/>
      </c>
      <c r="L128" s="165" t="str">
        <f>IF(C128="","",COUNTIFS(Başvuru!$D:$D,C128,Başvuru!$L:$L,"KAEK",Başvuru!$A:$A,"&lt;&gt;"&amp;"",Başvuru!$F:$F,"&lt;&gt;"&amp;""))</f>
        <v/>
      </c>
      <c r="M128" s="166" t="str">
        <f>IF(C128="","",COUNTIFS(Başvuru!$D:$D,C128,Başvuru!$L:$L,"GÖRÜŞ",Başvuru!$A:$A,"&lt;&gt;"&amp;"",Başvuru!$F:$F,"&lt;&gt;"&amp;""))</f>
        <v/>
      </c>
      <c r="N128" s="167" t="str">
        <f>IF(C128="","",COUNTIFS(Başvuru!$D:$D,C128,Başvuru!$L:$L,"RET",Başvuru!$A:$A,"&lt;&gt;"&amp;"",Başvuru!$F:$F,"&lt;&gt;"&amp;""))</f>
        <v/>
      </c>
      <c r="O128" s="168" t="str">
        <f>IF(C128="","",COUNTIFS(Başvuru!$D:$D,C128,Başvuru!$L:$L,"KAPSAM DIŞI",Başvuru!$A:$A,"&lt;&gt;"&amp;"",Başvuru!$F:$F,"&lt;&gt;"&amp;""))</f>
        <v/>
      </c>
      <c r="P128" s="169" t="str">
        <f>IF(C128="","",COUNTIFS(Başvuru!$D:$D,C128,Başvuru!$L:$L,"GERİ ÇEKİLDİ",Başvuru!$A:$A,"&lt;&gt;"&amp;"",Başvuru!$F:$F,"&lt;&gt;"&amp;""))</f>
        <v/>
      </c>
      <c r="Q128" s="170" t="str">
        <f>IFERROR(INDEX(Başvuru!$D$2:$D$1851,MATCH(123,Başvuru!$Z$2:$Z$1851,0)),"")</f>
        <v/>
      </c>
      <c r="R128" s="171" t="str">
        <f>IF(Q128="","",COUNTIFS(Başvuru!$D:$D,Q128,Başvuru!$A:$A,"&lt;&gt;"&amp;"",Başvuru!$F:$F,"&lt;&gt;"&amp;""))</f>
        <v/>
      </c>
      <c r="S128" s="171" t="str">
        <f>IF(R128="","",RANK(R128,$R$6:$R$155,0)+COUNTIF($R$6:R128,R128)-1)</f>
        <v/>
      </c>
    </row>
    <row r="129" spans="2:19" x14ac:dyDescent="0.25">
      <c r="B129" s="159">
        <v>124</v>
      </c>
      <c r="C129" s="160" t="str">
        <f>IFERROR(INDEX($Q$6:$Q$155,MATCH(124,$S$6:$S$155,0)),"")</f>
        <v/>
      </c>
      <c r="D129" s="161" t="str">
        <f>IF(C129="","",COUNTIFS(Başvuru!$D:$D,C129,Başvuru!$A:$A,"&lt;&gt;"&amp;"",Başvuru!$F:$F,"&lt;&gt;"&amp;""))</f>
        <v/>
      </c>
      <c r="E129" s="159" t="str">
        <f>IF(C129="","-",IF(D129&gt;0,TEXT(D129/(COUNTIFS(Başvuru!$A:$A,"&lt;&gt;",Başvuru!$F:$F,"&lt;&gt;")-1)*100,"0.0")&amp;"%","-"))</f>
        <v>-</v>
      </c>
      <c r="F129" s="162" t="str">
        <f>IF(C129="","",COUNTIFS(Başvuru!$D:$D,C129,Başvuru!$G:$G,"Bireysel Araştırma",Başvuru!$A:$A,"&lt;&gt;"&amp;"",Başvuru!$F:$F,"&lt;&gt;"&amp;""))</f>
        <v/>
      </c>
      <c r="G129" s="162" t="str">
        <f>IF(C129="","",COUNTIFS(Başvuru!$D:$D,C129,Başvuru!$G:$G,"Uzmanlık Tezi",Başvuru!$A:$A,"&lt;&gt;"&amp;"",Başvuru!$F:$F,"&lt;&gt;"&amp;""))</f>
        <v/>
      </c>
      <c r="H129" s="162" t="str">
        <f>IF(C129="","",COUNTIFS(Başvuru!$D:$D,C129,Başvuru!$G:$G,"Doktora Tezi",Başvuru!$A:$A,"&lt;&gt;"&amp;"",Başvuru!$F:$F,"&lt;&gt;"&amp;""))</f>
        <v/>
      </c>
      <c r="I129" s="162" t="str">
        <f>IF(C129="","",COUNTIFS(Başvuru!$D:$D,C129,Başvuru!$G:$G,"Yüksek Lisans Tezi",Başvuru!$A:$A,"&lt;&gt;"&amp;"",Başvuru!$F:$F,"&lt;&gt;"&amp;""))</f>
        <v/>
      </c>
      <c r="J129" s="163" t="str">
        <f>IF(C129="","",COUNTIFS(Başvuru!$D:$D,C129,Başvuru!$L:$L,"ONAY",Başvuru!$A:$A,"&lt;&gt;"&amp;"",Başvuru!$F:$F,"&lt;&gt;"&amp;""))</f>
        <v/>
      </c>
      <c r="K129" s="164" t="str">
        <f>IF(C129="","",COUNTIFS(Başvuru!$D:$D,C129,Başvuru!$L:$L,"DÜZELTME",Başvuru!$A:$A,"&lt;&gt;"&amp;"",Başvuru!$F:$F,"&lt;&gt;"&amp;""))</f>
        <v/>
      </c>
      <c r="L129" s="165" t="str">
        <f>IF(C129="","",COUNTIFS(Başvuru!$D:$D,C129,Başvuru!$L:$L,"KAEK",Başvuru!$A:$A,"&lt;&gt;"&amp;"",Başvuru!$F:$F,"&lt;&gt;"&amp;""))</f>
        <v/>
      </c>
      <c r="M129" s="166" t="str">
        <f>IF(C129="","",COUNTIFS(Başvuru!$D:$D,C129,Başvuru!$L:$L,"GÖRÜŞ",Başvuru!$A:$A,"&lt;&gt;"&amp;"",Başvuru!$F:$F,"&lt;&gt;"&amp;""))</f>
        <v/>
      </c>
      <c r="N129" s="167" t="str">
        <f>IF(C129="","",COUNTIFS(Başvuru!$D:$D,C129,Başvuru!$L:$L,"RET",Başvuru!$A:$A,"&lt;&gt;"&amp;"",Başvuru!$F:$F,"&lt;&gt;"&amp;""))</f>
        <v/>
      </c>
      <c r="O129" s="168" t="str">
        <f>IF(C129="","",COUNTIFS(Başvuru!$D:$D,C129,Başvuru!$L:$L,"KAPSAM DIŞI",Başvuru!$A:$A,"&lt;&gt;"&amp;"",Başvuru!$F:$F,"&lt;&gt;"&amp;""))</f>
        <v/>
      </c>
      <c r="P129" s="169" t="str">
        <f>IF(C129="","",COUNTIFS(Başvuru!$D:$D,C129,Başvuru!$L:$L,"GERİ ÇEKİLDİ",Başvuru!$A:$A,"&lt;&gt;"&amp;"",Başvuru!$F:$F,"&lt;&gt;"&amp;""))</f>
        <v/>
      </c>
      <c r="Q129" s="170" t="str">
        <f>IFERROR(INDEX(Başvuru!$D$2:$D$1851,MATCH(124,Başvuru!$Z$2:$Z$1851,0)),"")</f>
        <v/>
      </c>
      <c r="R129" s="171" t="str">
        <f>IF(Q129="","",COUNTIFS(Başvuru!$D:$D,Q129,Başvuru!$A:$A,"&lt;&gt;"&amp;"",Başvuru!$F:$F,"&lt;&gt;"&amp;""))</f>
        <v/>
      </c>
      <c r="S129" s="171" t="str">
        <f>IF(R129="","",RANK(R129,$R$6:$R$155,0)+COUNTIF($R$6:R129,R129)-1)</f>
        <v/>
      </c>
    </row>
    <row r="130" spans="2:19" x14ac:dyDescent="0.25">
      <c r="B130" s="159">
        <v>125</v>
      </c>
      <c r="C130" s="160" t="str">
        <f>IFERROR(INDEX($Q$6:$Q$155,MATCH(125,$S$6:$S$155,0)),"")</f>
        <v/>
      </c>
      <c r="D130" s="161" t="str">
        <f>IF(C130="","",COUNTIFS(Başvuru!$D:$D,C130,Başvuru!$A:$A,"&lt;&gt;"&amp;"",Başvuru!$F:$F,"&lt;&gt;"&amp;""))</f>
        <v/>
      </c>
      <c r="E130" s="159" t="str">
        <f>IF(C130="","-",IF(D130&gt;0,TEXT(D130/(COUNTIFS(Başvuru!$A:$A,"&lt;&gt;",Başvuru!$F:$F,"&lt;&gt;")-1)*100,"0.0")&amp;"%","-"))</f>
        <v>-</v>
      </c>
      <c r="F130" s="162" t="str">
        <f>IF(C130="","",COUNTIFS(Başvuru!$D:$D,C130,Başvuru!$G:$G,"Bireysel Araştırma",Başvuru!$A:$A,"&lt;&gt;"&amp;"",Başvuru!$F:$F,"&lt;&gt;"&amp;""))</f>
        <v/>
      </c>
      <c r="G130" s="162" t="str">
        <f>IF(C130="","",COUNTIFS(Başvuru!$D:$D,C130,Başvuru!$G:$G,"Uzmanlık Tezi",Başvuru!$A:$A,"&lt;&gt;"&amp;"",Başvuru!$F:$F,"&lt;&gt;"&amp;""))</f>
        <v/>
      </c>
      <c r="H130" s="162" t="str">
        <f>IF(C130="","",COUNTIFS(Başvuru!$D:$D,C130,Başvuru!$G:$G,"Doktora Tezi",Başvuru!$A:$A,"&lt;&gt;"&amp;"",Başvuru!$F:$F,"&lt;&gt;"&amp;""))</f>
        <v/>
      </c>
      <c r="I130" s="162" t="str">
        <f>IF(C130="","",COUNTIFS(Başvuru!$D:$D,C130,Başvuru!$G:$G,"Yüksek Lisans Tezi",Başvuru!$A:$A,"&lt;&gt;"&amp;"",Başvuru!$F:$F,"&lt;&gt;"&amp;""))</f>
        <v/>
      </c>
      <c r="J130" s="163" t="str">
        <f>IF(C130="","",COUNTIFS(Başvuru!$D:$D,C130,Başvuru!$L:$L,"ONAY",Başvuru!$A:$A,"&lt;&gt;"&amp;"",Başvuru!$F:$F,"&lt;&gt;"&amp;""))</f>
        <v/>
      </c>
      <c r="K130" s="164" t="str">
        <f>IF(C130="","",COUNTIFS(Başvuru!$D:$D,C130,Başvuru!$L:$L,"DÜZELTME",Başvuru!$A:$A,"&lt;&gt;"&amp;"",Başvuru!$F:$F,"&lt;&gt;"&amp;""))</f>
        <v/>
      </c>
      <c r="L130" s="165" t="str">
        <f>IF(C130="","",COUNTIFS(Başvuru!$D:$D,C130,Başvuru!$L:$L,"KAEK",Başvuru!$A:$A,"&lt;&gt;"&amp;"",Başvuru!$F:$F,"&lt;&gt;"&amp;""))</f>
        <v/>
      </c>
      <c r="M130" s="166" t="str">
        <f>IF(C130="","",COUNTIFS(Başvuru!$D:$D,C130,Başvuru!$L:$L,"GÖRÜŞ",Başvuru!$A:$A,"&lt;&gt;"&amp;"",Başvuru!$F:$F,"&lt;&gt;"&amp;""))</f>
        <v/>
      </c>
      <c r="N130" s="167" t="str">
        <f>IF(C130="","",COUNTIFS(Başvuru!$D:$D,C130,Başvuru!$L:$L,"RET",Başvuru!$A:$A,"&lt;&gt;"&amp;"",Başvuru!$F:$F,"&lt;&gt;"&amp;""))</f>
        <v/>
      </c>
      <c r="O130" s="168" t="str">
        <f>IF(C130="","",COUNTIFS(Başvuru!$D:$D,C130,Başvuru!$L:$L,"KAPSAM DIŞI",Başvuru!$A:$A,"&lt;&gt;"&amp;"",Başvuru!$F:$F,"&lt;&gt;"&amp;""))</f>
        <v/>
      </c>
      <c r="P130" s="169" t="str">
        <f>IF(C130="","",COUNTIFS(Başvuru!$D:$D,C130,Başvuru!$L:$L,"GERİ ÇEKİLDİ",Başvuru!$A:$A,"&lt;&gt;"&amp;"",Başvuru!$F:$F,"&lt;&gt;"&amp;""))</f>
        <v/>
      </c>
      <c r="Q130" s="170" t="str">
        <f>IFERROR(INDEX(Başvuru!$D$2:$D$1851,MATCH(125,Başvuru!$Z$2:$Z$1851,0)),"")</f>
        <v/>
      </c>
      <c r="R130" s="171" t="str">
        <f>IF(Q130="","",COUNTIFS(Başvuru!$D:$D,Q130,Başvuru!$A:$A,"&lt;&gt;"&amp;"",Başvuru!$F:$F,"&lt;&gt;"&amp;""))</f>
        <v/>
      </c>
      <c r="S130" s="171" t="str">
        <f>IF(R130="","",RANK(R130,$R$6:$R$155,0)+COUNTIF($R$6:R130,R130)-1)</f>
        <v/>
      </c>
    </row>
    <row r="131" spans="2:19" x14ac:dyDescent="0.25">
      <c r="B131" s="159">
        <v>126</v>
      </c>
      <c r="C131" s="160" t="str">
        <f>IFERROR(INDEX($Q$6:$Q$155,MATCH(126,$S$6:$S$155,0)),"")</f>
        <v/>
      </c>
      <c r="D131" s="161" t="str">
        <f>IF(C131="","",COUNTIFS(Başvuru!$D:$D,C131,Başvuru!$A:$A,"&lt;&gt;"&amp;"",Başvuru!$F:$F,"&lt;&gt;"&amp;""))</f>
        <v/>
      </c>
      <c r="E131" s="159" t="str">
        <f>IF(C131="","-",IF(D131&gt;0,TEXT(D131/(COUNTIFS(Başvuru!$A:$A,"&lt;&gt;",Başvuru!$F:$F,"&lt;&gt;")-1)*100,"0.0")&amp;"%","-"))</f>
        <v>-</v>
      </c>
      <c r="F131" s="162" t="str">
        <f>IF(C131="","",COUNTIFS(Başvuru!$D:$D,C131,Başvuru!$G:$G,"Bireysel Araştırma",Başvuru!$A:$A,"&lt;&gt;"&amp;"",Başvuru!$F:$F,"&lt;&gt;"&amp;""))</f>
        <v/>
      </c>
      <c r="G131" s="162" t="str">
        <f>IF(C131="","",COUNTIFS(Başvuru!$D:$D,C131,Başvuru!$G:$G,"Uzmanlık Tezi",Başvuru!$A:$A,"&lt;&gt;"&amp;"",Başvuru!$F:$F,"&lt;&gt;"&amp;""))</f>
        <v/>
      </c>
      <c r="H131" s="162" t="str">
        <f>IF(C131="","",COUNTIFS(Başvuru!$D:$D,C131,Başvuru!$G:$G,"Doktora Tezi",Başvuru!$A:$A,"&lt;&gt;"&amp;"",Başvuru!$F:$F,"&lt;&gt;"&amp;""))</f>
        <v/>
      </c>
      <c r="I131" s="162" t="str">
        <f>IF(C131="","",COUNTIFS(Başvuru!$D:$D,C131,Başvuru!$G:$G,"Yüksek Lisans Tezi",Başvuru!$A:$A,"&lt;&gt;"&amp;"",Başvuru!$F:$F,"&lt;&gt;"&amp;""))</f>
        <v/>
      </c>
      <c r="J131" s="163" t="str">
        <f>IF(C131="","",COUNTIFS(Başvuru!$D:$D,C131,Başvuru!$L:$L,"ONAY",Başvuru!$A:$A,"&lt;&gt;"&amp;"",Başvuru!$F:$F,"&lt;&gt;"&amp;""))</f>
        <v/>
      </c>
      <c r="K131" s="164" t="str">
        <f>IF(C131="","",COUNTIFS(Başvuru!$D:$D,C131,Başvuru!$L:$L,"DÜZELTME",Başvuru!$A:$A,"&lt;&gt;"&amp;"",Başvuru!$F:$F,"&lt;&gt;"&amp;""))</f>
        <v/>
      </c>
      <c r="L131" s="165" t="str">
        <f>IF(C131="","",COUNTIFS(Başvuru!$D:$D,C131,Başvuru!$L:$L,"KAEK",Başvuru!$A:$A,"&lt;&gt;"&amp;"",Başvuru!$F:$F,"&lt;&gt;"&amp;""))</f>
        <v/>
      </c>
      <c r="M131" s="166" t="str">
        <f>IF(C131="","",COUNTIFS(Başvuru!$D:$D,C131,Başvuru!$L:$L,"GÖRÜŞ",Başvuru!$A:$A,"&lt;&gt;"&amp;"",Başvuru!$F:$F,"&lt;&gt;"&amp;""))</f>
        <v/>
      </c>
      <c r="N131" s="167" t="str">
        <f>IF(C131="","",COUNTIFS(Başvuru!$D:$D,C131,Başvuru!$L:$L,"RET",Başvuru!$A:$A,"&lt;&gt;"&amp;"",Başvuru!$F:$F,"&lt;&gt;"&amp;""))</f>
        <v/>
      </c>
      <c r="O131" s="168" t="str">
        <f>IF(C131="","",COUNTIFS(Başvuru!$D:$D,C131,Başvuru!$L:$L,"KAPSAM DIŞI",Başvuru!$A:$A,"&lt;&gt;"&amp;"",Başvuru!$F:$F,"&lt;&gt;"&amp;""))</f>
        <v/>
      </c>
      <c r="P131" s="169" t="str">
        <f>IF(C131="","",COUNTIFS(Başvuru!$D:$D,C131,Başvuru!$L:$L,"GERİ ÇEKİLDİ",Başvuru!$A:$A,"&lt;&gt;"&amp;"",Başvuru!$F:$F,"&lt;&gt;"&amp;""))</f>
        <v/>
      </c>
      <c r="Q131" s="170" t="str">
        <f>IFERROR(INDEX(Başvuru!$D$2:$D$1851,MATCH(126,Başvuru!$Z$2:$Z$1851,0)),"")</f>
        <v/>
      </c>
      <c r="R131" s="171" t="str">
        <f>IF(Q131="","",COUNTIFS(Başvuru!$D:$D,Q131,Başvuru!$A:$A,"&lt;&gt;"&amp;"",Başvuru!$F:$F,"&lt;&gt;"&amp;""))</f>
        <v/>
      </c>
      <c r="S131" s="171" t="str">
        <f>IF(R131="","",RANK(R131,$R$6:$R$155,0)+COUNTIF($R$6:R131,R131)-1)</f>
        <v/>
      </c>
    </row>
    <row r="132" spans="2:19" x14ac:dyDescent="0.25">
      <c r="B132" s="159">
        <v>127</v>
      </c>
      <c r="C132" s="160" t="str">
        <f>IFERROR(INDEX($Q$6:$Q$155,MATCH(127,$S$6:$S$155,0)),"")</f>
        <v/>
      </c>
      <c r="D132" s="161" t="str">
        <f>IF(C132="","",COUNTIFS(Başvuru!$D:$D,C132,Başvuru!$A:$A,"&lt;&gt;"&amp;"",Başvuru!$F:$F,"&lt;&gt;"&amp;""))</f>
        <v/>
      </c>
      <c r="E132" s="159" t="str">
        <f>IF(C132="","-",IF(D132&gt;0,TEXT(D132/(COUNTIFS(Başvuru!$A:$A,"&lt;&gt;",Başvuru!$F:$F,"&lt;&gt;")-1)*100,"0.0")&amp;"%","-"))</f>
        <v>-</v>
      </c>
      <c r="F132" s="162" t="str">
        <f>IF(C132="","",COUNTIFS(Başvuru!$D:$D,C132,Başvuru!$G:$G,"Bireysel Araştırma",Başvuru!$A:$A,"&lt;&gt;"&amp;"",Başvuru!$F:$F,"&lt;&gt;"&amp;""))</f>
        <v/>
      </c>
      <c r="G132" s="162" t="str">
        <f>IF(C132="","",COUNTIFS(Başvuru!$D:$D,C132,Başvuru!$G:$G,"Uzmanlık Tezi",Başvuru!$A:$A,"&lt;&gt;"&amp;"",Başvuru!$F:$F,"&lt;&gt;"&amp;""))</f>
        <v/>
      </c>
      <c r="H132" s="162" t="str">
        <f>IF(C132="","",COUNTIFS(Başvuru!$D:$D,C132,Başvuru!$G:$G,"Doktora Tezi",Başvuru!$A:$A,"&lt;&gt;"&amp;"",Başvuru!$F:$F,"&lt;&gt;"&amp;""))</f>
        <v/>
      </c>
      <c r="I132" s="162" t="str">
        <f>IF(C132="","",COUNTIFS(Başvuru!$D:$D,C132,Başvuru!$G:$G,"Yüksek Lisans Tezi",Başvuru!$A:$A,"&lt;&gt;"&amp;"",Başvuru!$F:$F,"&lt;&gt;"&amp;""))</f>
        <v/>
      </c>
      <c r="J132" s="163" t="str">
        <f>IF(C132="","",COUNTIFS(Başvuru!$D:$D,C132,Başvuru!$L:$L,"ONAY",Başvuru!$A:$A,"&lt;&gt;"&amp;"",Başvuru!$F:$F,"&lt;&gt;"&amp;""))</f>
        <v/>
      </c>
      <c r="K132" s="164" t="str">
        <f>IF(C132="","",COUNTIFS(Başvuru!$D:$D,C132,Başvuru!$L:$L,"DÜZELTME",Başvuru!$A:$A,"&lt;&gt;"&amp;"",Başvuru!$F:$F,"&lt;&gt;"&amp;""))</f>
        <v/>
      </c>
      <c r="L132" s="165" t="str">
        <f>IF(C132="","",COUNTIFS(Başvuru!$D:$D,C132,Başvuru!$L:$L,"KAEK",Başvuru!$A:$A,"&lt;&gt;"&amp;"",Başvuru!$F:$F,"&lt;&gt;"&amp;""))</f>
        <v/>
      </c>
      <c r="M132" s="166" t="str">
        <f>IF(C132="","",COUNTIFS(Başvuru!$D:$D,C132,Başvuru!$L:$L,"GÖRÜŞ",Başvuru!$A:$A,"&lt;&gt;"&amp;"",Başvuru!$F:$F,"&lt;&gt;"&amp;""))</f>
        <v/>
      </c>
      <c r="N132" s="167" t="str">
        <f>IF(C132="","",COUNTIFS(Başvuru!$D:$D,C132,Başvuru!$L:$L,"RET",Başvuru!$A:$A,"&lt;&gt;"&amp;"",Başvuru!$F:$F,"&lt;&gt;"&amp;""))</f>
        <v/>
      </c>
      <c r="O132" s="168" t="str">
        <f>IF(C132="","",COUNTIFS(Başvuru!$D:$D,C132,Başvuru!$L:$L,"KAPSAM DIŞI",Başvuru!$A:$A,"&lt;&gt;"&amp;"",Başvuru!$F:$F,"&lt;&gt;"&amp;""))</f>
        <v/>
      </c>
      <c r="P132" s="169" t="str">
        <f>IF(C132="","",COUNTIFS(Başvuru!$D:$D,C132,Başvuru!$L:$L,"GERİ ÇEKİLDİ",Başvuru!$A:$A,"&lt;&gt;"&amp;"",Başvuru!$F:$F,"&lt;&gt;"&amp;""))</f>
        <v/>
      </c>
      <c r="Q132" s="170" t="str">
        <f>IFERROR(INDEX(Başvuru!$D$2:$D$1851,MATCH(127,Başvuru!$Z$2:$Z$1851,0)),"")</f>
        <v/>
      </c>
      <c r="R132" s="171" t="str">
        <f>IF(Q132="","",COUNTIFS(Başvuru!$D:$D,Q132,Başvuru!$A:$A,"&lt;&gt;"&amp;"",Başvuru!$F:$F,"&lt;&gt;"&amp;""))</f>
        <v/>
      </c>
      <c r="S132" s="171" t="str">
        <f>IF(R132="","",RANK(R132,$R$6:$R$155,0)+COUNTIF($R$6:R132,R132)-1)</f>
        <v/>
      </c>
    </row>
    <row r="133" spans="2:19" x14ac:dyDescent="0.25">
      <c r="B133" s="159">
        <v>128</v>
      </c>
      <c r="C133" s="160" t="str">
        <f>IFERROR(INDEX($Q$6:$Q$155,MATCH(128,$S$6:$S$155,0)),"")</f>
        <v/>
      </c>
      <c r="D133" s="161" t="str">
        <f>IF(C133="","",COUNTIFS(Başvuru!$D:$D,C133,Başvuru!$A:$A,"&lt;&gt;"&amp;"",Başvuru!$F:$F,"&lt;&gt;"&amp;""))</f>
        <v/>
      </c>
      <c r="E133" s="159" t="str">
        <f>IF(C133="","-",IF(D133&gt;0,TEXT(D133/(COUNTIFS(Başvuru!$A:$A,"&lt;&gt;",Başvuru!$F:$F,"&lt;&gt;")-1)*100,"0.0")&amp;"%","-"))</f>
        <v>-</v>
      </c>
      <c r="F133" s="162" t="str">
        <f>IF(C133="","",COUNTIFS(Başvuru!$D:$D,C133,Başvuru!$G:$G,"Bireysel Araştırma",Başvuru!$A:$A,"&lt;&gt;"&amp;"",Başvuru!$F:$F,"&lt;&gt;"&amp;""))</f>
        <v/>
      </c>
      <c r="G133" s="162" t="str">
        <f>IF(C133="","",COUNTIFS(Başvuru!$D:$D,C133,Başvuru!$G:$G,"Uzmanlık Tezi",Başvuru!$A:$A,"&lt;&gt;"&amp;"",Başvuru!$F:$F,"&lt;&gt;"&amp;""))</f>
        <v/>
      </c>
      <c r="H133" s="162" t="str">
        <f>IF(C133="","",COUNTIFS(Başvuru!$D:$D,C133,Başvuru!$G:$G,"Doktora Tezi",Başvuru!$A:$A,"&lt;&gt;"&amp;"",Başvuru!$F:$F,"&lt;&gt;"&amp;""))</f>
        <v/>
      </c>
      <c r="I133" s="162" t="str">
        <f>IF(C133="","",COUNTIFS(Başvuru!$D:$D,C133,Başvuru!$G:$G,"Yüksek Lisans Tezi",Başvuru!$A:$A,"&lt;&gt;"&amp;"",Başvuru!$F:$F,"&lt;&gt;"&amp;""))</f>
        <v/>
      </c>
      <c r="J133" s="163" t="str">
        <f>IF(C133="","",COUNTIFS(Başvuru!$D:$D,C133,Başvuru!$L:$L,"ONAY",Başvuru!$A:$A,"&lt;&gt;"&amp;"",Başvuru!$F:$F,"&lt;&gt;"&amp;""))</f>
        <v/>
      </c>
      <c r="K133" s="164" t="str">
        <f>IF(C133="","",COUNTIFS(Başvuru!$D:$D,C133,Başvuru!$L:$L,"DÜZELTME",Başvuru!$A:$A,"&lt;&gt;"&amp;"",Başvuru!$F:$F,"&lt;&gt;"&amp;""))</f>
        <v/>
      </c>
      <c r="L133" s="165" t="str">
        <f>IF(C133="","",COUNTIFS(Başvuru!$D:$D,C133,Başvuru!$L:$L,"KAEK",Başvuru!$A:$A,"&lt;&gt;"&amp;"",Başvuru!$F:$F,"&lt;&gt;"&amp;""))</f>
        <v/>
      </c>
      <c r="M133" s="166" t="str">
        <f>IF(C133="","",COUNTIFS(Başvuru!$D:$D,C133,Başvuru!$L:$L,"GÖRÜŞ",Başvuru!$A:$A,"&lt;&gt;"&amp;"",Başvuru!$F:$F,"&lt;&gt;"&amp;""))</f>
        <v/>
      </c>
      <c r="N133" s="167" t="str">
        <f>IF(C133="","",COUNTIFS(Başvuru!$D:$D,C133,Başvuru!$L:$L,"RET",Başvuru!$A:$A,"&lt;&gt;"&amp;"",Başvuru!$F:$F,"&lt;&gt;"&amp;""))</f>
        <v/>
      </c>
      <c r="O133" s="168" t="str">
        <f>IF(C133="","",COUNTIFS(Başvuru!$D:$D,C133,Başvuru!$L:$L,"KAPSAM DIŞI",Başvuru!$A:$A,"&lt;&gt;"&amp;"",Başvuru!$F:$F,"&lt;&gt;"&amp;""))</f>
        <v/>
      </c>
      <c r="P133" s="169" t="str">
        <f>IF(C133="","",COUNTIFS(Başvuru!$D:$D,C133,Başvuru!$L:$L,"GERİ ÇEKİLDİ",Başvuru!$A:$A,"&lt;&gt;"&amp;"",Başvuru!$F:$F,"&lt;&gt;"&amp;""))</f>
        <v/>
      </c>
      <c r="Q133" s="170" t="str">
        <f>IFERROR(INDEX(Başvuru!$D$2:$D$1851,MATCH(128,Başvuru!$Z$2:$Z$1851,0)),"")</f>
        <v/>
      </c>
      <c r="R133" s="171" t="str">
        <f>IF(Q133="","",COUNTIFS(Başvuru!$D:$D,Q133,Başvuru!$A:$A,"&lt;&gt;"&amp;"",Başvuru!$F:$F,"&lt;&gt;"&amp;""))</f>
        <v/>
      </c>
      <c r="S133" s="171" t="str">
        <f>IF(R133="","",RANK(R133,$R$6:$R$155,0)+COUNTIF($R$6:R133,R133)-1)</f>
        <v/>
      </c>
    </row>
    <row r="134" spans="2:19" x14ac:dyDescent="0.25">
      <c r="B134" s="159">
        <v>129</v>
      </c>
      <c r="C134" s="160" t="str">
        <f>IFERROR(INDEX($Q$6:$Q$155,MATCH(129,$S$6:$S$155,0)),"")</f>
        <v/>
      </c>
      <c r="D134" s="161" t="str">
        <f>IF(C134="","",COUNTIFS(Başvuru!$D:$D,C134,Başvuru!$A:$A,"&lt;&gt;"&amp;"",Başvuru!$F:$F,"&lt;&gt;"&amp;""))</f>
        <v/>
      </c>
      <c r="E134" s="159" t="str">
        <f>IF(C134="","-",IF(D134&gt;0,TEXT(D134/(COUNTIFS(Başvuru!$A:$A,"&lt;&gt;",Başvuru!$F:$F,"&lt;&gt;")-1)*100,"0.0")&amp;"%","-"))</f>
        <v>-</v>
      </c>
      <c r="F134" s="162" t="str">
        <f>IF(C134="","",COUNTIFS(Başvuru!$D:$D,C134,Başvuru!$G:$G,"Bireysel Araştırma",Başvuru!$A:$A,"&lt;&gt;"&amp;"",Başvuru!$F:$F,"&lt;&gt;"&amp;""))</f>
        <v/>
      </c>
      <c r="G134" s="162" t="str">
        <f>IF(C134="","",COUNTIFS(Başvuru!$D:$D,C134,Başvuru!$G:$G,"Uzmanlık Tezi",Başvuru!$A:$A,"&lt;&gt;"&amp;"",Başvuru!$F:$F,"&lt;&gt;"&amp;""))</f>
        <v/>
      </c>
      <c r="H134" s="162" t="str">
        <f>IF(C134="","",COUNTIFS(Başvuru!$D:$D,C134,Başvuru!$G:$G,"Doktora Tezi",Başvuru!$A:$A,"&lt;&gt;"&amp;"",Başvuru!$F:$F,"&lt;&gt;"&amp;""))</f>
        <v/>
      </c>
      <c r="I134" s="162" t="str">
        <f>IF(C134="","",COUNTIFS(Başvuru!$D:$D,C134,Başvuru!$G:$G,"Yüksek Lisans Tezi",Başvuru!$A:$A,"&lt;&gt;"&amp;"",Başvuru!$F:$F,"&lt;&gt;"&amp;""))</f>
        <v/>
      </c>
      <c r="J134" s="163" t="str">
        <f>IF(C134="","",COUNTIFS(Başvuru!$D:$D,C134,Başvuru!$L:$L,"ONAY",Başvuru!$A:$A,"&lt;&gt;"&amp;"",Başvuru!$F:$F,"&lt;&gt;"&amp;""))</f>
        <v/>
      </c>
      <c r="K134" s="164" t="str">
        <f>IF(C134="","",COUNTIFS(Başvuru!$D:$D,C134,Başvuru!$L:$L,"DÜZELTME",Başvuru!$A:$A,"&lt;&gt;"&amp;"",Başvuru!$F:$F,"&lt;&gt;"&amp;""))</f>
        <v/>
      </c>
      <c r="L134" s="165" t="str">
        <f>IF(C134="","",COUNTIFS(Başvuru!$D:$D,C134,Başvuru!$L:$L,"KAEK",Başvuru!$A:$A,"&lt;&gt;"&amp;"",Başvuru!$F:$F,"&lt;&gt;"&amp;""))</f>
        <v/>
      </c>
      <c r="M134" s="166" t="str">
        <f>IF(C134="","",COUNTIFS(Başvuru!$D:$D,C134,Başvuru!$L:$L,"GÖRÜŞ",Başvuru!$A:$A,"&lt;&gt;"&amp;"",Başvuru!$F:$F,"&lt;&gt;"&amp;""))</f>
        <v/>
      </c>
      <c r="N134" s="167" t="str">
        <f>IF(C134="","",COUNTIFS(Başvuru!$D:$D,C134,Başvuru!$L:$L,"RET",Başvuru!$A:$A,"&lt;&gt;"&amp;"",Başvuru!$F:$F,"&lt;&gt;"&amp;""))</f>
        <v/>
      </c>
      <c r="O134" s="168" t="str">
        <f>IF(C134="","",COUNTIFS(Başvuru!$D:$D,C134,Başvuru!$L:$L,"KAPSAM DIŞI",Başvuru!$A:$A,"&lt;&gt;"&amp;"",Başvuru!$F:$F,"&lt;&gt;"&amp;""))</f>
        <v/>
      </c>
      <c r="P134" s="169" t="str">
        <f>IF(C134="","",COUNTIFS(Başvuru!$D:$D,C134,Başvuru!$L:$L,"GERİ ÇEKİLDİ",Başvuru!$A:$A,"&lt;&gt;"&amp;"",Başvuru!$F:$F,"&lt;&gt;"&amp;""))</f>
        <v/>
      </c>
      <c r="Q134" s="170" t="str">
        <f>IFERROR(INDEX(Başvuru!$D$2:$D$1851,MATCH(129,Başvuru!$Z$2:$Z$1851,0)),"")</f>
        <v/>
      </c>
      <c r="R134" s="171" t="str">
        <f>IF(Q134="","",COUNTIFS(Başvuru!$D:$D,Q134,Başvuru!$A:$A,"&lt;&gt;"&amp;"",Başvuru!$F:$F,"&lt;&gt;"&amp;""))</f>
        <v/>
      </c>
      <c r="S134" s="171" t="str">
        <f>IF(R134="","",RANK(R134,$R$6:$R$155,0)+COUNTIF($R$6:R134,R134)-1)</f>
        <v/>
      </c>
    </row>
    <row r="135" spans="2:19" x14ac:dyDescent="0.25">
      <c r="B135" s="159">
        <v>130</v>
      </c>
      <c r="C135" s="160" t="str">
        <f>IFERROR(INDEX($Q$6:$Q$155,MATCH(130,$S$6:$S$155,0)),"")</f>
        <v/>
      </c>
      <c r="D135" s="161" t="str">
        <f>IF(C135="","",COUNTIFS(Başvuru!$D:$D,C135,Başvuru!$A:$A,"&lt;&gt;"&amp;"",Başvuru!$F:$F,"&lt;&gt;"&amp;""))</f>
        <v/>
      </c>
      <c r="E135" s="159" t="str">
        <f>IF(C135="","-",IF(D135&gt;0,TEXT(D135/(COUNTIFS(Başvuru!$A:$A,"&lt;&gt;",Başvuru!$F:$F,"&lt;&gt;")-1)*100,"0.0")&amp;"%","-"))</f>
        <v>-</v>
      </c>
      <c r="F135" s="162" t="str">
        <f>IF(C135="","",COUNTIFS(Başvuru!$D:$D,C135,Başvuru!$G:$G,"Bireysel Araştırma",Başvuru!$A:$A,"&lt;&gt;"&amp;"",Başvuru!$F:$F,"&lt;&gt;"&amp;""))</f>
        <v/>
      </c>
      <c r="G135" s="162" t="str">
        <f>IF(C135="","",COUNTIFS(Başvuru!$D:$D,C135,Başvuru!$G:$G,"Uzmanlık Tezi",Başvuru!$A:$A,"&lt;&gt;"&amp;"",Başvuru!$F:$F,"&lt;&gt;"&amp;""))</f>
        <v/>
      </c>
      <c r="H135" s="162" t="str">
        <f>IF(C135="","",COUNTIFS(Başvuru!$D:$D,C135,Başvuru!$G:$G,"Doktora Tezi",Başvuru!$A:$A,"&lt;&gt;"&amp;"",Başvuru!$F:$F,"&lt;&gt;"&amp;""))</f>
        <v/>
      </c>
      <c r="I135" s="162" t="str">
        <f>IF(C135="","",COUNTIFS(Başvuru!$D:$D,C135,Başvuru!$G:$G,"Yüksek Lisans Tezi",Başvuru!$A:$A,"&lt;&gt;"&amp;"",Başvuru!$F:$F,"&lt;&gt;"&amp;""))</f>
        <v/>
      </c>
      <c r="J135" s="163" t="str">
        <f>IF(C135="","",COUNTIFS(Başvuru!$D:$D,C135,Başvuru!$L:$L,"ONAY",Başvuru!$A:$A,"&lt;&gt;"&amp;"",Başvuru!$F:$F,"&lt;&gt;"&amp;""))</f>
        <v/>
      </c>
      <c r="K135" s="164" t="str">
        <f>IF(C135="","",COUNTIFS(Başvuru!$D:$D,C135,Başvuru!$L:$L,"DÜZELTME",Başvuru!$A:$A,"&lt;&gt;"&amp;"",Başvuru!$F:$F,"&lt;&gt;"&amp;""))</f>
        <v/>
      </c>
      <c r="L135" s="165" t="str">
        <f>IF(C135="","",COUNTIFS(Başvuru!$D:$D,C135,Başvuru!$L:$L,"KAEK",Başvuru!$A:$A,"&lt;&gt;"&amp;"",Başvuru!$F:$F,"&lt;&gt;"&amp;""))</f>
        <v/>
      </c>
      <c r="M135" s="166" t="str">
        <f>IF(C135="","",COUNTIFS(Başvuru!$D:$D,C135,Başvuru!$L:$L,"GÖRÜŞ",Başvuru!$A:$A,"&lt;&gt;"&amp;"",Başvuru!$F:$F,"&lt;&gt;"&amp;""))</f>
        <v/>
      </c>
      <c r="N135" s="167" t="str">
        <f>IF(C135="","",COUNTIFS(Başvuru!$D:$D,C135,Başvuru!$L:$L,"RET",Başvuru!$A:$A,"&lt;&gt;"&amp;"",Başvuru!$F:$F,"&lt;&gt;"&amp;""))</f>
        <v/>
      </c>
      <c r="O135" s="168" t="str">
        <f>IF(C135="","",COUNTIFS(Başvuru!$D:$D,C135,Başvuru!$L:$L,"KAPSAM DIŞI",Başvuru!$A:$A,"&lt;&gt;"&amp;"",Başvuru!$F:$F,"&lt;&gt;"&amp;""))</f>
        <v/>
      </c>
      <c r="P135" s="169" t="str">
        <f>IF(C135="","",COUNTIFS(Başvuru!$D:$D,C135,Başvuru!$L:$L,"GERİ ÇEKİLDİ",Başvuru!$A:$A,"&lt;&gt;"&amp;"",Başvuru!$F:$F,"&lt;&gt;"&amp;""))</f>
        <v/>
      </c>
      <c r="Q135" s="170" t="str">
        <f>IFERROR(INDEX(Başvuru!$D$2:$D$1851,MATCH(130,Başvuru!$Z$2:$Z$1851,0)),"")</f>
        <v/>
      </c>
      <c r="R135" s="171" t="str">
        <f>IF(Q135="","",COUNTIFS(Başvuru!$D:$D,Q135,Başvuru!$A:$A,"&lt;&gt;"&amp;"",Başvuru!$F:$F,"&lt;&gt;"&amp;""))</f>
        <v/>
      </c>
      <c r="S135" s="171" t="str">
        <f>IF(R135="","",RANK(R135,$R$6:$R$155,0)+COUNTIF($R$6:R135,R135)-1)</f>
        <v/>
      </c>
    </row>
    <row r="136" spans="2:19" x14ac:dyDescent="0.25">
      <c r="B136" s="159">
        <v>131</v>
      </c>
      <c r="C136" s="160" t="str">
        <f>IFERROR(INDEX($Q$6:$Q$155,MATCH(131,$S$6:$S$155,0)),"")</f>
        <v/>
      </c>
      <c r="D136" s="161" t="str">
        <f>IF(C136="","",COUNTIFS(Başvuru!$D:$D,C136,Başvuru!$A:$A,"&lt;&gt;"&amp;"",Başvuru!$F:$F,"&lt;&gt;"&amp;""))</f>
        <v/>
      </c>
      <c r="E136" s="159" t="str">
        <f>IF(C136="","-",IF(D136&gt;0,TEXT(D136/(COUNTIFS(Başvuru!$A:$A,"&lt;&gt;",Başvuru!$F:$F,"&lt;&gt;")-1)*100,"0.0")&amp;"%","-"))</f>
        <v>-</v>
      </c>
      <c r="F136" s="162" t="str">
        <f>IF(C136="","",COUNTIFS(Başvuru!$D:$D,C136,Başvuru!$G:$G,"Bireysel Araştırma",Başvuru!$A:$A,"&lt;&gt;"&amp;"",Başvuru!$F:$F,"&lt;&gt;"&amp;""))</f>
        <v/>
      </c>
      <c r="G136" s="162" t="str">
        <f>IF(C136="","",COUNTIFS(Başvuru!$D:$D,C136,Başvuru!$G:$G,"Uzmanlık Tezi",Başvuru!$A:$A,"&lt;&gt;"&amp;"",Başvuru!$F:$F,"&lt;&gt;"&amp;""))</f>
        <v/>
      </c>
      <c r="H136" s="162" t="str">
        <f>IF(C136="","",COUNTIFS(Başvuru!$D:$D,C136,Başvuru!$G:$G,"Doktora Tezi",Başvuru!$A:$A,"&lt;&gt;"&amp;"",Başvuru!$F:$F,"&lt;&gt;"&amp;""))</f>
        <v/>
      </c>
      <c r="I136" s="162" t="str">
        <f>IF(C136="","",COUNTIFS(Başvuru!$D:$D,C136,Başvuru!$G:$G,"Yüksek Lisans Tezi",Başvuru!$A:$A,"&lt;&gt;"&amp;"",Başvuru!$F:$F,"&lt;&gt;"&amp;""))</f>
        <v/>
      </c>
      <c r="J136" s="163" t="str">
        <f>IF(C136="","",COUNTIFS(Başvuru!$D:$D,C136,Başvuru!$L:$L,"ONAY",Başvuru!$A:$A,"&lt;&gt;"&amp;"",Başvuru!$F:$F,"&lt;&gt;"&amp;""))</f>
        <v/>
      </c>
      <c r="K136" s="164" t="str">
        <f>IF(C136="","",COUNTIFS(Başvuru!$D:$D,C136,Başvuru!$L:$L,"DÜZELTME",Başvuru!$A:$A,"&lt;&gt;"&amp;"",Başvuru!$F:$F,"&lt;&gt;"&amp;""))</f>
        <v/>
      </c>
      <c r="L136" s="165" t="str">
        <f>IF(C136="","",COUNTIFS(Başvuru!$D:$D,C136,Başvuru!$L:$L,"KAEK",Başvuru!$A:$A,"&lt;&gt;"&amp;"",Başvuru!$F:$F,"&lt;&gt;"&amp;""))</f>
        <v/>
      </c>
      <c r="M136" s="166" t="str">
        <f>IF(C136="","",COUNTIFS(Başvuru!$D:$D,C136,Başvuru!$L:$L,"GÖRÜŞ",Başvuru!$A:$A,"&lt;&gt;"&amp;"",Başvuru!$F:$F,"&lt;&gt;"&amp;""))</f>
        <v/>
      </c>
      <c r="N136" s="167" t="str">
        <f>IF(C136="","",COUNTIFS(Başvuru!$D:$D,C136,Başvuru!$L:$L,"RET",Başvuru!$A:$A,"&lt;&gt;"&amp;"",Başvuru!$F:$F,"&lt;&gt;"&amp;""))</f>
        <v/>
      </c>
      <c r="O136" s="168" t="str">
        <f>IF(C136="","",COUNTIFS(Başvuru!$D:$D,C136,Başvuru!$L:$L,"KAPSAM DIŞI",Başvuru!$A:$A,"&lt;&gt;"&amp;"",Başvuru!$F:$F,"&lt;&gt;"&amp;""))</f>
        <v/>
      </c>
      <c r="P136" s="169" t="str">
        <f>IF(C136="","",COUNTIFS(Başvuru!$D:$D,C136,Başvuru!$L:$L,"GERİ ÇEKİLDİ",Başvuru!$A:$A,"&lt;&gt;"&amp;"",Başvuru!$F:$F,"&lt;&gt;"&amp;""))</f>
        <v/>
      </c>
      <c r="Q136" s="170" t="str">
        <f>IFERROR(INDEX(Başvuru!$D$2:$D$1851,MATCH(131,Başvuru!$Z$2:$Z$1851,0)),"")</f>
        <v/>
      </c>
      <c r="R136" s="171" t="str">
        <f>IF(Q136="","",COUNTIFS(Başvuru!$D:$D,Q136,Başvuru!$A:$A,"&lt;&gt;"&amp;"",Başvuru!$F:$F,"&lt;&gt;"&amp;""))</f>
        <v/>
      </c>
      <c r="S136" s="171" t="str">
        <f>IF(R136="","",RANK(R136,$R$6:$R$155,0)+COUNTIF($R$6:R136,R136)-1)</f>
        <v/>
      </c>
    </row>
    <row r="137" spans="2:19" x14ac:dyDescent="0.25">
      <c r="B137" s="159">
        <v>132</v>
      </c>
      <c r="C137" s="160" t="str">
        <f>IFERROR(INDEX($Q$6:$Q$155,MATCH(132,$S$6:$S$155,0)),"")</f>
        <v/>
      </c>
      <c r="D137" s="161" t="str">
        <f>IF(C137="","",COUNTIFS(Başvuru!$D:$D,C137,Başvuru!$A:$A,"&lt;&gt;"&amp;"",Başvuru!$F:$F,"&lt;&gt;"&amp;""))</f>
        <v/>
      </c>
      <c r="E137" s="159" t="str">
        <f>IF(C137="","-",IF(D137&gt;0,TEXT(D137/(COUNTIFS(Başvuru!$A:$A,"&lt;&gt;",Başvuru!$F:$F,"&lt;&gt;")-1)*100,"0.0")&amp;"%","-"))</f>
        <v>-</v>
      </c>
      <c r="F137" s="162" t="str">
        <f>IF(C137="","",COUNTIFS(Başvuru!$D:$D,C137,Başvuru!$G:$G,"Bireysel Araştırma",Başvuru!$A:$A,"&lt;&gt;"&amp;"",Başvuru!$F:$F,"&lt;&gt;"&amp;""))</f>
        <v/>
      </c>
      <c r="G137" s="162" t="str">
        <f>IF(C137="","",COUNTIFS(Başvuru!$D:$D,C137,Başvuru!$G:$G,"Uzmanlık Tezi",Başvuru!$A:$A,"&lt;&gt;"&amp;"",Başvuru!$F:$F,"&lt;&gt;"&amp;""))</f>
        <v/>
      </c>
      <c r="H137" s="162" t="str">
        <f>IF(C137="","",COUNTIFS(Başvuru!$D:$D,C137,Başvuru!$G:$G,"Doktora Tezi",Başvuru!$A:$A,"&lt;&gt;"&amp;"",Başvuru!$F:$F,"&lt;&gt;"&amp;""))</f>
        <v/>
      </c>
      <c r="I137" s="162" t="str">
        <f>IF(C137="","",COUNTIFS(Başvuru!$D:$D,C137,Başvuru!$G:$G,"Yüksek Lisans Tezi",Başvuru!$A:$A,"&lt;&gt;"&amp;"",Başvuru!$F:$F,"&lt;&gt;"&amp;""))</f>
        <v/>
      </c>
      <c r="J137" s="163" t="str">
        <f>IF(C137="","",COUNTIFS(Başvuru!$D:$D,C137,Başvuru!$L:$L,"ONAY",Başvuru!$A:$A,"&lt;&gt;"&amp;"",Başvuru!$F:$F,"&lt;&gt;"&amp;""))</f>
        <v/>
      </c>
      <c r="K137" s="164" t="str">
        <f>IF(C137="","",COUNTIFS(Başvuru!$D:$D,C137,Başvuru!$L:$L,"DÜZELTME",Başvuru!$A:$A,"&lt;&gt;"&amp;"",Başvuru!$F:$F,"&lt;&gt;"&amp;""))</f>
        <v/>
      </c>
      <c r="L137" s="165" t="str">
        <f>IF(C137="","",COUNTIFS(Başvuru!$D:$D,C137,Başvuru!$L:$L,"KAEK",Başvuru!$A:$A,"&lt;&gt;"&amp;"",Başvuru!$F:$F,"&lt;&gt;"&amp;""))</f>
        <v/>
      </c>
      <c r="M137" s="166" t="str">
        <f>IF(C137="","",COUNTIFS(Başvuru!$D:$D,C137,Başvuru!$L:$L,"GÖRÜŞ",Başvuru!$A:$A,"&lt;&gt;"&amp;"",Başvuru!$F:$F,"&lt;&gt;"&amp;""))</f>
        <v/>
      </c>
      <c r="N137" s="167" t="str">
        <f>IF(C137="","",COUNTIFS(Başvuru!$D:$D,C137,Başvuru!$L:$L,"RET",Başvuru!$A:$A,"&lt;&gt;"&amp;"",Başvuru!$F:$F,"&lt;&gt;"&amp;""))</f>
        <v/>
      </c>
      <c r="O137" s="168" t="str">
        <f>IF(C137="","",COUNTIFS(Başvuru!$D:$D,C137,Başvuru!$L:$L,"KAPSAM DIŞI",Başvuru!$A:$A,"&lt;&gt;"&amp;"",Başvuru!$F:$F,"&lt;&gt;"&amp;""))</f>
        <v/>
      </c>
      <c r="P137" s="169" t="str">
        <f>IF(C137="","",COUNTIFS(Başvuru!$D:$D,C137,Başvuru!$L:$L,"GERİ ÇEKİLDİ",Başvuru!$A:$A,"&lt;&gt;"&amp;"",Başvuru!$F:$F,"&lt;&gt;"&amp;""))</f>
        <v/>
      </c>
      <c r="Q137" s="170" t="str">
        <f>IFERROR(INDEX(Başvuru!$D$2:$D$1851,MATCH(132,Başvuru!$Z$2:$Z$1851,0)),"")</f>
        <v/>
      </c>
      <c r="R137" s="171" t="str">
        <f>IF(Q137="","",COUNTIFS(Başvuru!$D:$D,Q137,Başvuru!$A:$A,"&lt;&gt;"&amp;"",Başvuru!$F:$F,"&lt;&gt;"&amp;""))</f>
        <v/>
      </c>
      <c r="S137" s="171" t="str">
        <f>IF(R137="","",RANK(R137,$R$6:$R$155,0)+COUNTIF($R$6:R137,R137)-1)</f>
        <v/>
      </c>
    </row>
    <row r="138" spans="2:19" x14ac:dyDescent="0.25">
      <c r="B138" s="159">
        <v>133</v>
      </c>
      <c r="C138" s="160" t="str">
        <f>IFERROR(INDEX($Q$6:$Q$155,MATCH(133,$S$6:$S$155,0)),"")</f>
        <v/>
      </c>
      <c r="D138" s="161" t="str">
        <f>IF(C138="","",COUNTIFS(Başvuru!$D:$D,C138,Başvuru!$A:$A,"&lt;&gt;"&amp;"",Başvuru!$F:$F,"&lt;&gt;"&amp;""))</f>
        <v/>
      </c>
      <c r="E138" s="159" t="str">
        <f>IF(C138="","-",IF(D138&gt;0,TEXT(D138/(COUNTIFS(Başvuru!$A:$A,"&lt;&gt;",Başvuru!$F:$F,"&lt;&gt;")-1)*100,"0.0")&amp;"%","-"))</f>
        <v>-</v>
      </c>
      <c r="F138" s="162" t="str">
        <f>IF(C138="","",COUNTIFS(Başvuru!$D:$D,C138,Başvuru!$G:$G,"Bireysel Araştırma",Başvuru!$A:$A,"&lt;&gt;"&amp;"",Başvuru!$F:$F,"&lt;&gt;"&amp;""))</f>
        <v/>
      </c>
      <c r="G138" s="162" t="str">
        <f>IF(C138="","",COUNTIFS(Başvuru!$D:$D,C138,Başvuru!$G:$G,"Uzmanlık Tezi",Başvuru!$A:$A,"&lt;&gt;"&amp;"",Başvuru!$F:$F,"&lt;&gt;"&amp;""))</f>
        <v/>
      </c>
      <c r="H138" s="162" t="str">
        <f>IF(C138="","",COUNTIFS(Başvuru!$D:$D,C138,Başvuru!$G:$G,"Doktora Tezi",Başvuru!$A:$A,"&lt;&gt;"&amp;"",Başvuru!$F:$F,"&lt;&gt;"&amp;""))</f>
        <v/>
      </c>
      <c r="I138" s="162" t="str">
        <f>IF(C138="","",COUNTIFS(Başvuru!$D:$D,C138,Başvuru!$G:$G,"Yüksek Lisans Tezi",Başvuru!$A:$A,"&lt;&gt;"&amp;"",Başvuru!$F:$F,"&lt;&gt;"&amp;""))</f>
        <v/>
      </c>
      <c r="J138" s="163" t="str">
        <f>IF(C138="","",COUNTIFS(Başvuru!$D:$D,C138,Başvuru!$L:$L,"ONAY",Başvuru!$A:$A,"&lt;&gt;"&amp;"",Başvuru!$F:$F,"&lt;&gt;"&amp;""))</f>
        <v/>
      </c>
      <c r="K138" s="164" t="str">
        <f>IF(C138="","",COUNTIFS(Başvuru!$D:$D,C138,Başvuru!$L:$L,"DÜZELTME",Başvuru!$A:$A,"&lt;&gt;"&amp;"",Başvuru!$F:$F,"&lt;&gt;"&amp;""))</f>
        <v/>
      </c>
      <c r="L138" s="165" t="str">
        <f>IF(C138="","",COUNTIFS(Başvuru!$D:$D,C138,Başvuru!$L:$L,"KAEK",Başvuru!$A:$A,"&lt;&gt;"&amp;"",Başvuru!$F:$F,"&lt;&gt;"&amp;""))</f>
        <v/>
      </c>
      <c r="M138" s="166" t="str">
        <f>IF(C138="","",COUNTIFS(Başvuru!$D:$D,C138,Başvuru!$L:$L,"GÖRÜŞ",Başvuru!$A:$A,"&lt;&gt;"&amp;"",Başvuru!$F:$F,"&lt;&gt;"&amp;""))</f>
        <v/>
      </c>
      <c r="N138" s="167" t="str">
        <f>IF(C138="","",COUNTIFS(Başvuru!$D:$D,C138,Başvuru!$L:$L,"RET",Başvuru!$A:$A,"&lt;&gt;"&amp;"",Başvuru!$F:$F,"&lt;&gt;"&amp;""))</f>
        <v/>
      </c>
      <c r="O138" s="168" t="str">
        <f>IF(C138="","",COUNTIFS(Başvuru!$D:$D,C138,Başvuru!$L:$L,"KAPSAM DIŞI",Başvuru!$A:$A,"&lt;&gt;"&amp;"",Başvuru!$F:$F,"&lt;&gt;"&amp;""))</f>
        <v/>
      </c>
      <c r="P138" s="169" t="str">
        <f>IF(C138="","",COUNTIFS(Başvuru!$D:$D,C138,Başvuru!$L:$L,"GERİ ÇEKİLDİ",Başvuru!$A:$A,"&lt;&gt;"&amp;"",Başvuru!$F:$F,"&lt;&gt;"&amp;""))</f>
        <v/>
      </c>
      <c r="Q138" s="170" t="str">
        <f>IFERROR(INDEX(Başvuru!$D$2:$D$1851,MATCH(133,Başvuru!$Z$2:$Z$1851,0)),"")</f>
        <v/>
      </c>
      <c r="R138" s="171" t="str">
        <f>IF(Q138="","",COUNTIFS(Başvuru!$D:$D,Q138,Başvuru!$A:$A,"&lt;&gt;"&amp;"",Başvuru!$F:$F,"&lt;&gt;"&amp;""))</f>
        <v/>
      </c>
      <c r="S138" s="171" t="str">
        <f>IF(R138="","",RANK(R138,$R$6:$R$155,0)+COUNTIF($R$6:R138,R138)-1)</f>
        <v/>
      </c>
    </row>
    <row r="139" spans="2:19" x14ac:dyDescent="0.25">
      <c r="B139" s="159">
        <v>134</v>
      </c>
      <c r="C139" s="160" t="str">
        <f>IFERROR(INDEX($Q$6:$Q$155,MATCH(134,$S$6:$S$155,0)),"")</f>
        <v/>
      </c>
      <c r="D139" s="161" t="str">
        <f>IF(C139="","",COUNTIFS(Başvuru!$D:$D,C139,Başvuru!$A:$A,"&lt;&gt;"&amp;"",Başvuru!$F:$F,"&lt;&gt;"&amp;""))</f>
        <v/>
      </c>
      <c r="E139" s="159" t="str">
        <f>IF(C139="","-",IF(D139&gt;0,TEXT(D139/(COUNTIFS(Başvuru!$A:$A,"&lt;&gt;",Başvuru!$F:$F,"&lt;&gt;")-1)*100,"0.0")&amp;"%","-"))</f>
        <v>-</v>
      </c>
      <c r="F139" s="162" t="str">
        <f>IF(C139="","",COUNTIFS(Başvuru!$D:$D,C139,Başvuru!$G:$G,"Bireysel Araştırma",Başvuru!$A:$A,"&lt;&gt;"&amp;"",Başvuru!$F:$F,"&lt;&gt;"&amp;""))</f>
        <v/>
      </c>
      <c r="G139" s="162" t="str">
        <f>IF(C139="","",COUNTIFS(Başvuru!$D:$D,C139,Başvuru!$G:$G,"Uzmanlık Tezi",Başvuru!$A:$A,"&lt;&gt;"&amp;"",Başvuru!$F:$F,"&lt;&gt;"&amp;""))</f>
        <v/>
      </c>
      <c r="H139" s="162" t="str">
        <f>IF(C139="","",COUNTIFS(Başvuru!$D:$D,C139,Başvuru!$G:$G,"Doktora Tezi",Başvuru!$A:$A,"&lt;&gt;"&amp;"",Başvuru!$F:$F,"&lt;&gt;"&amp;""))</f>
        <v/>
      </c>
      <c r="I139" s="162" t="str">
        <f>IF(C139="","",COUNTIFS(Başvuru!$D:$D,C139,Başvuru!$G:$G,"Yüksek Lisans Tezi",Başvuru!$A:$A,"&lt;&gt;"&amp;"",Başvuru!$F:$F,"&lt;&gt;"&amp;""))</f>
        <v/>
      </c>
      <c r="J139" s="163" t="str">
        <f>IF(C139="","",COUNTIFS(Başvuru!$D:$D,C139,Başvuru!$L:$L,"ONAY",Başvuru!$A:$A,"&lt;&gt;"&amp;"",Başvuru!$F:$F,"&lt;&gt;"&amp;""))</f>
        <v/>
      </c>
      <c r="K139" s="164" t="str">
        <f>IF(C139="","",COUNTIFS(Başvuru!$D:$D,C139,Başvuru!$L:$L,"DÜZELTME",Başvuru!$A:$A,"&lt;&gt;"&amp;"",Başvuru!$F:$F,"&lt;&gt;"&amp;""))</f>
        <v/>
      </c>
      <c r="L139" s="165" t="str">
        <f>IF(C139="","",COUNTIFS(Başvuru!$D:$D,C139,Başvuru!$L:$L,"KAEK",Başvuru!$A:$A,"&lt;&gt;"&amp;"",Başvuru!$F:$F,"&lt;&gt;"&amp;""))</f>
        <v/>
      </c>
      <c r="M139" s="166" t="str">
        <f>IF(C139="","",COUNTIFS(Başvuru!$D:$D,C139,Başvuru!$L:$L,"GÖRÜŞ",Başvuru!$A:$A,"&lt;&gt;"&amp;"",Başvuru!$F:$F,"&lt;&gt;"&amp;""))</f>
        <v/>
      </c>
      <c r="N139" s="167" t="str">
        <f>IF(C139="","",COUNTIFS(Başvuru!$D:$D,C139,Başvuru!$L:$L,"RET",Başvuru!$A:$A,"&lt;&gt;"&amp;"",Başvuru!$F:$F,"&lt;&gt;"&amp;""))</f>
        <v/>
      </c>
      <c r="O139" s="168" t="str">
        <f>IF(C139="","",COUNTIFS(Başvuru!$D:$D,C139,Başvuru!$L:$L,"KAPSAM DIŞI",Başvuru!$A:$A,"&lt;&gt;"&amp;"",Başvuru!$F:$F,"&lt;&gt;"&amp;""))</f>
        <v/>
      </c>
      <c r="P139" s="169" t="str">
        <f>IF(C139="","",COUNTIFS(Başvuru!$D:$D,C139,Başvuru!$L:$L,"GERİ ÇEKİLDİ",Başvuru!$A:$A,"&lt;&gt;"&amp;"",Başvuru!$F:$F,"&lt;&gt;"&amp;""))</f>
        <v/>
      </c>
      <c r="Q139" s="170" t="str">
        <f>IFERROR(INDEX(Başvuru!$D$2:$D$1851,MATCH(134,Başvuru!$Z$2:$Z$1851,0)),"")</f>
        <v/>
      </c>
      <c r="R139" s="171" t="str">
        <f>IF(Q139="","",COUNTIFS(Başvuru!$D:$D,Q139,Başvuru!$A:$A,"&lt;&gt;"&amp;"",Başvuru!$F:$F,"&lt;&gt;"&amp;""))</f>
        <v/>
      </c>
      <c r="S139" s="171" t="str">
        <f>IF(R139="","",RANK(R139,$R$6:$R$155,0)+COUNTIF($R$6:R139,R139)-1)</f>
        <v/>
      </c>
    </row>
    <row r="140" spans="2:19" x14ac:dyDescent="0.25">
      <c r="B140" s="159">
        <v>135</v>
      </c>
      <c r="C140" s="160" t="str">
        <f>IFERROR(INDEX($Q$6:$Q$155,MATCH(135,$S$6:$S$155,0)),"")</f>
        <v/>
      </c>
      <c r="D140" s="161" t="str">
        <f>IF(C140="","",COUNTIFS(Başvuru!$D:$D,C140,Başvuru!$A:$A,"&lt;&gt;"&amp;"",Başvuru!$F:$F,"&lt;&gt;"&amp;""))</f>
        <v/>
      </c>
      <c r="E140" s="159" t="str">
        <f>IF(C140="","-",IF(D140&gt;0,TEXT(D140/(COUNTIFS(Başvuru!$A:$A,"&lt;&gt;",Başvuru!$F:$F,"&lt;&gt;")-1)*100,"0.0")&amp;"%","-"))</f>
        <v>-</v>
      </c>
      <c r="F140" s="162" t="str">
        <f>IF(C140="","",COUNTIFS(Başvuru!$D:$D,C140,Başvuru!$G:$G,"Bireysel Araştırma",Başvuru!$A:$A,"&lt;&gt;"&amp;"",Başvuru!$F:$F,"&lt;&gt;"&amp;""))</f>
        <v/>
      </c>
      <c r="G140" s="162" t="str">
        <f>IF(C140="","",COUNTIFS(Başvuru!$D:$D,C140,Başvuru!$G:$G,"Uzmanlık Tezi",Başvuru!$A:$A,"&lt;&gt;"&amp;"",Başvuru!$F:$F,"&lt;&gt;"&amp;""))</f>
        <v/>
      </c>
      <c r="H140" s="162" t="str">
        <f>IF(C140="","",COUNTIFS(Başvuru!$D:$D,C140,Başvuru!$G:$G,"Doktora Tezi",Başvuru!$A:$A,"&lt;&gt;"&amp;"",Başvuru!$F:$F,"&lt;&gt;"&amp;""))</f>
        <v/>
      </c>
      <c r="I140" s="162" t="str">
        <f>IF(C140="","",COUNTIFS(Başvuru!$D:$D,C140,Başvuru!$G:$G,"Yüksek Lisans Tezi",Başvuru!$A:$A,"&lt;&gt;"&amp;"",Başvuru!$F:$F,"&lt;&gt;"&amp;""))</f>
        <v/>
      </c>
      <c r="J140" s="163" t="str">
        <f>IF(C140="","",COUNTIFS(Başvuru!$D:$D,C140,Başvuru!$L:$L,"ONAY",Başvuru!$A:$A,"&lt;&gt;"&amp;"",Başvuru!$F:$F,"&lt;&gt;"&amp;""))</f>
        <v/>
      </c>
      <c r="K140" s="164" t="str">
        <f>IF(C140="","",COUNTIFS(Başvuru!$D:$D,C140,Başvuru!$L:$L,"DÜZELTME",Başvuru!$A:$A,"&lt;&gt;"&amp;"",Başvuru!$F:$F,"&lt;&gt;"&amp;""))</f>
        <v/>
      </c>
      <c r="L140" s="165" t="str">
        <f>IF(C140="","",COUNTIFS(Başvuru!$D:$D,C140,Başvuru!$L:$L,"KAEK",Başvuru!$A:$A,"&lt;&gt;"&amp;"",Başvuru!$F:$F,"&lt;&gt;"&amp;""))</f>
        <v/>
      </c>
      <c r="M140" s="166" t="str">
        <f>IF(C140="","",COUNTIFS(Başvuru!$D:$D,C140,Başvuru!$L:$L,"GÖRÜŞ",Başvuru!$A:$A,"&lt;&gt;"&amp;"",Başvuru!$F:$F,"&lt;&gt;"&amp;""))</f>
        <v/>
      </c>
      <c r="N140" s="167" t="str">
        <f>IF(C140="","",COUNTIFS(Başvuru!$D:$D,C140,Başvuru!$L:$L,"RET",Başvuru!$A:$A,"&lt;&gt;"&amp;"",Başvuru!$F:$F,"&lt;&gt;"&amp;""))</f>
        <v/>
      </c>
      <c r="O140" s="168" t="str">
        <f>IF(C140="","",COUNTIFS(Başvuru!$D:$D,C140,Başvuru!$L:$L,"KAPSAM DIŞI",Başvuru!$A:$A,"&lt;&gt;"&amp;"",Başvuru!$F:$F,"&lt;&gt;"&amp;""))</f>
        <v/>
      </c>
      <c r="P140" s="169" t="str">
        <f>IF(C140="","",COUNTIFS(Başvuru!$D:$D,C140,Başvuru!$L:$L,"GERİ ÇEKİLDİ",Başvuru!$A:$A,"&lt;&gt;"&amp;"",Başvuru!$F:$F,"&lt;&gt;"&amp;""))</f>
        <v/>
      </c>
      <c r="Q140" s="170" t="str">
        <f>IFERROR(INDEX(Başvuru!$D$2:$D$1851,MATCH(135,Başvuru!$Z$2:$Z$1851,0)),"")</f>
        <v/>
      </c>
      <c r="R140" s="171" t="str">
        <f>IF(Q140="","",COUNTIFS(Başvuru!$D:$D,Q140,Başvuru!$A:$A,"&lt;&gt;"&amp;"",Başvuru!$F:$F,"&lt;&gt;"&amp;""))</f>
        <v/>
      </c>
      <c r="S140" s="171" t="str">
        <f>IF(R140="","",RANK(R140,$R$6:$R$155,0)+COUNTIF($R$6:R140,R140)-1)</f>
        <v/>
      </c>
    </row>
    <row r="141" spans="2:19" x14ac:dyDescent="0.25">
      <c r="B141" s="159">
        <v>136</v>
      </c>
      <c r="C141" s="160" t="str">
        <f>IFERROR(INDEX($Q$6:$Q$155,MATCH(136,$S$6:$S$155,0)),"")</f>
        <v/>
      </c>
      <c r="D141" s="161" t="str">
        <f>IF(C141="","",COUNTIFS(Başvuru!$D:$D,C141,Başvuru!$A:$A,"&lt;&gt;"&amp;"",Başvuru!$F:$F,"&lt;&gt;"&amp;""))</f>
        <v/>
      </c>
      <c r="E141" s="159" t="str">
        <f>IF(C141="","-",IF(D141&gt;0,TEXT(D141/(COUNTIFS(Başvuru!$A:$A,"&lt;&gt;",Başvuru!$F:$F,"&lt;&gt;")-1)*100,"0.0")&amp;"%","-"))</f>
        <v>-</v>
      </c>
      <c r="F141" s="162" t="str">
        <f>IF(C141="","",COUNTIFS(Başvuru!$D:$D,C141,Başvuru!$G:$G,"Bireysel Araştırma",Başvuru!$A:$A,"&lt;&gt;"&amp;"",Başvuru!$F:$F,"&lt;&gt;"&amp;""))</f>
        <v/>
      </c>
      <c r="G141" s="162" t="str">
        <f>IF(C141="","",COUNTIFS(Başvuru!$D:$D,C141,Başvuru!$G:$G,"Uzmanlık Tezi",Başvuru!$A:$A,"&lt;&gt;"&amp;"",Başvuru!$F:$F,"&lt;&gt;"&amp;""))</f>
        <v/>
      </c>
      <c r="H141" s="162" t="str">
        <f>IF(C141="","",COUNTIFS(Başvuru!$D:$D,C141,Başvuru!$G:$G,"Doktora Tezi",Başvuru!$A:$A,"&lt;&gt;"&amp;"",Başvuru!$F:$F,"&lt;&gt;"&amp;""))</f>
        <v/>
      </c>
      <c r="I141" s="162" t="str">
        <f>IF(C141="","",COUNTIFS(Başvuru!$D:$D,C141,Başvuru!$G:$G,"Yüksek Lisans Tezi",Başvuru!$A:$A,"&lt;&gt;"&amp;"",Başvuru!$F:$F,"&lt;&gt;"&amp;""))</f>
        <v/>
      </c>
      <c r="J141" s="163" t="str">
        <f>IF(C141="","",COUNTIFS(Başvuru!$D:$D,C141,Başvuru!$L:$L,"ONAY",Başvuru!$A:$A,"&lt;&gt;"&amp;"",Başvuru!$F:$F,"&lt;&gt;"&amp;""))</f>
        <v/>
      </c>
      <c r="K141" s="164" t="str">
        <f>IF(C141="","",COUNTIFS(Başvuru!$D:$D,C141,Başvuru!$L:$L,"DÜZELTME",Başvuru!$A:$A,"&lt;&gt;"&amp;"",Başvuru!$F:$F,"&lt;&gt;"&amp;""))</f>
        <v/>
      </c>
      <c r="L141" s="165" t="str">
        <f>IF(C141="","",COUNTIFS(Başvuru!$D:$D,C141,Başvuru!$L:$L,"KAEK",Başvuru!$A:$A,"&lt;&gt;"&amp;"",Başvuru!$F:$F,"&lt;&gt;"&amp;""))</f>
        <v/>
      </c>
      <c r="M141" s="166" t="str">
        <f>IF(C141="","",COUNTIFS(Başvuru!$D:$D,C141,Başvuru!$L:$L,"GÖRÜŞ",Başvuru!$A:$A,"&lt;&gt;"&amp;"",Başvuru!$F:$F,"&lt;&gt;"&amp;""))</f>
        <v/>
      </c>
      <c r="N141" s="167" t="str">
        <f>IF(C141="","",COUNTIFS(Başvuru!$D:$D,C141,Başvuru!$L:$L,"RET",Başvuru!$A:$A,"&lt;&gt;"&amp;"",Başvuru!$F:$F,"&lt;&gt;"&amp;""))</f>
        <v/>
      </c>
      <c r="O141" s="168" t="str">
        <f>IF(C141="","",COUNTIFS(Başvuru!$D:$D,C141,Başvuru!$L:$L,"KAPSAM DIŞI",Başvuru!$A:$A,"&lt;&gt;"&amp;"",Başvuru!$F:$F,"&lt;&gt;"&amp;""))</f>
        <v/>
      </c>
      <c r="P141" s="169" t="str">
        <f>IF(C141="","",COUNTIFS(Başvuru!$D:$D,C141,Başvuru!$L:$L,"GERİ ÇEKİLDİ",Başvuru!$A:$A,"&lt;&gt;"&amp;"",Başvuru!$F:$F,"&lt;&gt;"&amp;""))</f>
        <v/>
      </c>
      <c r="Q141" s="170" t="str">
        <f>IFERROR(INDEX(Başvuru!$D$2:$D$1851,MATCH(136,Başvuru!$Z$2:$Z$1851,0)),"")</f>
        <v/>
      </c>
      <c r="R141" s="171" t="str">
        <f>IF(Q141="","",COUNTIFS(Başvuru!$D:$D,Q141,Başvuru!$A:$A,"&lt;&gt;"&amp;"",Başvuru!$F:$F,"&lt;&gt;"&amp;""))</f>
        <v/>
      </c>
      <c r="S141" s="171" t="str">
        <f>IF(R141="","",RANK(R141,$R$6:$R$155,0)+COUNTIF($R$6:R141,R141)-1)</f>
        <v/>
      </c>
    </row>
    <row r="142" spans="2:19" x14ac:dyDescent="0.25">
      <c r="B142" s="159">
        <v>137</v>
      </c>
      <c r="C142" s="160" t="str">
        <f>IFERROR(INDEX($Q$6:$Q$155,MATCH(137,$S$6:$S$155,0)),"")</f>
        <v/>
      </c>
      <c r="D142" s="161" t="str">
        <f>IF(C142="","",COUNTIFS(Başvuru!$D:$D,C142,Başvuru!$A:$A,"&lt;&gt;"&amp;"",Başvuru!$F:$F,"&lt;&gt;"&amp;""))</f>
        <v/>
      </c>
      <c r="E142" s="159" t="str">
        <f>IF(C142="","-",IF(D142&gt;0,TEXT(D142/(COUNTIFS(Başvuru!$A:$A,"&lt;&gt;",Başvuru!$F:$F,"&lt;&gt;")-1)*100,"0.0")&amp;"%","-"))</f>
        <v>-</v>
      </c>
      <c r="F142" s="162" t="str">
        <f>IF(C142="","",COUNTIFS(Başvuru!$D:$D,C142,Başvuru!$G:$G,"Bireysel Araştırma",Başvuru!$A:$A,"&lt;&gt;"&amp;"",Başvuru!$F:$F,"&lt;&gt;"&amp;""))</f>
        <v/>
      </c>
      <c r="G142" s="162" t="str">
        <f>IF(C142="","",COUNTIFS(Başvuru!$D:$D,C142,Başvuru!$G:$G,"Uzmanlık Tezi",Başvuru!$A:$A,"&lt;&gt;"&amp;"",Başvuru!$F:$F,"&lt;&gt;"&amp;""))</f>
        <v/>
      </c>
      <c r="H142" s="162" t="str">
        <f>IF(C142="","",COUNTIFS(Başvuru!$D:$D,C142,Başvuru!$G:$G,"Doktora Tezi",Başvuru!$A:$A,"&lt;&gt;"&amp;"",Başvuru!$F:$F,"&lt;&gt;"&amp;""))</f>
        <v/>
      </c>
      <c r="I142" s="162" t="str">
        <f>IF(C142="","",COUNTIFS(Başvuru!$D:$D,C142,Başvuru!$G:$G,"Yüksek Lisans Tezi",Başvuru!$A:$A,"&lt;&gt;"&amp;"",Başvuru!$F:$F,"&lt;&gt;"&amp;""))</f>
        <v/>
      </c>
      <c r="J142" s="163" t="str">
        <f>IF(C142="","",COUNTIFS(Başvuru!$D:$D,C142,Başvuru!$L:$L,"ONAY",Başvuru!$A:$A,"&lt;&gt;"&amp;"",Başvuru!$F:$F,"&lt;&gt;"&amp;""))</f>
        <v/>
      </c>
      <c r="K142" s="164" t="str">
        <f>IF(C142="","",COUNTIFS(Başvuru!$D:$D,C142,Başvuru!$L:$L,"DÜZELTME",Başvuru!$A:$A,"&lt;&gt;"&amp;"",Başvuru!$F:$F,"&lt;&gt;"&amp;""))</f>
        <v/>
      </c>
      <c r="L142" s="165" t="str">
        <f>IF(C142="","",COUNTIFS(Başvuru!$D:$D,C142,Başvuru!$L:$L,"KAEK",Başvuru!$A:$A,"&lt;&gt;"&amp;"",Başvuru!$F:$F,"&lt;&gt;"&amp;""))</f>
        <v/>
      </c>
      <c r="M142" s="166" t="str">
        <f>IF(C142="","",COUNTIFS(Başvuru!$D:$D,C142,Başvuru!$L:$L,"GÖRÜŞ",Başvuru!$A:$A,"&lt;&gt;"&amp;"",Başvuru!$F:$F,"&lt;&gt;"&amp;""))</f>
        <v/>
      </c>
      <c r="N142" s="167" t="str">
        <f>IF(C142="","",COUNTIFS(Başvuru!$D:$D,C142,Başvuru!$L:$L,"RET",Başvuru!$A:$A,"&lt;&gt;"&amp;"",Başvuru!$F:$F,"&lt;&gt;"&amp;""))</f>
        <v/>
      </c>
      <c r="O142" s="168" t="str">
        <f>IF(C142="","",COUNTIFS(Başvuru!$D:$D,C142,Başvuru!$L:$L,"KAPSAM DIŞI",Başvuru!$A:$A,"&lt;&gt;"&amp;"",Başvuru!$F:$F,"&lt;&gt;"&amp;""))</f>
        <v/>
      </c>
      <c r="P142" s="169" t="str">
        <f>IF(C142="","",COUNTIFS(Başvuru!$D:$D,C142,Başvuru!$L:$L,"GERİ ÇEKİLDİ",Başvuru!$A:$A,"&lt;&gt;"&amp;"",Başvuru!$F:$F,"&lt;&gt;"&amp;""))</f>
        <v/>
      </c>
      <c r="Q142" s="170" t="str">
        <f>IFERROR(INDEX(Başvuru!$D$2:$D$1851,MATCH(137,Başvuru!$Z$2:$Z$1851,0)),"")</f>
        <v/>
      </c>
      <c r="R142" s="171" t="str">
        <f>IF(Q142="","",COUNTIFS(Başvuru!$D:$D,Q142,Başvuru!$A:$A,"&lt;&gt;"&amp;"",Başvuru!$F:$F,"&lt;&gt;"&amp;""))</f>
        <v/>
      </c>
      <c r="S142" s="171" t="str">
        <f>IF(R142="","",RANK(R142,$R$6:$R$155,0)+COUNTIF($R$6:R142,R142)-1)</f>
        <v/>
      </c>
    </row>
    <row r="143" spans="2:19" x14ac:dyDescent="0.25">
      <c r="B143" s="159">
        <v>138</v>
      </c>
      <c r="C143" s="160" t="str">
        <f>IFERROR(INDEX($Q$6:$Q$155,MATCH(138,$S$6:$S$155,0)),"")</f>
        <v/>
      </c>
      <c r="D143" s="161" t="str">
        <f>IF(C143="","",COUNTIFS(Başvuru!$D:$D,C143,Başvuru!$A:$A,"&lt;&gt;"&amp;"",Başvuru!$F:$F,"&lt;&gt;"&amp;""))</f>
        <v/>
      </c>
      <c r="E143" s="159" t="str">
        <f>IF(C143="","-",IF(D143&gt;0,TEXT(D143/(COUNTIFS(Başvuru!$A:$A,"&lt;&gt;",Başvuru!$F:$F,"&lt;&gt;")-1)*100,"0.0")&amp;"%","-"))</f>
        <v>-</v>
      </c>
      <c r="F143" s="162" t="str">
        <f>IF(C143="","",COUNTIFS(Başvuru!$D:$D,C143,Başvuru!$G:$G,"Bireysel Araştırma",Başvuru!$A:$A,"&lt;&gt;"&amp;"",Başvuru!$F:$F,"&lt;&gt;"&amp;""))</f>
        <v/>
      </c>
      <c r="G143" s="162" t="str">
        <f>IF(C143="","",COUNTIFS(Başvuru!$D:$D,C143,Başvuru!$G:$G,"Uzmanlık Tezi",Başvuru!$A:$A,"&lt;&gt;"&amp;"",Başvuru!$F:$F,"&lt;&gt;"&amp;""))</f>
        <v/>
      </c>
      <c r="H143" s="162" t="str">
        <f>IF(C143="","",COUNTIFS(Başvuru!$D:$D,C143,Başvuru!$G:$G,"Doktora Tezi",Başvuru!$A:$A,"&lt;&gt;"&amp;"",Başvuru!$F:$F,"&lt;&gt;"&amp;""))</f>
        <v/>
      </c>
      <c r="I143" s="162" t="str">
        <f>IF(C143="","",COUNTIFS(Başvuru!$D:$D,C143,Başvuru!$G:$G,"Yüksek Lisans Tezi",Başvuru!$A:$A,"&lt;&gt;"&amp;"",Başvuru!$F:$F,"&lt;&gt;"&amp;""))</f>
        <v/>
      </c>
      <c r="J143" s="163" t="str">
        <f>IF(C143="","",COUNTIFS(Başvuru!$D:$D,C143,Başvuru!$L:$L,"ONAY",Başvuru!$A:$A,"&lt;&gt;"&amp;"",Başvuru!$F:$F,"&lt;&gt;"&amp;""))</f>
        <v/>
      </c>
      <c r="K143" s="164" t="str">
        <f>IF(C143="","",COUNTIFS(Başvuru!$D:$D,C143,Başvuru!$L:$L,"DÜZELTME",Başvuru!$A:$A,"&lt;&gt;"&amp;"",Başvuru!$F:$F,"&lt;&gt;"&amp;""))</f>
        <v/>
      </c>
      <c r="L143" s="165" t="str">
        <f>IF(C143="","",COUNTIFS(Başvuru!$D:$D,C143,Başvuru!$L:$L,"KAEK",Başvuru!$A:$A,"&lt;&gt;"&amp;"",Başvuru!$F:$F,"&lt;&gt;"&amp;""))</f>
        <v/>
      </c>
      <c r="M143" s="166" t="str">
        <f>IF(C143="","",COUNTIFS(Başvuru!$D:$D,C143,Başvuru!$L:$L,"GÖRÜŞ",Başvuru!$A:$A,"&lt;&gt;"&amp;"",Başvuru!$F:$F,"&lt;&gt;"&amp;""))</f>
        <v/>
      </c>
      <c r="N143" s="167" t="str">
        <f>IF(C143="","",COUNTIFS(Başvuru!$D:$D,C143,Başvuru!$L:$L,"RET",Başvuru!$A:$A,"&lt;&gt;"&amp;"",Başvuru!$F:$F,"&lt;&gt;"&amp;""))</f>
        <v/>
      </c>
      <c r="O143" s="168" t="str">
        <f>IF(C143="","",COUNTIFS(Başvuru!$D:$D,C143,Başvuru!$L:$L,"KAPSAM DIŞI",Başvuru!$A:$A,"&lt;&gt;"&amp;"",Başvuru!$F:$F,"&lt;&gt;"&amp;""))</f>
        <v/>
      </c>
      <c r="P143" s="169" t="str">
        <f>IF(C143="","",COUNTIFS(Başvuru!$D:$D,C143,Başvuru!$L:$L,"GERİ ÇEKİLDİ",Başvuru!$A:$A,"&lt;&gt;"&amp;"",Başvuru!$F:$F,"&lt;&gt;"&amp;""))</f>
        <v/>
      </c>
      <c r="Q143" s="170" t="str">
        <f>IFERROR(INDEX(Başvuru!$D$2:$D$1851,MATCH(138,Başvuru!$Z$2:$Z$1851,0)),"")</f>
        <v/>
      </c>
      <c r="R143" s="171" t="str">
        <f>IF(Q143="","",COUNTIFS(Başvuru!$D:$D,Q143,Başvuru!$A:$A,"&lt;&gt;"&amp;"",Başvuru!$F:$F,"&lt;&gt;"&amp;""))</f>
        <v/>
      </c>
      <c r="S143" s="171" t="str">
        <f>IF(R143="","",RANK(R143,$R$6:$R$155,0)+COUNTIF($R$6:R143,R143)-1)</f>
        <v/>
      </c>
    </row>
    <row r="144" spans="2:19" x14ac:dyDescent="0.25">
      <c r="B144" s="159">
        <v>139</v>
      </c>
      <c r="C144" s="160" t="str">
        <f>IFERROR(INDEX($Q$6:$Q$155,MATCH(139,$S$6:$S$155,0)),"")</f>
        <v/>
      </c>
      <c r="D144" s="161" t="str">
        <f>IF(C144="","",COUNTIFS(Başvuru!$D:$D,C144,Başvuru!$A:$A,"&lt;&gt;"&amp;"",Başvuru!$F:$F,"&lt;&gt;"&amp;""))</f>
        <v/>
      </c>
      <c r="E144" s="159" t="str">
        <f>IF(C144="","-",IF(D144&gt;0,TEXT(D144/(COUNTIFS(Başvuru!$A:$A,"&lt;&gt;",Başvuru!$F:$F,"&lt;&gt;")-1)*100,"0.0")&amp;"%","-"))</f>
        <v>-</v>
      </c>
      <c r="F144" s="162" t="str">
        <f>IF(C144="","",COUNTIFS(Başvuru!$D:$D,C144,Başvuru!$G:$G,"Bireysel Araştırma",Başvuru!$A:$A,"&lt;&gt;"&amp;"",Başvuru!$F:$F,"&lt;&gt;"&amp;""))</f>
        <v/>
      </c>
      <c r="G144" s="162" t="str">
        <f>IF(C144="","",COUNTIFS(Başvuru!$D:$D,C144,Başvuru!$G:$G,"Uzmanlık Tezi",Başvuru!$A:$A,"&lt;&gt;"&amp;"",Başvuru!$F:$F,"&lt;&gt;"&amp;""))</f>
        <v/>
      </c>
      <c r="H144" s="162" t="str">
        <f>IF(C144="","",COUNTIFS(Başvuru!$D:$D,C144,Başvuru!$G:$G,"Doktora Tezi",Başvuru!$A:$A,"&lt;&gt;"&amp;"",Başvuru!$F:$F,"&lt;&gt;"&amp;""))</f>
        <v/>
      </c>
      <c r="I144" s="162" t="str">
        <f>IF(C144="","",COUNTIFS(Başvuru!$D:$D,C144,Başvuru!$G:$G,"Yüksek Lisans Tezi",Başvuru!$A:$A,"&lt;&gt;"&amp;"",Başvuru!$F:$F,"&lt;&gt;"&amp;""))</f>
        <v/>
      </c>
      <c r="J144" s="163" t="str">
        <f>IF(C144="","",COUNTIFS(Başvuru!$D:$D,C144,Başvuru!$L:$L,"ONAY",Başvuru!$A:$A,"&lt;&gt;"&amp;"",Başvuru!$F:$F,"&lt;&gt;"&amp;""))</f>
        <v/>
      </c>
      <c r="K144" s="164" t="str">
        <f>IF(C144="","",COUNTIFS(Başvuru!$D:$D,C144,Başvuru!$L:$L,"DÜZELTME",Başvuru!$A:$A,"&lt;&gt;"&amp;"",Başvuru!$F:$F,"&lt;&gt;"&amp;""))</f>
        <v/>
      </c>
      <c r="L144" s="165" t="str">
        <f>IF(C144="","",COUNTIFS(Başvuru!$D:$D,C144,Başvuru!$L:$L,"KAEK",Başvuru!$A:$A,"&lt;&gt;"&amp;"",Başvuru!$F:$F,"&lt;&gt;"&amp;""))</f>
        <v/>
      </c>
      <c r="M144" s="166" t="str">
        <f>IF(C144="","",COUNTIFS(Başvuru!$D:$D,C144,Başvuru!$L:$L,"GÖRÜŞ",Başvuru!$A:$A,"&lt;&gt;"&amp;"",Başvuru!$F:$F,"&lt;&gt;"&amp;""))</f>
        <v/>
      </c>
      <c r="N144" s="167" t="str">
        <f>IF(C144="","",COUNTIFS(Başvuru!$D:$D,C144,Başvuru!$L:$L,"RET",Başvuru!$A:$A,"&lt;&gt;"&amp;"",Başvuru!$F:$F,"&lt;&gt;"&amp;""))</f>
        <v/>
      </c>
      <c r="O144" s="168" t="str">
        <f>IF(C144="","",COUNTIFS(Başvuru!$D:$D,C144,Başvuru!$L:$L,"KAPSAM DIŞI",Başvuru!$A:$A,"&lt;&gt;"&amp;"",Başvuru!$F:$F,"&lt;&gt;"&amp;""))</f>
        <v/>
      </c>
      <c r="P144" s="169" t="str">
        <f>IF(C144="","",COUNTIFS(Başvuru!$D:$D,C144,Başvuru!$L:$L,"GERİ ÇEKİLDİ",Başvuru!$A:$A,"&lt;&gt;"&amp;"",Başvuru!$F:$F,"&lt;&gt;"&amp;""))</f>
        <v/>
      </c>
      <c r="Q144" s="170" t="str">
        <f>IFERROR(INDEX(Başvuru!$D$2:$D$1851,MATCH(139,Başvuru!$Z$2:$Z$1851,0)),"")</f>
        <v/>
      </c>
      <c r="R144" s="171" t="str">
        <f>IF(Q144="","",COUNTIFS(Başvuru!$D:$D,Q144,Başvuru!$A:$A,"&lt;&gt;"&amp;"",Başvuru!$F:$F,"&lt;&gt;"&amp;""))</f>
        <v/>
      </c>
      <c r="S144" s="171" t="str">
        <f>IF(R144="","",RANK(R144,$R$6:$R$155,0)+COUNTIF($R$6:R144,R144)-1)</f>
        <v/>
      </c>
    </row>
    <row r="145" spans="2:19" x14ac:dyDescent="0.25">
      <c r="B145" s="159">
        <v>140</v>
      </c>
      <c r="C145" s="160" t="str">
        <f>IFERROR(INDEX($Q$6:$Q$155,MATCH(140,$S$6:$S$155,0)),"")</f>
        <v/>
      </c>
      <c r="D145" s="161" t="str">
        <f>IF(C145="","",COUNTIFS(Başvuru!$D:$D,C145,Başvuru!$A:$A,"&lt;&gt;"&amp;"",Başvuru!$F:$F,"&lt;&gt;"&amp;""))</f>
        <v/>
      </c>
      <c r="E145" s="159" t="str">
        <f>IF(C145="","-",IF(D145&gt;0,TEXT(D145/(COUNTIFS(Başvuru!$A:$A,"&lt;&gt;",Başvuru!$F:$F,"&lt;&gt;")-1)*100,"0.0")&amp;"%","-"))</f>
        <v>-</v>
      </c>
      <c r="F145" s="162" t="str">
        <f>IF(C145="","",COUNTIFS(Başvuru!$D:$D,C145,Başvuru!$G:$G,"Bireysel Araştırma",Başvuru!$A:$A,"&lt;&gt;"&amp;"",Başvuru!$F:$F,"&lt;&gt;"&amp;""))</f>
        <v/>
      </c>
      <c r="G145" s="162" t="str">
        <f>IF(C145="","",COUNTIFS(Başvuru!$D:$D,C145,Başvuru!$G:$G,"Uzmanlık Tezi",Başvuru!$A:$A,"&lt;&gt;"&amp;"",Başvuru!$F:$F,"&lt;&gt;"&amp;""))</f>
        <v/>
      </c>
      <c r="H145" s="162" t="str">
        <f>IF(C145="","",COUNTIFS(Başvuru!$D:$D,C145,Başvuru!$G:$G,"Doktora Tezi",Başvuru!$A:$A,"&lt;&gt;"&amp;"",Başvuru!$F:$F,"&lt;&gt;"&amp;""))</f>
        <v/>
      </c>
      <c r="I145" s="162" t="str">
        <f>IF(C145="","",COUNTIFS(Başvuru!$D:$D,C145,Başvuru!$G:$G,"Yüksek Lisans Tezi",Başvuru!$A:$A,"&lt;&gt;"&amp;"",Başvuru!$F:$F,"&lt;&gt;"&amp;""))</f>
        <v/>
      </c>
      <c r="J145" s="163" t="str">
        <f>IF(C145="","",COUNTIFS(Başvuru!$D:$D,C145,Başvuru!$L:$L,"ONAY",Başvuru!$A:$A,"&lt;&gt;"&amp;"",Başvuru!$F:$F,"&lt;&gt;"&amp;""))</f>
        <v/>
      </c>
      <c r="K145" s="164" t="str">
        <f>IF(C145="","",COUNTIFS(Başvuru!$D:$D,C145,Başvuru!$L:$L,"DÜZELTME",Başvuru!$A:$A,"&lt;&gt;"&amp;"",Başvuru!$F:$F,"&lt;&gt;"&amp;""))</f>
        <v/>
      </c>
      <c r="L145" s="165" t="str">
        <f>IF(C145="","",COUNTIFS(Başvuru!$D:$D,C145,Başvuru!$L:$L,"KAEK",Başvuru!$A:$A,"&lt;&gt;"&amp;"",Başvuru!$F:$F,"&lt;&gt;"&amp;""))</f>
        <v/>
      </c>
      <c r="M145" s="166" t="str">
        <f>IF(C145="","",COUNTIFS(Başvuru!$D:$D,C145,Başvuru!$L:$L,"GÖRÜŞ",Başvuru!$A:$A,"&lt;&gt;"&amp;"",Başvuru!$F:$F,"&lt;&gt;"&amp;""))</f>
        <v/>
      </c>
      <c r="N145" s="167" t="str">
        <f>IF(C145="","",COUNTIFS(Başvuru!$D:$D,C145,Başvuru!$L:$L,"RET",Başvuru!$A:$A,"&lt;&gt;"&amp;"",Başvuru!$F:$F,"&lt;&gt;"&amp;""))</f>
        <v/>
      </c>
      <c r="O145" s="168" t="str">
        <f>IF(C145="","",COUNTIFS(Başvuru!$D:$D,C145,Başvuru!$L:$L,"KAPSAM DIŞI",Başvuru!$A:$A,"&lt;&gt;"&amp;"",Başvuru!$F:$F,"&lt;&gt;"&amp;""))</f>
        <v/>
      </c>
      <c r="P145" s="169" t="str">
        <f>IF(C145="","",COUNTIFS(Başvuru!$D:$D,C145,Başvuru!$L:$L,"GERİ ÇEKİLDİ",Başvuru!$A:$A,"&lt;&gt;"&amp;"",Başvuru!$F:$F,"&lt;&gt;"&amp;""))</f>
        <v/>
      </c>
      <c r="Q145" s="170" t="str">
        <f>IFERROR(INDEX(Başvuru!$D$2:$D$1851,MATCH(140,Başvuru!$Z$2:$Z$1851,0)),"")</f>
        <v/>
      </c>
      <c r="R145" s="171" t="str">
        <f>IF(Q145="","",COUNTIFS(Başvuru!$D:$D,Q145,Başvuru!$A:$A,"&lt;&gt;"&amp;"",Başvuru!$F:$F,"&lt;&gt;"&amp;""))</f>
        <v/>
      </c>
      <c r="S145" s="171" t="str">
        <f>IF(R145="","",RANK(R145,$R$6:$R$155,0)+COUNTIF($R$6:R145,R145)-1)</f>
        <v/>
      </c>
    </row>
    <row r="146" spans="2:19" x14ac:dyDescent="0.25">
      <c r="B146" s="159">
        <v>141</v>
      </c>
      <c r="C146" s="160" t="str">
        <f>IFERROR(INDEX($Q$6:$Q$155,MATCH(141,$S$6:$S$155,0)),"")</f>
        <v/>
      </c>
      <c r="D146" s="161" t="str">
        <f>IF(C146="","",COUNTIFS(Başvuru!$D:$D,C146,Başvuru!$A:$A,"&lt;&gt;"&amp;"",Başvuru!$F:$F,"&lt;&gt;"&amp;""))</f>
        <v/>
      </c>
      <c r="E146" s="159" t="str">
        <f>IF(C146="","-",IF(D146&gt;0,TEXT(D146/(COUNTIFS(Başvuru!$A:$A,"&lt;&gt;",Başvuru!$F:$F,"&lt;&gt;")-1)*100,"0.0")&amp;"%","-"))</f>
        <v>-</v>
      </c>
      <c r="F146" s="162" t="str">
        <f>IF(C146="","",COUNTIFS(Başvuru!$D:$D,C146,Başvuru!$G:$G,"Bireysel Araştırma",Başvuru!$A:$A,"&lt;&gt;"&amp;"",Başvuru!$F:$F,"&lt;&gt;"&amp;""))</f>
        <v/>
      </c>
      <c r="G146" s="162" t="str">
        <f>IF(C146="","",COUNTIFS(Başvuru!$D:$D,C146,Başvuru!$G:$G,"Uzmanlık Tezi",Başvuru!$A:$A,"&lt;&gt;"&amp;"",Başvuru!$F:$F,"&lt;&gt;"&amp;""))</f>
        <v/>
      </c>
      <c r="H146" s="162" t="str">
        <f>IF(C146="","",COUNTIFS(Başvuru!$D:$D,C146,Başvuru!$G:$G,"Doktora Tezi",Başvuru!$A:$A,"&lt;&gt;"&amp;"",Başvuru!$F:$F,"&lt;&gt;"&amp;""))</f>
        <v/>
      </c>
      <c r="I146" s="162" t="str">
        <f>IF(C146="","",COUNTIFS(Başvuru!$D:$D,C146,Başvuru!$G:$G,"Yüksek Lisans Tezi",Başvuru!$A:$A,"&lt;&gt;"&amp;"",Başvuru!$F:$F,"&lt;&gt;"&amp;""))</f>
        <v/>
      </c>
      <c r="J146" s="163" t="str">
        <f>IF(C146="","",COUNTIFS(Başvuru!$D:$D,C146,Başvuru!$L:$L,"ONAY",Başvuru!$A:$A,"&lt;&gt;"&amp;"",Başvuru!$F:$F,"&lt;&gt;"&amp;""))</f>
        <v/>
      </c>
      <c r="K146" s="164" t="str">
        <f>IF(C146="","",COUNTIFS(Başvuru!$D:$D,C146,Başvuru!$L:$L,"DÜZELTME",Başvuru!$A:$A,"&lt;&gt;"&amp;"",Başvuru!$F:$F,"&lt;&gt;"&amp;""))</f>
        <v/>
      </c>
      <c r="L146" s="165" t="str">
        <f>IF(C146="","",COUNTIFS(Başvuru!$D:$D,C146,Başvuru!$L:$L,"KAEK",Başvuru!$A:$A,"&lt;&gt;"&amp;"",Başvuru!$F:$F,"&lt;&gt;"&amp;""))</f>
        <v/>
      </c>
      <c r="M146" s="166" t="str">
        <f>IF(C146="","",COUNTIFS(Başvuru!$D:$D,C146,Başvuru!$L:$L,"GÖRÜŞ",Başvuru!$A:$A,"&lt;&gt;"&amp;"",Başvuru!$F:$F,"&lt;&gt;"&amp;""))</f>
        <v/>
      </c>
      <c r="N146" s="167" t="str">
        <f>IF(C146="","",COUNTIFS(Başvuru!$D:$D,C146,Başvuru!$L:$L,"RET",Başvuru!$A:$A,"&lt;&gt;"&amp;"",Başvuru!$F:$F,"&lt;&gt;"&amp;""))</f>
        <v/>
      </c>
      <c r="O146" s="168" t="str">
        <f>IF(C146="","",COUNTIFS(Başvuru!$D:$D,C146,Başvuru!$L:$L,"KAPSAM DIŞI",Başvuru!$A:$A,"&lt;&gt;"&amp;"",Başvuru!$F:$F,"&lt;&gt;"&amp;""))</f>
        <v/>
      </c>
      <c r="P146" s="169" t="str">
        <f>IF(C146="","",COUNTIFS(Başvuru!$D:$D,C146,Başvuru!$L:$L,"GERİ ÇEKİLDİ",Başvuru!$A:$A,"&lt;&gt;"&amp;"",Başvuru!$F:$F,"&lt;&gt;"&amp;""))</f>
        <v/>
      </c>
      <c r="Q146" s="170" t="str">
        <f>IFERROR(INDEX(Başvuru!$D$2:$D$1851,MATCH(141,Başvuru!$Z$2:$Z$1851,0)),"")</f>
        <v/>
      </c>
      <c r="R146" s="171" t="str">
        <f>IF(Q146="","",COUNTIFS(Başvuru!$D:$D,Q146,Başvuru!$A:$A,"&lt;&gt;"&amp;"",Başvuru!$F:$F,"&lt;&gt;"&amp;""))</f>
        <v/>
      </c>
      <c r="S146" s="171" t="str">
        <f>IF(R146="","",RANK(R146,$R$6:$R$155,0)+COUNTIF($R$6:R146,R146)-1)</f>
        <v/>
      </c>
    </row>
    <row r="147" spans="2:19" x14ac:dyDescent="0.25">
      <c r="B147" s="159">
        <v>142</v>
      </c>
      <c r="C147" s="160" t="str">
        <f>IFERROR(INDEX($Q$6:$Q$155,MATCH(142,$S$6:$S$155,0)),"")</f>
        <v/>
      </c>
      <c r="D147" s="161" t="str">
        <f>IF(C147="","",COUNTIFS(Başvuru!$D:$D,C147,Başvuru!$A:$A,"&lt;&gt;"&amp;"",Başvuru!$F:$F,"&lt;&gt;"&amp;""))</f>
        <v/>
      </c>
      <c r="E147" s="159" t="str">
        <f>IF(C147="","-",IF(D147&gt;0,TEXT(D147/(COUNTIFS(Başvuru!$A:$A,"&lt;&gt;",Başvuru!$F:$F,"&lt;&gt;")-1)*100,"0.0")&amp;"%","-"))</f>
        <v>-</v>
      </c>
      <c r="F147" s="162" t="str">
        <f>IF(C147="","",COUNTIFS(Başvuru!$D:$D,C147,Başvuru!$G:$G,"Bireysel Araştırma",Başvuru!$A:$A,"&lt;&gt;"&amp;"",Başvuru!$F:$F,"&lt;&gt;"&amp;""))</f>
        <v/>
      </c>
      <c r="G147" s="162" t="str">
        <f>IF(C147="","",COUNTIFS(Başvuru!$D:$D,C147,Başvuru!$G:$G,"Uzmanlık Tezi",Başvuru!$A:$A,"&lt;&gt;"&amp;"",Başvuru!$F:$F,"&lt;&gt;"&amp;""))</f>
        <v/>
      </c>
      <c r="H147" s="162" t="str">
        <f>IF(C147="","",COUNTIFS(Başvuru!$D:$D,C147,Başvuru!$G:$G,"Doktora Tezi",Başvuru!$A:$A,"&lt;&gt;"&amp;"",Başvuru!$F:$F,"&lt;&gt;"&amp;""))</f>
        <v/>
      </c>
      <c r="I147" s="162" t="str">
        <f>IF(C147="","",COUNTIFS(Başvuru!$D:$D,C147,Başvuru!$G:$G,"Yüksek Lisans Tezi",Başvuru!$A:$A,"&lt;&gt;"&amp;"",Başvuru!$F:$F,"&lt;&gt;"&amp;""))</f>
        <v/>
      </c>
      <c r="J147" s="163" t="str">
        <f>IF(C147="","",COUNTIFS(Başvuru!$D:$D,C147,Başvuru!$L:$L,"ONAY",Başvuru!$A:$A,"&lt;&gt;"&amp;"",Başvuru!$F:$F,"&lt;&gt;"&amp;""))</f>
        <v/>
      </c>
      <c r="K147" s="164" t="str">
        <f>IF(C147="","",COUNTIFS(Başvuru!$D:$D,C147,Başvuru!$L:$L,"DÜZELTME",Başvuru!$A:$A,"&lt;&gt;"&amp;"",Başvuru!$F:$F,"&lt;&gt;"&amp;""))</f>
        <v/>
      </c>
      <c r="L147" s="165" t="str">
        <f>IF(C147="","",COUNTIFS(Başvuru!$D:$D,C147,Başvuru!$L:$L,"KAEK",Başvuru!$A:$A,"&lt;&gt;"&amp;"",Başvuru!$F:$F,"&lt;&gt;"&amp;""))</f>
        <v/>
      </c>
      <c r="M147" s="166" t="str">
        <f>IF(C147="","",COUNTIFS(Başvuru!$D:$D,C147,Başvuru!$L:$L,"GÖRÜŞ",Başvuru!$A:$A,"&lt;&gt;"&amp;"",Başvuru!$F:$F,"&lt;&gt;"&amp;""))</f>
        <v/>
      </c>
      <c r="N147" s="167" t="str">
        <f>IF(C147="","",COUNTIFS(Başvuru!$D:$D,C147,Başvuru!$L:$L,"RET",Başvuru!$A:$A,"&lt;&gt;"&amp;"",Başvuru!$F:$F,"&lt;&gt;"&amp;""))</f>
        <v/>
      </c>
      <c r="O147" s="168" t="str">
        <f>IF(C147="","",COUNTIFS(Başvuru!$D:$D,C147,Başvuru!$L:$L,"KAPSAM DIŞI",Başvuru!$A:$A,"&lt;&gt;"&amp;"",Başvuru!$F:$F,"&lt;&gt;"&amp;""))</f>
        <v/>
      </c>
      <c r="P147" s="169" t="str">
        <f>IF(C147="","",COUNTIFS(Başvuru!$D:$D,C147,Başvuru!$L:$L,"GERİ ÇEKİLDİ",Başvuru!$A:$A,"&lt;&gt;"&amp;"",Başvuru!$F:$F,"&lt;&gt;"&amp;""))</f>
        <v/>
      </c>
      <c r="Q147" s="170" t="str">
        <f>IFERROR(INDEX(Başvuru!$D$2:$D$1851,MATCH(142,Başvuru!$Z$2:$Z$1851,0)),"")</f>
        <v/>
      </c>
      <c r="R147" s="171" t="str">
        <f>IF(Q147="","",COUNTIFS(Başvuru!$D:$D,Q147,Başvuru!$A:$A,"&lt;&gt;"&amp;"",Başvuru!$F:$F,"&lt;&gt;"&amp;""))</f>
        <v/>
      </c>
      <c r="S147" s="171" t="str">
        <f>IF(R147="","",RANK(R147,$R$6:$R$155,0)+COUNTIF($R$6:R147,R147)-1)</f>
        <v/>
      </c>
    </row>
    <row r="148" spans="2:19" x14ac:dyDescent="0.25">
      <c r="B148" s="159">
        <v>143</v>
      </c>
      <c r="C148" s="160" t="str">
        <f>IFERROR(INDEX($Q$6:$Q$155,MATCH(143,$S$6:$S$155,0)),"")</f>
        <v/>
      </c>
      <c r="D148" s="161" t="str">
        <f>IF(C148="","",COUNTIFS(Başvuru!$D:$D,C148,Başvuru!$A:$A,"&lt;&gt;"&amp;"",Başvuru!$F:$F,"&lt;&gt;"&amp;""))</f>
        <v/>
      </c>
      <c r="E148" s="159" t="str">
        <f>IF(C148="","-",IF(D148&gt;0,TEXT(D148/(COUNTIFS(Başvuru!$A:$A,"&lt;&gt;",Başvuru!$F:$F,"&lt;&gt;")-1)*100,"0.0")&amp;"%","-"))</f>
        <v>-</v>
      </c>
      <c r="F148" s="162" t="str">
        <f>IF(C148="","",COUNTIFS(Başvuru!$D:$D,C148,Başvuru!$G:$G,"Bireysel Araştırma",Başvuru!$A:$A,"&lt;&gt;"&amp;"",Başvuru!$F:$F,"&lt;&gt;"&amp;""))</f>
        <v/>
      </c>
      <c r="G148" s="162" t="str">
        <f>IF(C148="","",COUNTIFS(Başvuru!$D:$D,C148,Başvuru!$G:$G,"Uzmanlık Tezi",Başvuru!$A:$A,"&lt;&gt;"&amp;"",Başvuru!$F:$F,"&lt;&gt;"&amp;""))</f>
        <v/>
      </c>
      <c r="H148" s="162" t="str">
        <f>IF(C148="","",COUNTIFS(Başvuru!$D:$D,C148,Başvuru!$G:$G,"Doktora Tezi",Başvuru!$A:$A,"&lt;&gt;"&amp;"",Başvuru!$F:$F,"&lt;&gt;"&amp;""))</f>
        <v/>
      </c>
      <c r="I148" s="162" t="str">
        <f>IF(C148="","",COUNTIFS(Başvuru!$D:$D,C148,Başvuru!$G:$G,"Yüksek Lisans Tezi",Başvuru!$A:$A,"&lt;&gt;"&amp;"",Başvuru!$F:$F,"&lt;&gt;"&amp;""))</f>
        <v/>
      </c>
      <c r="J148" s="163" t="str">
        <f>IF(C148="","",COUNTIFS(Başvuru!$D:$D,C148,Başvuru!$L:$L,"ONAY",Başvuru!$A:$A,"&lt;&gt;"&amp;"",Başvuru!$F:$F,"&lt;&gt;"&amp;""))</f>
        <v/>
      </c>
      <c r="K148" s="164" t="str">
        <f>IF(C148="","",COUNTIFS(Başvuru!$D:$D,C148,Başvuru!$L:$L,"DÜZELTME",Başvuru!$A:$A,"&lt;&gt;"&amp;"",Başvuru!$F:$F,"&lt;&gt;"&amp;""))</f>
        <v/>
      </c>
      <c r="L148" s="165" t="str">
        <f>IF(C148="","",COUNTIFS(Başvuru!$D:$D,C148,Başvuru!$L:$L,"KAEK",Başvuru!$A:$A,"&lt;&gt;"&amp;"",Başvuru!$F:$F,"&lt;&gt;"&amp;""))</f>
        <v/>
      </c>
      <c r="M148" s="166" t="str">
        <f>IF(C148="","",COUNTIFS(Başvuru!$D:$D,C148,Başvuru!$L:$L,"GÖRÜŞ",Başvuru!$A:$A,"&lt;&gt;"&amp;"",Başvuru!$F:$F,"&lt;&gt;"&amp;""))</f>
        <v/>
      </c>
      <c r="N148" s="167" t="str">
        <f>IF(C148="","",COUNTIFS(Başvuru!$D:$D,C148,Başvuru!$L:$L,"RET",Başvuru!$A:$A,"&lt;&gt;"&amp;"",Başvuru!$F:$F,"&lt;&gt;"&amp;""))</f>
        <v/>
      </c>
      <c r="O148" s="168" t="str">
        <f>IF(C148="","",COUNTIFS(Başvuru!$D:$D,C148,Başvuru!$L:$L,"KAPSAM DIŞI",Başvuru!$A:$A,"&lt;&gt;"&amp;"",Başvuru!$F:$F,"&lt;&gt;"&amp;""))</f>
        <v/>
      </c>
      <c r="P148" s="169" t="str">
        <f>IF(C148="","",COUNTIFS(Başvuru!$D:$D,C148,Başvuru!$L:$L,"GERİ ÇEKİLDİ",Başvuru!$A:$A,"&lt;&gt;"&amp;"",Başvuru!$F:$F,"&lt;&gt;"&amp;""))</f>
        <v/>
      </c>
      <c r="Q148" s="170" t="str">
        <f>IFERROR(INDEX(Başvuru!$D$2:$D$1851,MATCH(143,Başvuru!$Z$2:$Z$1851,0)),"")</f>
        <v/>
      </c>
      <c r="R148" s="171" t="str">
        <f>IF(Q148="","",COUNTIFS(Başvuru!$D:$D,Q148,Başvuru!$A:$A,"&lt;&gt;"&amp;"",Başvuru!$F:$F,"&lt;&gt;"&amp;""))</f>
        <v/>
      </c>
      <c r="S148" s="171" t="str">
        <f>IF(R148="","",RANK(R148,$R$6:$R$155,0)+COUNTIF($R$6:R148,R148)-1)</f>
        <v/>
      </c>
    </row>
    <row r="149" spans="2:19" x14ac:dyDescent="0.25">
      <c r="B149" s="159">
        <v>144</v>
      </c>
      <c r="C149" s="160" t="str">
        <f>IFERROR(INDEX($Q$6:$Q$155,MATCH(144,$S$6:$S$155,0)),"")</f>
        <v/>
      </c>
      <c r="D149" s="161" t="str">
        <f>IF(C149="","",COUNTIFS(Başvuru!$D:$D,C149,Başvuru!$A:$A,"&lt;&gt;"&amp;"",Başvuru!$F:$F,"&lt;&gt;"&amp;""))</f>
        <v/>
      </c>
      <c r="E149" s="159" t="str">
        <f>IF(C149="","-",IF(D149&gt;0,TEXT(D149/(COUNTIFS(Başvuru!$A:$A,"&lt;&gt;",Başvuru!$F:$F,"&lt;&gt;")-1)*100,"0.0")&amp;"%","-"))</f>
        <v>-</v>
      </c>
      <c r="F149" s="162" t="str">
        <f>IF(C149="","",COUNTIFS(Başvuru!$D:$D,C149,Başvuru!$G:$G,"Bireysel Araştırma",Başvuru!$A:$A,"&lt;&gt;"&amp;"",Başvuru!$F:$F,"&lt;&gt;"&amp;""))</f>
        <v/>
      </c>
      <c r="G149" s="162" t="str">
        <f>IF(C149="","",COUNTIFS(Başvuru!$D:$D,C149,Başvuru!$G:$G,"Uzmanlık Tezi",Başvuru!$A:$A,"&lt;&gt;"&amp;"",Başvuru!$F:$F,"&lt;&gt;"&amp;""))</f>
        <v/>
      </c>
      <c r="H149" s="162" t="str">
        <f>IF(C149="","",COUNTIFS(Başvuru!$D:$D,C149,Başvuru!$G:$G,"Doktora Tezi",Başvuru!$A:$A,"&lt;&gt;"&amp;"",Başvuru!$F:$F,"&lt;&gt;"&amp;""))</f>
        <v/>
      </c>
      <c r="I149" s="162" t="str">
        <f>IF(C149="","",COUNTIFS(Başvuru!$D:$D,C149,Başvuru!$G:$G,"Yüksek Lisans Tezi",Başvuru!$A:$A,"&lt;&gt;"&amp;"",Başvuru!$F:$F,"&lt;&gt;"&amp;""))</f>
        <v/>
      </c>
      <c r="J149" s="163" t="str">
        <f>IF(C149="","",COUNTIFS(Başvuru!$D:$D,C149,Başvuru!$L:$L,"ONAY",Başvuru!$A:$A,"&lt;&gt;"&amp;"",Başvuru!$F:$F,"&lt;&gt;"&amp;""))</f>
        <v/>
      </c>
      <c r="K149" s="164" t="str">
        <f>IF(C149="","",COUNTIFS(Başvuru!$D:$D,C149,Başvuru!$L:$L,"DÜZELTME",Başvuru!$A:$A,"&lt;&gt;"&amp;"",Başvuru!$F:$F,"&lt;&gt;"&amp;""))</f>
        <v/>
      </c>
      <c r="L149" s="165" t="str">
        <f>IF(C149="","",COUNTIFS(Başvuru!$D:$D,C149,Başvuru!$L:$L,"KAEK",Başvuru!$A:$A,"&lt;&gt;"&amp;"",Başvuru!$F:$F,"&lt;&gt;"&amp;""))</f>
        <v/>
      </c>
      <c r="M149" s="166" t="str">
        <f>IF(C149="","",COUNTIFS(Başvuru!$D:$D,C149,Başvuru!$L:$L,"GÖRÜŞ",Başvuru!$A:$A,"&lt;&gt;"&amp;"",Başvuru!$F:$F,"&lt;&gt;"&amp;""))</f>
        <v/>
      </c>
      <c r="N149" s="167" t="str">
        <f>IF(C149="","",COUNTIFS(Başvuru!$D:$D,C149,Başvuru!$L:$L,"RET",Başvuru!$A:$A,"&lt;&gt;"&amp;"",Başvuru!$F:$F,"&lt;&gt;"&amp;""))</f>
        <v/>
      </c>
      <c r="O149" s="168" t="str">
        <f>IF(C149="","",COUNTIFS(Başvuru!$D:$D,C149,Başvuru!$L:$L,"KAPSAM DIŞI",Başvuru!$A:$A,"&lt;&gt;"&amp;"",Başvuru!$F:$F,"&lt;&gt;"&amp;""))</f>
        <v/>
      </c>
      <c r="P149" s="169" t="str">
        <f>IF(C149="","",COUNTIFS(Başvuru!$D:$D,C149,Başvuru!$L:$L,"GERİ ÇEKİLDİ",Başvuru!$A:$A,"&lt;&gt;"&amp;"",Başvuru!$F:$F,"&lt;&gt;"&amp;""))</f>
        <v/>
      </c>
      <c r="Q149" s="170" t="str">
        <f>IFERROR(INDEX(Başvuru!$D$2:$D$1851,MATCH(144,Başvuru!$Z$2:$Z$1851,0)),"")</f>
        <v/>
      </c>
      <c r="R149" s="171" t="str">
        <f>IF(Q149="","",COUNTIFS(Başvuru!$D:$D,Q149,Başvuru!$A:$A,"&lt;&gt;"&amp;"",Başvuru!$F:$F,"&lt;&gt;"&amp;""))</f>
        <v/>
      </c>
      <c r="S149" s="171" t="str">
        <f>IF(R149="","",RANK(R149,$R$6:$R$155,0)+COUNTIF($R$6:R149,R149)-1)</f>
        <v/>
      </c>
    </row>
    <row r="150" spans="2:19" x14ac:dyDescent="0.25">
      <c r="B150" s="159">
        <v>145</v>
      </c>
      <c r="C150" s="160" t="str">
        <f>IFERROR(INDEX($Q$6:$Q$155,MATCH(145,$S$6:$S$155,0)),"")</f>
        <v/>
      </c>
      <c r="D150" s="161" t="str">
        <f>IF(C150="","",COUNTIFS(Başvuru!$D:$D,C150,Başvuru!$A:$A,"&lt;&gt;"&amp;"",Başvuru!$F:$F,"&lt;&gt;"&amp;""))</f>
        <v/>
      </c>
      <c r="E150" s="159" t="str">
        <f>IF(C150="","-",IF(D150&gt;0,TEXT(D150/(COUNTIFS(Başvuru!$A:$A,"&lt;&gt;",Başvuru!$F:$F,"&lt;&gt;")-1)*100,"0.0")&amp;"%","-"))</f>
        <v>-</v>
      </c>
      <c r="F150" s="162" t="str">
        <f>IF(C150="","",COUNTIFS(Başvuru!$D:$D,C150,Başvuru!$G:$G,"Bireysel Araştırma",Başvuru!$A:$A,"&lt;&gt;"&amp;"",Başvuru!$F:$F,"&lt;&gt;"&amp;""))</f>
        <v/>
      </c>
      <c r="G150" s="162" t="str">
        <f>IF(C150="","",COUNTIFS(Başvuru!$D:$D,C150,Başvuru!$G:$G,"Uzmanlık Tezi",Başvuru!$A:$A,"&lt;&gt;"&amp;"",Başvuru!$F:$F,"&lt;&gt;"&amp;""))</f>
        <v/>
      </c>
      <c r="H150" s="162" t="str">
        <f>IF(C150="","",COUNTIFS(Başvuru!$D:$D,C150,Başvuru!$G:$G,"Doktora Tezi",Başvuru!$A:$A,"&lt;&gt;"&amp;"",Başvuru!$F:$F,"&lt;&gt;"&amp;""))</f>
        <v/>
      </c>
      <c r="I150" s="162" t="str">
        <f>IF(C150="","",COUNTIFS(Başvuru!$D:$D,C150,Başvuru!$G:$G,"Yüksek Lisans Tezi",Başvuru!$A:$A,"&lt;&gt;"&amp;"",Başvuru!$F:$F,"&lt;&gt;"&amp;""))</f>
        <v/>
      </c>
      <c r="J150" s="163" t="str">
        <f>IF(C150="","",COUNTIFS(Başvuru!$D:$D,C150,Başvuru!$L:$L,"ONAY",Başvuru!$A:$A,"&lt;&gt;"&amp;"",Başvuru!$F:$F,"&lt;&gt;"&amp;""))</f>
        <v/>
      </c>
      <c r="K150" s="164" t="str">
        <f>IF(C150="","",COUNTIFS(Başvuru!$D:$D,C150,Başvuru!$L:$L,"DÜZELTME",Başvuru!$A:$A,"&lt;&gt;"&amp;"",Başvuru!$F:$F,"&lt;&gt;"&amp;""))</f>
        <v/>
      </c>
      <c r="L150" s="165" t="str">
        <f>IF(C150="","",COUNTIFS(Başvuru!$D:$D,C150,Başvuru!$L:$L,"KAEK",Başvuru!$A:$A,"&lt;&gt;"&amp;"",Başvuru!$F:$F,"&lt;&gt;"&amp;""))</f>
        <v/>
      </c>
      <c r="M150" s="166" t="str">
        <f>IF(C150="","",COUNTIFS(Başvuru!$D:$D,C150,Başvuru!$L:$L,"GÖRÜŞ",Başvuru!$A:$A,"&lt;&gt;"&amp;"",Başvuru!$F:$F,"&lt;&gt;"&amp;""))</f>
        <v/>
      </c>
      <c r="N150" s="167" t="str">
        <f>IF(C150="","",COUNTIFS(Başvuru!$D:$D,C150,Başvuru!$L:$L,"RET",Başvuru!$A:$A,"&lt;&gt;"&amp;"",Başvuru!$F:$F,"&lt;&gt;"&amp;""))</f>
        <v/>
      </c>
      <c r="O150" s="168" t="str">
        <f>IF(C150="","",COUNTIFS(Başvuru!$D:$D,C150,Başvuru!$L:$L,"KAPSAM DIŞI",Başvuru!$A:$A,"&lt;&gt;"&amp;"",Başvuru!$F:$F,"&lt;&gt;"&amp;""))</f>
        <v/>
      </c>
      <c r="P150" s="169" t="str">
        <f>IF(C150="","",COUNTIFS(Başvuru!$D:$D,C150,Başvuru!$L:$L,"GERİ ÇEKİLDİ",Başvuru!$A:$A,"&lt;&gt;"&amp;"",Başvuru!$F:$F,"&lt;&gt;"&amp;""))</f>
        <v/>
      </c>
      <c r="Q150" s="170" t="str">
        <f>IFERROR(INDEX(Başvuru!$D$2:$D$1851,MATCH(145,Başvuru!$Z$2:$Z$1851,0)),"")</f>
        <v/>
      </c>
      <c r="R150" s="171" t="str">
        <f>IF(Q150="","",COUNTIFS(Başvuru!$D:$D,Q150,Başvuru!$A:$A,"&lt;&gt;"&amp;"",Başvuru!$F:$F,"&lt;&gt;"&amp;""))</f>
        <v/>
      </c>
      <c r="S150" s="171" t="str">
        <f>IF(R150="","",RANK(R150,$R$6:$R$155,0)+COUNTIF($R$6:R150,R150)-1)</f>
        <v/>
      </c>
    </row>
    <row r="151" spans="2:19" x14ac:dyDescent="0.25">
      <c r="B151" s="159">
        <v>146</v>
      </c>
      <c r="C151" s="160" t="str">
        <f>IFERROR(INDEX($Q$6:$Q$155,MATCH(146,$S$6:$S$155,0)),"")</f>
        <v/>
      </c>
      <c r="D151" s="161" t="str">
        <f>IF(C151="","",COUNTIFS(Başvuru!$D:$D,C151,Başvuru!$A:$A,"&lt;&gt;"&amp;"",Başvuru!$F:$F,"&lt;&gt;"&amp;""))</f>
        <v/>
      </c>
      <c r="E151" s="159" t="str">
        <f>IF(C151="","-",IF(D151&gt;0,TEXT(D151/(COUNTIFS(Başvuru!$A:$A,"&lt;&gt;",Başvuru!$F:$F,"&lt;&gt;")-1)*100,"0.0")&amp;"%","-"))</f>
        <v>-</v>
      </c>
      <c r="F151" s="162" t="str">
        <f>IF(C151="","",COUNTIFS(Başvuru!$D:$D,C151,Başvuru!$G:$G,"Bireysel Araştırma",Başvuru!$A:$A,"&lt;&gt;"&amp;"",Başvuru!$F:$F,"&lt;&gt;"&amp;""))</f>
        <v/>
      </c>
      <c r="G151" s="162" t="str">
        <f>IF(C151="","",COUNTIFS(Başvuru!$D:$D,C151,Başvuru!$G:$G,"Uzmanlık Tezi",Başvuru!$A:$A,"&lt;&gt;"&amp;"",Başvuru!$F:$F,"&lt;&gt;"&amp;""))</f>
        <v/>
      </c>
      <c r="H151" s="162" t="str">
        <f>IF(C151="","",COUNTIFS(Başvuru!$D:$D,C151,Başvuru!$G:$G,"Doktora Tezi",Başvuru!$A:$A,"&lt;&gt;"&amp;"",Başvuru!$F:$F,"&lt;&gt;"&amp;""))</f>
        <v/>
      </c>
      <c r="I151" s="162" t="str">
        <f>IF(C151="","",COUNTIFS(Başvuru!$D:$D,C151,Başvuru!$G:$G,"Yüksek Lisans Tezi",Başvuru!$A:$A,"&lt;&gt;"&amp;"",Başvuru!$F:$F,"&lt;&gt;"&amp;""))</f>
        <v/>
      </c>
      <c r="J151" s="163" t="str">
        <f>IF(C151="","",COUNTIFS(Başvuru!$D:$D,C151,Başvuru!$L:$L,"ONAY",Başvuru!$A:$A,"&lt;&gt;"&amp;"",Başvuru!$F:$F,"&lt;&gt;"&amp;""))</f>
        <v/>
      </c>
      <c r="K151" s="164" t="str">
        <f>IF(C151="","",COUNTIFS(Başvuru!$D:$D,C151,Başvuru!$L:$L,"DÜZELTME",Başvuru!$A:$A,"&lt;&gt;"&amp;"",Başvuru!$F:$F,"&lt;&gt;"&amp;""))</f>
        <v/>
      </c>
      <c r="L151" s="165" t="str">
        <f>IF(C151="","",COUNTIFS(Başvuru!$D:$D,C151,Başvuru!$L:$L,"KAEK",Başvuru!$A:$A,"&lt;&gt;"&amp;"",Başvuru!$F:$F,"&lt;&gt;"&amp;""))</f>
        <v/>
      </c>
      <c r="M151" s="166" t="str">
        <f>IF(C151="","",COUNTIFS(Başvuru!$D:$D,C151,Başvuru!$L:$L,"GÖRÜŞ",Başvuru!$A:$A,"&lt;&gt;"&amp;"",Başvuru!$F:$F,"&lt;&gt;"&amp;""))</f>
        <v/>
      </c>
      <c r="N151" s="167" t="str">
        <f>IF(C151="","",COUNTIFS(Başvuru!$D:$D,C151,Başvuru!$L:$L,"RET",Başvuru!$A:$A,"&lt;&gt;"&amp;"",Başvuru!$F:$F,"&lt;&gt;"&amp;""))</f>
        <v/>
      </c>
      <c r="O151" s="168" t="str">
        <f>IF(C151="","",COUNTIFS(Başvuru!$D:$D,C151,Başvuru!$L:$L,"KAPSAM DIŞI",Başvuru!$A:$A,"&lt;&gt;"&amp;"",Başvuru!$F:$F,"&lt;&gt;"&amp;""))</f>
        <v/>
      </c>
      <c r="P151" s="169" t="str">
        <f>IF(C151="","",COUNTIFS(Başvuru!$D:$D,C151,Başvuru!$L:$L,"GERİ ÇEKİLDİ",Başvuru!$A:$A,"&lt;&gt;"&amp;"",Başvuru!$F:$F,"&lt;&gt;"&amp;""))</f>
        <v/>
      </c>
      <c r="Q151" s="170" t="str">
        <f>IFERROR(INDEX(Başvuru!$D$2:$D$1851,MATCH(146,Başvuru!$Z$2:$Z$1851,0)),"")</f>
        <v/>
      </c>
      <c r="R151" s="171" t="str">
        <f>IF(Q151="","",COUNTIFS(Başvuru!$D:$D,Q151,Başvuru!$A:$A,"&lt;&gt;"&amp;"",Başvuru!$F:$F,"&lt;&gt;"&amp;""))</f>
        <v/>
      </c>
      <c r="S151" s="171" t="str">
        <f>IF(R151="","",RANK(R151,$R$6:$R$155,0)+COUNTIF($R$6:R151,R151)-1)</f>
        <v/>
      </c>
    </row>
    <row r="152" spans="2:19" x14ac:dyDescent="0.25">
      <c r="B152" s="159">
        <v>147</v>
      </c>
      <c r="C152" s="160" t="str">
        <f>IFERROR(INDEX($Q$6:$Q$155,MATCH(147,$S$6:$S$155,0)),"")</f>
        <v/>
      </c>
      <c r="D152" s="161" t="str">
        <f>IF(C152="","",COUNTIFS(Başvuru!$D:$D,C152,Başvuru!$A:$A,"&lt;&gt;"&amp;"",Başvuru!$F:$F,"&lt;&gt;"&amp;""))</f>
        <v/>
      </c>
      <c r="E152" s="159" t="str">
        <f>IF(C152="","-",IF(D152&gt;0,TEXT(D152/(COUNTIFS(Başvuru!$A:$A,"&lt;&gt;",Başvuru!$F:$F,"&lt;&gt;")-1)*100,"0.0")&amp;"%","-"))</f>
        <v>-</v>
      </c>
      <c r="F152" s="162" t="str">
        <f>IF(C152="","",COUNTIFS(Başvuru!$D:$D,C152,Başvuru!$G:$G,"Bireysel Araştırma",Başvuru!$A:$A,"&lt;&gt;"&amp;"",Başvuru!$F:$F,"&lt;&gt;"&amp;""))</f>
        <v/>
      </c>
      <c r="G152" s="162" t="str">
        <f>IF(C152="","",COUNTIFS(Başvuru!$D:$D,C152,Başvuru!$G:$G,"Uzmanlık Tezi",Başvuru!$A:$A,"&lt;&gt;"&amp;"",Başvuru!$F:$F,"&lt;&gt;"&amp;""))</f>
        <v/>
      </c>
      <c r="H152" s="162" t="str">
        <f>IF(C152="","",COUNTIFS(Başvuru!$D:$D,C152,Başvuru!$G:$G,"Doktora Tezi",Başvuru!$A:$A,"&lt;&gt;"&amp;"",Başvuru!$F:$F,"&lt;&gt;"&amp;""))</f>
        <v/>
      </c>
      <c r="I152" s="162" t="str">
        <f>IF(C152="","",COUNTIFS(Başvuru!$D:$D,C152,Başvuru!$G:$G,"Yüksek Lisans Tezi",Başvuru!$A:$A,"&lt;&gt;"&amp;"",Başvuru!$F:$F,"&lt;&gt;"&amp;""))</f>
        <v/>
      </c>
      <c r="J152" s="163" t="str">
        <f>IF(C152="","",COUNTIFS(Başvuru!$D:$D,C152,Başvuru!$L:$L,"ONAY",Başvuru!$A:$A,"&lt;&gt;"&amp;"",Başvuru!$F:$F,"&lt;&gt;"&amp;""))</f>
        <v/>
      </c>
      <c r="K152" s="164" t="str">
        <f>IF(C152="","",COUNTIFS(Başvuru!$D:$D,C152,Başvuru!$L:$L,"DÜZELTME",Başvuru!$A:$A,"&lt;&gt;"&amp;"",Başvuru!$F:$F,"&lt;&gt;"&amp;""))</f>
        <v/>
      </c>
      <c r="L152" s="165" t="str">
        <f>IF(C152="","",COUNTIFS(Başvuru!$D:$D,C152,Başvuru!$L:$L,"KAEK",Başvuru!$A:$A,"&lt;&gt;"&amp;"",Başvuru!$F:$F,"&lt;&gt;"&amp;""))</f>
        <v/>
      </c>
      <c r="M152" s="166" t="str">
        <f>IF(C152="","",COUNTIFS(Başvuru!$D:$D,C152,Başvuru!$L:$L,"GÖRÜŞ",Başvuru!$A:$A,"&lt;&gt;"&amp;"",Başvuru!$F:$F,"&lt;&gt;"&amp;""))</f>
        <v/>
      </c>
      <c r="N152" s="167" t="str">
        <f>IF(C152="","",COUNTIFS(Başvuru!$D:$D,C152,Başvuru!$L:$L,"RET",Başvuru!$A:$A,"&lt;&gt;"&amp;"",Başvuru!$F:$F,"&lt;&gt;"&amp;""))</f>
        <v/>
      </c>
      <c r="O152" s="168" t="str">
        <f>IF(C152="","",COUNTIFS(Başvuru!$D:$D,C152,Başvuru!$L:$L,"KAPSAM DIŞI",Başvuru!$A:$A,"&lt;&gt;"&amp;"",Başvuru!$F:$F,"&lt;&gt;"&amp;""))</f>
        <v/>
      </c>
      <c r="P152" s="169" t="str">
        <f>IF(C152="","",COUNTIFS(Başvuru!$D:$D,C152,Başvuru!$L:$L,"GERİ ÇEKİLDİ",Başvuru!$A:$A,"&lt;&gt;"&amp;"",Başvuru!$F:$F,"&lt;&gt;"&amp;""))</f>
        <v/>
      </c>
      <c r="Q152" s="170" t="str">
        <f>IFERROR(INDEX(Başvuru!$D$2:$D$1851,MATCH(147,Başvuru!$Z$2:$Z$1851,0)),"")</f>
        <v/>
      </c>
      <c r="R152" s="171" t="str">
        <f>IF(Q152="","",COUNTIFS(Başvuru!$D:$D,Q152,Başvuru!$A:$A,"&lt;&gt;"&amp;"",Başvuru!$F:$F,"&lt;&gt;"&amp;""))</f>
        <v/>
      </c>
      <c r="S152" s="171" t="str">
        <f>IF(R152="","",RANK(R152,$R$6:$R$155,0)+COUNTIF($R$6:R152,R152)-1)</f>
        <v/>
      </c>
    </row>
    <row r="153" spans="2:19" x14ac:dyDescent="0.25">
      <c r="B153" s="159">
        <v>148</v>
      </c>
      <c r="C153" s="160" t="str">
        <f>IFERROR(INDEX($Q$6:$Q$155,MATCH(148,$S$6:$S$155,0)),"")</f>
        <v/>
      </c>
      <c r="D153" s="161" t="str">
        <f>IF(C153="","",COUNTIFS(Başvuru!$D:$D,C153,Başvuru!$A:$A,"&lt;&gt;"&amp;"",Başvuru!$F:$F,"&lt;&gt;"&amp;""))</f>
        <v/>
      </c>
      <c r="E153" s="159" t="str">
        <f>IF(C153="","-",IF(D153&gt;0,TEXT(D153/(COUNTIFS(Başvuru!$A:$A,"&lt;&gt;",Başvuru!$F:$F,"&lt;&gt;")-1)*100,"0.0")&amp;"%","-"))</f>
        <v>-</v>
      </c>
      <c r="F153" s="162" t="str">
        <f>IF(C153="","",COUNTIFS(Başvuru!$D:$D,C153,Başvuru!$G:$G,"Bireysel Araştırma",Başvuru!$A:$A,"&lt;&gt;"&amp;"",Başvuru!$F:$F,"&lt;&gt;"&amp;""))</f>
        <v/>
      </c>
      <c r="G153" s="162" t="str">
        <f>IF(C153="","",COUNTIFS(Başvuru!$D:$D,C153,Başvuru!$G:$G,"Uzmanlık Tezi",Başvuru!$A:$A,"&lt;&gt;"&amp;"",Başvuru!$F:$F,"&lt;&gt;"&amp;""))</f>
        <v/>
      </c>
      <c r="H153" s="162" t="str">
        <f>IF(C153="","",COUNTIFS(Başvuru!$D:$D,C153,Başvuru!$G:$G,"Doktora Tezi",Başvuru!$A:$A,"&lt;&gt;"&amp;"",Başvuru!$F:$F,"&lt;&gt;"&amp;""))</f>
        <v/>
      </c>
      <c r="I153" s="162" t="str">
        <f>IF(C153="","",COUNTIFS(Başvuru!$D:$D,C153,Başvuru!$G:$G,"Yüksek Lisans Tezi",Başvuru!$A:$A,"&lt;&gt;"&amp;"",Başvuru!$F:$F,"&lt;&gt;"&amp;""))</f>
        <v/>
      </c>
      <c r="J153" s="163" t="str">
        <f>IF(C153="","",COUNTIFS(Başvuru!$D:$D,C153,Başvuru!$L:$L,"ONAY",Başvuru!$A:$A,"&lt;&gt;"&amp;"",Başvuru!$F:$F,"&lt;&gt;"&amp;""))</f>
        <v/>
      </c>
      <c r="K153" s="164" t="str">
        <f>IF(C153="","",COUNTIFS(Başvuru!$D:$D,C153,Başvuru!$L:$L,"DÜZELTME",Başvuru!$A:$A,"&lt;&gt;"&amp;"",Başvuru!$F:$F,"&lt;&gt;"&amp;""))</f>
        <v/>
      </c>
      <c r="L153" s="165" t="str">
        <f>IF(C153="","",COUNTIFS(Başvuru!$D:$D,C153,Başvuru!$L:$L,"KAEK",Başvuru!$A:$A,"&lt;&gt;"&amp;"",Başvuru!$F:$F,"&lt;&gt;"&amp;""))</f>
        <v/>
      </c>
      <c r="M153" s="166" t="str">
        <f>IF(C153="","",COUNTIFS(Başvuru!$D:$D,C153,Başvuru!$L:$L,"GÖRÜŞ",Başvuru!$A:$A,"&lt;&gt;"&amp;"",Başvuru!$F:$F,"&lt;&gt;"&amp;""))</f>
        <v/>
      </c>
      <c r="N153" s="167" t="str">
        <f>IF(C153="","",COUNTIFS(Başvuru!$D:$D,C153,Başvuru!$L:$L,"RET",Başvuru!$A:$A,"&lt;&gt;"&amp;"",Başvuru!$F:$F,"&lt;&gt;"&amp;""))</f>
        <v/>
      </c>
      <c r="O153" s="168" t="str">
        <f>IF(C153="","",COUNTIFS(Başvuru!$D:$D,C153,Başvuru!$L:$L,"KAPSAM DIŞI",Başvuru!$A:$A,"&lt;&gt;"&amp;"",Başvuru!$F:$F,"&lt;&gt;"&amp;""))</f>
        <v/>
      </c>
      <c r="P153" s="169" t="str">
        <f>IF(C153="","",COUNTIFS(Başvuru!$D:$D,C153,Başvuru!$L:$L,"GERİ ÇEKİLDİ",Başvuru!$A:$A,"&lt;&gt;"&amp;"",Başvuru!$F:$F,"&lt;&gt;"&amp;""))</f>
        <v/>
      </c>
      <c r="Q153" s="170" t="str">
        <f>IFERROR(INDEX(Başvuru!$D$2:$D$1851,MATCH(148,Başvuru!$Z$2:$Z$1851,0)),"")</f>
        <v/>
      </c>
      <c r="R153" s="171" t="str">
        <f>IF(Q153="","",COUNTIFS(Başvuru!$D:$D,Q153,Başvuru!$A:$A,"&lt;&gt;"&amp;"",Başvuru!$F:$F,"&lt;&gt;"&amp;""))</f>
        <v/>
      </c>
      <c r="S153" s="171" t="str">
        <f>IF(R153="","",RANK(R153,$R$6:$R$155,0)+COUNTIF($R$6:R153,R153)-1)</f>
        <v/>
      </c>
    </row>
    <row r="154" spans="2:19" x14ac:dyDescent="0.25">
      <c r="B154" s="159">
        <v>149</v>
      </c>
      <c r="C154" s="160" t="str">
        <f>IFERROR(INDEX($Q$6:$Q$155,MATCH(149,$S$6:$S$155,0)),"")</f>
        <v/>
      </c>
      <c r="D154" s="161" t="str">
        <f>IF(C154="","",COUNTIFS(Başvuru!$D:$D,C154,Başvuru!$A:$A,"&lt;&gt;"&amp;"",Başvuru!$F:$F,"&lt;&gt;"&amp;""))</f>
        <v/>
      </c>
      <c r="E154" s="159" t="str">
        <f>IF(C154="","-",IF(D154&gt;0,TEXT(D154/(COUNTIFS(Başvuru!$A:$A,"&lt;&gt;",Başvuru!$F:$F,"&lt;&gt;")-1)*100,"0.0")&amp;"%","-"))</f>
        <v>-</v>
      </c>
      <c r="F154" s="162" t="str">
        <f>IF(C154="","",COUNTIFS(Başvuru!$D:$D,C154,Başvuru!$G:$G,"Bireysel Araştırma",Başvuru!$A:$A,"&lt;&gt;"&amp;"",Başvuru!$F:$F,"&lt;&gt;"&amp;""))</f>
        <v/>
      </c>
      <c r="G154" s="162" t="str">
        <f>IF(C154="","",COUNTIFS(Başvuru!$D:$D,C154,Başvuru!$G:$G,"Uzmanlık Tezi",Başvuru!$A:$A,"&lt;&gt;"&amp;"",Başvuru!$F:$F,"&lt;&gt;"&amp;""))</f>
        <v/>
      </c>
      <c r="H154" s="162" t="str">
        <f>IF(C154="","",COUNTIFS(Başvuru!$D:$D,C154,Başvuru!$G:$G,"Doktora Tezi",Başvuru!$A:$A,"&lt;&gt;"&amp;"",Başvuru!$F:$F,"&lt;&gt;"&amp;""))</f>
        <v/>
      </c>
      <c r="I154" s="162" t="str">
        <f>IF(C154="","",COUNTIFS(Başvuru!$D:$D,C154,Başvuru!$G:$G,"Yüksek Lisans Tezi",Başvuru!$A:$A,"&lt;&gt;"&amp;"",Başvuru!$F:$F,"&lt;&gt;"&amp;""))</f>
        <v/>
      </c>
      <c r="J154" s="163" t="str">
        <f>IF(C154="","",COUNTIFS(Başvuru!$D:$D,C154,Başvuru!$L:$L,"ONAY",Başvuru!$A:$A,"&lt;&gt;"&amp;"",Başvuru!$F:$F,"&lt;&gt;"&amp;""))</f>
        <v/>
      </c>
      <c r="K154" s="164" t="str">
        <f>IF(C154="","",COUNTIFS(Başvuru!$D:$D,C154,Başvuru!$L:$L,"DÜZELTME",Başvuru!$A:$A,"&lt;&gt;"&amp;"",Başvuru!$F:$F,"&lt;&gt;"&amp;""))</f>
        <v/>
      </c>
      <c r="L154" s="165" t="str">
        <f>IF(C154="","",COUNTIFS(Başvuru!$D:$D,C154,Başvuru!$L:$L,"KAEK",Başvuru!$A:$A,"&lt;&gt;"&amp;"",Başvuru!$F:$F,"&lt;&gt;"&amp;""))</f>
        <v/>
      </c>
      <c r="M154" s="166" t="str">
        <f>IF(C154="","",COUNTIFS(Başvuru!$D:$D,C154,Başvuru!$L:$L,"GÖRÜŞ",Başvuru!$A:$A,"&lt;&gt;"&amp;"",Başvuru!$F:$F,"&lt;&gt;"&amp;""))</f>
        <v/>
      </c>
      <c r="N154" s="167" t="str">
        <f>IF(C154="","",COUNTIFS(Başvuru!$D:$D,C154,Başvuru!$L:$L,"RET",Başvuru!$A:$A,"&lt;&gt;"&amp;"",Başvuru!$F:$F,"&lt;&gt;"&amp;""))</f>
        <v/>
      </c>
      <c r="O154" s="168" t="str">
        <f>IF(C154="","",COUNTIFS(Başvuru!$D:$D,C154,Başvuru!$L:$L,"KAPSAM DIŞI",Başvuru!$A:$A,"&lt;&gt;"&amp;"",Başvuru!$F:$F,"&lt;&gt;"&amp;""))</f>
        <v/>
      </c>
      <c r="P154" s="169" t="str">
        <f>IF(C154="","",COUNTIFS(Başvuru!$D:$D,C154,Başvuru!$L:$L,"GERİ ÇEKİLDİ",Başvuru!$A:$A,"&lt;&gt;"&amp;"",Başvuru!$F:$F,"&lt;&gt;"&amp;""))</f>
        <v/>
      </c>
      <c r="Q154" s="170" t="str">
        <f>IFERROR(INDEX(Başvuru!$D$2:$D$1851,MATCH(149,Başvuru!$Z$2:$Z$1851,0)),"")</f>
        <v/>
      </c>
      <c r="R154" s="171" t="str">
        <f>IF(Q154="","",COUNTIFS(Başvuru!$D:$D,Q154,Başvuru!$A:$A,"&lt;&gt;"&amp;"",Başvuru!$F:$F,"&lt;&gt;"&amp;""))</f>
        <v/>
      </c>
      <c r="S154" s="171" t="str">
        <f>IF(R154="","",RANK(R154,$R$6:$R$155,0)+COUNTIF($R$6:R154,R154)-1)</f>
        <v/>
      </c>
    </row>
    <row r="155" spans="2:19" x14ac:dyDescent="0.25">
      <c r="B155" s="159">
        <v>150</v>
      </c>
      <c r="C155" s="160" t="str">
        <f>IFERROR(INDEX($Q$6:$Q$155,MATCH(150,$S$6:$S$155,0)),"")</f>
        <v/>
      </c>
      <c r="D155" s="161" t="str">
        <f>IF(C155="","",COUNTIFS(Başvuru!$D:$D,C155,Başvuru!$A:$A,"&lt;&gt;"&amp;"",Başvuru!$F:$F,"&lt;&gt;"&amp;""))</f>
        <v/>
      </c>
      <c r="E155" s="159" t="str">
        <f>IF(C155="","-",IF(D155&gt;0,TEXT(D155/(COUNTIFS(Başvuru!$A:$A,"&lt;&gt;",Başvuru!$F:$F,"&lt;&gt;")-1)*100,"0.0")&amp;"%","-"))</f>
        <v>-</v>
      </c>
      <c r="F155" s="162" t="str">
        <f>IF(C155="","",COUNTIFS(Başvuru!$D:$D,C155,Başvuru!$G:$G,"Bireysel Araştırma",Başvuru!$A:$A,"&lt;&gt;"&amp;"",Başvuru!$F:$F,"&lt;&gt;"&amp;""))</f>
        <v/>
      </c>
      <c r="G155" s="162" t="str">
        <f>IF(C155="","",COUNTIFS(Başvuru!$D:$D,C155,Başvuru!$G:$G,"Uzmanlık Tezi",Başvuru!$A:$A,"&lt;&gt;"&amp;"",Başvuru!$F:$F,"&lt;&gt;"&amp;""))</f>
        <v/>
      </c>
      <c r="H155" s="162" t="str">
        <f>IF(C155="","",COUNTIFS(Başvuru!$D:$D,C155,Başvuru!$G:$G,"Doktora Tezi",Başvuru!$A:$A,"&lt;&gt;"&amp;"",Başvuru!$F:$F,"&lt;&gt;"&amp;""))</f>
        <v/>
      </c>
      <c r="I155" s="162" t="str">
        <f>IF(C155="","",COUNTIFS(Başvuru!$D:$D,C155,Başvuru!$G:$G,"Yüksek Lisans Tezi",Başvuru!$A:$A,"&lt;&gt;"&amp;"",Başvuru!$F:$F,"&lt;&gt;"&amp;""))</f>
        <v/>
      </c>
      <c r="J155" s="163" t="str">
        <f>IF(C155="","",COUNTIFS(Başvuru!$D:$D,C155,Başvuru!$L:$L,"ONAY",Başvuru!$A:$A,"&lt;&gt;"&amp;"",Başvuru!$F:$F,"&lt;&gt;"&amp;""))</f>
        <v/>
      </c>
      <c r="K155" s="164" t="str">
        <f>IF(C155="","",COUNTIFS(Başvuru!$D:$D,C155,Başvuru!$L:$L,"DÜZELTME",Başvuru!$A:$A,"&lt;&gt;"&amp;"",Başvuru!$F:$F,"&lt;&gt;"&amp;""))</f>
        <v/>
      </c>
      <c r="L155" s="165" t="str">
        <f>IF(C155="","",COUNTIFS(Başvuru!$D:$D,C155,Başvuru!$L:$L,"KAEK",Başvuru!$A:$A,"&lt;&gt;"&amp;"",Başvuru!$F:$F,"&lt;&gt;"&amp;""))</f>
        <v/>
      </c>
      <c r="M155" s="166" t="str">
        <f>IF(C155="","",COUNTIFS(Başvuru!$D:$D,C155,Başvuru!$L:$L,"GÖRÜŞ",Başvuru!$A:$A,"&lt;&gt;"&amp;"",Başvuru!$F:$F,"&lt;&gt;"&amp;""))</f>
        <v/>
      </c>
      <c r="N155" s="167" t="str">
        <f>IF(C155="","",COUNTIFS(Başvuru!$D:$D,C155,Başvuru!$L:$L,"RET",Başvuru!$A:$A,"&lt;&gt;"&amp;"",Başvuru!$F:$F,"&lt;&gt;"&amp;""))</f>
        <v/>
      </c>
      <c r="O155" s="168" t="str">
        <f>IF(C155="","",COUNTIFS(Başvuru!$D:$D,C155,Başvuru!$L:$L,"KAPSAM DIŞI",Başvuru!$A:$A,"&lt;&gt;"&amp;"",Başvuru!$F:$F,"&lt;&gt;"&amp;""))</f>
        <v/>
      </c>
      <c r="P155" s="169" t="str">
        <f>IF(C155="","",COUNTIFS(Başvuru!$D:$D,C155,Başvuru!$L:$L,"GERİ ÇEKİLDİ",Başvuru!$A:$A,"&lt;&gt;"&amp;"",Başvuru!$F:$F,"&lt;&gt;"&amp;""))</f>
        <v/>
      </c>
      <c r="Q155" s="170" t="str">
        <f>IFERROR(INDEX(Başvuru!$D$2:$D$1851,MATCH(150,Başvuru!$Z$2:$Z$1851,0)),"")</f>
        <v/>
      </c>
      <c r="R155" s="171" t="str">
        <f>IF(Q155="","",COUNTIFS(Başvuru!$D:$D,Q155,Başvuru!$A:$A,"&lt;&gt;"&amp;"",Başvuru!$F:$F,"&lt;&gt;"&amp;""))</f>
        <v/>
      </c>
      <c r="S155" s="171" t="str">
        <f>IF(R155="","",RANK(R155,$R$6:$R$155,0)+COUNTIF($R$6:R155,R155)-1)</f>
        <v/>
      </c>
    </row>
    <row r="156" spans="2:19" x14ac:dyDescent="0.25">
      <c r="B156" s="159"/>
      <c r="C156" s="160" t="s">
        <v>4</v>
      </c>
      <c r="D156" s="161">
        <f>COUNTIFS(Başvuru!$A:$A,"&lt;&gt;"&amp;"",Başvuru!$F:$F,"&lt;&gt;"&amp;"")-1</f>
        <v>741</v>
      </c>
      <c r="E156" s="159" t="s">
        <v>4553</v>
      </c>
      <c r="F156" s="162">
        <f>COUNTIFS(Başvuru!$G:$G,"Bireysel Araştırma",Başvuru!$A:$A,"&lt;&gt;"&amp;"",Başvuru!$F:$F,"&lt;&gt;"&amp;"")</f>
        <v>561</v>
      </c>
      <c r="G156" s="162">
        <f>COUNTIFS(Başvuru!$G:$G,"Uzmanlık Tezi",Başvuru!$A:$A,"&lt;&gt;"&amp;"",Başvuru!$F:$F,"&lt;&gt;"&amp;"")</f>
        <v>126</v>
      </c>
      <c r="H156" s="162">
        <f>COUNTIFS(Başvuru!$G:$G,"Doktora Tezi",Başvuru!$A:$A,"&lt;&gt;"&amp;"",Başvuru!$F:$F,"&lt;&gt;"&amp;"")</f>
        <v>33</v>
      </c>
      <c r="I156" s="162">
        <f>COUNTIFS(Başvuru!$G:$G,"Yüksek Lisans Tezi",Başvuru!$A:$A,"&lt;&gt;"&amp;"",Başvuru!$F:$F,"&lt;&gt;"&amp;"")</f>
        <v>21</v>
      </c>
      <c r="J156" s="163">
        <f>COUNTIFS(Başvuru!$L:$L,"ONAY",Başvuru!$A:$A,"&lt;&gt;"&amp;"",Başvuru!$F:$F,"&lt;&gt;"&amp;"")</f>
        <v>371</v>
      </c>
      <c r="K156" s="164">
        <f>COUNTIFS(Başvuru!$L:$L,"DÜZELTME",Başvuru!$A:$A,"&lt;&gt;"&amp;"",Başvuru!$F:$F,"&lt;&gt;"&amp;"")</f>
        <v>208</v>
      </c>
      <c r="L156" s="165">
        <f>COUNTIFS(Başvuru!$L:$L,"KAEK",Başvuru!$A:$A,"&lt;&gt;"&amp;"",Başvuru!$F:$F,"&lt;&gt;"&amp;"")</f>
        <v>17</v>
      </c>
      <c r="M156" s="166">
        <f>COUNTIFS(Başvuru!$L:$L,"GÖRÜŞ",Başvuru!$A:$A,"&lt;&gt;"&amp;"",Başvuru!$F:$F,"&lt;&gt;"&amp;"")</f>
        <v>25</v>
      </c>
      <c r="N156" s="167">
        <f>COUNTIFS(Başvuru!$L:$L,"RET",Başvuru!$A:$A,"&lt;&gt;"&amp;"",Başvuru!$F:$F,"&lt;&gt;"&amp;"")</f>
        <v>23</v>
      </c>
      <c r="O156" s="168">
        <f>COUNTIFS(Başvuru!$L:$L,"KAPSAM DIŞI",Başvuru!$A:$A,"&lt;&gt;"&amp;"",Başvuru!$F:$F,"&lt;&gt;"&amp;"")</f>
        <v>14</v>
      </c>
      <c r="P156" s="169">
        <f>COUNTIFS(Başvuru!$L:$L,"GERİ ÇEKİLDİ",Başvuru!$A:$A,"&lt;&gt;"&amp;"",Başvuru!$F:$F,"&lt;&gt;"&amp;"")</f>
        <v>0</v>
      </c>
      <c r="Q156" s="170"/>
      <c r="R156" s="171"/>
      <c r="S156" s="171"/>
    </row>
  </sheetData>
  <autoFilter ref="B5:P85" xr:uid="{00000000-0009-0000-0000-000004000000}"/>
  <mergeCells count="2">
    <mergeCell ref="B2:P2"/>
    <mergeCell ref="B3:P3"/>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50"/>
  </sheetPr>
  <dimension ref="A1:S156"/>
  <sheetViews>
    <sheetView showZeros="0" zoomScaleNormal="100" workbookViewId="0">
      <selection activeCell="A91" sqref="A91"/>
    </sheetView>
  </sheetViews>
  <sheetFormatPr defaultColWidth="49.5703125" defaultRowHeight="15" x14ac:dyDescent="0.25"/>
  <cols>
    <col min="1" max="1" width="49.140625" customWidth="1"/>
    <col min="2" max="18" width="9.85546875" customWidth="1"/>
    <col min="19" max="19" width="8.85546875" customWidth="1"/>
  </cols>
  <sheetData>
    <row r="1" spans="1:19" ht="15" customHeight="1" x14ac:dyDescent="0.25">
      <c r="A1" s="223" t="s">
        <v>4554</v>
      </c>
      <c r="B1" s="223"/>
      <c r="C1" s="223"/>
      <c r="D1" s="223"/>
      <c r="E1" s="223"/>
      <c r="F1" s="223"/>
      <c r="G1" s="223"/>
      <c r="H1" s="223"/>
      <c r="I1" s="223"/>
      <c r="J1" s="223"/>
      <c r="K1" s="223"/>
      <c r="L1" s="223"/>
      <c r="M1" s="223"/>
      <c r="N1" s="223"/>
      <c r="O1" s="223"/>
      <c r="P1" s="223"/>
      <c r="Q1" s="223"/>
      <c r="R1" s="223"/>
      <c r="S1" s="223"/>
    </row>
    <row r="2" spans="1:19" ht="15" customHeight="1" x14ac:dyDescent="0.25">
      <c r="A2" s="224" t="s">
        <v>4555</v>
      </c>
      <c r="B2" s="224"/>
      <c r="C2" s="224"/>
      <c r="D2" s="224"/>
      <c r="E2" s="224"/>
      <c r="F2" s="224"/>
      <c r="G2" s="224"/>
      <c r="H2" s="224"/>
      <c r="I2" s="224"/>
      <c r="J2" s="224"/>
      <c r="K2" s="224"/>
      <c r="L2" s="224"/>
      <c r="M2" s="224"/>
      <c r="N2" s="224"/>
      <c r="O2" s="224"/>
      <c r="P2" s="224"/>
      <c r="Q2" s="224"/>
      <c r="R2" s="224"/>
      <c r="S2" s="224"/>
    </row>
    <row r="3" spans="1:19" x14ac:dyDescent="0.25">
      <c r="A3" s="174" t="s">
        <v>4556</v>
      </c>
      <c r="B3" s="175">
        <f>Toplantı!$B$4</f>
        <v>46028</v>
      </c>
      <c r="C3" s="175">
        <f>Toplantı!$B$5</f>
        <v>46042</v>
      </c>
      <c r="D3" s="175">
        <f>Toplantı!$B$6</f>
        <v>46057</v>
      </c>
      <c r="E3" s="175">
        <f>Toplantı!$B$7</f>
        <v>46070</v>
      </c>
      <c r="F3" s="175">
        <f>Toplantı!$B$8</f>
        <v>46084</v>
      </c>
      <c r="G3" s="175">
        <f>Toplantı!$B$9</f>
        <v>46098</v>
      </c>
      <c r="H3" s="175">
        <f>Toplantı!$B$10</f>
        <v>46112</v>
      </c>
      <c r="I3" s="175">
        <f>Toplantı!$B$11</f>
        <v>46126</v>
      </c>
      <c r="J3" s="175">
        <f>Toplantı!$B$12</f>
        <v>46140</v>
      </c>
      <c r="K3" s="175">
        <f>Toplantı!$B$13</f>
        <v>46154</v>
      </c>
      <c r="L3" s="175">
        <f>Toplantı!$B$14</f>
        <v>46175</v>
      </c>
      <c r="M3" s="175">
        <f>Toplantı!$B$15</f>
        <v>46196</v>
      </c>
      <c r="N3" s="175">
        <f>Toplantı!$B$16</f>
        <v>46217</v>
      </c>
      <c r="O3" s="175">
        <f>Toplantı!$B$17</f>
        <v>46224</v>
      </c>
      <c r="P3" s="175">
        <f>Toplantı!$B$19</f>
        <v>46259</v>
      </c>
      <c r="Q3" s="175">
        <v>46259</v>
      </c>
      <c r="R3" s="175">
        <v>46273</v>
      </c>
      <c r="S3" s="174" t="s">
        <v>4</v>
      </c>
    </row>
    <row r="4" spans="1:19" x14ac:dyDescent="0.25">
      <c r="A4" s="176" t="str">
        <f>IF(Birim!C6="","",Birim!C6)</f>
        <v>İç Hastalıkları Anabilim Dalı</v>
      </c>
      <c r="B4" s="177">
        <f>IF($A4="","",IF($A4="","",COUNTIFS(Başvuru!$I:$I,Toplantı!$B$4,Başvuru!$D:$D,$A$4)))</f>
        <v>6</v>
      </c>
      <c r="C4" s="177">
        <f>IF($A4="","",IF($A4="","",COUNTIFS(Başvuru!$I:$I,Toplantı!$B$5,Başvuru!$D:$D,$A$4)))</f>
        <v>7</v>
      </c>
      <c r="D4" s="177">
        <f>IF($A4="","",IF($A4="","",COUNTIFS(Başvuru!$I:$I,Toplantı!$B$6,Başvuru!$D:$D,$A$4)))</f>
        <v>7</v>
      </c>
      <c r="E4" s="177">
        <f>IF($A4="","",IF($A4="","",COUNTIFS(Başvuru!$I:$I,Toplantı!$B$7,Başvuru!$D:$D,$A$4)))</f>
        <v>7</v>
      </c>
      <c r="F4" s="177">
        <f>IF($A4="","",IF($A4="","",COUNTIFS(Başvuru!$I:$I,Toplantı!$B$8,Başvuru!$D:$D,$A$4)))</f>
        <v>5</v>
      </c>
      <c r="G4" s="177">
        <f>IF($A4="","",IF($A4="","",COUNTIFS(Başvuru!$I:$I,Toplantı!$B$9,Başvuru!$D:$D,$A$4)))</f>
        <v>3</v>
      </c>
      <c r="H4" s="177">
        <f>IF($A4="","",IF($A4="","",COUNTIFS(Başvuru!$I:$I,Toplantı!$B$10,Başvuru!$D:$D,$A$4)))</f>
        <v>7</v>
      </c>
      <c r="I4" s="177">
        <f>IF($A4="","",IF($A4="","",COUNTIFS(Başvuru!$I:$I,Toplantı!$B$11,Başvuru!$D:$D,$A$4)))</f>
        <v>10</v>
      </c>
      <c r="J4" s="177">
        <f>IF($A4="","",IF($A4="","",COUNTIFS(Başvuru!$I:$I,Toplantı!$B$12,Başvuru!$D:$D,$A$4)))</f>
        <v>9</v>
      </c>
      <c r="K4" s="177">
        <f>IF($A4="","",IF($A4="","",COUNTIFS(Başvuru!$I:$I,Toplantı!$B$13,Başvuru!$D:$D,$A$4)))</f>
        <v>12</v>
      </c>
      <c r="L4" s="177">
        <f>IF($A4="","",IF($A4="","",COUNTIFS(Başvuru!$I:$I,Toplantı!$B$14,Başvuru!$D:$D,$A$4)))</f>
        <v>9</v>
      </c>
      <c r="M4" s="177">
        <f>IF($A4="","",IF($A4="","",COUNTIFS(Başvuru!$I:$I,Toplantı!$B$15,Başvuru!$D:$D,$A$4)))</f>
        <v>9</v>
      </c>
      <c r="N4" s="177">
        <f>IF($A4="","",IF($A4="","",COUNTIFS(Başvuru!$I:$I,Toplantı!$B$16,Başvuru!$D:$D,$A$4)))</f>
        <v>8</v>
      </c>
      <c r="O4" s="177">
        <f>IF($A4="","",IF($A4="","",COUNTIFS(Başvuru!$I:$I,Toplantı!$B$17,Başvuru!$D:$D,$A$4)))</f>
        <v>9</v>
      </c>
      <c r="P4" s="177">
        <f>IF($A4="","",IF($A4="","",COUNTIFS(Başvuru!$I:$I,Toplantı!$B$18,Başvuru!$D:$D,$A$4)))</f>
        <v>11</v>
      </c>
      <c r="Q4" s="177">
        <f>IF($A4="","",IF($A4="","",COUNTIFS(Başvuru!$I:$I,Toplantı!$B$19,Başvuru!$D:$D,$A$4)))</f>
        <v>6</v>
      </c>
      <c r="R4" s="177">
        <f>IF($A4="","",IF($A4="","",COUNTIFS(Başvuru!$I:$I,Toplantı!$B$20,Başvuru!$D:$D,$A$4)))</f>
        <v>4</v>
      </c>
      <c r="S4" s="178">
        <f t="shared" ref="S4:S35" si="0">SUM(B4:R4)</f>
        <v>129</v>
      </c>
    </row>
    <row r="5" spans="1:19" x14ac:dyDescent="0.25">
      <c r="A5" s="176" t="str">
        <f>IF(Birim!C7="","",Birim!C7)</f>
        <v>Çocuk Sağlığı ve Hastalıkları Anabilim Dalı</v>
      </c>
      <c r="B5" s="177">
        <f>IF($A5="","",IF($A4="","",COUNTIFS(Başvuru!$I:$I,Toplantı!$B$4,Başvuru!$D:$D,$A$5)))</f>
        <v>5</v>
      </c>
      <c r="C5" s="177">
        <f>IF($A5="","",IF($A4="","",COUNTIFS(Başvuru!$I:$I,Toplantı!$B$5,Başvuru!$D:$D,$A$5)))</f>
        <v>9</v>
      </c>
      <c r="D5" s="177">
        <f>IF($A5="","",IF($A4="","",COUNTIFS(Başvuru!$I:$I,Toplantı!$B$6,Başvuru!$D:$D,$A$5)))</f>
        <v>5</v>
      </c>
      <c r="E5" s="177">
        <f>IF($A5="","",IF($A4="","",COUNTIFS(Başvuru!$I:$I,Toplantı!$B$7,Başvuru!$D:$D,$A$5)))</f>
        <v>4</v>
      </c>
      <c r="F5" s="177">
        <f>IF($A5="","",IF($A4="","",COUNTIFS(Başvuru!$I:$I,Toplantı!$B$8,Başvuru!$D:$D,$A$5)))</f>
        <v>6</v>
      </c>
      <c r="G5" s="177">
        <f>IF($A5="","",IF($A4="","",COUNTIFS(Başvuru!$I:$I,Toplantı!$B$9,Başvuru!$D:$D,$A$5)))</f>
        <v>10</v>
      </c>
      <c r="H5" s="177">
        <f>IF($A5="","",IF($A4="","",COUNTIFS(Başvuru!$I:$I,Toplantı!$B$10,Başvuru!$D:$D,$A$5)))</f>
        <v>7</v>
      </c>
      <c r="I5" s="177">
        <f>IF($A5="","",IF($A4="","",COUNTIFS(Başvuru!$I:$I,Toplantı!$B$11,Başvuru!$D:$D,$A$5)))</f>
        <v>3</v>
      </c>
      <c r="J5" s="177">
        <f>IF($A5="","",IF($A4="","",COUNTIFS(Başvuru!$I:$I,Toplantı!$B$12,Başvuru!$D:$D,$A$5)))</f>
        <v>8</v>
      </c>
      <c r="K5" s="177">
        <f>IF($A5="","",IF($A4="","",COUNTIFS(Başvuru!$I:$I,Toplantı!$B$13,Başvuru!$D:$D,$A$5)))</f>
        <v>12</v>
      </c>
      <c r="L5" s="177">
        <f>IF($A5="","",IF($A4="","",COUNTIFS(Başvuru!$I:$I,Toplantı!$B$14,Başvuru!$D:$D,$A$5)))</f>
        <v>3</v>
      </c>
      <c r="M5" s="177">
        <f>IF($A5="","",IF($A4="","",COUNTIFS(Başvuru!$I:$I,Toplantı!$B$15,Başvuru!$D:$D,$A$5)))</f>
        <v>6</v>
      </c>
      <c r="N5" s="177">
        <f>IF($A5="","",IF($A4="","",COUNTIFS(Başvuru!$I:$I,Toplantı!$B$16,Başvuru!$D:$D,$A$5)))</f>
        <v>15</v>
      </c>
      <c r="O5" s="177">
        <f>IF($A5="","",IF($A4="","",COUNTIFS(Başvuru!$I:$I,Toplantı!$B$17,Başvuru!$D:$D,$A$5)))</f>
        <v>11</v>
      </c>
      <c r="P5" s="177">
        <f>IF($A5="","",IF($A4="","",COUNTIFS(Başvuru!$I:$I,Toplantı!$B$18,Başvuru!$D:$D,$A$5)))</f>
        <v>9</v>
      </c>
      <c r="Q5" s="177">
        <f>IF($A5="","",IF($A4="","",COUNTIFS(Başvuru!$I:$I,Toplantı!$B$19,Başvuru!$D:$D,$A$5)))</f>
        <v>12</v>
      </c>
      <c r="R5" s="177">
        <f>IF($A5="","",IF($A4="","",COUNTIFS(Başvuru!$I:$I,Toplantı!$B$20,Başvuru!$D:$D,$A$5)))</f>
        <v>4</v>
      </c>
      <c r="S5" s="178">
        <f t="shared" si="0"/>
        <v>129</v>
      </c>
    </row>
    <row r="6" spans="1:19" x14ac:dyDescent="0.25">
      <c r="A6" s="176" t="str">
        <f>IF(Birim!C8="","",Birim!C8)</f>
        <v>Kadın Hastalıkları ve Doğum Anabilim Dalı</v>
      </c>
      <c r="B6" s="177">
        <f>IF($A6="","",IF($A4="","",COUNTIFS(Başvuru!$I:$I,Toplantı!$B$4,Başvuru!$D:$D,$A$6)))</f>
        <v>2</v>
      </c>
      <c r="C6" s="177">
        <f>IF($A6="","",IF($A4="","",COUNTIFS(Başvuru!$I:$I,Toplantı!$B$5,Başvuru!$D:$D,$A$6)))</f>
        <v>0</v>
      </c>
      <c r="D6" s="177">
        <f>IF($A6="","",IF($A4="","",COUNTIFS(Başvuru!$I:$I,Toplantı!$B$6,Başvuru!$D:$D,$A$6)))</f>
        <v>2</v>
      </c>
      <c r="E6" s="177">
        <f>IF($A6="","",IF($A4="","",COUNTIFS(Başvuru!$I:$I,Toplantı!$B$7,Başvuru!$D:$D,$A$6)))</f>
        <v>5</v>
      </c>
      <c r="F6" s="177">
        <f>IF($A6="","",IF($A4="","",COUNTIFS(Başvuru!$I:$I,Toplantı!$B$8,Başvuru!$D:$D,$A$6)))</f>
        <v>1</v>
      </c>
      <c r="G6" s="177">
        <f>IF($A6="","",IF($A4="","",COUNTIFS(Başvuru!$I:$I,Toplantı!$B$9,Başvuru!$D:$D,$A$6)))</f>
        <v>5</v>
      </c>
      <c r="H6" s="177">
        <f>IF($A6="","",IF($A4="","",COUNTIFS(Başvuru!$I:$I,Toplantı!$B$10,Başvuru!$D:$D,$A$6)))</f>
        <v>4</v>
      </c>
      <c r="I6" s="177">
        <f>IF($A6="","",IF($A4="","",COUNTIFS(Başvuru!$I:$I,Toplantı!$B$11,Başvuru!$D:$D,$A$6)))</f>
        <v>3</v>
      </c>
      <c r="J6" s="177">
        <f>IF($A6="","",IF($A4="","",COUNTIFS(Başvuru!$I:$I,Toplantı!$B$12,Başvuru!$D:$D,$A$6)))</f>
        <v>1</v>
      </c>
      <c r="K6" s="177">
        <f>IF($A6="","",IF($A4="","",COUNTIFS(Başvuru!$I:$I,Toplantı!$B$13,Başvuru!$D:$D,$A$6)))</f>
        <v>0</v>
      </c>
      <c r="L6" s="177">
        <f>IF($A6="","",IF($A4="","",COUNTIFS(Başvuru!$I:$I,Toplantı!$B$14,Başvuru!$D:$D,$A$6)))</f>
        <v>2</v>
      </c>
      <c r="M6" s="177">
        <f>IF($A6="","",IF($A4="","",COUNTIFS(Başvuru!$I:$I,Toplantı!$B$15,Başvuru!$D:$D,$A$6)))</f>
        <v>3</v>
      </c>
      <c r="N6" s="177">
        <f>IF($A6="","",IF($A4="","",COUNTIFS(Başvuru!$I:$I,Toplantı!$B$16,Başvuru!$D:$D,$A$6)))</f>
        <v>2</v>
      </c>
      <c r="O6" s="177">
        <f>IF($A6="","",IF($A4="","",COUNTIFS(Başvuru!$I:$I,Toplantı!$B$17,Başvuru!$D:$D,$A$6)))</f>
        <v>0</v>
      </c>
      <c r="P6" s="177">
        <f>IF($A6="","",IF($A4="","",COUNTIFS(Başvuru!$I:$I,Toplantı!$B$18,Başvuru!$D:$D,$A$6)))</f>
        <v>0</v>
      </c>
      <c r="Q6" s="177">
        <f>IF($A6="","",IF($A4="","",COUNTIFS(Başvuru!$I:$I,Toplantı!$B$19,Başvuru!$D:$D,$A$6)))</f>
        <v>1</v>
      </c>
      <c r="R6" s="177">
        <f>IF($A6="","",IF($A4="","",COUNTIFS(Başvuru!$I:$I,Toplantı!$B$20,Başvuru!$D:$D,$A$6)))</f>
        <v>0</v>
      </c>
      <c r="S6" s="178">
        <f t="shared" si="0"/>
        <v>31</v>
      </c>
    </row>
    <row r="7" spans="1:19" x14ac:dyDescent="0.25">
      <c r="A7" s="176" t="str">
        <f>IF(Birim!C9="","",Birim!C9)</f>
        <v>Radyoloji Anabilim Dalı</v>
      </c>
      <c r="B7" s="177">
        <f>IF($A7="","",IF($A4="","",COUNTIFS(Başvuru!$I:$I,Toplantı!$B$4,Başvuru!$D:$D,$A$7)))</f>
        <v>1</v>
      </c>
      <c r="C7" s="177">
        <f>IF($A7="","",IF($A4="","",COUNTIFS(Başvuru!$I:$I,Toplantı!$B$5,Başvuru!$D:$D,$A$7)))</f>
        <v>2</v>
      </c>
      <c r="D7" s="177">
        <f>IF($A7="","",IF($A4="","",COUNTIFS(Başvuru!$I:$I,Toplantı!$B$6,Başvuru!$D:$D,$A$7)))</f>
        <v>1</v>
      </c>
      <c r="E7" s="177">
        <f>IF($A7="","",IF($A4="","",COUNTIFS(Başvuru!$I:$I,Toplantı!$B$7,Başvuru!$D:$D,$A$7)))</f>
        <v>1</v>
      </c>
      <c r="F7" s="177">
        <f>IF($A7="","",IF($A4="","",COUNTIFS(Başvuru!$I:$I,Toplantı!$B$8,Başvuru!$D:$D,$A$7)))</f>
        <v>4</v>
      </c>
      <c r="G7" s="177">
        <f>IF($A7="","",IF($A4="","",COUNTIFS(Başvuru!$I:$I,Toplantı!$B$9,Başvuru!$D:$D,$A$7)))</f>
        <v>2</v>
      </c>
      <c r="H7" s="177">
        <f>IF($A7="","",IF($A4="","",COUNTIFS(Başvuru!$I:$I,Toplantı!$B$10,Başvuru!$D:$D,$A$7)))</f>
        <v>1</v>
      </c>
      <c r="I7" s="177">
        <f>IF($A7="","",IF($A4="","",COUNTIFS(Başvuru!$I:$I,Toplantı!$B$11,Başvuru!$D:$D,$A$7)))</f>
        <v>1</v>
      </c>
      <c r="J7" s="177">
        <f>IF($A7="","",IF($A4="","",COUNTIFS(Başvuru!$I:$I,Toplantı!$B$12,Başvuru!$D:$D,$A$7)))</f>
        <v>3</v>
      </c>
      <c r="K7" s="177">
        <f>IF($A7="","",IF($A4="","",COUNTIFS(Başvuru!$I:$I,Toplantı!$B$13,Başvuru!$D:$D,$A$7)))</f>
        <v>0</v>
      </c>
      <c r="L7" s="177">
        <f>IF($A7="","",IF($A4="","",COUNTIFS(Başvuru!$I:$I,Toplantı!$B$14,Başvuru!$D:$D,$A$7)))</f>
        <v>1</v>
      </c>
      <c r="M7" s="177">
        <f>IF($A7="","",IF($A4="","",COUNTIFS(Başvuru!$I:$I,Toplantı!$B$15,Başvuru!$D:$D,$A$7)))</f>
        <v>0</v>
      </c>
      <c r="N7" s="177">
        <f>IF($A7="","",IF($A4="","",COUNTIFS(Başvuru!$I:$I,Toplantı!$B$16,Başvuru!$D:$D,$A$7)))</f>
        <v>2</v>
      </c>
      <c r="O7" s="177">
        <f>IF($A7="","",IF($A4="","",COUNTIFS(Başvuru!$I:$I,Toplantı!$B$17,Başvuru!$D:$D,$A$7)))</f>
        <v>3</v>
      </c>
      <c r="P7" s="177">
        <f>IF($A7="","",IF($A4="","",COUNTIFS(Başvuru!$I:$I,Toplantı!$B$18,Başvuru!$D:$D,$A$7)))</f>
        <v>0</v>
      </c>
      <c r="Q7" s="177">
        <f>IF($A7="","",IF($A4="","",COUNTIFS(Başvuru!$I:$I,Toplantı!$B$19,Başvuru!$D:$D,$A$7)))</f>
        <v>2</v>
      </c>
      <c r="R7" s="177">
        <f>IF($A7="","",IF($A4="","",COUNTIFS(Başvuru!$I:$I,Toplantı!$B$20,Başvuru!$D:$D,$A$7)))</f>
        <v>0</v>
      </c>
      <c r="S7" s="178">
        <f t="shared" si="0"/>
        <v>24</v>
      </c>
    </row>
    <row r="8" spans="1:19" x14ac:dyDescent="0.25">
      <c r="A8" s="176" t="str">
        <f>IF(Birim!C10="","",Birim!C10)</f>
        <v>Nöroloji Anabilim Dalı</v>
      </c>
      <c r="B8" s="177">
        <f>IF($A8="","",IF($A4="","",COUNTIFS(Başvuru!$I:$I,Toplantı!$B$4,Başvuru!$D:$D,$A$8)))</f>
        <v>1</v>
      </c>
      <c r="C8" s="177">
        <f>IF($A8="","",IF($A4="","",COUNTIFS(Başvuru!$I:$I,Toplantı!$B$5,Başvuru!$D:$D,$A$8)))</f>
        <v>2</v>
      </c>
      <c r="D8" s="177">
        <f>IF($A8="","",IF($A4="","",COUNTIFS(Başvuru!$I:$I,Toplantı!$B$6,Başvuru!$D:$D,$A$8)))</f>
        <v>1</v>
      </c>
      <c r="E8" s="177">
        <f>IF($A8="","",IF($A4="","",COUNTIFS(Başvuru!$I:$I,Toplantı!$B$7,Başvuru!$D:$D,$A$8)))</f>
        <v>1</v>
      </c>
      <c r="F8" s="177">
        <f>IF($A8="","",IF($A4="","",COUNTIFS(Başvuru!$I:$I,Toplantı!$B$8,Başvuru!$D:$D,$A$8)))</f>
        <v>1</v>
      </c>
      <c r="G8" s="177">
        <f>IF($A8="","",IF($A4="","",COUNTIFS(Başvuru!$I:$I,Toplantı!$B$9,Başvuru!$D:$D,$A$8)))</f>
        <v>4</v>
      </c>
      <c r="H8" s="177">
        <f>IF($A8="","",IF($A4="","",COUNTIFS(Başvuru!$I:$I,Toplantı!$B$10,Başvuru!$D:$D,$A$8)))</f>
        <v>0</v>
      </c>
      <c r="I8" s="177">
        <f>IF($A8="","",IF($A4="","",COUNTIFS(Başvuru!$I:$I,Toplantı!$B$11,Başvuru!$D:$D,$A$8)))</f>
        <v>3</v>
      </c>
      <c r="J8" s="177">
        <f>IF($A8="","",IF($A4="","",COUNTIFS(Başvuru!$I:$I,Toplantı!$B$12,Başvuru!$D:$D,$A$8)))</f>
        <v>1</v>
      </c>
      <c r="K8" s="177">
        <f>IF($A8="","",IF($A4="","",COUNTIFS(Başvuru!$I:$I,Toplantı!$B$13,Başvuru!$D:$D,$A$8)))</f>
        <v>3</v>
      </c>
      <c r="L8" s="177">
        <f>IF($A8="","",IF($A4="","",COUNTIFS(Başvuru!$I:$I,Toplantı!$B$14,Başvuru!$D:$D,$A$8)))</f>
        <v>1</v>
      </c>
      <c r="M8" s="177">
        <f>IF($A8="","",IF($A4="","",COUNTIFS(Başvuru!$I:$I,Toplantı!$B$15,Başvuru!$D:$D,$A$8)))</f>
        <v>0</v>
      </c>
      <c r="N8" s="177">
        <f>IF($A8="","",IF($A4="","",COUNTIFS(Başvuru!$I:$I,Toplantı!$B$16,Başvuru!$D:$D,$A$8)))</f>
        <v>3</v>
      </c>
      <c r="O8" s="177">
        <f>IF($A8="","",IF($A4="","",COUNTIFS(Başvuru!$I:$I,Toplantı!$B$17,Başvuru!$D:$D,$A$8)))</f>
        <v>0</v>
      </c>
      <c r="P8" s="177">
        <f>IF($A8="","",IF($A4="","",COUNTIFS(Başvuru!$I:$I,Toplantı!$B$18,Başvuru!$D:$D,$A$8)))</f>
        <v>0</v>
      </c>
      <c r="Q8" s="177">
        <f>IF($A8="","",IF($A4="","",COUNTIFS(Başvuru!$I:$I,Toplantı!$B$19,Başvuru!$D:$D,$A$8)))</f>
        <v>3</v>
      </c>
      <c r="R8" s="177">
        <f>IF($A8="","",IF($A4="","",COUNTIFS(Başvuru!$I:$I,Toplantı!$B$20,Başvuru!$D:$D,$A$8)))</f>
        <v>0</v>
      </c>
      <c r="S8" s="178">
        <f t="shared" si="0"/>
        <v>24</v>
      </c>
    </row>
    <row r="9" spans="1:19" x14ac:dyDescent="0.25">
      <c r="A9" s="176" t="str">
        <f>IF(Birim!C11="","",Birim!C11)</f>
        <v>Kardiyoloji Anabilim Dalı</v>
      </c>
      <c r="B9" s="177">
        <f>IF($A9="","",IF($A4="","",COUNTIFS(Başvuru!$I:$I,Toplantı!$B$4,Başvuru!$D:$D,$A$9)))</f>
        <v>5</v>
      </c>
      <c r="C9" s="177">
        <f>IF($A9="","",IF($A4="","",COUNTIFS(Başvuru!$I:$I,Toplantı!$B$5,Başvuru!$D:$D,$A$9)))</f>
        <v>0</v>
      </c>
      <c r="D9" s="177">
        <f>IF($A9="","",IF($A4="","",COUNTIFS(Başvuru!$I:$I,Toplantı!$B$6,Başvuru!$D:$D,$A$9)))</f>
        <v>0</v>
      </c>
      <c r="E9" s="177">
        <f>IF($A9="","",IF($A4="","",COUNTIFS(Başvuru!$I:$I,Toplantı!$B$7,Başvuru!$D:$D,$A$9)))</f>
        <v>0</v>
      </c>
      <c r="F9" s="177">
        <f>IF($A9="","",IF($A4="","",COUNTIFS(Başvuru!$I:$I,Toplantı!$B$8,Başvuru!$D:$D,$A$9)))</f>
        <v>0</v>
      </c>
      <c r="G9" s="177">
        <f>IF($A9="","",IF($A4="","",COUNTIFS(Başvuru!$I:$I,Toplantı!$B$9,Başvuru!$D:$D,$A$9)))</f>
        <v>0</v>
      </c>
      <c r="H9" s="177">
        <f>IF($A9="","",IF($A4="","",COUNTIFS(Başvuru!$I:$I,Toplantı!$B$10,Başvuru!$D:$D,$A$9)))</f>
        <v>1</v>
      </c>
      <c r="I9" s="177">
        <f>IF($A9="","",IF($A4="","",COUNTIFS(Başvuru!$I:$I,Toplantı!$B$11,Başvuru!$D:$D,$A$9)))</f>
        <v>1</v>
      </c>
      <c r="J9" s="177">
        <f>IF($A9="","",IF($A4="","",COUNTIFS(Başvuru!$I:$I,Toplantı!$B$12,Başvuru!$D:$D,$A$9)))</f>
        <v>0</v>
      </c>
      <c r="K9" s="177">
        <f>IF($A9="","",IF($A4="","",COUNTIFS(Başvuru!$I:$I,Toplantı!$B$13,Başvuru!$D:$D,$A$9)))</f>
        <v>0</v>
      </c>
      <c r="L9" s="177">
        <f>IF($A9="","",IF($A4="","",COUNTIFS(Başvuru!$I:$I,Toplantı!$B$14,Başvuru!$D:$D,$A$9)))</f>
        <v>4</v>
      </c>
      <c r="M9" s="177">
        <f>IF($A9="","",IF($A4="","",COUNTIFS(Başvuru!$I:$I,Toplantı!$B$15,Başvuru!$D:$D,$A$9)))</f>
        <v>6</v>
      </c>
      <c r="N9" s="177">
        <f>IF($A9="","",IF($A4="","",COUNTIFS(Başvuru!$I:$I,Toplantı!$B$16,Başvuru!$D:$D,$A$9)))</f>
        <v>1</v>
      </c>
      <c r="O9" s="177">
        <f>IF($A9="","",IF($A4="","",COUNTIFS(Başvuru!$I:$I,Toplantı!$B$17,Başvuru!$D:$D,$A$9)))</f>
        <v>1</v>
      </c>
      <c r="P9" s="177">
        <f>IF($A9="","",IF($A4="","",COUNTIFS(Başvuru!$I:$I,Toplantı!$B$18,Başvuru!$D:$D,$A$9)))</f>
        <v>0</v>
      </c>
      <c r="Q9" s="177">
        <f>IF($A9="","",IF($A4="","",COUNTIFS(Başvuru!$I:$I,Toplantı!$B$19,Başvuru!$D:$D,$A$9)))</f>
        <v>0</v>
      </c>
      <c r="R9" s="177">
        <f>IF($A9="","",IF($A4="","",COUNTIFS(Başvuru!$I:$I,Toplantı!$B$20,Başvuru!$D:$D,$A$9)))</f>
        <v>1</v>
      </c>
      <c r="S9" s="178">
        <f t="shared" si="0"/>
        <v>20</v>
      </c>
    </row>
    <row r="10" spans="1:19" x14ac:dyDescent="0.25">
      <c r="A10" s="176" t="str">
        <f>IF(Birim!C12="","",Birim!C12)</f>
        <v>Klinik Eczacılık Anabilim Dalı</v>
      </c>
      <c r="B10" s="177">
        <f>IF($A10="","",IF($A4="","",COUNTIFS(Başvuru!$I:$I,Toplantı!$B$4,Başvuru!$D:$D,$A$10)))</f>
        <v>0</v>
      </c>
      <c r="C10" s="177">
        <f>IF($A10="","",IF($A4="","",COUNTIFS(Başvuru!$I:$I,Toplantı!$B$5,Başvuru!$D:$D,$A$10)))</f>
        <v>4</v>
      </c>
      <c r="D10" s="177">
        <f>IF($A10="","",IF($A4="","",COUNTIFS(Başvuru!$I:$I,Toplantı!$B$6,Başvuru!$D:$D,$A$10)))</f>
        <v>4</v>
      </c>
      <c r="E10" s="177">
        <f>IF($A10="","",IF($A4="","",COUNTIFS(Başvuru!$I:$I,Toplantı!$B$7,Başvuru!$D:$D,$A$10)))</f>
        <v>1</v>
      </c>
      <c r="F10" s="177">
        <f>IF($A10="","",IF($A4="","",COUNTIFS(Başvuru!$I:$I,Toplantı!$B$8,Başvuru!$D:$D,$A$10)))</f>
        <v>0</v>
      </c>
      <c r="G10" s="177">
        <f>IF($A10="","",IF($A4="","",COUNTIFS(Başvuru!$I:$I,Toplantı!$B$9,Başvuru!$D:$D,$A$10)))</f>
        <v>1</v>
      </c>
      <c r="H10" s="177">
        <f>IF($A10="","",IF($A4="","",COUNTIFS(Başvuru!$I:$I,Toplantı!$B$10,Başvuru!$D:$D,$A$10)))</f>
        <v>0</v>
      </c>
      <c r="I10" s="177">
        <f>IF($A10="","",IF($A4="","",COUNTIFS(Başvuru!$I:$I,Toplantı!$B$11,Başvuru!$D:$D,$A$10)))</f>
        <v>0</v>
      </c>
      <c r="J10" s="177">
        <f>IF($A10="","",IF($A4="","",COUNTIFS(Başvuru!$I:$I,Toplantı!$B$12,Başvuru!$D:$D,$A$10)))</f>
        <v>1</v>
      </c>
      <c r="K10" s="177">
        <f>IF($A10="","",IF($A4="","",COUNTIFS(Başvuru!$I:$I,Toplantı!$B$13,Başvuru!$D:$D,$A$10)))</f>
        <v>1</v>
      </c>
      <c r="L10" s="177">
        <f>IF($A10="","",IF($A4="","",COUNTIFS(Başvuru!$I:$I,Toplantı!$B$14,Başvuru!$D:$D,$A$10)))</f>
        <v>0</v>
      </c>
      <c r="M10" s="177">
        <f>IF($A10="","",IF($A4="","",COUNTIFS(Başvuru!$I:$I,Toplantı!$B$15,Başvuru!$D:$D,$A$10)))</f>
        <v>0</v>
      </c>
      <c r="N10" s="177">
        <f>IF($A10="","",IF($A4="","",COUNTIFS(Başvuru!$I:$I,Toplantı!$B$16,Başvuru!$D:$D,$A$10)))</f>
        <v>3</v>
      </c>
      <c r="O10" s="177">
        <f>IF($A10="","",IF($A4="","",COUNTIFS(Başvuru!$I:$I,Toplantı!$B$17,Başvuru!$D:$D,$A$10)))</f>
        <v>3</v>
      </c>
      <c r="P10" s="177">
        <f>IF($A10="","",IF($A4="","",COUNTIFS(Başvuru!$I:$I,Toplantı!$B$18,Başvuru!$D:$D,$A$10)))</f>
        <v>0</v>
      </c>
      <c r="Q10" s="177">
        <f>IF($A10="","",IF($A4="","",COUNTIFS(Başvuru!$I:$I,Toplantı!$B$19,Başvuru!$D:$D,$A$10)))</f>
        <v>2</v>
      </c>
      <c r="R10" s="177">
        <f>IF($A10="","",IF($A4="","",COUNTIFS(Başvuru!$I:$I,Toplantı!$B$20,Başvuru!$D:$D,$A$10)))</f>
        <v>0</v>
      </c>
      <c r="S10" s="178">
        <f t="shared" si="0"/>
        <v>20</v>
      </c>
    </row>
    <row r="11" spans="1:19" x14ac:dyDescent="0.25">
      <c r="A11" s="176" t="str">
        <f>IF(Birim!C13="","",Birim!C13)</f>
        <v>Göğüs Hastalıkları Anabilim Dalı</v>
      </c>
      <c r="B11" s="177">
        <f>IF($A11="","",IF($A4="","",COUNTIFS(Başvuru!$I:$I,Toplantı!$B$4,Başvuru!$D:$D,$A$11)))</f>
        <v>5</v>
      </c>
      <c r="C11" s="177">
        <f>IF($A11="","",IF($A4="","",COUNTIFS(Başvuru!$I:$I,Toplantı!$B$5,Başvuru!$D:$D,$A$11)))</f>
        <v>0</v>
      </c>
      <c r="D11" s="177">
        <f>IF($A11="","",IF($A4="","",COUNTIFS(Başvuru!$I:$I,Toplantı!$B$6,Başvuru!$D:$D,$A$11)))</f>
        <v>3</v>
      </c>
      <c r="E11" s="177">
        <f>IF($A11="","",IF($A4="","",COUNTIFS(Başvuru!$I:$I,Toplantı!$B$7,Başvuru!$D:$D,$A$11)))</f>
        <v>1</v>
      </c>
      <c r="F11" s="177">
        <f>IF($A11="","",IF($A4="","",COUNTIFS(Başvuru!$I:$I,Toplantı!$B$8,Başvuru!$D:$D,$A$11)))</f>
        <v>0</v>
      </c>
      <c r="G11" s="177">
        <f>IF($A11="","",IF($A4="","",COUNTIFS(Başvuru!$I:$I,Toplantı!$B$9,Başvuru!$D:$D,$A$11)))</f>
        <v>1</v>
      </c>
      <c r="H11" s="177">
        <f>IF($A11="","",IF($A4="","",COUNTIFS(Başvuru!$I:$I,Toplantı!$B$10,Başvuru!$D:$D,$A$11)))</f>
        <v>2</v>
      </c>
      <c r="I11" s="177">
        <f>IF($A11="","",IF($A4="","",COUNTIFS(Başvuru!$I:$I,Toplantı!$B$11,Başvuru!$D:$D,$A$11)))</f>
        <v>1</v>
      </c>
      <c r="J11" s="177">
        <f>IF($A11="","",IF($A4="","",COUNTIFS(Başvuru!$I:$I,Toplantı!$B$12,Başvuru!$D:$D,$A$11)))</f>
        <v>1</v>
      </c>
      <c r="K11" s="177">
        <f>IF($A11="","",IF($A4="","",COUNTIFS(Başvuru!$I:$I,Toplantı!$B$13,Başvuru!$D:$D,$A$11)))</f>
        <v>0</v>
      </c>
      <c r="L11" s="177">
        <f>IF($A11="","",IF($A4="","",COUNTIFS(Başvuru!$I:$I,Toplantı!$B$14,Başvuru!$D:$D,$A$11)))</f>
        <v>1</v>
      </c>
      <c r="M11" s="177">
        <f>IF($A11="","",IF($A4="","",COUNTIFS(Başvuru!$I:$I,Toplantı!$B$15,Başvuru!$D:$D,$A$11)))</f>
        <v>0</v>
      </c>
      <c r="N11" s="177">
        <f>IF($A11="","",IF($A4="","",COUNTIFS(Başvuru!$I:$I,Toplantı!$B$16,Başvuru!$D:$D,$A$11)))</f>
        <v>0</v>
      </c>
      <c r="O11" s="177">
        <f>IF($A11="","",IF($A4="","",COUNTIFS(Başvuru!$I:$I,Toplantı!$B$17,Başvuru!$D:$D,$A$11)))</f>
        <v>1</v>
      </c>
      <c r="P11" s="177">
        <f>IF($A11="","",IF($A4="","",COUNTIFS(Başvuru!$I:$I,Toplantı!$B$18,Başvuru!$D:$D,$A$11)))</f>
        <v>0</v>
      </c>
      <c r="Q11" s="177">
        <f>IF($A11="","",IF($A4="","",COUNTIFS(Başvuru!$I:$I,Toplantı!$B$19,Başvuru!$D:$D,$A$11)))</f>
        <v>3</v>
      </c>
      <c r="R11" s="177">
        <f>IF($A11="","",IF($A4="","",COUNTIFS(Başvuru!$I:$I,Toplantı!$B$20,Başvuru!$D:$D,$A$11)))</f>
        <v>0</v>
      </c>
      <c r="S11" s="178">
        <f t="shared" si="0"/>
        <v>19</v>
      </c>
    </row>
    <row r="12" spans="1:19" x14ac:dyDescent="0.25">
      <c r="A12" s="176" t="str">
        <f>IF(Birim!C14="","",Birim!C14)</f>
        <v>Göz Hastalıkları Anabilim Dalı</v>
      </c>
      <c r="B12" s="177">
        <f>IF($A12="","",IF($A4="","",COUNTIFS(Başvuru!$I:$I,Toplantı!$B$4,Başvuru!$D:$D,$A$12)))</f>
        <v>2</v>
      </c>
      <c r="C12" s="177">
        <f>IF($A12="","",IF($A4="","",COUNTIFS(Başvuru!$I:$I,Toplantı!$B$5,Başvuru!$D:$D,$A$12)))</f>
        <v>3</v>
      </c>
      <c r="D12" s="177">
        <f>IF($A12="","",IF($A4="","",COUNTIFS(Başvuru!$I:$I,Toplantı!$B$6,Başvuru!$D:$D,$A$12)))</f>
        <v>0</v>
      </c>
      <c r="E12" s="177">
        <f>IF($A12="","",IF($A4="","",COUNTIFS(Başvuru!$I:$I,Toplantı!$B$7,Başvuru!$D:$D,$A$12)))</f>
        <v>1</v>
      </c>
      <c r="F12" s="177">
        <f>IF($A12="","",IF($A4="","",COUNTIFS(Başvuru!$I:$I,Toplantı!$B$8,Başvuru!$D:$D,$A$12)))</f>
        <v>0</v>
      </c>
      <c r="G12" s="177">
        <f>IF($A12="","",IF($A4="","",COUNTIFS(Başvuru!$I:$I,Toplantı!$B$9,Başvuru!$D:$D,$A$12)))</f>
        <v>0</v>
      </c>
      <c r="H12" s="177">
        <f>IF($A12="","",IF($A4="","",COUNTIFS(Başvuru!$I:$I,Toplantı!$B$10,Başvuru!$D:$D,$A$12)))</f>
        <v>1</v>
      </c>
      <c r="I12" s="177">
        <f>IF($A12="","",IF($A4="","",COUNTIFS(Başvuru!$I:$I,Toplantı!$B$11,Başvuru!$D:$D,$A$12)))</f>
        <v>1</v>
      </c>
      <c r="J12" s="177">
        <f>IF($A12="","",IF($A4="","",COUNTIFS(Başvuru!$I:$I,Toplantı!$B$12,Başvuru!$D:$D,$A$12)))</f>
        <v>3</v>
      </c>
      <c r="K12" s="177">
        <f>IF($A12="","",IF($A4="","",COUNTIFS(Başvuru!$I:$I,Toplantı!$B$13,Başvuru!$D:$D,$A$12)))</f>
        <v>2</v>
      </c>
      <c r="L12" s="177">
        <f>IF($A12="","",IF($A4="","",COUNTIFS(Başvuru!$I:$I,Toplantı!$B$14,Başvuru!$D:$D,$A$12)))</f>
        <v>0</v>
      </c>
      <c r="M12" s="177">
        <f>IF($A12="","",IF($A4="","",COUNTIFS(Başvuru!$I:$I,Toplantı!$B$15,Başvuru!$D:$D,$A$12)))</f>
        <v>2</v>
      </c>
      <c r="N12" s="177">
        <f>IF($A12="","",IF($A4="","",COUNTIFS(Başvuru!$I:$I,Toplantı!$B$16,Başvuru!$D:$D,$A$12)))</f>
        <v>0</v>
      </c>
      <c r="O12" s="177">
        <f>IF($A12="","",IF($A4="","",COUNTIFS(Başvuru!$I:$I,Toplantı!$B$17,Başvuru!$D:$D,$A$12)))</f>
        <v>1</v>
      </c>
      <c r="P12" s="177">
        <f>IF($A12="","",IF($A4="","",COUNTIFS(Başvuru!$I:$I,Toplantı!$B$18,Başvuru!$D:$D,$A$12)))</f>
        <v>0</v>
      </c>
      <c r="Q12" s="177">
        <f>IF($A12="","",IF($A4="","",COUNTIFS(Başvuru!$I:$I,Toplantı!$B$19,Başvuru!$D:$D,$A$12)))</f>
        <v>1</v>
      </c>
      <c r="R12" s="177">
        <f>IF($A12="","",IF($A4="","",COUNTIFS(Başvuru!$I:$I,Toplantı!$B$20,Başvuru!$D:$D,$A$12)))</f>
        <v>0</v>
      </c>
      <c r="S12" s="178">
        <f t="shared" si="0"/>
        <v>17</v>
      </c>
    </row>
    <row r="13" spans="1:19" x14ac:dyDescent="0.25">
      <c r="A13" s="176" t="str">
        <f>IF(Birim!C15="","",Birim!C15)</f>
        <v>Ortopedi ve Travmatoloji Anabilim Dalı</v>
      </c>
      <c r="B13" s="177">
        <f>IF($A13="","",IF($A4="","",COUNTIFS(Başvuru!$I:$I,Toplantı!$B$4,Başvuru!$D:$D,$A$13)))</f>
        <v>0</v>
      </c>
      <c r="C13" s="177">
        <f>IF($A13="","",IF($A4="","",COUNTIFS(Başvuru!$I:$I,Toplantı!$B$5,Başvuru!$D:$D,$A$13)))</f>
        <v>1</v>
      </c>
      <c r="D13" s="177">
        <f>IF($A13="","",IF($A4="","",COUNTIFS(Başvuru!$I:$I,Toplantı!$B$6,Başvuru!$D:$D,$A$13)))</f>
        <v>0</v>
      </c>
      <c r="E13" s="177">
        <f>IF($A13="","",IF($A4="","",COUNTIFS(Başvuru!$I:$I,Toplantı!$B$7,Başvuru!$D:$D,$A$13)))</f>
        <v>4</v>
      </c>
      <c r="F13" s="177">
        <f>IF($A13="","",IF($A4="","",COUNTIFS(Başvuru!$I:$I,Toplantı!$B$8,Başvuru!$D:$D,$A$13)))</f>
        <v>0</v>
      </c>
      <c r="G13" s="177">
        <f>IF($A13="","",IF($A4="","",COUNTIFS(Başvuru!$I:$I,Toplantı!$B$9,Başvuru!$D:$D,$A$13)))</f>
        <v>7</v>
      </c>
      <c r="H13" s="177">
        <f>IF($A13="","",IF($A4="","",COUNTIFS(Başvuru!$I:$I,Toplantı!$B$10,Başvuru!$D:$D,$A$13)))</f>
        <v>0</v>
      </c>
      <c r="I13" s="177">
        <f>IF($A13="","",IF($A4="","",COUNTIFS(Başvuru!$I:$I,Toplantı!$B$11,Başvuru!$D:$D,$A$13)))</f>
        <v>1</v>
      </c>
      <c r="J13" s="177">
        <f>IF($A13="","",IF($A4="","",COUNTIFS(Başvuru!$I:$I,Toplantı!$B$12,Başvuru!$D:$D,$A$13)))</f>
        <v>0</v>
      </c>
      <c r="K13" s="177">
        <f>IF($A13="","",IF($A4="","",COUNTIFS(Başvuru!$I:$I,Toplantı!$B$13,Başvuru!$D:$D,$A$13)))</f>
        <v>1</v>
      </c>
      <c r="L13" s="177">
        <f>IF($A13="","",IF($A4="","",COUNTIFS(Başvuru!$I:$I,Toplantı!$B$14,Başvuru!$D:$D,$A$13)))</f>
        <v>2</v>
      </c>
      <c r="M13" s="177">
        <f>IF($A13="","",IF($A4="","",COUNTIFS(Başvuru!$I:$I,Toplantı!$B$15,Başvuru!$D:$D,$A$13)))</f>
        <v>0</v>
      </c>
      <c r="N13" s="177">
        <f>IF($A13="","",IF($A4="","",COUNTIFS(Başvuru!$I:$I,Toplantı!$B$16,Başvuru!$D:$D,$A$13)))</f>
        <v>0</v>
      </c>
      <c r="O13" s="177">
        <f>IF($A13="","",IF($A4="","",COUNTIFS(Başvuru!$I:$I,Toplantı!$B$17,Başvuru!$D:$D,$A$13)))</f>
        <v>0</v>
      </c>
      <c r="P13" s="177">
        <f>IF($A13="","",IF($A4="","",COUNTIFS(Başvuru!$I:$I,Toplantı!$B$18,Başvuru!$D:$D,$A$13)))</f>
        <v>0</v>
      </c>
      <c r="Q13" s="177">
        <f>IF($A13="","",IF($A4="","",COUNTIFS(Başvuru!$I:$I,Toplantı!$B$19,Başvuru!$D:$D,$A$13)))</f>
        <v>1</v>
      </c>
      <c r="R13" s="177">
        <f>IF($A13="","",IF($A4="","",COUNTIFS(Başvuru!$I:$I,Toplantı!$B$20,Başvuru!$D:$D,$A$13)))</f>
        <v>0</v>
      </c>
      <c r="S13" s="178">
        <f t="shared" si="0"/>
        <v>17</v>
      </c>
    </row>
    <row r="14" spans="1:19" x14ac:dyDescent="0.25">
      <c r="A14" s="176" t="str">
        <f>IF(Birim!C16="","",Birim!C16)</f>
        <v>Çocuk ve Ergen Ruh Sağlığı ve Hastalıkları Anabilim Dalı</v>
      </c>
      <c r="B14" s="177">
        <f>IF($A14="","",IF($A4="","",COUNTIFS(Başvuru!$I:$I,Toplantı!$B$4,Başvuru!$D:$D,$A$14)))</f>
        <v>2</v>
      </c>
      <c r="C14" s="177">
        <f>IF($A14="","",IF($A4="","",COUNTIFS(Başvuru!$I:$I,Toplantı!$B$5,Başvuru!$D:$D,$A$14)))</f>
        <v>0</v>
      </c>
      <c r="D14" s="177">
        <f>IF($A14="","",IF($A4="","",COUNTIFS(Başvuru!$I:$I,Toplantı!$B$6,Başvuru!$D:$D,$A$14)))</f>
        <v>2</v>
      </c>
      <c r="E14" s="177">
        <f>IF($A14="","",IF($A4="","",COUNTIFS(Başvuru!$I:$I,Toplantı!$B$7,Başvuru!$D:$D,$A$14)))</f>
        <v>0</v>
      </c>
      <c r="F14" s="177">
        <f>IF($A14="","",IF($A4="","",COUNTIFS(Başvuru!$I:$I,Toplantı!$B$8,Başvuru!$D:$D,$A$14)))</f>
        <v>0</v>
      </c>
      <c r="G14" s="177">
        <f>IF($A14="","",IF($A4="","",COUNTIFS(Başvuru!$I:$I,Toplantı!$B$9,Başvuru!$D:$D,$A$14)))</f>
        <v>2</v>
      </c>
      <c r="H14" s="177">
        <f>IF($A14="","",IF($A4="","",COUNTIFS(Başvuru!$I:$I,Toplantı!$B$10,Başvuru!$D:$D,$A$14)))</f>
        <v>1</v>
      </c>
      <c r="I14" s="177">
        <f>IF($A14="","",IF($A4="","",COUNTIFS(Başvuru!$I:$I,Toplantı!$B$11,Başvuru!$D:$D,$A$14)))</f>
        <v>1</v>
      </c>
      <c r="J14" s="177">
        <f>IF($A14="","",IF($A4="","",COUNTIFS(Başvuru!$I:$I,Toplantı!$B$12,Başvuru!$D:$D,$A$14)))</f>
        <v>3</v>
      </c>
      <c r="K14" s="177">
        <f>IF($A14="","",IF($A4="","",COUNTIFS(Başvuru!$I:$I,Toplantı!$B$13,Başvuru!$D:$D,$A$14)))</f>
        <v>2</v>
      </c>
      <c r="L14" s="177">
        <f>IF($A14="","",IF($A4="","",COUNTIFS(Başvuru!$I:$I,Toplantı!$B$14,Başvuru!$D:$D,$A$14)))</f>
        <v>0</v>
      </c>
      <c r="M14" s="177">
        <f>IF($A14="","",IF($A4="","",COUNTIFS(Başvuru!$I:$I,Toplantı!$B$15,Başvuru!$D:$D,$A$14)))</f>
        <v>1</v>
      </c>
      <c r="N14" s="177">
        <f>IF($A14="","",IF($A4="","",COUNTIFS(Başvuru!$I:$I,Toplantı!$B$16,Başvuru!$D:$D,$A$14)))</f>
        <v>0</v>
      </c>
      <c r="O14" s="177">
        <f>IF($A14="","",IF($A4="","",COUNTIFS(Başvuru!$I:$I,Toplantı!$B$17,Başvuru!$D:$D,$A$14)))</f>
        <v>0</v>
      </c>
      <c r="P14" s="177">
        <f>IF($A14="","",IF($A4="","",COUNTIFS(Başvuru!$I:$I,Toplantı!$B$18,Başvuru!$D:$D,$A$14)))</f>
        <v>0</v>
      </c>
      <c r="Q14" s="177">
        <f>IF($A14="","",IF($A4="","",COUNTIFS(Başvuru!$I:$I,Toplantı!$B$19,Başvuru!$D:$D,$A$14)))</f>
        <v>0</v>
      </c>
      <c r="R14" s="177">
        <f>IF($A14="","",IF($A4="","",COUNTIFS(Başvuru!$I:$I,Toplantı!$B$20,Başvuru!$D:$D,$A$14)))</f>
        <v>1</v>
      </c>
      <c r="S14" s="178">
        <f t="shared" si="0"/>
        <v>15</v>
      </c>
    </row>
    <row r="15" spans="1:19" x14ac:dyDescent="0.25">
      <c r="A15" s="176" t="str">
        <f>IF(Birim!C17="","",Birim!C17)</f>
        <v>Kulak Burun Boğaz Anabilim Dalı</v>
      </c>
      <c r="B15" s="177">
        <f>IF($A15="","",IF($A4="","",COUNTIFS(Başvuru!$I:$I,Toplantı!$B$4,Başvuru!$D:$D,$A$15)))</f>
        <v>1</v>
      </c>
      <c r="C15" s="177">
        <f>IF($A15="","",IF($A4="","",COUNTIFS(Başvuru!$I:$I,Toplantı!$B$5,Başvuru!$D:$D,$A$15)))</f>
        <v>1</v>
      </c>
      <c r="D15" s="177">
        <f>IF($A15="","",IF($A4="","",COUNTIFS(Başvuru!$I:$I,Toplantı!$B$6,Başvuru!$D:$D,$A$15)))</f>
        <v>2</v>
      </c>
      <c r="E15" s="177">
        <f>IF($A15="","",IF($A4="","",COUNTIFS(Başvuru!$I:$I,Toplantı!$B$7,Başvuru!$D:$D,$A$15)))</f>
        <v>2</v>
      </c>
      <c r="F15" s="177">
        <f>IF($A15="","",IF($A4="","",COUNTIFS(Başvuru!$I:$I,Toplantı!$B$8,Başvuru!$D:$D,$A$15)))</f>
        <v>0</v>
      </c>
      <c r="G15" s="177">
        <f>IF($A15="","",IF($A4="","",COUNTIFS(Başvuru!$I:$I,Toplantı!$B$9,Başvuru!$D:$D,$A$15)))</f>
        <v>1</v>
      </c>
      <c r="H15" s="177">
        <f>IF($A15="","",IF($A4="","",COUNTIFS(Başvuru!$I:$I,Toplantı!$B$10,Başvuru!$D:$D,$A$15)))</f>
        <v>0</v>
      </c>
      <c r="I15" s="177">
        <f>IF($A15="","",IF($A4="","",COUNTIFS(Başvuru!$I:$I,Toplantı!$B$11,Başvuru!$D:$D,$A$15)))</f>
        <v>0</v>
      </c>
      <c r="J15" s="177">
        <f>IF($A15="","",IF($A4="","",COUNTIFS(Başvuru!$I:$I,Toplantı!$B$12,Başvuru!$D:$D,$A$15)))</f>
        <v>0</v>
      </c>
      <c r="K15" s="177">
        <f>IF($A15="","",IF($A4="","",COUNTIFS(Başvuru!$I:$I,Toplantı!$B$13,Başvuru!$D:$D,$A$15)))</f>
        <v>0</v>
      </c>
      <c r="L15" s="177">
        <f>IF($A15="","",IF($A4="","",COUNTIFS(Başvuru!$I:$I,Toplantı!$B$14,Başvuru!$D:$D,$A$15)))</f>
        <v>3</v>
      </c>
      <c r="M15" s="177">
        <f>IF($A15="","",IF($A4="","",COUNTIFS(Başvuru!$I:$I,Toplantı!$B$15,Başvuru!$D:$D,$A$15)))</f>
        <v>1</v>
      </c>
      <c r="N15" s="177">
        <f>IF($A15="","",IF($A4="","",COUNTIFS(Başvuru!$I:$I,Toplantı!$B$16,Başvuru!$D:$D,$A$15)))</f>
        <v>0</v>
      </c>
      <c r="O15" s="177">
        <f>IF($A15="","",IF($A4="","",COUNTIFS(Başvuru!$I:$I,Toplantı!$B$17,Başvuru!$D:$D,$A$15)))</f>
        <v>2</v>
      </c>
      <c r="P15" s="177">
        <f>IF($A15="","",IF($A4="","",COUNTIFS(Başvuru!$I:$I,Toplantı!$B$18,Başvuru!$D:$D,$A$15)))</f>
        <v>1</v>
      </c>
      <c r="Q15" s="177">
        <f>IF($A15="","",IF($A4="","",COUNTIFS(Başvuru!$I:$I,Toplantı!$B$19,Başvuru!$D:$D,$A$15)))</f>
        <v>1</v>
      </c>
      <c r="R15" s="177">
        <f>IF($A15="","",IF($A4="","",COUNTIFS(Başvuru!$I:$I,Toplantı!$B$20,Başvuru!$D:$D,$A$15)))</f>
        <v>0</v>
      </c>
      <c r="S15" s="178">
        <f t="shared" si="0"/>
        <v>15</v>
      </c>
    </row>
    <row r="16" spans="1:19" x14ac:dyDescent="0.25">
      <c r="A16" s="176" t="str">
        <f>IF(Birim!C18="","",Birim!C18)</f>
        <v>Çocuk Cerrahisi Anabilim Dalı</v>
      </c>
      <c r="B16" s="177">
        <f>IF($A16="","",IF($A4="","",COUNTIFS(Başvuru!$I:$I,Toplantı!$B$4,Başvuru!$D:$D,$A$16)))</f>
        <v>0</v>
      </c>
      <c r="C16" s="177">
        <f>IF($A16="","",IF($A4="","",COUNTIFS(Başvuru!$I:$I,Toplantı!$B$5,Başvuru!$D:$D,$A$16)))</f>
        <v>2</v>
      </c>
      <c r="D16" s="177">
        <f>IF($A16="","",IF($A4="","",COUNTIFS(Başvuru!$I:$I,Toplantı!$B$6,Başvuru!$D:$D,$A$16)))</f>
        <v>1</v>
      </c>
      <c r="E16" s="177">
        <f>IF($A16="","",IF($A4="","",COUNTIFS(Başvuru!$I:$I,Toplantı!$B$7,Başvuru!$D:$D,$A$16)))</f>
        <v>0</v>
      </c>
      <c r="F16" s="177">
        <f>IF($A16="","",IF($A4="","",COUNTIFS(Başvuru!$I:$I,Toplantı!$B$8,Başvuru!$D:$D,$A$16)))</f>
        <v>3</v>
      </c>
      <c r="G16" s="177">
        <f>IF($A16="","",IF($A4="","",COUNTIFS(Başvuru!$I:$I,Toplantı!$B$9,Başvuru!$D:$D,$A$16)))</f>
        <v>0</v>
      </c>
      <c r="H16" s="177">
        <f>IF($A16="","",IF($A4="","",COUNTIFS(Başvuru!$I:$I,Toplantı!$B$10,Başvuru!$D:$D,$A$16)))</f>
        <v>0</v>
      </c>
      <c r="I16" s="177">
        <f>IF($A16="","",IF($A4="","",COUNTIFS(Başvuru!$I:$I,Toplantı!$B$11,Başvuru!$D:$D,$A$16)))</f>
        <v>0</v>
      </c>
      <c r="J16" s="177">
        <f>IF($A16="","",IF($A4="","",COUNTIFS(Başvuru!$I:$I,Toplantı!$B$12,Başvuru!$D:$D,$A$16)))</f>
        <v>1</v>
      </c>
      <c r="K16" s="177">
        <f>IF($A16="","",IF($A4="","",COUNTIFS(Başvuru!$I:$I,Toplantı!$B$13,Başvuru!$D:$D,$A$16)))</f>
        <v>1</v>
      </c>
      <c r="L16" s="177">
        <f>IF($A16="","",IF($A4="","",COUNTIFS(Başvuru!$I:$I,Toplantı!$B$14,Başvuru!$D:$D,$A$16)))</f>
        <v>1</v>
      </c>
      <c r="M16" s="177">
        <f>IF($A16="","",IF($A4="","",COUNTIFS(Başvuru!$I:$I,Toplantı!$B$15,Başvuru!$D:$D,$A$16)))</f>
        <v>3</v>
      </c>
      <c r="N16" s="177">
        <f>IF($A16="","",IF($A4="","",COUNTIFS(Başvuru!$I:$I,Toplantı!$B$16,Başvuru!$D:$D,$A$16)))</f>
        <v>0</v>
      </c>
      <c r="O16" s="177">
        <f>IF($A16="","",IF($A4="","",COUNTIFS(Başvuru!$I:$I,Toplantı!$B$17,Başvuru!$D:$D,$A$16)))</f>
        <v>1</v>
      </c>
      <c r="P16" s="177">
        <f>IF($A16="","",IF($A4="","",COUNTIFS(Başvuru!$I:$I,Toplantı!$B$18,Başvuru!$D:$D,$A$16)))</f>
        <v>0</v>
      </c>
      <c r="Q16" s="177">
        <f>IF($A16="","",IF($A4="","",COUNTIFS(Başvuru!$I:$I,Toplantı!$B$19,Başvuru!$D:$D,$A$16)))</f>
        <v>0</v>
      </c>
      <c r="R16" s="177">
        <f>IF($A16="","",IF($A4="","",COUNTIFS(Başvuru!$I:$I,Toplantı!$B$20,Başvuru!$D:$D,$A$16)))</f>
        <v>0</v>
      </c>
      <c r="S16" s="178">
        <f t="shared" si="0"/>
        <v>13</v>
      </c>
    </row>
    <row r="17" spans="1:19" x14ac:dyDescent="0.25">
      <c r="A17" s="176" t="str">
        <f>IF(Birim!C19="","",Birim!C19)</f>
        <v>Üroloji Anabilim Dalı</v>
      </c>
      <c r="B17" s="177">
        <f>IF($A17="","",IF($A4="","",COUNTIFS(Başvuru!$I:$I,Toplantı!$B$4,Başvuru!$D:$D,$A$17)))</f>
        <v>0</v>
      </c>
      <c r="C17" s="177">
        <f>IF($A17="","",IF($A4="","",COUNTIFS(Başvuru!$I:$I,Toplantı!$B$5,Başvuru!$D:$D,$A$17)))</f>
        <v>1</v>
      </c>
      <c r="D17" s="177">
        <f>IF($A17="","",IF($A4="","",COUNTIFS(Başvuru!$I:$I,Toplantı!$B$6,Başvuru!$D:$D,$A$17)))</f>
        <v>0</v>
      </c>
      <c r="E17" s="177">
        <f>IF($A17="","",IF($A4="","",COUNTIFS(Başvuru!$I:$I,Toplantı!$B$7,Başvuru!$D:$D,$A$17)))</f>
        <v>3</v>
      </c>
      <c r="F17" s="177">
        <f>IF($A17="","",IF($A4="","",COUNTIFS(Başvuru!$I:$I,Toplantı!$B$8,Başvuru!$D:$D,$A$17)))</f>
        <v>0</v>
      </c>
      <c r="G17" s="177">
        <f>IF($A17="","",IF($A4="","",COUNTIFS(Başvuru!$I:$I,Toplantı!$B$9,Başvuru!$D:$D,$A$17)))</f>
        <v>0</v>
      </c>
      <c r="H17" s="177">
        <f>IF($A17="","",IF($A4="","",COUNTIFS(Başvuru!$I:$I,Toplantı!$B$10,Başvuru!$D:$D,$A$17)))</f>
        <v>0</v>
      </c>
      <c r="I17" s="177">
        <f>IF($A17="","",IF($A4="","",COUNTIFS(Başvuru!$I:$I,Toplantı!$B$11,Başvuru!$D:$D,$A$17)))</f>
        <v>0</v>
      </c>
      <c r="J17" s="177">
        <f>IF($A17="","",IF($A4="","",COUNTIFS(Başvuru!$I:$I,Toplantı!$B$12,Başvuru!$D:$D,$A$17)))</f>
        <v>1</v>
      </c>
      <c r="K17" s="177">
        <f>IF($A17="","",IF($A4="","",COUNTIFS(Başvuru!$I:$I,Toplantı!$B$13,Başvuru!$D:$D,$A$17)))</f>
        <v>1</v>
      </c>
      <c r="L17" s="177">
        <f>IF($A17="","",IF($A4="","",COUNTIFS(Başvuru!$I:$I,Toplantı!$B$14,Başvuru!$D:$D,$A$17)))</f>
        <v>0</v>
      </c>
      <c r="M17" s="177">
        <f>IF($A17="","",IF($A4="","",COUNTIFS(Başvuru!$I:$I,Toplantı!$B$15,Başvuru!$D:$D,$A$17)))</f>
        <v>0</v>
      </c>
      <c r="N17" s="177">
        <f>IF($A17="","",IF($A4="","",COUNTIFS(Başvuru!$I:$I,Toplantı!$B$16,Başvuru!$D:$D,$A$17)))</f>
        <v>1</v>
      </c>
      <c r="O17" s="177">
        <f>IF($A17="","",IF($A4="","",COUNTIFS(Başvuru!$I:$I,Toplantı!$B$17,Başvuru!$D:$D,$A$17)))</f>
        <v>0</v>
      </c>
      <c r="P17" s="177">
        <f>IF($A17="","",IF($A4="","",COUNTIFS(Başvuru!$I:$I,Toplantı!$B$18,Başvuru!$D:$D,$A$17)))</f>
        <v>1</v>
      </c>
      <c r="Q17" s="177">
        <f>IF($A17="","",IF($A4="","",COUNTIFS(Başvuru!$I:$I,Toplantı!$B$19,Başvuru!$D:$D,$A$17)))</f>
        <v>4</v>
      </c>
      <c r="R17" s="177">
        <f>IF($A17="","",IF($A4="","",COUNTIFS(Başvuru!$I:$I,Toplantı!$B$20,Başvuru!$D:$D,$A$17)))</f>
        <v>1</v>
      </c>
      <c r="S17" s="178">
        <f t="shared" si="0"/>
        <v>13</v>
      </c>
    </row>
    <row r="18" spans="1:19" x14ac:dyDescent="0.25">
      <c r="A18" s="176" t="str">
        <f>IF(Birim!C20="","",Birim!C20)</f>
        <v>Deri ve Zührevi Hastalıklar Anabilim Dalı</v>
      </c>
      <c r="B18" s="177">
        <f>IF($A18="","",IF($A4="","",COUNTIFS(Başvuru!$I:$I,Toplantı!$B$4,Başvuru!$D:$D,$A$18)))</f>
        <v>3</v>
      </c>
      <c r="C18" s="177">
        <f>IF($A18="","",IF($A4="","",COUNTIFS(Başvuru!$I:$I,Toplantı!$B$5,Başvuru!$D:$D,$A$18)))</f>
        <v>0</v>
      </c>
      <c r="D18" s="177">
        <f>IF($A18="","",IF($A4="","",COUNTIFS(Başvuru!$I:$I,Toplantı!$B$6,Başvuru!$D:$D,$A$18)))</f>
        <v>0</v>
      </c>
      <c r="E18" s="177">
        <f>IF($A18="","",IF($A4="","",COUNTIFS(Başvuru!$I:$I,Toplantı!$B$7,Başvuru!$D:$D,$A$18)))</f>
        <v>1</v>
      </c>
      <c r="F18" s="177">
        <f>IF($A18="","",IF($A4="","",COUNTIFS(Başvuru!$I:$I,Toplantı!$B$8,Başvuru!$D:$D,$A$18)))</f>
        <v>2</v>
      </c>
      <c r="G18" s="177">
        <f>IF($A18="","",IF($A4="","",COUNTIFS(Başvuru!$I:$I,Toplantı!$B$9,Başvuru!$D:$D,$A$18)))</f>
        <v>1</v>
      </c>
      <c r="H18" s="177">
        <f>IF($A18="","",IF($A4="","",COUNTIFS(Başvuru!$I:$I,Toplantı!$B$10,Başvuru!$D:$D,$A$18)))</f>
        <v>0</v>
      </c>
      <c r="I18" s="177">
        <f>IF($A18="","",IF($A4="","",COUNTIFS(Başvuru!$I:$I,Toplantı!$B$11,Başvuru!$D:$D,$A$18)))</f>
        <v>1</v>
      </c>
      <c r="J18" s="177">
        <f>IF($A18="","",IF($A4="","",COUNTIFS(Başvuru!$I:$I,Toplantı!$B$12,Başvuru!$D:$D,$A$18)))</f>
        <v>1</v>
      </c>
      <c r="K18" s="177">
        <f>IF($A18="","",IF($A4="","",COUNTIFS(Başvuru!$I:$I,Toplantı!$B$13,Başvuru!$D:$D,$A$18)))</f>
        <v>1</v>
      </c>
      <c r="L18" s="177">
        <f>IF($A18="","",IF($A4="","",COUNTIFS(Başvuru!$I:$I,Toplantı!$B$14,Başvuru!$D:$D,$A$18)))</f>
        <v>1</v>
      </c>
      <c r="M18" s="177">
        <f>IF($A18="","",IF($A4="","",COUNTIFS(Başvuru!$I:$I,Toplantı!$B$15,Başvuru!$D:$D,$A$18)))</f>
        <v>0</v>
      </c>
      <c r="N18" s="177">
        <f>IF($A18="","",IF($A4="","",COUNTIFS(Başvuru!$I:$I,Toplantı!$B$16,Başvuru!$D:$D,$A$18)))</f>
        <v>0</v>
      </c>
      <c r="O18" s="177">
        <f>IF($A18="","",IF($A4="","",COUNTIFS(Başvuru!$I:$I,Toplantı!$B$17,Başvuru!$D:$D,$A$18)))</f>
        <v>0</v>
      </c>
      <c r="P18" s="177">
        <f>IF($A18="","",IF($A4="","",COUNTIFS(Başvuru!$I:$I,Toplantı!$B$18,Başvuru!$D:$D,$A$18)))</f>
        <v>0</v>
      </c>
      <c r="Q18" s="177">
        <f>IF($A18="","",IF($A4="","",COUNTIFS(Başvuru!$I:$I,Toplantı!$B$19,Başvuru!$D:$D,$A$18)))</f>
        <v>1</v>
      </c>
      <c r="R18" s="177">
        <f>IF($A18="","",IF($A4="","",COUNTIFS(Başvuru!$I:$I,Toplantı!$B$20,Başvuru!$D:$D,$A$18)))</f>
        <v>0</v>
      </c>
      <c r="S18" s="178">
        <f t="shared" si="0"/>
        <v>12</v>
      </c>
    </row>
    <row r="19" spans="1:19" x14ac:dyDescent="0.25">
      <c r="A19" s="176" t="str">
        <f>IF(Birim!C21="","",Birim!C21)</f>
        <v>Anesteziyoloji ve Reanimasyon Anabilim Dalı</v>
      </c>
      <c r="B19" s="177">
        <f>IF($A19="","",IF($A4="","",COUNTIFS(Başvuru!$I:$I,Toplantı!$B$4,Başvuru!$D:$D,$A$19)))</f>
        <v>1</v>
      </c>
      <c r="C19" s="177">
        <f>IF($A19="","",IF($A4="","",COUNTIFS(Başvuru!$I:$I,Toplantı!$B$5,Başvuru!$D:$D,$A$19)))</f>
        <v>0</v>
      </c>
      <c r="D19" s="177">
        <f>IF($A19="","",IF($A4="","",COUNTIFS(Başvuru!$I:$I,Toplantı!$B$6,Başvuru!$D:$D,$A$19)))</f>
        <v>0</v>
      </c>
      <c r="E19" s="177">
        <f>IF($A19="","",IF($A4="","",COUNTIFS(Başvuru!$I:$I,Toplantı!$B$7,Başvuru!$D:$D,$A$19)))</f>
        <v>2</v>
      </c>
      <c r="F19" s="177">
        <f>IF($A19="","",IF($A4="","",COUNTIFS(Başvuru!$I:$I,Toplantı!$B$8,Başvuru!$D:$D,$A$19)))</f>
        <v>0</v>
      </c>
      <c r="G19" s="177">
        <f>IF($A19="","",IF($A4="","",COUNTIFS(Başvuru!$I:$I,Toplantı!$B$9,Başvuru!$D:$D,$A$19)))</f>
        <v>2</v>
      </c>
      <c r="H19" s="177">
        <f>IF($A19="","",IF($A4="","",COUNTIFS(Başvuru!$I:$I,Toplantı!$B$10,Başvuru!$D:$D,$A$19)))</f>
        <v>0</v>
      </c>
      <c r="I19" s="177">
        <f>IF($A19="","",IF($A4="","",COUNTIFS(Başvuru!$I:$I,Toplantı!$B$11,Başvuru!$D:$D,$A$19)))</f>
        <v>0</v>
      </c>
      <c r="J19" s="177">
        <f>IF($A19="","",IF($A4="","",COUNTIFS(Başvuru!$I:$I,Toplantı!$B$12,Başvuru!$D:$D,$A$19)))</f>
        <v>0</v>
      </c>
      <c r="K19" s="177">
        <f>IF($A19="","",IF($A4="","",COUNTIFS(Başvuru!$I:$I,Toplantı!$B$13,Başvuru!$D:$D,$A$19)))</f>
        <v>0</v>
      </c>
      <c r="L19" s="177">
        <f>IF($A19="","",IF($A4="","",COUNTIFS(Başvuru!$I:$I,Toplantı!$B$14,Başvuru!$D:$D,$A$19)))</f>
        <v>2</v>
      </c>
      <c r="M19" s="177">
        <f>IF($A19="","",IF($A4="","",COUNTIFS(Başvuru!$I:$I,Toplantı!$B$15,Başvuru!$D:$D,$A$19)))</f>
        <v>1</v>
      </c>
      <c r="N19" s="177">
        <f>IF($A19="","",IF($A4="","",COUNTIFS(Başvuru!$I:$I,Toplantı!$B$16,Başvuru!$D:$D,$A$19)))</f>
        <v>1</v>
      </c>
      <c r="O19" s="177">
        <f>IF($A19="","",IF($A4="","",COUNTIFS(Başvuru!$I:$I,Toplantı!$B$17,Başvuru!$D:$D,$A$19)))</f>
        <v>1</v>
      </c>
      <c r="P19" s="177">
        <f>IF($A19="","",IF($A4="","",COUNTIFS(Başvuru!$I:$I,Toplantı!$B$18,Başvuru!$D:$D,$A$19)))</f>
        <v>0</v>
      </c>
      <c r="Q19" s="177">
        <f>IF($A19="","",IF($A4="","",COUNTIFS(Başvuru!$I:$I,Toplantı!$B$19,Başvuru!$D:$D,$A$19)))</f>
        <v>1</v>
      </c>
      <c r="R19" s="177">
        <f>IF($A19="","",IF($A4="","",COUNTIFS(Başvuru!$I:$I,Toplantı!$B$20,Başvuru!$D:$D,$A$19)))</f>
        <v>0</v>
      </c>
      <c r="S19" s="178">
        <f t="shared" si="0"/>
        <v>11</v>
      </c>
    </row>
    <row r="20" spans="1:19" x14ac:dyDescent="0.25">
      <c r="A20" s="176" t="str">
        <f>IF(Birim!C22="","",Birim!C22)</f>
        <v>Aile Hekimliği Anabilim Dalı</v>
      </c>
      <c r="B20" s="177">
        <f>IF($A20="","",IF($A4="","",COUNTIFS(Başvuru!$I:$I,Toplantı!$B$4,Başvuru!$D:$D,$A$20)))</f>
        <v>0</v>
      </c>
      <c r="C20" s="177">
        <f>IF($A20="","",IF($A4="","",COUNTIFS(Başvuru!$I:$I,Toplantı!$B$5,Başvuru!$D:$D,$A$20)))</f>
        <v>0</v>
      </c>
      <c r="D20" s="177">
        <f>IF($A20="","",IF($A4="","",COUNTIFS(Başvuru!$I:$I,Toplantı!$B$6,Başvuru!$D:$D,$A$20)))</f>
        <v>0</v>
      </c>
      <c r="E20" s="177">
        <f>IF($A20="","",IF($A4="","",COUNTIFS(Başvuru!$I:$I,Toplantı!$B$7,Başvuru!$D:$D,$A$20)))</f>
        <v>1</v>
      </c>
      <c r="F20" s="177">
        <f>IF($A20="","",IF($A4="","",COUNTIFS(Başvuru!$I:$I,Toplantı!$B$8,Başvuru!$D:$D,$A$20)))</f>
        <v>1</v>
      </c>
      <c r="G20" s="177">
        <f>IF($A20="","",IF($A4="","",COUNTIFS(Başvuru!$I:$I,Toplantı!$B$9,Başvuru!$D:$D,$A$20)))</f>
        <v>0</v>
      </c>
      <c r="H20" s="177">
        <f>IF($A20="","",IF($A4="","",COUNTIFS(Başvuru!$I:$I,Toplantı!$B$10,Başvuru!$D:$D,$A$20)))</f>
        <v>2</v>
      </c>
      <c r="I20" s="177">
        <f>IF($A20="","",IF($A4="","",COUNTIFS(Başvuru!$I:$I,Toplantı!$B$11,Başvuru!$D:$D,$A$20)))</f>
        <v>2</v>
      </c>
      <c r="J20" s="177">
        <f>IF($A20="","",IF($A4="","",COUNTIFS(Başvuru!$I:$I,Toplantı!$B$12,Başvuru!$D:$D,$A$20)))</f>
        <v>2</v>
      </c>
      <c r="K20" s="177">
        <f>IF($A20="","",IF($A4="","",COUNTIFS(Başvuru!$I:$I,Toplantı!$B$13,Başvuru!$D:$D,$A$20)))</f>
        <v>1</v>
      </c>
      <c r="L20" s="177">
        <f>IF($A20="","",IF($A4="","",COUNTIFS(Başvuru!$I:$I,Toplantı!$B$14,Başvuru!$D:$D,$A$20)))</f>
        <v>0</v>
      </c>
      <c r="M20" s="177">
        <f>IF($A20="","",IF($A4="","",COUNTIFS(Başvuru!$I:$I,Toplantı!$B$15,Başvuru!$D:$D,$A$20)))</f>
        <v>1</v>
      </c>
      <c r="N20" s="177">
        <f>IF($A20="","",IF($A4="","",COUNTIFS(Başvuru!$I:$I,Toplantı!$B$16,Başvuru!$D:$D,$A$20)))</f>
        <v>1</v>
      </c>
      <c r="O20" s="177">
        <f>IF($A20="","",IF($A4="","",COUNTIFS(Başvuru!$I:$I,Toplantı!$B$17,Başvuru!$D:$D,$A$20)))</f>
        <v>0</v>
      </c>
      <c r="P20" s="177">
        <f>IF($A20="","",IF($A4="","",COUNTIFS(Başvuru!$I:$I,Toplantı!$B$18,Başvuru!$D:$D,$A$20)))</f>
        <v>0</v>
      </c>
      <c r="Q20" s="177">
        <f>IF($A20="","",IF($A4="","",COUNTIFS(Başvuru!$I:$I,Toplantı!$B$19,Başvuru!$D:$D,$A$20)))</f>
        <v>0</v>
      </c>
      <c r="R20" s="177">
        <f>IF($A20="","",IF($A4="","",COUNTIFS(Başvuru!$I:$I,Toplantı!$B$20,Başvuru!$D:$D,$A$20)))</f>
        <v>0</v>
      </c>
      <c r="S20" s="178">
        <f t="shared" si="0"/>
        <v>11</v>
      </c>
    </row>
    <row r="21" spans="1:19" x14ac:dyDescent="0.25">
      <c r="A21" s="176" t="str">
        <f>IF(Birim!C23="","",Birim!C23)</f>
        <v>Endodonti Anabilim Dalı</v>
      </c>
      <c r="B21" s="177">
        <f>IF($A21="","",IF($A4="","",COUNTIFS(Başvuru!$I:$I,Toplantı!$B$4,Başvuru!$D:$D,$A$21)))</f>
        <v>1</v>
      </c>
      <c r="C21" s="177">
        <f>IF($A21="","",IF($A4="","",COUNTIFS(Başvuru!$I:$I,Toplantı!$B$5,Başvuru!$D:$D,$A$21)))</f>
        <v>0</v>
      </c>
      <c r="D21" s="177">
        <f>IF($A21="","",IF($A4="","",COUNTIFS(Başvuru!$I:$I,Toplantı!$B$6,Başvuru!$D:$D,$A$21)))</f>
        <v>0</v>
      </c>
      <c r="E21" s="177">
        <f>IF($A21="","",IF($A4="","",COUNTIFS(Başvuru!$I:$I,Toplantı!$B$7,Başvuru!$D:$D,$A$21)))</f>
        <v>1</v>
      </c>
      <c r="F21" s="177">
        <f>IF($A21="","",IF($A4="","",COUNTIFS(Başvuru!$I:$I,Toplantı!$B$8,Başvuru!$D:$D,$A$21)))</f>
        <v>0</v>
      </c>
      <c r="G21" s="177">
        <f>IF($A21="","",IF($A4="","",COUNTIFS(Başvuru!$I:$I,Toplantı!$B$9,Başvuru!$D:$D,$A$21)))</f>
        <v>0</v>
      </c>
      <c r="H21" s="177">
        <f>IF($A21="","",IF($A4="","",COUNTIFS(Başvuru!$I:$I,Toplantı!$B$10,Başvuru!$D:$D,$A$21)))</f>
        <v>1</v>
      </c>
      <c r="I21" s="177">
        <f>IF($A21="","",IF($A4="","",COUNTIFS(Başvuru!$I:$I,Toplantı!$B$11,Başvuru!$D:$D,$A$21)))</f>
        <v>0</v>
      </c>
      <c r="J21" s="177">
        <f>IF($A21="","",IF($A4="","",COUNTIFS(Başvuru!$I:$I,Toplantı!$B$12,Başvuru!$D:$D,$A$21)))</f>
        <v>1</v>
      </c>
      <c r="K21" s="177">
        <f>IF($A21="","",IF($A4="","",COUNTIFS(Başvuru!$I:$I,Toplantı!$B$13,Başvuru!$D:$D,$A$21)))</f>
        <v>2</v>
      </c>
      <c r="L21" s="177">
        <f>IF($A21="","",IF($A4="","",COUNTIFS(Başvuru!$I:$I,Toplantı!$B$14,Başvuru!$D:$D,$A$21)))</f>
        <v>0</v>
      </c>
      <c r="M21" s="177">
        <f>IF($A21="","",IF($A4="","",COUNTIFS(Başvuru!$I:$I,Toplantı!$B$15,Başvuru!$D:$D,$A$21)))</f>
        <v>0</v>
      </c>
      <c r="N21" s="177">
        <f>IF($A21="","",IF($A4="","",COUNTIFS(Başvuru!$I:$I,Toplantı!$B$16,Başvuru!$D:$D,$A$21)))</f>
        <v>1</v>
      </c>
      <c r="O21" s="177">
        <f>IF($A21="","",IF($A4="","",COUNTIFS(Başvuru!$I:$I,Toplantı!$B$17,Başvuru!$D:$D,$A$21)))</f>
        <v>1</v>
      </c>
      <c r="P21" s="177">
        <f>IF($A21="","",IF($A4="","",COUNTIFS(Başvuru!$I:$I,Toplantı!$B$18,Başvuru!$D:$D,$A$21)))</f>
        <v>1</v>
      </c>
      <c r="Q21" s="177">
        <f>IF($A21="","",IF($A4="","",COUNTIFS(Başvuru!$I:$I,Toplantı!$B$19,Başvuru!$D:$D,$A$21)))</f>
        <v>0</v>
      </c>
      <c r="R21" s="177">
        <f>IF($A21="","",IF($A4="","",COUNTIFS(Başvuru!$I:$I,Toplantı!$B$20,Başvuru!$D:$D,$A$21)))</f>
        <v>1</v>
      </c>
      <c r="S21" s="178">
        <f t="shared" si="0"/>
        <v>10</v>
      </c>
    </row>
    <row r="22" spans="1:19" x14ac:dyDescent="0.25">
      <c r="A22" s="176" t="str">
        <f>IF(Birim!C24="","",Birim!C24)</f>
        <v>Ağız, Diş ve Çene Cerrahisi Anabilim Dalı</v>
      </c>
      <c r="B22" s="177">
        <f>IF($A22="","",IF($A4="","",COUNTIFS(Başvuru!$I:$I,Toplantı!$B$4,Başvuru!$D:$D,$A$22)))</f>
        <v>1</v>
      </c>
      <c r="C22" s="177">
        <f>IF($A22="","",IF($A4="","",COUNTIFS(Başvuru!$I:$I,Toplantı!$B$5,Başvuru!$D:$D,$A$22)))</f>
        <v>0</v>
      </c>
      <c r="D22" s="177">
        <f>IF($A22="","",IF($A4="","",COUNTIFS(Başvuru!$I:$I,Toplantı!$B$6,Başvuru!$D:$D,$A$22)))</f>
        <v>1</v>
      </c>
      <c r="E22" s="177">
        <f>IF($A22="","",IF($A4="","",COUNTIFS(Başvuru!$I:$I,Toplantı!$B$7,Başvuru!$D:$D,$A$22)))</f>
        <v>0</v>
      </c>
      <c r="F22" s="177">
        <f>IF($A22="","",IF($A4="","",COUNTIFS(Başvuru!$I:$I,Toplantı!$B$8,Başvuru!$D:$D,$A$22)))</f>
        <v>1</v>
      </c>
      <c r="G22" s="177">
        <f>IF($A22="","",IF($A4="","",COUNTIFS(Başvuru!$I:$I,Toplantı!$B$9,Başvuru!$D:$D,$A$22)))</f>
        <v>2</v>
      </c>
      <c r="H22" s="177">
        <f>IF($A22="","",IF($A4="","",COUNTIFS(Başvuru!$I:$I,Toplantı!$B$10,Başvuru!$D:$D,$A$22)))</f>
        <v>0</v>
      </c>
      <c r="I22" s="177">
        <f>IF($A22="","",IF($A4="","",COUNTIFS(Başvuru!$I:$I,Toplantı!$B$11,Başvuru!$D:$D,$A$22)))</f>
        <v>0</v>
      </c>
      <c r="J22" s="177">
        <f>IF($A22="","",IF($A4="","",COUNTIFS(Başvuru!$I:$I,Toplantı!$B$12,Başvuru!$D:$D,$A$22)))</f>
        <v>0</v>
      </c>
      <c r="K22" s="177">
        <f>IF($A22="","",IF($A4="","",COUNTIFS(Başvuru!$I:$I,Toplantı!$B$13,Başvuru!$D:$D,$A$22)))</f>
        <v>1</v>
      </c>
      <c r="L22" s="177">
        <f>IF($A22="","",IF($A4="","",COUNTIFS(Başvuru!$I:$I,Toplantı!$B$14,Başvuru!$D:$D,$A$22)))</f>
        <v>0</v>
      </c>
      <c r="M22" s="177">
        <f>IF($A22="","",IF($A4="","",COUNTIFS(Başvuru!$I:$I,Toplantı!$B$15,Başvuru!$D:$D,$A$22)))</f>
        <v>0</v>
      </c>
      <c r="N22" s="177">
        <f>IF($A22="","",IF($A4="","",COUNTIFS(Başvuru!$I:$I,Toplantı!$B$16,Başvuru!$D:$D,$A$22)))</f>
        <v>1</v>
      </c>
      <c r="O22" s="177">
        <f>IF($A22="","",IF($A4="","",COUNTIFS(Başvuru!$I:$I,Toplantı!$B$17,Başvuru!$D:$D,$A$22)))</f>
        <v>3</v>
      </c>
      <c r="P22" s="177">
        <f>IF($A22="","",IF($A4="","",COUNTIFS(Başvuru!$I:$I,Toplantı!$B$18,Başvuru!$D:$D,$A$22)))</f>
        <v>0</v>
      </c>
      <c r="Q22" s="177">
        <f>IF($A22="","",IF($A4="","",COUNTIFS(Başvuru!$I:$I,Toplantı!$B$19,Başvuru!$D:$D,$A$22)))</f>
        <v>0</v>
      </c>
      <c r="R22" s="177">
        <f>IF($A22="","",IF($A4="","",COUNTIFS(Başvuru!$I:$I,Toplantı!$B$20,Başvuru!$D:$D,$A$22)))</f>
        <v>0</v>
      </c>
      <c r="S22" s="178">
        <f t="shared" si="0"/>
        <v>10</v>
      </c>
    </row>
    <row r="23" spans="1:19" x14ac:dyDescent="0.25">
      <c r="A23" s="176" t="str">
        <f>IF(Birim!C25="","",Birim!C25)</f>
        <v>Ortodonti Anabilim Dalı</v>
      </c>
      <c r="B23" s="177">
        <f>IF($A23="","",IF($A4="","",COUNTIFS(Başvuru!$I:$I,Toplantı!$B$4,Başvuru!$D:$D,$A$23)))</f>
        <v>1</v>
      </c>
      <c r="C23" s="177">
        <f>IF($A23="","",IF($A4="","",COUNTIFS(Başvuru!$I:$I,Toplantı!$B$5,Başvuru!$D:$D,$A$23)))</f>
        <v>1</v>
      </c>
      <c r="D23" s="177">
        <f>IF($A23="","",IF($A4="","",COUNTIFS(Başvuru!$I:$I,Toplantı!$B$6,Başvuru!$D:$D,$A$23)))</f>
        <v>2</v>
      </c>
      <c r="E23" s="177">
        <f>IF($A23="","",IF($A4="","",COUNTIFS(Başvuru!$I:$I,Toplantı!$B$7,Başvuru!$D:$D,$A$23)))</f>
        <v>0</v>
      </c>
      <c r="F23" s="177">
        <f>IF($A23="","",IF($A4="","",COUNTIFS(Başvuru!$I:$I,Toplantı!$B$8,Başvuru!$D:$D,$A$23)))</f>
        <v>1</v>
      </c>
      <c r="G23" s="177">
        <f>IF($A23="","",IF($A4="","",COUNTIFS(Başvuru!$I:$I,Toplantı!$B$9,Başvuru!$D:$D,$A$23)))</f>
        <v>0</v>
      </c>
      <c r="H23" s="177">
        <f>IF($A23="","",IF($A4="","",COUNTIFS(Başvuru!$I:$I,Toplantı!$B$10,Başvuru!$D:$D,$A$23)))</f>
        <v>2</v>
      </c>
      <c r="I23" s="177">
        <f>IF($A23="","",IF($A4="","",COUNTIFS(Başvuru!$I:$I,Toplantı!$B$11,Başvuru!$D:$D,$A$23)))</f>
        <v>0</v>
      </c>
      <c r="J23" s="177">
        <f>IF($A23="","",IF($A4="","",COUNTIFS(Başvuru!$I:$I,Toplantı!$B$12,Başvuru!$D:$D,$A$23)))</f>
        <v>0</v>
      </c>
      <c r="K23" s="177">
        <f>IF($A23="","",IF($A4="","",COUNTIFS(Başvuru!$I:$I,Toplantı!$B$13,Başvuru!$D:$D,$A$23)))</f>
        <v>0</v>
      </c>
      <c r="L23" s="177">
        <f>IF($A23="","",IF($A4="","",COUNTIFS(Başvuru!$I:$I,Toplantı!$B$14,Başvuru!$D:$D,$A$23)))</f>
        <v>0</v>
      </c>
      <c r="M23" s="177">
        <f>IF($A23="","",IF($A4="","",COUNTIFS(Başvuru!$I:$I,Toplantı!$B$15,Başvuru!$D:$D,$A$23)))</f>
        <v>2</v>
      </c>
      <c r="N23" s="177">
        <f>IF($A23="","",IF($A4="","",COUNTIFS(Başvuru!$I:$I,Toplantı!$B$16,Başvuru!$D:$D,$A$23)))</f>
        <v>0</v>
      </c>
      <c r="O23" s="177">
        <f>IF($A23="","",IF($A4="","",COUNTIFS(Başvuru!$I:$I,Toplantı!$B$17,Başvuru!$D:$D,$A$23)))</f>
        <v>1</v>
      </c>
      <c r="P23" s="177">
        <f>IF($A23="","",IF($A4="","",COUNTIFS(Başvuru!$I:$I,Toplantı!$B$18,Başvuru!$D:$D,$A$23)))</f>
        <v>0</v>
      </c>
      <c r="Q23" s="177">
        <f>IF($A23="","",IF($A4="","",COUNTIFS(Başvuru!$I:$I,Toplantı!$B$19,Başvuru!$D:$D,$A$23)))</f>
        <v>0</v>
      </c>
      <c r="R23" s="177">
        <f>IF($A23="","",IF($A4="","",COUNTIFS(Başvuru!$I:$I,Toplantı!$B$20,Başvuru!$D:$D,$A$23)))</f>
        <v>0</v>
      </c>
      <c r="S23" s="178">
        <f t="shared" si="0"/>
        <v>10</v>
      </c>
    </row>
    <row r="24" spans="1:19" x14ac:dyDescent="0.25">
      <c r="A24" s="176" t="str">
        <f>IF(Birim!C26="","",Birim!C26)</f>
        <v>Ağız, Diş ve Çene Radyolojisi Anabilim Dalı</v>
      </c>
      <c r="B24" s="177">
        <f>IF($A24="","",IF($A4="","",COUNTIFS(Başvuru!$I:$I,Toplantı!$B$4,Başvuru!$D:$D,$A$24)))</f>
        <v>0</v>
      </c>
      <c r="C24" s="177">
        <f>IF($A24="","",IF($A4="","",COUNTIFS(Başvuru!$I:$I,Toplantı!$B$5,Başvuru!$D:$D,$A$24)))</f>
        <v>1</v>
      </c>
      <c r="D24" s="177">
        <f>IF($A24="","",IF($A4="","",COUNTIFS(Başvuru!$I:$I,Toplantı!$B$6,Başvuru!$D:$D,$A$24)))</f>
        <v>1</v>
      </c>
      <c r="E24" s="177">
        <f>IF($A24="","",IF($A4="","",COUNTIFS(Başvuru!$I:$I,Toplantı!$B$7,Başvuru!$D:$D,$A$24)))</f>
        <v>0</v>
      </c>
      <c r="F24" s="177">
        <f>IF($A24="","",IF($A4="","",COUNTIFS(Başvuru!$I:$I,Toplantı!$B$8,Başvuru!$D:$D,$A$24)))</f>
        <v>1</v>
      </c>
      <c r="G24" s="177">
        <f>IF($A24="","",IF($A4="","",COUNTIFS(Başvuru!$I:$I,Toplantı!$B$9,Başvuru!$D:$D,$A$24)))</f>
        <v>0</v>
      </c>
      <c r="H24" s="177">
        <f>IF($A24="","",IF($A4="","",COUNTIFS(Başvuru!$I:$I,Toplantı!$B$10,Başvuru!$D:$D,$A$24)))</f>
        <v>0</v>
      </c>
      <c r="I24" s="177">
        <f>IF($A24="","",IF($A4="","",COUNTIFS(Başvuru!$I:$I,Toplantı!$B$11,Başvuru!$D:$D,$A$24)))</f>
        <v>0</v>
      </c>
      <c r="J24" s="177">
        <f>IF($A24="","",IF($A4="","",COUNTIFS(Başvuru!$I:$I,Toplantı!$B$12,Başvuru!$D:$D,$A$24)))</f>
        <v>1</v>
      </c>
      <c r="K24" s="177">
        <f>IF($A24="","",IF($A4="","",COUNTIFS(Başvuru!$I:$I,Toplantı!$B$13,Başvuru!$D:$D,$A$24)))</f>
        <v>0</v>
      </c>
      <c r="L24" s="177">
        <f>IF($A24="","",IF($A4="","",COUNTIFS(Başvuru!$I:$I,Toplantı!$B$14,Başvuru!$D:$D,$A$24)))</f>
        <v>1</v>
      </c>
      <c r="M24" s="177">
        <f>IF($A24="","",IF($A4="","",COUNTIFS(Başvuru!$I:$I,Toplantı!$B$15,Başvuru!$D:$D,$A$24)))</f>
        <v>1</v>
      </c>
      <c r="N24" s="177">
        <f>IF($A24="","",IF($A4="","",COUNTIFS(Başvuru!$I:$I,Toplantı!$B$16,Başvuru!$D:$D,$A$24)))</f>
        <v>0</v>
      </c>
      <c r="O24" s="177">
        <f>IF($A24="","",IF($A4="","",COUNTIFS(Başvuru!$I:$I,Toplantı!$B$17,Başvuru!$D:$D,$A$24)))</f>
        <v>0</v>
      </c>
      <c r="P24" s="177">
        <f>IF($A24="","",IF($A4="","",COUNTIFS(Başvuru!$I:$I,Toplantı!$B$18,Başvuru!$D:$D,$A$24)))</f>
        <v>2</v>
      </c>
      <c r="Q24" s="177">
        <f>IF($A24="","",IF($A4="","",COUNTIFS(Başvuru!$I:$I,Toplantı!$B$19,Başvuru!$D:$D,$A$24)))</f>
        <v>2</v>
      </c>
      <c r="R24" s="177">
        <f>IF($A24="","",IF($A4="","",COUNTIFS(Başvuru!$I:$I,Toplantı!$B$20,Başvuru!$D:$D,$A$24)))</f>
        <v>0</v>
      </c>
      <c r="S24" s="178">
        <f t="shared" si="0"/>
        <v>10</v>
      </c>
    </row>
    <row r="25" spans="1:19" x14ac:dyDescent="0.25">
      <c r="A25" s="176" t="str">
        <f>IF(Birim!C27="","",Birim!C27)</f>
        <v>Anatomi Anabilim Dalı</v>
      </c>
      <c r="B25" s="177">
        <f>IF($A25="","",IF($A4="","",COUNTIFS(Başvuru!$I:$I,Toplantı!$B$4,Başvuru!$D:$D,$A$25)))</f>
        <v>2</v>
      </c>
      <c r="C25" s="177">
        <f>IF($A25="","",IF($A4="","",COUNTIFS(Başvuru!$I:$I,Toplantı!$B$5,Başvuru!$D:$D,$A$25)))</f>
        <v>0</v>
      </c>
      <c r="D25" s="177">
        <f>IF($A25="","",IF($A4="","",COUNTIFS(Başvuru!$I:$I,Toplantı!$B$6,Başvuru!$D:$D,$A$25)))</f>
        <v>2</v>
      </c>
      <c r="E25" s="177">
        <f>IF($A25="","",IF($A4="","",COUNTIFS(Başvuru!$I:$I,Toplantı!$B$7,Başvuru!$D:$D,$A$25)))</f>
        <v>1</v>
      </c>
      <c r="F25" s="177">
        <f>IF($A25="","",IF($A4="","",COUNTIFS(Başvuru!$I:$I,Toplantı!$B$8,Başvuru!$D:$D,$A$25)))</f>
        <v>1</v>
      </c>
      <c r="G25" s="177">
        <f>IF($A25="","",IF($A4="","",COUNTIFS(Başvuru!$I:$I,Toplantı!$B$9,Başvuru!$D:$D,$A$25)))</f>
        <v>0</v>
      </c>
      <c r="H25" s="177">
        <f>IF($A25="","",IF($A4="","",COUNTIFS(Başvuru!$I:$I,Toplantı!$B$10,Başvuru!$D:$D,$A$25)))</f>
        <v>1</v>
      </c>
      <c r="I25" s="177">
        <f>IF($A25="","",IF($A4="","",COUNTIFS(Başvuru!$I:$I,Toplantı!$B$11,Başvuru!$D:$D,$A$25)))</f>
        <v>1</v>
      </c>
      <c r="J25" s="177">
        <f>IF($A25="","",IF($A4="","",COUNTIFS(Başvuru!$I:$I,Toplantı!$B$12,Başvuru!$D:$D,$A$25)))</f>
        <v>0</v>
      </c>
      <c r="K25" s="177">
        <f>IF($A25="","",IF($A4="","",COUNTIFS(Başvuru!$I:$I,Toplantı!$B$13,Başvuru!$D:$D,$A$25)))</f>
        <v>0</v>
      </c>
      <c r="L25" s="177">
        <f>IF($A25="","",IF($A4="","",COUNTIFS(Başvuru!$I:$I,Toplantı!$B$14,Başvuru!$D:$D,$A$25)))</f>
        <v>0</v>
      </c>
      <c r="M25" s="177">
        <f>IF($A25="","",IF($A4="","",COUNTIFS(Başvuru!$I:$I,Toplantı!$B$15,Başvuru!$D:$D,$A$25)))</f>
        <v>1</v>
      </c>
      <c r="N25" s="177">
        <f>IF($A25="","",IF($A4="","",COUNTIFS(Başvuru!$I:$I,Toplantı!$B$16,Başvuru!$D:$D,$A$25)))</f>
        <v>0</v>
      </c>
      <c r="O25" s="177">
        <f>IF($A25="","",IF($A4="","",COUNTIFS(Başvuru!$I:$I,Toplantı!$B$17,Başvuru!$D:$D,$A$25)))</f>
        <v>0</v>
      </c>
      <c r="P25" s="177">
        <f>IF($A25="","",IF($A4="","",COUNTIFS(Başvuru!$I:$I,Toplantı!$B$18,Başvuru!$D:$D,$A$25)))</f>
        <v>0</v>
      </c>
      <c r="Q25" s="177">
        <f>IF($A25="","",IF($A4="","",COUNTIFS(Başvuru!$I:$I,Toplantı!$B$19,Başvuru!$D:$D,$A$25)))</f>
        <v>0</v>
      </c>
      <c r="R25" s="177">
        <f>IF($A25="","",IF($A4="","",COUNTIFS(Başvuru!$I:$I,Toplantı!$B$20,Başvuru!$D:$D,$A$25)))</f>
        <v>0</v>
      </c>
      <c r="S25" s="178">
        <f t="shared" si="0"/>
        <v>9</v>
      </c>
    </row>
    <row r="26" spans="1:19" x14ac:dyDescent="0.25">
      <c r="A26" s="176" t="str">
        <f>IF(Birim!C28="","",Birim!C28)</f>
        <v>Plastik, Rekonstrüktif ve Estetik Cerrahi Anabilim Dalı</v>
      </c>
      <c r="B26" s="177">
        <f>IF($A26="","",IF($A4="","",COUNTIFS(Başvuru!$I:$I,Toplantı!$B$4,Başvuru!$D:$D,$A$26)))</f>
        <v>0</v>
      </c>
      <c r="C26" s="177">
        <f>IF($A26="","",IF($A4="","",COUNTIFS(Başvuru!$I:$I,Toplantı!$B$5,Başvuru!$D:$D,$A$26)))</f>
        <v>0</v>
      </c>
      <c r="D26" s="177">
        <f>IF($A26="","",IF($A4="","",COUNTIFS(Başvuru!$I:$I,Toplantı!$B$6,Başvuru!$D:$D,$A$26)))</f>
        <v>0</v>
      </c>
      <c r="E26" s="177">
        <f>IF($A26="","",IF($A4="","",COUNTIFS(Başvuru!$I:$I,Toplantı!$B$7,Başvuru!$D:$D,$A$26)))</f>
        <v>0</v>
      </c>
      <c r="F26" s="177">
        <f>IF($A26="","",IF($A4="","",COUNTIFS(Başvuru!$I:$I,Toplantı!$B$8,Başvuru!$D:$D,$A$26)))</f>
        <v>1</v>
      </c>
      <c r="G26" s="177">
        <f>IF($A26="","",IF($A4="","",COUNTIFS(Başvuru!$I:$I,Toplantı!$B$9,Başvuru!$D:$D,$A$26)))</f>
        <v>0</v>
      </c>
      <c r="H26" s="177">
        <f>IF($A26="","",IF($A4="","",COUNTIFS(Başvuru!$I:$I,Toplantı!$B$10,Başvuru!$D:$D,$A$26)))</f>
        <v>0</v>
      </c>
      <c r="I26" s="177">
        <f>IF($A26="","",IF($A4="","",COUNTIFS(Başvuru!$I:$I,Toplantı!$B$11,Başvuru!$D:$D,$A$26)))</f>
        <v>1</v>
      </c>
      <c r="J26" s="177">
        <f>IF($A26="","",IF($A4="","",COUNTIFS(Başvuru!$I:$I,Toplantı!$B$12,Başvuru!$D:$D,$A$26)))</f>
        <v>1</v>
      </c>
      <c r="K26" s="177">
        <f>IF($A26="","",IF($A4="","",COUNTIFS(Başvuru!$I:$I,Toplantı!$B$13,Başvuru!$D:$D,$A$26)))</f>
        <v>1</v>
      </c>
      <c r="L26" s="177">
        <f>IF($A26="","",IF($A4="","",COUNTIFS(Başvuru!$I:$I,Toplantı!$B$14,Başvuru!$D:$D,$A$26)))</f>
        <v>0</v>
      </c>
      <c r="M26" s="177">
        <f>IF($A26="","",IF($A4="","",COUNTIFS(Başvuru!$I:$I,Toplantı!$B$15,Başvuru!$D:$D,$A$26)))</f>
        <v>0</v>
      </c>
      <c r="N26" s="177">
        <f>IF($A26="","",IF($A4="","",COUNTIFS(Başvuru!$I:$I,Toplantı!$B$16,Başvuru!$D:$D,$A$26)))</f>
        <v>1</v>
      </c>
      <c r="O26" s="177">
        <f>IF($A26="","",IF($A4="","",COUNTIFS(Başvuru!$I:$I,Toplantı!$B$17,Başvuru!$D:$D,$A$26)))</f>
        <v>0</v>
      </c>
      <c r="P26" s="177">
        <f>IF($A26="","",IF($A4="","",COUNTIFS(Başvuru!$I:$I,Toplantı!$B$18,Başvuru!$D:$D,$A$26)))</f>
        <v>2</v>
      </c>
      <c r="Q26" s="177">
        <f>IF($A26="","",IF($A4="","",COUNTIFS(Başvuru!$I:$I,Toplantı!$B$19,Başvuru!$D:$D,$A$26)))</f>
        <v>1</v>
      </c>
      <c r="R26" s="177">
        <f>IF($A26="","",IF($A4="","",COUNTIFS(Başvuru!$I:$I,Toplantı!$B$20,Başvuru!$D:$D,$A$26)))</f>
        <v>1</v>
      </c>
      <c r="S26" s="178">
        <f t="shared" si="0"/>
        <v>9</v>
      </c>
    </row>
    <row r="27" spans="1:19" x14ac:dyDescent="0.25">
      <c r="A27" s="176" t="str">
        <f>IF(Birim!C29="","",Birim!C29)</f>
        <v>Nükleer Tıp Anabilim Dalı</v>
      </c>
      <c r="B27" s="177">
        <f>IF($A27="","",IF($A4="","",COUNTIFS(Başvuru!$I:$I,Toplantı!$B$4,Başvuru!$D:$D,$A$27)))</f>
        <v>1</v>
      </c>
      <c r="C27" s="177">
        <f>IF($A27="","",IF($A4="","",COUNTIFS(Başvuru!$I:$I,Toplantı!$B$5,Başvuru!$D:$D,$A$27)))</f>
        <v>1</v>
      </c>
      <c r="D27" s="177">
        <f>IF($A27="","",IF($A4="","",COUNTIFS(Başvuru!$I:$I,Toplantı!$B$6,Başvuru!$D:$D,$A$27)))</f>
        <v>0</v>
      </c>
      <c r="E27" s="177">
        <f>IF($A27="","",IF($A4="","",COUNTIFS(Başvuru!$I:$I,Toplantı!$B$7,Başvuru!$D:$D,$A$27)))</f>
        <v>0</v>
      </c>
      <c r="F27" s="177">
        <f>IF($A27="","",IF($A4="","",COUNTIFS(Başvuru!$I:$I,Toplantı!$B$8,Başvuru!$D:$D,$A$27)))</f>
        <v>2</v>
      </c>
      <c r="G27" s="177">
        <f>IF($A27="","",IF($A4="","",COUNTIFS(Başvuru!$I:$I,Toplantı!$B$9,Başvuru!$D:$D,$A$27)))</f>
        <v>0</v>
      </c>
      <c r="H27" s="177">
        <f>IF($A27="","",IF($A4="","",COUNTIFS(Başvuru!$I:$I,Toplantı!$B$10,Başvuru!$D:$D,$A$27)))</f>
        <v>1</v>
      </c>
      <c r="I27" s="177">
        <f>IF($A27="","",IF($A4="","",COUNTIFS(Başvuru!$I:$I,Toplantı!$B$11,Başvuru!$D:$D,$A$27)))</f>
        <v>0</v>
      </c>
      <c r="J27" s="177">
        <f>IF($A27="","",IF($A4="","",COUNTIFS(Başvuru!$I:$I,Toplantı!$B$12,Başvuru!$D:$D,$A$27)))</f>
        <v>0</v>
      </c>
      <c r="K27" s="177">
        <f>IF($A27="","",IF($A4="","",COUNTIFS(Başvuru!$I:$I,Toplantı!$B$13,Başvuru!$D:$D,$A$27)))</f>
        <v>0</v>
      </c>
      <c r="L27" s="177">
        <f>IF($A27="","",IF($A4="","",COUNTIFS(Başvuru!$I:$I,Toplantı!$B$14,Başvuru!$D:$D,$A$27)))</f>
        <v>1</v>
      </c>
      <c r="M27" s="177">
        <f>IF($A27="","",IF($A4="","",COUNTIFS(Başvuru!$I:$I,Toplantı!$B$15,Başvuru!$D:$D,$A$27)))</f>
        <v>0</v>
      </c>
      <c r="N27" s="177">
        <f>IF($A27="","",IF($A4="","",COUNTIFS(Başvuru!$I:$I,Toplantı!$B$16,Başvuru!$D:$D,$A$27)))</f>
        <v>0</v>
      </c>
      <c r="O27" s="177">
        <f>IF($A27="","",IF($A4="","",COUNTIFS(Başvuru!$I:$I,Toplantı!$B$17,Başvuru!$D:$D,$A$27)))</f>
        <v>0</v>
      </c>
      <c r="P27" s="177">
        <f>IF($A27="","",IF($A4="","",COUNTIFS(Başvuru!$I:$I,Toplantı!$B$18,Başvuru!$D:$D,$A$27)))</f>
        <v>0</v>
      </c>
      <c r="Q27" s="177">
        <f>IF($A27="","",IF($A4="","",COUNTIFS(Başvuru!$I:$I,Toplantı!$B$19,Başvuru!$D:$D,$A$27)))</f>
        <v>2</v>
      </c>
      <c r="R27" s="177">
        <f>IF($A27="","",IF($A4="","",COUNTIFS(Başvuru!$I:$I,Toplantı!$B$20,Başvuru!$D:$D,$A$27)))</f>
        <v>0</v>
      </c>
      <c r="S27" s="178">
        <f t="shared" si="0"/>
        <v>8</v>
      </c>
    </row>
    <row r="28" spans="1:19" x14ac:dyDescent="0.25">
      <c r="A28" s="176" t="str">
        <f>IF(Birim!C30="","",Birim!C30)</f>
        <v>Ruh Sağlığı ve Hastalıkları Anabilim Dalı</v>
      </c>
      <c r="B28" s="177">
        <f>IF($A28="","",IF($A4="","",COUNTIFS(Başvuru!$I:$I,Toplantı!$B$4,Başvuru!$D:$D,$A$28)))</f>
        <v>0</v>
      </c>
      <c r="C28" s="177">
        <f>IF($A28="","",IF($A4="","",COUNTIFS(Başvuru!$I:$I,Toplantı!$B$5,Başvuru!$D:$D,$A$28)))</f>
        <v>2</v>
      </c>
      <c r="D28" s="177">
        <f>IF($A28="","",IF($A4="","",COUNTIFS(Başvuru!$I:$I,Toplantı!$B$6,Başvuru!$D:$D,$A$28)))</f>
        <v>1</v>
      </c>
      <c r="E28" s="177">
        <f>IF($A28="","",IF($A4="","",COUNTIFS(Başvuru!$I:$I,Toplantı!$B$7,Başvuru!$D:$D,$A$28)))</f>
        <v>0</v>
      </c>
      <c r="F28" s="177">
        <f>IF($A28="","",IF($A4="","",COUNTIFS(Başvuru!$I:$I,Toplantı!$B$8,Başvuru!$D:$D,$A$28)))</f>
        <v>0</v>
      </c>
      <c r="G28" s="177">
        <f>IF($A28="","",IF($A4="","",COUNTIFS(Başvuru!$I:$I,Toplantı!$B$9,Başvuru!$D:$D,$A$28)))</f>
        <v>0</v>
      </c>
      <c r="H28" s="177">
        <f>IF($A28="","",IF($A4="","",COUNTIFS(Başvuru!$I:$I,Toplantı!$B$10,Başvuru!$D:$D,$A$28)))</f>
        <v>0</v>
      </c>
      <c r="I28" s="177">
        <f>IF($A28="","",IF($A4="","",COUNTIFS(Başvuru!$I:$I,Toplantı!$B$11,Başvuru!$D:$D,$A$28)))</f>
        <v>2</v>
      </c>
      <c r="J28" s="177">
        <f>IF($A28="","",IF($A4="","",COUNTIFS(Başvuru!$I:$I,Toplantı!$B$12,Başvuru!$D:$D,$A$28)))</f>
        <v>0</v>
      </c>
      <c r="K28" s="177">
        <f>IF($A28="","",IF($A4="","",COUNTIFS(Başvuru!$I:$I,Toplantı!$B$13,Başvuru!$D:$D,$A$28)))</f>
        <v>0</v>
      </c>
      <c r="L28" s="177">
        <f>IF($A28="","",IF($A4="","",COUNTIFS(Başvuru!$I:$I,Toplantı!$B$14,Başvuru!$D:$D,$A$28)))</f>
        <v>1</v>
      </c>
      <c r="M28" s="177">
        <f>IF($A28="","",IF($A4="","",COUNTIFS(Başvuru!$I:$I,Toplantı!$B$15,Başvuru!$D:$D,$A$28)))</f>
        <v>0</v>
      </c>
      <c r="N28" s="177">
        <f>IF($A28="","",IF($A4="","",COUNTIFS(Başvuru!$I:$I,Toplantı!$B$16,Başvuru!$D:$D,$A$28)))</f>
        <v>0</v>
      </c>
      <c r="O28" s="177">
        <f>IF($A28="","",IF($A4="","",COUNTIFS(Başvuru!$I:$I,Toplantı!$B$17,Başvuru!$D:$D,$A$28)))</f>
        <v>0</v>
      </c>
      <c r="P28" s="177">
        <f>IF($A28="","",IF($A4="","",COUNTIFS(Başvuru!$I:$I,Toplantı!$B$18,Başvuru!$D:$D,$A$28)))</f>
        <v>0</v>
      </c>
      <c r="Q28" s="177">
        <f>IF($A28="","",IF($A4="","",COUNTIFS(Başvuru!$I:$I,Toplantı!$B$19,Başvuru!$D:$D,$A$28)))</f>
        <v>0</v>
      </c>
      <c r="R28" s="177">
        <f>IF($A28="","",IF($A4="","",COUNTIFS(Başvuru!$I:$I,Toplantı!$B$20,Başvuru!$D:$D,$A$28)))</f>
        <v>2</v>
      </c>
      <c r="S28" s="178">
        <f t="shared" si="0"/>
        <v>8</v>
      </c>
    </row>
    <row r="29" spans="1:19" x14ac:dyDescent="0.25">
      <c r="A29" s="176" t="str">
        <f>IF(Birim!C31="","",Birim!C31)</f>
        <v>Sağlık Yönetimi Anabilim Dalı</v>
      </c>
      <c r="B29" s="177">
        <f>IF($A29="","",IF($A4="","",COUNTIFS(Başvuru!$I:$I,Toplantı!$B$4,Başvuru!$D:$D,$A$29)))</f>
        <v>1</v>
      </c>
      <c r="C29" s="177">
        <f>IF($A29="","",IF($A4="","",COUNTIFS(Başvuru!$I:$I,Toplantı!$B$5,Başvuru!$D:$D,$A$29)))</f>
        <v>0</v>
      </c>
      <c r="D29" s="177">
        <f>IF($A29="","",IF($A4="","",COUNTIFS(Başvuru!$I:$I,Toplantı!$B$6,Başvuru!$D:$D,$A$29)))</f>
        <v>1</v>
      </c>
      <c r="E29" s="177">
        <f>IF($A29="","",IF($A4="","",COUNTIFS(Başvuru!$I:$I,Toplantı!$B$7,Başvuru!$D:$D,$A$29)))</f>
        <v>0</v>
      </c>
      <c r="F29" s="177">
        <f>IF($A29="","",IF($A4="","",COUNTIFS(Başvuru!$I:$I,Toplantı!$B$8,Başvuru!$D:$D,$A$29)))</f>
        <v>1</v>
      </c>
      <c r="G29" s="177">
        <f>IF($A29="","",IF($A4="","",COUNTIFS(Başvuru!$I:$I,Toplantı!$B$9,Başvuru!$D:$D,$A$29)))</f>
        <v>1</v>
      </c>
      <c r="H29" s="177">
        <f>IF($A29="","",IF($A4="","",COUNTIFS(Başvuru!$I:$I,Toplantı!$B$10,Başvuru!$D:$D,$A$29)))</f>
        <v>1</v>
      </c>
      <c r="I29" s="177">
        <f>IF($A29="","",IF($A4="","",COUNTIFS(Başvuru!$I:$I,Toplantı!$B$11,Başvuru!$D:$D,$A$29)))</f>
        <v>0</v>
      </c>
      <c r="J29" s="177">
        <f>IF($A29="","",IF($A4="","",COUNTIFS(Başvuru!$I:$I,Toplantı!$B$12,Başvuru!$D:$D,$A$29)))</f>
        <v>0</v>
      </c>
      <c r="K29" s="177">
        <f>IF($A29="","",IF($A4="","",COUNTIFS(Başvuru!$I:$I,Toplantı!$B$13,Başvuru!$D:$D,$A$29)))</f>
        <v>2</v>
      </c>
      <c r="L29" s="177">
        <f>IF($A29="","",IF($A4="","",COUNTIFS(Başvuru!$I:$I,Toplantı!$B$14,Başvuru!$D:$D,$A$29)))</f>
        <v>0</v>
      </c>
      <c r="M29" s="177">
        <f>IF($A29="","",IF($A4="","",COUNTIFS(Başvuru!$I:$I,Toplantı!$B$15,Başvuru!$D:$D,$A$29)))</f>
        <v>0</v>
      </c>
      <c r="N29" s="177">
        <f>IF($A29="","",IF($A4="","",COUNTIFS(Başvuru!$I:$I,Toplantı!$B$16,Başvuru!$D:$D,$A$29)))</f>
        <v>0</v>
      </c>
      <c r="O29" s="177">
        <f>IF($A29="","",IF($A4="","",COUNTIFS(Başvuru!$I:$I,Toplantı!$B$17,Başvuru!$D:$D,$A$29)))</f>
        <v>0</v>
      </c>
      <c r="P29" s="177">
        <f>IF($A29="","",IF($A4="","",COUNTIFS(Başvuru!$I:$I,Toplantı!$B$18,Başvuru!$D:$D,$A$29)))</f>
        <v>0</v>
      </c>
      <c r="Q29" s="177">
        <f>IF($A29="","",IF($A4="","",COUNTIFS(Başvuru!$I:$I,Toplantı!$B$19,Başvuru!$D:$D,$A$29)))</f>
        <v>0</v>
      </c>
      <c r="R29" s="177">
        <f>IF($A29="","",IF($A4="","",COUNTIFS(Başvuru!$I:$I,Toplantı!$B$20,Başvuru!$D:$D,$A$29)))</f>
        <v>0</v>
      </c>
      <c r="S29" s="178">
        <f t="shared" si="0"/>
        <v>7</v>
      </c>
    </row>
    <row r="30" spans="1:19" x14ac:dyDescent="0.25">
      <c r="A30" s="176" t="str">
        <f>IF(Birim!C32="","",Birim!C32)</f>
        <v>Fiziksel Tıp ve Rehabilitasyon Anabilim Dalı</v>
      </c>
      <c r="B30" s="177">
        <f>IF($A30="","",IF($A4="","",COUNTIFS(Başvuru!$I:$I,Toplantı!$B$4,Başvuru!$D:$D,$A$30)))</f>
        <v>1</v>
      </c>
      <c r="C30" s="177">
        <f>IF($A30="","",IF($A4="","",COUNTIFS(Başvuru!$I:$I,Toplantı!$B$5,Başvuru!$D:$D,$A$30)))</f>
        <v>0</v>
      </c>
      <c r="D30" s="177">
        <f>IF($A30="","",IF($A4="","",COUNTIFS(Başvuru!$I:$I,Toplantı!$B$6,Başvuru!$D:$D,$A$30)))</f>
        <v>1</v>
      </c>
      <c r="E30" s="177">
        <f>IF($A30="","",IF($A4="","",COUNTIFS(Başvuru!$I:$I,Toplantı!$B$7,Başvuru!$D:$D,$A$30)))</f>
        <v>0</v>
      </c>
      <c r="F30" s="177">
        <f>IF($A30="","",IF($A4="","",COUNTIFS(Başvuru!$I:$I,Toplantı!$B$8,Başvuru!$D:$D,$A$30)))</f>
        <v>0</v>
      </c>
      <c r="G30" s="177">
        <f>IF($A30="","",IF($A4="","",COUNTIFS(Başvuru!$I:$I,Toplantı!$B$9,Başvuru!$D:$D,$A$30)))</f>
        <v>0</v>
      </c>
      <c r="H30" s="177">
        <f>IF($A30="","",IF($A4="","",COUNTIFS(Başvuru!$I:$I,Toplantı!$B$10,Başvuru!$D:$D,$A$30)))</f>
        <v>2</v>
      </c>
      <c r="I30" s="177">
        <f>IF($A30="","",IF($A4="","",COUNTIFS(Başvuru!$I:$I,Toplantı!$B$11,Başvuru!$D:$D,$A$30)))</f>
        <v>0</v>
      </c>
      <c r="J30" s="177">
        <f>IF($A30="","",IF($A4="","",COUNTIFS(Başvuru!$I:$I,Toplantı!$B$12,Başvuru!$D:$D,$A$30)))</f>
        <v>0</v>
      </c>
      <c r="K30" s="177">
        <f>IF($A30="","",IF($A4="","",COUNTIFS(Başvuru!$I:$I,Toplantı!$B$13,Başvuru!$D:$D,$A$30)))</f>
        <v>0</v>
      </c>
      <c r="L30" s="177">
        <f>IF($A30="","",IF($A4="","",COUNTIFS(Başvuru!$I:$I,Toplantı!$B$14,Başvuru!$D:$D,$A$30)))</f>
        <v>0</v>
      </c>
      <c r="M30" s="177">
        <f>IF($A30="","",IF($A4="","",COUNTIFS(Başvuru!$I:$I,Toplantı!$B$15,Başvuru!$D:$D,$A$30)))</f>
        <v>1</v>
      </c>
      <c r="N30" s="177">
        <f>IF($A30="","",IF($A4="","",COUNTIFS(Başvuru!$I:$I,Toplantı!$B$16,Başvuru!$D:$D,$A$30)))</f>
        <v>1</v>
      </c>
      <c r="O30" s="177">
        <f>IF($A30="","",IF($A4="","",COUNTIFS(Başvuru!$I:$I,Toplantı!$B$17,Başvuru!$D:$D,$A$30)))</f>
        <v>0</v>
      </c>
      <c r="P30" s="177">
        <f>IF($A30="","",IF($A4="","",COUNTIFS(Başvuru!$I:$I,Toplantı!$B$18,Başvuru!$D:$D,$A$30)))</f>
        <v>1</v>
      </c>
      <c r="Q30" s="177">
        <f>IF($A30="","",IF($A4="","",COUNTIFS(Başvuru!$I:$I,Toplantı!$B$19,Başvuru!$D:$D,$A$30)))</f>
        <v>0</v>
      </c>
      <c r="R30" s="177">
        <f>IF($A30="","",IF($A4="","",COUNTIFS(Başvuru!$I:$I,Toplantı!$B$20,Başvuru!$D:$D,$A$30)))</f>
        <v>0</v>
      </c>
      <c r="S30" s="178">
        <f t="shared" si="0"/>
        <v>7</v>
      </c>
    </row>
    <row r="31" spans="1:19" x14ac:dyDescent="0.25">
      <c r="A31" s="176" t="str">
        <f>IF(Birim!C33="","",Birim!C33)</f>
        <v>Periodontoloji Anabilim Dalı</v>
      </c>
      <c r="B31" s="177">
        <f>IF($A31="","",IF($A4="","",COUNTIFS(Başvuru!$I:$I,Toplantı!$B$4,Başvuru!$D:$D,$A$31)))</f>
        <v>0</v>
      </c>
      <c r="C31" s="177">
        <f>IF($A31="","",IF($A4="","",COUNTIFS(Başvuru!$I:$I,Toplantı!$B$5,Başvuru!$D:$D,$A$31)))</f>
        <v>1</v>
      </c>
      <c r="D31" s="177">
        <f>IF($A31="","",IF($A4="","",COUNTIFS(Başvuru!$I:$I,Toplantı!$B$6,Başvuru!$D:$D,$A$31)))</f>
        <v>0</v>
      </c>
      <c r="E31" s="177">
        <f>IF($A31="","",IF($A4="","",COUNTIFS(Başvuru!$I:$I,Toplantı!$B$7,Başvuru!$D:$D,$A$31)))</f>
        <v>2</v>
      </c>
      <c r="F31" s="177">
        <f>IF($A31="","",IF($A4="","",COUNTIFS(Başvuru!$I:$I,Toplantı!$B$8,Başvuru!$D:$D,$A$31)))</f>
        <v>0</v>
      </c>
      <c r="G31" s="177">
        <f>IF($A31="","",IF($A4="","",COUNTIFS(Başvuru!$I:$I,Toplantı!$B$9,Başvuru!$D:$D,$A$31)))</f>
        <v>1</v>
      </c>
      <c r="H31" s="177">
        <f>IF($A31="","",IF($A4="","",COUNTIFS(Başvuru!$I:$I,Toplantı!$B$10,Başvuru!$D:$D,$A$31)))</f>
        <v>0</v>
      </c>
      <c r="I31" s="177">
        <f>IF($A31="","",IF($A4="","",COUNTIFS(Başvuru!$I:$I,Toplantı!$B$11,Başvuru!$D:$D,$A$31)))</f>
        <v>1</v>
      </c>
      <c r="J31" s="177">
        <f>IF($A31="","",IF($A4="","",COUNTIFS(Başvuru!$I:$I,Toplantı!$B$12,Başvuru!$D:$D,$A$31)))</f>
        <v>0</v>
      </c>
      <c r="K31" s="177">
        <f>IF($A31="","",IF($A4="","",COUNTIFS(Başvuru!$I:$I,Toplantı!$B$13,Başvuru!$D:$D,$A$31)))</f>
        <v>0</v>
      </c>
      <c r="L31" s="177">
        <f>IF($A31="","",IF($A4="","",COUNTIFS(Başvuru!$I:$I,Toplantı!$B$14,Başvuru!$D:$D,$A$31)))</f>
        <v>1</v>
      </c>
      <c r="M31" s="177">
        <f>IF($A31="","",IF($A4="","",COUNTIFS(Başvuru!$I:$I,Toplantı!$B$15,Başvuru!$D:$D,$A$31)))</f>
        <v>1</v>
      </c>
      <c r="N31" s="177">
        <f>IF($A31="","",IF($A4="","",COUNTIFS(Başvuru!$I:$I,Toplantı!$B$16,Başvuru!$D:$D,$A$31)))</f>
        <v>0</v>
      </c>
      <c r="O31" s="177">
        <f>IF($A31="","",IF($A4="","",COUNTIFS(Başvuru!$I:$I,Toplantı!$B$17,Başvuru!$D:$D,$A$31)))</f>
        <v>0</v>
      </c>
      <c r="P31" s="177">
        <f>IF($A31="","",IF($A4="","",COUNTIFS(Başvuru!$I:$I,Toplantı!$B$18,Başvuru!$D:$D,$A$31)))</f>
        <v>0</v>
      </c>
      <c r="Q31" s="177">
        <f>IF($A31="","",IF($A4="","",COUNTIFS(Başvuru!$I:$I,Toplantı!$B$19,Başvuru!$D:$D,$A$31)))</f>
        <v>0</v>
      </c>
      <c r="R31" s="177">
        <f>IF($A31="","",IF($A4="","",COUNTIFS(Başvuru!$I:$I,Toplantı!$B$20,Başvuru!$D:$D,$A$31)))</f>
        <v>0</v>
      </c>
      <c r="S31" s="178">
        <f t="shared" si="0"/>
        <v>7</v>
      </c>
    </row>
    <row r="32" spans="1:19" x14ac:dyDescent="0.25">
      <c r="A32" s="176" t="str">
        <f>IF(Birim!C34="","",Birim!C34)</f>
        <v>Histoloji ve Embriyoloji Anabilim Dalı</v>
      </c>
      <c r="B32" s="177">
        <f>IF($A32="","",IF($A4="","",COUNTIFS(Başvuru!$I:$I,Toplantı!$B$4,Başvuru!$D:$D,$A$32)))</f>
        <v>2</v>
      </c>
      <c r="C32" s="177">
        <f>IF($A32="","",IF($A4="","",COUNTIFS(Başvuru!$I:$I,Toplantı!$B$5,Başvuru!$D:$D,$A$32)))</f>
        <v>0</v>
      </c>
      <c r="D32" s="177">
        <f>IF($A32="","",IF($A4="","",COUNTIFS(Başvuru!$I:$I,Toplantı!$B$6,Başvuru!$D:$D,$A$32)))</f>
        <v>0</v>
      </c>
      <c r="E32" s="177">
        <f>IF($A32="","",IF($A4="","",COUNTIFS(Başvuru!$I:$I,Toplantı!$B$7,Başvuru!$D:$D,$A$32)))</f>
        <v>0</v>
      </c>
      <c r="F32" s="177">
        <f>IF($A32="","",IF($A4="","",COUNTIFS(Başvuru!$I:$I,Toplantı!$B$8,Başvuru!$D:$D,$A$32)))</f>
        <v>0</v>
      </c>
      <c r="G32" s="177">
        <f>IF($A32="","",IF($A4="","",COUNTIFS(Başvuru!$I:$I,Toplantı!$B$9,Başvuru!$D:$D,$A$32)))</f>
        <v>0</v>
      </c>
      <c r="H32" s="177">
        <f>IF($A32="","",IF($A4="","",COUNTIFS(Başvuru!$I:$I,Toplantı!$B$10,Başvuru!$D:$D,$A$32)))</f>
        <v>1</v>
      </c>
      <c r="I32" s="177">
        <f>IF($A32="","",IF($A4="","",COUNTIFS(Başvuru!$I:$I,Toplantı!$B$11,Başvuru!$D:$D,$A$32)))</f>
        <v>0</v>
      </c>
      <c r="J32" s="177">
        <f>IF($A32="","",IF($A4="","",COUNTIFS(Başvuru!$I:$I,Toplantı!$B$12,Başvuru!$D:$D,$A$32)))</f>
        <v>1</v>
      </c>
      <c r="K32" s="177">
        <f>IF($A32="","",IF($A4="","",COUNTIFS(Başvuru!$I:$I,Toplantı!$B$13,Başvuru!$D:$D,$A$32)))</f>
        <v>0</v>
      </c>
      <c r="L32" s="177">
        <f>IF($A32="","",IF($A4="","",COUNTIFS(Başvuru!$I:$I,Toplantı!$B$14,Başvuru!$D:$D,$A$32)))</f>
        <v>1</v>
      </c>
      <c r="M32" s="177">
        <f>IF($A32="","",IF($A4="","",COUNTIFS(Başvuru!$I:$I,Toplantı!$B$15,Başvuru!$D:$D,$A$32)))</f>
        <v>0</v>
      </c>
      <c r="N32" s="177">
        <f>IF($A32="","",IF($A4="","",COUNTIFS(Başvuru!$I:$I,Toplantı!$B$16,Başvuru!$D:$D,$A$32)))</f>
        <v>0</v>
      </c>
      <c r="O32" s="177">
        <f>IF($A32="","",IF($A4="","",COUNTIFS(Başvuru!$I:$I,Toplantı!$B$17,Başvuru!$D:$D,$A$32)))</f>
        <v>0</v>
      </c>
      <c r="P32" s="177">
        <f>IF($A32="","",IF($A4="","",COUNTIFS(Başvuru!$I:$I,Toplantı!$B$18,Başvuru!$D:$D,$A$32)))</f>
        <v>0</v>
      </c>
      <c r="Q32" s="177">
        <f>IF($A32="","",IF($A4="","",COUNTIFS(Başvuru!$I:$I,Toplantı!$B$19,Başvuru!$D:$D,$A$32)))</f>
        <v>1</v>
      </c>
      <c r="R32" s="177">
        <f>IF($A32="","",IF($A4="","",COUNTIFS(Başvuru!$I:$I,Toplantı!$B$20,Başvuru!$D:$D,$A$32)))</f>
        <v>0</v>
      </c>
      <c r="S32" s="178">
        <f t="shared" si="0"/>
        <v>6</v>
      </c>
    </row>
    <row r="33" spans="1:19" x14ac:dyDescent="0.25">
      <c r="A33" s="176" t="str">
        <f>IF(Birim!C35="","",Birim!C35)</f>
        <v>Protetik Diş Tedavisi Anabilim Dalı</v>
      </c>
      <c r="B33" s="177">
        <f>IF($A33="","",IF($A4="","",COUNTIFS(Başvuru!$I:$I,Toplantı!$B$4,Başvuru!$D:$D,$A$33)))</f>
        <v>0</v>
      </c>
      <c r="C33" s="177">
        <f>IF($A33="","",IF($A4="","",COUNTIFS(Başvuru!$I:$I,Toplantı!$B$5,Başvuru!$D:$D,$A$33)))</f>
        <v>1</v>
      </c>
      <c r="D33" s="177">
        <f>IF($A33="","",IF($A4="","",COUNTIFS(Başvuru!$I:$I,Toplantı!$B$6,Başvuru!$D:$D,$A$33)))</f>
        <v>0</v>
      </c>
      <c r="E33" s="177">
        <f>IF($A33="","",IF($A4="","",COUNTIFS(Başvuru!$I:$I,Toplantı!$B$7,Başvuru!$D:$D,$A$33)))</f>
        <v>1</v>
      </c>
      <c r="F33" s="177">
        <f>IF($A33="","",IF($A4="","",COUNTIFS(Başvuru!$I:$I,Toplantı!$B$8,Başvuru!$D:$D,$A$33)))</f>
        <v>0</v>
      </c>
      <c r="G33" s="177">
        <f>IF($A33="","",IF($A4="","",COUNTIFS(Başvuru!$I:$I,Toplantı!$B$9,Başvuru!$D:$D,$A$33)))</f>
        <v>2</v>
      </c>
      <c r="H33" s="177">
        <f>IF($A33="","",IF($A4="","",COUNTIFS(Başvuru!$I:$I,Toplantı!$B$10,Başvuru!$D:$D,$A$33)))</f>
        <v>0</v>
      </c>
      <c r="I33" s="177">
        <f>IF($A33="","",IF($A4="","",COUNTIFS(Başvuru!$I:$I,Toplantı!$B$11,Başvuru!$D:$D,$A$33)))</f>
        <v>0</v>
      </c>
      <c r="J33" s="177">
        <f>IF($A33="","",IF($A4="","",COUNTIFS(Başvuru!$I:$I,Toplantı!$B$12,Başvuru!$D:$D,$A$33)))</f>
        <v>0</v>
      </c>
      <c r="K33" s="177">
        <f>IF($A33="","",IF($A4="","",COUNTIFS(Başvuru!$I:$I,Toplantı!$B$13,Başvuru!$D:$D,$A$33)))</f>
        <v>1</v>
      </c>
      <c r="L33" s="177">
        <f>IF($A33="","",IF($A4="","",COUNTIFS(Başvuru!$I:$I,Toplantı!$B$14,Başvuru!$D:$D,$A$33)))</f>
        <v>0</v>
      </c>
      <c r="M33" s="177">
        <f>IF($A33="","",IF($A4="","",COUNTIFS(Başvuru!$I:$I,Toplantı!$B$15,Başvuru!$D:$D,$A$33)))</f>
        <v>0</v>
      </c>
      <c r="N33" s="177">
        <f>IF($A33="","",IF($A4="","",COUNTIFS(Başvuru!$I:$I,Toplantı!$B$16,Başvuru!$D:$D,$A$33)))</f>
        <v>1</v>
      </c>
      <c r="O33" s="177">
        <f>IF($A33="","",IF($A4="","",COUNTIFS(Başvuru!$I:$I,Toplantı!$B$17,Başvuru!$D:$D,$A$33)))</f>
        <v>0</v>
      </c>
      <c r="P33" s="177">
        <f>IF($A33="","",IF($A4="","",COUNTIFS(Başvuru!$I:$I,Toplantı!$B$18,Başvuru!$D:$D,$A$33)))</f>
        <v>0</v>
      </c>
      <c r="Q33" s="177">
        <f>IF($A33="","",IF($A4="","",COUNTIFS(Başvuru!$I:$I,Toplantı!$B$19,Başvuru!$D:$D,$A$33)))</f>
        <v>0</v>
      </c>
      <c r="R33" s="177">
        <f>IF($A33="","",IF($A4="","",COUNTIFS(Başvuru!$I:$I,Toplantı!$B$20,Başvuru!$D:$D,$A$33)))</f>
        <v>0</v>
      </c>
      <c r="S33" s="178">
        <f t="shared" si="0"/>
        <v>6</v>
      </c>
    </row>
    <row r="34" spans="1:19" x14ac:dyDescent="0.25">
      <c r="A34" s="176" t="str">
        <f>IF(Birim!C36="","",Birim!C36)</f>
        <v>Sosyal Hizmet Anabilim Dalı</v>
      </c>
      <c r="B34" s="177">
        <f>IF($A34="","",IF($A4="","",COUNTIFS(Başvuru!$I:$I,Toplantı!$B$4,Başvuru!$D:$D,$A$34)))</f>
        <v>0</v>
      </c>
      <c r="C34" s="177">
        <f>IF($A34="","",IF($A4="","",COUNTIFS(Başvuru!$I:$I,Toplantı!$B$5,Başvuru!$D:$D,$A$34)))</f>
        <v>2</v>
      </c>
      <c r="D34" s="177">
        <f>IF($A34="","",IF($A4="","",COUNTIFS(Başvuru!$I:$I,Toplantı!$B$6,Başvuru!$D:$D,$A$34)))</f>
        <v>0</v>
      </c>
      <c r="E34" s="177">
        <f>IF($A34="","",IF($A4="","",COUNTIFS(Başvuru!$I:$I,Toplantı!$B$7,Başvuru!$D:$D,$A$34)))</f>
        <v>1</v>
      </c>
      <c r="F34" s="177">
        <f>IF($A34="","",IF($A4="","",COUNTIFS(Başvuru!$I:$I,Toplantı!$B$8,Başvuru!$D:$D,$A$34)))</f>
        <v>0</v>
      </c>
      <c r="G34" s="177">
        <f>IF($A34="","",IF($A4="","",COUNTIFS(Başvuru!$I:$I,Toplantı!$B$9,Başvuru!$D:$D,$A$34)))</f>
        <v>0</v>
      </c>
      <c r="H34" s="177">
        <f>IF($A34="","",IF($A4="","",COUNTIFS(Başvuru!$I:$I,Toplantı!$B$10,Başvuru!$D:$D,$A$34)))</f>
        <v>0</v>
      </c>
      <c r="I34" s="177">
        <f>IF($A34="","",IF($A4="","",COUNTIFS(Başvuru!$I:$I,Toplantı!$B$11,Başvuru!$D:$D,$A$34)))</f>
        <v>1</v>
      </c>
      <c r="J34" s="177">
        <f>IF($A34="","",IF($A4="","",COUNTIFS(Başvuru!$I:$I,Toplantı!$B$12,Başvuru!$D:$D,$A$34)))</f>
        <v>0</v>
      </c>
      <c r="K34" s="177">
        <f>IF($A34="","",IF($A4="","",COUNTIFS(Başvuru!$I:$I,Toplantı!$B$13,Başvuru!$D:$D,$A$34)))</f>
        <v>0</v>
      </c>
      <c r="L34" s="177">
        <f>IF($A34="","",IF($A4="","",COUNTIFS(Başvuru!$I:$I,Toplantı!$B$14,Başvuru!$D:$D,$A$34)))</f>
        <v>0</v>
      </c>
      <c r="M34" s="177">
        <f>IF($A34="","",IF($A4="","",COUNTIFS(Başvuru!$I:$I,Toplantı!$B$15,Başvuru!$D:$D,$A$34)))</f>
        <v>1</v>
      </c>
      <c r="N34" s="177">
        <f>IF($A34="","",IF($A4="","",COUNTIFS(Başvuru!$I:$I,Toplantı!$B$16,Başvuru!$D:$D,$A$34)))</f>
        <v>0</v>
      </c>
      <c r="O34" s="177">
        <f>IF($A34="","",IF($A4="","",COUNTIFS(Başvuru!$I:$I,Toplantı!$B$17,Başvuru!$D:$D,$A$34)))</f>
        <v>1</v>
      </c>
      <c r="P34" s="177">
        <f>IF($A34="","",IF($A4="","",COUNTIFS(Başvuru!$I:$I,Toplantı!$B$18,Başvuru!$D:$D,$A$34)))</f>
        <v>0</v>
      </c>
      <c r="Q34" s="177">
        <f>IF($A34="","",IF($A4="","",COUNTIFS(Başvuru!$I:$I,Toplantı!$B$19,Başvuru!$D:$D,$A$34)))</f>
        <v>0</v>
      </c>
      <c r="R34" s="177">
        <f>IF($A34="","",IF($A4="","",COUNTIFS(Başvuru!$I:$I,Toplantı!$B$20,Başvuru!$D:$D,$A$34)))</f>
        <v>0</v>
      </c>
      <c r="S34" s="178">
        <f t="shared" si="0"/>
        <v>6</v>
      </c>
    </row>
    <row r="35" spans="1:19" x14ac:dyDescent="0.25">
      <c r="A35" s="176" t="str">
        <f>IF(Birim!C37="","",Birim!C37)</f>
        <v>Hareket ve Antrenman Bilimleri Anabilim Dalı</v>
      </c>
      <c r="B35" s="177">
        <f>IF($A35="","",IF($A4="","",COUNTIFS(Başvuru!$I:$I,Toplantı!$B$4,Başvuru!$D:$D,$A$35)))</f>
        <v>0</v>
      </c>
      <c r="C35" s="177">
        <f>IF($A35="","",IF($A4="","",COUNTIFS(Başvuru!$I:$I,Toplantı!$B$5,Başvuru!$D:$D,$A$35)))</f>
        <v>0</v>
      </c>
      <c r="D35" s="177">
        <f>IF($A35="","",IF($A4="","",COUNTIFS(Başvuru!$I:$I,Toplantı!$B$6,Başvuru!$D:$D,$A$35)))</f>
        <v>2</v>
      </c>
      <c r="E35" s="177">
        <f>IF($A35="","",IF($A4="","",COUNTIFS(Başvuru!$I:$I,Toplantı!$B$7,Başvuru!$D:$D,$A$35)))</f>
        <v>0</v>
      </c>
      <c r="F35" s="177">
        <f>IF($A35="","",IF($A4="","",COUNTIFS(Başvuru!$I:$I,Toplantı!$B$8,Başvuru!$D:$D,$A$35)))</f>
        <v>0</v>
      </c>
      <c r="G35" s="177">
        <f>IF($A35="","",IF($A4="","",COUNTIFS(Başvuru!$I:$I,Toplantı!$B$9,Başvuru!$D:$D,$A$35)))</f>
        <v>0</v>
      </c>
      <c r="H35" s="177">
        <f>IF($A35="","",IF($A4="","",COUNTIFS(Başvuru!$I:$I,Toplantı!$B$10,Başvuru!$D:$D,$A$35)))</f>
        <v>0</v>
      </c>
      <c r="I35" s="177">
        <f>IF($A35="","",IF($A4="","",COUNTIFS(Başvuru!$I:$I,Toplantı!$B$11,Başvuru!$D:$D,$A$35)))</f>
        <v>1</v>
      </c>
      <c r="J35" s="177">
        <f>IF($A35="","",IF($A4="","",COUNTIFS(Başvuru!$I:$I,Toplantı!$B$12,Başvuru!$D:$D,$A$35)))</f>
        <v>0</v>
      </c>
      <c r="K35" s="177">
        <f>IF($A35="","",IF($A4="","",COUNTIFS(Başvuru!$I:$I,Toplantı!$B$13,Başvuru!$D:$D,$A$35)))</f>
        <v>0</v>
      </c>
      <c r="L35" s="177">
        <f>IF($A35="","",IF($A4="","",COUNTIFS(Başvuru!$I:$I,Toplantı!$B$14,Başvuru!$D:$D,$A$35)))</f>
        <v>0</v>
      </c>
      <c r="M35" s="177">
        <f>IF($A35="","",IF($A4="","",COUNTIFS(Başvuru!$I:$I,Toplantı!$B$15,Başvuru!$D:$D,$A$35)))</f>
        <v>0</v>
      </c>
      <c r="N35" s="177">
        <f>IF($A35="","",IF($A4="","",COUNTIFS(Başvuru!$I:$I,Toplantı!$B$16,Başvuru!$D:$D,$A$35)))</f>
        <v>0</v>
      </c>
      <c r="O35" s="177">
        <f>IF($A35="","",IF($A4="","",COUNTIFS(Başvuru!$I:$I,Toplantı!$B$17,Başvuru!$D:$D,$A$35)))</f>
        <v>3</v>
      </c>
      <c r="P35" s="177">
        <f>IF($A35="","",IF($A4="","",COUNTIFS(Başvuru!$I:$I,Toplantı!$B$18,Başvuru!$D:$D,$A$35)))</f>
        <v>0</v>
      </c>
      <c r="Q35" s="177">
        <f>IF($A35="","",IF($A4="","",COUNTIFS(Başvuru!$I:$I,Toplantı!$B$19,Başvuru!$D:$D,$A$35)))</f>
        <v>0</v>
      </c>
      <c r="R35" s="177">
        <f>IF($A35="","",IF($A4="","",COUNTIFS(Başvuru!$I:$I,Toplantı!$B$20,Başvuru!$D:$D,$A$35)))</f>
        <v>0</v>
      </c>
      <c r="S35" s="178">
        <f t="shared" si="0"/>
        <v>6</v>
      </c>
    </row>
    <row r="36" spans="1:19" x14ac:dyDescent="0.25">
      <c r="A36" s="176" t="str">
        <f>IF(Birim!C38="","",Birim!C38)</f>
        <v>Restoratif Diş Tedavisi Anabilim Dalı</v>
      </c>
      <c r="B36" s="177">
        <f>IF($A36="","",IF($A4="","",COUNTIFS(Başvuru!$I:$I,Toplantı!$B$4,Başvuru!$D:$D,$A$36)))</f>
        <v>0</v>
      </c>
      <c r="C36" s="177">
        <f>IF($A36="","",IF($A4="","",COUNTIFS(Başvuru!$I:$I,Toplantı!$B$5,Başvuru!$D:$D,$A$36)))</f>
        <v>0</v>
      </c>
      <c r="D36" s="177">
        <f>IF($A36="","",IF($A4="","",COUNTIFS(Başvuru!$I:$I,Toplantı!$B$6,Başvuru!$D:$D,$A$36)))</f>
        <v>0</v>
      </c>
      <c r="E36" s="177">
        <f>IF($A36="","",IF($A4="","",COUNTIFS(Başvuru!$I:$I,Toplantı!$B$7,Başvuru!$D:$D,$A$36)))</f>
        <v>1</v>
      </c>
      <c r="F36" s="177">
        <f>IF($A36="","",IF($A4="","",COUNTIFS(Başvuru!$I:$I,Toplantı!$B$8,Başvuru!$D:$D,$A$36)))</f>
        <v>0</v>
      </c>
      <c r="G36" s="177">
        <f>IF($A36="","",IF($A4="","",COUNTIFS(Başvuru!$I:$I,Toplantı!$B$9,Başvuru!$D:$D,$A$36)))</f>
        <v>0</v>
      </c>
      <c r="H36" s="177">
        <f>IF($A36="","",IF($A4="","",COUNTIFS(Başvuru!$I:$I,Toplantı!$B$10,Başvuru!$D:$D,$A$36)))</f>
        <v>1</v>
      </c>
      <c r="I36" s="177">
        <f>IF($A36="","",IF($A4="","",COUNTIFS(Başvuru!$I:$I,Toplantı!$B$11,Başvuru!$D:$D,$A$36)))</f>
        <v>0</v>
      </c>
      <c r="J36" s="177">
        <f>IF($A36="","",IF($A4="","",COUNTIFS(Başvuru!$I:$I,Toplantı!$B$12,Başvuru!$D:$D,$A$36)))</f>
        <v>0</v>
      </c>
      <c r="K36" s="177">
        <f>IF($A36="","",IF($A4="","",COUNTIFS(Başvuru!$I:$I,Toplantı!$B$13,Başvuru!$D:$D,$A$36)))</f>
        <v>0</v>
      </c>
      <c r="L36" s="177">
        <f>IF($A36="","",IF($A4="","",COUNTIFS(Başvuru!$I:$I,Toplantı!$B$14,Başvuru!$D:$D,$A$36)))</f>
        <v>0</v>
      </c>
      <c r="M36" s="177">
        <f>IF($A36="","",IF($A4="","",COUNTIFS(Başvuru!$I:$I,Toplantı!$B$15,Başvuru!$D:$D,$A$36)))</f>
        <v>0</v>
      </c>
      <c r="N36" s="177">
        <f>IF($A36="","",IF($A4="","",COUNTIFS(Başvuru!$I:$I,Toplantı!$B$16,Başvuru!$D:$D,$A$36)))</f>
        <v>0</v>
      </c>
      <c r="O36" s="177">
        <f>IF($A36="","",IF($A4="","",COUNTIFS(Başvuru!$I:$I,Toplantı!$B$17,Başvuru!$D:$D,$A$36)))</f>
        <v>1</v>
      </c>
      <c r="P36" s="177">
        <f>IF($A36="","",IF($A4="","",COUNTIFS(Başvuru!$I:$I,Toplantı!$B$18,Başvuru!$D:$D,$A$36)))</f>
        <v>0</v>
      </c>
      <c r="Q36" s="177">
        <f>IF($A36="","",IF($A4="","",COUNTIFS(Başvuru!$I:$I,Toplantı!$B$19,Başvuru!$D:$D,$A$36)))</f>
        <v>1</v>
      </c>
      <c r="R36" s="177">
        <f>IF($A36="","",IF($A4="","",COUNTIFS(Başvuru!$I:$I,Toplantı!$B$20,Başvuru!$D:$D,$A$36)))</f>
        <v>2</v>
      </c>
      <c r="S36" s="178">
        <f t="shared" ref="S36:S67" si="1">SUM(B36:R36)</f>
        <v>6</v>
      </c>
    </row>
    <row r="37" spans="1:19" x14ac:dyDescent="0.25">
      <c r="A37" s="176" t="str">
        <f>IF(Birim!C39="","",Birim!C39)</f>
        <v>Tıbbi Patoloji Anabilim Dalı</v>
      </c>
      <c r="B37" s="177">
        <f>IF($A37="","",IF($A4="","",COUNTIFS(Başvuru!$I:$I,Toplantı!$B$4,Başvuru!$D:$D,$A$37)))</f>
        <v>0</v>
      </c>
      <c r="C37" s="177">
        <f>IF($A37="","",IF($A4="","",COUNTIFS(Başvuru!$I:$I,Toplantı!$B$5,Başvuru!$D:$D,$A$37)))</f>
        <v>0</v>
      </c>
      <c r="D37" s="177">
        <f>IF($A37="","",IF($A4="","",COUNTIFS(Başvuru!$I:$I,Toplantı!$B$6,Başvuru!$D:$D,$A$37)))</f>
        <v>0</v>
      </c>
      <c r="E37" s="177">
        <f>IF($A37="","",IF($A4="","",COUNTIFS(Başvuru!$I:$I,Toplantı!$B$7,Başvuru!$D:$D,$A$37)))</f>
        <v>0</v>
      </c>
      <c r="F37" s="177">
        <f>IF($A37="","",IF($A4="","",COUNTIFS(Başvuru!$I:$I,Toplantı!$B$8,Başvuru!$D:$D,$A$37)))</f>
        <v>0</v>
      </c>
      <c r="G37" s="177">
        <f>IF($A37="","",IF($A4="","",COUNTIFS(Başvuru!$I:$I,Toplantı!$B$9,Başvuru!$D:$D,$A$37)))</f>
        <v>0</v>
      </c>
      <c r="H37" s="177">
        <f>IF($A37="","",IF($A4="","",COUNTIFS(Başvuru!$I:$I,Toplantı!$B$10,Başvuru!$D:$D,$A$37)))</f>
        <v>1</v>
      </c>
      <c r="I37" s="177">
        <f>IF($A37="","",IF($A4="","",COUNTIFS(Başvuru!$I:$I,Toplantı!$B$11,Başvuru!$D:$D,$A$37)))</f>
        <v>2</v>
      </c>
      <c r="J37" s="177">
        <f>IF($A37="","",IF($A4="","",COUNTIFS(Başvuru!$I:$I,Toplantı!$B$12,Başvuru!$D:$D,$A$37)))</f>
        <v>0</v>
      </c>
      <c r="K37" s="177">
        <f>IF($A37="","",IF($A4="","",COUNTIFS(Başvuru!$I:$I,Toplantı!$B$13,Başvuru!$D:$D,$A$37)))</f>
        <v>1</v>
      </c>
      <c r="L37" s="177">
        <f>IF($A37="","",IF($A4="","",COUNTIFS(Başvuru!$I:$I,Toplantı!$B$14,Başvuru!$D:$D,$A$37)))</f>
        <v>0</v>
      </c>
      <c r="M37" s="177">
        <f>IF($A37="","",IF($A4="","",COUNTIFS(Başvuru!$I:$I,Toplantı!$B$15,Başvuru!$D:$D,$A$37)))</f>
        <v>0</v>
      </c>
      <c r="N37" s="177">
        <f>IF($A37="","",IF($A4="","",COUNTIFS(Başvuru!$I:$I,Toplantı!$B$16,Başvuru!$D:$D,$A$37)))</f>
        <v>2</v>
      </c>
      <c r="O37" s="177">
        <f>IF($A37="","",IF($A4="","",COUNTIFS(Başvuru!$I:$I,Toplantı!$B$17,Başvuru!$D:$D,$A$37)))</f>
        <v>0</v>
      </c>
      <c r="P37" s="177">
        <f>IF($A37="","",IF($A4="","",COUNTIFS(Başvuru!$I:$I,Toplantı!$B$18,Başvuru!$D:$D,$A$37)))</f>
        <v>0</v>
      </c>
      <c r="Q37" s="177">
        <f>IF($A37="","",IF($A4="","",COUNTIFS(Başvuru!$I:$I,Toplantı!$B$19,Başvuru!$D:$D,$A$37)))</f>
        <v>0</v>
      </c>
      <c r="R37" s="177">
        <f>IF($A37="","",IF($A4="","",COUNTIFS(Başvuru!$I:$I,Toplantı!$B$20,Başvuru!$D:$D,$A$37)))</f>
        <v>0</v>
      </c>
      <c r="S37" s="178">
        <f t="shared" si="1"/>
        <v>6</v>
      </c>
    </row>
    <row r="38" spans="1:19" x14ac:dyDescent="0.25">
      <c r="A38" s="176" t="str">
        <f>IF(Birim!C40="","",Birim!C40)</f>
        <v>Göğüs Cerrahisi Anabilim Dalı</v>
      </c>
      <c r="B38" s="177">
        <f>IF($A38="","",IF($A4="","",COUNTIFS(Başvuru!$I:$I,Toplantı!$B$4,Başvuru!$D:$D,$A$38)))</f>
        <v>1</v>
      </c>
      <c r="C38" s="177">
        <f>IF($A38="","",IF($A4="","",COUNTIFS(Başvuru!$I:$I,Toplantı!$B$5,Başvuru!$D:$D,$A$38)))</f>
        <v>1</v>
      </c>
      <c r="D38" s="177">
        <f>IF($A38="","",IF($A4="","",COUNTIFS(Başvuru!$I:$I,Toplantı!$B$6,Başvuru!$D:$D,$A$38)))</f>
        <v>1</v>
      </c>
      <c r="E38" s="177">
        <f>IF($A38="","",IF($A4="","",COUNTIFS(Başvuru!$I:$I,Toplantı!$B$7,Başvuru!$D:$D,$A$38)))</f>
        <v>0</v>
      </c>
      <c r="F38" s="177">
        <f>IF($A38="","",IF($A4="","",COUNTIFS(Başvuru!$I:$I,Toplantı!$B$8,Başvuru!$D:$D,$A$38)))</f>
        <v>0</v>
      </c>
      <c r="G38" s="177">
        <f>IF($A38="","",IF($A4="","",COUNTIFS(Başvuru!$I:$I,Toplantı!$B$9,Başvuru!$D:$D,$A$38)))</f>
        <v>0</v>
      </c>
      <c r="H38" s="177">
        <f>IF($A38="","",IF($A4="","",COUNTIFS(Başvuru!$I:$I,Toplantı!$B$10,Başvuru!$D:$D,$A$38)))</f>
        <v>0</v>
      </c>
      <c r="I38" s="177">
        <f>IF($A38="","",IF($A4="","",COUNTIFS(Başvuru!$I:$I,Toplantı!$B$11,Başvuru!$D:$D,$A$38)))</f>
        <v>0</v>
      </c>
      <c r="J38" s="177">
        <f>IF($A38="","",IF($A4="","",COUNTIFS(Başvuru!$I:$I,Toplantı!$B$12,Başvuru!$D:$D,$A$38)))</f>
        <v>0</v>
      </c>
      <c r="K38" s="177">
        <f>IF($A38="","",IF($A4="","",COUNTIFS(Başvuru!$I:$I,Toplantı!$B$13,Başvuru!$D:$D,$A$38)))</f>
        <v>0</v>
      </c>
      <c r="L38" s="177">
        <f>IF($A38="","",IF($A4="","",COUNTIFS(Başvuru!$I:$I,Toplantı!$B$14,Başvuru!$D:$D,$A$38)))</f>
        <v>0</v>
      </c>
      <c r="M38" s="177">
        <f>IF($A38="","",IF($A4="","",COUNTIFS(Başvuru!$I:$I,Toplantı!$B$15,Başvuru!$D:$D,$A$38)))</f>
        <v>0</v>
      </c>
      <c r="N38" s="177">
        <f>IF($A38="","",IF($A4="","",COUNTIFS(Başvuru!$I:$I,Toplantı!$B$16,Başvuru!$D:$D,$A$38)))</f>
        <v>0</v>
      </c>
      <c r="O38" s="177">
        <f>IF($A38="","",IF($A4="","",COUNTIFS(Başvuru!$I:$I,Toplantı!$B$17,Başvuru!$D:$D,$A$38)))</f>
        <v>2</v>
      </c>
      <c r="P38" s="177">
        <f>IF($A38="","",IF($A4="","",COUNTIFS(Başvuru!$I:$I,Toplantı!$B$18,Başvuru!$D:$D,$A$38)))</f>
        <v>0</v>
      </c>
      <c r="Q38" s="177">
        <f>IF($A38="","",IF($A4="","",COUNTIFS(Başvuru!$I:$I,Toplantı!$B$19,Başvuru!$D:$D,$A$38)))</f>
        <v>0</v>
      </c>
      <c r="R38" s="177">
        <f>IF($A38="","",IF($A4="","",COUNTIFS(Başvuru!$I:$I,Toplantı!$B$20,Başvuru!$D:$D,$A$38)))</f>
        <v>0</v>
      </c>
      <c r="S38" s="178">
        <f t="shared" si="1"/>
        <v>5</v>
      </c>
    </row>
    <row r="39" spans="1:19" x14ac:dyDescent="0.25">
      <c r="A39" s="176" t="str">
        <f>IF(Birim!C41="","",Birim!C41)</f>
        <v>Halk Sağlığı Anabilim Dalı</v>
      </c>
      <c r="B39" s="177">
        <f>IF($A39="","",IF($A4="","",COUNTIFS(Başvuru!$I:$I,Toplantı!$B$4,Başvuru!$D:$D,$A$39)))</f>
        <v>1</v>
      </c>
      <c r="C39" s="177">
        <f>IF($A39="","",IF($A4="","",COUNTIFS(Başvuru!$I:$I,Toplantı!$B$5,Başvuru!$D:$D,$A$39)))</f>
        <v>0</v>
      </c>
      <c r="D39" s="177">
        <f>IF($A39="","",IF($A4="","",COUNTIFS(Başvuru!$I:$I,Toplantı!$B$6,Başvuru!$D:$D,$A$39)))</f>
        <v>0</v>
      </c>
      <c r="E39" s="177">
        <f>IF($A39="","",IF($A4="","",COUNTIFS(Başvuru!$I:$I,Toplantı!$B$7,Başvuru!$D:$D,$A$39)))</f>
        <v>1</v>
      </c>
      <c r="F39" s="177">
        <f>IF($A39="","",IF($A4="","",COUNTIFS(Başvuru!$I:$I,Toplantı!$B$8,Başvuru!$D:$D,$A$39)))</f>
        <v>0</v>
      </c>
      <c r="G39" s="177">
        <f>IF($A39="","",IF($A4="","",COUNTIFS(Başvuru!$I:$I,Toplantı!$B$9,Başvuru!$D:$D,$A$39)))</f>
        <v>0</v>
      </c>
      <c r="H39" s="177">
        <f>IF($A39="","",IF($A4="","",COUNTIFS(Başvuru!$I:$I,Toplantı!$B$10,Başvuru!$D:$D,$A$39)))</f>
        <v>1</v>
      </c>
      <c r="I39" s="177">
        <f>IF($A39="","",IF($A4="","",COUNTIFS(Başvuru!$I:$I,Toplantı!$B$11,Başvuru!$D:$D,$A$39)))</f>
        <v>0</v>
      </c>
      <c r="J39" s="177">
        <f>IF($A39="","",IF($A4="","",COUNTIFS(Başvuru!$I:$I,Toplantı!$B$12,Başvuru!$D:$D,$A$39)))</f>
        <v>2</v>
      </c>
      <c r="K39" s="177">
        <f>IF($A39="","",IF($A4="","",COUNTIFS(Başvuru!$I:$I,Toplantı!$B$13,Başvuru!$D:$D,$A$39)))</f>
        <v>0</v>
      </c>
      <c r="L39" s="177">
        <f>IF($A39="","",IF($A4="","",COUNTIFS(Başvuru!$I:$I,Toplantı!$B$14,Başvuru!$D:$D,$A$39)))</f>
        <v>0</v>
      </c>
      <c r="M39" s="177">
        <f>IF($A39="","",IF($A4="","",COUNTIFS(Başvuru!$I:$I,Toplantı!$B$15,Başvuru!$D:$D,$A$39)))</f>
        <v>0</v>
      </c>
      <c r="N39" s="177">
        <f>IF($A39="","",IF($A4="","",COUNTIFS(Başvuru!$I:$I,Toplantı!$B$16,Başvuru!$D:$D,$A$39)))</f>
        <v>0</v>
      </c>
      <c r="O39" s="177">
        <f>IF($A39="","",IF($A4="","",COUNTIFS(Başvuru!$I:$I,Toplantı!$B$17,Başvuru!$D:$D,$A$39)))</f>
        <v>0</v>
      </c>
      <c r="P39" s="177">
        <f>IF($A39="","",IF($A4="","",COUNTIFS(Başvuru!$I:$I,Toplantı!$B$18,Başvuru!$D:$D,$A$39)))</f>
        <v>0</v>
      </c>
      <c r="Q39" s="177">
        <f>IF($A39="","",IF($A4="","",COUNTIFS(Başvuru!$I:$I,Toplantı!$B$19,Başvuru!$D:$D,$A$39)))</f>
        <v>0</v>
      </c>
      <c r="R39" s="177">
        <f>IF($A39="","",IF($A4="","",COUNTIFS(Başvuru!$I:$I,Toplantı!$B$20,Başvuru!$D:$D,$A$39)))</f>
        <v>0</v>
      </c>
      <c r="S39" s="178">
        <f t="shared" si="1"/>
        <v>5</v>
      </c>
    </row>
    <row r="40" spans="1:19" x14ac:dyDescent="0.25">
      <c r="A40" s="176" t="str">
        <f>IF(Birim!C42="","",Birim!C42)</f>
        <v>Spor Hekimliği Anabilim Dalı</v>
      </c>
      <c r="B40" s="177">
        <f>IF($A40="","",IF($A4="","",COUNTIFS(Başvuru!$I:$I,Toplantı!$B$4,Başvuru!$D:$D,$A$40)))</f>
        <v>2</v>
      </c>
      <c r="C40" s="177">
        <f>IF($A40="","",IF($A4="","",COUNTIFS(Başvuru!$I:$I,Toplantı!$B$5,Başvuru!$D:$D,$A$40)))</f>
        <v>0</v>
      </c>
      <c r="D40" s="177">
        <f>IF($A40="","",IF($A4="","",COUNTIFS(Başvuru!$I:$I,Toplantı!$B$6,Başvuru!$D:$D,$A$40)))</f>
        <v>1</v>
      </c>
      <c r="E40" s="177">
        <f>IF($A40="","",IF($A4="","",COUNTIFS(Başvuru!$I:$I,Toplantı!$B$7,Başvuru!$D:$D,$A$40)))</f>
        <v>0</v>
      </c>
      <c r="F40" s="177">
        <f>IF($A40="","",IF($A4="","",COUNTIFS(Başvuru!$I:$I,Toplantı!$B$8,Başvuru!$D:$D,$A$40)))</f>
        <v>0</v>
      </c>
      <c r="G40" s="177">
        <f>IF($A40="","",IF($A4="","",COUNTIFS(Başvuru!$I:$I,Toplantı!$B$9,Başvuru!$D:$D,$A$40)))</f>
        <v>0</v>
      </c>
      <c r="H40" s="177">
        <f>IF($A40="","",IF($A4="","",COUNTIFS(Başvuru!$I:$I,Toplantı!$B$10,Başvuru!$D:$D,$A$40)))</f>
        <v>0</v>
      </c>
      <c r="I40" s="177">
        <f>IF($A40="","",IF($A4="","",COUNTIFS(Başvuru!$I:$I,Toplantı!$B$11,Başvuru!$D:$D,$A$40)))</f>
        <v>0</v>
      </c>
      <c r="J40" s="177">
        <f>IF($A40="","",IF($A4="","",COUNTIFS(Başvuru!$I:$I,Toplantı!$B$12,Başvuru!$D:$D,$A$40)))</f>
        <v>0</v>
      </c>
      <c r="K40" s="177">
        <f>IF($A40="","",IF($A4="","",COUNTIFS(Başvuru!$I:$I,Toplantı!$B$13,Başvuru!$D:$D,$A$40)))</f>
        <v>0</v>
      </c>
      <c r="L40" s="177">
        <f>IF($A40="","",IF($A4="","",COUNTIFS(Başvuru!$I:$I,Toplantı!$B$14,Başvuru!$D:$D,$A$40)))</f>
        <v>0</v>
      </c>
      <c r="M40" s="177">
        <f>IF($A40="","",IF($A4="","",COUNTIFS(Başvuru!$I:$I,Toplantı!$B$15,Başvuru!$D:$D,$A$40)))</f>
        <v>0</v>
      </c>
      <c r="N40" s="177">
        <f>IF($A40="","",IF($A4="","",COUNTIFS(Başvuru!$I:$I,Toplantı!$B$16,Başvuru!$D:$D,$A$40)))</f>
        <v>0</v>
      </c>
      <c r="O40" s="177">
        <f>IF($A40="","",IF($A4="","",COUNTIFS(Başvuru!$I:$I,Toplantı!$B$17,Başvuru!$D:$D,$A$40)))</f>
        <v>0</v>
      </c>
      <c r="P40" s="177">
        <f>IF($A40="","",IF($A4="","",COUNTIFS(Başvuru!$I:$I,Toplantı!$B$18,Başvuru!$D:$D,$A$40)))</f>
        <v>1</v>
      </c>
      <c r="Q40" s="177">
        <f>IF($A40="","",IF($A4="","",COUNTIFS(Başvuru!$I:$I,Toplantı!$B$19,Başvuru!$D:$D,$A$40)))</f>
        <v>0</v>
      </c>
      <c r="R40" s="177">
        <f>IF($A40="","",IF($A4="","",COUNTIFS(Başvuru!$I:$I,Toplantı!$B$20,Başvuru!$D:$D,$A$40)))</f>
        <v>0</v>
      </c>
      <c r="S40" s="178">
        <f t="shared" si="1"/>
        <v>4</v>
      </c>
    </row>
    <row r="41" spans="1:19" x14ac:dyDescent="0.25">
      <c r="A41" s="176" t="str">
        <f>IF(Birim!C43="","",Birim!C43)</f>
        <v>Kök Hücre Bilimleri Anabilim Dalı</v>
      </c>
      <c r="B41" s="177">
        <f>IF($A41="","",IF($A4="","",COUNTIFS(Başvuru!$I:$I,Toplantı!$B$4,Başvuru!$D:$D,$A$41)))</f>
        <v>0</v>
      </c>
      <c r="C41" s="177">
        <f>IF($A41="","",IF($A4="","",COUNTIFS(Başvuru!$I:$I,Toplantı!$B$5,Başvuru!$D:$D,$A$41)))</f>
        <v>0</v>
      </c>
      <c r="D41" s="177">
        <f>IF($A41="","",IF($A4="","",COUNTIFS(Başvuru!$I:$I,Toplantı!$B$6,Başvuru!$D:$D,$A$41)))</f>
        <v>0</v>
      </c>
      <c r="E41" s="177">
        <f>IF($A41="","",IF($A4="","",COUNTIFS(Başvuru!$I:$I,Toplantı!$B$7,Başvuru!$D:$D,$A$41)))</f>
        <v>0</v>
      </c>
      <c r="F41" s="177">
        <f>IF($A41="","",IF($A4="","",COUNTIFS(Başvuru!$I:$I,Toplantı!$B$8,Başvuru!$D:$D,$A$41)))</f>
        <v>1</v>
      </c>
      <c r="G41" s="177">
        <f>IF($A41="","",IF($A4="","",COUNTIFS(Başvuru!$I:$I,Toplantı!$B$9,Başvuru!$D:$D,$A$41)))</f>
        <v>0</v>
      </c>
      <c r="H41" s="177">
        <f>IF($A41="","",IF($A4="","",COUNTIFS(Başvuru!$I:$I,Toplantı!$B$10,Başvuru!$D:$D,$A$41)))</f>
        <v>0</v>
      </c>
      <c r="I41" s="177">
        <f>IF($A41="","",IF($A4="","",COUNTIFS(Başvuru!$I:$I,Toplantı!$B$11,Başvuru!$D:$D,$A$41)))</f>
        <v>0</v>
      </c>
      <c r="J41" s="177">
        <f>IF($A41="","",IF($A4="","",COUNTIFS(Başvuru!$I:$I,Toplantı!$B$12,Başvuru!$D:$D,$A$41)))</f>
        <v>0</v>
      </c>
      <c r="K41" s="177">
        <f>IF($A41="","",IF($A4="","",COUNTIFS(Başvuru!$I:$I,Toplantı!$B$13,Başvuru!$D:$D,$A$41)))</f>
        <v>1</v>
      </c>
      <c r="L41" s="177">
        <f>IF($A41="","",IF($A4="","",COUNTIFS(Başvuru!$I:$I,Toplantı!$B$14,Başvuru!$D:$D,$A$41)))</f>
        <v>0</v>
      </c>
      <c r="M41" s="177">
        <f>IF($A41="","",IF($A4="","",COUNTIFS(Başvuru!$I:$I,Toplantı!$B$15,Başvuru!$D:$D,$A$41)))</f>
        <v>0</v>
      </c>
      <c r="N41" s="177">
        <f>IF($A41="","",IF($A4="","",COUNTIFS(Başvuru!$I:$I,Toplantı!$B$16,Başvuru!$D:$D,$A$41)))</f>
        <v>2</v>
      </c>
      <c r="O41" s="177">
        <f>IF($A41="","",IF($A4="","",COUNTIFS(Başvuru!$I:$I,Toplantı!$B$17,Başvuru!$D:$D,$A$41)))</f>
        <v>0</v>
      </c>
      <c r="P41" s="177">
        <f>IF($A41="","",IF($A4="","",COUNTIFS(Başvuru!$I:$I,Toplantı!$B$18,Başvuru!$D:$D,$A$41)))</f>
        <v>0</v>
      </c>
      <c r="Q41" s="177">
        <f>IF($A41="","",IF($A4="","",COUNTIFS(Başvuru!$I:$I,Toplantı!$B$19,Başvuru!$D:$D,$A$41)))</f>
        <v>0</v>
      </c>
      <c r="R41" s="177">
        <f>IF($A41="","",IF($A4="","",COUNTIFS(Başvuru!$I:$I,Toplantı!$B$20,Başvuru!$D:$D,$A$41)))</f>
        <v>0</v>
      </c>
      <c r="S41" s="178">
        <f t="shared" si="1"/>
        <v>4</v>
      </c>
    </row>
    <row r="42" spans="1:19" x14ac:dyDescent="0.25">
      <c r="A42" s="176" t="str">
        <f>IF(Birim!C44="","",Birim!C44)</f>
        <v>Enfeksiyon Hastalıkları ve Klinik Mikrobiyoloji Anabilim Dalı</v>
      </c>
      <c r="B42" s="177">
        <f>IF($A42="","",IF($A4="","",COUNTIFS(Başvuru!$I:$I,Toplantı!$B$4,Başvuru!$D:$D,$A$42)))</f>
        <v>0</v>
      </c>
      <c r="C42" s="177">
        <f>IF($A42="","",IF($A4="","",COUNTIFS(Başvuru!$I:$I,Toplantı!$B$5,Başvuru!$D:$D,$A$42)))</f>
        <v>0</v>
      </c>
      <c r="D42" s="177">
        <f>IF($A42="","",IF($A4="","",COUNTIFS(Başvuru!$I:$I,Toplantı!$B$6,Başvuru!$D:$D,$A$42)))</f>
        <v>0</v>
      </c>
      <c r="E42" s="177">
        <f>IF($A42="","",IF($A4="","",COUNTIFS(Başvuru!$I:$I,Toplantı!$B$7,Başvuru!$D:$D,$A$42)))</f>
        <v>0</v>
      </c>
      <c r="F42" s="177">
        <f>IF($A42="","",IF($A4="","",COUNTIFS(Başvuru!$I:$I,Toplantı!$B$8,Başvuru!$D:$D,$A$42)))</f>
        <v>1</v>
      </c>
      <c r="G42" s="177">
        <f>IF($A42="","",IF($A4="","",COUNTIFS(Başvuru!$I:$I,Toplantı!$B$9,Başvuru!$D:$D,$A$42)))</f>
        <v>0</v>
      </c>
      <c r="H42" s="177">
        <f>IF($A42="","",IF($A4="","",COUNTIFS(Başvuru!$I:$I,Toplantı!$B$10,Başvuru!$D:$D,$A$42)))</f>
        <v>0</v>
      </c>
      <c r="I42" s="177">
        <f>IF($A42="","",IF($A4="","",COUNTIFS(Başvuru!$I:$I,Toplantı!$B$11,Başvuru!$D:$D,$A$42)))</f>
        <v>0</v>
      </c>
      <c r="J42" s="177">
        <f>IF($A42="","",IF($A4="","",COUNTIFS(Başvuru!$I:$I,Toplantı!$B$12,Başvuru!$D:$D,$A$42)))</f>
        <v>1</v>
      </c>
      <c r="K42" s="177">
        <f>IF($A42="","",IF($A4="","",COUNTIFS(Başvuru!$I:$I,Toplantı!$B$13,Başvuru!$D:$D,$A$42)))</f>
        <v>1</v>
      </c>
      <c r="L42" s="177">
        <f>IF($A42="","",IF($A4="","",COUNTIFS(Başvuru!$I:$I,Toplantı!$B$14,Başvuru!$D:$D,$A$42)))</f>
        <v>0</v>
      </c>
      <c r="M42" s="177">
        <f>IF($A42="","",IF($A4="","",COUNTIFS(Başvuru!$I:$I,Toplantı!$B$15,Başvuru!$D:$D,$A$42)))</f>
        <v>0</v>
      </c>
      <c r="N42" s="177">
        <f>IF($A42="","",IF($A4="","",COUNTIFS(Başvuru!$I:$I,Toplantı!$B$16,Başvuru!$D:$D,$A$42)))</f>
        <v>1</v>
      </c>
      <c r="O42" s="177">
        <f>IF($A42="","",IF($A4="","",COUNTIFS(Başvuru!$I:$I,Toplantı!$B$17,Başvuru!$D:$D,$A$42)))</f>
        <v>0</v>
      </c>
      <c r="P42" s="177">
        <f>IF($A42="","",IF($A4="","",COUNTIFS(Başvuru!$I:$I,Toplantı!$B$18,Başvuru!$D:$D,$A$42)))</f>
        <v>0</v>
      </c>
      <c r="Q42" s="177">
        <f>IF($A42="","",IF($A4="","",COUNTIFS(Başvuru!$I:$I,Toplantı!$B$19,Başvuru!$D:$D,$A$42)))</f>
        <v>0</v>
      </c>
      <c r="R42" s="177">
        <f>IF($A42="","",IF($A4="","",COUNTIFS(Başvuru!$I:$I,Toplantı!$B$20,Başvuru!$D:$D,$A$42)))</f>
        <v>0</v>
      </c>
      <c r="S42" s="178">
        <f t="shared" si="1"/>
        <v>4</v>
      </c>
    </row>
    <row r="43" spans="1:19" x14ac:dyDescent="0.25">
      <c r="A43" s="176" t="str">
        <f>IF(Birim!C45="","",Birim!C45)</f>
        <v>Pedodonti Anabilim Dalı</v>
      </c>
      <c r="B43" s="177">
        <f>IF($A43="","",IF($A4="","",COUNTIFS(Başvuru!$I:$I,Toplantı!$B$4,Başvuru!$D:$D,$A$43)))</f>
        <v>0</v>
      </c>
      <c r="C43" s="177">
        <f>IF($A43="","",IF($A4="","",COUNTIFS(Başvuru!$I:$I,Toplantı!$B$5,Başvuru!$D:$D,$A$43)))</f>
        <v>0</v>
      </c>
      <c r="D43" s="177">
        <f>IF($A43="","",IF($A4="","",COUNTIFS(Başvuru!$I:$I,Toplantı!$B$6,Başvuru!$D:$D,$A$43)))</f>
        <v>0</v>
      </c>
      <c r="E43" s="177">
        <f>IF($A43="","",IF($A4="","",COUNTIFS(Başvuru!$I:$I,Toplantı!$B$7,Başvuru!$D:$D,$A$43)))</f>
        <v>0</v>
      </c>
      <c r="F43" s="177">
        <f>IF($A43="","",IF($A4="","",COUNTIFS(Başvuru!$I:$I,Toplantı!$B$8,Başvuru!$D:$D,$A$43)))</f>
        <v>0</v>
      </c>
      <c r="G43" s="177">
        <f>IF($A43="","",IF($A4="","",COUNTIFS(Başvuru!$I:$I,Toplantı!$B$9,Başvuru!$D:$D,$A$43)))</f>
        <v>0</v>
      </c>
      <c r="H43" s="177">
        <f>IF($A43="","",IF($A4="","",COUNTIFS(Başvuru!$I:$I,Toplantı!$B$10,Başvuru!$D:$D,$A$43)))</f>
        <v>0</v>
      </c>
      <c r="I43" s="177">
        <f>IF($A43="","",IF($A4="","",COUNTIFS(Başvuru!$I:$I,Toplantı!$B$11,Başvuru!$D:$D,$A$43)))</f>
        <v>1</v>
      </c>
      <c r="J43" s="177">
        <f>IF($A43="","",IF($A4="","",COUNTIFS(Başvuru!$I:$I,Toplantı!$B$12,Başvuru!$D:$D,$A$43)))</f>
        <v>0</v>
      </c>
      <c r="K43" s="177">
        <f>IF($A43="","",IF($A4="","",COUNTIFS(Başvuru!$I:$I,Toplantı!$B$13,Başvuru!$D:$D,$A$43)))</f>
        <v>1</v>
      </c>
      <c r="L43" s="177">
        <f>IF($A43="","",IF($A4="","",COUNTIFS(Başvuru!$I:$I,Toplantı!$B$14,Başvuru!$D:$D,$A$43)))</f>
        <v>0</v>
      </c>
      <c r="M43" s="177">
        <f>IF($A43="","",IF($A4="","",COUNTIFS(Başvuru!$I:$I,Toplantı!$B$15,Başvuru!$D:$D,$A$43)))</f>
        <v>0</v>
      </c>
      <c r="N43" s="177">
        <f>IF($A43="","",IF($A4="","",COUNTIFS(Başvuru!$I:$I,Toplantı!$B$16,Başvuru!$D:$D,$A$43)))</f>
        <v>0</v>
      </c>
      <c r="O43" s="177">
        <f>IF($A43="","",IF($A4="","",COUNTIFS(Başvuru!$I:$I,Toplantı!$B$17,Başvuru!$D:$D,$A$43)))</f>
        <v>0</v>
      </c>
      <c r="P43" s="177">
        <f>IF($A43="","",IF($A4="","",COUNTIFS(Başvuru!$I:$I,Toplantı!$B$18,Başvuru!$D:$D,$A$43)))</f>
        <v>1</v>
      </c>
      <c r="Q43" s="177">
        <f>IF($A43="","",IF($A4="","",COUNTIFS(Başvuru!$I:$I,Toplantı!$B$19,Başvuru!$D:$D,$A$43)))</f>
        <v>1</v>
      </c>
      <c r="R43" s="177">
        <f>IF($A43="","",IF($A4="","",COUNTIFS(Başvuru!$I:$I,Toplantı!$B$20,Başvuru!$D:$D,$A$43)))</f>
        <v>0</v>
      </c>
      <c r="S43" s="178">
        <f t="shared" si="1"/>
        <v>4</v>
      </c>
    </row>
    <row r="44" spans="1:19" x14ac:dyDescent="0.25">
      <c r="A44" s="176" t="str">
        <f>IF(Birim!C46="","",Birim!C46)</f>
        <v>Tıp Eğitimi ve Bilişimi Anabilim Dalı</v>
      </c>
      <c r="B44" s="177">
        <f>IF($A44="","",IF($A4="","",COUNTIFS(Başvuru!$I:$I,Toplantı!$B$4,Başvuru!$D:$D,$A$44)))</f>
        <v>1</v>
      </c>
      <c r="C44" s="177">
        <f>IF($A44="","",IF($A4="","",COUNTIFS(Başvuru!$I:$I,Toplantı!$B$5,Başvuru!$D:$D,$A$44)))</f>
        <v>0</v>
      </c>
      <c r="D44" s="177">
        <f>IF($A44="","",IF($A4="","",COUNTIFS(Başvuru!$I:$I,Toplantı!$B$6,Başvuru!$D:$D,$A$44)))</f>
        <v>0</v>
      </c>
      <c r="E44" s="177">
        <f>IF($A44="","",IF($A4="","",COUNTIFS(Başvuru!$I:$I,Toplantı!$B$7,Başvuru!$D:$D,$A$44)))</f>
        <v>0</v>
      </c>
      <c r="F44" s="177">
        <f>IF($A44="","",IF($A4="","",COUNTIFS(Başvuru!$I:$I,Toplantı!$B$8,Başvuru!$D:$D,$A$44)))</f>
        <v>0</v>
      </c>
      <c r="G44" s="177">
        <f>IF($A44="","",IF($A4="","",COUNTIFS(Başvuru!$I:$I,Toplantı!$B$9,Başvuru!$D:$D,$A$44)))</f>
        <v>0</v>
      </c>
      <c r="H44" s="177">
        <f>IF($A44="","",IF($A4="","",COUNTIFS(Başvuru!$I:$I,Toplantı!$B$10,Başvuru!$D:$D,$A$44)))</f>
        <v>0</v>
      </c>
      <c r="I44" s="177">
        <f>IF($A44="","",IF($A4="","",COUNTIFS(Başvuru!$I:$I,Toplantı!$B$11,Başvuru!$D:$D,$A$44)))</f>
        <v>0</v>
      </c>
      <c r="J44" s="177">
        <f>IF($A44="","",IF($A4="","",COUNTIFS(Başvuru!$I:$I,Toplantı!$B$12,Başvuru!$D:$D,$A$44)))</f>
        <v>0</v>
      </c>
      <c r="K44" s="177">
        <f>IF($A44="","",IF($A4="","",COUNTIFS(Başvuru!$I:$I,Toplantı!$B$13,Başvuru!$D:$D,$A$44)))</f>
        <v>1</v>
      </c>
      <c r="L44" s="177">
        <f>IF($A44="","",IF($A4="","",COUNTIFS(Başvuru!$I:$I,Toplantı!$B$14,Başvuru!$D:$D,$A$44)))</f>
        <v>0</v>
      </c>
      <c r="M44" s="177">
        <f>IF($A44="","",IF($A4="","",COUNTIFS(Başvuru!$I:$I,Toplantı!$B$15,Başvuru!$D:$D,$A$44)))</f>
        <v>0</v>
      </c>
      <c r="N44" s="177">
        <f>IF($A44="","",IF($A4="","",COUNTIFS(Başvuru!$I:$I,Toplantı!$B$16,Başvuru!$D:$D,$A$44)))</f>
        <v>0</v>
      </c>
      <c r="O44" s="177">
        <f>IF($A44="","",IF($A4="","",COUNTIFS(Başvuru!$I:$I,Toplantı!$B$17,Başvuru!$D:$D,$A$44)))</f>
        <v>1</v>
      </c>
      <c r="P44" s="177">
        <f>IF($A44="","",IF($A4="","",COUNTIFS(Başvuru!$I:$I,Toplantı!$B$18,Başvuru!$D:$D,$A$44)))</f>
        <v>0</v>
      </c>
      <c r="Q44" s="177">
        <f>IF($A44="","",IF($A4="","",COUNTIFS(Başvuru!$I:$I,Toplantı!$B$19,Başvuru!$D:$D,$A$44)))</f>
        <v>0</v>
      </c>
      <c r="R44" s="177">
        <f>IF($A44="","",IF($A4="","",COUNTIFS(Başvuru!$I:$I,Toplantı!$B$20,Başvuru!$D:$D,$A$44)))</f>
        <v>0</v>
      </c>
      <c r="S44" s="178">
        <f t="shared" si="1"/>
        <v>3</v>
      </c>
    </row>
    <row r="45" spans="1:19" x14ac:dyDescent="0.25">
      <c r="A45" s="176" t="str">
        <f>IF(Birim!C47="","",Birim!C47)</f>
        <v>Pediatrik Temel Bilimler Anabilim Dalı</v>
      </c>
      <c r="B45" s="177">
        <f>IF($A45="","",IF($A4="","",COUNTIFS(Başvuru!$I:$I,Toplantı!$B$4,Başvuru!$D:$D,$A$45)))</f>
        <v>0</v>
      </c>
      <c r="C45" s="177">
        <f>IF($A45="","",IF($A4="","",COUNTIFS(Başvuru!$I:$I,Toplantı!$B$5,Başvuru!$D:$D,$A$45)))</f>
        <v>0</v>
      </c>
      <c r="D45" s="177">
        <f>IF($A45="","",IF($A4="","",COUNTIFS(Başvuru!$I:$I,Toplantı!$B$6,Başvuru!$D:$D,$A$45)))</f>
        <v>1</v>
      </c>
      <c r="E45" s="177">
        <f>IF($A45="","",IF($A4="","",COUNTIFS(Başvuru!$I:$I,Toplantı!$B$7,Başvuru!$D:$D,$A$45)))</f>
        <v>1</v>
      </c>
      <c r="F45" s="177">
        <f>IF($A45="","",IF($A4="","",COUNTIFS(Başvuru!$I:$I,Toplantı!$B$8,Başvuru!$D:$D,$A$45)))</f>
        <v>0</v>
      </c>
      <c r="G45" s="177">
        <f>IF($A45="","",IF($A4="","",COUNTIFS(Başvuru!$I:$I,Toplantı!$B$9,Başvuru!$D:$D,$A$45)))</f>
        <v>0</v>
      </c>
      <c r="H45" s="177">
        <f>IF($A45="","",IF($A4="","",COUNTIFS(Başvuru!$I:$I,Toplantı!$B$10,Başvuru!$D:$D,$A$45)))</f>
        <v>0</v>
      </c>
      <c r="I45" s="177">
        <f>IF($A45="","",IF($A4="","",COUNTIFS(Başvuru!$I:$I,Toplantı!$B$11,Başvuru!$D:$D,$A$45)))</f>
        <v>0</v>
      </c>
      <c r="J45" s="177">
        <f>IF($A45="","",IF($A4="","",COUNTIFS(Başvuru!$I:$I,Toplantı!$B$12,Başvuru!$D:$D,$A$45)))</f>
        <v>0</v>
      </c>
      <c r="K45" s="177">
        <f>IF($A45="","",IF($A4="","",COUNTIFS(Başvuru!$I:$I,Toplantı!$B$13,Başvuru!$D:$D,$A$45)))</f>
        <v>0</v>
      </c>
      <c r="L45" s="177">
        <f>IF($A45="","",IF($A4="","",COUNTIFS(Başvuru!$I:$I,Toplantı!$B$14,Başvuru!$D:$D,$A$45)))</f>
        <v>0</v>
      </c>
      <c r="M45" s="177">
        <f>IF($A45="","",IF($A4="","",COUNTIFS(Başvuru!$I:$I,Toplantı!$B$15,Başvuru!$D:$D,$A$45)))</f>
        <v>0</v>
      </c>
      <c r="N45" s="177">
        <f>IF($A45="","",IF($A4="","",COUNTIFS(Başvuru!$I:$I,Toplantı!$B$16,Başvuru!$D:$D,$A$45)))</f>
        <v>0</v>
      </c>
      <c r="O45" s="177">
        <f>IF($A45="","",IF($A4="","",COUNTIFS(Başvuru!$I:$I,Toplantı!$B$17,Başvuru!$D:$D,$A$45)))</f>
        <v>1</v>
      </c>
      <c r="P45" s="177">
        <f>IF($A45="","",IF($A4="","",COUNTIFS(Başvuru!$I:$I,Toplantı!$B$18,Başvuru!$D:$D,$A$45)))</f>
        <v>0</v>
      </c>
      <c r="Q45" s="177">
        <f>IF($A45="","",IF($A4="","",COUNTIFS(Başvuru!$I:$I,Toplantı!$B$19,Başvuru!$D:$D,$A$45)))</f>
        <v>0</v>
      </c>
      <c r="R45" s="177">
        <f>IF($A45="","",IF($A4="","",COUNTIFS(Başvuru!$I:$I,Toplantı!$B$20,Başvuru!$D:$D,$A$45)))</f>
        <v>0</v>
      </c>
      <c r="S45" s="178">
        <f t="shared" si="1"/>
        <v>3</v>
      </c>
    </row>
    <row r="46" spans="1:19" x14ac:dyDescent="0.25">
      <c r="A46" s="176" t="str">
        <f>IF(Birim!C48="","",Birim!C48)</f>
        <v>Tıbbi Biyokimya Anabilim Dalı</v>
      </c>
      <c r="B46" s="177">
        <f>IF($A46="","",IF($A4="","",COUNTIFS(Başvuru!$I:$I,Toplantı!$B$4,Başvuru!$D:$D,$A$46)))</f>
        <v>0</v>
      </c>
      <c r="C46" s="177">
        <f>IF($A46="","",IF($A4="","",COUNTIFS(Başvuru!$I:$I,Toplantı!$B$5,Başvuru!$D:$D,$A$46)))</f>
        <v>0</v>
      </c>
      <c r="D46" s="177">
        <f>IF($A46="","",IF($A4="","",COUNTIFS(Başvuru!$I:$I,Toplantı!$B$6,Başvuru!$D:$D,$A$46)))</f>
        <v>0</v>
      </c>
      <c r="E46" s="177">
        <f>IF($A46="","",IF($A4="","",COUNTIFS(Başvuru!$I:$I,Toplantı!$B$7,Başvuru!$D:$D,$A$46)))</f>
        <v>0</v>
      </c>
      <c r="F46" s="177">
        <f>IF($A46="","",IF($A4="","",COUNTIFS(Başvuru!$I:$I,Toplantı!$B$8,Başvuru!$D:$D,$A$46)))</f>
        <v>0</v>
      </c>
      <c r="G46" s="177">
        <f>IF($A46="","",IF($A4="","",COUNTIFS(Başvuru!$I:$I,Toplantı!$B$9,Başvuru!$D:$D,$A$46)))</f>
        <v>0</v>
      </c>
      <c r="H46" s="177">
        <f>IF($A46="","",IF($A4="","",COUNTIFS(Başvuru!$I:$I,Toplantı!$B$10,Başvuru!$D:$D,$A$46)))</f>
        <v>0</v>
      </c>
      <c r="I46" s="177">
        <f>IF($A46="","",IF($A4="","",COUNTIFS(Başvuru!$I:$I,Toplantı!$B$11,Başvuru!$D:$D,$A$46)))</f>
        <v>1</v>
      </c>
      <c r="J46" s="177">
        <f>IF($A46="","",IF($A4="","",COUNTIFS(Başvuru!$I:$I,Toplantı!$B$12,Başvuru!$D:$D,$A$46)))</f>
        <v>0</v>
      </c>
      <c r="K46" s="177">
        <f>IF($A46="","",IF($A4="","",COUNTIFS(Başvuru!$I:$I,Toplantı!$B$13,Başvuru!$D:$D,$A$46)))</f>
        <v>1</v>
      </c>
      <c r="L46" s="177">
        <f>IF($A46="","",IF($A4="","",COUNTIFS(Başvuru!$I:$I,Toplantı!$B$14,Başvuru!$D:$D,$A$46)))</f>
        <v>1</v>
      </c>
      <c r="M46" s="177">
        <f>IF($A46="","",IF($A4="","",COUNTIFS(Başvuru!$I:$I,Toplantı!$B$15,Başvuru!$D:$D,$A$46)))</f>
        <v>0</v>
      </c>
      <c r="N46" s="177">
        <f>IF($A46="","",IF($A4="","",COUNTIFS(Başvuru!$I:$I,Toplantı!$B$16,Başvuru!$D:$D,$A$46)))</f>
        <v>0</v>
      </c>
      <c r="O46" s="177">
        <f>IF($A46="","",IF($A4="","",COUNTIFS(Başvuru!$I:$I,Toplantı!$B$17,Başvuru!$D:$D,$A$46)))</f>
        <v>0</v>
      </c>
      <c r="P46" s="177">
        <f>IF($A46="","",IF($A4="","",COUNTIFS(Başvuru!$I:$I,Toplantı!$B$18,Başvuru!$D:$D,$A$46)))</f>
        <v>0</v>
      </c>
      <c r="Q46" s="177">
        <f>IF($A46="","",IF($A4="","",COUNTIFS(Başvuru!$I:$I,Toplantı!$B$19,Başvuru!$D:$D,$A$46)))</f>
        <v>0</v>
      </c>
      <c r="R46" s="177">
        <f>IF($A46="","",IF($A4="","",COUNTIFS(Başvuru!$I:$I,Toplantı!$B$20,Başvuru!$D:$D,$A$46)))</f>
        <v>0</v>
      </c>
      <c r="S46" s="178">
        <f t="shared" si="1"/>
        <v>3</v>
      </c>
    </row>
    <row r="47" spans="1:19" x14ac:dyDescent="0.25">
      <c r="A47" s="176" t="str">
        <f>IF(Birim!C49="","",Birim!C49)</f>
        <v>Biyofizik Anabilim Dalı</v>
      </c>
      <c r="B47" s="177">
        <f>IF($A47="","",IF($A4="","",COUNTIFS(Başvuru!$I:$I,Toplantı!$B$4,Başvuru!$D:$D,$A$47)))</f>
        <v>0</v>
      </c>
      <c r="C47" s="177">
        <f>IF($A47="","",IF($A4="","",COUNTIFS(Başvuru!$I:$I,Toplantı!$B$5,Başvuru!$D:$D,$A$47)))</f>
        <v>0</v>
      </c>
      <c r="D47" s="177">
        <f>IF($A47="","",IF($A4="","",COUNTIFS(Başvuru!$I:$I,Toplantı!$B$6,Başvuru!$D:$D,$A$47)))</f>
        <v>0</v>
      </c>
      <c r="E47" s="177">
        <f>IF($A47="","",IF($A4="","",COUNTIFS(Başvuru!$I:$I,Toplantı!$B$7,Başvuru!$D:$D,$A$47)))</f>
        <v>0</v>
      </c>
      <c r="F47" s="177">
        <f>IF($A47="","",IF($A4="","",COUNTIFS(Başvuru!$I:$I,Toplantı!$B$8,Başvuru!$D:$D,$A$47)))</f>
        <v>0</v>
      </c>
      <c r="G47" s="177">
        <f>IF($A47="","",IF($A4="","",COUNTIFS(Başvuru!$I:$I,Toplantı!$B$9,Başvuru!$D:$D,$A$47)))</f>
        <v>0</v>
      </c>
      <c r="H47" s="177">
        <f>IF($A47="","",IF($A4="","",COUNTIFS(Başvuru!$I:$I,Toplantı!$B$10,Başvuru!$D:$D,$A$47)))</f>
        <v>0</v>
      </c>
      <c r="I47" s="177">
        <f>IF($A47="","",IF($A4="","",COUNTIFS(Başvuru!$I:$I,Toplantı!$B$11,Başvuru!$D:$D,$A$47)))</f>
        <v>0</v>
      </c>
      <c r="J47" s="177">
        <f>IF($A47="","",IF($A4="","",COUNTIFS(Başvuru!$I:$I,Toplantı!$B$12,Başvuru!$D:$D,$A$47)))</f>
        <v>1</v>
      </c>
      <c r="K47" s="177">
        <f>IF($A47="","",IF($A4="","",COUNTIFS(Başvuru!$I:$I,Toplantı!$B$13,Başvuru!$D:$D,$A$47)))</f>
        <v>0</v>
      </c>
      <c r="L47" s="177">
        <f>IF($A47="","",IF($A4="","",COUNTIFS(Başvuru!$I:$I,Toplantı!$B$14,Başvuru!$D:$D,$A$47)))</f>
        <v>0</v>
      </c>
      <c r="M47" s="177">
        <f>IF($A47="","",IF($A4="","",COUNTIFS(Başvuru!$I:$I,Toplantı!$B$15,Başvuru!$D:$D,$A$47)))</f>
        <v>0</v>
      </c>
      <c r="N47" s="177">
        <f>IF($A47="","",IF($A4="","",COUNTIFS(Başvuru!$I:$I,Toplantı!$B$16,Başvuru!$D:$D,$A$47)))</f>
        <v>0</v>
      </c>
      <c r="O47" s="177">
        <f>IF($A47="","",IF($A4="","",COUNTIFS(Başvuru!$I:$I,Toplantı!$B$17,Başvuru!$D:$D,$A$47)))</f>
        <v>1</v>
      </c>
      <c r="P47" s="177">
        <f>IF($A47="","",IF($A4="","",COUNTIFS(Başvuru!$I:$I,Toplantı!$B$18,Başvuru!$D:$D,$A$47)))</f>
        <v>0</v>
      </c>
      <c r="Q47" s="177">
        <f>IF($A47="","",IF($A4="","",COUNTIFS(Başvuru!$I:$I,Toplantı!$B$19,Başvuru!$D:$D,$A$47)))</f>
        <v>1</v>
      </c>
      <c r="R47" s="177">
        <f>IF($A47="","",IF($A4="","",COUNTIFS(Başvuru!$I:$I,Toplantı!$B$20,Başvuru!$D:$D,$A$47)))</f>
        <v>0</v>
      </c>
      <c r="S47" s="178">
        <f t="shared" si="1"/>
        <v>3</v>
      </c>
    </row>
    <row r="48" spans="1:19" x14ac:dyDescent="0.25">
      <c r="A48" s="176" t="str">
        <f>IF(Birim!C50="","",Birim!C50)</f>
        <v>Beyin ve Sinir Cerrahisi Anabilim Dalı</v>
      </c>
      <c r="B48" s="177">
        <f>IF($A48="","",IF($A4="","",COUNTIFS(Başvuru!$I:$I,Toplantı!$B$4,Başvuru!$D:$D,$A$48)))</f>
        <v>0</v>
      </c>
      <c r="C48" s="177">
        <f>IF($A48="","",IF($A4="","",COUNTIFS(Başvuru!$I:$I,Toplantı!$B$5,Başvuru!$D:$D,$A$48)))</f>
        <v>0</v>
      </c>
      <c r="D48" s="177">
        <f>IF($A48="","",IF($A4="","",COUNTIFS(Başvuru!$I:$I,Toplantı!$B$6,Başvuru!$D:$D,$A$48)))</f>
        <v>0</v>
      </c>
      <c r="E48" s="177">
        <f>IF($A48="","",IF($A4="","",COUNTIFS(Başvuru!$I:$I,Toplantı!$B$7,Başvuru!$D:$D,$A$48)))</f>
        <v>0</v>
      </c>
      <c r="F48" s="177">
        <f>IF($A48="","",IF($A4="","",COUNTIFS(Başvuru!$I:$I,Toplantı!$B$8,Başvuru!$D:$D,$A$48)))</f>
        <v>0</v>
      </c>
      <c r="G48" s="177">
        <f>IF($A48="","",IF($A4="","",COUNTIFS(Başvuru!$I:$I,Toplantı!$B$9,Başvuru!$D:$D,$A$48)))</f>
        <v>0</v>
      </c>
      <c r="H48" s="177">
        <f>IF($A48="","",IF($A4="","",COUNTIFS(Başvuru!$I:$I,Toplantı!$B$10,Başvuru!$D:$D,$A$48)))</f>
        <v>0</v>
      </c>
      <c r="I48" s="177">
        <f>IF($A48="","",IF($A4="","",COUNTIFS(Başvuru!$I:$I,Toplantı!$B$11,Başvuru!$D:$D,$A$48)))</f>
        <v>0</v>
      </c>
      <c r="J48" s="177">
        <f>IF($A48="","",IF($A4="","",COUNTIFS(Başvuru!$I:$I,Toplantı!$B$12,Başvuru!$D:$D,$A$48)))</f>
        <v>0</v>
      </c>
      <c r="K48" s="177">
        <f>IF($A48="","",IF($A4="","",COUNTIFS(Başvuru!$I:$I,Toplantı!$B$13,Başvuru!$D:$D,$A$48)))</f>
        <v>0</v>
      </c>
      <c r="L48" s="177">
        <f>IF($A48="","",IF($A4="","",COUNTIFS(Başvuru!$I:$I,Toplantı!$B$14,Başvuru!$D:$D,$A$48)))</f>
        <v>0</v>
      </c>
      <c r="M48" s="177">
        <f>IF($A48="","",IF($A4="","",COUNTIFS(Başvuru!$I:$I,Toplantı!$B$15,Başvuru!$D:$D,$A$48)))</f>
        <v>2</v>
      </c>
      <c r="N48" s="177">
        <f>IF($A48="","",IF($A4="","",COUNTIFS(Başvuru!$I:$I,Toplantı!$B$16,Başvuru!$D:$D,$A$48)))</f>
        <v>0</v>
      </c>
      <c r="O48" s="177">
        <f>IF($A48="","",IF($A4="","",COUNTIFS(Başvuru!$I:$I,Toplantı!$B$17,Başvuru!$D:$D,$A$48)))</f>
        <v>0</v>
      </c>
      <c r="P48" s="177">
        <f>IF($A48="","",IF($A4="","",COUNTIFS(Başvuru!$I:$I,Toplantı!$B$18,Başvuru!$D:$D,$A$48)))</f>
        <v>1</v>
      </c>
      <c r="Q48" s="177">
        <f>IF($A48="","",IF($A4="","",COUNTIFS(Başvuru!$I:$I,Toplantı!$B$19,Başvuru!$D:$D,$A$48)))</f>
        <v>0</v>
      </c>
      <c r="R48" s="177">
        <f>IF($A48="","",IF($A4="","",COUNTIFS(Başvuru!$I:$I,Toplantı!$B$20,Başvuru!$D:$D,$A$48)))</f>
        <v>0</v>
      </c>
      <c r="S48" s="178">
        <f t="shared" si="1"/>
        <v>3</v>
      </c>
    </row>
    <row r="49" spans="1:19" ht="24" customHeight="1" x14ac:dyDescent="0.25">
      <c r="A49" s="176" t="str">
        <f>IF(Birim!C51="","",Birim!C51)</f>
        <v>Lokman Hekim Üniversitesi
Sağlık Hizmetleri Meslek Yüksekokulu</v>
      </c>
      <c r="B49" s="177">
        <f>IF($A49="","",IF($A4="","",COUNTIFS(Başvuru!$I:$I,Toplantı!$B$4,Başvuru!$D:$D,$A$49)))</f>
        <v>1</v>
      </c>
      <c r="C49" s="177">
        <f>IF($A49="","",IF($A4="","",COUNTIFS(Başvuru!$I:$I,Toplantı!$B$5,Başvuru!$D:$D,$A$49)))</f>
        <v>0</v>
      </c>
      <c r="D49" s="177">
        <f>IF($A49="","",IF($A4="","",COUNTIFS(Başvuru!$I:$I,Toplantı!$B$6,Başvuru!$D:$D,$A$49)))</f>
        <v>0</v>
      </c>
      <c r="E49" s="177">
        <f>IF($A49="","",IF($A4="","",COUNTIFS(Başvuru!$I:$I,Toplantı!$B$7,Başvuru!$D:$D,$A$49)))</f>
        <v>0</v>
      </c>
      <c r="F49" s="177">
        <f>IF($A49="","",IF($A4="","",COUNTIFS(Başvuru!$I:$I,Toplantı!$B$8,Başvuru!$D:$D,$A$49)))</f>
        <v>0</v>
      </c>
      <c r="G49" s="177">
        <f>IF($A49="","",IF($A4="","",COUNTIFS(Başvuru!$I:$I,Toplantı!$B$9,Başvuru!$D:$D,$A$49)))</f>
        <v>0</v>
      </c>
      <c r="H49" s="177">
        <f>IF($A49="","",IF($A4="","",COUNTIFS(Başvuru!$I:$I,Toplantı!$B$10,Başvuru!$D:$D,$A$49)))</f>
        <v>0</v>
      </c>
      <c r="I49" s="177">
        <f>IF($A49="","",IF($A4="","",COUNTIFS(Başvuru!$I:$I,Toplantı!$B$11,Başvuru!$D:$D,$A$49)))</f>
        <v>1</v>
      </c>
      <c r="J49" s="177">
        <f>IF($A49="","",IF($A4="","",COUNTIFS(Başvuru!$I:$I,Toplantı!$B$12,Başvuru!$D:$D,$A$49)))</f>
        <v>0</v>
      </c>
      <c r="K49" s="177">
        <f>IF($A49="","",IF($A4="","",COUNTIFS(Başvuru!$I:$I,Toplantı!$B$13,Başvuru!$D:$D,$A$49)))</f>
        <v>0</v>
      </c>
      <c r="L49" s="177">
        <f>IF($A49="","",IF($A4="","",COUNTIFS(Başvuru!$I:$I,Toplantı!$B$14,Başvuru!$D:$D,$A$49)))</f>
        <v>0</v>
      </c>
      <c r="M49" s="177">
        <f>IF($A49="","",IF($A4="","",COUNTIFS(Başvuru!$I:$I,Toplantı!$B$15,Başvuru!$D:$D,$A$49)))</f>
        <v>0</v>
      </c>
      <c r="N49" s="177">
        <f>IF($A49="","",IF($A4="","",COUNTIFS(Başvuru!$I:$I,Toplantı!$B$16,Başvuru!$D:$D,$A$49)))</f>
        <v>0</v>
      </c>
      <c r="O49" s="177">
        <f>IF($A49="","",IF($A4="","",COUNTIFS(Başvuru!$I:$I,Toplantı!$B$17,Başvuru!$D:$D,$A$49)))</f>
        <v>0</v>
      </c>
      <c r="P49" s="177">
        <f>IF($A49="","",IF($A4="","",COUNTIFS(Başvuru!$I:$I,Toplantı!$B$18,Başvuru!$D:$D,$A$49)))</f>
        <v>0</v>
      </c>
      <c r="Q49" s="177">
        <f>IF($A49="","",IF($A4="","",COUNTIFS(Başvuru!$I:$I,Toplantı!$B$19,Başvuru!$D:$D,$A$49)))</f>
        <v>0</v>
      </c>
      <c r="R49" s="177">
        <f>IF($A49="","",IF($A4="","",COUNTIFS(Başvuru!$I:$I,Toplantı!$B$20,Başvuru!$D:$D,$A$49)))</f>
        <v>0</v>
      </c>
      <c r="S49" s="178">
        <f t="shared" si="1"/>
        <v>2</v>
      </c>
    </row>
    <row r="50" spans="1:19" x14ac:dyDescent="0.25">
      <c r="A50" s="176" t="str">
        <f>IF(Birim!C52="","",Birim!C52)</f>
        <v>Tıbbi Mikrobiyoloji Anabilim Dalı</v>
      </c>
      <c r="B50" s="177">
        <f>IF($A50="","",IF($A4="","",COUNTIFS(Başvuru!$I:$I,Toplantı!$B$4,Başvuru!$D:$D,$A$50)))</f>
        <v>1</v>
      </c>
      <c r="C50" s="177">
        <f>IF($A50="","",IF($A4="","",COUNTIFS(Başvuru!$I:$I,Toplantı!$B$5,Başvuru!$D:$D,$A$50)))</f>
        <v>0</v>
      </c>
      <c r="D50" s="177">
        <f>IF($A50="","",IF($A4="","",COUNTIFS(Başvuru!$I:$I,Toplantı!$B$6,Başvuru!$D:$D,$A$50)))</f>
        <v>0</v>
      </c>
      <c r="E50" s="177">
        <f>IF($A50="","",IF($A4="","",COUNTIFS(Başvuru!$I:$I,Toplantı!$B$7,Başvuru!$D:$D,$A$50)))</f>
        <v>0</v>
      </c>
      <c r="F50" s="177">
        <f>IF($A50="","",IF($A4="","",COUNTIFS(Başvuru!$I:$I,Toplantı!$B$8,Başvuru!$D:$D,$A$50)))</f>
        <v>0</v>
      </c>
      <c r="G50" s="177">
        <f>IF($A50="","",IF($A4="","",COUNTIFS(Başvuru!$I:$I,Toplantı!$B$9,Başvuru!$D:$D,$A$50)))</f>
        <v>0</v>
      </c>
      <c r="H50" s="177">
        <f>IF($A50="","",IF($A4="","",COUNTIFS(Başvuru!$I:$I,Toplantı!$B$10,Başvuru!$D:$D,$A$50)))</f>
        <v>0</v>
      </c>
      <c r="I50" s="177">
        <f>IF($A50="","",IF($A4="","",COUNTIFS(Başvuru!$I:$I,Toplantı!$B$11,Başvuru!$D:$D,$A$50)))</f>
        <v>0</v>
      </c>
      <c r="J50" s="177">
        <f>IF($A50="","",IF($A4="","",COUNTIFS(Başvuru!$I:$I,Toplantı!$B$12,Başvuru!$D:$D,$A$50)))</f>
        <v>0</v>
      </c>
      <c r="K50" s="177">
        <f>IF($A50="","",IF($A4="","",COUNTIFS(Başvuru!$I:$I,Toplantı!$B$13,Başvuru!$D:$D,$A$50)))</f>
        <v>0</v>
      </c>
      <c r="L50" s="177">
        <f>IF($A50="","",IF($A4="","",COUNTIFS(Başvuru!$I:$I,Toplantı!$B$14,Başvuru!$D:$D,$A$50)))</f>
        <v>0</v>
      </c>
      <c r="M50" s="177">
        <f>IF($A50="","",IF($A4="","",COUNTIFS(Başvuru!$I:$I,Toplantı!$B$15,Başvuru!$D:$D,$A$50)))</f>
        <v>1</v>
      </c>
      <c r="N50" s="177">
        <f>IF($A50="","",IF($A4="","",COUNTIFS(Başvuru!$I:$I,Toplantı!$B$16,Başvuru!$D:$D,$A$50)))</f>
        <v>0</v>
      </c>
      <c r="O50" s="177">
        <f>IF($A50="","",IF($A4="","",COUNTIFS(Başvuru!$I:$I,Toplantı!$B$17,Başvuru!$D:$D,$A$50)))</f>
        <v>0</v>
      </c>
      <c r="P50" s="177">
        <f>IF($A50="","",IF($A4="","",COUNTIFS(Başvuru!$I:$I,Toplantı!$B$18,Başvuru!$D:$D,$A$50)))</f>
        <v>0</v>
      </c>
      <c r="Q50" s="177">
        <f>IF($A50="","",IF($A4="","",COUNTIFS(Başvuru!$I:$I,Toplantı!$B$19,Başvuru!$D:$D,$A$50)))</f>
        <v>0</v>
      </c>
      <c r="R50" s="177">
        <f>IF($A50="","",IF($A4="","",COUNTIFS(Başvuru!$I:$I,Toplantı!$B$20,Başvuru!$D:$D,$A$50)))</f>
        <v>0</v>
      </c>
      <c r="S50" s="178">
        <f t="shared" si="1"/>
        <v>2</v>
      </c>
    </row>
    <row r="51" spans="1:19" x14ac:dyDescent="0.25">
      <c r="A51" s="176" t="str">
        <f>IF(Birim!C53="","",Birim!C53)</f>
        <v>Farmasötik Toksikoloji Anabilim Dalı</v>
      </c>
      <c r="B51" s="177">
        <f>IF($A51="","",IF($A4="","",COUNTIFS(Başvuru!$I:$I,Toplantı!$B$4,Başvuru!$D:$D,$A$51)))</f>
        <v>0</v>
      </c>
      <c r="C51" s="177">
        <f>IF($A51="","",IF($A4="","",COUNTIFS(Başvuru!$I:$I,Toplantı!$B$5,Başvuru!$D:$D,$A$51)))</f>
        <v>1</v>
      </c>
      <c r="D51" s="177">
        <f>IF($A51="","",IF($A4="","",COUNTIFS(Başvuru!$I:$I,Toplantı!$B$6,Başvuru!$D:$D,$A$51)))</f>
        <v>0</v>
      </c>
      <c r="E51" s="177">
        <f>IF($A51="","",IF($A4="","",COUNTIFS(Başvuru!$I:$I,Toplantı!$B$7,Başvuru!$D:$D,$A$51)))</f>
        <v>0</v>
      </c>
      <c r="F51" s="177">
        <f>IF($A51="","",IF($A4="","",COUNTIFS(Başvuru!$I:$I,Toplantı!$B$8,Başvuru!$D:$D,$A$51)))</f>
        <v>0</v>
      </c>
      <c r="G51" s="177">
        <f>IF($A51="","",IF($A4="","",COUNTIFS(Başvuru!$I:$I,Toplantı!$B$9,Başvuru!$D:$D,$A$51)))</f>
        <v>0</v>
      </c>
      <c r="H51" s="177">
        <f>IF($A51="","",IF($A4="","",COUNTIFS(Başvuru!$I:$I,Toplantı!$B$10,Başvuru!$D:$D,$A$51)))</f>
        <v>0</v>
      </c>
      <c r="I51" s="177">
        <f>IF($A51="","",IF($A4="","",COUNTIFS(Başvuru!$I:$I,Toplantı!$B$11,Başvuru!$D:$D,$A$51)))</f>
        <v>0</v>
      </c>
      <c r="J51" s="177">
        <f>IF($A51="","",IF($A4="","",COUNTIFS(Başvuru!$I:$I,Toplantı!$B$12,Başvuru!$D:$D,$A$51)))</f>
        <v>0</v>
      </c>
      <c r="K51" s="177">
        <f>IF($A51="","",IF($A4="","",COUNTIFS(Başvuru!$I:$I,Toplantı!$B$13,Başvuru!$D:$D,$A$51)))</f>
        <v>0</v>
      </c>
      <c r="L51" s="177">
        <f>IF($A51="","",IF($A4="","",COUNTIFS(Başvuru!$I:$I,Toplantı!$B$14,Başvuru!$D:$D,$A$51)))</f>
        <v>1</v>
      </c>
      <c r="M51" s="177">
        <f>IF($A51="","",IF($A4="","",COUNTIFS(Başvuru!$I:$I,Toplantı!$B$15,Başvuru!$D:$D,$A$51)))</f>
        <v>0</v>
      </c>
      <c r="N51" s="177">
        <f>IF($A51="","",IF($A4="","",COUNTIFS(Başvuru!$I:$I,Toplantı!$B$16,Başvuru!$D:$D,$A$51)))</f>
        <v>0</v>
      </c>
      <c r="O51" s="177">
        <f>IF($A51="","",IF($A4="","",COUNTIFS(Başvuru!$I:$I,Toplantı!$B$17,Başvuru!$D:$D,$A$51)))</f>
        <v>0</v>
      </c>
      <c r="P51" s="177">
        <f>IF($A51="","",IF($A4="","",COUNTIFS(Başvuru!$I:$I,Toplantı!$B$18,Başvuru!$D:$D,$A$51)))</f>
        <v>0</v>
      </c>
      <c r="Q51" s="177">
        <f>IF($A51="","",IF($A4="","",COUNTIFS(Başvuru!$I:$I,Toplantı!$B$19,Başvuru!$D:$D,$A$51)))</f>
        <v>0</v>
      </c>
      <c r="R51" s="177">
        <f>IF($A51="","",IF($A4="","",COUNTIFS(Başvuru!$I:$I,Toplantı!$B$20,Başvuru!$D:$D,$A$51)))</f>
        <v>0</v>
      </c>
      <c r="S51" s="178">
        <f t="shared" si="1"/>
        <v>2</v>
      </c>
    </row>
    <row r="52" spans="1:19" x14ac:dyDescent="0.25">
      <c r="A52" s="176" t="str">
        <f>IF(Birim!C54="","",Birim!C54)</f>
        <v>Farmasötik Mikrobiyoloji Anabilim Dalı</v>
      </c>
      <c r="B52" s="177">
        <f>IF($A52="","",IF($A4="","",COUNTIFS(Başvuru!$I:$I,Toplantı!$B$4,Başvuru!$D:$D,$A$52)))</f>
        <v>0</v>
      </c>
      <c r="C52" s="177">
        <f>IF($A52="","",IF($A4="","",COUNTIFS(Başvuru!$I:$I,Toplantı!$B$5,Başvuru!$D:$D,$A$52)))</f>
        <v>0</v>
      </c>
      <c r="D52" s="177">
        <f>IF($A52="","",IF($A4="","",COUNTIFS(Başvuru!$I:$I,Toplantı!$B$6,Başvuru!$D:$D,$A$52)))</f>
        <v>1</v>
      </c>
      <c r="E52" s="177">
        <f>IF($A52="","",IF($A4="","",COUNTIFS(Başvuru!$I:$I,Toplantı!$B$7,Başvuru!$D:$D,$A$52)))</f>
        <v>0</v>
      </c>
      <c r="F52" s="177">
        <f>IF($A52="","",IF($A4="","",COUNTIFS(Başvuru!$I:$I,Toplantı!$B$8,Başvuru!$D:$D,$A$52)))</f>
        <v>0</v>
      </c>
      <c r="G52" s="177">
        <f>IF($A52="","",IF($A4="","",COUNTIFS(Başvuru!$I:$I,Toplantı!$B$9,Başvuru!$D:$D,$A$52)))</f>
        <v>0</v>
      </c>
      <c r="H52" s="177">
        <f>IF($A52="","",IF($A4="","",COUNTIFS(Başvuru!$I:$I,Toplantı!$B$10,Başvuru!$D:$D,$A$52)))</f>
        <v>0</v>
      </c>
      <c r="I52" s="177">
        <f>IF($A52="","",IF($A4="","",COUNTIFS(Başvuru!$I:$I,Toplantı!$B$11,Başvuru!$D:$D,$A$52)))</f>
        <v>0</v>
      </c>
      <c r="J52" s="177">
        <f>IF($A52="","",IF($A4="","",COUNTIFS(Başvuru!$I:$I,Toplantı!$B$12,Başvuru!$D:$D,$A$52)))</f>
        <v>1</v>
      </c>
      <c r="K52" s="177">
        <f>IF($A52="","",IF($A4="","",COUNTIFS(Başvuru!$I:$I,Toplantı!$B$13,Başvuru!$D:$D,$A$52)))</f>
        <v>0</v>
      </c>
      <c r="L52" s="177">
        <f>IF($A52="","",IF($A4="","",COUNTIFS(Başvuru!$I:$I,Toplantı!$B$14,Başvuru!$D:$D,$A$52)))</f>
        <v>0</v>
      </c>
      <c r="M52" s="177">
        <f>IF($A52="","",IF($A4="","",COUNTIFS(Başvuru!$I:$I,Toplantı!$B$15,Başvuru!$D:$D,$A$52)))</f>
        <v>0</v>
      </c>
      <c r="N52" s="177">
        <f>IF($A52="","",IF($A4="","",COUNTIFS(Başvuru!$I:$I,Toplantı!$B$16,Başvuru!$D:$D,$A$52)))</f>
        <v>0</v>
      </c>
      <c r="O52" s="177">
        <f>IF($A52="","",IF($A4="","",COUNTIFS(Başvuru!$I:$I,Toplantı!$B$17,Başvuru!$D:$D,$A$52)))</f>
        <v>0</v>
      </c>
      <c r="P52" s="177">
        <f>IF($A52="","",IF($A4="","",COUNTIFS(Başvuru!$I:$I,Toplantı!$B$18,Başvuru!$D:$D,$A$52)))</f>
        <v>0</v>
      </c>
      <c r="Q52" s="177">
        <f>IF($A52="","",IF($A4="","",COUNTIFS(Başvuru!$I:$I,Toplantı!$B$19,Başvuru!$D:$D,$A$52)))</f>
        <v>0</v>
      </c>
      <c r="R52" s="177">
        <f>IF($A52="","",IF($A4="","",COUNTIFS(Başvuru!$I:$I,Toplantı!$B$20,Başvuru!$D:$D,$A$52)))</f>
        <v>0</v>
      </c>
      <c r="S52" s="178">
        <f t="shared" si="1"/>
        <v>2</v>
      </c>
    </row>
    <row r="53" spans="1:19" ht="36" customHeight="1" x14ac:dyDescent="0.25">
      <c r="A53" s="176" t="str">
        <f>IF(Birim!C55="","",Birim!C55)</f>
        <v>Gülhane Sağlık Bilimleri Üniversitesi
Hemşirelik Fakültesi
Doğum ve Kadın Hastalıkları Hemşireliği Anabilim Dalı</v>
      </c>
      <c r="B53" s="177">
        <f>IF($A53="","",IF($A4="","",COUNTIFS(Başvuru!$I:$I,Toplantı!$B$4,Başvuru!$D:$D,$A$53)))</f>
        <v>0</v>
      </c>
      <c r="C53" s="177">
        <f>IF($A53="","",IF($A4="","",COUNTIFS(Başvuru!$I:$I,Toplantı!$B$5,Başvuru!$D:$D,$A$53)))</f>
        <v>0</v>
      </c>
      <c r="D53" s="177">
        <f>IF($A53="","",IF($A4="","",COUNTIFS(Başvuru!$I:$I,Toplantı!$B$6,Başvuru!$D:$D,$A$53)))</f>
        <v>0</v>
      </c>
      <c r="E53" s="177">
        <f>IF($A53="","",IF($A4="","",COUNTIFS(Başvuru!$I:$I,Toplantı!$B$7,Başvuru!$D:$D,$A$53)))</f>
        <v>1</v>
      </c>
      <c r="F53" s="177">
        <f>IF($A53="","",IF($A4="","",COUNTIFS(Başvuru!$I:$I,Toplantı!$B$8,Başvuru!$D:$D,$A$53)))</f>
        <v>0</v>
      </c>
      <c r="G53" s="177">
        <f>IF($A53="","",IF($A4="","",COUNTIFS(Başvuru!$I:$I,Toplantı!$B$9,Başvuru!$D:$D,$A$53)))</f>
        <v>0</v>
      </c>
      <c r="H53" s="177">
        <f>IF($A53="","",IF($A4="","",COUNTIFS(Başvuru!$I:$I,Toplantı!$B$10,Başvuru!$D:$D,$A$53)))</f>
        <v>0</v>
      </c>
      <c r="I53" s="177">
        <f>IF($A53="","",IF($A4="","",COUNTIFS(Başvuru!$I:$I,Toplantı!$B$11,Başvuru!$D:$D,$A$53)))</f>
        <v>0</v>
      </c>
      <c r="J53" s="177">
        <f>IF($A53="","",IF($A4="","",COUNTIFS(Başvuru!$I:$I,Toplantı!$B$12,Başvuru!$D:$D,$A$53)))</f>
        <v>1</v>
      </c>
      <c r="K53" s="177">
        <f>IF($A53="","",IF($A4="","",COUNTIFS(Başvuru!$I:$I,Toplantı!$B$13,Başvuru!$D:$D,$A$53)))</f>
        <v>0</v>
      </c>
      <c r="L53" s="177">
        <f>IF($A53="","",IF($A4="","",COUNTIFS(Başvuru!$I:$I,Toplantı!$B$14,Başvuru!$D:$D,$A$53)))</f>
        <v>0</v>
      </c>
      <c r="M53" s="177">
        <f>IF($A53="","",IF($A4="","",COUNTIFS(Başvuru!$I:$I,Toplantı!$B$15,Başvuru!$D:$D,$A$53)))</f>
        <v>0</v>
      </c>
      <c r="N53" s="177">
        <f>IF($A53="","",IF($A4="","",COUNTIFS(Başvuru!$I:$I,Toplantı!$B$16,Başvuru!$D:$D,$A$53)))</f>
        <v>0</v>
      </c>
      <c r="O53" s="177">
        <f>IF($A53="","",IF($A4="","",COUNTIFS(Başvuru!$I:$I,Toplantı!$B$17,Başvuru!$D:$D,$A$53)))</f>
        <v>0</v>
      </c>
      <c r="P53" s="177">
        <f>IF($A53="","",IF($A4="","",COUNTIFS(Başvuru!$I:$I,Toplantı!$B$18,Başvuru!$D:$D,$A$53)))</f>
        <v>0</v>
      </c>
      <c r="Q53" s="177">
        <f>IF($A53="","",IF($A4="","",COUNTIFS(Başvuru!$I:$I,Toplantı!$B$19,Başvuru!$D:$D,$A$53)))</f>
        <v>0</v>
      </c>
      <c r="R53" s="177">
        <f>IF($A53="","",IF($A4="","",COUNTIFS(Başvuru!$I:$I,Toplantı!$B$20,Başvuru!$D:$D,$A$53)))</f>
        <v>0</v>
      </c>
      <c r="S53" s="178">
        <f t="shared" si="1"/>
        <v>2</v>
      </c>
    </row>
    <row r="54" spans="1:19" x14ac:dyDescent="0.25">
      <c r="A54" s="176" t="str">
        <f>IF(Birim!C56="","",Birim!C56)</f>
        <v>Fizyoloji Anabilim Dalı</v>
      </c>
      <c r="B54" s="177">
        <f>IF($A54="","",IF($A4="","",COUNTIFS(Başvuru!$I:$I,Toplantı!$B$4,Başvuru!$D:$D,$A$54)))</f>
        <v>0</v>
      </c>
      <c r="C54" s="177">
        <f>IF($A54="","",IF($A4="","",COUNTIFS(Başvuru!$I:$I,Toplantı!$B$5,Başvuru!$D:$D,$A$54)))</f>
        <v>0</v>
      </c>
      <c r="D54" s="177">
        <f>IF($A54="","",IF($A4="","",COUNTIFS(Başvuru!$I:$I,Toplantı!$B$6,Başvuru!$D:$D,$A$54)))</f>
        <v>0</v>
      </c>
      <c r="E54" s="177">
        <f>IF($A54="","",IF($A4="","",COUNTIFS(Başvuru!$I:$I,Toplantı!$B$7,Başvuru!$D:$D,$A$54)))</f>
        <v>1</v>
      </c>
      <c r="F54" s="177">
        <f>IF($A54="","",IF($A4="","",COUNTIFS(Başvuru!$I:$I,Toplantı!$B$8,Başvuru!$D:$D,$A$54)))</f>
        <v>0</v>
      </c>
      <c r="G54" s="177">
        <f>IF($A54="","",IF($A4="","",COUNTIFS(Başvuru!$I:$I,Toplantı!$B$9,Başvuru!$D:$D,$A$54)))</f>
        <v>0</v>
      </c>
      <c r="H54" s="177">
        <f>IF($A54="","",IF($A4="","",COUNTIFS(Başvuru!$I:$I,Toplantı!$B$10,Başvuru!$D:$D,$A$54)))</f>
        <v>0</v>
      </c>
      <c r="I54" s="177">
        <f>IF($A54="","",IF($A4="","",COUNTIFS(Başvuru!$I:$I,Toplantı!$B$11,Başvuru!$D:$D,$A$54)))</f>
        <v>0</v>
      </c>
      <c r="J54" s="177">
        <f>IF($A54="","",IF($A4="","",COUNTIFS(Başvuru!$I:$I,Toplantı!$B$12,Başvuru!$D:$D,$A$54)))</f>
        <v>0</v>
      </c>
      <c r="K54" s="177">
        <f>IF($A54="","",IF($A4="","",COUNTIFS(Başvuru!$I:$I,Toplantı!$B$13,Başvuru!$D:$D,$A$54)))</f>
        <v>0</v>
      </c>
      <c r="L54" s="177">
        <f>IF($A54="","",IF($A4="","",COUNTIFS(Başvuru!$I:$I,Toplantı!$B$14,Başvuru!$D:$D,$A$54)))</f>
        <v>0</v>
      </c>
      <c r="M54" s="177">
        <f>IF($A54="","",IF($A4="","",COUNTIFS(Başvuru!$I:$I,Toplantı!$B$15,Başvuru!$D:$D,$A$54)))</f>
        <v>0</v>
      </c>
      <c r="N54" s="177">
        <f>IF($A54="","",IF($A4="","",COUNTIFS(Başvuru!$I:$I,Toplantı!$B$16,Başvuru!$D:$D,$A$54)))</f>
        <v>1</v>
      </c>
      <c r="O54" s="177">
        <f>IF($A54="","",IF($A4="","",COUNTIFS(Başvuru!$I:$I,Toplantı!$B$17,Başvuru!$D:$D,$A$54)))</f>
        <v>0</v>
      </c>
      <c r="P54" s="177">
        <f>IF($A54="","",IF($A4="","",COUNTIFS(Başvuru!$I:$I,Toplantı!$B$18,Başvuru!$D:$D,$A$54)))</f>
        <v>0</v>
      </c>
      <c r="Q54" s="177">
        <f>IF($A54="","",IF($A4="","",COUNTIFS(Başvuru!$I:$I,Toplantı!$B$19,Başvuru!$D:$D,$A$54)))</f>
        <v>0</v>
      </c>
      <c r="R54" s="177">
        <f>IF($A54="","",IF($A4="","",COUNTIFS(Başvuru!$I:$I,Toplantı!$B$20,Başvuru!$D:$D,$A$54)))</f>
        <v>0</v>
      </c>
      <c r="S54" s="178">
        <f t="shared" si="1"/>
        <v>2</v>
      </c>
    </row>
    <row r="55" spans="1:19" x14ac:dyDescent="0.25">
      <c r="A55" s="176" t="str">
        <f>IF(Birim!C57="","",Birim!C57)</f>
        <v>Biyoistatistik Anabilim Dalı</v>
      </c>
      <c r="B55" s="177">
        <f>IF($A55="","",IF($A4="","",COUNTIFS(Başvuru!$I:$I,Toplantı!$B$4,Başvuru!$D:$D,$A$55)))</f>
        <v>0</v>
      </c>
      <c r="C55" s="177">
        <f>IF($A55="","",IF($A4="","",COUNTIFS(Başvuru!$I:$I,Toplantı!$B$5,Başvuru!$D:$D,$A$55)))</f>
        <v>0</v>
      </c>
      <c r="D55" s="177">
        <f>IF($A55="","",IF($A4="","",COUNTIFS(Başvuru!$I:$I,Toplantı!$B$6,Başvuru!$D:$D,$A$55)))</f>
        <v>0</v>
      </c>
      <c r="E55" s="177">
        <f>IF($A55="","",IF($A4="","",COUNTIFS(Başvuru!$I:$I,Toplantı!$B$7,Başvuru!$D:$D,$A$55)))</f>
        <v>0</v>
      </c>
      <c r="F55" s="177">
        <f>IF($A55="","",IF($A4="","",COUNTIFS(Başvuru!$I:$I,Toplantı!$B$8,Başvuru!$D:$D,$A$55)))</f>
        <v>1</v>
      </c>
      <c r="G55" s="177">
        <f>IF($A55="","",IF($A4="","",COUNTIFS(Başvuru!$I:$I,Toplantı!$B$9,Başvuru!$D:$D,$A$55)))</f>
        <v>0</v>
      </c>
      <c r="H55" s="177">
        <f>IF($A55="","",IF($A4="","",COUNTIFS(Başvuru!$I:$I,Toplantı!$B$10,Başvuru!$D:$D,$A$55)))</f>
        <v>0</v>
      </c>
      <c r="I55" s="177">
        <f>IF($A55="","",IF($A4="","",COUNTIFS(Başvuru!$I:$I,Toplantı!$B$11,Başvuru!$D:$D,$A$55)))</f>
        <v>0</v>
      </c>
      <c r="J55" s="177">
        <f>IF($A55="","",IF($A4="","",COUNTIFS(Başvuru!$I:$I,Toplantı!$B$12,Başvuru!$D:$D,$A$55)))</f>
        <v>1</v>
      </c>
      <c r="K55" s="177">
        <f>IF($A55="","",IF($A4="","",COUNTIFS(Başvuru!$I:$I,Toplantı!$B$13,Başvuru!$D:$D,$A$55)))</f>
        <v>0</v>
      </c>
      <c r="L55" s="177">
        <f>IF($A55="","",IF($A4="","",COUNTIFS(Başvuru!$I:$I,Toplantı!$B$14,Başvuru!$D:$D,$A$55)))</f>
        <v>0</v>
      </c>
      <c r="M55" s="177">
        <f>IF($A55="","",IF($A4="","",COUNTIFS(Başvuru!$I:$I,Toplantı!$B$15,Başvuru!$D:$D,$A$55)))</f>
        <v>0</v>
      </c>
      <c r="N55" s="177">
        <f>IF($A55="","",IF($A4="","",COUNTIFS(Başvuru!$I:$I,Toplantı!$B$16,Başvuru!$D:$D,$A$55)))</f>
        <v>0</v>
      </c>
      <c r="O55" s="177">
        <f>IF($A55="","",IF($A4="","",COUNTIFS(Başvuru!$I:$I,Toplantı!$B$17,Başvuru!$D:$D,$A$55)))</f>
        <v>0</v>
      </c>
      <c r="P55" s="177">
        <f>IF($A55="","",IF($A4="","",COUNTIFS(Başvuru!$I:$I,Toplantı!$B$18,Başvuru!$D:$D,$A$55)))</f>
        <v>0</v>
      </c>
      <c r="Q55" s="177">
        <f>IF($A55="","",IF($A4="","",COUNTIFS(Başvuru!$I:$I,Toplantı!$B$19,Başvuru!$D:$D,$A$55)))</f>
        <v>0</v>
      </c>
      <c r="R55" s="177">
        <f>IF($A55="","",IF($A4="","",COUNTIFS(Başvuru!$I:$I,Toplantı!$B$20,Başvuru!$D:$D,$A$55)))</f>
        <v>0</v>
      </c>
      <c r="S55" s="178">
        <f t="shared" si="1"/>
        <v>2</v>
      </c>
    </row>
    <row r="56" spans="1:19" x14ac:dyDescent="0.25">
      <c r="A56" s="176" t="str">
        <f>IF(Birim!C58="","",Birim!C58)</f>
        <v>Gıda Bilimleri Anabilim Dalı</v>
      </c>
      <c r="B56" s="177">
        <f>IF($A56="","",IF($A4="","",COUNTIFS(Başvuru!$I:$I,Toplantı!$B$4,Başvuru!$D:$D,$A$56)))</f>
        <v>0</v>
      </c>
      <c r="C56" s="177">
        <f>IF($A56="","",IF($A4="","",COUNTIFS(Başvuru!$I:$I,Toplantı!$B$5,Başvuru!$D:$D,$A$56)))</f>
        <v>0</v>
      </c>
      <c r="D56" s="177">
        <f>IF($A56="","",IF($A4="","",COUNTIFS(Başvuru!$I:$I,Toplantı!$B$6,Başvuru!$D:$D,$A$56)))</f>
        <v>0</v>
      </c>
      <c r="E56" s="177">
        <f>IF($A56="","",IF($A4="","",COUNTIFS(Başvuru!$I:$I,Toplantı!$B$7,Başvuru!$D:$D,$A$56)))</f>
        <v>0</v>
      </c>
      <c r="F56" s="177">
        <f>IF($A56="","",IF($A4="","",COUNTIFS(Başvuru!$I:$I,Toplantı!$B$8,Başvuru!$D:$D,$A$56)))</f>
        <v>1</v>
      </c>
      <c r="G56" s="177">
        <f>IF($A56="","",IF($A4="","",COUNTIFS(Başvuru!$I:$I,Toplantı!$B$9,Başvuru!$D:$D,$A$56)))</f>
        <v>0</v>
      </c>
      <c r="H56" s="177">
        <f>IF($A56="","",IF($A4="","",COUNTIFS(Başvuru!$I:$I,Toplantı!$B$10,Başvuru!$D:$D,$A$56)))</f>
        <v>1</v>
      </c>
      <c r="I56" s="177">
        <f>IF($A56="","",IF($A4="","",COUNTIFS(Başvuru!$I:$I,Toplantı!$B$11,Başvuru!$D:$D,$A$56)))</f>
        <v>0</v>
      </c>
      <c r="J56" s="177">
        <f>IF($A56="","",IF($A4="","",COUNTIFS(Başvuru!$I:$I,Toplantı!$B$12,Başvuru!$D:$D,$A$56)))</f>
        <v>0</v>
      </c>
      <c r="K56" s="177">
        <f>IF($A56="","",IF($A4="","",COUNTIFS(Başvuru!$I:$I,Toplantı!$B$13,Başvuru!$D:$D,$A$56)))</f>
        <v>0</v>
      </c>
      <c r="L56" s="177">
        <f>IF($A56="","",IF($A4="","",COUNTIFS(Başvuru!$I:$I,Toplantı!$B$14,Başvuru!$D:$D,$A$56)))</f>
        <v>0</v>
      </c>
      <c r="M56" s="177">
        <f>IF($A56="","",IF($A4="","",COUNTIFS(Başvuru!$I:$I,Toplantı!$B$15,Başvuru!$D:$D,$A$56)))</f>
        <v>0</v>
      </c>
      <c r="N56" s="177">
        <f>IF($A56="","",IF($A4="","",COUNTIFS(Başvuru!$I:$I,Toplantı!$B$16,Başvuru!$D:$D,$A$56)))</f>
        <v>0</v>
      </c>
      <c r="O56" s="177">
        <f>IF($A56="","",IF($A4="","",COUNTIFS(Başvuru!$I:$I,Toplantı!$B$17,Başvuru!$D:$D,$A$56)))</f>
        <v>0</v>
      </c>
      <c r="P56" s="177">
        <f>IF($A56="","",IF($A4="","",COUNTIFS(Başvuru!$I:$I,Toplantı!$B$18,Başvuru!$D:$D,$A$56)))</f>
        <v>0</v>
      </c>
      <c r="Q56" s="177">
        <f>IF($A56="","",IF($A4="","",COUNTIFS(Başvuru!$I:$I,Toplantı!$B$19,Başvuru!$D:$D,$A$56)))</f>
        <v>0</v>
      </c>
      <c r="R56" s="177">
        <f>IF($A56="","",IF($A4="","",COUNTIFS(Başvuru!$I:$I,Toplantı!$B$20,Başvuru!$D:$D,$A$56)))</f>
        <v>0</v>
      </c>
      <c r="S56" s="178">
        <f t="shared" si="1"/>
        <v>2</v>
      </c>
    </row>
    <row r="57" spans="1:19" x14ac:dyDescent="0.25">
      <c r="A57" s="176" t="str">
        <f>IF(Birim!C59="","",Birim!C59)</f>
        <v>Adli Tıp Anabilim Dalı</v>
      </c>
      <c r="B57" s="177">
        <f>IF($A57="","",IF($A4="","",COUNTIFS(Başvuru!$I:$I,Toplantı!$B$4,Başvuru!$D:$D,$A$57)))</f>
        <v>0</v>
      </c>
      <c r="C57" s="177">
        <f>IF($A57="","",IF($A4="","",COUNTIFS(Başvuru!$I:$I,Toplantı!$B$5,Başvuru!$D:$D,$A$57)))</f>
        <v>0</v>
      </c>
      <c r="D57" s="177">
        <f>IF($A57="","",IF($A4="","",COUNTIFS(Başvuru!$I:$I,Toplantı!$B$6,Başvuru!$D:$D,$A$57)))</f>
        <v>0</v>
      </c>
      <c r="E57" s="177">
        <f>IF($A57="","",IF($A4="","",COUNTIFS(Başvuru!$I:$I,Toplantı!$B$7,Başvuru!$D:$D,$A$57)))</f>
        <v>0</v>
      </c>
      <c r="F57" s="177">
        <f>IF($A57="","",IF($A4="","",COUNTIFS(Başvuru!$I:$I,Toplantı!$B$8,Başvuru!$D:$D,$A$57)))</f>
        <v>0</v>
      </c>
      <c r="G57" s="177">
        <f>IF($A57="","",IF($A4="","",COUNTIFS(Başvuru!$I:$I,Toplantı!$B$9,Başvuru!$D:$D,$A$57)))</f>
        <v>1</v>
      </c>
      <c r="H57" s="177">
        <f>IF($A57="","",IF($A4="","",COUNTIFS(Başvuru!$I:$I,Toplantı!$B$10,Başvuru!$D:$D,$A$57)))</f>
        <v>0</v>
      </c>
      <c r="I57" s="177">
        <f>IF($A57="","",IF($A4="","",COUNTIFS(Başvuru!$I:$I,Toplantı!$B$11,Başvuru!$D:$D,$A$57)))</f>
        <v>0</v>
      </c>
      <c r="J57" s="177">
        <f>IF($A57="","",IF($A4="","",COUNTIFS(Başvuru!$I:$I,Toplantı!$B$12,Başvuru!$D:$D,$A$57)))</f>
        <v>0</v>
      </c>
      <c r="K57" s="177">
        <f>IF($A57="","",IF($A4="","",COUNTIFS(Başvuru!$I:$I,Toplantı!$B$13,Başvuru!$D:$D,$A$57)))</f>
        <v>0</v>
      </c>
      <c r="L57" s="177">
        <f>IF($A57="","",IF($A4="","",COUNTIFS(Başvuru!$I:$I,Toplantı!$B$14,Başvuru!$D:$D,$A$57)))</f>
        <v>0</v>
      </c>
      <c r="M57" s="177">
        <f>IF($A57="","",IF($A4="","",COUNTIFS(Başvuru!$I:$I,Toplantı!$B$15,Başvuru!$D:$D,$A$57)))</f>
        <v>0</v>
      </c>
      <c r="N57" s="177">
        <f>IF($A57="","",IF($A4="","",COUNTIFS(Başvuru!$I:$I,Toplantı!$B$16,Başvuru!$D:$D,$A$57)))</f>
        <v>1</v>
      </c>
      <c r="O57" s="177">
        <f>IF($A57="","",IF($A4="","",COUNTIFS(Başvuru!$I:$I,Toplantı!$B$17,Başvuru!$D:$D,$A$57)))</f>
        <v>0</v>
      </c>
      <c r="P57" s="177">
        <f>IF($A57="","",IF($A4="","",COUNTIFS(Başvuru!$I:$I,Toplantı!$B$18,Başvuru!$D:$D,$A$57)))</f>
        <v>0</v>
      </c>
      <c r="Q57" s="177">
        <f>IF($A57="","",IF($A4="","",COUNTIFS(Başvuru!$I:$I,Toplantı!$B$19,Başvuru!$D:$D,$A$57)))</f>
        <v>0</v>
      </c>
      <c r="R57" s="177">
        <f>IF($A57="","",IF($A4="","",COUNTIFS(Başvuru!$I:$I,Toplantı!$B$20,Başvuru!$D:$D,$A$57)))</f>
        <v>0</v>
      </c>
      <c r="S57" s="178">
        <f t="shared" si="1"/>
        <v>2</v>
      </c>
    </row>
    <row r="58" spans="1:19" x14ac:dyDescent="0.25">
      <c r="A58" s="176" t="str">
        <f>IF(Birim!C60="","",Birim!C60)</f>
        <v>Genel Cerrahi Anabilim Dalı</v>
      </c>
      <c r="B58" s="177">
        <f>IF($A58="","",IF($A4="","",COUNTIFS(Başvuru!$I:$I,Toplantı!$B$4,Başvuru!$D:$D,$A$58)))</f>
        <v>0</v>
      </c>
      <c r="C58" s="177">
        <f>IF($A58="","",IF($A4="","",COUNTIFS(Başvuru!$I:$I,Toplantı!$B$5,Başvuru!$D:$D,$A$58)))</f>
        <v>0</v>
      </c>
      <c r="D58" s="177">
        <f>IF($A58="","",IF($A4="","",COUNTIFS(Başvuru!$I:$I,Toplantı!$B$6,Başvuru!$D:$D,$A$58)))</f>
        <v>0</v>
      </c>
      <c r="E58" s="177">
        <f>IF($A58="","",IF($A4="","",COUNTIFS(Başvuru!$I:$I,Toplantı!$B$7,Başvuru!$D:$D,$A$58)))</f>
        <v>0</v>
      </c>
      <c r="F58" s="177">
        <f>IF($A58="","",IF($A4="","",COUNTIFS(Başvuru!$I:$I,Toplantı!$B$8,Başvuru!$D:$D,$A$58)))</f>
        <v>0</v>
      </c>
      <c r="G58" s="177">
        <f>IF($A58="","",IF($A4="","",COUNTIFS(Başvuru!$I:$I,Toplantı!$B$9,Başvuru!$D:$D,$A$58)))</f>
        <v>0</v>
      </c>
      <c r="H58" s="177">
        <f>IF($A58="","",IF($A4="","",COUNTIFS(Başvuru!$I:$I,Toplantı!$B$10,Başvuru!$D:$D,$A$58)))</f>
        <v>0</v>
      </c>
      <c r="I58" s="177">
        <f>IF($A58="","",IF($A4="","",COUNTIFS(Başvuru!$I:$I,Toplantı!$B$11,Başvuru!$D:$D,$A$58)))</f>
        <v>0</v>
      </c>
      <c r="J58" s="177">
        <f>IF($A58="","",IF($A4="","",COUNTIFS(Başvuru!$I:$I,Toplantı!$B$12,Başvuru!$D:$D,$A$58)))</f>
        <v>1</v>
      </c>
      <c r="K58" s="177">
        <f>IF($A58="","",IF($A4="","",COUNTIFS(Başvuru!$I:$I,Toplantı!$B$13,Başvuru!$D:$D,$A$58)))</f>
        <v>0</v>
      </c>
      <c r="L58" s="177">
        <f>IF($A58="","",IF($A4="","",COUNTIFS(Başvuru!$I:$I,Toplantı!$B$14,Başvuru!$D:$D,$A$58)))</f>
        <v>0</v>
      </c>
      <c r="M58" s="177">
        <f>IF($A58="","",IF($A4="","",COUNTIFS(Başvuru!$I:$I,Toplantı!$B$15,Başvuru!$D:$D,$A$58)))</f>
        <v>0</v>
      </c>
      <c r="N58" s="177">
        <f>IF($A58="","",IF($A4="","",COUNTIFS(Başvuru!$I:$I,Toplantı!$B$16,Başvuru!$D:$D,$A$58)))</f>
        <v>0</v>
      </c>
      <c r="O58" s="177">
        <f>IF($A58="","",IF($A4="","",COUNTIFS(Başvuru!$I:$I,Toplantı!$B$17,Başvuru!$D:$D,$A$58)))</f>
        <v>0</v>
      </c>
      <c r="P58" s="177">
        <f>IF($A58="","",IF($A4="","",COUNTIFS(Başvuru!$I:$I,Toplantı!$B$18,Başvuru!$D:$D,$A$58)))</f>
        <v>0</v>
      </c>
      <c r="Q58" s="177">
        <f>IF($A58="","",IF($A4="","",COUNTIFS(Başvuru!$I:$I,Toplantı!$B$19,Başvuru!$D:$D,$A$58)))</f>
        <v>0</v>
      </c>
      <c r="R58" s="177">
        <f>IF($A58="","",IF($A4="","",COUNTIFS(Başvuru!$I:$I,Toplantı!$B$20,Başvuru!$D:$D,$A$58)))</f>
        <v>1</v>
      </c>
      <c r="S58" s="178">
        <f t="shared" si="1"/>
        <v>2</v>
      </c>
    </row>
    <row r="59" spans="1:19" x14ac:dyDescent="0.25">
      <c r="A59" s="176" t="str">
        <f>IF(Birim!C61="","",Birim!C61)</f>
        <v>Egzersizde Beslenme ve Metabolizma Anabilim Dalı</v>
      </c>
      <c r="B59" s="177">
        <f>IF($A59="","",IF($A4="","",COUNTIFS(Başvuru!$I:$I,Toplantı!$B$4,Başvuru!$D:$D,$A$59)))</f>
        <v>0</v>
      </c>
      <c r="C59" s="177">
        <f>IF($A59="","",IF($A4="","",COUNTIFS(Başvuru!$I:$I,Toplantı!$B$5,Başvuru!$D:$D,$A$59)))</f>
        <v>0</v>
      </c>
      <c r="D59" s="177">
        <f>IF($A59="","",IF($A4="","",COUNTIFS(Başvuru!$I:$I,Toplantı!$B$6,Başvuru!$D:$D,$A$59)))</f>
        <v>0</v>
      </c>
      <c r="E59" s="177">
        <f>IF($A59="","",IF($A4="","",COUNTIFS(Başvuru!$I:$I,Toplantı!$B$7,Başvuru!$D:$D,$A$59)))</f>
        <v>0</v>
      </c>
      <c r="F59" s="177">
        <f>IF($A59="","",IF($A4="","",COUNTIFS(Başvuru!$I:$I,Toplantı!$B$8,Başvuru!$D:$D,$A$59)))</f>
        <v>0</v>
      </c>
      <c r="G59" s="177">
        <f>IF($A59="","",IF($A4="","",COUNTIFS(Başvuru!$I:$I,Toplantı!$B$9,Başvuru!$D:$D,$A$59)))</f>
        <v>0</v>
      </c>
      <c r="H59" s="177">
        <f>IF($A59="","",IF($A4="","",COUNTIFS(Başvuru!$I:$I,Toplantı!$B$10,Başvuru!$D:$D,$A$59)))</f>
        <v>0</v>
      </c>
      <c r="I59" s="177">
        <f>IF($A59="","",IF($A4="","",COUNTIFS(Başvuru!$I:$I,Toplantı!$B$11,Başvuru!$D:$D,$A$59)))</f>
        <v>0</v>
      </c>
      <c r="J59" s="177">
        <f>IF($A59="","",IF($A4="","",COUNTIFS(Başvuru!$I:$I,Toplantı!$B$12,Başvuru!$D:$D,$A$59)))</f>
        <v>1</v>
      </c>
      <c r="K59" s="177">
        <f>IF($A59="","",IF($A4="","",COUNTIFS(Başvuru!$I:$I,Toplantı!$B$13,Başvuru!$D:$D,$A$59)))</f>
        <v>0</v>
      </c>
      <c r="L59" s="177">
        <f>IF($A59="","",IF($A4="","",COUNTIFS(Başvuru!$I:$I,Toplantı!$B$14,Başvuru!$D:$D,$A$59)))</f>
        <v>0</v>
      </c>
      <c r="M59" s="177">
        <f>IF($A59="","",IF($A4="","",COUNTIFS(Başvuru!$I:$I,Toplantı!$B$15,Başvuru!$D:$D,$A$59)))</f>
        <v>0</v>
      </c>
      <c r="N59" s="177">
        <f>IF($A59="","",IF($A4="","",COUNTIFS(Başvuru!$I:$I,Toplantı!$B$16,Başvuru!$D:$D,$A$59)))</f>
        <v>0</v>
      </c>
      <c r="O59" s="177">
        <f>IF($A59="","",IF($A4="","",COUNTIFS(Başvuru!$I:$I,Toplantı!$B$17,Başvuru!$D:$D,$A$59)))</f>
        <v>1</v>
      </c>
      <c r="P59" s="177">
        <f>IF($A59="","",IF($A4="","",COUNTIFS(Başvuru!$I:$I,Toplantı!$B$18,Başvuru!$D:$D,$A$59)))</f>
        <v>0</v>
      </c>
      <c r="Q59" s="177">
        <f>IF($A59="","",IF($A4="","",COUNTIFS(Başvuru!$I:$I,Toplantı!$B$19,Başvuru!$D:$D,$A$59)))</f>
        <v>0</v>
      </c>
      <c r="R59" s="177">
        <f>IF($A59="","",IF($A4="","",COUNTIFS(Başvuru!$I:$I,Toplantı!$B$20,Başvuru!$D:$D,$A$59)))</f>
        <v>0</v>
      </c>
      <c r="S59" s="178">
        <f t="shared" si="1"/>
        <v>2</v>
      </c>
    </row>
    <row r="60" spans="1:19" x14ac:dyDescent="0.25">
      <c r="A60" s="176" t="str">
        <f>IF(Birim!C62="","",Birim!C62)</f>
        <v>Kalp ve Damar Cerrahisi Anabilim Dalı</v>
      </c>
      <c r="B60" s="177">
        <f>IF($A60="","",IF($A4="","",COUNTIFS(Başvuru!$I:$I,Toplantı!$B$4,Başvuru!$D:$D,$A$60)))</f>
        <v>0</v>
      </c>
      <c r="C60" s="177">
        <f>IF($A60="","",IF($A4="","",COUNTIFS(Başvuru!$I:$I,Toplantı!$B$5,Başvuru!$D:$D,$A$60)))</f>
        <v>0</v>
      </c>
      <c r="D60" s="177">
        <f>IF($A60="","",IF($A4="","",COUNTIFS(Başvuru!$I:$I,Toplantı!$B$6,Başvuru!$D:$D,$A$60)))</f>
        <v>0</v>
      </c>
      <c r="E60" s="177">
        <f>IF($A60="","",IF($A4="","",COUNTIFS(Başvuru!$I:$I,Toplantı!$B$7,Başvuru!$D:$D,$A$60)))</f>
        <v>0</v>
      </c>
      <c r="F60" s="177">
        <f>IF($A60="","",IF($A4="","",COUNTIFS(Başvuru!$I:$I,Toplantı!$B$8,Başvuru!$D:$D,$A$60)))</f>
        <v>0</v>
      </c>
      <c r="G60" s="177">
        <f>IF($A60="","",IF($A4="","",COUNTIFS(Başvuru!$I:$I,Toplantı!$B$9,Başvuru!$D:$D,$A$60)))</f>
        <v>0</v>
      </c>
      <c r="H60" s="177">
        <f>IF($A60="","",IF($A4="","",COUNTIFS(Başvuru!$I:$I,Toplantı!$B$10,Başvuru!$D:$D,$A$60)))</f>
        <v>0</v>
      </c>
      <c r="I60" s="177">
        <f>IF($A60="","",IF($A4="","",COUNTIFS(Başvuru!$I:$I,Toplantı!$B$11,Başvuru!$D:$D,$A$60)))</f>
        <v>0</v>
      </c>
      <c r="J60" s="177">
        <f>IF($A60="","",IF($A4="","",COUNTIFS(Başvuru!$I:$I,Toplantı!$B$12,Başvuru!$D:$D,$A$60)))</f>
        <v>0</v>
      </c>
      <c r="K60" s="177">
        <f>IF($A60="","",IF($A4="","",COUNTIFS(Başvuru!$I:$I,Toplantı!$B$13,Başvuru!$D:$D,$A$60)))</f>
        <v>0</v>
      </c>
      <c r="L60" s="177">
        <f>IF($A60="","",IF($A4="","",COUNTIFS(Başvuru!$I:$I,Toplantı!$B$14,Başvuru!$D:$D,$A$60)))</f>
        <v>0</v>
      </c>
      <c r="M60" s="177">
        <f>IF($A60="","",IF($A4="","",COUNTIFS(Başvuru!$I:$I,Toplantı!$B$15,Başvuru!$D:$D,$A$60)))</f>
        <v>0</v>
      </c>
      <c r="N60" s="177">
        <f>IF($A60="","",IF($A4="","",COUNTIFS(Başvuru!$I:$I,Toplantı!$B$16,Başvuru!$D:$D,$A$60)))</f>
        <v>0</v>
      </c>
      <c r="O60" s="177">
        <f>IF($A60="","",IF($A4="","",COUNTIFS(Başvuru!$I:$I,Toplantı!$B$17,Başvuru!$D:$D,$A$60)))</f>
        <v>0</v>
      </c>
      <c r="P60" s="177">
        <f>IF($A60="","",IF($A4="","",COUNTIFS(Başvuru!$I:$I,Toplantı!$B$18,Başvuru!$D:$D,$A$60)))</f>
        <v>0</v>
      </c>
      <c r="Q60" s="177">
        <f>IF($A60="","",IF($A4="","",COUNTIFS(Başvuru!$I:$I,Toplantı!$B$19,Başvuru!$D:$D,$A$60)))</f>
        <v>2</v>
      </c>
      <c r="R60" s="177">
        <f>IF($A60="","",IF($A4="","",COUNTIFS(Başvuru!$I:$I,Toplantı!$B$20,Başvuru!$D:$D,$A$60)))</f>
        <v>0</v>
      </c>
      <c r="S60" s="178">
        <f t="shared" si="1"/>
        <v>2</v>
      </c>
    </row>
    <row r="61" spans="1:19" x14ac:dyDescent="0.25">
      <c r="A61" s="176" t="str">
        <f>IF(Birim!C63="","",Birim!C63)</f>
        <v>Sağlık Bilimleri Enstitüsü</v>
      </c>
      <c r="B61" s="177">
        <f>IF($A61="","",IF($A4="","",COUNTIFS(Başvuru!$I:$I,Toplantı!$B$4,Başvuru!$D:$D,$A$61)))</f>
        <v>1</v>
      </c>
      <c r="C61" s="177">
        <f>IF($A61="","",IF($A4="","",COUNTIFS(Başvuru!$I:$I,Toplantı!$B$5,Başvuru!$D:$D,$A$61)))</f>
        <v>0</v>
      </c>
      <c r="D61" s="177">
        <f>IF($A61="","",IF($A4="","",COUNTIFS(Başvuru!$I:$I,Toplantı!$B$6,Başvuru!$D:$D,$A$61)))</f>
        <v>0</v>
      </c>
      <c r="E61" s="177">
        <f>IF($A61="","",IF($A4="","",COUNTIFS(Başvuru!$I:$I,Toplantı!$B$7,Başvuru!$D:$D,$A$61)))</f>
        <v>0</v>
      </c>
      <c r="F61" s="177">
        <f>IF($A61="","",IF($A4="","",COUNTIFS(Başvuru!$I:$I,Toplantı!$B$8,Başvuru!$D:$D,$A$61)))</f>
        <v>0</v>
      </c>
      <c r="G61" s="177">
        <f>IF($A61="","",IF($A4="","",COUNTIFS(Başvuru!$I:$I,Toplantı!$B$9,Başvuru!$D:$D,$A$61)))</f>
        <v>0</v>
      </c>
      <c r="H61" s="177">
        <f>IF($A61="","",IF($A4="","",COUNTIFS(Başvuru!$I:$I,Toplantı!$B$10,Başvuru!$D:$D,$A$61)))</f>
        <v>0</v>
      </c>
      <c r="I61" s="177">
        <f>IF($A61="","",IF($A4="","",COUNTIFS(Başvuru!$I:$I,Toplantı!$B$11,Başvuru!$D:$D,$A$61)))</f>
        <v>0</v>
      </c>
      <c r="J61" s="177">
        <f>IF($A61="","",IF($A4="","",COUNTIFS(Başvuru!$I:$I,Toplantı!$B$12,Başvuru!$D:$D,$A$61)))</f>
        <v>0</v>
      </c>
      <c r="K61" s="177">
        <f>IF($A61="","",IF($A4="","",COUNTIFS(Başvuru!$I:$I,Toplantı!$B$13,Başvuru!$D:$D,$A$61)))</f>
        <v>0</v>
      </c>
      <c r="L61" s="177">
        <f>IF($A61="","",IF($A4="","",COUNTIFS(Başvuru!$I:$I,Toplantı!$B$14,Başvuru!$D:$D,$A$61)))</f>
        <v>0</v>
      </c>
      <c r="M61" s="177">
        <f>IF($A61="","",IF($A4="","",COUNTIFS(Başvuru!$I:$I,Toplantı!$B$15,Başvuru!$D:$D,$A$61)))</f>
        <v>0</v>
      </c>
      <c r="N61" s="177">
        <f>IF($A61="","",IF($A4="","",COUNTIFS(Başvuru!$I:$I,Toplantı!$B$16,Başvuru!$D:$D,$A$61)))</f>
        <v>0</v>
      </c>
      <c r="O61" s="177">
        <f>IF($A61="","",IF($A4="","",COUNTIFS(Başvuru!$I:$I,Toplantı!$B$17,Başvuru!$D:$D,$A$61)))</f>
        <v>0</v>
      </c>
      <c r="P61" s="177">
        <f>IF($A61="","",IF($A4="","",COUNTIFS(Başvuru!$I:$I,Toplantı!$B$18,Başvuru!$D:$D,$A$61)))</f>
        <v>0</v>
      </c>
      <c r="Q61" s="177">
        <f>IF($A61="","",IF($A4="","",COUNTIFS(Başvuru!$I:$I,Toplantı!$B$19,Başvuru!$D:$D,$A$61)))</f>
        <v>0</v>
      </c>
      <c r="R61" s="177">
        <f>IF($A61="","",IF($A4="","",COUNTIFS(Başvuru!$I:$I,Toplantı!$B$20,Başvuru!$D:$D,$A$61)))</f>
        <v>0</v>
      </c>
      <c r="S61" s="178">
        <f t="shared" si="1"/>
        <v>1</v>
      </c>
    </row>
    <row r="62" spans="1:19" x14ac:dyDescent="0.25">
      <c r="A62" s="176" t="str">
        <f>IF(Birim!C64="","",Birim!C64)</f>
        <v>Moleküler Biyoloji Anabilim Dalı</v>
      </c>
      <c r="B62" s="177">
        <f>IF($A62="","",IF($A4="","",COUNTIFS(Başvuru!$I:$I,Toplantı!$B$4,Başvuru!$D:$D,$A$62)))</f>
        <v>1</v>
      </c>
      <c r="C62" s="177">
        <f>IF($A62="","",IF($A4="","",COUNTIFS(Başvuru!$I:$I,Toplantı!$B$5,Başvuru!$D:$D,$A$62)))</f>
        <v>0</v>
      </c>
      <c r="D62" s="177">
        <f>IF($A62="","",IF($A4="","",COUNTIFS(Başvuru!$I:$I,Toplantı!$B$6,Başvuru!$D:$D,$A$62)))</f>
        <v>0</v>
      </c>
      <c r="E62" s="177">
        <f>IF($A62="","",IF($A4="","",COUNTIFS(Başvuru!$I:$I,Toplantı!$B$7,Başvuru!$D:$D,$A$62)))</f>
        <v>0</v>
      </c>
      <c r="F62" s="177">
        <f>IF($A62="","",IF($A4="","",COUNTIFS(Başvuru!$I:$I,Toplantı!$B$8,Başvuru!$D:$D,$A$62)))</f>
        <v>0</v>
      </c>
      <c r="G62" s="177">
        <f>IF($A62="","",IF($A4="","",COUNTIFS(Başvuru!$I:$I,Toplantı!$B$9,Başvuru!$D:$D,$A$62)))</f>
        <v>0</v>
      </c>
      <c r="H62" s="177">
        <f>IF($A62="","",IF($A4="","",COUNTIFS(Başvuru!$I:$I,Toplantı!$B$10,Başvuru!$D:$D,$A$62)))</f>
        <v>0</v>
      </c>
      <c r="I62" s="177">
        <f>IF($A62="","",IF($A4="","",COUNTIFS(Başvuru!$I:$I,Toplantı!$B$11,Başvuru!$D:$D,$A$62)))</f>
        <v>0</v>
      </c>
      <c r="J62" s="177">
        <f>IF($A62="","",IF($A4="","",COUNTIFS(Başvuru!$I:$I,Toplantı!$B$12,Başvuru!$D:$D,$A$62)))</f>
        <v>0</v>
      </c>
      <c r="K62" s="177">
        <f>IF($A62="","",IF($A4="","",COUNTIFS(Başvuru!$I:$I,Toplantı!$B$13,Başvuru!$D:$D,$A$62)))</f>
        <v>0</v>
      </c>
      <c r="L62" s="177">
        <f>IF($A62="","",IF($A4="","",COUNTIFS(Başvuru!$I:$I,Toplantı!$B$14,Başvuru!$D:$D,$A$62)))</f>
        <v>0</v>
      </c>
      <c r="M62" s="177">
        <f>IF($A62="","",IF($A4="","",COUNTIFS(Başvuru!$I:$I,Toplantı!$B$15,Başvuru!$D:$D,$A$62)))</f>
        <v>0</v>
      </c>
      <c r="N62" s="177">
        <f>IF($A62="","",IF($A4="","",COUNTIFS(Başvuru!$I:$I,Toplantı!$B$16,Başvuru!$D:$D,$A$62)))</f>
        <v>0</v>
      </c>
      <c r="O62" s="177">
        <f>IF($A62="","",IF($A4="","",COUNTIFS(Başvuru!$I:$I,Toplantı!$B$17,Başvuru!$D:$D,$A$62)))</f>
        <v>0</v>
      </c>
      <c r="P62" s="177">
        <f>IF($A62="","",IF($A4="","",COUNTIFS(Başvuru!$I:$I,Toplantı!$B$18,Başvuru!$D:$D,$A$62)))</f>
        <v>0</v>
      </c>
      <c r="Q62" s="177">
        <f>IF($A62="","",IF($A4="","",COUNTIFS(Başvuru!$I:$I,Toplantı!$B$19,Başvuru!$D:$D,$A$62)))</f>
        <v>0</v>
      </c>
      <c r="R62" s="177">
        <f>IF($A62="","",IF($A4="","",COUNTIFS(Başvuru!$I:$I,Toplantı!$B$20,Başvuru!$D:$D,$A$62)))</f>
        <v>0</v>
      </c>
      <c r="S62" s="178">
        <f t="shared" si="1"/>
        <v>1</v>
      </c>
    </row>
    <row r="63" spans="1:19" x14ac:dyDescent="0.25">
      <c r="A63" s="176" t="str">
        <f>IF(Birim!C65="","",Birim!C65)</f>
        <v>Fizikokimya Anabilim Dalı</v>
      </c>
      <c r="B63" s="177">
        <f>IF($A63="","",IF($A4="","",COUNTIFS(Başvuru!$I:$I,Toplantı!$B$4,Başvuru!$D:$D,$A$63)))</f>
        <v>1</v>
      </c>
      <c r="C63" s="177">
        <f>IF($A63="","",IF($A4="","",COUNTIFS(Başvuru!$I:$I,Toplantı!$B$5,Başvuru!$D:$D,$A$63)))</f>
        <v>0</v>
      </c>
      <c r="D63" s="177">
        <f>IF($A63="","",IF($A4="","",COUNTIFS(Başvuru!$I:$I,Toplantı!$B$6,Başvuru!$D:$D,$A$63)))</f>
        <v>0</v>
      </c>
      <c r="E63" s="177">
        <f>IF($A63="","",IF($A4="","",COUNTIFS(Başvuru!$I:$I,Toplantı!$B$7,Başvuru!$D:$D,$A$63)))</f>
        <v>0</v>
      </c>
      <c r="F63" s="177">
        <f>IF($A63="","",IF($A4="","",COUNTIFS(Başvuru!$I:$I,Toplantı!$B$8,Başvuru!$D:$D,$A$63)))</f>
        <v>0</v>
      </c>
      <c r="G63" s="177">
        <f>IF($A63="","",IF($A4="","",COUNTIFS(Başvuru!$I:$I,Toplantı!$B$9,Başvuru!$D:$D,$A$63)))</f>
        <v>0</v>
      </c>
      <c r="H63" s="177">
        <f>IF($A63="","",IF($A4="","",COUNTIFS(Başvuru!$I:$I,Toplantı!$B$10,Başvuru!$D:$D,$A$63)))</f>
        <v>0</v>
      </c>
      <c r="I63" s="177">
        <f>IF($A63="","",IF($A4="","",COUNTIFS(Başvuru!$I:$I,Toplantı!$B$11,Başvuru!$D:$D,$A$63)))</f>
        <v>0</v>
      </c>
      <c r="J63" s="177">
        <f>IF($A63="","",IF($A4="","",COUNTIFS(Başvuru!$I:$I,Toplantı!$B$12,Başvuru!$D:$D,$A$63)))</f>
        <v>0</v>
      </c>
      <c r="K63" s="177">
        <f>IF($A63="","",IF($A4="","",COUNTIFS(Başvuru!$I:$I,Toplantı!$B$13,Başvuru!$D:$D,$A$63)))</f>
        <v>0</v>
      </c>
      <c r="L63" s="177">
        <f>IF($A63="","",IF($A4="","",COUNTIFS(Başvuru!$I:$I,Toplantı!$B$14,Başvuru!$D:$D,$A$63)))</f>
        <v>0</v>
      </c>
      <c r="M63" s="177">
        <f>IF($A63="","",IF($A4="","",COUNTIFS(Başvuru!$I:$I,Toplantı!$B$15,Başvuru!$D:$D,$A$63)))</f>
        <v>0</v>
      </c>
      <c r="N63" s="177">
        <f>IF($A63="","",IF($A4="","",COUNTIFS(Başvuru!$I:$I,Toplantı!$B$16,Başvuru!$D:$D,$A$63)))</f>
        <v>0</v>
      </c>
      <c r="O63" s="177">
        <f>IF($A63="","",IF($A4="","",COUNTIFS(Başvuru!$I:$I,Toplantı!$B$17,Başvuru!$D:$D,$A$63)))</f>
        <v>0</v>
      </c>
      <c r="P63" s="177">
        <f>IF($A63="","",IF($A4="","",COUNTIFS(Başvuru!$I:$I,Toplantı!$B$18,Başvuru!$D:$D,$A$63)))</f>
        <v>0</v>
      </c>
      <c r="Q63" s="177">
        <f>IF($A63="","",IF($A4="","",COUNTIFS(Başvuru!$I:$I,Toplantı!$B$19,Başvuru!$D:$D,$A$63)))</f>
        <v>0</v>
      </c>
      <c r="R63" s="177">
        <f>IF($A63="","",IF($A4="","",COUNTIFS(Başvuru!$I:$I,Toplantı!$B$20,Başvuru!$D:$D,$A$63)))</f>
        <v>0</v>
      </c>
      <c r="S63" s="178">
        <f t="shared" si="1"/>
        <v>1</v>
      </c>
    </row>
    <row r="64" spans="1:19" x14ac:dyDescent="0.25">
      <c r="A64" s="176" t="str">
        <f>IF(Birim!C66="","",Birim!C66)</f>
        <v>Sağlık Araştırmaları Anabilim Dalı</v>
      </c>
      <c r="B64" s="177">
        <f>IF($A64="","",IF($A4="","",COUNTIFS(Başvuru!$I:$I,Toplantı!$B$4,Başvuru!$D:$D,$A$64)))</f>
        <v>1</v>
      </c>
      <c r="C64" s="177">
        <f>IF($A64="","",IF($A4="","",COUNTIFS(Başvuru!$I:$I,Toplantı!$B$5,Başvuru!$D:$D,$A$64)))</f>
        <v>0</v>
      </c>
      <c r="D64" s="177">
        <f>IF($A64="","",IF($A4="","",COUNTIFS(Başvuru!$I:$I,Toplantı!$B$6,Başvuru!$D:$D,$A$64)))</f>
        <v>0</v>
      </c>
      <c r="E64" s="177">
        <f>IF($A64="","",IF($A4="","",COUNTIFS(Başvuru!$I:$I,Toplantı!$B$7,Başvuru!$D:$D,$A$64)))</f>
        <v>0</v>
      </c>
      <c r="F64" s="177">
        <f>IF($A64="","",IF($A4="","",COUNTIFS(Başvuru!$I:$I,Toplantı!$B$8,Başvuru!$D:$D,$A$64)))</f>
        <v>0</v>
      </c>
      <c r="G64" s="177">
        <f>IF($A64="","",IF($A4="","",COUNTIFS(Başvuru!$I:$I,Toplantı!$B$9,Başvuru!$D:$D,$A$64)))</f>
        <v>0</v>
      </c>
      <c r="H64" s="177">
        <f>IF($A64="","",IF($A4="","",COUNTIFS(Başvuru!$I:$I,Toplantı!$B$10,Başvuru!$D:$D,$A$64)))</f>
        <v>0</v>
      </c>
      <c r="I64" s="177">
        <f>IF($A64="","",IF($A4="","",COUNTIFS(Başvuru!$I:$I,Toplantı!$B$11,Başvuru!$D:$D,$A$64)))</f>
        <v>0</v>
      </c>
      <c r="J64" s="177">
        <f>IF($A64="","",IF($A4="","",COUNTIFS(Başvuru!$I:$I,Toplantı!$B$12,Başvuru!$D:$D,$A$64)))</f>
        <v>0</v>
      </c>
      <c r="K64" s="177">
        <f>IF($A64="","",IF($A4="","",COUNTIFS(Başvuru!$I:$I,Toplantı!$B$13,Başvuru!$D:$D,$A$64)))</f>
        <v>0</v>
      </c>
      <c r="L64" s="177">
        <f>IF($A64="","",IF($A4="","",COUNTIFS(Başvuru!$I:$I,Toplantı!$B$14,Başvuru!$D:$D,$A$64)))</f>
        <v>0</v>
      </c>
      <c r="M64" s="177">
        <f>IF($A64="","",IF($A4="","",COUNTIFS(Başvuru!$I:$I,Toplantı!$B$15,Başvuru!$D:$D,$A$64)))</f>
        <v>0</v>
      </c>
      <c r="N64" s="177">
        <f>IF($A64="","",IF($A4="","",COUNTIFS(Başvuru!$I:$I,Toplantı!$B$16,Başvuru!$D:$D,$A$64)))</f>
        <v>0</v>
      </c>
      <c r="O64" s="177">
        <f>IF($A64="","",IF($A4="","",COUNTIFS(Başvuru!$I:$I,Toplantı!$B$17,Başvuru!$D:$D,$A$64)))</f>
        <v>0</v>
      </c>
      <c r="P64" s="177">
        <f>IF($A64="","",IF($A4="","",COUNTIFS(Başvuru!$I:$I,Toplantı!$B$18,Başvuru!$D:$D,$A$64)))</f>
        <v>0</v>
      </c>
      <c r="Q64" s="177">
        <f>IF($A64="","",IF($A4="","",COUNTIFS(Başvuru!$I:$I,Toplantı!$B$19,Başvuru!$D:$D,$A$64)))</f>
        <v>0</v>
      </c>
      <c r="R64" s="177">
        <f>IF($A64="","",IF($A4="","",COUNTIFS(Başvuru!$I:$I,Toplantı!$B$20,Başvuru!$D:$D,$A$64)))</f>
        <v>0</v>
      </c>
      <c r="S64" s="178">
        <f t="shared" si="1"/>
        <v>1</v>
      </c>
    </row>
    <row r="65" spans="1:19" x14ac:dyDescent="0.25">
      <c r="A65" s="176" t="str">
        <f>IF(Birim!C67="","",Birim!C67)</f>
        <v>Barcelona Institute for Global Health</v>
      </c>
      <c r="B65" s="177">
        <f>IF($A65="","",IF($A4="","",COUNTIFS(Başvuru!$I:$I,Toplantı!$B$4,Başvuru!$D:$D,$A$65)))</f>
        <v>0</v>
      </c>
      <c r="C65" s="177">
        <f>IF($A65="","",IF($A4="","",COUNTIFS(Başvuru!$I:$I,Toplantı!$B$5,Başvuru!$D:$D,$A$65)))</f>
        <v>1</v>
      </c>
      <c r="D65" s="177">
        <f>IF($A65="","",IF($A4="","",COUNTIFS(Başvuru!$I:$I,Toplantı!$B$6,Başvuru!$D:$D,$A$65)))</f>
        <v>0</v>
      </c>
      <c r="E65" s="177">
        <f>IF($A65="","",IF($A4="","",COUNTIFS(Başvuru!$I:$I,Toplantı!$B$7,Başvuru!$D:$D,$A$65)))</f>
        <v>0</v>
      </c>
      <c r="F65" s="177">
        <f>IF($A65="","",IF($A4="","",COUNTIFS(Başvuru!$I:$I,Toplantı!$B$8,Başvuru!$D:$D,$A$65)))</f>
        <v>0</v>
      </c>
      <c r="G65" s="177">
        <f>IF($A65="","",IF($A4="","",COUNTIFS(Başvuru!$I:$I,Toplantı!$B$9,Başvuru!$D:$D,$A$65)))</f>
        <v>0</v>
      </c>
      <c r="H65" s="177">
        <f>IF($A65="","",IF($A4="","",COUNTIFS(Başvuru!$I:$I,Toplantı!$B$10,Başvuru!$D:$D,$A$65)))</f>
        <v>0</v>
      </c>
      <c r="I65" s="177">
        <f>IF($A65="","",IF($A4="","",COUNTIFS(Başvuru!$I:$I,Toplantı!$B$11,Başvuru!$D:$D,$A$65)))</f>
        <v>0</v>
      </c>
      <c r="J65" s="177">
        <f>IF($A65="","",IF($A4="","",COUNTIFS(Başvuru!$I:$I,Toplantı!$B$12,Başvuru!$D:$D,$A$65)))</f>
        <v>0</v>
      </c>
      <c r="K65" s="177">
        <f>IF($A65="","",IF($A4="","",COUNTIFS(Başvuru!$I:$I,Toplantı!$B$13,Başvuru!$D:$D,$A$65)))</f>
        <v>0</v>
      </c>
      <c r="L65" s="177">
        <f>IF($A65="","",IF($A4="","",COUNTIFS(Başvuru!$I:$I,Toplantı!$B$14,Başvuru!$D:$D,$A$65)))</f>
        <v>0</v>
      </c>
      <c r="M65" s="177">
        <f>IF($A65="","",IF($A4="","",COUNTIFS(Başvuru!$I:$I,Toplantı!$B$15,Başvuru!$D:$D,$A$65)))</f>
        <v>0</v>
      </c>
      <c r="N65" s="177">
        <f>IF($A65="","",IF($A4="","",COUNTIFS(Başvuru!$I:$I,Toplantı!$B$16,Başvuru!$D:$D,$A$65)))</f>
        <v>0</v>
      </c>
      <c r="O65" s="177">
        <f>IF($A65="","",IF($A4="","",COUNTIFS(Başvuru!$I:$I,Toplantı!$B$17,Başvuru!$D:$D,$A$65)))</f>
        <v>0</v>
      </c>
      <c r="P65" s="177">
        <f>IF($A65="","",IF($A4="","",COUNTIFS(Başvuru!$I:$I,Toplantı!$B$18,Başvuru!$D:$D,$A$65)))</f>
        <v>0</v>
      </c>
      <c r="Q65" s="177">
        <f>IF($A65="","",IF($A4="","",COUNTIFS(Başvuru!$I:$I,Toplantı!$B$19,Başvuru!$D:$D,$A$65)))</f>
        <v>0</v>
      </c>
      <c r="R65" s="177">
        <f>IF($A65="","",IF($A4="","",COUNTIFS(Başvuru!$I:$I,Toplantı!$B$20,Başvuru!$D:$D,$A$65)))</f>
        <v>0</v>
      </c>
      <c r="S65" s="178">
        <f t="shared" si="1"/>
        <v>1</v>
      </c>
    </row>
    <row r="66" spans="1:19" x14ac:dyDescent="0.25">
      <c r="A66" s="176" t="str">
        <f>IF(Birim!C68="","",Birim!C68)</f>
        <v>Sosyal Pediatri Anabilim Dalı</v>
      </c>
      <c r="B66" s="177">
        <f>IF($A66="","",IF($A4="","",COUNTIFS(Başvuru!$I:$I,Toplantı!$B$4,Başvuru!$D:$D,$A$66)))</f>
        <v>0</v>
      </c>
      <c r="C66" s="177">
        <f>IF($A66="","",IF($A4="","",COUNTIFS(Başvuru!$I:$I,Toplantı!$B$5,Başvuru!$D:$D,$A$66)))</f>
        <v>1</v>
      </c>
      <c r="D66" s="177">
        <f>IF($A66="","",IF($A4="","",COUNTIFS(Başvuru!$I:$I,Toplantı!$B$6,Başvuru!$D:$D,$A$66)))</f>
        <v>0</v>
      </c>
      <c r="E66" s="177">
        <f>IF($A66="","",IF($A4="","",COUNTIFS(Başvuru!$I:$I,Toplantı!$B$7,Başvuru!$D:$D,$A$66)))</f>
        <v>0</v>
      </c>
      <c r="F66" s="177">
        <f>IF($A66="","",IF($A4="","",COUNTIFS(Başvuru!$I:$I,Toplantı!$B$8,Başvuru!$D:$D,$A$66)))</f>
        <v>0</v>
      </c>
      <c r="G66" s="177">
        <f>IF($A66="","",IF($A4="","",COUNTIFS(Başvuru!$I:$I,Toplantı!$B$9,Başvuru!$D:$D,$A$66)))</f>
        <v>0</v>
      </c>
      <c r="H66" s="177">
        <f>IF($A66="","",IF($A4="","",COUNTIFS(Başvuru!$I:$I,Toplantı!$B$10,Başvuru!$D:$D,$A$66)))</f>
        <v>0</v>
      </c>
      <c r="I66" s="177">
        <f>IF($A66="","",IF($A4="","",COUNTIFS(Başvuru!$I:$I,Toplantı!$B$11,Başvuru!$D:$D,$A$66)))</f>
        <v>0</v>
      </c>
      <c r="J66" s="177">
        <f>IF($A66="","",IF($A4="","",COUNTIFS(Başvuru!$I:$I,Toplantı!$B$12,Başvuru!$D:$D,$A$66)))</f>
        <v>0</v>
      </c>
      <c r="K66" s="177">
        <f>IF($A66="","",IF($A4="","",COUNTIFS(Başvuru!$I:$I,Toplantı!$B$13,Başvuru!$D:$D,$A$66)))</f>
        <v>0</v>
      </c>
      <c r="L66" s="177">
        <f>IF($A66="","",IF($A4="","",COUNTIFS(Başvuru!$I:$I,Toplantı!$B$14,Başvuru!$D:$D,$A$66)))</f>
        <v>0</v>
      </c>
      <c r="M66" s="177">
        <f>IF($A66="","",IF($A4="","",COUNTIFS(Başvuru!$I:$I,Toplantı!$B$15,Başvuru!$D:$D,$A$66)))</f>
        <v>0</v>
      </c>
      <c r="N66" s="177">
        <f>IF($A66="","",IF($A4="","",COUNTIFS(Başvuru!$I:$I,Toplantı!$B$16,Başvuru!$D:$D,$A$66)))</f>
        <v>0</v>
      </c>
      <c r="O66" s="177">
        <f>IF($A66="","",IF($A4="","",COUNTIFS(Başvuru!$I:$I,Toplantı!$B$17,Başvuru!$D:$D,$A$66)))</f>
        <v>0</v>
      </c>
      <c r="P66" s="177">
        <f>IF($A66="","",IF($A4="","",COUNTIFS(Başvuru!$I:$I,Toplantı!$B$18,Başvuru!$D:$D,$A$66)))</f>
        <v>0</v>
      </c>
      <c r="Q66" s="177">
        <f>IF($A66="","",IF($A4="","",COUNTIFS(Başvuru!$I:$I,Toplantı!$B$19,Başvuru!$D:$D,$A$66)))</f>
        <v>0</v>
      </c>
      <c r="R66" s="177">
        <f>IF($A66="","",IF($A4="","",COUNTIFS(Başvuru!$I:$I,Toplantı!$B$20,Başvuru!$D:$D,$A$66)))</f>
        <v>0</v>
      </c>
      <c r="S66" s="178">
        <f t="shared" si="1"/>
        <v>1</v>
      </c>
    </row>
    <row r="67" spans="1:19" x14ac:dyDescent="0.25">
      <c r="A67" s="176" t="str">
        <f>IF(Birim!C69="","",Birim!C69)</f>
        <v>Tıbbi Laboratuvar Teknikleri Programı</v>
      </c>
      <c r="B67" s="177">
        <f>IF($A67="","",IF($A4="","",COUNTIFS(Başvuru!$I:$I,Toplantı!$B$4,Başvuru!$D:$D,$A$67)))</f>
        <v>0</v>
      </c>
      <c r="C67" s="177">
        <f>IF($A67="","",IF($A4="","",COUNTIFS(Başvuru!$I:$I,Toplantı!$B$5,Başvuru!$D:$D,$A$67)))</f>
        <v>0</v>
      </c>
      <c r="D67" s="177">
        <f>IF($A67="","",IF($A4="","",COUNTIFS(Başvuru!$I:$I,Toplantı!$B$6,Başvuru!$D:$D,$A$67)))</f>
        <v>1</v>
      </c>
      <c r="E67" s="177">
        <f>IF($A67="","",IF($A4="","",COUNTIFS(Başvuru!$I:$I,Toplantı!$B$7,Başvuru!$D:$D,$A$67)))</f>
        <v>0</v>
      </c>
      <c r="F67" s="177">
        <f>IF($A67="","",IF($A4="","",COUNTIFS(Başvuru!$I:$I,Toplantı!$B$8,Başvuru!$D:$D,$A$67)))</f>
        <v>0</v>
      </c>
      <c r="G67" s="177">
        <f>IF($A67="","",IF($A4="","",COUNTIFS(Başvuru!$I:$I,Toplantı!$B$9,Başvuru!$D:$D,$A$67)))</f>
        <v>0</v>
      </c>
      <c r="H67" s="177">
        <f>IF($A67="","",IF($A4="","",COUNTIFS(Başvuru!$I:$I,Toplantı!$B$10,Başvuru!$D:$D,$A$67)))</f>
        <v>0</v>
      </c>
      <c r="I67" s="177">
        <f>IF($A67="","",IF($A4="","",COUNTIFS(Başvuru!$I:$I,Toplantı!$B$11,Başvuru!$D:$D,$A$67)))</f>
        <v>0</v>
      </c>
      <c r="J67" s="177">
        <f>IF($A67="","",IF($A4="","",COUNTIFS(Başvuru!$I:$I,Toplantı!$B$12,Başvuru!$D:$D,$A$67)))</f>
        <v>0</v>
      </c>
      <c r="K67" s="177">
        <f>IF($A67="","",IF($A4="","",COUNTIFS(Başvuru!$I:$I,Toplantı!$B$13,Başvuru!$D:$D,$A$67)))</f>
        <v>0</v>
      </c>
      <c r="L67" s="177">
        <f>IF($A67="","",IF($A4="","",COUNTIFS(Başvuru!$I:$I,Toplantı!$B$14,Başvuru!$D:$D,$A$67)))</f>
        <v>0</v>
      </c>
      <c r="M67" s="177">
        <f>IF($A67="","",IF($A4="","",COUNTIFS(Başvuru!$I:$I,Toplantı!$B$15,Başvuru!$D:$D,$A$67)))</f>
        <v>0</v>
      </c>
      <c r="N67" s="177">
        <f>IF($A67="","",IF($A4="","",COUNTIFS(Başvuru!$I:$I,Toplantı!$B$16,Başvuru!$D:$D,$A$67)))</f>
        <v>0</v>
      </c>
      <c r="O67" s="177">
        <f>IF($A67="","",IF($A4="","",COUNTIFS(Başvuru!$I:$I,Toplantı!$B$17,Başvuru!$D:$D,$A$67)))</f>
        <v>0</v>
      </c>
      <c r="P67" s="177">
        <f>IF($A67="","",IF($A4="","",COUNTIFS(Başvuru!$I:$I,Toplantı!$B$18,Başvuru!$D:$D,$A$67)))</f>
        <v>0</v>
      </c>
      <c r="Q67" s="177">
        <f>IF($A67="","",IF($A4="","",COUNTIFS(Başvuru!$I:$I,Toplantı!$B$19,Başvuru!$D:$D,$A$67)))</f>
        <v>0</v>
      </c>
      <c r="R67" s="177">
        <f>IF($A67="","",IF($A4="","",COUNTIFS(Başvuru!$I:$I,Toplantı!$B$20,Başvuru!$D:$D,$A$67)))</f>
        <v>0</v>
      </c>
      <c r="S67" s="178">
        <f t="shared" si="1"/>
        <v>1</v>
      </c>
    </row>
    <row r="68" spans="1:19" x14ac:dyDescent="0.25">
      <c r="A68" s="176" t="str">
        <f>IF(Birim!C70="","",Birim!C70)</f>
        <v>Biyoinformatik Anabilim Dalı</v>
      </c>
      <c r="B68" s="177">
        <f>IF($A68="","",IF($A4="","",COUNTIFS(Başvuru!$I:$I,Toplantı!$B$4,Başvuru!$D:$D,$A$68)))</f>
        <v>0</v>
      </c>
      <c r="C68" s="177">
        <f>IF($A68="","",IF($A4="","",COUNTIFS(Başvuru!$I:$I,Toplantı!$B$5,Başvuru!$D:$D,$A$68)))</f>
        <v>0</v>
      </c>
      <c r="D68" s="177">
        <f>IF($A68="","",IF($A4="","",COUNTIFS(Başvuru!$I:$I,Toplantı!$B$6,Başvuru!$D:$D,$A$68)))</f>
        <v>1</v>
      </c>
      <c r="E68" s="177">
        <f>IF($A68="","",IF($A4="","",COUNTIFS(Başvuru!$I:$I,Toplantı!$B$7,Başvuru!$D:$D,$A$68)))</f>
        <v>0</v>
      </c>
      <c r="F68" s="177">
        <f>IF($A68="","",IF($A4="","",COUNTIFS(Başvuru!$I:$I,Toplantı!$B$8,Başvuru!$D:$D,$A$68)))</f>
        <v>0</v>
      </c>
      <c r="G68" s="177">
        <f>IF($A68="","",IF($A4="","",COUNTIFS(Başvuru!$I:$I,Toplantı!$B$9,Başvuru!$D:$D,$A$68)))</f>
        <v>0</v>
      </c>
      <c r="H68" s="177">
        <f>IF($A68="","",IF($A4="","",COUNTIFS(Başvuru!$I:$I,Toplantı!$B$10,Başvuru!$D:$D,$A$68)))</f>
        <v>0</v>
      </c>
      <c r="I68" s="177">
        <f>IF($A68="","",IF($A4="","",COUNTIFS(Başvuru!$I:$I,Toplantı!$B$11,Başvuru!$D:$D,$A$68)))</f>
        <v>0</v>
      </c>
      <c r="J68" s="177">
        <f>IF($A68="","",IF($A4="","",COUNTIFS(Başvuru!$I:$I,Toplantı!$B$12,Başvuru!$D:$D,$A$68)))</f>
        <v>0</v>
      </c>
      <c r="K68" s="177">
        <f>IF($A68="","",IF($A4="","",COUNTIFS(Başvuru!$I:$I,Toplantı!$B$13,Başvuru!$D:$D,$A$68)))</f>
        <v>0</v>
      </c>
      <c r="L68" s="177">
        <f>IF($A68="","",IF($A4="","",COUNTIFS(Başvuru!$I:$I,Toplantı!$B$14,Başvuru!$D:$D,$A$68)))</f>
        <v>0</v>
      </c>
      <c r="M68" s="177">
        <f>IF($A68="","",IF($A4="","",COUNTIFS(Başvuru!$I:$I,Toplantı!$B$15,Başvuru!$D:$D,$A$68)))</f>
        <v>0</v>
      </c>
      <c r="N68" s="177">
        <f>IF($A68="","",IF($A4="","",COUNTIFS(Başvuru!$I:$I,Toplantı!$B$16,Başvuru!$D:$D,$A$68)))</f>
        <v>0</v>
      </c>
      <c r="O68" s="177">
        <f>IF($A68="","",IF($A4="","",COUNTIFS(Başvuru!$I:$I,Toplantı!$B$17,Başvuru!$D:$D,$A$68)))</f>
        <v>0</v>
      </c>
      <c r="P68" s="177">
        <f>IF($A68="","",IF($A4="","",COUNTIFS(Başvuru!$I:$I,Toplantı!$B$18,Başvuru!$D:$D,$A$68)))</f>
        <v>0</v>
      </c>
      <c r="Q68" s="177">
        <f>IF($A68="","",IF($A4="","",COUNTIFS(Başvuru!$I:$I,Toplantı!$B$19,Başvuru!$D:$D,$A$68)))</f>
        <v>0</v>
      </c>
      <c r="R68" s="177">
        <f>IF($A68="","",IF($A4="","",COUNTIFS(Başvuru!$I:$I,Toplantı!$B$20,Başvuru!$D:$D,$A$68)))</f>
        <v>0</v>
      </c>
      <c r="S68" s="178">
        <f t="shared" ref="S68:S99" si="2">SUM(B68:R68)</f>
        <v>1</v>
      </c>
    </row>
    <row r="69" spans="1:19" x14ac:dyDescent="0.25">
      <c r="A69" s="176" t="str">
        <f>IF(Birim!C71="","",Birim!C71)</f>
        <v>Çocuk Sağlığı Entitüsü</v>
      </c>
      <c r="B69" s="177">
        <f>IF($A69="","",IF($A4="","",COUNTIFS(Başvuru!$I:$I,Toplantı!$B$4,Başvuru!$D:$D,$A$69)))</f>
        <v>0</v>
      </c>
      <c r="C69" s="177">
        <f>IF($A69="","",IF($A4="","",COUNTIFS(Başvuru!$I:$I,Toplantı!$B$5,Başvuru!$D:$D,$A$69)))</f>
        <v>0</v>
      </c>
      <c r="D69" s="177">
        <f>IF($A69="","",IF($A4="","",COUNTIFS(Başvuru!$I:$I,Toplantı!$B$6,Başvuru!$D:$D,$A$69)))</f>
        <v>0</v>
      </c>
      <c r="E69" s="177">
        <f>IF($A69="","",IF($A4="","",COUNTIFS(Başvuru!$I:$I,Toplantı!$B$7,Başvuru!$D:$D,$A$69)))</f>
        <v>0</v>
      </c>
      <c r="F69" s="177">
        <f>IF($A69="","",IF($A4="","",COUNTIFS(Başvuru!$I:$I,Toplantı!$B$8,Başvuru!$D:$D,$A$69)))</f>
        <v>0</v>
      </c>
      <c r="G69" s="177">
        <f>IF($A69="","",IF($A4="","",COUNTIFS(Başvuru!$I:$I,Toplantı!$B$9,Başvuru!$D:$D,$A$69)))</f>
        <v>1</v>
      </c>
      <c r="H69" s="177">
        <f>IF($A69="","",IF($A4="","",COUNTIFS(Başvuru!$I:$I,Toplantı!$B$10,Başvuru!$D:$D,$A$69)))</f>
        <v>0</v>
      </c>
      <c r="I69" s="177">
        <f>IF($A69="","",IF($A4="","",COUNTIFS(Başvuru!$I:$I,Toplantı!$B$11,Başvuru!$D:$D,$A$69)))</f>
        <v>0</v>
      </c>
      <c r="J69" s="177">
        <f>IF($A69="","",IF($A4="","",COUNTIFS(Başvuru!$I:$I,Toplantı!$B$12,Başvuru!$D:$D,$A$69)))</f>
        <v>0</v>
      </c>
      <c r="K69" s="177">
        <f>IF($A69="","",IF($A4="","",COUNTIFS(Başvuru!$I:$I,Toplantı!$B$13,Başvuru!$D:$D,$A$69)))</f>
        <v>0</v>
      </c>
      <c r="L69" s="177">
        <f>IF($A69="","",IF($A4="","",COUNTIFS(Başvuru!$I:$I,Toplantı!$B$14,Başvuru!$D:$D,$A$69)))</f>
        <v>0</v>
      </c>
      <c r="M69" s="177">
        <f>IF($A69="","",IF($A4="","",COUNTIFS(Başvuru!$I:$I,Toplantı!$B$15,Başvuru!$D:$D,$A$69)))</f>
        <v>0</v>
      </c>
      <c r="N69" s="177">
        <f>IF($A69="","",IF($A4="","",COUNTIFS(Başvuru!$I:$I,Toplantı!$B$16,Başvuru!$D:$D,$A$69)))</f>
        <v>0</v>
      </c>
      <c r="O69" s="177">
        <f>IF($A69="","",IF($A4="","",COUNTIFS(Başvuru!$I:$I,Toplantı!$B$17,Başvuru!$D:$D,$A$69)))</f>
        <v>0</v>
      </c>
      <c r="P69" s="177">
        <f>IF($A69="","",IF($A4="","",COUNTIFS(Başvuru!$I:$I,Toplantı!$B$18,Başvuru!$D:$D,$A$69)))</f>
        <v>0</v>
      </c>
      <c r="Q69" s="177">
        <f>IF($A69="","",IF($A4="","",COUNTIFS(Başvuru!$I:$I,Toplantı!$B$19,Başvuru!$D:$D,$A$69)))</f>
        <v>0</v>
      </c>
      <c r="R69" s="177">
        <f>IF($A69="","",IF($A4="","",COUNTIFS(Başvuru!$I:$I,Toplantı!$B$20,Başvuru!$D:$D,$A$69)))</f>
        <v>0</v>
      </c>
      <c r="S69" s="178">
        <f t="shared" si="2"/>
        <v>1</v>
      </c>
    </row>
    <row r="70" spans="1:19" x14ac:dyDescent="0.25">
      <c r="A70" s="176" t="str">
        <f>IF(Birim!C72="","",Birim!C72)</f>
        <v>Tıbbi Genetik Anabilim Dalı</v>
      </c>
      <c r="B70" s="177">
        <f>IF($A70="","",IF($A4="","",COUNTIFS(Başvuru!$I:$I,Toplantı!$B$4,Başvuru!$D:$D,$A$70)))</f>
        <v>0</v>
      </c>
      <c r="C70" s="177">
        <f>IF($A70="","",IF($A4="","",COUNTIFS(Başvuru!$I:$I,Toplantı!$B$5,Başvuru!$D:$D,$A$70)))</f>
        <v>0</v>
      </c>
      <c r="D70" s="177">
        <f>IF($A70="","",IF($A4="","",COUNTIFS(Başvuru!$I:$I,Toplantı!$B$6,Başvuru!$D:$D,$A$70)))</f>
        <v>0</v>
      </c>
      <c r="E70" s="177">
        <f>IF($A70="","",IF($A4="","",COUNTIFS(Başvuru!$I:$I,Toplantı!$B$7,Başvuru!$D:$D,$A$70)))</f>
        <v>0</v>
      </c>
      <c r="F70" s="177">
        <f>IF($A70="","",IF($A4="","",COUNTIFS(Başvuru!$I:$I,Toplantı!$B$8,Başvuru!$D:$D,$A$70)))</f>
        <v>0</v>
      </c>
      <c r="G70" s="177">
        <f>IF($A70="","",IF($A4="","",COUNTIFS(Başvuru!$I:$I,Toplantı!$B$9,Başvuru!$D:$D,$A$70)))</f>
        <v>0</v>
      </c>
      <c r="H70" s="177">
        <f>IF($A70="","",IF($A4="","",COUNTIFS(Başvuru!$I:$I,Toplantı!$B$10,Başvuru!$D:$D,$A$70)))</f>
        <v>1</v>
      </c>
      <c r="I70" s="177">
        <f>IF($A70="","",IF($A4="","",COUNTIFS(Başvuru!$I:$I,Toplantı!$B$11,Başvuru!$D:$D,$A$70)))</f>
        <v>0</v>
      </c>
      <c r="J70" s="177">
        <f>IF($A70="","",IF($A4="","",COUNTIFS(Başvuru!$I:$I,Toplantı!$B$12,Başvuru!$D:$D,$A$70)))</f>
        <v>0</v>
      </c>
      <c r="K70" s="177">
        <f>IF($A70="","",IF($A4="","",COUNTIFS(Başvuru!$I:$I,Toplantı!$B$13,Başvuru!$D:$D,$A$70)))</f>
        <v>0</v>
      </c>
      <c r="L70" s="177">
        <f>IF($A70="","",IF($A4="","",COUNTIFS(Başvuru!$I:$I,Toplantı!$B$14,Başvuru!$D:$D,$A$70)))</f>
        <v>0</v>
      </c>
      <c r="M70" s="177">
        <f>IF($A70="","",IF($A4="","",COUNTIFS(Başvuru!$I:$I,Toplantı!$B$15,Başvuru!$D:$D,$A$70)))</f>
        <v>0</v>
      </c>
      <c r="N70" s="177">
        <f>IF($A70="","",IF($A4="","",COUNTIFS(Başvuru!$I:$I,Toplantı!$B$16,Başvuru!$D:$D,$A$70)))</f>
        <v>0</v>
      </c>
      <c r="O70" s="177">
        <f>IF($A70="","",IF($A4="","",COUNTIFS(Başvuru!$I:$I,Toplantı!$B$17,Başvuru!$D:$D,$A$70)))</f>
        <v>0</v>
      </c>
      <c r="P70" s="177">
        <f>IF($A70="","",IF($A4="","",COUNTIFS(Başvuru!$I:$I,Toplantı!$B$18,Başvuru!$D:$D,$A$70)))</f>
        <v>0</v>
      </c>
      <c r="Q70" s="177">
        <f>IF($A70="","",IF($A4="","",COUNTIFS(Başvuru!$I:$I,Toplantı!$B$19,Başvuru!$D:$D,$A$70)))</f>
        <v>0</v>
      </c>
      <c r="R70" s="177">
        <f>IF($A70="","",IF($A4="","",COUNTIFS(Başvuru!$I:$I,Toplantı!$B$20,Başvuru!$D:$D,$A$70)))</f>
        <v>0</v>
      </c>
      <c r="S70" s="178">
        <f t="shared" si="2"/>
        <v>1</v>
      </c>
    </row>
    <row r="71" spans="1:19" x14ac:dyDescent="0.25">
      <c r="A71" s="176" t="str">
        <f>IF(Birim!C73="","",Birim!C73)</f>
        <v>Klinik Psikoloji Anabilim Dalı</v>
      </c>
      <c r="B71" s="177">
        <f>IF($A71="","",IF($A4="","",COUNTIFS(Başvuru!$I:$I,Toplantı!$B$4,Başvuru!$D:$D,$A$71)))</f>
        <v>0</v>
      </c>
      <c r="C71" s="177">
        <f>IF($A71="","",IF($A4="","",COUNTIFS(Başvuru!$I:$I,Toplantı!$B$5,Başvuru!$D:$D,$A$71)))</f>
        <v>0</v>
      </c>
      <c r="D71" s="177">
        <f>IF($A71="","",IF($A4="","",COUNTIFS(Başvuru!$I:$I,Toplantı!$B$6,Başvuru!$D:$D,$A$71)))</f>
        <v>0</v>
      </c>
      <c r="E71" s="177">
        <f>IF($A71="","",IF($A4="","",COUNTIFS(Başvuru!$I:$I,Toplantı!$B$7,Başvuru!$D:$D,$A$71)))</f>
        <v>0</v>
      </c>
      <c r="F71" s="177">
        <f>IF($A71="","",IF($A4="","",COUNTIFS(Başvuru!$I:$I,Toplantı!$B$8,Başvuru!$D:$D,$A$71)))</f>
        <v>0</v>
      </c>
      <c r="G71" s="177">
        <f>IF($A71="","",IF($A4="","",COUNTIFS(Başvuru!$I:$I,Toplantı!$B$9,Başvuru!$D:$D,$A$71)))</f>
        <v>0</v>
      </c>
      <c r="H71" s="177">
        <f>IF($A71="","",IF($A4="","",COUNTIFS(Başvuru!$I:$I,Toplantı!$B$10,Başvuru!$D:$D,$A$71)))</f>
        <v>0</v>
      </c>
      <c r="I71" s="177">
        <f>IF($A71="","",IF($A4="","",COUNTIFS(Başvuru!$I:$I,Toplantı!$B$11,Başvuru!$D:$D,$A$71)))</f>
        <v>0</v>
      </c>
      <c r="J71" s="177">
        <f>IF($A71="","",IF($A4="","",COUNTIFS(Başvuru!$I:$I,Toplantı!$B$12,Başvuru!$D:$D,$A$71)))</f>
        <v>0</v>
      </c>
      <c r="K71" s="177">
        <f>IF($A71="","",IF($A4="","",COUNTIFS(Başvuru!$I:$I,Toplantı!$B$13,Başvuru!$D:$D,$A$71)))</f>
        <v>1</v>
      </c>
      <c r="L71" s="177">
        <f>IF($A71="","",IF($A4="","",COUNTIFS(Başvuru!$I:$I,Toplantı!$B$14,Başvuru!$D:$D,$A$71)))</f>
        <v>0</v>
      </c>
      <c r="M71" s="177">
        <f>IF($A71="","",IF($A4="","",COUNTIFS(Başvuru!$I:$I,Toplantı!$B$15,Başvuru!$D:$D,$A$71)))</f>
        <v>0</v>
      </c>
      <c r="N71" s="177">
        <f>IF($A71="","",IF($A4="","",COUNTIFS(Başvuru!$I:$I,Toplantı!$B$16,Başvuru!$D:$D,$A$71)))</f>
        <v>0</v>
      </c>
      <c r="O71" s="177">
        <f>IF($A71="","",IF($A4="","",COUNTIFS(Başvuru!$I:$I,Toplantı!$B$17,Başvuru!$D:$D,$A$71)))</f>
        <v>0</v>
      </c>
      <c r="P71" s="177">
        <f>IF($A71="","",IF($A4="","",COUNTIFS(Başvuru!$I:$I,Toplantı!$B$18,Başvuru!$D:$D,$A$71)))</f>
        <v>0</v>
      </c>
      <c r="Q71" s="177">
        <f>IF($A71="","",IF($A4="","",COUNTIFS(Başvuru!$I:$I,Toplantı!$B$19,Başvuru!$D:$D,$A$71)))</f>
        <v>0</v>
      </c>
      <c r="R71" s="177">
        <f>IF($A71="","",IF($A4="","",COUNTIFS(Başvuru!$I:$I,Toplantı!$B$20,Başvuru!$D:$D,$A$71)))</f>
        <v>0</v>
      </c>
      <c r="S71" s="178">
        <f t="shared" si="2"/>
        <v>1</v>
      </c>
    </row>
    <row r="72" spans="1:19" x14ac:dyDescent="0.25">
      <c r="A72" s="176" t="str">
        <f>IF(Birim!C74="","",Birim!C74)</f>
        <v>Tıbbi Farmakoloji Anabilim Dalı</v>
      </c>
      <c r="B72" s="177">
        <f>IF($A72="","",IF($A4="","",COUNTIFS(Başvuru!$I:$I,Toplantı!$B$4,Başvuru!$D:$D,$A$72)))</f>
        <v>0</v>
      </c>
      <c r="C72" s="177">
        <f>IF($A72="","",IF($A4="","",COUNTIFS(Başvuru!$I:$I,Toplantı!$B$5,Başvuru!$D:$D,$A$72)))</f>
        <v>0</v>
      </c>
      <c r="D72" s="177">
        <f>IF($A72="","",IF($A4="","",COUNTIFS(Başvuru!$I:$I,Toplantı!$B$6,Başvuru!$D:$D,$A$72)))</f>
        <v>0</v>
      </c>
      <c r="E72" s="177">
        <f>IF($A72="","",IF($A4="","",COUNTIFS(Başvuru!$I:$I,Toplantı!$B$7,Başvuru!$D:$D,$A$72)))</f>
        <v>0</v>
      </c>
      <c r="F72" s="177">
        <f>IF($A72="","",IF($A4="","",COUNTIFS(Başvuru!$I:$I,Toplantı!$B$8,Başvuru!$D:$D,$A$72)))</f>
        <v>0</v>
      </c>
      <c r="G72" s="177">
        <f>IF($A72="","",IF($A4="","",COUNTIFS(Başvuru!$I:$I,Toplantı!$B$9,Başvuru!$D:$D,$A$72)))</f>
        <v>0</v>
      </c>
      <c r="H72" s="177">
        <f>IF($A72="","",IF($A4="","",COUNTIFS(Başvuru!$I:$I,Toplantı!$B$10,Başvuru!$D:$D,$A$72)))</f>
        <v>0</v>
      </c>
      <c r="I72" s="177">
        <f>IF($A72="","",IF($A4="","",COUNTIFS(Başvuru!$I:$I,Toplantı!$B$11,Başvuru!$D:$D,$A$72)))</f>
        <v>0</v>
      </c>
      <c r="J72" s="177">
        <f>IF($A72="","",IF($A4="","",COUNTIFS(Başvuru!$I:$I,Toplantı!$B$12,Başvuru!$D:$D,$A$72)))</f>
        <v>0</v>
      </c>
      <c r="K72" s="177">
        <f>IF($A72="","",IF($A4="","",COUNTIFS(Başvuru!$I:$I,Toplantı!$B$13,Başvuru!$D:$D,$A$72)))</f>
        <v>1</v>
      </c>
      <c r="L72" s="177">
        <f>IF($A72="","",IF($A4="","",COUNTIFS(Başvuru!$I:$I,Toplantı!$B$14,Başvuru!$D:$D,$A$72)))</f>
        <v>0</v>
      </c>
      <c r="M72" s="177">
        <f>IF($A72="","",IF($A4="","",COUNTIFS(Başvuru!$I:$I,Toplantı!$B$15,Başvuru!$D:$D,$A$72)))</f>
        <v>0</v>
      </c>
      <c r="N72" s="177">
        <f>IF($A72="","",IF($A4="","",COUNTIFS(Başvuru!$I:$I,Toplantı!$B$16,Başvuru!$D:$D,$A$72)))</f>
        <v>0</v>
      </c>
      <c r="O72" s="177">
        <f>IF($A72="","",IF($A4="","",COUNTIFS(Başvuru!$I:$I,Toplantı!$B$17,Başvuru!$D:$D,$A$72)))</f>
        <v>0</v>
      </c>
      <c r="P72" s="177">
        <f>IF($A72="","",IF($A4="","",COUNTIFS(Başvuru!$I:$I,Toplantı!$B$18,Başvuru!$D:$D,$A$72)))</f>
        <v>0</v>
      </c>
      <c r="Q72" s="177">
        <f>IF($A72="","",IF($A4="","",COUNTIFS(Başvuru!$I:$I,Toplantı!$B$19,Başvuru!$D:$D,$A$72)))</f>
        <v>0</v>
      </c>
      <c r="R72" s="177">
        <f>IF($A72="","",IF($A4="","",COUNTIFS(Başvuru!$I:$I,Toplantı!$B$20,Başvuru!$D:$D,$A$72)))</f>
        <v>0</v>
      </c>
      <c r="S72" s="178">
        <f t="shared" si="2"/>
        <v>1</v>
      </c>
    </row>
    <row r="73" spans="1:19" x14ac:dyDescent="0.25">
      <c r="A73" s="176" t="str">
        <f>IF(Birim!C75="","",Birim!C75)</f>
        <v>Analitik Kimya Anabilim Dalı</v>
      </c>
      <c r="B73" s="177">
        <f>IF($A73="","",IF($A4="","",COUNTIFS(Başvuru!$I:$I,Toplantı!$B$4,Başvuru!$D:$D,$A$73)))</f>
        <v>0</v>
      </c>
      <c r="C73" s="177">
        <f>IF($A73="","",IF($A4="","",COUNTIFS(Başvuru!$I:$I,Toplantı!$B$5,Başvuru!$D:$D,$A$73)))</f>
        <v>0</v>
      </c>
      <c r="D73" s="177">
        <f>IF($A73="","",IF($A4="","",COUNTIFS(Başvuru!$I:$I,Toplantı!$B$6,Başvuru!$D:$D,$A$73)))</f>
        <v>0</v>
      </c>
      <c r="E73" s="177">
        <f>IF($A73="","",IF($A4="","",COUNTIFS(Başvuru!$I:$I,Toplantı!$B$7,Başvuru!$D:$D,$A$73)))</f>
        <v>0</v>
      </c>
      <c r="F73" s="177">
        <f>IF($A73="","",IF($A4="","",COUNTIFS(Başvuru!$I:$I,Toplantı!$B$8,Başvuru!$D:$D,$A$73)))</f>
        <v>0</v>
      </c>
      <c r="G73" s="177">
        <f>IF($A73="","",IF($A4="","",COUNTIFS(Başvuru!$I:$I,Toplantı!$B$9,Başvuru!$D:$D,$A$73)))</f>
        <v>0</v>
      </c>
      <c r="H73" s="177">
        <f>IF($A73="","",IF($A4="","",COUNTIFS(Başvuru!$I:$I,Toplantı!$B$10,Başvuru!$D:$D,$A$73)))</f>
        <v>0</v>
      </c>
      <c r="I73" s="177">
        <f>IF($A73="","",IF($A4="","",COUNTIFS(Başvuru!$I:$I,Toplantı!$B$11,Başvuru!$D:$D,$A$73)))</f>
        <v>0</v>
      </c>
      <c r="J73" s="177">
        <f>IF($A73="","",IF($A4="","",COUNTIFS(Başvuru!$I:$I,Toplantı!$B$12,Başvuru!$D:$D,$A$73)))</f>
        <v>0</v>
      </c>
      <c r="K73" s="177">
        <f>IF($A73="","",IF($A4="","",COUNTIFS(Başvuru!$I:$I,Toplantı!$B$13,Başvuru!$D:$D,$A$73)))</f>
        <v>0</v>
      </c>
      <c r="L73" s="177">
        <f>IF($A73="","",IF($A4="","",COUNTIFS(Başvuru!$I:$I,Toplantı!$B$14,Başvuru!$D:$D,$A$73)))</f>
        <v>1</v>
      </c>
      <c r="M73" s="177">
        <f>IF($A73="","",IF($A4="","",COUNTIFS(Başvuru!$I:$I,Toplantı!$B$15,Başvuru!$D:$D,$A$73)))</f>
        <v>0</v>
      </c>
      <c r="N73" s="177">
        <f>IF($A73="","",IF($A4="","",COUNTIFS(Başvuru!$I:$I,Toplantı!$B$16,Başvuru!$D:$D,$A$73)))</f>
        <v>0</v>
      </c>
      <c r="O73" s="177">
        <f>IF($A73="","",IF($A4="","",COUNTIFS(Başvuru!$I:$I,Toplantı!$B$17,Başvuru!$D:$D,$A$73)))</f>
        <v>0</v>
      </c>
      <c r="P73" s="177">
        <f>IF($A73="","",IF($A4="","",COUNTIFS(Başvuru!$I:$I,Toplantı!$B$18,Başvuru!$D:$D,$A$73)))</f>
        <v>0</v>
      </c>
      <c r="Q73" s="177">
        <f>IF($A73="","",IF($A4="","",COUNTIFS(Başvuru!$I:$I,Toplantı!$B$19,Başvuru!$D:$D,$A$73)))</f>
        <v>0</v>
      </c>
      <c r="R73" s="177">
        <f>IF($A73="","",IF($A4="","",COUNTIFS(Başvuru!$I:$I,Toplantı!$B$20,Başvuru!$D:$D,$A$73)))</f>
        <v>0</v>
      </c>
      <c r="S73" s="178">
        <f t="shared" si="2"/>
        <v>1</v>
      </c>
    </row>
    <row r="74" spans="1:19" x14ac:dyDescent="0.25">
      <c r="A74" s="176" t="str">
        <f>IF(Birim!C76="","",Birim!C76)</f>
        <v>Gıda Mühendisliği Anabilim Dalı</v>
      </c>
      <c r="B74" s="177">
        <f>IF($A74="","",IF($A4="","",COUNTIFS(Başvuru!$I:$I,Toplantı!$B$4,Başvuru!$D:$D,$A$74)))</f>
        <v>0</v>
      </c>
      <c r="C74" s="177">
        <f>IF($A74="","",IF($A4="","",COUNTIFS(Başvuru!$I:$I,Toplantı!$B$5,Başvuru!$D:$D,$A$74)))</f>
        <v>0</v>
      </c>
      <c r="D74" s="177">
        <f>IF($A74="","",IF($A4="","",COUNTIFS(Başvuru!$I:$I,Toplantı!$B$6,Başvuru!$D:$D,$A$74)))</f>
        <v>0</v>
      </c>
      <c r="E74" s="177">
        <f>IF($A74="","",IF($A4="","",COUNTIFS(Başvuru!$I:$I,Toplantı!$B$7,Başvuru!$D:$D,$A$74)))</f>
        <v>0</v>
      </c>
      <c r="F74" s="177">
        <f>IF($A74="","",IF($A4="","",COUNTIFS(Başvuru!$I:$I,Toplantı!$B$8,Başvuru!$D:$D,$A$74)))</f>
        <v>0</v>
      </c>
      <c r="G74" s="177">
        <f>IF($A74="","",IF($A4="","",COUNTIFS(Başvuru!$I:$I,Toplantı!$B$9,Başvuru!$D:$D,$A$74)))</f>
        <v>0</v>
      </c>
      <c r="H74" s="177">
        <f>IF($A74="","",IF($A4="","",COUNTIFS(Başvuru!$I:$I,Toplantı!$B$10,Başvuru!$D:$D,$A$74)))</f>
        <v>0</v>
      </c>
      <c r="I74" s="177">
        <f>IF($A74="","",IF($A4="","",COUNTIFS(Başvuru!$I:$I,Toplantı!$B$11,Başvuru!$D:$D,$A$74)))</f>
        <v>0</v>
      </c>
      <c r="J74" s="177">
        <f>IF($A74="","",IF($A4="","",COUNTIFS(Başvuru!$I:$I,Toplantı!$B$12,Başvuru!$D:$D,$A$74)))</f>
        <v>0</v>
      </c>
      <c r="K74" s="177">
        <f>IF($A74="","",IF($A4="","",COUNTIFS(Başvuru!$I:$I,Toplantı!$B$13,Başvuru!$D:$D,$A$74)))</f>
        <v>0</v>
      </c>
      <c r="L74" s="177">
        <f>IF($A74="","",IF($A4="","",COUNTIFS(Başvuru!$I:$I,Toplantı!$B$14,Başvuru!$D:$D,$A$74)))</f>
        <v>1</v>
      </c>
      <c r="M74" s="177">
        <f>IF($A74="","",IF($A4="","",COUNTIFS(Başvuru!$I:$I,Toplantı!$B$15,Başvuru!$D:$D,$A$74)))</f>
        <v>0</v>
      </c>
      <c r="N74" s="177">
        <f>IF($A74="","",IF($A4="","",COUNTIFS(Başvuru!$I:$I,Toplantı!$B$16,Başvuru!$D:$D,$A$74)))</f>
        <v>0</v>
      </c>
      <c r="O74" s="177">
        <f>IF($A74="","",IF($A4="","",COUNTIFS(Başvuru!$I:$I,Toplantı!$B$17,Başvuru!$D:$D,$A$74)))</f>
        <v>0</v>
      </c>
      <c r="P74" s="177">
        <f>IF($A74="","",IF($A4="","",COUNTIFS(Başvuru!$I:$I,Toplantı!$B$18,Başvuru!$D:$D,$A$74)))</f>
        <v>0</v>
      </c>
      <c r="Q74" s="177">
        <f>IF($A74="","",IF($A4="","",COUNTIFS(Başvuru!$I:$I,Toplantı!$B$19,Başvuru!$D:$D,$A$74)))</f>
        <v>0</v>
      </c>
      <c r="R74" s="177">
        <f>IF($A74="","",IF($A4="","",COUNTIFS(Başvuru!$I:$I,Toplantı!$B$20,Başvuru!$D:$D,$A$74)))</f>
        <v>0</v>
      </c>
      <c r="S74" s="178">
        <f t="shared" si="2"/>
        <v>1</v>
      </c>
    </row>
    <row r="75" spans="1:19" x14ac:dyDescent="0.25">
      <c r="A75" s="176" t="str">
        <f>IF(Birim!C77="","",Birim!C77)</f>
        <v>Sağlık Bilişimi Anabilim Dalı</v>
      </c>
      <c r="B75" s="177">
        <f>IF($A75="","",IF($A4="","",COUNTIFS(Başvuru!$I:$I,Toplantı!$B$4,Başvuru!$D:$D,$A$75)))</f>
        <v>0</v>
      </c>
      <c r="C75" s="177">
        <f>IF($A75="","",IF($A4="","",COUNTIFS(Başvuru!$I:$I,Toplantı!$B$5,Başvuru!$D:$D,$A$75)))</f>
        <v>0</v>
      </c>
      <c r="D75" s="177">
        <f>IF($A75="","",IF($A4="","",COUNTIFS(Başvuru!$I:$I,Toplantı!$B$6,Başvuru!$D:$D,$A$75)))</f>
        <v>0</v>
      </c>
      <c r="E75" s="177">
        <f>IF($A75="","",IF($A4="","",COUNTIFS(Başvuru!$I:$I,Toplantı!$B$7,Başvuru!$D:$D,$A$75)))</f>
        <v>0</v>
      </c>
      <c r="F75" s="177">
        <f>IF($A75="","",IF($A4="","",COUNTIFS(Başvuru!$I:$I,Toplantı!$B$8,Başvuru!$D:$D,$A$75)))</f>
        <v>0</v>
      </c>
      <c r="G75" s="177">
        <f>IF($A75="","",IF($A4="","",COUNTIFS(Başvuru!$I:$I,Toplantı!$B$9,Başvuru!$D:$D,$A$75)))</f>
        <v>0</v>
      </c>
      <c r="H75" s="177">
        <f>IF($A75="","",IF($A4="","",COUNTIFS(Başvuru!$I:$I,Toplantı!$B$10,Başvuru!$D:$D,$A$75)))</f>
        <v>0</v>
      </c>
      <c r="I75" s="177">
        <f>IF($A75="","",IF($A4="","",COUNTIFS(Başvuru!$I:$I,Toplantı!$B$11,Başvuru!$D:$D,$A$75)))</f>
        <v>0</v>
      </c>
      <c r="J75" s="177">
        <f>IF($A75="","",IF($A4="","",COUNTIFS(Başvuru!$I:$I,Toplantı!$B$12,Başvuru!$D:$D,$A$75)))</f>
        <v>0</v>
      </c>
      <c r="K75" s="177">
        <f>IF($A75="","",IF($A4="","",COUNTIFS(Başvuru!$I:$I,Toplantı!$B$13,Başvuru!$D:$D,$A$75)))</f>
        <v>0</v>
      </c>
      <c r="L75" s="177">
        <f>IF($A75="","",IF($A4="","",COUNTIFS(Başvuru!$I:$I,Toplantı!$B$14,Başvuru!$D:$D,$A$75)))</f>
        <v>1</v>
      </c>
      <c r="M75" s="177">
        <f>IF($A75="","",IF($A4="","",COUNTIFS(Başvuru!$I:$I,Toplantı!$B$15,Başvuru!$D:$D,$A$75)))</f>
        <v>0</v>
      </c>
      <c r="N75" s="177">
        <f>IF($A75="","",IF($A4="","",COUNTIFS(Başvuru!$I:$I,Toplantı!$B$16,Başvuru!$D:$D,$A$75)))</f>
        <v>0</v>
      </c>
      <c r="O75" s="177">
        <f>IF($A75="","",IF($A4="","",COUNTIFS(Başvuru!$I:$I,Toplantı!$B$17,Başvuru!$D:$D,$A$75)))</f>
        <v>0</v>
      </c>
      <c r="P75" s="177">
        <f>IF($A75="","",IF($A4="","",COUNTIFS(Başvuru!$I:$I,Toplantı!$B$18,Başvuru!$D:$D,$A$75)))</f>
        <v>0</v>
      </c>
      <c r="Q75" s="177">
        <f>IF($A75="","",IF($A4="","",COUNTIFS(Başvuru!$I:$I,Toplantı!$B$19,Başvuru!$D:$D,$A$75)))</f>
        <v>0</v>
      </c>
      <c r="R75" s="177">
        <f>IF($A75="","",IF($A4="","",COUNTIFS(Başvuru!$I:$I,Toplantı!$B$20,Başvuru!$D:$D,$A$75)))</f>
        <v>0</v>
      </c>
      <c r="S75" s="178">
        <f t="shared" si="2"/>
        <v>1</v>
      </c>
    </row>
    <row r="76" spans="1:19" ht="36" customHeight="1" x14ac:dyDescent="0.25">
      <c r="A76" s="176" t="str">
        <f>IF(Birim!C78="","",Birim!C78)</f>
        <v>Amasya Üniversitesi
Hemşirelik Fakültesi
İç Hastalıkları Hemşireliği Anabilim Dalı</v>
      </c>
      <c r="B76" s="177">
        <f>IF($A76="","",IF($A4="","",COUNTIFS(Başvuru!$I:$I,Toplantı!$B$4,Başvuru!$D:$D,$A$76)))</f>
        <v>0</v>
      </c>
      <c r="C76" s="177">
        <f>IF($A76="","",IF($A4="","",COUNTIFS(Başvuru!$I:$I,Toplantı!$B$5,Başvuru!$D:$D,$A$76)))</f>
        <v>0</v>
      </c>
      <c r="D76" s="177">
        <f>IF($A76="","",IF($A4="","",COUNTIFS(Başvuru!$I:$I,Toplantı!$B$6,Başvuru!$D:$D,$A$76)))</f>
        <v>0</v>
      </c>
      <c r="E76" s="177">
        <f>IF($A76="","",IF($A4="","",COUNTIFS(Başvuru!$I:$I,Toplantı!$B$7,Başvuru!$D:$D,$A$76)))</f>
        <v>0</v>
      </c>
      <c r="F76" s="177">
        <f>IF($A76="","",IF($A4="","",COUNTIFS(Başvuru!$I:$I,Toplantı!$B$8,Başvuru!$D:$D,$A$76)))</f>
        <v>0</v>
      </c>
      <c r="G76" s="177">
        <f>IF($A76="","",IF($A4="","",COUNTIFS(Başvuru!$I:$I,Toplantı!$B$9,Başvuru!$D:$D,$A$76)))</f>
        <v>0</v>
      </c>
      <c r="H76" s="177">
        <f>IF($A76="","",IF($A4="","",COUNTIFS(Başvuru!$I:$I,Toplantı!$B$10,Başvuru!$D:$D,$A$76)))</f>
        <v>0</v>
      </c>
      <c r="I76" s="177">
        <f>IF($A76="","",IF($A4="","",COUNTIFS(Başvuru!$I:$I,Toplantı!$B$11,Başvuru!$D:$D,$A$76)))</f>
        <v>0</v>
      </c>
      <c r="J76" s="177">
        <f>IF($A76="","",IF($A4="","",COUNTIFS(Başvuru!$I:$I,Toplantı!$B$12,Başvuru!$D:$D,$A$76)))</f>
        <v>0</v>
      </c>
      <c r="K76" s="177">
        <f>IF($A76="","",IF($A4="","",COUNTIFS(Başvuru!$I:$I,Toplantı!$B$13,Başvuru!$D:$D,$A$76)))</f>
        <v>0</v>
      </c>
      <c r="L76" s="177">
        <f>IF($A76="","",IF($A4="","",COUNTIFS(Başvuru!$I:$I,Toplantı!$B$14,Başvuru!$D:$D,$A$76)))</f>
        <v>0</v>
      </c>
      <c r="M76" s="177">
        <f>IF($A76="","",IF($A4="","",COUNTIFS(Başvuru!$I:$I,Toplantı!$B$15,Başvuru!$D:$D,$A$76)))</f>
        <v>1</v>
      </c>
      <c r="N76" s="177">
        <f>IF($A76="","",IF($A4="","",COUNTIFS(Başvuru!$I:$I,Toplantı!$B$16,Başvuru!$D:$D,$A$76)))</f>
        <v>0</v>
      </c>
      <c r="O76" s="177">
        <f>IF($A76="","",IF($A4="","",COUNTIFS(Başvuru!$I:$I,Toplantı!$B$17,Başvuru!$D:$D,$A$76)))</f>
        <v>0</v>
      </c>
      <c r="P76" s="177">
        <f>IF($A76="","",IF($A4="","",COUNTIFS(Başvuru!$I:$I,Toplantı!$B$18,Başvuru!$D:$D,$A$76)))</f>
        <v>0</v>
      </c>
      <c r="Q76" s="177">
        <f>IF($A76="","",IF($A4="","",COUNTIFS(Başvuru!$I:$I,Toplantı!$B$19,Başvuru!$D:$D,$A$76)))</f>
        <v>0</v>
      </c>
      <c r="R76" s="177">
        <f>IF($A76="","",IF($A4="","",COUNTIFS(Başvuru!$I:$I,Toplantı!$B$20,Başvuru!$D:$D,$A$76)))</f>
        <v>0</v>
      </c>
      <c r="S76" s="178">
        <f t="shared" si="2"/>
        <v>1</v>
      </c>
    </row>
    <row r="77" spans="1:19" x14ac:dyDescent="0.25">
      <c r="A77" s="176" t="str">
        <f>IF(Birim!C79="","",Birim!C79)</f>
        <v>Bilişim ve Enformasyon Teknolojileri Anabilim Dalı</v>
      </c>
      <c r="B77" s="177">
        <f>IF($A77="","",IF($A4="","",COUNTIFS(Başvuru!$I:$I,Toplantı!$B$4,Başvuru!$D:$D,$A$77)))</f>
        <v>0</v>
      </c>
      <c r="C77" s="177">
        <f>IF($A77="","",IF($A4="","",COUNTIFS(Başvuru!$I:$I,Toplantı!$B$5,Başvuru!$D:$D,$A$77)))</f>
        <v>0</v>
      </c>
      <c r="D77" s="177">
        <f>IF($A77="","",IF($A4="","",COUNTIFS(Başvuru!$I:$I,Toplantı!$B$6,Başvuru!$D:$D,$A$77)))</f>
        <v>0</v>
      </c>
      <c r="E77" s="177">
        <f>IF($A77="","",IF($A4="","",COUNTIFS(Başvuru!$I:$I,Toplantı!$B$7,Başvuru!$D:$D,$A$77)))</f>
        <v>0</v>
      </c>
      <c r="F77" s="177">
        <f>IF($A77="","",IF($A4="","",COUNTIFS(Başvuru!$I:$I,Toplantı!$B$8,Başvuru!$D:$D,$A$77)))</f>
        <v>0</v>
      </c>
      <c r="G77" s="177">
        <f>IF($A77="","",IF($A4="","",COUNTIFS(Başvuru!$I:$I,Toplantı!$B$9,Başvuru!$D:$D,$A$77)))</f>
        <v>0</v>
      </c>
      <c r="H77" s="177">
        <f>IF($A77="","",IF($A4="","",COUNTIFS(Başvuru!$I:$I,Toplantı!$B$10,Başvuru!$D:$D,$A$77)))</f>
        <v>0</v>
      </c>
      <c r="I77" s="177">
        <f>IF($A77="","",IF($A4="","",COUNTIFS(Başvuru!$I:$I,Toplantı!$B$11,Başvuru!$D:$D,$A$77)))</f>
        <v>0</v>
      </c>
      <c r="J77" s="177">
        <f>IF($A77="","",IF($A4="","",COUNTIFS(Başvuru!$I:$I,Toplantı!$B$12,Başvuru!$D:$D,$A$77)))</f>
        <v>0</v>
      </c>
      <c r="K77" s="177">
        <f>IF($A77="","",IF($A4="","",COUNTIFS(Başvuru!$I:$I,Toplantı!$B$13,Başvuru!$D:$D,$A$77)))</f>
        <v>0</v>
      </c>
      <c r="L77" s="177">
        <f>IF($A77="","",IF($A4="","",COUNTIFS(Başvuru!$I:$I,Toplantı!$B$14,Başvuru!$D:$D,$A$77)))</f>
        <v>0</v>
      </c>
      <c r="M77" s="177">
        <f>IF($A77="","",IF($A4="","",COUNTIFS(Başvuru!$I:$I,Toplantı!$B$15,Başvuru!$D:$D,$A$77)))</f>
        <v>1</v>
      </c>
      <c r="N77" s="177">
        <f>IF($A77="","",IF($A4="","",COUNTIFS(Başvuru!$I:$I,Toplantı!$B$16,Başvuru!$D:$D,$A$77)))</f>
        <v>0</v>
      </c>
      <c r="O77" s="177">
        <f>IF($A77="","",IF($A4="","",COUNTIFS(Başvuru!$I:$I,Toplantı!$B$17,Başvuru!$D:$D,$A$77)))</f>
        <v>0</v>
      </c>
      <c r="P77" s="177">
        <f>IF($A77="","",IF($A4="","",COUNTIFS(Başvuru!$I:$I,Toplantı!$B$18,Başvuru!$D:$D,$A$77)))</f>
        <v>0</v>
      </c>
      <c r="Q77" s="177">
        <f>IF($A77="","",IF($A4="","",COUNTIFS(Başvuru!$I:$I,Toplantı!$B$19,Başvuru!$D:$D,$A$77)))</f>
        <v>0</v>
      </c>
      <c r="R77" s="177">
        <f>IF($A77="","",IF($A4="","",COUNTIFS(Başvuru!$I:$I,Toplantı!$B$20,Başvuru!$D:$D,$A$77)))</f>
        <v>0</v>
      </c>
      <c r="S77" s="178">
        <f t="shared" si="2"/>
        <v>1</v>
      </c>
    </row>
    <row r="78" spans="1:19" x14ac:dyDescent="0.25">
      <c r="A78" s="176" t="str">
        <f>IF(Birim!C80="","",Birim!C80)</f>
        <v>Biyokimya Anabilim Dalı</v>
      </c>
      <c r="B78" s="177">
        <f>IF($A78="","",IF($A4="","",COUNTIFS(Başvuru!$I:$I,Toplantı!$B$4,Başvuru!$D:$D,$A$78)))</f>
        <v>0</v>
      </c>
      <c r="C78" s="177">
        <f>IF($A78="","",IF($A4="","",COUNTIFS(Başvuru!$I:$I,Toplantı!$B$5,Başvuru!$D:$D,$A$78)))</f>
        <v>0</v>
      </c>
      <c r="D78" s="177">
        <f>IF($A78="","",IF($A4="","",COUNTIFS(Başvuru!$I:$I,Toplantı!$B$6,Başvuru!$D:$D,$A$78)))</f>
        <v>0</v>
      </c>
      <c r="E78" s="177">
        <f>IF($A78="","",IF($A4="","",COUNTIFS(Başvuru!$I:$I,Toplantı!$B$7,Başvuru!$D:$D,$A$78)))</f>
        <v>0</v>
      </c>
      <c r="F78" s="177">
        <f>IF($A78="","",IF($A4="","",COUNTIFS(Başvuru!$I:$I,Toplantı!$B$8,Başvuru!$D:$D,$A$78)))</f>
        <v>0</v>
      </c>
      <c r="G78" s="177">
        <f>IF($A78="","",IF($A4="","",COUNTIFS(Başvuru!$I:$I,Toplantı!$B$9,Başvuru!$D:$D,$A$78)))</f>
        <v>0</v>
      </c>
      <c r="H78" s="177">
        <f>IF($A78="","",IF($A4="","",COUNTIFS(Başvuru!$I:$I,Toplantı!$B$10,Başvuru!$D:$D,$A$78)))</f>
        <v>0</v>
      </c>
      <c r="I78" s="177">
        <f>IF($A78="","",IF($A4="","",COUNTIFS(Başvuru!$I:$I,Toplantı!$B$11,Başvuru!$D:$D,$A$78)))</f>
        <v>0</v>
      </c>
      <c r="J78" s="177">
        <f>IF($A78="","",IF($A4="","",COUNTIFS(Başvuru!$I:$I,Toplantı!$B$12,Başvuru!$D:$D,$A$78)))</f>
        <v>0</v>
      </c>
      <c r="K78" s="177">
        <f>IF($A78="","",IF($A4="","",COUNTIFS(Başvuru!$I:$I,Toplantı!$B$13,Başvuru!$D:$D,$A$78)))</f>
        <v>0</v>
      </c>
      <c r="L78" s="177">
        <f>IF($A78="","",IF($A4="","",COUNTIFS(Başvuru!$I:$I,Toplantı!$B$14,Başvuru!$D:$D,$A$78)))</f>
        <v>0</v>
      </c>
      <c r="M78" s="177">
        <f>IF($A78="","",IF($A4="","",COUNTIFS(Başvuru!$I:$I,Toplantı!$B$15,Başvuru!$D:$D,$A$78)))</f>
        <v>1</v>
      </c>
      <c r="N78" s="177">
        <f>IF($A78="","",IF($A4="","",COUNTIFS(Başvuru!$I:$I,Toplantı!$B$16,Başvuru!$D:$D,$A$78)))</f>
        <v>0</v>
      </c>
      <c r="O78" s="177">
        <f>IF($A78="","",IF($A4="","",COUNTIFS(Başvuru!$I:$I,Toplantı!$B$17,Başvuru!$D:$D,$A$78)))</f>
        <v>0</v>
      </c>
      <c r="P78" s="177">
        <f>IF($A78="","",IF($A4="","",COUNTIFS(Başvuru!$I:$I,Toplantı!$B$18,Başvuru!$D:$D,$A$78)))</f>
        <v>0</v>
      </c>
      <c r="Q78" s="177">
        <f>IF($A78="","",IF($A4="","",COUNTIFS(Başvuru!$I:$I,Toplantı!$B$19,Başvuru!$D:$D,$A$78)))</f>
        <v>0</v>
      </c>
      <c r="R78" s="177">
        <f>IF($A78="","",IF($A4="","",COUNTIFS(Başvuru!$I:$I,Toplantı!$B$20,Başvuru!$D:$D,$A$78)))</f>
        <v>0</v>
      </c>
      <c r="S78" s="178">
        <f t="shared" si="2"/>
        <v>1</v>
      </c>
    </row>
    <row r="79" spans="1:19" x14ac:dyDescent="0.25">
      <c r="A79" s="176" t="str">
        <f>IF(Birim!C81="","",Birim!C81)</f>
        <v>Kontrol ve Kumanda Sistemleri Anabilim Dalı</v>
      </c>
      <c r="B79" s="177">
        <f>IF($A79="","",IF($A4="","",COUNTIFS(Başvuru!$I:$I,Toplantı!$B$4,Başvuru!$D:$D,$A$79)))</f>
        <v>0</v>
      </c>
      <c r="C79" s="177">
        <f>IF($A79="","",IF($A4="","",COUNTIFS(Başvuru!$I:$I,Toplantı!$B$5,Başvuru!$D:$D,$A$79)))</f>
        <v>0</v>
      </c>
      <c r="D79" s="177">
        <f>IF($A79="","",IF($A4="","",COUNTIFS(Başvuru!$I:$I,Toplantı!$B$6,Başvuru!$D:$D,$A$79)))</f>
        <v>0</v>
      </c>
      <c r="E79" s="177">
        <f>IF($A79="","",IF($A4="","",COUNTIFS(Başvuru!$I:$I,Toplantı!$B$7,Başvuru!$D:$D,$A$79)))</f>
        <v>0</v>
      </c>
      <c r="F79" s="177">
        <f>IF($A79="","",IF($A4="","",COUNTIFS(Başvuru!$I:$I,Toplantı!$B$8,Başvuru!$D:$D,$A$79)))</f>
        <v>0</v>
      </c>
      <c r="G79" s="177">
        <f>IF($A79="","",IF($A4="","",COUNTIFS(Başvuru!$I:$I,Toplantı!$B$9,Başvuru!$D:$D,$A$79)))</f>
        <v>0</v>
      </c>
      <c r="H79" s="177">
        <f>IF($A79="","",IF($A4="","",COUNTIFS(Başvuru!$I:$I,Toplantı!$B$10,Başvuru!$D:$D,$A$79)))</f>
        <v>0</v>
      </c>
      <c r="I79" s="177">
        <f>IF($A79="","",IF($A4="","",COUNTIFS(Başvuru!$I:$I,Toplantı!$B$11,Başvuru!$D:$D,$A$79)))</f>
        <v>0</v>
      </c>
      <c r="J79" s="177">
        <f>IF($A79="","",IF($A4="","",COUNTIFS(Başvuru!$I:$I,Toplantı!$B$12,Başvuru!$D:$D,$A$79)))</f>
        <v>0</v>
      </c>
      <c r="K79" s="177">
        <f>IF($A79="","",IF($A4="","",COUNTIFS(Başvuru!$I:$I,Toplantı!$B$13,Başvuru!$D:$D,$A$79)))</f>
        <v>0</v>
      </c>
      <c r="L79" s="177">
        <f>IF($A79="","",IF($A4="","",COUNTIFS(Başvuru!$I:$I,Toplantı!$B$14,Başvuru!$D:$D,$A$79)))</f>
        <v>0</v>
      </c>
      <c r="M79" s="177">
        <f>IF($A79="","",IF($A4="","",COUNTIFS(Başvuru!$I:$I,Toplantı!$B$15,Başvuru!$D:$D,$A$79)))</f>
        <v>0</v>
      </c>
      <c r="N79" s="177">
        <f>IF($A79="","",IF($A4="","",COUNTIFS(Başvuru!$I:$I,Toplantı!$B$16,Başvuru!$D:$D,$A$79)))</f>
        <v>1</v>
      </c>
      <c r="O79" s="177">
        <f>IF($A79="","",IF($A4="","",COUNTIFS(Başvuru!$I:$I,Toplantı!$B$17,Başvuru!$D:$D,$A$79)))</f>
        <v>0</v>
      </c>
      <c r="P79" s="177">
        <f>IF($A79="","",IF($A4="","",COUNTIFS(Başvuru!$I:$I,Toplantı!$B$18,Başvuru!$D:$D,$A$79)))</f>
        <v>0</v>
      </c>
      <c r="Q79" s="177">
        <f>IF($A79="","",IF($A4="","",COUNTIFS(Başvuru!$I:$I,Toplantı!$B$19,Başvuru!$D:$D,$A$79)))</f>
        <v>0</v>
      </c>
      <c r="R79" s="177">
        <f>IF($A79="","",IF($A4="","",COUNTIFS(Başvuru!$I:$I,Toplantı!$B$20,Başvuru!$D:$D,$A$79)))</f>
        <v>0</v>
      </c>
      <c r="S79" s="178">
        <f t="shared" si="2"/>
        <v>1</v>
      </c>
    </row>
    <row r="80" spans="1:19" x14ac:dyDescent="0.25">
      <c r="A80" s="176" t="str">
        <f>IF(Birim!C82="","",Birim!C82)</f>
        <v>Biyomühendislik Anabilim Dalı</v>
      </c>
      <c r="B80" s="177">
        <f>IF($A80="","",IF($A4="","",COUNTIFS(Başvuru!$I:$I,Toplantı!$B$4,Başvuru!$D:$D,$A$80)))</f>
        <v>0</v>
      </c>
      <c r="C80" s="177">
        <f>IF($A80="","",IF($A4="","",COUNTIFS(Başvuru!$I:$I,Toplantı!$B$5,Başvuru!$D:$D,$A$80)))</f>
        <v>0</v>
      </c>
      <c r="D80" s="177">
        <f>IF($A80="","",IF($A4="","",COUNTIFS(Başvuru!$I:$I,Toplantı!$B$6,Başvuru!$D:$D,$A$80)))</f>
        <v>0</v>
      </c>
      <c r="E80" s="177">
        <f>IF($A80="","",IF($A4="","",COUNTIFS(Başvuru!$I:$I,Toplantı!$B$7,Başvuru!$D:$D,$A$80)))</f>
        <v>0</v>
      </c>
      <c r="F80" s="177">
        <f>IF($A80="","",IF($A4="","",COUNTIFS(Başvuru!$I:$I,Toplantı!$B$8,Başvuru!$D:$D,$A$80)))</f>
        <v>0</v>
      </c>
      <c r="G80" s="177">
        <f>IF($A80="","",IF($A4="","",COUNTIFS(Başvuru!$I:$I,Toplantı!$B$9,Başvuru!$D:$D,$A$80)))</f>
        <v>0</v>
      </c>
      <c r="H80" s="177">
        <f>IF($A80="","",IF($A4="","",COUNTIFS(Başvuru!$I:$I,Toplantı!$B$10,Başvuru!$D:$D,$A$80)))</f>
        <v>0</v>
      </c>
      <c r="I80" s="177">
        <f>IF($A80="","",IF($A4="","",COUNTIFS(Başvuru!$I:$I,Toplantı!$B$11,Başvuru!$D:$D,$A$80)))</f>
        <v>0</v>
      </c>
      <c r="J80" s="177">
        <f>IF($A80="","",IF($A4="","",COUNTIFS(Başvuru!$I:$I,Toplantı!$B$12,Başvuru!$D:$D,$A$80)))</f>
        <v>0</v>
      </c>
      <c r="K80" s="177">
        <f>IF($A80="","",IF($A4="","",COUNTIFS(Başvuru!$I:$I,Toplantı!$B$13,Başvuru!$D:$D,$A$80)))</f>
        <v>0</v>
      </c>
      <c r="L80" s="177">
        <f>IF($A80="","",IF($A4="","",COUNTIFS(Başvuru!$I:$I,Toplantı!$B$14,Başvuru!$D:$D,$A$80)))</f>
        <v>0</v>
      </c>
      <c r="M80" s="177">
        <f>IF($A80="","",IF($A4="","",COUNTIFS(Başvuru!$I:$I,Toplantı!$B$15,Başvuru!$D:$D,$A$80)))</f>
        <v>0</v>
      </c>
      <c r="N80" s="177">
        <f>IF($A80="","",IF($A4="","",COUNTIFS(Başvuru!$I:$I,Toplantı!$B$16,Başvuru!$D:$D,$A$80)))</f>
        <v>0</v>
      </c>
      <c r="O80" s="177">
        <f>IF($A80="","",IF($A4="","",COUNTIFS(Başvuru!$I:$I,Toplantı!$B$17,Başvuru!$D:$D,$A$80)))</f>
        <v>1</v>
      </c>
      <c r="P80" s="177">
        <f>IF($A80="","",IF($A4="","",COUNTIFS(Başvuru!$I:$I,Toplantı!$B$18,Başvuru!$D:$D,$A$80)))</f>
        <v>0</v>
      </c>
      <c r="Q80" s="177">
        <f>IF($A80="","",IF($A4="","",COUNTIFS(Başvuru!$I:$I,Toplantı!$B$19,Başvuru!$D:$D,$A$80)))</f>
        <v>0</v>
      </c>
      <c r="R80" s="177">
        <f>IF($A80="","",IF($A4="","",COUNTIFS(Başvuru!$I:$I,Toplantı!$B$20,Başvuru!$D:$D,$A$80)))</f>
        <v>0</v>
      </c>
      <c r="S80" s="178">
        <f t="shared" si="2"/>
        <v>1</v>
      </c>
    </row>
    <row r="81" spans="1:19" x14ac:dyDescent="0.25">
      <c r="A81" s="176" t="str">
        <f>IF(Birim!C83="","",Birim!C83)</f>
        <v>Bilgisayar Bilimleri Anabilim Dalı</v>
      </c>
      <c r="B81" s="177">
        <f>IF($A81="","",IF($A4="","",COUNTIFS(Başvuru!$I:$I,Toplantı!$B$4,Başvuru!$D:$D,$A$81)))</f>
        <v>0</v>
      </c>
      <c r="C81" s="177">
        <f>IF($A81="","",IF($A4="","",COUNTIFS(Başvuru!$I:$I,Toplantı!$B$5,Başvuru!$D:$D,$A$81)))</f>
        <v>0</v>
      </c>
      <c r="D81" s="177">
        <f>IF($A81="","",IF($A4="","",COUNTIFS(Başvuru!$I:$I,Toplantı!$B$6,Başvuru!$D:$D,$A$81)))</f>
        <v>0</v>
      </c>
      <c r="E81" s="177">
        <f>IF($A81="","",IF($A4="","",COUNTIFS(Başvuru!$I:$I,Toplantı!$B$7,Başvuru!$D:$D,$A$81)))</f>
        <v>0</v>
      </c>
      <c r="F81" s="177">
        <f>IF($A81="","",IF($A4="","",COUNTIFS(Başvuru!$I:$I,Toplantı!$B$8,Başvuru!$D:$D,$A$81)))</f>
        <v>0</v>
      </c>
      <c r="G81" s="177">
        <f>IF($A81="","",IF($A4="","",COUNTIFS(Başvuru!$I:$I,Toplantı!$B$9,Başvuru!$D:$D,$A$81)))</f>
        <v>0</v>
      </c>
      <c r="H81" s="177">
        <f>IF($A81="","",IF($A4="","",COUNTIFS(Başvuru!$I:$I,Toplantı!$B$10,Başvuru!$D:$D,$A$81)))</f>
        <v>0</v>
      </c>
      <c r="I81" s="177">
        <f>IF($A81="","",IF($A4="","",COUNTIFS(Başvuru!$I:$I,Toplantı!$B$11,Başvuru!$D:$D,$A$81)))</f>
        <v>0</v>
      </c>
      <c r="J81" s="177">
        <f>IF($A81="","",IF($A4="","",COUNTIFS(Başvuru!$I:$I,Toplantı!$B$12,Başvuru!$D:$D,$A$81)))</f>
        <v>0</v>
      </c>
      <c r="K81" s="177">
        <f>IF($A81="","",IF($A4="","",COUNTIFS(Başvuru!$I:$I,Toplantı!$B$13,Başvuru!$D:$D,$A$81)))</f>
        <v>0</v>
      </c>
      <c r="L81" s="177">
        <f>IF($A81="","",IF($A4="","",COUNTIFS(Başvuru!$I:$I,Toplantı!$B$14,Başvuru!$D:$D,$A$81)))</f>
        <v>0</v>
      </c>
      <c r="M81" s="177">
        <f>IF($A81="","",IF($A4="","",COUNTIFS(Başvuru!$I:$I,Toplantı!$B$15,Başvuru!$D:$D,$A$81)))</f>
        <v>0</v>
      </c>
      <c r="N81" s="177">
        <f>IF($A81="","",IF($A4="","",COUNTIFS(Başvuru!$I:$I,Toplantı!$B$16,Başvuru!$D:$D,$A$81)))</f>
        <v>0</v>
      </c>
      <c r="O81" s="177">
        <f>IF($A81="","",IF($A4="","",COUNTIFS(Başvuru!$I:$I,Toplantı!$B$17,Başvuru!$D:$D,$A$81)))</f>
        <v>1</v>
      </c>
      <c r="P81" s="177">
        <f>IF($A81="","",IF($A4="","",COUNTIFS(Başvuru!$I:$I,Toplantı!$B$18,Başvuru!$D:$D,$A$81)))</f>
        <v>0</v>
      </c>
      <c r="Q81" s="177">
        <f>IF($A81="","",IF($A4="","",COUNTIFS(Başvuru!$I:$I,Toplantı!$B$19,Başvuru!$D:$D,$A$81)))</f>
        <v>0</v>
      </c>
      <c r="R81" s="177">
        <f>IF($A81="","",IF($A4="","",COUNTIFS(Başvuru!$I:$I,Toplantı!$B$20,Başvuru!$D:$D,$A$81)))</f>
        <v>0</v>
      </c>
      <c r="S81" s="178">
        <f t="shared" si="2"/>
        <v>1</v>
      </c>
    </row>
    <row r="82" spans="1:19" x14ac:dyDescent="0.25">
      <c r="A82" s="176" t="str">
        <f>IF(Birim!C84="","",Birim!C84)</f>
        <v>Tıp Tarihi ve Etik Anabilim Dalı</v>
      </c>
      <c r="B82" s="177">
        <f>IF($A82="","",IF($A4="","",COUNTIFS(Başvuru!$I:$I,Toplantı!$B$4,Başvuru!$D:$D,$A$82)))</f>
        <v>0</v>
      </c>
      <c r="C82" s="177">
        <f>IF($A82="","",IF($A4="","",COUNTIFS(Başvuru!$I:$I,Toplantı!$B$5,Başvuru!$D:$D,$A$82)))</f>
        <v>0</v>
      </c>
      <c r="D82" s="177">
        <f>IF($A82="","",IF($A4="","",COUNTIFS(Başvuru!$I:$I,Toplantı!$B$6,Başvuru!$D:$D,$A$82)))</f>
        <v>0</v>
      </c>
      <c r="E82" s="177">
        <f>IF($A82="","",IF($A4="","",COUNTIFS(Başvuru!$I:$I,Toplantı!$B$7,Başvuru!$D:$D,$A$82)))</f>
        <v>0</v>
      </c>
      <c r="F82" s="177">
        <f>IF($A82="","",IF($A4="","",COUNTIFS(Başvuru!$I:$I,Toplantı!$B$8,Başvuru!$D:$D,$A$82)))</f>
        <v>0</v>
      </c>
      <c r="G82" s="177">
        <f>IF($A82="","",IF($A4="","",COUNTIFS(Başvuru!$I:$I,Toplantı!$B$9,Başvuru!$D:$D,$A$82)))</f>
        <v>0</v>
      </c>
      <c r="H82" s="177">
        <f>IF($A82="","",IF($A4="","",COUNTIFS(Başvuru!$I:$I,Toplantı!$B$10,Başvuru!$D:$D,$A$82)))</f>
        <v>0</v>
      </c>
      <c r="I82" s="177">
        <f>IF($A82="","",IF($A4="","",COUNTIFS(Başvuru!$I:$I,Toplantı!$B$11,Başvuru!$D:$D,$A$82)))</f>
        <v>0</v>
      </c>
      <c r="J82" s="177">
        <f>IF($A82="","",IF($A4="","",COUNTIFS(Başvuru!$I:$I,Toplantı!$B$12,Başvuru!$D:$D,$A$82)))</f>
        <v>0</v>
      </c>
      <c r="K82" s="177">
        <f>IF($A82="","",IF($A4="","",COUNTIFS(Başvuru!$I:$I,Toplantı!$B$13,Başvuru!$D:$D,$A$82)))</f>
        <v>0</v>
      </c>
      <c r="L82" s="177">
        <f>IF($A82="","",IF($A4="","",COUNTIFS(Başvuru!$I:$I,Toplantı!$B$14,Başvuru!$D:$D,$A$82)))</f>
        <v>0</v>
      </c>
      <c r="M82" s="177">
        <f>IF($A82="","",IF($A4="","",COUNTIFS(Başvuru!$I:$I,Toplantı!$B$15,Başvuru!$D:$D,$A$82)))</f>
        <v>0</v>
      </c>
      <c r="N82" s="177">
        <f>IF($A82="","",IF($A4="","",COUNTIFS(Başvuru!$I:$I,Toplantı!$B$16,Başvuru!$D:$D,$A$82)))</f>
        <v>0</v>
      </c>
      <c r="O82" s="177">
        <f>IF($A82="","",IF($A4="","",COUNTIFS(Başvuru!$I:$I,Toplantı!$B$17,Başvuru!$D:$D,$A$82)))</f>
        <v>0</v>
      </c>
      <c r="P82" s="177">
        <f>IF($A82="","",IF($A4="","",COUNTIFS(Başvuru!$I:$I,Toplantı!$B$18,Başvuru!$D:$D,$A$82)))</f>
        <v>1</v>
      </c>
      <c r="Q82" s="177">
        <f>IF($A82="","",IF($A4="","",COUNTIFS(Başvuru!$I:$I,Toplantı!$B$19,Başvuru!$D:$D,$A$82)))</f>
        <v>0</v>
      </c>
      <c r="R82" s="177">
        <f>IF($A82="","",IF($A4="","",COUNTIFS(Başvuru!$I:$I,Toplantı!$B$20,Başvuru!$D:$D,$A$82)))</f>
        <v>0</v>
      </c>
      <c r="S82" s="178">
        <f t="shared" si="2"/>
        <v>1</v>
      </c>
    </row>
    <row r="83" spans="1:19" x14ac:dyDescent="0.25">
      <c r="A83" s="176" t="str">
        <f>IF(Birim!C85="","",Birim!C85)</f>
        <v>Farmakoloji Anabilim Dalı</v>
      </c>
      <c r="B83" s="177">
        <f>IF($A83="","",IF($A4="","",COUNTIFS(Başvuru!$I:$I,Toplantı!$B$4,Başvuru!$D:$D,$A$83)))</f>
        <v>0</v>
      </c>
      <c r="C83" s="177">
        <f>IF($A83="","",IF($A4="","",COUNTIFS(Başvuru!$I:$I,Toplantı!$B$5,Başvuru!$D:$D,$A$83)))</f>
        <v>0</v>
      </c>
      <c r="D83" s="177">
        <f>IF($A83="","",IF($A4="","",COUNTIFS(Başvuru!$I:$I,Toplantı!$B$6,Başvuru!$D:$D,$A$83)))</f>
        <v>0</v>
      </c>
      <c r="E83" s="177">
        <f>IF($A83="","",IF($A4="","",COUNTIFS(Başvuru!$I:$I,Toplantı!$B$7,Başvuru!$D:$D,$A$83)))</f>
        <v>0</v>
      </c>
      <c r="F83" s="177">
        <f>IF($A83="","",IF($A4="","",COUNTIFS(Başvuru!$I:$I,Toplantı!$B$8,Başvuru!$D:$D,$A$83)))</f>
        <v>0</v>
      </c>
      <c r="G83" s="177">
        <f>IF($A83="","",IF($A4="","",COUNTIFS(Başvuru!$I:$I,Toplantı!$B$9,Başvuru!$D:$D,$A$83)))</f>
        <v>0</v>
      </c>
      <c r="H83" s="177">
        <f>IF($A83="","",IF($A4="","",COUNTIFS(Başvuru!$I:$I,Toplantı!$B$10,Başvuru!$D:$D,$A$83)))</f>
        <v>0</v>
      </c>
      <c r="I83" s="177">
        <f>IF($A83="","",IF($A4="","",COUNTIFS(Başvuru!$I:$I,Toplantı!$B$11,Başvuru!$D:$D,$A$83)))</f>
        <v>0</v>
      </c>
      <c r="J83" s="177">
        <f>IF($A83="","",IF($A4="","",COUNTIFS(Başvuru!$I:$I,Toplantı!$B$12,Başvuru!$D:$D,$A$83)))</f>
        <v>0</v>
      </c>
      <c r="K83" s="177">
        <f>IF($A83="","",IF($A4="","",COUNTIFS(Başvuru!$I:$I,Toplantı!$B$13,Başvuru!$D:$D,$A$83)))</f>
        <v>0</v>
      </c>
      <c r="L83" s="177">
        <f>IF($A83="","",IF($A4="","",COUNTIFS(Başvuru!$I:$I,Toplantı!$B$14,Başvuru!$D:$D,$A$83)))</f>
        <v>0</v>
      </c>
      <c r="M83" s="177">
        <f>IF($A83="","",IF($A4="","",COUNTIFS(Başvuru!$I:$I,Toplantı!$B$15,Başvuru!$D:$D,$A$83)))</f>
        <v>0</v>
      </c>
      <c r="N83" s="177">
        <f>IF($A83="","",IF($A4="","",COUNTIFS(Başvuru!$I:$I,Toplantı!$B$16,Başvuru!$D:$D,$A$83)))</f>
        <v>0</v>
      </c>
      <c r="O83" s="177">
        <f>IF($A83="","",IF($A4="","",COUNTIFS(Başvuru!$I:$I,Toplantı!$B$17,Başvuru!$D:$D,$A$83)))</f>
        <v>0</v>
      </c>
      <c r="P83" s="177">
        <f>IF($A83="","",IF($A4="","",COUNTIFS(Başvuru!$I:$I,Toplantı!$B$18,Başvuru!$D:$D,$A$83)))</f>
        <v>1</v>
      </c>
      <c r="Q83" s="177">
        <f>IF($A83="","",IF($A4="","",COUNTIFS(Başvuru!$I:$I,Toplantı!$B$19,Başvuru!$D:$D,$A$83)))</f>
        <v>0</v>
      </c>
      <c r="R83" s="177">
        <f>IF($A83="","",IF($A4="","",COUNTIFS(Başvuru!$I:$I,Toplantı!$B$20,Başvuru!$D:$D,$A$83)))</f>
        <v>0</v>
      </c>
      <c r="S83" s="178">
        <f t="shared" si="2"/>
        <v>1</v>
      </c>
    </row>
    <row r="84" spans="1:19" x14ac:dyDescent="0.25">
      <c r="A84" s="176" t="str">
        <f>IF(Birim!C86="","",Birim!C86)</f>
        <v>Sosyoloji ve Metodoloji Anabilim Dalı</v>
      </c>
      <c r="B84" s="177">
        <f>IF($A84="","",IF($A4="","",COUNTIFS(Başvuru!$I:$I,Toplantı!$B$4,Başvuru!$D:$D,$A$84)))</f>
        <v>0</v>
      </c>
      <c r="C84" s="177">
        <f>IF($A84="","",IF($A4="","",COUNTIFS(Başvuru!$I:$I,Toplantı!$B$5,Başvuru!$D:$D,$A$84)))</f>
        <v>0</v>
      </c>
      <c r="D84" s="177">
        <f>IF($A84="","",IF($A4="","",COUNTIFS(Başvuru!$I:$I,Toplantı!$B$6,Başvuru!$D:$D,$A$84)))</f>
        <v>0</v>
      </c>
      <c r="E84" s="177">
        <f>IF($A84="","",IF($A4="","",COUNTIFS(Başvuru!$I:$I,Toplantı!$B$7,Başvuru!$D:$D,$A$84)))</f>
        <v>0</v>
      </c>
      <c r="F84" s="177">
        <f>IF($A84="","",IF($A4="","",COUNTIFS(Başvuru!$I:$I,Toplantı!$B$8,Başvuru!$D:$D,$A$84)))</f>
        <v>0</v>
      </c>
      <c r="G84" s="177">
        <f>IF($A84="","",IF($A4="","",COUNTIFS(Başvuru!$I:$I,Toplantı!$B$9,Başvuru!$D:$D,$A$84)))</f>
        <v>0</v>
      </c>
      <c r="H84" s="177">
        <f>IF($A84="","",IF($A4="","",COUNTIFS(Başvuru!$I:$I,Toplantı!$B$10,Başvuru!$D:$D,$A$84)))</f>
        <v>0</v>
      </c>
      <c r="I84" s="177">
        <f>IF($A84="","",IF($A4="","",COUNTIFS(Başvuru!$I:$I,Toplantı!$B$11,Başvuru!$D:$D,$A$84)))</f>
        <v>0</v>
      </c>
      <c r="J84" s="177">
        <f>IF($A84="","",IF($A4="","",COUNTIFS(Başvuru!$I:$I,Toplantı!$B$12,Başvuru!$D:$D,$A$84)))</f>
        <v>0</v>
      </c>
      <c r="K84" s="177">
        <f>IF($A84="","",IF($A4="","",COUNTIFS(Başvuru!$I:$I,Toplantı!$B$13,Başvuru!$D:$D,$A$84)))</f>
        <v>0</v>
      </c>
      <c r="L84" s="177">
        <f>IF($A84="","",IF($A4="","",COUNTIFS(Başvuru!$I:$I,Toplantı!$B$14,Başvuru!$D:$D,$A$84)))</f>
        <v>0</v>
      </c>
      <c r="M84" s="177">
        <f>IF($A84="","",IF($A4="","",COUNTIFS(Başvuru!$I:$I,Toplantı!$B$15,Başvuru!$D:$D,$A$84)))</f>
        <v>0</v>
      </c>
      <c r="N84" s="177">
        <f>IF($A84="","",IF($A4="","",COUNTIFS(Başvuru!$I:$I,Toplantı!$B$16,Başvuru!$D:$D,$A$84)))</f>
        <v>0</v>
      </c>
      <c r="O84" s="177">
        <f>IF($A84="","",IF($A4="","",COUNTIFS(Başvuru!$I:$I,Toplantı!$B$17,Başvuru!$D:$D,$A$84)))</f>
        <v>0</v>
      </c>
      <c r="P84" s="177">
        <f>IF($A84="","",IF($A4="","",COUNTIFS(Başvuru!$I:$I,Toplantı!$B$18,Başvuru!$D:$D,$A$84)))</f>
        <v>1</v>
      </c>
      <c r="Q84" s="177">
        <f>IF($A84="","",IF($A4="","",COUNTIFS(Başvuru!$I:$I,Toplantı!$B$19,Başvuru!$D:$D,$A$84)))</f>
        <v>0</v>
      </c>
      <c r="R84" s="177">
        <f>IF($A84="","",IF($A4="","",COUNTIFS(Başvuru!$I:$I,Toplantı!$B$20,Başvuru!$D:$D,$A$84)))</f>
        <v>0</v>
      </c>
      <c r="S84" s="178">
        <f t="shared" si="2"/>
        <v>1</v>
      </c>
    </row>
    <row r="85" spans="1:19" ht="24" customHeight="1" x14ac:dyDescent="0.25">
      <c r="A85" s="176" t="str">
        <f>IF(Birim!C87="","",Birim!C87)</f>
        <v>Sağlık Bilimleri Üniversitesi
Ulucanlar Göz Eğitim ve Araştırma Hastanesi</v>
      </c>
      <c r="B85" s="177">
        <f>IF($A85="","",IF($A4="","",COUNTIFS(Başvuru!$I:$I,Toplantı!$B$4,Başvuru!$D:$D,$A$85)))</f>
        <v>0</v>
      </c>
      <c r="C85" s="177">
        <f>IF($A85="","",IF($A4="","",COUNTIFS(Başvuru!$I:$I,Toplantı!$B$5,Başvuru!$D:$D,$A$85)))</f>
        <v>0</v>
      </c>
      <c r="D85" s="177">
        <f>IF($A85="","",IF($A4="","",COUNTIFS(Başvuru!$I:$I,Toplantı!$B$6,Başvuru!$D:$D,$A$85)))</f>
        <v>0</v>
      </c>
      <c r="E85" s="177">
        <f>IF($A85="","",IF($A4="","",COUNTIFS(Başvuru!$I:$I,Toplantı!$B$7,Başvuru!$D:$D,$A$85)))</f>
        <v>0</v>
      </c>
      <c r="F85" s="177">
        <f>IF($A85="","",IF($A4="","",COUNTIFS(Başvuru!$I:$I,Toplantı!$B$8,Başvuru!$D:$D,$A$85)))</f>
        <v>0</v>
      </c>
      <c r="G85" s="177">
        <f>IF($A85="","",IF($A4="","",COUNTIFS(Başvuru!$I:$I,Toplantı!$B$9,Başvuru!$D:$D,$A$85)))</f>
        <v>0</v>
      </c>
      <c r="H85" s="177">
        <f>IF($A85="","",IF($A4="","",COUNTIFS(Başvuru!$I:$I,Toplantı!$B$10,Başvuru!$D:$D,$A$85)))</f>
        <v>0</v>
      </c>
      <c r="I85" s="177">
        <f>IF($A85="","",IF($A4="","",COUNTIFS(Başvuru!$I:$I,Toplantı!$B$11,Başvuru!$D:$D,$A$85)))</f>
        <v>0</v>
      </c>
      <c r="J85" s="177">
        <f>IF($A85="","",IF($A4="","",COUNTIFS(Başvuru!$I:$I,Toplantı!$B$12,Başvuru!$D:$D,$A$85)))</f>
        <v>0</v>
      </c>
      <c r="K85" s="177">
        <f>IF($A85="","",IF($A4="","",COUNTIFS(Başvuru!$I:$I,Toplantı!$B$13,Başvuru!$D:$D,$A$85)))</f>
        <v>0</v>
      </c>
      <c r="L85" s="177">
        <f>IF($A85="","",IF($A4="","",COUNTIFS(Başvuru!$I:$I,Toplantı!$B$14,Başvuru!$D:$D,$A$85)))</f>
        <v>0</v>
      </c>
      <c r="M85" s="177">
        <f>IF($A85="","",IF($A4="","",COUNTIFS(Başvuru!$I:$I,Toplantı!$B$15,Başvuru!$D:$D,$A$85)))</f>
        <v>0</v>
      </c>
      <c r="N85" s="177">
        <f>IF($A85="","",IF($A4="","",COUNTIFS(Başvuru!$I:$I,Toplantı!$B$16,Başvuru!$D:$D,$A$85)))</f>
        <v>0</v>
      </c>
      <c r="O85" s="177">
        <f>IF($A85="","",IF($A4="","",COUNTIFS(Başvuru!$I:$I,Toplantı!$B$17,Başvuru!$D:$D,$A$85)))</f>
        <v>0</v>
      </c>
      <c r="P85" s="177">
        <f>IF($A85="","",IF($A4="","",COUNTIFS(Başvuru!$I:$I,Toplantı!$B$18,Başvuru!$D:$D,$A$85)))</f>
        <v>0</v>
      </c>
      <c r="Q85" s="177">
        <f>IF($A85="","",IF($A4="","",COUNTIFS(Başvuru!$I:$I,Toplantı!$B$19,Başvuru!$D:$D,$A$85)))</f>
        <v>1</v>
      </c>
      <c r="R85" s="177">
        <f>IF($A85="","",IF($A4="","",COUNTIFS(Başvuru!$I:$I,Toplantı!$B$20,Başvuru!$D:$D,$A$85)))</f>
        <v>0</v>
      </c>
      <c r="S85" s="178">
        <f t="shared" si="2"/>
        <v>1</v>
      </c>
    </row>
    <row r="86" spans="1:19" x14ac:dyDescent="0.25">
      <c r="A86" s="176" t="str">
        <f>IF(Birim!C88="","",Birim!C88)</f>
        <v/>
      </c>
      <c r="B86" s="177" t="str">
        <f>IF($A86="","",IF($A4="","",COUNTIFS(Başvuru!$I:$I,Toplantı!$B$4,Başvuru!$D:$D,$A$86)))</f>
        <v/>
      </c>
      <c r="C86" s="177" t="str">
        <f>IF($A86="","",IF($A4="","",COUNTIFS(Başvuru!$I:$I,Toplantı!$B$5,Başvuru!$D:$D,$A$86)))</f>
        <v/>
      </c>
      <c r="D86" s="177" t="str">
        <f>IF($A86="","",IF($A4="","",COUNTIFS(Başvuru!$I:$I,Toplantı!$B$6,Başvuru!$D:$D,$A$86)))</f>
        <v/>
      </c>
      <c r="E86" s="177" t="str">
        <f>IF($A86="","",IF($A4="","",COUNTIFS(Başvuru!$I:$I,Toplantı!$B$7,Başvuru!$D:$D,$A$86)))</f>
        <v/>
      </c>
      <c r="F86" s="177" t="str">
        <f>IF($A86="","",IF($A4="","",COUNTIFS(Başvuru!$I:$I,Toplantı!$B$8,Başvuru!$D:$D,$A$86)))</f>
        <v/>
      </c>
      <c r="G86" s="177" t="str">
        <f>IF($A86="","",IF($A4="","",COUNTIFS(Başvuru!$I:$I,Toplantı!$B$9,Başvuru!$D:$D,$A$86)))</f>
        <v/>
      </c>
      <c r="H86" s="177" t="str">
        <f>IF($A86="","",IF($A4="","",COUNTIFS(Başvuru!$I:$I,Toplantı!$B$10,Başvuru!$D:$D,$A$86)))</f>
        <v/>
      </c>
      <c r="I86" s="177" t="str">
        <f>IF($A86="","",IF($A4="","",COUNTIFS(Başvuru!$I:$I,Toplantı!$B$11,Başvuru!$D:$D,$A$86)))</f>
        <v/>
      </c>
      <c r="J86" s="177" t="str">
        <f>IF($A86="","",IF($A4="","",COUNTIFS(Başvuru!$I:$I,Toplantı!$B$12,Başvuru!$D:$D,$A$86)))</f>
        <v/>
      </c>
      <c r="K86" s="177" t="str">
        <f>IF($A86="","",IF($A4="","",COUNTIFS(Başvuru!$I:$I,Toplantı!$B$13,Başvuru!$D:$D,$A$86)))</f>
        <v/>
      </c>
      <c r="L86" s="177" t="str">
        <f>IF($A86="","",IF($A4="","",COUNTIFS(Başvuru!$I:$I,Toplantı!$B$14,Başvuru!$D:$D,$A$86)))</f>
        <v/>
      </c>
      <c r="M86" s="177" t="str">
        <f>IF($A86="","",IF($A4="","",COUNTIFS(Başvuru!$I:$I,Toplantı!$B$15,Başvuru!$D:$D,$A$86)))</f>
        <v/>
      </c>
      <c r="N86" s="177" t="str">
        <f>IF($A86="","",IF($A4="","",COUNTIFS(Başvuru!$I:$I,Toplantı!$B$16,Başvuru!$D:$D,$A$86)))</f>
        <v/>
      </c>
      <c r="O86" s="177" t="str">
        <f>IF($A86="","",IF($A4="","",COUNTIFS(Başvuru!$I:$I,Toplantı!$B$17,Başvuru!$D:$D,$A$86)))</f>
        <v/>
      </c>
      <c r="P86" s="177" t="str">
        <f>IF($A86="","",IF($A4="","",COUNTIFS(Başvuru!$I:$I,Toplantı!$B$18,Başvuru!$D:$D,$A$86)))</f>
        <v/>
      </c>
      <c r="Q86" s="177" t="str">
        <f>IF($A86="","",IF($A4="","",COUNTIFS(Başvuru!$I:$I,Toplantı!$B$19,Başvuru!$D:$D,$A$86)))</f>
        <v/>
      </c>
      <c r="R86" s="177" t="str">
        <f>IF($A86="","",IF($A4="","",COUNTIFS(Başvuru!$I:$I,Toplantı!$B$20,Başvuru!$D:$D,$A$86)))</f>
        <v/>
      </c>
      <c r="S86" s="178">
        <f t="shared" si="2"/>
        <v>0</v>
      </c>
    </row>
    <row r="87" spans="1:19" x14ac:dyDescent="0.25">
      <c r="A87" s="176" t="str">
        <f>IF(Birim!C89="","",Birim!C89)</f>
        <v/>
      </c>
      <c r="B87" s="177" t="str">
        <f>IF($A87="","",IF($A4="","",COUNTIFS(Başvuru!$I:$I,Toplantı!$B$4,Başvuru!$D:$D,$A$87)))</f>
        <v/>
      </c>
      <c r="C87" s="177" t="str">
        <f>IF($A87="","",IF($A4="","",COUNTIFS(Başvuru!$I:$I,Toplantı!$B$5,Başvuru!$D:$D,$A$87)))</f>
        <v/>
      </c>
      <c r="D87" s="177" t="str">
        <f>IF($A87="","",IF($A4="","",COUNTIFS(Başvuru!$I:$I,Toplantı!$B$6,Başvuru!$D:$D,$A$87)))</f>
        <v/>
      </c>
      <c r="E87" s="177" t="str">
        <f>IF($A87="","",IF($A4="","",COUNTIFS(Başvuru!$I:$I,Toplantı!$B$7,Başvuru!$D:$D,$A$87)))</f>
        <v/>
      </c>
      <c r="F87" s="177" t="str">
        <f>IF($A87="","",IF($A4="","",COUNTIFS(Başvuru!$I:$I,Toplantı!$B$8,Başvuru!$D:$D,$A$87)))</f>
        <v/>
      </c>
      <c r="G87" s="177" t="str">
        <f>IF($A87="","",IF($A4="","",COUNTIFS(Başvuru!$I:$I,Toplantı!$B$9,Başvuru!$D:$D,$A$87)))</f>
        <v/>
      </c>
      <c r="H87" s="177" t="str">
        <f>IF($A87="","",IF($A4="","",COUNTIFS(Başvuru!$I:$I,Toplantı!$B$10,Başvuru!$D:$D,$A$87)))</f>
        <v/>
      </c>
      <c r="I87" s="177" t="str">
        <f>IF($A87="","",IF($A4="","",COUNTIFS(Başvuru!$I:$I,Toplantı!$B$11,Başvuru!$D:$D,$A$87)))</f>
        <v/>
      </c>
      <c r="J87" s="177" t="str">
        <f>IF($A87="","",IF($A4="","",COUNTIFS(Başvuru!$I:$I,Toplantı!$B$12,Başvuru!$D:$D,$A$87)))</f>
        <v/>
      </c>
      <c r="K87" s="177" t="str">
        <f>IF($A87="","",IF($A4="","",COUNTIFS(Başvuru!$I:$I,Toplantı!$B$13,Başvuru!$D:$D,$A$87)))</f>
        <v/>
      </c>
      <c r="L87" s="177" t="str">
        <f>IF($A87="","",IF($A4="","",COUNTIFS(Başvuru!$I:$I,Toplantı!$B$14,Başvuru!$D:$D,$A$87)))</f>
        <v/>
      </c>
      <c r="M87" s="177" t="str">
        <f>IF($A87="","",IF($A4="","",COUNTIFS(Başvuru!$I:$I,Toplantı!$B$15,Başvuru!$D:$D,$A$87)))</f>
        <v/>
      </c>
      <c r="N87" s="177" t="str">
        <f>IF($A87="","",IF($A4="","",COUNTIFS(Başvuru!$I:$I,Toplantı!$B$16,Başvuru!$D:$D,$A$87)))</f>
        <v/>
      </c>
      <c r="O87" s="177" t="str">
        <f>IF($A87="","",IF($A4="","",COUNTIFS(Başvuru!$I:$I,Toplantı!$B$17,Başvuru!$D:$D,$A$87)))</f>
        <v/>
      </c>
      <c r="P87" s="177" t="str">
        <f>IF($A87="","",IF($A4="","",COUNTIFS(Başvuru!$I:$I,Toplantı!$B$18,Başvuru!$D:$D,$A$87)))</f>
        <v/>
      </c>
      <c r="Q87" s="177" t="str">
        <f>IF($A87="","",IF($A4="","",COUNTIFS(Başvuru!$I:$I,Toplantı!$B$19,Başvuru!$D:$D,$A$87)))</f>
        <v/>
      </c>
      <c r="R87" s="177" t="str">
        <f>IF($A87="","",IF($A4="","",COUNTIFS(Başvuru!$I:$I,Toplantı!$B$20,Başvuru!$D:$D,$A$87)))</f>
        <v/>
      </c>
      <c r="S87" s="178">
        <f t="shared" si="2"/>
        <v>0</v>
      </c>
    </row>
    <row r="88" spans="1:19" x14ac:dyDescent="0.25">
      <c r="A88" s="176" t="str">
        <f>IF(Birim!C90="","",Birim!C90)</f>
        <v/>
      </c>
      <c r="B88" s="177" t="str">
        <f>IF($A88="","",IF($A4="","",COUNTIFS(Başvuru!$I:$I,Toplantı!$B$4,Başvuru!$D:$D,$A$88)))</f>
        <v/>
      </c>
      <c r="C88" s="177" t="str">
        <f>IF($A88="","",IF($A4="","",COUNTIFS(Başvuru!$I:$I,Toplantı!$B$5,Başvuru!$D:$D,$A$88)))</f>
        <v/>
      </c>
      <c r="D88" s="177" t="str">
        <f>IF($A88="","",IF($A4="","",COUNTIFS(Başvuru!$I:$I,Toplantı!$B$6,Başvuru!$D:$D,$A$88)))</f>
        <v/>
      </c>
      <c r="E88" s="177" t="str">
        <f>IF($A88="","",IF($A4="","",COUNTIFS(Başvuru!$I:$I,Toplantı!$B$7,Başvuru!$D:$D,$A$88)))</f>
        <v/>
      </c>
      <c r="F88" s="177" t="str">
        <f>IF($A88="","",IF($A4="","",COUNTIFS(Başvuru!$I:$I,Toplantı!$B$8,Başvuru!$D:$D,$A$88)))</f>
        <v/>
      </c>
      <c r="G88" s="177" t="str">
        <f>IF($A88="","",IF($A4="","",COUNTIFS(Başvuru!$I:$I,Toplantı!$B$9,Başvuru!$D:$D,$A$88)))</f>
        <v/>
      </c>
      <c r="H88" s="177" t="str">
        <f>IF($A88="","",IF($A4="","",COUNTIFS(Başvuru!$I:$I,Toplantı!$B$10,Başvuru!$D:$D,$A$88)))</f>
        <v/>
      </c>
      <c r="I88" s="177" t="str">
        <f>IF($A88="","",IF($A4="","",COUNTIFS(Başvuru!$I:$I,Toplantı!$B$11,Başvuru!$D:$D,$A$88)))</f>
        <v/>
      </c>
      <c r="J88" s="177" t="str">
        <f>IF($A88="","",IF($A4="","",COUNTIFS(Başvuru!$I:$I,Toplantı!$B$12,Başvuru!$D:$D,$A$88)))</f>
        <v/>
      </c>
      <c r="K88" s="177" t="str">
        <f>IF($A88="","",IF($A4="","",COUNTIFS(Başvuru!$I:$I,Toplantı!$B$13,Başvuru!$D:$D,$A$88)))</f>
        <v/>
      </c>
      <c r="L88" s="177" t="str">
        <f>IF($A88="","",IF($A4="","",COUNTIFS(Başvuru!$I:$I,Toplantı!$B$14,Başvuru!$D:$D,$A$88)))</f>
        <v/>
      </c>
      <c r="M88" s="177" t="str">
        <f>IF($A88="","",IF($A4="","",COUNTIFS(Başvuru!$I:$I,Toplantı!$B$15,Başvuru!$D:$D,$A$88)))</f>
        <v/>
      </c>
      <c r="N88" s="177" t="str">
        <f>IF($A88="","",IF($A4="","",COUNTIFS(Başvuru!$I:$I,Toplantı!$B$16,Başvuru!$D:$D,$A$88)))</f>
        <v/>
      </c>
      <c r="O88" s="177" t="str">
        <f>IF($A88="","",IF($A4="","",COUNTIFS(Başvuru!$I:$I,Toplantı!$B$17,Başvuru!$D:$D,$A$88)))</f>
        <v/>
      </c>
      <c r="P88" s="177" t="str">
        <f>IF($A88="","",IF($A4="","",COUNTIFS(Başvuru!$I:$I,Toplantı!$B$18,Başvuru!$D:$D,$A$88)))</f>
        <v/>
      </c>
      <c r="Q88" s="177" t="str">
        <f>IF($A88="","",IF($A4="","",COUNTIFS(Başvuru!$I:$I,Toplantı!$B$19,Başvuru!$D:$D,$A$88)))</f>
        <v/>
      </c>
      <c r="R88" s="177" t="str">
        <f>IF($A88="","",IF($A4="","",COUNTIFS(Başvuru!$I:$I,Toplantı!$B$20,Başvuru!$D:$D,$A$88)))</f>
        <v/>
      </c>
      <c r="S88" s="178">
        <f t="shared" si="2"/>
        <v>0</v>
      </c>
    </row>
    <row r="89" spans="1:19" x14ac:dyDescent="0.25">
      <c r="A89" s="176" t="str">
        <f>IF(Birim!C91="","",Birim!C91)</f>
        <v/>
      </c>
      <c r="B89" s="177" t="str">
        <f>IF($A89="","",IF($A4="","",COUNTIFS(Başvuru!$I:$I,Toplantı!$B$4,Başvuru!$D:$D,$A$89)))</f>
        <v/>
      </c>
      <c r="C89" s="177" t="str">
        <f>IF($A89="","",IF($A4="","",COUNTIFS(Başvuru!$I:$I,Toplantı!$B$5,Başvuru!$D:$D,$A$89)))</f>
        <v/>
      </c>
      <c r="D89" s="177" t="str">
        <f>IF($A89="","",IF($A4="","",COUNTIFS(Başvuru!$I:$I,Toplantı!$B$6,Başvuru!$D:$D,$A$89)))</f>
        <v/>
      </c>
      <c r="E89" s="177" t="str">
        <f>IF($A89="","",IF($A4="","",COUNTIFS(Başvuru!$I:$I,Toplantı!$B$7,Başvuru!$D:$D,$A$89)))</f>
        <v/>
      </c>
      <c r="F89" s="177" t="str">
        <f>IF($A89="","",IF($A4="","",COUNTIFS(Başvuru!$I:$I,Toplantı!$B$8,Başvuru!$D:$D,$A$89)))</f>
        <v/>
      </c>
      <c r="G89" s="177" t="str">
        <f>IF($A89="","",IF($A4="","",COUNTIFS(Başvuru!$I:$I,Toplantı!$B$9,Başvuru!$D:$D,$A$89)))</f>
        <v/>
      </c>
      <c r="H89" s="177" t="str">
        <f>IF($A89="","",IF($A4="","",COUNTIFS(Başvuru!$I:$I,Toplantı!$B$10,Başvuru!$D:$D,$A$89)))</f>
        <v/>
      </c>
      <c r="I89" s="177" t="str">
        <f>IF($A89="","",IF($A4="","",COUNTIFS(Başvuru!$I:$I,Toplantı!$B$11,Başvuru!$D:$D,$A$89)))</f>
        <v/>
      </c>
      <c r="J89" s="177" t="str">
        <f>IF($A89="","",IF($A4="","",COUNTIFS(Başvuru!$I:$I,Toplantı!$B$12,Başvuru!$D:$D,$A$89)))</f>
        <v/>
      </c>
      <c r="K89" s="177" t="str">
        <f>IF($A89="","",IF($A4="","",COUNTIFS(Başvuru!$I:$I,Toplantı!$B$13,Başvuru!$D:$D,$A$89)))</f>
        <v/>
      </c>
      <c r="L89" s="177" t="str">
        <f>IF($A89="","",IF($A4="","",COUNTIFS(Başvuru!$I:$I,Toplantı!$B$14,Başvuru!$D:$D,$A$89)))</f>
        <v/>
      </c>
      <c r="M89" s="177" t="str">
        <f>IF($A89="","",IF($A4="","",COUNTIFS(Başvuru!$I:$I,Toplantı!$B$15,Başvuru!$D:$D,$A$89)))</f>
        <v/>
      </c>
      <c r="N89" s="177" t="str">
        <f>IF($A89="","",IF($A4="","",COUNTIFS(Başvuru!$I:$I,Toplantı!$B$16,Başvuru!$D:$D,$A$89)))</f>
        <v/>
      </c>
      <c r="O89" s="177" t="str">
        <f>IF($A89="","",IF($A4="","",COUNTIFS(Başvuru!$I:$I,Toplantı!$B$17,Başvuru!$D:$D,$A$89)))</f>
        <v/>
      </c>
      <c r="P89" s="177" t="str">
        <f>IF($A89="","",IF($A4="","",COUNTIFS(Başvuru!$I:$I,Toplantı!$B$18,Başvuru!$D:$D,$A$89)))</f>
        <v/>
      </c>
      <c r="Q89" s="177" t="str">
        <f>IF($A89="","",IF($A4="","",COUNTIFS(Başvuru!$I:$I,Toplantı!$B$19,Başvuru!$D:$D,$A$89)))</f>
        <v/>
      </c>
      <c r="R89" s="177" t="str">
        <f>IF($A89="","",IF($A4="","",COUNTIFS(Başvuru!$I:$I,Toplantı!$B$20,Başvuru!$D:$D,$A$89)))</f>
        <v/>
      </c>
      <c r="S89" s="178">
        <f t="shared" si="2"/>
        <v>0</v>
      </c>
    </row>
    <row r="90" spans="1:19" x14ac:dyDescent="0.25">
      <c r="A90" s="176" t="str">
        <f>IF(Birim!C92="","",Birim!C92)</f>
        <v/>
      </c>
      <c r="B90" s="177" t="str">
        <f>IF($A90="","",IF($A4="","",COUNTIFS(Başvuru!$I:$I,Toplantı!$B$4,Başvuru!$D:$D,$A$90)))</f>
        <v/>
      </c>
      <c r="C90" s="177" t="str">
        <f>IF($A90="","",IF($A4="","",COUNTIFS(Başvuru!$I:$I,Toplantı!$B$5,Başvuru!$D:$D,$A$90)))</f>
        <v/>
      </c>
      <c r="D90" s="177" t="str">
        <f>IF($A90="","",IF($A4="","",COUNTIFS(Başvuru!$I:$I,Toplantı!$B$6,Başvuru!$D:$D,$A$90)))</f>
        <v/>
      </c>
      <c r="E90" s="177" t="str">
        <f>IF($A90="","",IF($A4="","",COUNTIFS(Başvuru!$I:$I,Toplantı!$B$7,Başvuru!$D:$D,$A$90)))</f>
        <v/>
      </c>
      <c r="F90" s="177" t="str">
        <f>IF($A90="","",IF($A4="","",COUNTIFS(Başvuru!$I:$I,Toplantı!$B$8,Başvuru!$D:$D,$A$90)))</f>
        <v/>
      </c>
      <c r="G90" s="177" t="str">
        <f>IF($A90="","",IF($A4="","",COUNTIFS(Başvuru!$I:$I,Toplantı!$B$9,Başvuru!$D:$D,$A$90)))</f>
        <v/>
      </c>
      <c r="H90" s="177" t="str">
        <f>IF($A90="","",IF($A4="","",COUNTIFS(Başvuru!$I:$I,Toplantı!$B$10,Başvuru!$D:$D,$A$90)))</f>
        <v/>
      </c>
      <c r="I90" s="177" t="str">
        <f>IF($A90="","",IF($A4="","",COUNTIFS(Başvuru!$I:$I,Toplantı!$B$11,Başvuru!$D:$D,$A$90)))</f>
        <v/>
      </c>
      <c r="J90" s="177" t="str">
        <f>IF($A90="","",IF($A4="","",COUNTIFS(Başvuru!$I:$I,Toplantı!$B$12,Başvuru!$D:$D,$A$90)))</f>
        <v/>
      </c>
      <c r="K90" s="177" t="str">
        <f>IF($A90="","",IF($A4="","",COUNTIFS(Başvuru!$I:$I,Toplantı!$B$13,Başvuru!$D:$D,$A$90)))</f>
        <v/>
      </c>
      <c r="L90" s="177" t="str">
        <f>IF($A90="","",IF($A4="","",COUNTIFS(Başvuru!$I:$I,Toplantı!$B$14,Başvuru!$D:$D,$A$90)))</f>
        <v/>
      </c>
      <c r="M90" s="177" t="str">
        <f>IF($A90="","",IF($A4="","",COUNTIFS(Başvuru!$I:$I,Toplantı!$B$15,Başvuru!$D:$D,$A$90)))</f>
        <v/>
      </c>
      <c r="N90" s="177" t="str">
        <f>IF($A90="","",IF($A4="","",COUNTIFS(Başvuru!$I:$I,Toplantı!$B$16,Başvuru!$D:$D,$A$90)))</f>
        <v/>
      </c>
      <c r="O90" s="177" t="str">
        <f>IF($A90="","",IF($A4="","",COUNTIFS(Başvuru!$I:$I,Toplantı!$B$17,Başvuru!$D:$D,$A$90)))</f>
        <v/>
      </c>
      <c r="P90" s="177" t="str">
        <f>IF($A90="","",IF($A4="","",COUNTIFS(Başvuru!$I:$I,Toplantı!$B$18,Başvuru!$D:$D,$A$90)))</f>
        <v/>
      </c>
      <c r="Q90" s="177" t="str">
        <f>IF($A90="","",IF($A4="","",COUNTIFS(Başvuru!$I:$I,Toplantı!$B$19,Başvuru!$D:$D,$A$90)))</f>
        <v/>
      </c>
      <c r="R90" s="177" t="str">
        <f>IF($A90="","",IF($A4="","",COUNTIFS(Başvuru!$I:$I,Toplantı!$B$20,Başvuru!$D:$D,$A$90)))</f>
        <v/>
      </c>
      <c r="S90" s="178">
        <f t="shared" si="2"/>
        <v>0</v>
      </c>
    </row>
    <row r="91" spans="1:19" x14ac:dyDescent="0.25">
      <c r="A91" s="176" t="str">
        <f>IF(Birim!C93="","",Birim!C93)</f>
        <v/>
      </c>
      <c r="B91" s="177" t="str">
        <f>IF($A91="","",IF($A4="","",COUNTIFS(Başvuru!$I:$I,Toplantı!$B$4,Başvuru!$D:$D,$A$91)))</f>
        <v/>
      </c>
      <c r="C91" s="177" t="str">
        <f>IF($A91="","",IF($A4="","",COUNTIFS(Başvuru!$I:$I,Toplantı!$B$5,Başvuru!$D:$D,$A$91)))</f>
        <v/>
      </c>
      <c r="D91" s="177" t="str">
        <f>IF($A91="","",IF($A4="","",COUNTIFS(Başvuru!$I:$I,Toplantı!$B$6,Başvuru!$D:$D,$A$91)))</f>
        <v/>
      </c>
      <c r="E91" s="177" t="str">
        <f>IF($A91="","",IF($A4="","",COUNTIFS(Başvuru!$I:$I,Toplantı!$B$7,Başvuru!$D:$D,$A$91)))</f>
        <v/>
      </c>
      <c r="F91" s="177" t="str">
        <f>IF($A91="","",IF($A4="","",COUNTIFS(Başvuru!$I:$I,Toplantı!$B$8,Başvuru!$D:$D,$A$91)))</f>
        <v/>
      </c>
      <c r="G91" s="177" t="str">
        <f>IF($A91="","",IF($A4="","",COUNTIFS(Başvuru!$I:$I,Toplantı!$B$9,Başvuru!$D:$D,$A$91)))</f>
        <v/>
      </c>
      <c r="H91" s="177" t="str">
        <f>IF($A91="","",IF($A4="","",COUNTIFS(Başvuru!$I:$I,Toplantı!$B$10,Başvuru!$D:$D,$A$91)))</f>
        <v/>
      </c>
      <c r="I91" s="177" t="str">
        <f>IF($A91="","",IF($A4="","",COUNTIFS(Başvuru!$I:$I,Toplantı!$B$11,Başvuru!$D:$D,$A$91)))</f>
        <v/>
      </c>
      <c r="J91" s="177" t="str">
        <f>IF($A91="","",IF($A4="","",COUNTIFS(Başvuru!$I:$I,Toplantı!$B$12,Başvuru!$D:$D,$A$91)))</f>
        <v/>
      </c>
      <c r="K91" s="177" t="str">
        <f>IF($A91="","",IF($A4="","",COUNTIFS(Başvuru!$I:$I,Toplantı!$B$13,Başvuru!$D:$D,$A$91)))</f>
        <v/>
      </c>
      <c r="L91" s="177" t="str">
        <f>IF($A91="","",IF($A4="","",COUNTIFS(Başvuru!$I:$I,Toplantı!$B$14,Başvuru!$D:$D,$A$91)))</f>
        <v/>
      </c>
      <c r="M91" s="177" t="str">
        <f>IF($A91="","",IF($A4="","",COUNTIFS(Başvuru!$I:$I,Toplantı!$B$15,Başvuru!$D:$D,$A$91)))</f>
        <v/>
      </c>
      <c r="N91" s="177" t="str">
        <f>IF($A91="","",IF($A4="","",COUNTIFS(Başvuru!$I:$I,Toplantı!$B$16,Başvuru!$D:$D,$A$91)))</f>
        <v/>
      </c>
      <c r="O91" s="177" t="str">
        <f>IF($A91="","",IF($A4="","",COUNTIFS(Başvuru!$I:$I,Toplantı!$B$17,Başvuru!$D:$D,$A$91)))</f>
        <v/>
      </c>
      <c r="P91" s="177" t="str">
        <f>IF($A91="","",IF($A4="","",COUNTIFS(Başvuru!$I:$I,Toplantı!$B$18,Başvuru!$D:$D,$A$91)))</f>
        <v/>
      </c>
      <c r="Q91" s="177" t="str">
        <f>IF($A91="","",IF($A4="","",COUNTIFS(Başvuru!$I:$I,Toplantı!$B$19,Başvuru!$D:$D,$A$91)))</f>
        <v/>
      </c>
      <c r="R91" s="177" t="str">
        <f>IF($A91="","",IF($A4="","",COUNTIFS(Başvuru!$I:$I,Toplantı!$B$20,Başvuru!$D:$D,$A$91)))</f>
        <v/>
      </c>
      <c r="S91" s="178">
        <f t="shared" si="2"/>
        <v>0</v>
      </c>
    </row>
    <row r="92" spans="1:19" x14ac:dyDescent="0.25">
      <c r="A92" s="176" t="str">
        <f>IF(Birim!C94="","",Birim!C94)</f>
        <v/>
      </c>
      <c r="B92" s="177" t="str">
        <f>IF($A92="","",IF($A4="","",COUNTIFS(Başvuru!$I:$I,Toplantı!$B$4,Başvuru!$D:$D,$A$92)))</f>
        <v/>
      </c>
      <c r="C92" s="177" t="str">
        <f>IF($A92="","",IF($A4="","",COUNTIFS(Başvuru!$I:$I,Toplantı!$B$5,Başvuru!$D:$D,$A$92)))</f>
        <v/>
      </c>
      <c r="D92" s="177" t="str">
        <f>IF($A92="","",IF($A4="","",COUNTIFS(Başvuru!$I:$I,Toplantı!$B$6,Başvuru!$D:$D,$A$92)))</f>
        <v/>
      </c>
      <c r="E92" s="177" t="str">
        <f>IF($A92="","",IF($A4="","",COUNTIFS(Başvuru!$I:$I,Toplantı!$B$7,Başvuru!$D:$D,$A$92)))</f>
        <v/>
      </c>
      <c r="F92" s="177" t="str">
        <f>IF($A92="","",IF($A4="","",COUNTIFS(Başvuru!$I:$I,Toplantı!$B$8,Başvuru!$D:$D,$A$92)))</f>
        <v/>
      </c>
      <c r="G92" s="177" t="str">
        <f>IF($A92="","",IF($A4="","",COUNTIFS(Başvuru!$I:$I,Toplantı!$B$9,Başvuru!$D:$D,$A$92)))</f>
        <v/>
      </c>
      <c r="H92" s="177" t="str">
        <f>IF($A92="","",IF($A4="","",COUNTIFS(Başvuru!$I:$I,Toplantı!$B$10,Başvuru!$D:$D,$A$92)))</f>
        <v/>
      </c>
      <c r="I92" s="177" t="str">
        <f>IF($A92="","",IF($A4="","",COUNTIFS(Başvuru!$I:$I,Toplantı!$B$11,Başvuru!$D:$D,$A$92)))</f>
        <v/>
      </c>
      <c r="J92" s="177" t="str">
        <f>IF($A92="","",IF($A4="","",COUNTIFS(Başvuru!$I:$I,Toplantı!$B$12,Başvuru!$D:$D,$A$92)))</f>
        <v/>
      </c>
      <c r="K92" s="177" t="str">
        <f>IF($A92="","",IF($A4="","",COUNTIFS(Başvuru!$I:$I,Toplantı!$B$13,Başvuru!$D:$D,$A$92)))</f>
        <v/>
      </c>
      <c r="L92" s="177" t="str">
        <f>IF($A92="","",IF($A4="","",COUNTIFS(Başvuru!$I:$I,Toplantı!$B$14,Başvuru!$D:$D,$A$92)))</f>
        <v/>
      </c>
      <c r="M92" s="177" t="str">
        <f>IF($A92="","",IF($A4="","",COUNTIFS(Başvuru!$I:$I,Toplantı!$B$15,Başvuru!$D:$D,$A$92)))</f>
        <v/>
      </c>
      <c r="N92" s="177" t="str">
        <f>IF($A92="","",IF($A4="","",COUNTIFS(Başvuru!$I:$I,Toplantı!$B$16,Başvuru!$D:$D,$A$92)))</f>
        <v/>
      </c>
      <c r="O92" s="177" t="str">
        <f>IF($A92="","",IF($A4="","",COUNTIFS(Başvuru!$I:$I,Toplantı!$B$17,Başvuru!$D:$D,$A$92)))</f>
        <v/>
      </c>
      <c r="P92" s="177" t="str">
        <f>IF($A92="","",IF($A4="","",COUNTIFS(Başvuru!$I:$I,Toplantı!$B$18,Başvuru!$D:$D,$A$92)))</f>
        <v/>
      </c>
      <c r="Q92" s="177" t="str">
        <f>IF($A92="","",IF($A4="","",COUNTIFS(Başvuru!$I:$I,Toplantı!$B$19,Başvuru!$D:$D,$A$92)))</f>
        <v/>
      </c>
      <c r="R92" s="177" t="str">
        <f>IF($A92="","",IF($A4="","",COUNTIFS(Başvuru!$I:$I,Toplantı!$B$20,Başvuru!$D:$D,$A$92)))</f>
        <v/>
      </c>
      <c r="S92" s="178">
        <f t="shared" si="2"/>
        <v>0</v>
      </c>
    </row>
    <row r="93" spans="1:19" x14ac:dyDescent="0.25">
      <c r="A93" s="176" t="str">
        <f>IF(Birim!C95="","",Birim!C95)</f>
        <v/>
      </c>
      <c r="B93" s="177" t="str">
        <f>IF($A93="","",IF($A4="","",COUNTIFS(Başvuru!$I:$I,Toplantı!$B$4,Başvuru!$D:$D,$A$93)))</f>
        <v/>
      </c>
      <c r="C93" s="177" t="str">
        <f>IF($A93="","",IF($A4="","",COUNTIFS(Başvuru!$I:$I,Toplantı!$B$5,Başvuru!$D:$D,$A$93)))</f>
        <v/>
      </c>
      <c r="D93" s="177" t="str">
        <f>IF($A93="","",IF($A4="","",COUNTIFS(Başvuru!$I:$I,Toplantı!$B$6,Başvuru!$D:$D,$A$93)))</f>
        <v/>
      </c>
      <c r="E93" s="177" t="str">
        <f>IF($A93="","",IF($A4="","",COUNTIFS(Başvuru!$I:$I,Toplantı!$B$7,Başvuru!$D:$D,$A$93)))</f>
        <v/>
      </c>
      <c r="F93" s="177" t="str">
        <f>IF($A93="","",IF($A4="","",COUNTIFS(Başvuru!$I:$I,Toplantı!$B$8,Başvuru!$D:$D,$A$93)))</f>
        <v/>
      </c>
      <c r="G93" s="177" t="str">
        <f>IF($A93="","",IF($A4="","",COUNTIFS(Başvuru!$I:$I,Toplantı!$B$9,Başvuru!$D:$D,$A$93)))</f>
        <v/>
      </c>
      <c r="H93" s="177" t="str">
        <f>IF($A93="","",IF($A4="","",COUNTIFS(Başvuru!$I:$I,Toplantı!$B$10,Başvuru!$D:$D,$A$93)))</f>
        <v/>
      </c>
      <c r="I93" s="177" t="str">
        <f>IF($A93="","",IF($A4="","",COUNTIFS(Başvuru!$I:$I,Toplantı!$B$11,Başvuru!$D:$D,$A$93)))</f>
        <v/>
      </c>
      <c r="J93" s="177" t="str">
        <f>IF($A93="","",IF($A4="","",COUNTIFS(Başvuru!$I:$I,Toplantı!$B$12,Başvuru!$D:$D,$A$93)))</f>
        <v/>
      </c>
      <c r="K93" s="177" t="str">
        <f>IF($A93="","",IF($A4="","",COUNTIFS(Başvuru!$I:$I,Toplantı!$B$13,Başvuru!$D:$D,$A$93)))</f>
        <v/>
      </c>
      <c r="L93" s="177" t="str">
        <f>IF($A93="","",IF($A4="","",COUNTIFS(Başvuru!$I:$I,Toplantı!$B$14,Başvuru!$D:$D,$A$93)))</f>
        <v/>
      </c>
      <c r="M93" s="177" t="str">
        <f>IF($A93="","",IF($A4="","",COUNTIFS(Başvuru!$I:$I,Toplantı!$B$15,Başvuru!$D:$D,$A$93)))</f>
        <v/>
      </c>
      <c r="N93" s="177" t="str">
        <f>IF($A93="","",IF($A4="","",COUNTIFS(Başvuru!$I:$I,Toplantı!$B$16,Başvuru!$D:$D,$A$93)))</f>
        <v/>
      </c>
      <c r="O93" s="177" t="str">
        <f>IF($A93="","",IF($A4="","",COUNTIFS(Başvuru!$I:$I,Toplantı!$B$17,Başvuru!$D:$D,$A$93)))</f>
        <v/>
      </c>
      <c r="P93" s="177" t="str">
        <f>IF($A93="","",IF($A4="","",COUNTIFS(Başvuru!$I:$I,Toplantı!$B$18,Başvuru!$D:$D,$A$93)))</f>
        <v/>
      </c>
      <c r="Q93" s="177" t="str">
        <f>IF($A93="","",IF($A4="","",COUNTIFS(Başvuru!$I:$I,Toplantı!$B$19,Başvuru!$D:$D,$A$93)))</f>
        <v/>
      </c>
      <c r="R93" s="177" t="str">
        <f>IF($A93="","",IF($A4="","",COUNTIFS(Başvuru!$I:$I,Toplantı!$B$20,Başvuru!$D:$D,$A$93)))</f>
        <v/>
      </c>
      <c r="S93" s="178">
        <f t="shared" si="2"/>
        <v>0</v>
      </c>
    </row>
    <row r="94" spans="1:19" x14ac:dyDescent="0.25">
      <c r="A94" s="176" t="str">
        <f>IF(Birim!C96="","",Birim!C96)</f>
        <v/>
      </c>
      <c r="B94" s="177" t="str">
        <f>IF($A94="","",IF($A4="","",COUNTIFS(Başvuru!$I:$I,Toplantı!$B$4,Başvuru!$D:$D,$A$94)))</f>
        <v/>
      </c>
      <c r="C94" s="177" t="str">
        <f>IF($A94="","",IF($A4="","",COUNTIFS(Başvuru!$I:$I,Toplantı!$B$5,Başvuru!$D:$D,$A$94)))</f>
        <v/>
      </c>
      <c r="D94" s="177" t="str">
        <f>IF($A94="","",IF($A4="","",COUNTIFS(Başvuru!$I:$I,Toplantı!$B$6,Başvuru!$D:$D,$A$94)))</f>
        <v/>
      </c>
      <c r="E94" s="177" t="str">
        <f>IF($A94="","",IF($A4="","",COUNTIFS(Başvuru!$I:$I,Toplantı!$B$7,Başvuru!$D:$D,$A$94)))</f>
        <v/>
      </c>
      <c r="F94" s="177" t="str">
        <f>IF($A94="","",IF($A4="","",COUNTIFS(Başvuru!$I:$I,Toplantı!$B$8,Başvuru!$D:$D,$A$94)))</f>
        <v/>
      </c>
      <c r="G94" s="177" t="str">
        <f>IF($A94="","",IF($A4="","",COUNTIFS(Başvuru!$I:$I,Toplantı!$B$9,Başvuru!$D:$D,$A$94)))</f>
        <v/>
      </c>
      <c r="H94" s="177" t="str">
        <f>IF($A94="","",IF($A4="","",COUNTIFS(Başvuru!$I:$I,Toplantı!$B$10,Başvuru!$D:$D,$A$94)))</f>
        <v/>
      </c>
      <c r="I94" s="177" t="str">
        <f>IF($A94="","",IF($A4="","",COUNTIFS(Başvuru!$I:$I,Toplantı!$B$11,Başvuru!$D:$D,$A$94)))</f>
        <v/>
      </c>
      <c r="J94" s="177" t="str">
        <f>IF($A94="","",IF($A4="","",COUNTIFS(Başvuru!$I:$I,Toplantı!$B$12,Başvuru!$D:$D,$A$94)))</f>
        <v/>
      </c>
      <c r="K94" s="177" t="str">
        <f>IF($A94="","",IF($A4="","",COUNTIFS(Başvuru!$I:$I,Toplantı!$B$13,Başvuru!$D:$D,$A$94)))</f>
        <v/>
      </c>
      <c r="L94" s="177" t="str">
        <f>IF($A94="","",IF($A4="","",COUNTIFS(Başvuru!$I:$I,Toplantı!$B$14,Başvuru!$D:$D,$A$94)))</f>
        <v/>
      </c>
      <c r="M94" s="177" t="str">
        <f>IF($A94="","",IF($A4="","",COUNTIFS(Başvuru!$I:$I,Toplantı!$B$15,Başvuru!$D:$D,$A$94)))</f>
        <v/>
      </c>
      <c r="N94" s="177" t="str">
        <f>IF($A94="","",IF($A4="","",COUNTIFS(Başvuru!$I:$I,Toplantı!$B$16,Başvuru!$D:$D,$A$94)))</f>
        <v/>
      </c>
      <c r="O94" s="177" t="str">
        <f>IF($A94="","",IF($A4="","",COUNTIFS(Başvuru!$I:$I,Toplantı!$B$17,Başvuru!$D:$D,$A$94)))</f>
        <v/>
      </c>
      <c r="P94" s="177" t="str">
        <f>IF($A94="","",IF($A4="","",COUNTIFS(Başvuru!$I:$I,Toplantı!$B$18,Başvuru!$D:$D,$A$94)))</f>
        <v/>
      </c>
      <c r="Q94" s="177" t="str">
        <f>IF($A94="","",IF($A4="","",COUNTIFS(Başvuru!$I:$I,Toplantı!$B$19,Başvuru!$D:$D,$A$94)))</f>
        <v/>
      </c>
      <c r="R94" s="177" t="str">
        <f>IF($A94="","",IF($A4="","",COUNTIFS(Başvuru!$I:$I,Toplantı!$B$20,Başvuru!$D:$D,$A$94)))</f>
        <v/>
      </c>
      <c r="S94" s="178">
        <f t="shared" si="2"/>
        <v>0</v>
      </c>
    </row>
    <row r="95" spans="1:19" x14ac:dyDescent="0.25">
      <c r="A95" s="176" t="str">
        <f>IF(Birim!C97="","",Birim!C97)</f>
        <v/>
      </c>
      <c r="B95" s="177" t="str">
        <f>IF($A95="","",IF($A4="","",COUNTIFS(Başvuru!$I:$I,Toplantı!$B$4,Başvuru!$D:$D,$A$95)))</f>
        <v/>
      </c>
      <c r="C95" s="177" t="str">
        <f>IF($A95="","",IF($A4="","",COUNTIFS(Başvuru!$I:$I,Toplantı!$B$5,Başvuru!$D:$D,$A$95)))</f>
        <v/>
      </c>
      <c r="D95" s="177" t="str">
        <f>IF($A95="","",IF($A4="","",COUNTIFS(Başvuru!$I:$I,Toplantı!$B$6,Başvuru!$D:$D,$A$95)))</f>
        <v/>
      </c>
      <c r="E95" s="177" t="str">
        <f>IF($A95="","",IF($A4="","",COUNTIFS(Başvuru!$I:$I,Toplantı!$B$7,Başvuru!$D:$D,$A$95)))</f>
        <v/>
      </c>
      <c r="F95" s="177" t="str">
        <f>IF($A95="","",IF($A4="","",COUNTIFS(Başvuru!$I:$I,Toplantı!$B$8,Başvuru!$D:$D,$A$95)))</f>
        <v/>
      </c>
      <c r="G95" s="177" t="str">
        <f>IF($A95="","",IF($A4="","",COUNTIFS(Başvuru!$I:$I,Toplantı!$B$9,Başvuru!$D:$D,$A$95)))</f>
        <v/>
      </c>
      <c r="H95" s="177" t="str">
        <f>IF($A95="","",IF($A4="","",COUNTIFS(Başvuru!$I:$I,Toplantı!$B$10,Başvuru!$D:$D,$A$95)))</f>
        <v/>
      </c>
      <c r="I95" s="177" t="str">
        <f>IF($A95="","",IF($A4="","",COUNTIFS(Başvuru!$I:$I,Toplantı!$B$11,Başvuru!$D:$D,$A$95)))</f>
        <v/>
      </c>
      <c r="J95" s="177" t="str">
        <f>IF($A95="","",IF($A4="","",COUNTIFS(Başvuru!$I:$I,Toplantı!$B$12,Başvuru!$D:$D,$A$95)))</f>
        <v/>
      </c>
      <c r="K95" s="177" t="str">
        <f>IF($A95="","",IF($A4="","",COUNTIFS(Başvuru!$I:$I,Toplantı!$B$13,Başvuru!$D:$D,$A$95)))</f>
        <v/>
      </c>
      <c r="L95" s="177" t="str">
        <f>IF($A95="","",IF($A4="","",COUNTIFS(Başvuru!$I:$I,Toplantı!$B$14,Başvuru!$D:$D,$A$95)))</f>
        <v/>
      </c>
      <c r="M95" s="177" t="str">
        <f>IF($A95="","",IF($A4="","",COUNTIFS(Başvuru!$I:$I,Toplantı!$B$15,Başvuru!$D:$D,$A$95)))</f>
        <v/>
      </c>
      <c r="N95" s="177" t="str">
        <f>IF($A95="","",IF($A4="","",COUNTIFS(Başvuru!$I:$I,Toplantı!$B$16,Başvuru!$D:$D,$A$95)))</f>
        <v/>
      </c>
      <c r="O95" s="177" t="str">
        <f>IF($A95="","",IF($A4="","",COUNTIFS(Başvuru!$I:$I,Toplantı!$B$17,Başvuru!$D:$D,$A$95)))</f>
        <v/>
      </c>
      <c r="P95" s="177" t="str">
        <f>IF($A95="","",IF($A4="","",COUNTIFS(Başvuru!$I:$I,Toplantı!$B$18,Başvuru!$D:$D,$A$95)))</f>
        <v/>
      </c>
      <c r="Q95" s="177" t="str">
        <f>IF($A95="","",IF($A4="","",COUNTIFS(Başvuru!$I:$I,Toplantı!$B$19,Başvuru!$D:$D,$A$95)))</f>
        <v/>
      </c>
      <c r="R95" s="177" t="str">
        <f>IF($A95="","",IF($A4="","",COUNTIFS(Başvuru!$I:$I,Toplantı!$B$20,Başvuru!$D:$D,$A$95)))</f>
        <v/>
      </c>
      <c r="S95" s="178">
        <f t="shared" si="2"/>
        <v>0</v>
      </c>
    </row>
    <row r="96" spans="1:19" x14ac:dyDescent="0.25">
      <c r="A96" s="176" t="str">
        <f>IF(Birim!C98="","",Birim!C98)</f>
        <v/>
      </c>
      <c r="B96" s="177" t="str">
        <f>IF($A96="","",IF($A4="","",COUNTIFS(Başvuru!$I:$I,Toplantı!$B$4,Başvuru!$D:$D,$A$96)))</f>
        <v/>
      </c>
      <c r="C96" s="177" t="str">
        <f>IF($A96="","",IF($A4="","",COUNTIFS(Başvuru!$I:$I,Toplantı!$B$5,Başvuru!$D:$D,$A$96)))</f>
        <v/>
      </c>
      <c r="D96" s="177" t="str">
        <f>IF($A96="","",IF($A4="","",COUNTIFS(Başvuru!$I:$I,Toplantı!$B$6,Başvuru!$D:$D,$A$96)))</f>
        <v/>
      </c>
      <c r="E96" s="177" t="str">
        <f>IF($A96="","",IF($A4="","",COUNTIFS(Başvuru!$I:$I,Toplantı!$B$7,Başvuru!$D:$D,$A$96)))</f>
        <v/>
      </c>
      <c r="F96" s="177" t="str">
        <f>IF($A96="","",IF($A4="","",COUNTIFS(Başvuru!$I:$I,Toplantı!$B$8,Başvuru!$D:$D,$A$96)))</f>
        <v/>
      </c>
      <c r="G96" s="177" t="str">
        <f>IF($A96="","",IF($A4="","",COUNTIFS(Başvuru!$I:$I,Toplantı!$B$9,Başvuru!$D:$D,$A$96)))</f>
        <v/>
      </c>
      <c r="H96" s="177" t="str">
        <f>IF($A96="","",IF($A4="","",COUNTIFS(Başvuru!$I:$I,Toplantı!$B$10,Başvuru!$D:$D,$A$96)))</f>
        <v/>
      </c>
      <c r="I96" s="177" t="str">
        <f>IF($A96="","",IF($A4="","",COUNTIFS(Başvuru!$I:$I,Toplantı!$B$11,Başvuru!$D:$D,$A$96)))</f>
        <v/>
      </c>
      <c r="J96" s="177" t="str">
        <f>IF($A96="","",IF($A4="","",COUNTIFS(Başvuru!$I:$I,Toplantı!$B$12,Başvuru!$D:$D,$A$96)))</f>
        <v/>
      </c>
      <c r="K96" s="177" t="str">
        <f>IF($A96="","",IF($A4="","",COUNTIFS(Başvuru!$I:$I,Toplantı!$B$13,Başvuru!$D:$D,$A$96)))</f>
        <v/>
      </c>
      <c r="L96" s="177" t="str">
        <f>IF($A96="","",IF($A4="","",COUNTIFS(Başvuru!$I:$I,Toplantı!$B$14,Başvuru!$D:$D,$A$96)))</f>
        <v/>
      </c>
      <c r="M96" s="177" t="str">
        <f>IF($A96="","",IF($A4="","",COUNTIFS(Başvuru!$I:$I,Toplantı!$B$15,Başvuru!$D:$D,$A$96)))</f>
        <v/>
      </c>
      <c r="N96" s="177" t="str">
        <f>IF($A96="","",IF($A4="","",COUNTIFS(Başvuru!$I:$I,Toplantı!$B$16,Başvuru!$D:$D,$A$96)))</f>
        <v/>
      </c>
      <c r="O96" s="177" t="str">
        <f>IF($A96="","",IF($A4="","",COUNTIFS(Başvuru!$I:$I,Toplantı!$B$17,Başvuru!$D:$D,$A$96)))</f>
        <v/>
      </c>
      <c r="P96" s="177" t="str">
        <f>IF($A96="","",IF($A4="","",COUNTIFS(Başvuru!$I:$I,Toplantı!$B$18,Başvuru!$D:$D,$A$96)))</f>
        <v/>
      </c>
      <c r="Q96" s="177" t="str">
        <f>IF($A96="","",IF($A4="","",COUNTIFS(Başvuru!$I:$I,Toplantı!$B$19,Başvuru!$D:$D,$A$96)))</f>
        <v/>
      </c>
      <c r="R96" s="177" t="str">
        <f>IF($A96="","",IF($A4="","",COUNTIFS(Başvuru!$I:$I,Toplantı!$B$20,Başvuru!$D:$D,$A$96)))</f>
        <v/>
      </c>
      <c r="S96" s="178">
        <f t="shared" si="2"/>
        <v>0</v>
      </c>
    </row>
    <row r="97" spans="1:19" x14ac:dyDescent="0.25">
      <c r="A97" s="176" t="str">
        <f>IF(Birim!C99="","",Birim!C99)</f>
        <v/>
      </c>
      <c r="B97" s="177" t="str">
        <f>IF($A97="","",IF($A4="","",COUNTIFS(Başvuru!$I:$I,Toplantı!$B$4,Başvuru!$D:$D,$A$97)))</f>
        <v/>
      </c>
      <c r="C97" s="177" t="str">
        <f>IF($A97="","",IF($A4="","",COUNTIFS(Başvuru!$I:$I,Toplantı!$B$5,Başvuru!$D:$D,$A$97)))</f>
        <v/>
      </c>
      <c r="D97" s="177" t="str">
        <f>IF($A97="","",IF($A4="","",COUNTIFS(Başvuru!$I:$I,Toplantı!$B$6,Başvuru!$D:$D,$A$97)))</f>
        <v/>
      </c>
      <c r="E97" s="177" t="str">
        <f>IF($A97="","",IF($A4="","",COUNTIFS(Başvuru!$I:$I,Toplantı!$B$7,Başvuru!$D:$D,$A$97)))</f>
        <v/>
      </c>
      <c r="F97" s="177" t="str">
        <f>IF($A97="","",IF($A4="","",COUNTIFS(Başvuru!$I:$I,Toplantı!$B$8,Başvuru!$D:$D,$A$97)))</f>
        <v/>
      </c>
      <c r="G97" s="177" t="str">
        <f>IF($A97="","",IF($A4="","",COUNTIFS(Başvuru!$I:$I,Toplantı!$B$9,Başvuru!$D:$D,$A$97)))</f>
        <v/>
      </c>
      <c r="H97" s="177" t="str">
        <f>IF($A97="","",IF($A4="","",COUNTIFS(Başvuru!$I:$I,Toplantı!$B$10,Başvuru!$D:$D,$A$97)))</f>
        <v/>
      </c>
      <c r="I97" s="177" t="str">
        <f>IF($A97="","",IF($A4="","",COUNTIFS(Başvuru!$I:$I,Toplantı!$B$11,Başvuru!$D:$D,$A$97)))</f>
        <v/>
      </c>
      <c r="J97" s="177" t="str">
        <f>IF($A97="","",IF($A4="","",COUNTIFS(Başvuru!$I:$I,Toplantı!$B$12,Başvuru!$D:$D,$A$97)))</f>
        <v/>
      </c>
      <c r="K97" s="177" t="str">
        <f>IF($A97="","",IF($A4="","",COUNTIFS(Başvuru!$I:$I,Toplantı!$B$13,Başvuru!$D:$D,$A$97)))</f>
        <v/>
      </c>
      <c r="L97" s="177" t="str">
        <f>IF($A97="","",IF($A4="","",COUNTIFS(Başvuru!$I:$I,Toplantı!$B$14,Başvuru!$D:$D,$A$97)))</f>
        <v/>
      </c>
      <c r="M97" s="177" t="str">
        <f>IF($A97="","",IF($A4="","",COUNTIFS(Başvuru!$I:$I,Toplantı!$B$15,Başvuru!$D:$D,$A$97)))</f>
        <v/>
      </c>
      <c r="N97" s="177" t="str">
        <f>IF($A97="","",IF($A4="","",COUNTIFS(Başvuru!$I:$I,Toplantı!$B$16,Başvuru!$D:$D,$A$97)))</f>
        <v/>
      </c>
      <c r="O97" s="177" t="str">
        <f>IF($A97="","",IF($A4="","",COUNTIFS(Başvuru!$I:$I,Toplantı!$B$17,Başvuru!$D:$D,$A$97)))</f>
        <v/>
      </c>
      <c r="P97" s="177" t="str">
        <f>IF($A97="","",IF($A4="","",COUNTIFS(Başvuru!$I:$I,Toplantı!$B$18,Başvuru!$D:$D,$A$97)))</f>
        <v/>
      </c>
      <c r="Q97" s="177" t="str">
        <f>IF($A97="","",IF($A4="","",COUNTIFS(Başvuru!$I:$I,Toplantı!$B$19,Başvuru!$D:$D,$A$97)))</f>
        <v/>
      </c>
      <c r="R97" s="177" t="str">
        <f>IF($A97="","",IF($A4="","",COUNTIFS(Başvuru!$I:$I,Toplantı!$B$20,Başvuru!$D:$D,$A$97)))</f>
        <v/>
      </c>
      <c r="S97" s="178">
        <f t="shared" si="2"/>
        <v>0</v>
      </c>
    </row>
    <row r="98" spans="1:19" x14ac:dyDescent="0.25">
      <c r="A98" s="176" t="str">
        <f>IF(Birim!C100="","",Birim!C100)</f>
        <v/>
      </c>
      <c r="B98" s="177" t="str">
        <f>IF($A98="","",IF($A4="","",COUNTIFS(Başvuru!$I:$I,Toplantı!$B$4,Başvuru!$D:$D,$A$98)))</f>
        <v/>
      </c>
      <c r="C98" s="177" t="str">
        <f>IF($A98="","",IF($A4="","",COUNTIFS(Başvuru!$I:$I,Toplantı!$B$5,Başvuru!$D:$D,$A$98)))</f>
        <v/>
      </c>
      <c r="D98" s="177" t="str">
        <f>IF($A98="","",IF($A4="","",COUNTIFS(Başvuru!$I:$I,Toplantı!$B$6,Başvuru!$D:$D,$A$98)))</f>
        <v/>
      </c>
      <c r="E98" s="177" t="str">
        <f>IF($A98="","",IF($A4="","",COUNTIFS(Başvuru!$I:$I,Toplantı!$B$7,Başvuru!$D:$D,$A$98)))</f>
        <v/>
      </c>
      <c r="F98" s="177" t="str">
        <f>IF($A98="","",IF($A4="","",COUNTIFS(Başvuru!$I:$I,Toplantı!$B$8,Başvuru!$D:$D,$A$98)))</f>
        <v/>
      </c>
      <c r="G98" s="177" t="str">
        <f>IF($A98="","",IF($A4="","",COUNTIFS(Başvuru!$I:$I,Toplantı!$B$9,Başvuru!$D:$D,$A$98)))</f>
        <v/>
      </c>
      <c r="H98" s="177" t="str">
        <f>IF($A98="","",IF($A4="","",COUNTIFS(Başvuru!$I:$I,Toplantı!$B$10,Başvuru!$D:$D,$A$98)))</f>
        <v/>
      </c>
      <c r="I98" s="177" t="str">
        <f>IF($A98="","",IF($A4="","",COUNTIFS(Başvuru!$I:$I,Toplantı!$B$11,Başvuru!$D:$D,$A$98)))</f>
        <v/>
      </c>
      <c r="J98" s="177" t="str">
        <f>IF($A98="","",IF($A4="","",COUNTIFS(Başvuru!$I:$I,Toplantı!$B$12,Başvuru!$D:$D,$A$98)))</f>
        <v/>
      </c>
      <c r="K98" s="177" t="str">
        <f>IF($A98="","",IF($A4="","",COUNTIFS(Başvuru!$I:$I,Toplantı!$B$13,Başvuru!$D:$D,$A$98)))</f>
        <v/>
      </c>
      <c r="L98" s="177" t="str">
        <f>IF($A98="","",IF($A4="","",COUNTIFS(Başvuru!$I:$I,Toplantı!$B$14,Başvuru!$D:$D,$A$98)))</f>
        <v/>
      </c>
      <c r="M98" s="177" t="str">
        <f>IF($A98="","",IF($A4="","",COUNTIFS(Başvuru!$I:$I,Toplantı!$B$15,Başvuru!$D:$D,$A$98)))</f>
        <v/>
      </c>
      <c r="N98" s="177" t="str">
        <f>IF($A98="","",IF($A4="","",COUNTIFS(Başvuru!$I:$I,Toplantı!$B$16,Başvuru!$D:$D,$A$98)))</f>
        <v/>
      </c>
      <c r="O98" s="177" t="str">
        <f>IF($A98="","",IF($A4="","",COUNTIFS(Başvuru!$I:$I,Toplantı!$B$17,Başvuru!$D:$D,$A$98)))</f>
        <v/>
      </c>
      <c r="P98" s="177" t="str">
        <f>IF($A98="","",IF($A4="","",COUNTIFS(Başvuru!$I:$I,Toplantı!$B$18,Başvuru!$D:$D,$A$98)))</f>
        <v/>
      </c>
      <c r="Q98" s="177" t="str">
        <f>IF($A98="","",IF($A4="","",COUNTIFS(Başvuru!$I:$I,Toplantı!$B$19,Başvuru!$D:$D,$A$98)))</f>
        <v/>
      </c>
      <c r="R98" s="177" t="str">
        <f>IF($A98="","",IF($A4="","",COUNTIFS(Başvuru!$I:$I,Toplantı!$B$20,Başvuru!$D:$D,$A$98)))</f>
        <v/>
      </c>
      <c r="S98" s="178">
        <f t="shared" si="2"/>
        <v>0</v>
      </c>
    </row>
    <row r="99" spans="1:19" x14ac:dyDescent="0.25">
      <c r="A99" s="176" t="str">
        <f>IF(Birim!C101="","",Birim!C101)</f>
        <v/>
      </c>
      <c r="B99" s="177" t="str">
        <f>IF($A99="","",IF($A4="","",COUNTIFS(Başvuru!$I:$I,Toplantı!$B$4,Başvuru!$D:$D,$A$99)))</f>
        <v/>
      </c>
      <c r="C99" s="177" t="str">
        <f>IF($A99="","",IF($A4="","",COUNTIFS(Başvuru!$I:$I,Toplantı!$B$5,Başvuru!$D:$D,$A$99)))</f>
        <v/>
      </c>
      <c r="D99" s="177" t="str">
        <f>IF($A99="","",IF($A4="","",COUNTIFS(Başvuru!$I:$I,Toplantı!$B$6,Başvuru!$D:$D,$A$99)))</f>
        <v/>
      </c>
      <c r="E99" s="177" t="str">
        <f>IF($A99="","",IF($A4="","",COUNTIFS(Başvuru!$I:$I,Toplantı!$B$7,Başvuru!$D:$D,$A$99)))</f>
        <v/>
      </c>
      <c r="F99" s="177" t="str">
        <f>IF($A99="","",IF($A4="","",COUNTIFS(Başvuru!$I:$I,Toplantı!$B$8,Başvuru!$D:$D,$A$99)))</f>
        <v/>
      </c>
      <c r="G99" s="177" t="str">
        <f>IF($A99="","",IF($A4="","",COUNTIFS(Başvuru!$I:$I,Toplantı!$B$9,Başvuru!$D:$D,$A$99)))</f>
        <v/>
      </c>
      <c r="H99" s="177" t="str">
        <f>IF($A99="","",IF($A4="","",COUNTIFS(Başvuru!$I:$I,Toplantı!$B$10,Başvuru!$D:$D,$A$99)))</f>
        <v/>
      </c>
      <c r="I99" s="177" t="str">
        <f>IF($A99="","",IF($A4="","",COUNTIFS(Başvuru!$I:$I,Toplantı!$B$11,Başvuru!$D:$D,$A$99)))</f>
        <v/>
      </c>
      <c r="J99" s="177" t="str">
        <f>IF($A99="","",IF($A4="","",COUNTIFS(Başvuru!$I:$I,Toplantı!$B$12,Başvuru!$D:$D,$A$99)))</f>
        <v/>
      </c>
      <c r="K99" s="177" t="str">
        <f>IF($A99="","",IF($A4="","",COUNTIFS(Başvuru!$I:$I,Toplantı!$B$13,Başvuru!$D:$D,$A$99)))</f>
        <v/>
      </c>
      <c r="L99" s="177" t="str">
        <f>IF($A99="","",IF($A4="","",COUNTIFS(Başvuru!$I:$I,Toplantı!$B$14,Başvuru!$D:$D,$A$99)))</f>
        <v/>
      </c>
      <c r="M99" s="177" t="str">
        <f>IF($A99="","",IF($A4="","",COUNTIFS(Başvuru!$I:$I,Toplantı!$B$15,Başvuru!$D:$D,$A$99)))</f>
        <v/>
      </c>
      <c r="N99" s="177" t="str">
        <f>IF($A99="","",IF($A4="","",COUNTIFS(Başvuru!$I:$I,Toplantı!$B$16,Başvuru!$D:$D,$A$99)))</f>
        <v/>
      </c>
      <c r="O99" s="177" t="str">
        <f>IF($A99="","",IF($A4="","",COUNTIFS(Başvuru!$I:$I,Toplantı!$B$17,Başvuru!$D:$D,$A$99)))</f>
        <v/>
      </c>
      <c r="P99" s="177" t="str">
        <f>IF($A99="","",IF($A4="","",COUNTIFS(Başvuru!$I:$I,Toplantı!$B$18,Başvuru!$D:$D,$A$99)))</f>
        <v/>
      </c>
      <c r="Q99" s="177" t="str">
        <f>IF($A99="","",IF($A4="","",COUNTIFS(Başvuru!$I:$I,Toplantı!$B$19,Başvuru!$D:$D,$A$99)))</f>
        <v/>
      </c>
      <c r="R99" s="177" t="str">
        <f>IF($A99="","",IF($A4="","",COUNTIFS(Başvuru!$I:$I,Toplantı!$B$20,Başvuru!$D:$D,$A$99)))</f>
        <v/>
      </c>
      <c r="S99" s="178">
        <f t="shared" si="2"/>
        <v>0</v>
      </c>
    </row>
    <row r="100" spans="1:19" x14ac:dyDescent="0.25">
      <c r="A100" s="176" t="str">
        <f>IF(Birim!C102="","",Birim!C102)</f>
        <v/>
      </c>
      <c r="B100" s="177" t="str">
        <f>IF($A100="","",IF($A4="","",COUNTIFS(Başvuru!$I:$I,Toplantı!$B$4,Başvuru!$D:$D,$A$100)))</f>
        <v/>
      </c>
      <c r="C100" s="177" t="str">
        <f>IF($A100="","",IF($A4="","",COUNTIFS(Başvuru!$I:$I,Toplantı!$B$5,Başvuru!$D:$D,$A$100)))</f>
        <v/>
      </c>
      <c r="D100" s="177" t="str">
        <f>IF($A100="","",IF($A4="","",COUNTIFS(Başvuru!$I:$I,Toplantı!$B$6,Başvuru!$D:$D,$A$100)))</f>
        <v/>
      </c>
      <c r="E100" s="177" t="str">
        <f>IF($A100="","",IF($A4="","",COUNTIFS(Başvuru!$I:$I,Toplantı!$B$7,Başvuru!$D:$D,$A$100)))</f>
        <v/>
      </c>
      <c r="F100" s="177" t="str">
        <f>IF($A100="","",IF($A4="","",COUNTIFS(Başvuru!$I:$I,Toplantı!$B$8,Başvuru!$D:$D,$A$100)))</f>
        <v/>
      </c>
      <c r="G100" s="177" t="str">
        <f>IF($A100="","",IF($A4="","",COUNTIFS(Başvuru!$I:$I,Toplantı!$B$9,Başvuru!$D:$D,$A$100)))</f>
        <v/>
      </c>
      <c r="H100" s="177" t="str">
        <f>IF($A100="","",IF($A4="","",COUNTIFS(Başvuru!$I:$I,Toplantı!$B$10,Başvuru!$D:$D,$A$100)))</f>
        <v/>
      </c>
      <c r="I100" s="177" t="str">
        <f>IF($A100="","",IF($A4="","",COUNTIFS(Başvuru!$I:$I,Toplantı!$B$11,Başvuru!$D:$D,$A$100)))</f>
        <v/>
      </c>
      <c r="J100" s="177" t="str">
        <f>IF($A100="","",IF($A4="","",COUNTIFS(Başvuru!$I:$I,Toplantı!$B$12,Başvuru!$D:$D,$A$100)))</f>
        <v/>
      </c>
      <c r="K100" s="177" t="str">
        <f>IF($A100="","",IF($A4="","",COUNTIFS(Başvuru!$I:$I,Toplantı!$B$13,Başvuru!$D:$D,$A$100)))</f>
        <v/>
      </c>
      <c r="L100" s="177" t="str">
        <f>IF($A100="","",IF($A4="","",COUNTIFS(Başvuru!$I:$I,Toplantı!$B$14,Başvuru!$D:$D,$A$100)))</f>
        <v/>
      </c>
      <c r="M100" s="177" t="str">
        <f>IF($A100="","",IF($A4="","",COUNTIFS(Başvuru!$I:$I,Toplantı!$B$15,Başvuru!$D:$D,$A$100)))</f>
        <v/>
      </c>
      <c r="N100" s="177" t="str">
        <f>IF($A100="","",IF($A4="","",COUNTIFS(Başvuru!$I:$I,Toplantı!$B$16,Başvuru!$D:$D,$A$100)))</f>
        <v/>
      </c>
      <c r="O100" s="177" t="str">
        <f>IF($A100="","",IF($A4="","",COUNTIFS(Başvuru!$I:$I,Toplantı!$B$17,Başvuru!$D:$D,$A$100)))</f>
        <v/>
      </c>
      <c r="P100" s="177" t="str">
        <f>IF($A100="","",IF($A4="","",COUNTIFS(Başvuru!$I:$I,Toplantı!$B$18,Başvuru!$D:$D,$A$100)))</f>
        <v/>
      </c>
      <c r="Q100" s="177" t="str">
        <f>IF($A100="","",IF($A4="","",COUNTIFS(Başvuru!$I:$I,Toplantı!$B$19,Başvuru!$D:$D,$A$100)))</f>
        <v/>
      </c>
      <c r="R100" s="177" t="str">
        <f>IF($A100="","",IF($A4="","",COUNTIFS(Başvuru!$I:$I,Toplantı!$B$20,Başvuru!$D:$D,$A$100)))</f>
        <v/>
      </c>
      <c r="S100" s="178">
        <f t="shared" ref="S100:S131" si="3">SUM(B100:R100)</f>
        <v>0</v>
      </c>
    </row>
    <row r="101" spans="1:19" x14ac:dyDescent="0.25">
      <c r="A101" s="176" t="str">
        <f>IF(Birim!C103="","",Birim!C103)</f>
        <v/>
      </c>
      <c r="B101" s="177" t="str">
        <f>IF($A101="","",IF($A4="","",COUNTIFS(Başvuru!$I:$I,Toplantı!$B$4,Başvuru!$D:$D,$A$101)))</f>
        <v/>
      </c>
      <c r="C101" s="177" t="str">
        <f>IF($A101="","",IF($A4="","",COUNTIFS(Başvuru!$I:$I,Toplantı!$B$5,Başvuru!$D:$D,$A$101)))</f>
        <v/>
      </c>
      <c r="D101" s="177" t="str">
        <f>IF($A101="","",IF($A4="","",COUNTIFS(Başvuru!$I:$I,Toplantı!$B$6,Başvuru!$D:$D,$A$101)))</f>
        <v/>
      </c>
      <c r="E101" s="177" t="str">
        <f>IF($A101="","",IF($A4="","",COUNTIFS(Başvuru!$I:$I,Toplantı!$B$7,Başvuru!$D:$D,$A$101)))</f>
        <v/>
      </c>
      <c r="F101" s="177" t="str">
        <f>IF($A101="","",IF($A4="","",COUNTIFS(Başvuru!$I:$I,Toplantı!$B$8,Başvuru!$D:$D,$A$101)))</f>
        <v/>
      </c>
      <c r="G101" s="177" t="str">
        <f>IF($A101="","",IF($A4="","",COUNTIFS(Başvuru!$I:$I,Toplantı!$B$9,Başvuru!$D:$D,$A$101)))</f>
        <v/>
      </c>
      <c r="H101" s="177" t="str">
        <f>IF($A101="","",IF($A4="","",COUNTIFS(Başvuru!$I:$I,Toplantı!$B$10,Başvuru!$D:$D,$A$101)))</f>
        <v/>
      </c>
      <c r="I101" s="177" t="str">
        <f>IF($A101="","",IF($A4="","",COUNTIFS(Başvuru!$I:$I,Toplantı!$B$11,Başvuru!$D:$D,$A$101)))</f>
        <v/>
      </c>
      <c r="J101" s="177" t="str">
        <f>IF($A101="","",IF($A4="","",COUNTIFS(Başvuru!$I:$I,Toplantı!$B$12,Başvuru!$D:$D,$A$101)))</f>
        <v/>
      </c>
      <c r="K101" s="177" t="str">
        <f>IF($A101="","",IF($A4="","",COUNTIFS(Başvuru!$I:$I,Toplantı!$B$13,Başvuru!$D:$D,$A$101)))</f>
        <v/>
      </c>
      <c r="L101" s="177" t="str">
        <f>IF($A101="","",IF($A4="","",COUNTIFS(Başvuru!$I:$I,Toplantı!$B$14,Başvuru!$D:$D,$A$101)))</f>
        <v/>
      </c>
      <c r="M101" s="177" t="str">
        <f>IF($A101="","",IF($A4="","",COUNTIFS(Başvuru!$I:$I,Toplantı!$B$15,Başvuru!$D:$D,$A$101)))</f>
        <v/>
      </c>
      <c r="N101" s="177" t="str">
        <f>IF($A101="","",IF($A4="","",COUNTIFS(Başvuru!$I:$I,Toplantı!$B$16,Başvuru!$D:$D,$A$101)))</f>
        <v/>
      </c>
      <c r="O101" s="177" t="str">
        <f>IF($A101="","",IF($A4="","",COUNTIFS(Başvuru!$I:$I,Toplantı!$B$17,Başvuru!$D:$D,$A$101)))</f>
        <v/>
      </c>
      <c r="P101" s="177" t="str">
        <f>IF($A101="","",IF($A4="","",COUNTIFS(Başvuru!$I:$I,Toplantı!$B$18,Başvuru!$D:$D,$A$101)))</f>
        <v/>
      </c>
      <c r="Q101" s="177" t="str">
        <f>IF($A101="","",IF($A4="","",COUNTIFS(Başvuru!$I:$I,Toplantı!$B$19,Başvuru!$D:$D,$A$101)))</f>
        <v/>
      </c>
      <c r="R101" s="177" t="str">
        <f>IF($A101="","",IF($A4="","",COUNTIFS(Başvuru!$I:$I,Toplantı!$B$20,Başvuru!$D:$D,$A$101)))</f>
        <v/>
      </c>
      <c r="S101" s="178">
        <f t="shared" si="3"/>
        <v>0</v>
      </c>
    </row>
    <row r="102" spans="1:19" x14ac:dyDescent="0.25">
      <c r="A102" s="176" t="str">
        <f>IF(Birim!C104="","",Birim!C104)</f>
        <v/>
      </c>
      <c r="B102" s="177" t="str">
        <f>IF($A102="","",IF($A4="","",COUNTIFS(Başvuru!$I:$I,Toplantı!$B$4,Başvuru!$D:$D,$A$102)))</f>
        <v/>
      </c>
      <c r="C102" s="177" t="str">
        <f>IF($A102="","",IF($A4="","",COUNTIFS(Başvuru!$I:$I,Toplantı!$B$5,Başvuru!$D:$D,$A$102)))</f>
        <v/>
      </c>
      <c r="D102" s="177" t="str">
        <f>IF($A102="","",IF($A4="","",COUNTIFS(Başvuru!$I:$I,Toplantı!$B$6,Başvuru!$D:$D,$A$102)))</f>
        <v/>
      </c>
      <c r="E102" s="177" t="str">
        <f>IF($A102="","",IF($A4="","",COUNTIFS(Başvuru!$I:$I,Toplantı!$B$7,Başvuru!$D:$D,$A$102)))</f>
        <v/>
      </c>
      <c r="F102" s="177" t="str">
        <f>IF($A102="","",IF($A4="","",COUNTIFS(Başvuru!$I:$I,Toplantı!$B$8,Başvuru!$D:$D,$A$102)))</f>
        <v/>
      </c>
      <c r="G102" s="177" t="str">
        <f>IF($A102="","",IF($A4="","",COUNTIFS(Başvuru!$I:$I,Toplantı!$B$9,Başvuru!$D:$D,$A$102)))</f>
        <v/>
      </c>
      <c r="H102" s="177" t="str">
        <f>IF($A102="","",IF($A4="","",COUNTIFS(Başvuru!$I:$I,Toplantı!$B$10,Başvuru!$D:$D,$A$102)))</f>
        <v/>
      </c>
      <c r="I102" s="177" t="str">
        <f>IF($A102="","",IF($A4="","",COUNTIFS(Başvuru!$I:$I,Toplantı!$B$11,Başvuru!$D:$D,$A$102)))</f>
        <v/>
      </c>
      <c r="J102" s="177" t="str">
        <f>IF($A102="","",IF($A4="","",COUNTIFS(Başvuru!$I:$I,Toplantı!$B$12,Başvuru!$D:$D,$A$102)))</f>
        <v/>
      </c>
      <c r="K102" s="177" t="str">
        <f>IF($A102="","",IF($A4="","",COUNTIFS(Başvuru!$I:$I,Toplantı!$B$13,Başvuru!$D:$D,$A$102)))</f>
        <v/>
      </c>
      <c r="L102" s="177" t="str">
        <f>IF($A102="","",IF($A4="","",COUNTIFS(Başvuru!$I:$I,Toplantı!$B$14,Başvuru!$D:$D,$A$102)))</f>
        <v/>
      </c>
      <c r="M102" s="177" t="str">
        <f>IF($A102="","",IF($A4="","",COUNTIFS(Başvuru!$I:$I,Toplantı!$B$15,Başvuru!$D:$D,$A$102)))</f>
        <v/>
      </c>
      <c r="N102" s="177" t="str">
        <f>IF($A102="","",IF($A4="","",COUNTIFS(Başvuru!$I:$I,Toplantı!$B$16,Başvuru!$D:$D,$A$102)))</f>
        <v/>
      </c>
      <c r="O102" s="177" t="str">
        <f>IF($A102="","",IF($A4="","",COUNTIFS(Başvuru!$I:$I,Toplantı!$B$17,Başvuru!$D:$D,$A$102)))</f>
        <v/>
      </c>
      <c r="P102" s="177" t="str">
        <f>IF($A102="","",IF($A4="","",COUNTIFS(Başvuru!$I:$I,Toplantı!$B$18,Başvuru!$D:$D,$A$102)))</f>
        <v/>
      </c>
      <c r="Q102" s="177" t="str">
        <f>IF($A102="","",IF($A4="","",COUNTIFS(Başvuru!$I:$I,Toplantı!$B$19,Başvuru!$D:$D,$A$102)))</f>
        <v/>
      </c>
      <c r="R102" s="177" t="str">
        <f>IF($A102="","",IF($A4="","",COUNTIFS(Başvuru!$I:$I,Toplantı!$B$20,Başvuru!$D:$D,$A$102)))</f>
        <v/>
      </c>
      <c r="S102" s="178">
        <f t="shared" si="3"/>
        <v>0</v>
      </c>
    </row>
    <row r="103" spans="1:19" x14ac:dyDescent="0.25">
      <c r="A103" s="176" t="str">
        <f>IF(Birim!C105="","",Birim!C105)</f>
        <v/>
      </c>
      <c r="B103" s="177" t="str">
        <f>IF($A103="","",IF($A4="","",COUNTIFS(Başvuru!$I:$I,Toplantı!$B$4,Başvuru!$D:$D,$A$103)))</f>
        <v/>
      </c>
      <c r="C103" s="177" t="str">
        <f>IF($A103="","",IF($A4="","",COUNTIFS(Başvuru!$I:$I,Toplantı!$B$5,Başvuru!$D:$D,$A$103)))</f>
        <v/>
      </c>
      <c r="D103" s="177" t="str">
        <f>IF($A103="","",IF($A4="","",COUNTIFS(Başvuru!$I:$I,Toplantı!$B$6,Başvuru!$D:$D,$A$103)))</f>
        <v/>
      </c>
      <c r="E103" s="177" t="str">
        <f>IF($A103="","",IF($A4="","",COUNTIFS(Başvuru!$I:$I,Toplantı!$B$7,Başvuru!$D:$D,$A$103)))</f>
        <v/>
      </c>
      <c r="F103" s="177" t="str">
        <f>IF($A103="","",IF($A4="","",COUNTIFS(Başvuru!$I:$I,Toplantı!$B$8,Başvuru!$D:$D,$A$103)))</f>
        <v/>
      </c>
      <c r="G103" s="177" t="str">
        <f>IF($A103="","",IF($A4="","",COUNTIFS(Başvuru!$I:$I,Toplantı!$B$9,Başvuru!$D:$D,$A$103)))</f>
        <v/>
      </c>
      <c r="H103" s="177" t="str">
        <f>IF($A103="","",IF($A4="","",COUNTIFS(Başvuru!$I:$I,Toplantı!$B$10,Başvuru!$D:$D,$A$103)))</f>
        <v/>
      </c>
      <c r="I103" s="177" t="str">
        <f>IF($A103="","",IF($A4="","",COUNTIFS(Başvuru!$I:$I,Toplantı!$B$11,Başvuru!$D:$D,$A$103)))</f>
        <v/>
      </c>
      <c r="J103" s="177" t="str">
        <f>IF($A103="","",IF($A4="","",COUNTIFS(Başvuru!$I:$I,Toplantı!$B$12,Başvuru!$D:$D,$A$103)))</f>
        <v/>
      </c>
      <c r="K103" s="177" t="str">
        <f>IF($A103="","",IF($A4="","",COUNTIFS(Başvuru!$I:$I,Toplantı!$B$13,Başvuru!$D:$D,$A$103)))</f>
        <v/>
      </c>
      <c r="L103" s="177" t="str">
        <f>IF($A103="","",IF($A4="","",COUNTIFS(Başvuru!$I:$I,Toplantı!$B$14,Başvuru!$D:$D,$A$103)))</f>
        <v/>
      </c>
      <c r="M103" s="177" t="str">
        <f>IF($A103="","",IF($A4="","",COUNTIFS(Başvuru!$I:$I,Toplantı!$B$15,Başvuru!$D:$D,$A$103)))</f>
        <v/>
      </c>
      <c r="N103" s="177" t="str">
        <f>IF($A103="","",IF($A4="","",COUNTIFS(Başvuru!$I:$I,Toplantı!$B$16,Başvuru!$D:$D,$A$103)))</f>
        <v/>
      </c>
      <c r="O103" s="177" t="str">
        <f>IF($A103="","",IF($A4="","",COUNTIFS(Başvuru!$I:$I,Toplantı!$B$17,Başvuru!$D:$D,$A$103)))</f>
        <v/>
      </c>
      <c r="P103" s="177" t="str">
        <f>IF($A103="","",IF($A4="","",COUNTIFS(Başvuru!$I:$I,Toplantı!$B$18,Başvuru!$D:$D,$A$103)))</f>
        <v/>
      </c>
      <c r="Q103" s="177" t="str">
        <f>IF($A103="","",IF($A4="","",COUNTIFS(Başvuru!$I:$I,Toplantı!$B$19,Başvuru!$D:$D,$A$103)))</f>
        <v/>
      </c>
      <c r="R103" s="177" t="str">
        <f>IF($A103="","",IF($A4="","",COUNTIFS(Başvuru!$I:$I,Toplantı!$B$20,Başvuru!$D:$D,$A$103)))</f>
        <v/>
      </c>
      <c r="S103" s="178">
        <f t="shared" si="3"/>
        <v>0</v>
      </c>
    </row>
    <row r="104" spans="1:19" x14ac:dyDescent="0.25">
      <c r="A104" s="176" t="str">
        <f>IF(Birim!C106="","",Birim!C106)</f>
        <v/>
      </c>
      <c r="B104" s="177" t="str">
        <f>IF($A104="","",IF($A4="","",COUNTIFS(Başvuru!$I:$I,Toplantı!$B$4,Başvuru!$D:$D,$A$104)))</f>
        <v/>
      </c>
      <c r="C104" s="177" t="str">
        <f>IF($A104="","",IF($A4="","",COUNTIFS(Başvuru!$I:$I,Toplantı!$B$5,Başvuru!$D:$D,$A$104)))</f>
        <v/>
      </c>
      <c r="D104" s="177" t="str">
        <f>IF($A104="","",IF($A4="","",COUNTIFS(Başvuru!$I:$I,Toplantı!$B$6,Başvuru!$D:$D,$A$104)))</f>
        <v/>
      </c>
      <c r="E104" s="177" t="str">
        <f>IF($A104="","",IF($A4="","",COUNTIFS(Başvuru!$I:$I,Toplantı!$B$7,Başvuru!$D:$D,$A$104)))</f>
        <v/>
      </c>
      <c r="F104" s="177" t="str">
        <f>IF($A104="","",IF($A4="","",COUNTIFS(Başvuru!$I:$I,Toplantı!$B$8,Başvuru!$D:$D,$A$104)))</f>
        <v/>
      </c>
      <c r="G104" s="177" t="str">
        <f>IF($A104="","",IF($A4="","",COUNTIFS(Başvuru!$I:$I,Toplantı!$B$9,Başvuru!$D:$D,$A$104)))</f>
        <v/>
      </c>
      <c r="H104" s="177" t="str">
        <f>IF($A104="","",IF($A4="","",COUNTIFS(Başvuru!$I:$I,Toplantı!$B$10,Başvuru!$D:$D,$A$104)))</f>
        <v/>
      </c>
      <c r="I104" s="177" t="str">
        <f>IF($A104="","",IF($A4="","",COUNTIFS(Başvuru!$I:$I,Toplantı!$B$11,Başvuru!$D:$D,$A$104)))</f>
        <v/>
      </c>
      <c r="J104" s="177" t="str">
        <f>IF($A104="","",IF($A4="","",COUNTIFS(Başvuru!$I:$I,Toplantı!$B$12,Başvuru!$D:$D,$A$104)))</f>
        <v/>
      </c>
      <c r="K104" s="177" t="str">
        <f>IF($A104="","",IF($A4="","",COUNTIFS(Başvuru!$I:$I,Toplantı!$B$13,Başvuru!$D:$D,$A$104)))</f>
        <v/>
      </c>
      <c r="L104" s="177" t="str">
        <f>IF($A104="","",IF($A4="","",COUNTIFS(Başvuru!$I:$I,Toplantı!$B$14,Başvuru!$D:$D,$A$104)))</f>
        <v/>
      </c>
      <c r="M104" s="177" t="str">
        <f>IF($A104="","",IF($A4="","",COUNTIFS(Başvuru!$I:$I,Toplantı!$B$15,Başvuru!$D:$D,$A$104)))</f>
        <v/>
      </c>
      <c r="N104" s="177" t="str">
        <f>IF($A104="","",IF($A4="","",COUNTIFS(Başvuru!$I:$I,Toplantı!$B$16,Başvuru!$D:$D,$A$104)))</f>
        <v/>
      </c>
      <c r="O104" s="177" t="str">
        <f>IF($A104="","",IF($A4="","",COUNTIFS(Başvuru!$I:$I,Toplantı!$B$17,Başvuru!$D:$D,$A$104)))</f>
        <v/>
      </c>
      <c r="P104" s="177" t="str">
        <f>IF($A104="","",IF($A4="","",COUNTIFS(Başvuru!$I:$I,Toplantı!$B$18,Başvuru!$D:$D,$A$104)))</f>
        <v/>
      </c>
      <c r="Q104" s="177" t="str">
        <f>IF($A104="","",IF($A4="","",COUNTIFS(Başvuru!$I:$I,Toplantı!$B$19,Başvuru!$D:$D,$A$104)))</f>
        <v/>
      </c>
      <c r="R104" s="177" t="str">
        <f>IF($A104="","",IF($A4="","",COUNTIFS(Başvuru!$I:$I,Toplantı!$B$20,Başvuru!$D:$D,$A$104)))</f>
        <v/>
      </c>
      <c r="S104" s="178">
        <f t="shared" si="3"/>
        <v>0</v>
      </c>
    </row>
    <row r="105" spans="1:19" x14ac:dyDescent="0.25">
      <c r="A105" s="176" t="str">
        <f>IF(Birim!C107="","",Birim!C107)</f>
        <v/>
      </c>
      <c r="B105" s="177" t="str">
        <f>IF($A105="","",IF($A4="","",COUNTIFS(Başvuru!$I:$I,Toplantı!$B$4,Başvuru!$D:$D,$A$105)))</f>
        <v/>
      </c>
      <c r="C105" s="177" t="str">
        <f>IF($A105="","",IF($A4="","",COUNTIFS(Başvuru!$I:$I,Toplantı!$B$5,Başvuru!$D:$D,$A$105)))</f>
        <v/>
      </c>
      <c r="D105" s="177" t="str">
        <f>IF($A105="","",IF($A4="","",COUNTIFS(Başvuru!$I:$I,Toplantı!$B$6,Başvuru!$D:$D,$A$105)))</f>
        <v/>
      </c>
      <c r="E105" s="177" t="str">
        <f>IF($A105="","",IF($A4="","",COUNTIFS(Başvuru!$I:$I,Toplantı!$B$7,Başvuru!$D:$D,$A$105)))</f>
        <v/>
      </c>
      <c r="F105" s="177" t="str">
        <f>IF($A105="","",IF($A4="","",COUNTIFS(Başvuru!$I:$I,Toplantı!$B$8,Başvuru!$D:$D,$A$105)))</f>
        <v/>
      </c>
      <c r="G105" s="177" t="str">
        <f>IF($A105="","",IF($A4="","",COUNTIFS(Başvuru!$I:$I,Toplantı!$B$9,Başvuru!$D:$D,$A$105)))</f>
        <v/>
      </c>
      <c r="H105" s="177" t="str">
        <f>IF($A105="","",IF($A4="","",COUNTIFS(Başvuru!$I:$I,Toplantı!$B$10,Başvuru!$D:$D,$A$105)))</f>
        <v/>
      </c>
      <c r="I105" s="177" t="str">
        <f>IF($A105="","",IF($A4="","",COUNTIFS(Başvuru!$I:$I,Toplantı!$B$11,Başvuru!$D:$D,$A$105)))</f>
        <v/>
      </c>
      <c r="J105" s="177" t="str">
        <f>IF($A105="","",IF($A4="","",COUNTIFS(Başvuru!$I:$I,Toplantı!$B$12,Başvuru!$D:$D,$A$105)))</f>
        <v/>
      </c>
      <c r="K105" s="177" t="str">
        <f>IF($A105="","",IF($A4="","",COUNTIFS(Başvuru!$I:$I,Toplantı!$B$13,Başvuru!$D:$D,$A$105)))</f>
        <v/>
      </c>
      <c r="L105" s="177" t="str">
        <f>IF($A105="","",IF($A4="","",COUNTIFS(Başvuru!$I:$I,Toplantı!$B$14,Başvuru!$D:$D,$A$105)))</f>
        <v/>
      </c>
      <c r="M105" s="177" t="str">
        <f>IF($A105="","",IF($A4="","",COUNTIFS(Başvuru!$I:$I,Toplantı!$B$15,Başvuru!$D:$D,$A$105)))</f>
        <v/>
      </c>
      <c r="N105" s="177" t="str">
        <f>IF($A105="","",IF($A4="","",COUNTIFS(Başvuru!$I:$I,Toplantı!$B$16,Başvuru!$D:$D,$A$105)))</f>
        <v/>
      </c>
      <c r="O105" s="177" t="str">
        <f>IF($A105="","",IF($A4="","",COUNTIFS(Başvuru!$I:$I,Toplantı!$B$17,Başvuru!$D:$D,$A$105)))</f>
        <v/>
      </c>
      <c r="P105" s="177" t="str">
        <f>IF($A105="","",IF($A4="","",COUNTIFS(Başvuru!$I:$I,Toplantı!$B$18,Başvuru!$D:$D,$A$105)))</f>
        <v/>
      </c>
      <c r="Q105" s="177" t="str">
        <f>IF($A105="","",IF($A4="","",COUNTIFS(Başvuru!$I:$I,Toplantı!$B$19,Başvuru!$D:$D,$A$105)))</f>
        <v/>
      </c>
      <c r="R105" s="177" t="str">
        <f>IF($A105="","",IF($A4="","",COUNTIFS(Başvuru!$I:$I,Toplantı!$B$20,Başvuru!$D:$D,$A$105)))</f>
        <v/>
      </c>
      <c r="S105" s="178">
        <f t="shared" si="3"/>
        <v>0</v>
      </c>
    </row>
    <row r="106" spans="1:19" x14ac:dyDescent="0.25">
      <c r="A106" s="176" t="str">
        <f>IF(Birim!C108="","",Birim!C108)</f>
        <v/>
      </c>
      <c r="B106" s="177" t="str">
        <f>IF($A106="","",IF($A4="","",COUNTIFS(Başvuru!$I:$I,Toplantı!$B$4,Başvuru!$D:$D,$A$106)))</f>
        <v/>
      </c>
      <c r="C106" s="177" t="str">
        <f>IF($A106="","",IF($A4="","",COUNTIFS(Başvuru!$I:$I,Toplantı!$B$5,Başvuru!$D:$D,$A$106)))</f>
        <v/>
      </c>
      <c r="D106" s="177" t="str">
        <f>IF($A106="","",IF($A4="","",COUNTIFS(Başvuru!$I:$I,Toplantı!$B$6,Başvuru!$D:$D,$A$106)))</f>
        <v/>
      </c>
      <c r="E106" s="177" t="str">
        <f>IF($A106="","",IF($A4="","",COUNTIFS(Başvuru!$I:$I,Toplantı!$B$7,Başvuru!$D:$D,$A$106)))</f>
        <v/>
      </c>
      <c r="F106" s="177" t="str">
        <f>IF($A106="","",IF($A4="","",COUNTIFS(Başvuru!$I:$I,Toplantı!$B$8,Başvuru!$D:$D,$A$106)))</f>
        <v/>
      </c>
      <c r="G106" s="177" t="str">
        <f>IF($A106="","",IF($A4="","",COUNTIFS(Başvuru!$I:$I,Toplantı!$B$9,Başvuru!$D:$D,$A$106)))</f>
        <v/>
      </c>
      <c r="H106" s="177" t="str">
        <f>IF($A106="","",IF($A4="","",COUNTIFS(Başvuru!$I:$I,Toplantı!$B$10,Başvuru!$D:$D,$A$106)))</f>
        <v/>
      </c>
      <c r="I106" s="177" t="str">
        <f>IF($A106="","",IF($A4="","",COUNTIFS(Başvuru!$I:$I,Toplantı!$B$11,Başvuru!$D:$D,$A$106)))</f>
        <v/>
      </c>
      <c r="J106" s="177" t="str">
        <f>IF($A106="","",IF($A4="","",COUNTIFS(Başvuru!$I:$I,Toplantı!$B$12,Başvuru!$D:$D,$A$106)))</f>
        <v/>
      </c>
      <c r="K106" s="177" t="str">
        <f>IF($A106="","",IF($A4="","",COUNTIFS(Başvuru!$I:$I,Toplantı!$B$13,Başvuru!$D:$D,$A$106)))</f>
        <v/>
      </c>
      <c r="L106" s="177" t="str">
        <f>IF($A106="","",IF($A4="","",COUNTIFS(Başvuru!$I:$I,Toplantı!$B$14,Başvuru!$D:$D,$A$106)))</f>
        <v/>
      </c>
      <c r="M106" s="177" t="str">
        <f>IF($A106="","",IF($A4="","",COUNTIFS(Başvuru!$I:$I,Toplantı!$B$15,Başvuru!$D:$D,$A$106)))</f>
        <v/>
      </c>
      <c r="N106" s="177" t="str">
        <f>IF($A106="","",IF($A4="","",COUNTIFS(Başvuru!$I:$I,Toplantı!$B$16,Başvuru!$D:$D,$A$106)))</f>
        <v/>
      </c>
      <c r="O106" s="177" t="str">
        <f>IF($A106="","",IF($A4="","",COUNTIFS(Başvuru!$I:$I,Toplantı!$B$17,Başvuru!$D:$D,$A$106)))</f>
        <v/>
      </c>
      <c r="P106" s="177" t="str">
        <f>IF($A106="","",IF($A4="","",COUNTIFS(Başvuru!$I:$I,Toplantı!$B$18,Başvuru!$D:$D,$A$106)))</f>
        <v/>
      </c>
      <c r="Q106" s="177" t="str">
        <f>IF($A106="","",IF($A4="","",COUNTIFS(Başvuru!$I:$I,Toplantı!$B$19,Başvuru!$D:$D,$A$106)))</f>
        <v/>
      </c>
      <c r="R106" s="177" t="str">
        <f>IF($A106="","",IF($A4="","",COUNTIFS(Başvuru!$I:$I,Toplantı!$B$20,Başvuru!$D:$D,$A$106)))</f>
        <v/>
      </c>
      <c r="S106" s="178">
        <f t="shared" si="3"/>
        <v>0</v>
      </c>
    </row>
    <row r="107" spans="1:19" x14ac:dyDescent="0.25">
      <c r="A107" s="176" t="str">
        <f>IF(Birim!C109="","",Birim!C109)</f>
        <v/>
      </c>
      <c r="B107" s="177" t="str">
        <f>IF($A107="","",IF($A4="","",COUNTIFS(Başvuru!$I:$I,Toplantı!$B$4,Başvuru!$D:$D,$A$107)))</f>
        <v/>
      </c>
      <c r="C107" s="177" t="str">
        <f>IF($A107="","",IF($A4="","",COUNTIFS(Başvuru!$I:$I,Toplantı!$B$5,Başvuru!$D:$D,$A$107)))</f>
        <v/>
      </c>
      <c r="D107" s="177" t="str">
        <f>IF($A107="","",IF($A4="","",COUNTIFS(Başvuru!$I:$I,Toplantı!$B$6,Başvuru!$D:$D,$A$107)))</f>
        <v/>
      </c>
      <c r="E107" s="177" t="str">
        <f>IF($A107="","",IF($A4="","",COUNTIFS(Başvuru!$I:$I,Toplantı!$B$7,Başvuru!$D:$D,$A$107)))</f>
        <v/>
      </c>
      <c r="F107" s="177" t="str">
        <f>IF($A107="","",IF($A4="","",COUNTIFS(Başvuru!$I:$I,Toplantı!$B$8,Başvuru!$D:$D,$A$107)))</f>
        <v/>
      </c>
      <c r="G107" s="177" t="str">
        <f>IF($A107="","",IF($A4="","",COUNTIFS(Başvuru!$I:$I,Toplantı!$B$9,Başvuru!$D:$D,$A$107)))</f>
        <v/>
      </c>
      <c r="H107" s="177" t="str">
        <f>IF($A107="","",IF($A4="","",COUNTIFS(Başvuru!$I:$I,Toplantı!$B$10,Başvuru!$D:$D,$A$107)))</f>
        <v/>
      </c>
      <c r="I107" s="177" t="str">
        <f>IF($A107="","",IF($A4="","",COUNTIFS(Başvuru!$I:$I,Toplantı!$B$11,Başvuru!$D:$D,$A$107)))</f>
        <v/>
      </c>
      <c r="J107" s="177" t="str">
        <f>IF($A107="","",IF($A4="","",COUNTIFS(Başvuru!$I:$I,Toplantı!$B$12,Başvuru!$D:$D,$A$107)))</f>
        <v/>
      </c>
      <c r="K107" s="177" t="str">
        <f>IF($A107="","",IF($A4="","",COUNTIFS(Başvuru!$I:$I,Toplantı!$B$13,Başvuru!$D:$D,$A$107)))</f>
        <v/>
      </c>
      <c r="L107" s="177" t="str">
        <f>IF($A107="","",IF($A4="","",COUNTIFS(Başvuru!$I:$I,Toplantı!$B$14,Başvuru!$D:$D,$A$107)))</f>
        <v/>
      </c>
      <c r="M107" s="177" t="str">
        <f>IF($A107="","",IF($A4="","",COUNTIFS(Başvuru!$I:$I,Toplantı!$B$15,Başvuru!$D:$D,$A$107)))</f>
        <v/>
      </c>
      <c r="N107" s="177" t="str">
        <f>IF($A107="","",IF($A4="","",COUNTIFS(Başvuru!$I:$I,Toplantı!$B$16,Başvuru!$D:$D,$A$107)))</f>
        <v/>
      </c>
      <c r="O107" s="177" t="str">
        <f>IF($A107="","",IF($A4="","",COUNTIFS(Başvuru!$I:$I,Toplantı!$B$17,Başvuru!$D:$D,$A$107)))</f>
        <v/>
      </c>
      <c r="P107" s="177" t="str">
        <f>IF($A107="","",IF($A4="","",COUNTIFS(Başvuru!$I:$I,Toplantı!$B$18,Başvuru!$D:$D,$A$107)))</f>
        <v/>
      </c>
      <c r="Q107" s="177" t="str">
        <f>IF($A107="","",IF($A4="","",COUNTIFS(Başvuru!$I:$I,Toplantı!$B$19,Başvuru!$D:$D,$A$107)))</f>
        <v/>
      </c>
      <c r="R107" s="177" t="str">
        <f>IF($A107="","",IF($A4="","",COUNTIFS(Başvuru!$I:$I,Toplantı!$B$20,Başvuru!$D:$D,$A$107)))</f>
        <v/>
      </c>
      <c r="S107" s="178">
        <f t="shared" si="3"/>
        <v>0</v>
      </c>
    </row>
    <row r="108" spans="1:19" x14ac:dyDescent="0.25">
      <c r="A108" s="176" t="str">
        <f>IF(Birim!C110="","",Birim!C110)</f>
        <v/>
      </c>
      <c r="B108" s="177" t="str">
        <f>IF($A108="","",IF($A4="","",COUNTIFS(Başvuru!$I:$I,Toplantı!$B$4,Başvuru!$D:$D,$A$108)))</f>
        <v/>
      </c>
      <c r="C108" s="177" t="str">
        <f>IF($A108="","",IF($A4="","",COUNTIFS(Başvuru!$I:$I,Toplantı!$B$5,Başvuru!$D:$D,$A$108)))</f>
        <v/>
      </c>
      <c r="D108" s="177" t="str">
        <f>IF($A108="","",IF($A4="","",COUNTIFS(Başvuru!$I:$I,Toplantı!$B$6,Başvuru!$D:$D,$A$108)))</f>
        <v/>
      </c>
      <c r="E108" s="177" t="str">
        <f>IF($A108="","",IF($A4="","",COUNTIFS(Başvuru!$I:$I,Toplantı!$B$7,Başvuru!$D:$D,$A$108)))</f>
        <v/>
      </c>
      <c r="F108" s="177" t="str">
        <f>IF($A108="","",IF($A4="","",COUNTIFS(Başvuru!$I:$I,Toplantı!$B$8,Başvuru!$D:$D,$A$108)))</f>
        <v/>
      </c>
      <c r="G108" s="177" t="str">
        <f>IF($A108="","",IF($A4="","",COUNTIFS(Başvuru!$I:$I,Toplantı!$B$9,Başvuru!$D:$D,$A$108)))</f>
        <v/>
      </c>
      <c r="H108" s="177" t="str">
        <f>IF($A108="","",IF($A4="","",COUNTIFS(Başvuru!$I:$I,Toplantı!$B$10,Başvuru!$D:$D,$A$108)))</f>
        <v/>
      </c>
      <c r="I108" s="177" t="str">
        <f>IF($A108="","",IF($A4="","",COUNTIFS(Başvuru!$I:$I,Toplantı!$B$11,Başvuru!$D:$D,$A$108)))</f>
        <v/>
      </c>
      <c r="J108" s="177" t="str">
        <f>IF($A108="","",IF($A4="","",COUNTIFS(Başvuru!$I:$I,Toplantı!$B$12,Başvuru!$D:$D,$A$108)))</f>
        <v/>
      </c>
      <c r="K108" s="177" t="str">
        <f>IF($A108="","",IF($A4="","",COUNTIFS(Başvuru!$I:$I,Toplantı!$B$13,Başvuru!$D:$D,$A$108)))</f>
        <v/>
      </c>
      <c r="L108" s="177" t="str">
        <f>IF($A108="","",IF($A4="","",COUNTIFS(Başvuru!$I:$I,Toplantı!$B$14,Başvuru!$D:$D,$A$108)))</f>
        <v/>
      </c>
      <c r="M108" s="177" t="str">
        <f>IF($A108="","",IF($A4="","",COUNTIFS(Başvuru!$I:$I,Toplantı!$B$15,Başvuru!$D:$D,$A$108)))</f>
        <v/>
      </c>
      <c r="N108" s="177" t="str">
        <f>IF($A108="","",IF($A4="","",COUNTIFS(Başvuru!$I:$I,Toplantı!$B$16,Başvuru!$D:$D,$A$108)))</f>
        <v/>
      </c>
      <c r="O108" s="177" t="str">
        <f>IF($A108="","",IF($A4="","",COUNTIFS(Başvuru!$I:$I,Toplantı!$B$17,Başvuru!$D:$D,$A$108)))</f>
        <v/>
      </c>
      <c r="P108" s="177" t="str">
        <f>IF($A108="","",IF($A4="","",COUNTIFS(Başvuru!$I:$I,Toplantı!$B$18,Başvuru!$D:$D,$A$108)))</f>
        <v/>
      </c>
      <c r="Q108" s="177" t="str">
        <f>IF($A108="","",IF($A4="","",COUNTIFS(Başvuru!$I:$I,Toplantı!$B$19,Başvuru!$D:$D,$A$108)))</f>
        <v/>
      </c>
      <c r="R108" s="177" t="str">
        <f>IF($A108="","",IF($A4="","",COUNTIFS(Başvuru!$I:$I,Toplantı!$B$20,Başvuru!$D:$D,$A$108)))</f>
        <v/>
      </c>
      <c r="S108" s="178">
        <f t="shared" si="3"/>
        <v>0</v>
      </c>
    </row>
    <row r="109" spans="1:19" x14ac:dyDescent="0.25">
      <c r="A109" s="176" t="str">
        <f>IF(Birim!C111="","",Birim!C111)</f>
        <v/>
      </c>
      <c r="B109" s="177" t="str">
        <f>IF($A109="","",IF($A4="","",COUNTIFS(Başvuru!$I:$I,Toplantı!$B$4,Başvuru!$D:$D,$A$109)))</f>
        <v/>
      </c>
      <c r="C109" s="177" t="str">
        <f>IF($A109="","",IF($A4="","",COUNTIFS(Başvuru!$I:$I,Toplantı!$B$5,Başvuru!$D:$D,$A$109)))</f>
        <v/>
      </c>
      <c r="D109" s="177" t="str">
        <f>IF($A109="","",IF($A4="","",COUNTIFS(Başvuru!$I:$I,Toplantı!$B$6,Başvuru!$D:$D,$A$109)))</f>
        <v/>
      </c>
      <c r="E109" s="177" t="str">
        <f>IF($A109="","",IF($A4="","",COUNTIFS(Başvuru!$I:$I,Toplantı!$B$7,Başvuru!$D:$D,$A$109)))</f>
        <v/>
      </c>
      <c r="F109" s="177" t="str">
        <f>IF($A109="","",IF($A4="","",COUNTIFS(Başvuru!$I:$I,Toplantı!$B$8,Başvuru!$D:$D,$A$109)))</f>
        <v/>
      </c>
      <c r="G109" s="177" t="str">
        <f>IF($A109="","",IF($A4="","",COUNTIFS(Başvuru!$I:$I,Toplantı!$B$9,Başvuru!$D:$D,$A$109)))</f>
        <v/>
      </c>
      <c r="H109" s="177" t="str">
        <f>IF($A109="","",IF($A4="","",COUNTIFS(Başvuru!$I:$I,Toplantı!$B$10,Başvuru!$D:$D,$A$109)))</f>
        <v/>
      </c>
      <c r="I109" s="177" t="str">
        <f>IF($A109="","",IF($A4="","",COUNTIFS(Başvuru!$I:$I,Toplantı!$B$11,Başvuru!$D:$D,$A$109)))</f>
        <v/>
      </c>
      <c r="J109" s="177" t="str">
        <f>IF($A109="","",IF($A4="","",COUNTIFS(Başvuru!$I:$I,Toplantı!$B$12,Başvuru!$D:$D,$A$109)))</f>
        <v/>
      </c>
      <c r="K109" s="177" t="str">
        <f>IF($A109="","",IF($A4="","",COUNTIFS(Başvuru!$I:$I,Toplantı!$B$13,Başvuru!$D:$D,$A$109)))</f>
        <v/>
      </c>
      <c r="L109" s="177" t="str">
        <f>IF($A109="","",IF($A4="","",COUNTIFS(Başvuru!$I:$I,Toplantı!$B$14,Başvuru!$D:$D,$A$109)))</f>
        <v/>
      </c>
      <c r="M109" s="177" t="str">
        <f>IF($A109="","",IF($A4="","",COUNTIFS(Başvuru!$I:$I,Toplantı!$B$15,Başvuru!$D:$D,$A$109)))</f>
        <v/>
      </c>
      <c r="N109" s="177" t="str">
        <f>IF($A109="","",IF($A4="","",COUNTIFS(Başvuru!$I:$I,Toplantı!$B$16,Başvuru!$D:$D,$A$109)))</f>
        <v/>
      </c>
      <c r="O109" s="177" t="str">
        <f>IF($A109="","",IF($A4="","",COUNTIFS(Başvuru!$I:$I,Toplantı!$B$17,Başvuru!$D:$D,$A$109)))</f>
        <v/>
      </c>
      <c r="P109" s="177" t="str">
        <f>IF($A109="","",IF($A4="","",COUNTIFS(Başvuru!$I:$I,Toplantı!$B$18,Başvuru!$D:$D,$A$109)))</f>
        <v/>
      </c>
      <c r="Q109" s="177" t="str">
        <f>IF($A109="","",IF($A4="","",COUNTIFS(Başvuru!$I:$I,Toplantı!$B$19,Başvuru!$D:$D,$A$109)))</f>
        <v/>
      </c>
      <c r="R109" s="177" t="str">
        <f>IF($A109="","",IF($A4="","",COUNTIFS(Başvuru!$I:$I,Toplantı!$B$20,Başvuru!$D:$D,$A$109)))</f>
        <v/>
      </c>
      <c r="S109" s="178">
        <f t="shared" si="3"/>
        <v>0</v>
      </c>
    </row>
    <row r="110" spans="1:19" x14ac:dyDescent="0.25">
      <c r="A110" s="176" t="str">
        <f>IF(Birim!C112="","",Birim!C112)</f>
        <v/>
      </c>
      <c r="B110" s="177" t="str">
        <f>IF($A110="","",IF($A4="","",COUNTIFS(Başvuru!$I:$I,Toplantı!$B$4,Başvuru!$D:$D,$A$110)))</f>
        <v/>
      </c>
      <c r="C110" s="177" t="str">
        <f>IF($A110="","",IF($A4="","",COUNTIFS(Başvuru!$I:$I,Toplantı!$B$5,Başvuru!$D:$D,$A$110)))</f>
        <v/>
      </c>
      <c r="D110" s="177" t="str">
        <f>IF($A110="","",IF($A4="","",COUNTIFS(Başvuru!$I:$I,Toplantı!$B$6,Başvuru!$D:$D,$A$110)))</f>
        <v/>
      </c>
      <c r="E110" s="177" t="str">
        <f>IF($A110="","",IF($A4="","",COUNTIFS(Başvuru!$I:$I,Toplantı!$B$7,Başvuru!$D:$D,$A$110)))</f>
        <v/>
      </c>
      <c r="F110" s="177" t="str">
        <f>IF($A110="","",IF($A4="","",COUNTIFS(Başvuru!$I:$I,Toplantı!$B$8,Başvuru!$D:$D,$A$110)))</f>
        <v/>
      </c>
      <c r="G110" s="177" t="str">
        <f>IF($A110="","",IF($A4="","",COUNTIFS(Başvuru!$I:$I,Toplantı!$B$9,Başvuru!$D:$D,$A$110)))</f>
        <v/>
      </c>
      <c r="H110" s="177" t="str">
        <f>IF($A110="","",IF($A4="","",COUNTIFS(Başvuru!$I:$I,Toplantı!$B$10,Başvuru!$D:$D,$A$110)))</f>
        <v/>
      </c>
      <c r="I110" s="177" t="str">
        <f>IF($A110="","",IF($A4="","",COUNTIFS(Başvuru!$I:$I,Toplantı!$B$11,Başvuru!$D:$D,$A$110)))</f>
        <v/>
      </c>
      <c r="J110" s="177" t="str">
        <f>IF($A110="","",IF($A4="","",COUNTIFS(Başvuru!$I:$I,Toplantı!$B$12,Başvuru!$D:$D,$A$110)))</f>
        <v/>
      </c>
      <c r="K110" s="177" t="str">
        <f>IF($A110="","",IF($A4="","",COUNTIFS(Başvuru!$I:$I,Toplantı!$B$13,Başvuru!$D:$D,$A$110)))</f>
        <v/>
      </c>
      <c r="L110" s="177" t="str">
        <f>IF($A110="","",IF($A4="","",COUNTIFS(Başvuru!$I:$I,Toplantı!$B$14,Başvuru!$D:$D,$A$110)))</f>
        <v/>
      </c>
      <c r="M110" s="177" t="str">
        <f>IF($A110="","",IF($A4="","",COUNTIFS(Başvuru!$I:$I,Toplantı!$B$15,Başvuru!$D:$D,$A$110)))</f>
        <v/>
      </c>
      <c r="N110" s="177" t="str">
        <f>IF($A110="","",IF($A4="","",COUNTIFS(Başvuru!$I:$I,Toplantı!$B$16,Başvuru!$D:$D,$A$110)))</f>
        <v/>
      </c>
      <c r="O110" s="177" t="str">
        <f>IF($A110="","",IF($A4="","",COUNTIFS(Başvuru!$I:$I,Toplantı!$B$17,Başvuru!$D:$D,$A$110)))</f>
        <v/>
      </c>
      <c r="P110" s="177" t="str">
        <f>IF($A110="","",IF($A4="","",COUNTIFS(Başvuru!$I:$I,Toplantı!$B$18,Başvuru!$D:$D,$A$110)))</f>
        <v/>
      </c>
      <c r="Q110" s="177" t="str">
        <f>IF($A110="","",IF($A4="","",COUNTIFS(Başvuru!$I:$I,Toplantı!$B$19,Başvuru!$D:$D,$A$110)))</f>
        <v/>
      </c>
      <c r="R110" s="177" t="str">
        <f>IF($A110="","",IF($A4="","",COUNTIFS(Başvuru!$I:$I,Toplantı!$B$20,Başvuru!$D:$D,$A$110)))</f>
        <v/>
      </c>
      <c r="S110" s="178">
        <f t="shared" si="3"/>
        <v>0</v>
      </c>
    </row>
    <row r="111" spans="1:19" x14ac:dyDescent="0.25">
      <c r="A111" s="176" t="str">
        <f>IF(Birim!C113="","",Birim!C113)</f>
        <v/>
      </c>
      <c r="B111" s="177" t="str">
        <f>IF($A111="","",IF($A4="","",COUNTIFS(Başvuru!$I:$I,Toplantı!$B$4,Başvuru!$D:$D,$A$111)))</f>
        <v/>
      </c>
      <c r="C111" s="177" t="str">
        <f>IF($A111="","",IF($A4="","",COUNTIFS(Başvuru!$I:$I,Toplantı!$B$5,Başvuru!$D:$D,$A$111)))</f>
        <v/>
      </c>
      <c r="D111" s="177" t="str">
        <f>IF($A111="","",IF($A4="","",COUNTIFS(Başvuru!$I:$I,Toplantı!$B$6,Başvuru!$D:$D,$A$111)))</f>
        <v/>
      </c>
      <c r="E111" s="177" t="str">
        <f>IF($A111="","",IF($A4="","",COUNTIFS(Başvuru!$I:$I,Toplantı!$B$7,Başvuru!$D:$D,$A$111)))</f>
        <v/>
      </c>
      <c r="F111" s="177" t="str">
        <f>IF($A111="","",IF($A4="","",COUNTIFS(Başvuru!$I:$I,Toplantı!$B$8,Başvuru!$D:$D,$A$111)))</f>
        <v/>
      </c>
      <c r="G111" s="177" t="str">
        <f>IF($A111="","",IF($A4="","",COUNTIFS(Başvuru!$I:$I,Toplantı!$B$9,Başvuru!$D:$D,$A$111)))</f>
        <v/>
      </c>
      <c r="H111" s="177" t="str">
        <f>IF($A111="","",IF($A4="","",COUNTIFS(Başvuru!$I:$I,Toplantı!$B$10,Başvuru!$D:$D,$A$111)))</f>
        <v/>
      </c>
      <c r="I111" s="177" t="str">
        <f>IF($A111="","",IF($A4="","",COUNTIFS(Başvuru!$I:$I,Toplantı!$B$11,Başvuru!$D:$D,$A$111)))</f>
        <v/>
      </c>
      <c r="J111" s="177" t="str">
        <f>IF($A111="","",IF($A4="","",COUNTIFS(Başvuru!$I:$I,Toplantı!$B$12,Başvuru!$D:$D,$A$111)))</f>
        <v/>
      </c>
      <c r="K111" s="177" t="str">
        <f>IF($A111="","",IF($A4="","",COUNTIFS(Başvuru!$I:$I,Toplantı!$B$13,Başvuru!$D:$D,$A$111)))</f>
        <v/>
      </c>
      <c r="L111" s="177" t="str">
        <f>IF($A111="","",IF($A4="","",COUNTIFS(Başvuru!$I:$I,Toplantı!$B$14,Başvuru!$D:$D,$A$111)))</f>
        <v/>
      </c>
      <c r="M111" s="177" t="str">
        <f>IF($A111="","",IF($A4="","",COUNTIFS(Başvuru!$I:$I,Toplantı!$B$15,Başvuru!$D:$D,$A$111)))</f>
        <v/>
      </c>
      <c r="N111" s="177" t="str">
        <f>IF($A111="","",IF($A4="","",COUNTIFS(Başvuru!$I:$I,Toplantı!$B$16,Başvuru!$D:$D,$A$111)))</f>
        <v/>
      </c>
      <c r="O111" s="177" t="str">
        <f>IF($A111="","",IF($A4="","",COUNTIFS(Başvuru!$I:$I,Toplantı!$B$17,Başvuru!$D:$D,$A$111)))</f>
        <v/>
      </c>
      <c r="P111" s="177" t="str">
        <f>IF($A111="","",IF($A4="","",COUNTIFS(Başvuru!$I:$I,Toplantı!$B$18,Başvuru!$D:$D,$A$111)))</f>
        <v/>
      </c>
      <c r="Q111" s="177" t="str">
        <f>IF($A111="","",IF($A4="","",COUNTIFS(Başvuru!$I:$I,Toplantı!$B$19,Başvuru!$D:$D,$A$111)))</f>
        <v/>
      </c>
      <c r="R111" s="177" t="str">
        <f>IF($A111="","",IF($A4="","",COUNTIFS(Başvuru!$I:$I,Toplantı!$B$20,Başvuru!$D:$D,$A$111)))</f>
        <v/>
      </c>
      <c r="S111" s="178">
        <f t="shared" si="3"/>
        <v>0</v>
      </c>
    </row>
    <row r="112" spans="1:19" x14ac:dyDescent="0.25">
      <c r="A112" s="176" t="str">
        <f>IF(Birim!C114="","",Birim!C114)</f>
        <v/>
      </c>
      <c r="B112" s="177" t="str">
        <f>IF($A112="","",IF($A4="","",COUNTIFS(Başvuru!$I:$I,Toplantı!$B$4,Başvuru!$D:$D,$A$112)))</f>
        <v/>
      </c>
      <c r="C112" s="177" t="str">
        <f>IF($A112="","",IF($A4="","",COUNTIFS(Başvuru!$I:$I,Toplantı!$B$5,Başvuru!$D:$D,$A$112)))</f>
        <v/>
      </c>
      <c r="D112" s="177" t="str">
        <f>IF($A112="","",IF($A4="","",COUNTIFS(Başvuru!$I:$I,Toplantı!$B$6,Başvuru!$D:$D,$A$112)))</f>
        <v/>
      </c>
      <c r="E112" s="177" t="str">
        <f>IF($A112="","",IF($A4="","",COUNTIFS(Başvuru!$I:$I,Toplantı!$B$7,Başvuru!$D:$D,$A$112)))</f>
        <v/>
      </c>
      <c r="F112" s="177" t="str">
        <f>IF($A112="","",IF($A4="","",COUNTIFS(Başvuru!$I:$I,Toplantı!$B$8,Başvuru!$D:$D,$A$112)))</f>
        <v/>
      </c>
      <c r="G112" s="177" t="str">
        <f>IF($A112="","",IF($A4="","",COUNTIFS(Başvuru!$I:$I,Toplantı!$B$9,Başvuru!$D:$D,$A$112)))</f>
        <v/>
      </c>
      <c r="H112" s="177" t="str">
        <f>IF($A112="","",IF($A4="","",COUNTIFS(Başvuru!$I:$I,Toplantı!$B$10,Başvuru!$D:$D,$A$112)))</f>
        <v/>
      </c>
      <c r="I112" s="177" t="str">
        <f>IF($A112="","",IF($A4="","",COUNTIFS(Başvuru!$I:$I,Toplantı!$B$11,Başvuru!$D:$D,$A$112)))</f>
        <v/>
      </c>
      <c r="J112" s="177" t="str">
        <f>IF($A112="","",IF($A4="","",COUNTIFS(Başvuru!$I:$I,Toplantı!$B$12,Başvuru!$D:$D,$A$112)))</f>
        <v/>
      </c>
      <c r="K112" s="177" t="str">
        <f>IF($A112="","",IF($A4="","",COUNTIFS(Başvuru!$I:$I,Toplantı!$B$13,Başvuru!$D:$D,$A$112)))</f>
        <v/>
      </c>
      <c r="L112" s="177" t="str">
        <f>IF($A112="","",IF($A4="","",COUNTIFS(Başvuru!$I:$I,Toplantı!$B$14,Başvuru!$D:$D,$A$112)))</f>
        <v/>
      </c>
      <c r="M112" s="177" t="str">
        <f>IF($A112="","",IF($A4="","",COUNTIFS(Başvuru!$I:$I,Toplantı!$B$15,Başvuru!$D:$D,$A$112)))</f>
        <v/>
      </c>
      <c r="N112" s="177" t="str">
        <f>IF($A112="","",IF($A4="","",COUNTIFS(Başvuru!$I:$I,Toplantı!$B$16,Başvuru!$D:$D,$A$112)))</f>
        <v/>
      </c>
      <c r="O112" s="177" t="str">
        <f>IF($A112="","",IF($A4="","",COUNTIFS(Başvuru!$I:$I,Toplantı!$B$17,Başvuru!$D:$D,$A$112)))</f>
        <v/>
      </c>
      <c r="P112" s="177" t="str">
        <f>IF($A112="","",IF($A4="","",COUNTIFS(Başvuru!$I:$I,Toplantı!$B$18,Başvuru!$D:$D,$A$112)))</f>
        <v/>
      </c>
      <c r="Q112" s="177" t="str">
        <f>IF($A112="","",IF($A4="","",COUNTIFS(Başvuru!$I:$I,Toplantı!$B$19,Başvuru!$D:$D,$A$112)))</f>
        <v/>
      </c>
      <c r="R112" s="177" t="str">
        <f>IF($A112="","",IF($A4="","",COUNTIFS(Başvuru!$I:$I,Toplantı!$B$20,Başvuru!$D:$D,$A$112)))</f>
        <v/>
      </c>
      <c r="S112" s="178">
        <f t="shared" si="3"/>
        <v>0</v>
      </c>
    </row>
    <row r="113" spans="1:19" x14ac:dyDescent="0.25">
      <c r="A113" s="176" t="str">
        <f>IF(Birim!C115="","",Birim!C115)</f>
        <v/>
      </c>
      <c r="B113" s="177" t="str">
        <f>IF($A113="","",IF($A4="","",COUNTIFS(Başvuru!$I:$I,Toplantı!$B$4,Başvuru!$D:$D,$A$113)))</f>
        <v/>
      </c>
      <c r="C113" s="177" t="str">
        <f>IF($A113="","",IF($A4="","",COUNTIFS(Başvuru!$I:$I,Toplantı!$B$5,Başvuru!$D:$D,$A$113)))</f>
        <v/>
      </c>
      <c r="D113" s="177" t="str">
        <f>IF($A113="","",IF($A4="","",COUNTIFS(Başvuru!$I:$I,Toplantı!$B$6,Başvuru!$D:$D,$A$113)))</f>
        <v/>
      </c>
      <c r="E113" s="177" t="str">
        <f>IF($A113="","",IF($A4="","",COUNTIFS(Başvuru!$I:$I,Toplantı!$B$7,Başvuru!$D:$D,$A$113)))</f>
        <v/>
      </c>
      <c r="F113" s="177" t="str">
        <f>IF($A113="","",IF($A4="","",COUNTIFS(Başvuru!$I:$I,Toplantı!$B$8,Başvuru!$D:$D,$A$113)))</f>
        <v/>
      </c>
      <c r="G113" s="177" t="str">
        <f>IF($A113="","",IF($A4="","",COUNTIFS(Başvuru!$I:$I,Toplantı!$B$9,Başvuru!$D:$D,$A$113)))</f>
        <v/>
      </c>
      <c r="H113" s="177" t="str">
        <f>IF($A113="","",IF($A4="","",COUNTIFS(Başvuru!$I:$I,Toplantı!$B$10,Başvuru!$D:$D,$A$113)))</f>
        <v/>
      </c>
      <c r="I113" s="177" t="str">
        <f>IF($A113="","",IF($A4="","",COUNTIFS(Başvuru!$I:$I,Toplantı!$B$11,Başvuru!$D:$D,$A$113)))</f>
        <v/>
      </c>
      <c r="J113" s="177" t="str">
        <f>IF($A113="","",IF($A4="","",COUNTIFS(Başvuru!$I:$I,Toplantı!$B$12,Başvuru!$D:$D,$A$113)))</f>
        <v/>
      </c>
      <c r="K113" s="177" t="str">
        <f>IF($A113="","",IF($A4="","",COUNTIFS(Başvuru!$I:$I,Toplantı!$B$13,Başvuru!$D:$D,$A$113)))</f>
        <v/>
      </c>
      <c r="L113" s="177" t="str">
        <f>IF($A113="","",IF($A4="","",COUNTIFS(Başvuru!$I:$I,Toplantı!$B$14,Başvuru!$D:$D,$A$113)))</f>
        <v/>
      </c>
      <c r="M113" s="177" t="str">
        <f>IF($A113="","",IF($A4="","",COUNTIFS(Başvuru!$I:$I,Toplantı!$B$15,Başvuru!$D:$D,$A$113)))</f>
        <v/>
      </c>
      <c r="N113" s="177" t="str">
        <f>IF($A113="","",IF($A4="","",COUNTIFS(Başvuru!$I:$I,Toplantı!$B$16,Başvuru!$D:$D,$A$113)))</f>
        <v/>
      </c>
      <c r="O113" s="177" t="str">
        <f>IF($A113="","",IF($A4="","",COUNTIFS(Başvuru!$I:$I,Toplantı!$B$17,Başvuru!$D:$D,$A$113)))</f>
        <v/>
      </c>
      <c r="P113" s="177" t="str">
        <f>IF($A113="","",IF($A4="","",COUNTIFS(Başvuru!$I:$I,Toplantı!$B$18,Başvuru!$D:$D,$A$113)))</f>
        <v/>
      </c>
      <c r="Q113" s="177" t="str">
        <f>IF($A113="","",IF($A4="","",COUNTIFS(Başvuru!$I:$I,Toplantı!$B$19,Başvuru!$D:$D,$A$113)))</f>
        <v/>
      </c>
      <c r="R113" s="177" t="str">
        <f>IF($A113="","",IF($A4="","",COUNTIFS(Başvuru!$I:$I,Toplantı!$B$20,Başvuru!$D:$D,$A$113)))</f>
        <v/>
      </c>
      <c r="S113" s="178">
        <f t="shared" si="3"/>
        <v>0</v>
      </c>
    </row>
    <row r="114" spans="1:19" x14ac:dyDescent="0.25">
      <c r="A114" s="176" t="str">
        <f>IF(Birim!C116="","",Birim!C116)</f>
        <v/>
      </c>
      <c r="B114" s="177" t="str">
        <f>IF($A114="","",IF($A4="","",COUNTIFS(Başvuru!$I:$I,Toplantı!$B$4,Başvuru!$D:$D,$A$114)))</f>
        <v/>
      </c>
      <c r="C114" s="177" t="str">
        <f>IF($A114="","",IF($A4="","",COUNTIFS(Başvuru!$I:$I,Toplantı!$B$5,Başvuru!$D:$D,$A$114)))</f>
        <v/>
      </c>
      <c r="D114" s="177" t="str">
        <f>IF($A114="","",IF($A4="","",COUNTIFS(Başvuru!$I:$I,Toplantı!$B$6,Başvuru!$D:$D,$A$114)))</f>
        <v/>
      </c>
      <c r="E114" s="177" t="str">
        <f>IF($A114="","",IF($A4="","",COUNTIFS(Başvuru!$I:$I,Toplantı!$B$7,Başvuru!$D:$D,$A$114)))</f>
        <v/>
      </c>
      <c r="F114" s="177" t="str">
        <f>IF($A114="","",IF($A4="","",COUNTIFS(Başvuru!$I:$I,Toplantı!$B$8,Başvuru!$D:$D,$A$114)))</f>
        <v/>
      </c>
      <c r="G114" s="177" t="str">
        <f>IF($A114="","",IF($A4="","",COUNTIFS(Başvuru!$I:$I,Toplantı!$B$9,Başvuru!$D:$D,$A$114)))</f>
        <v/>
      </c>
      <c r="H114" s="177" t="str">
        <f>IF($A114="","",IF($A4="","",COUNTIFS(Başvuru!$I:$I,Toplantı!$B$10,Başvuru!$D:$D,$A$114)))</f>
        <v/>
      </c>
      <c r="I114" s="177" t="str">
        <f>IF($A114="","",IF($A4="","",COUNTIFS(Başvuru!$I:$I,Toplantı!$B$11,Başvuru!$D:$D,$A$114)))</f>
        <v/>
      </c>
      <c r="J114" s="177" t="str">
        <f>IF($A114="","",IF($A4="","",COUNTIFS(Başvuru!$I:$I,Toplantı!$B$12,Başvuru!$D:$D,$A$114)))</f>
        <v/>
      </c>
      <c r="K114" s="177" t="str">
        <f>IF($A114="","",IF($A4="","",COUNTIFS(Başvuru!$I:$I,Toplantı!$B$13,Başvuru!$D:$D,$A$114)))</f>
        <v/>
      </c>
      <c r="L114" s="177" t="str">
        <f>IF($A114="","",IF($A4="","",COUNTIFS(Başvuru!$I:$I,Toplantı!$B$14,Başvuru!$D:$D,$A$114)))</f>
        <v/>
      </c>
      <c r="M114" s="177" t="str">
        <f>IF($A114="","",IF($A4="","",COUNTIFS(Başvuru!$I:$I,Toplantı!$B$15,Başvuru!$D:$D,$A$114)))</f>
        <v/>
      </c>
      <c r="N114" s="177" t="str">
        <f>IF($A114="","",IF($A4="","",COUNTIFS(Başvuru!$I:$I,Toplantı!$B$16,Başvuru!$D:$D,$A$114)))</f>
        <v/>
      </c>
      <c r="O114" s="177" t="str">
        <f>IF($A114="","",IF($A4="","",COUNTIFS(Başvuru!$I:$I,Toplantı!$B$17,Başvuru!$D:$D,$A$114)))</f>
        <v/>
      </c>
      <c r="P114" s="177" t="str">
        <f>IF($A114="","",IF($A4="","",COUNTIFS(Başvuru!$I:$I,Toplantı!$B$18,Başvuru!$D:$D,$A$114)))</f>
        <v/>
      </c>
      <c r="Q114" s="177" t="str">
        <f>IF($A114="","",IF($A4="","",COUNTIFS(Başvuru!$I:$I,Toplantı!$B$19,Başvuru!$D:$D,$A$114)))</f>
        <v/>
      </c>
      <c r="R114" s="177" t="str">
        <f>IF($A114="","",IF($A4="","",COUNTIFS(Başvuru!$I:$I,Toplantı!$B$20,Başvuru!$D:$D,$A$114)))</f>
        <v/>
      </c>
      <c r="S114" s="178">
        <f t="shared" si="3"/>
        <v>0</v>
      </c>
    </row>
    <row r="115" spans="1:19" x14ac:dyDescent="0.25">
      <c r="A115" s="176" t="str">
        <f>IF(Birim!C117="","",Birim!C117)</f>
        <v/>
      </c>
      <c r="B115" s="177" t="str">
        <f>IF($A115="","",IF($A4="","",COUNTIFS(Başvuru!$I:$I,Toplantı!$B$4,Başvuru!$D:$D,$A$115)))</f>
        <v/>
      </c>
      <c r="C115" s="177" t="str">
        <f>IF($A115="","",IF($A4="","",COUNTIFS(Başvuru!$I:$I,Toplantı!$B$5,Başvuru!$D:$D,$A$115)))</f>
        <v/>
      </c>
      <c r="D115" s="177" t="str">
        <f>IF($A115="","",IF($A4="","",COUNTIFS(Başvuru!$I:$I,Toplantı!$B$6,Başvuru!$D:$D,$A$115)))</f>
        <v/>
      </c>
      <c r="E115" s="177" t="str">
        <f>IF($A115="","",IF($A4="","",COUNTIFS(Başvuru!$I:$I,Toplantı!$B$7,Başvuru!$D:$D,$A$115)))</f>
        <v/>
      </c>
      <c r="F115" s="177" t="str">
        <f>IF($A115="","",IF($A4="","",COUNTIFS(Başvuru!$I:$I,Toplantı!$B$8,Başvuru!$D:$D,$A$115)))</f>
        <v/>
      </c>
      <c r="G115" s="177" t="str">
        <f>IF($A115="","",IF($A4="","",COUNTIFS(Başvuru!$I:$I,Toplantı!$B$9,Başvuru!$D:$D,$A$115)))</f>
        <v/>
      </c>
      <c r="H115" s="177" t="str">
        <f>IF($A115="","",IF($A4="","",COUNTIFS(Başvuru!$I:$I,Toplantı!$B$10,Başvuru!$D:$D,$A$115)))</f>
        <v/>
      </c>
      <c r="I115" s="177" t="str">
        <f>IF($A115="","",IF($A4="","",COUNTIFS(Başvuru!$I:$I,Toplantı!$B$11,Başvuru!$D:$D,$A$115)))</f>
        <v/>
      </c>
      <c r="J115" s="177" t="str">
        <f>IF($A115="","",IF($A4="","",COUNTIFS(Başvuru!$I:$I,Toplantı!$B$12,Başvuru!$D:$D,$A$115)))</f>
        <v/>
      </c>
      <c r="K115" s="177" t="str">
        <f>IF($A115="","",IF($A4="","",COUNTIFS(Başvuru!$I:$I,Toplantı!$B$13,Başvuru!$D:$D,$A$115)))</f>
        <v/>
      </c>
      <c r="L115" s="177" t="str">
        <f>IF($A115="","",IF($A4="","",COUNTIFS(Başvuru!$I:$I,Toplantı!$B$14,Başvuru!$D:$D,$A$115)))</f>
        <v/>
      </c>
      <c r="M115" s="177" t="str">
        <f>IF($A115="","",IF($A4="","",COUNTIFS(Başvuru!$I:$I,Toplantı!$B$15,Başvuru!$D:$D,$A$115)))</f>
        <v/>
      </c>
      <c r="N115" s="177" t="str">
        <f>IF($A115="","",IF($A4="","",COUNTIFS(Başvuru!$I:$I,Toplantı!$B$16,Başvuru!$D:$D,$A$115)))</f>
        <v/>
      </c>
      <c r="O115" s="177" t="str">
        <f>IF($A115="","",IF($A4="","",COUNTIFS(Başvuru!$I:$I,Toplantı!$B$17,Başvuru!$D:$D,$A$115)))</f>
        <v/>
      </c>
      <c r="P115" s="177" t="str">
        <f>IF($A115="","",IF($A4="","",COUNTIFS(Başvuru!$I:$I,Toplantı!$B$18,Başvuru!$D:$D,$A$115)))</f>
        <v/>
      </c>
      <c r="Q115" s="177" t="str">
        <f>IF($A115="","",IF($A4="","",COUNTIFS(Başvuru!$I:$I,Toplantı!$B$19,Başvuru!$D:$D,$A$115)))</f>
        <v/>
      </c>
      <c r="R115" s="177" t="str">
        <f>IF($A115="","",IF($A4="","",COUNTIFS(Başvuru!$I:$I,Toplantı!$B$20,Başvuru!$D:$D,$A$115)))</f>
        <v/>
      </c>
      <c r="S115" s="178">
        <f t="shared" si="3"/>
        <v>0</v>
      </c>
    </row>
    <row r="116" spans="1:19" x14ac:dyDescent="0.25">
      <c r="A116" s="176" t="str">
        <f>IF(Birim!C118="","",Birim!C118)</f>
        <v/>
      </c>
      <c r="B116" s="177" t="str">
        <f>IF($A116="","",IF($A4="","",COUNTIFS(Başvuru!$I:$I,Toplantı!$B$4,Başvuru!$D:$D,$A$116)))</f>
        <v/>
      </c>
      <c r="C116" s="177" t="str">
        <f>IF($A116="","",IF($A4="","",COUNTIFS(Başvuru!$I:$I,Toplantı!$B$5,Başvuru!$D:$D,$A$116)))</f>
        <v/>
      </c>
      <c r="D116" s="177" t="str">
        <f>IF($A116="","",IF($A4="","",COUNTIFS(Başvuru!$I:$I,Toplantı!$B$6,Başvuru!$D:$D,$A$116)))</f>
        <v/>
      </c>
      <c r="E116" s="177" t="str">
        <f>IF($A116="","",IF($A4="","",COUNTIFS(Başvuru!$I:$I,Toplantı!$B$7,Başvuru!$D:$D,$A$116)))</f>
        <v/>
      </c>
      <c r="F116" s="177" t="str">
        <f>IF($A116="","",IF($A4="","",COUNTIFS(Başvuru!$I:$I,Toplantı!$B$8,Başvuru!$D:$D,$A$116)))</f>
        <v/>
      </c>
      <c r="G116" s="177" t="str">
        <f>IF($A116="","",IF($A4="","",COUNTIFS(Başvuru!$I:$I,Toplantı!$B$9,Başvuru!$D:$D,$A$116)))</f>
        <v/>
      </c>
      <c r="H116" s="177" t="str">
        <f>IF($A116="","",IF($A4="","",COUNTIFS(Başvuru!$I:$I,Toplantı!$B$10,Başvuru!$D:$D,$A$116)))</f>
        <v/>
      </c>
      <c r="I116" s="177" t="str">
        <f>IF($A116="","",IF($A4="","",COUNTIFS(Başvuru!$I:$I,Toplantı!$B$11,Başvuru!$D:$D,$A$116)))</f>
        <v/>
      </c>
      <c r="J116" s="177" t="str">
        <f>IF($A116="","",IF($A4="","",COUNTIFS(Başvuru!$I:$I,Toplantı!$B$12,Başvuru!$D:$D,$A$116)))</f>
        <v/>
      </c>
      <c r="K116" s="177" t="str">
        <f>IF($A116="","",IF($A4="","",COUNTIFS(Başvuru!$I:$I,Toplantı!$B$13,Başvuru!$D:$D,$A$116)))</f>
        <v/>
      </c>
      <c r="L116" s="177" t="str">
        <f>IF($A116="","",IF($A4="","",COUNTIFS(Başvuru!$I:$I,Toplantı!$B$14,Başvuru!$D:$D,$A$116)))</f>
        <v/>
      </c>
      <c r="M116" s="177" t="str">
        <f>IF($A116="","",IF($A4="","",COUNTIFS(Başvuru!$I:$I,Toplantı!$B$15,Başvuru!$D:$D,$A$116)))</f>
        <v/>
      </c>
      <c r="N116" s="177" t="str">
        <f>IF($A116="","",IF($A4="","",COUNTIFS(Başvuru!$I:$I,Toplantı!$B$16,Başvuru!$D:$D,$A$116)))</f>
        <v/>
      </c>
      <c r="O116" s="177" t="str">
        <f>IF($A116="","",IF($A4="","",COUNTIFS(Başvuru!$I:$I,Toplantı!$B$17,Başvuru!$D:$D,$A$116)))</f>
        <v/>
      </c>
      <c r="P116" s="177" t="str">
        <f>IF($A116="","",IF($A4="","",COUNTIFS(Başvuru!$I:$I,Toplantı!$B$18,Başvuru!$D:$D,$A$116)))</f>
        <v/>
      </c>
      <c r="Q116" s="177" t="str">
        <f>IF($A116="","",IF($A4="","",COUNTIFS(Başvuru!$I:$I,Toplantı!$B$19,Başvuru!$D:$D,$A$116)))</f>
        <v/>
      </c>
      <c r="R116" s="177" t="str">
        <f>IF($A116="","",IF($A4="","",COUNTIFS(Başvuru!$I:$I,Toplantı!$B$20,Başvuru!$D:$D,$A$116)))</f>
        <v/>
      </c>
      <c r="S116" s="178">
        <f t="shared" si="3"/>
        <v>0</v>
      </c>
    </row>
    <row r="117" spans="1:19" x14ac:dyDescent="0.25">
      <c r="A117" s="176" t="str">
        <f>IF(Birim!C119="","",Birim!C119)</f>
        <v/>
      </c>
      <c r="B117" s="177" t="str">
        <f>IF($A117="","",IF($A4="","",COUNTIFS(Başvuru!$I:$I,Toplantı!$B$4,Başvuru!$D:$D,$A$117)))</f>
        <v/>
      </c>
      <c r="C117" s="177" t="str">
        <f>IF($A117="","",IF($A4="","",COUNTIFS(Başvuru!$I:$I,Toplantı!$B$5,Başvuru!$D:$D,$A$117)))</f>
        <v/>
      </c>
      <c r="D117" s="177" t="str">
        <f>IF($A117="","",IF($A4="","",COUNTIFS(Başvuru!$I:$I,Toplantı!$B$6,Başvuru!$D:$D,$A$117)))</f>
        <v/>
      </c>
      <c r="E117" s="177" t="str">
        <f>IF($A117="","",IF($A4="","",COUNTIFS(Başvuru!$I:$I,Toplantı!$B$7,Başvuru!$D:$D,$A$117)))</f>
        <v/>
      </c>
      <c r="F117" s="177" t="str">
        <f>IF($A117="","",IF($A4="","",COUNTIFS(Başvuru!$I:$I,Toplantı!$B$8,Başvuru!$D:$D,$A$117)))</f>
        <v/>
      </c>
      <c r="G117" s="177" t="str">
        <f>IF($A117="","",IF($A4="","",COUNTIFS(Başvuru!$I:$I,Toplantı!$B$9,Başvuru!$D:$D,$A$117)))</f>
        <v/>
      </c>
      <c r="H117" s="177" t="str">
        <f>IF($A117="","",IF($A4="","",COUNTIFS(Başvuru!$I:$I,Toplantı!$B$10,Başvuru!$D:$D,$A$117)))</f>
        <v/>
      </c>
      <c r="I117" s="177" t="str">
        <f>IF($A117="","",IF($A4="","",COUNTIFS(Başvuru!$I:$I,Toplantı!$B$11,Başvuru!$D:$D,$A$117)))</f>
        <v/>
      </c>
      <c r="J117" s="177" t="str">
        <f>IF($A117="","",IF($A4="","",COUNTIFS(Başvuru!$I:$I,Toplantı!$B$12,Başvuru!$D:$D,$A$117)))</f>
        <v/>
      </c>
      <c r="K117" s="177" t="str">
        <f>IF($A117="","",IF($A4="","",COUNTIFS(Başvuru!$I:$I,Toplantı!$B$13,Başvuru!$D:$D,$A$117)))</f>
        <v/>
      </c>
      <c r="L117" s="177" t="str">
        <f>IF($A117="","",IF($A4="","",COUNTIFS(Başvuru!$I:$I,Toplantı!$B$14,Başvuru!$D:$D,$A$117)))</f>
        <v/>
      </c>
      <c r="M117" s="177" t="str">
        <f>IF($A117="","",IF($A4="","",COUNTIFS(Başvuru!$I:$I,Toplantı!$B$15,Başvuru!$D:$D,$A$117)))</f>
        <v/>
      </c>
      <c r="N117" s="177" t="str">
        <f>IF($A117="","",IF($A4="","",COUNTIFS(Başvuru!$I:$I,Toplantı!$B$16,Başvuru!$D:$D,$A$117)))</f>
        <v/>
      </c>
      <c r="O117" s="177" t="str">
        <f>IF($A117="","",IF($A4="","",COUNTIFS(Başvuru!$I:$I,Toplantı!$B$17,Başvuru!$D:$D,$A$117)))</f>
        <v/>
      </c>
      <c r="P117" s="177" t="str">
        <f>IF($A117="","",IF($A4="","",COUNTIFS(Başvuru!$I:$I,Toplantı!$B$18,Başvuru!$D:$D,$A$117)))</f>
        <v/>
      </c>
      <c r="Q117" s="177" t="str">
        <f>IF($A117="","",IF($A4="","",COUNTIFS(Başvuru!$I:$I,Toplantı!$B$19,Başvuru!$D:$D,$A$117)))</f>
        <v/>
      </c>
      <c r="R117" s="177" t="str">
        <f>IF($A117="","",IF($A4="","",COUNTIFS(Başvuru!$I:$I,Toplantı!$B$20,Başvuru!$D:$D,$A$117)))</f>
        <v/>
      </c>
      <c r="S117" s="178">
        <f t="shared" si="3"/>
        <v>0</v>
      </c>
    </row>
    <row r="118" spans="1:19" x14ac:dyDescent="0.25">
      <c r="A118" s="176" t="str">
        <f>IF(Birim!C120="","",Birim!C120)</f>
        <v/>
      </c>
      <c r="B118" s="177" t="str">
        <f>IF($A118="","",IF($A4="","",COUNTIFS(Başvuru!$I:$I,Toplantı!$B$4,Başvuru!$D:$D,$A$118)))</f>
        <v/>
      </c>
      <c r="C118" s="177" t="str">
        <f>IF($A118="","",IF($A4="","",COUNTIFS(Başvuru!$I:$I,Toplantı!$B$5,Başvuru!$D:$D,$A$118)))</f>
        <v/>
      </c>
      <c r="D118" s="177" t="str">
        <f>IF($A118="","",IF($A4="","",COUNTIFS(Başvuru!$I:$I,Toplantı!$B$6,Başvuru!$D:$D,$A$118)))</f>
        <v/>
      </c>
      <c r="E118" s="177" t="str">
        <f>IF($A118="","",IF($A4="","",COUNTIFS(Başvuru!$I:$I,Toplantı!$B$7,Başvuru!$D:$D,$A$118)))</f>
        <v/>
      </c>
      <c r="F118" s="177" t="str">
        <f>IF($A118="","",IF($A4="","",COUNTIFS(Başvuru!$I:$I,Toplantı!$B$8,Başvuru!$D:$D,$A$118)))</f>
        <v/>
      </c>
      <c r="G118" s="177" t="str">
        <f>IF($A118="","",IF($A4="","",COUNTIFS(Başvuru!$I:$I,Toplantı!$B$9,Başvuru!$D:$D,$A$118)))</f>
        <v/>
      </c>
      <c r="H118" s="177" t="str">
        <f>IF($A118="","",IF($A4="","",COUNTIFS(Başvuru!$I:$I,Toplantı!$B$10,Başvuru!$D:$D,$A$118)))</f>
        <v/>
      </c>
      <c r="I118" s="177" t="str">
        <f>IF($A118="","",IF($A4="","",COUNTIFS(Başvuru!$I:$I,Toplantı!$B$11,Başvuru!$D:$D,$A$118)))</f>
        <v/>
      </c>
      <c r="J118" s="177" t="str">
        <f>IF($A118="","",IF($A4="","",COUNTIFS(Başvuru!$I:$I,Toplantı!$B$12,Başvuru!$D:$D,$A$118)))</f>
        <v/>
      </c>
      <c r="K118" s="177" t="str">
        <f>IF($A118="","",IF($A4="","",COUNTIFS(Başvuru!$I:$I,Toplantı!$B$13,Başvuru!$D:$D,$A$118)))</f>
        <v/>
      </c>
      <c r="L118" s="177" t="str">
        <f>IF($A118="","",IF($A4="","",COUNTIFS(Başvuru!$I:$I,Toplantı!$B$14,Başvuru!$D:$D,$A$118)))</f>
        <v/>
      </c>
      <c r="M118" s="177" t="str">
        <f>IF($A118="","",IF($A4="","",COUNTIFS(Başvuru!$I:$I,Toplantı!$B$15,Başvuru!$D:$D,$A$118)))</f>
        <v/>
      </c>
      <c r="N118" s="177" t="str">
        <f>IF($A118="","",IF($A4="","",COUNTIFS(Başvuru!$I:$I,Toplantı!$B$16,Başvuru!$D:$D,$A$118)))</f>
        <v/>
      </c>
      <c r="O118" s="177" t="str">
        <f>IF($A118="","",IF($A4="","",COUNTIFS(Başvuru!$I:$I,Toplantı!$B$17,Başvuru!$D:$D,$A$118)))</f>
        <v/>
      </c>
      <c r="P118" s="177" t="str">
        <f>IF($A118="","",IF($A4="","",COUNTIFS(Başvuru!$I:$I,Toplantı!$B$18,Başvuru!$D:$D,$A$118)))</f>
        <v/>
      </c>
      <c r="Q118" s="177" t="str">
        <f>IF($A118="","",IF($A4="","",COUNTIFS(Başvuru!$I:$I,Toplantı!$B$19,Başvuru!$D:$D,$A$118)))</f>
        <v/>
      </c>
      <c r="R118" s="177" t="str">
        <f>IF($A118="","",IF($A4="","",COUNTIFS(Başvuru!$I:$I,Toplantı!$B$20,Başvuru!$D:$D,$A$118)))</f>
        <v/>
      </c>
      <c r="S118" s="178">
        <f t="shared" si="3"/>
        <v>0</v>
      </c>
    </row>
    <row r="119" spans="1:19" x14ac:dyDescent="0.25">
      <c r="A119" s="176" t="str">
        <f>IF(Birim!C121="","",Birim!C121)</f>
        <v/>
      </c>
      <c r="B119" s="177" t="str">
        <f>IF($A119="","",IF($A4="","",COUNTIFS(Başvuru!$I:$I,Toplantı!$B$4,Başvuru!$D:$D,$A$119)))</f>
        <v/>
      </c>
      <c r="C119" s="177" t="str">
        <f>IF($A119="","",IF($A4="","",COUNTIFS(Başvuru!$I:$I,Toplantı!$B$5,Başvuru!$D:$D,$A$119)))</f>
        <v/>
      </c>
      <c r="D119" s="177" t="str">
        <f>IF($A119="","",IF($A4="","",COUNTIFS(Başvuru!$I:$I,Toplantı!$B$6,Başvuru!$D:$D,$A$119)))</f>
        <v/>
      </c>
      <c r="E119" s="177" t="str">
        <f>IF($A119="","",IF($A4="","",COUNTIFS(Başvuru!$I:$I,Toplantı!$B$7,Başvuru!$D:$D,$A$119)))</f>
        <v/>
      </c>
      <c r="F119" s="177" t="str">
        <f>IF($A119="","",IF($A4="","",COUNTIFS(Başvuru!$I:$I,Toplantı!$B$8,Başvuru!$D:$D,$A$119)))</f>
        <v/>
      </c>
      <c r="G119" s="177" t="str">
        <f>IF($A119="","",IF($A4="","",COUNTIFS(Başvuru!$I:$I,Toplantı!$B$9,Başvuru!$D:$D,$A$119)))</f>
        <v/>
      </c>
      <c r="H119" s="177" t="str">
        <f>IF($A119="","",IF($A4="","",COUNTIFS(Başvuru!$I:$I,Toplantı!$B$10,Başvuru!$D:$D,$A$119)))</f>
        <v/>
      </c>
      <c r="I119" s="177" t="str">
        <f>IF($A119="","",IF($A4="","",COUNTIFS(Başvuru!$I:$I,Toplantı!$B$11,Başvuru!$D:$D,$A$119)))</f>
        <v/>
      </c>
      <c r="J119" s="177" t="str">
        <f>IF($A119="","",IF($A4="","",COUNTIFS(Başvuru!$I:$I,Toplantı!$B$12,Başvuru!$D:$D,$A$119)))</f>
        <v/>
      </c>
      <c r="K119" s="177" t="str">
        <f>IF($A119="","",IF($A4="","",COUNTIFS(Başvuru!$I:$I,Toplantı!$B$13,Başvuru!$D:$D,$A$119)))</f>
        <v/>
      </c>
      <c r="L119" s="177" t="str">
        <f>IF($A119="","",IF($A4="","",COUNTIFS(Başvuru!$I:$I,Toplantı!$B$14,Başvuru!$D:$D,$A$119)))</f>
        <v/>
      </c>
      <c r="M119" s="177" t="str">
        <f>IF($A119="","",IF($A4="","",COUNTIFS(Başvuru!$I:$I,Toplantı!$B$15,Başvuru!$D:$D,$A$119)))</f>
        <v/>
      </c>
      <c r="N119" s="177" t="str">
        <f>IF($A119="","",IF($A4="","",COUNTIFS(Başvuru!$I:$I,Toplantı!$B$16,Başvuru!$D:$D,$A$119)))</f>
        <v/>
      </c>
      <c r="O119" s="177" t="str">
        <f>IF($A119="","",IF($A4="","",COUNTIFS(Başvuru!$I:$I,Toplantı!$B$17,Başvuru!$D:$D,$A$119)))</f>
        <v/>
      </c>
      <c r="P119" s="177" t="str">
        <f>IF($A119="","",IF($A4="","",COUNTIFS(Başvuru!$I:$I,Toplantı!$B$18,Başvuru!$D:$D,$A$119)))</f>
        <v/>
      </c>
      <c r="Q119" s="177" t="str">
        <f>IF($A119="","",IF($A4="","",COUNTIFS(Başvuru!$I:$I,Toplantı!$B$19,Başvuru!$D:$D,$A$119)))</f>
        <v/>
      </c>
      <c r="R119" s="177" t="str">
        <f>IF($A119="","",IF($A4="","",COUNTIFS(Başvuru!$I:$I,Toplantı!$B$20,Başvuru!$D:$D,$A$119)))</f>
        <v/>
      </c>
      <c r="S119" s="178">
        <f t="shared" si="3"/>
        <v>0</v>
      </c>
    </row>
    <row r="120" spans="1:19" x14ac:dyDescent="0.25">
      <c r="A120" s="176" t="str">
        <f>IF(Birim!C122="","",Birim!C122)</f>
        <v/>
      </c>
      <c r="B120" s="177" t="str">
        <f>IF($A120="","",IF($A4="","",COUNTIFS(Başvuru!$I:$I,Toplantı!$B$4,Başvuru!$D:$D,$A$120)))</f>
        <v/>
      </c>
      <c r="C120" s="177" t="str">
        <f>IF($A120="","",IF($A4="","",COUNTIFS(Başvuru!$I:$I,Toplantı!$B$5,Başvuru!$D:$D,$A$120)))</f>
        <v/>
      </c>
      <c r="D120" s="177" t="str">
        <f>IF($A120="","",IF($A4="","",COUNTIFS(Başvuru!$I:$I,Toplantı!$B$6,Başvuru!$D:$D,$A$120)))</f>
        <v/>
      </c>
      <c r="E120" s="177" t="str">
        <f>IF($A120="","",IF($A4="","",COUNTIFS(Başvuru!$I:$I,Toplantı!$B$7,Başvuru!$D:$D,$A$120)))</f>
        <v/>
      </c>
      <c r="F120" s="177" t="str">
        <f>IF($A120="","",IF($A4="","",COUNTIFS(Başvuru!$I:$I,Toplantı!$B$8,Başvuru!$D:$D,$A$120)))</f>
        <v/>
      </c>
      <c r="G120" s="177" t="str">
        <f>IF($A120="","",IF($A4="","",COUNTIFS(Başvuru!$I:$I,Toplantı!$B$9,Başvuru!$D:$D,$A$120)))</f>
        <v/>
      </c>
      <c r="H120" s="177" t="str">
        <f>IF($A120="","",IF($A4="","",COUNTIFS(Başvuru!$I:$I,Toplantı!$B$10,Başvuru!$D:$D,$A$120)))</f>
        <v/>
      </c>
      <c r="I120" s="177" t="str">
        <f>IF($A120="","",IF($A4="","",COUNTIFS(Başvuru!$I:$I,Toplantı!$B$11,Başvuru!$D:$D,$A$120)))</f>
        <v/>
      </c>
      <c r="J120" s="177" t="str">
        <f>IF($A120="","",IF($A4="","",COUNTIFS(Başvuru!$I:$I,Toplantı!$B$12,Başvuru!$D:$D,$A$120)))</f>
        <v/>
      </c>
      <c r="K120" s="177" t="str">
        <f>IF($A120="","",IF($A4="","",COUNTIFS(Başvuru!$I:$I,Toplantı!$B$13,Başvuru!$D:$D,$A$120)))</f>
        <v/>
      </c>
      <c r="L120" s="177" t="str">
        <f>IF($A120="","",IF($A4="","",COUNTIFS(Başvuru!$I:$I,Toplantı!$B$14,Başvuru!$D:$D,$A$120)))</f>
        <v/>
      </c>
      <c r="M120" s="177" t="str">
        <f>IF($A120="","",IF($A4="","",COUNTIFS(Başvuru!$I:$I,Toplantı!$B$15,Başvuru!$D:$D,$A$120)))</f>
        <v/>
      </c>
      <c r="N120" s="177" t="str">
        <f>IF($A120="","",IF($A4="","",COUNTIFS(Başvuru!$I:$I,Toplantı!$B$16,Başvuru!$D:$D,$A$120)))</f>
        <v/>
      </c>
      <c r="O120" s="177" t="str">
        <f>IF($A120="","",IF($A4="","",COUNTIFS(Başvuru!$I:$I,Toplantı!$B$17,Başvuru!$D:$D,$A$120)))</f>
        <v/>
      </c>
      <c r="P120" s="177" t="str">
        <f>IF($A120="","",IF($A4="","",COUNTIFS(Başvuru!$I:$I,Toplantı!$B$18,Başvuru!$D:$D,$A$120)))</f>
        <v/>
      </c>
      <c r="Q120" s="177" t="str">
        <f>IF($A120="","",IF($A4="","",COUNTIFS(Başvuru!$I:$I,Toplantı!$B$19,Başvuru!$D:$D,$A$120)))</f>
        <v/>
      </c>
      <c r="R120" s="177" t="str">
        <f>IF($A120="","",IF($A4="","",COUNTIFS(Başvuru!$I:$I,Toplantı!$B$20,Başvuru!$D:$D,$A$120)))</f>
        <v/>
      </c>
      <c r="S120" s="178">
        <f t="shared" si="3"/>
        <v>0</v>
      </c>
    </row>
    <row r="121" spans="1:19" x14ac:dyDescent="0.25">
      <c r="A121" s="176" t="str">
        <f>IF(Birim!C123="","",Birim!C123)</f>
        <v/>
      </c>
      <c r="B121" s="177" t="str">
        <f>IF($A121="","",IF($A4="","",COUNTIFS(Başvuru!$I:$I,Toplantı!$B$4,Başvuru!$D:$D,$A$121)))</f>
        <v/>
      </c>
      <c r="C121" s="177" t="str">
        <f>IF($A121="","",IF($A4="","",COUNTIFS(Başvuru!$I:$I,Toplantı!$B$5,Başvuru!$D:$D,$A$121)))</f>
        <v/>
      </c>
      <c r="D121" s="177" t="str">
        <f>IF($A121="","",IF($A4="","",COUNTIFS(Başvuru!$I:$I,Toplantı!$B$6,Başvuru!$D:$D,$A$121)))</f>
        <v/>
      </c>
      <c r="E121" s="177" t="str">
        <f>IF($A121="","",IF($A4="","",COUNTIFS(Başvuru!$I:$I,Toplantı!$B$7,Başvuru!$D:$D,$A$121)))</f>
        <v/>
      </c>
      <c r="F121" s="177" t="str">
        <f>IF($A121="","",IF($A4="","",COUNTIFS(Başvuru!$I:$I,Toplantı!$B$8,Başvuru!$D:$D,$A$121)))</f>
        <v/>
      </c>
      <c r="G121" s="177" t="str">
        <f>IF($A121="","",IF($A4="","",COUNTIFS(Başvuru!$I:$I,Toplantı!$B$9,Başvuru!$D:$D,$A$121)))</f>
        <v/>
      </c>
      <c r="H121" s="177" t="str">
        <f>IF($A121="","",IF($A4="","",COUNTIFS(Başvuru!$I:$I,Toplantı!$B$10,Başvuru!$D:$D,$A$121)))</f>
        <v/>
      </c>
      <c r="I121" s="177" t="str">
        <f>IF($A121="","",IF($A4="","",COUNTIFS(Başvuru!$I:$I,Toplantı!$B$11,Başvuru!$D:$D,$A$121)))</f>
        <v/>
      </c>
      <c r="J121" s="177" t="str">
        <f>IF($A121="","",IF($A4="","",COUNTIFS(Başvuru!$I:$I,Toplantı!$B$12,Başvuru!$D:$D,$A$121)))</f>
        <v/>
      </c>
      <c r="K121" s="177" t="str">
        <f>IF($A121="","",IF($A4="","",COUNTIFS(Başvuru!$I:$I,Toplantı!$B$13,Başvuru!$D:$D,$A$121)))</f>
        <v/>
      </c>
      <c r="L121" s="177" t="str">
        <f>IF($A121="","",IF($A4="","",COUNTIFS(Başvuru!$I:$I,Toplantı!$B$14,Başvuru!$D:$D,$A$121)))</f>
        <v/>
      </c>
      <c r="M121" s="177" t="str">
        <f>IF($A121="","",IF($A4="","",COUNTIFS(Başvuru!$I:$I,Toplantı!$B$15,Başvuru!$D:$D,$A$121)))</f>
        <v/>
      </c>
      <c r="N121" s="177" t="str">
        <f>IF($A121="","",IF($A4="","",COUNTIFS(Başvuru!$I:$I,Toplantı!$B$16,Başvuru!$D:$D,$A$121)))</f>
        <v/>
      </c>
      <c r="O121" s="177" t="str">
        <f>IF($A121="","",IF($A4="","",COUNTIFS(Başvuru!$I:$I,Toplantı!$B$17,Başvuru!$D:$D,$A$121)))</f>
        <v/>
      </c>
      <c r="P121" s="177" t="str">
        <f>IF($A121="","",IF($A4="","",COUNTIFS(Başvuru!$I:$I,Toplantı!$B$18,Başvuru!$D:$D,$A$121)))</f>
        <v/>
      </c>
      <c r="Q121" s="177" t="str">
        <f>IF($A121="","",IF($A4="","",COUNTIFS(Başvuru!$I:$I,Toplantı!$B$19,Başvuru!$D:$D,$A$121)))</f>
        <v/>
      </c>
      <c r="R121" s="177" t="str">
        <f>IF($A121="","",IF($A4="","",COUNTIFS(Başvuru!$I:$I,Toplantı!$B$20,Başvuru!$D:$D,$A$121)))</f>
        <v/>
      </c>
      <c r="S121" s="178">
        <f t="shared" si="3"/>
        <v>0</v>
      </c>
    </row>
    <row r="122" spans="1:19" x14ac:dyDescent="0.25">
      <c r="A122" s="176" t="str">
        <f>IF(Birim!C124="","",Birim!C124)</f>
        <v/>
      </c>
      <c r="B122" s="177" t="str">
        <f>IF($A122="","",IF($A4="","",COUNTIFS(Başvuru!$I:$I,Toplantı!$B$4,Başvuru!$D:$D,$A$122)))</f>
        <v/>
      </c>
      <c r="C122" s="177" t="str">
        <f>IF($A122="","",IF($A4="","",COUNTIFS(Başvuru!$I:$I,Toplantı!$B$5,Başvuru!$D:$D,$A$122)))</f>
        <v/>
      </c>
      <c r="D122" s="177" t="str">
        <f>IF($A122="","",IF($A4="","",COUNTIFS(Başvuru!$I:$I,Toplantı!$B$6,Başvuru!$D:$D,$A$122)))</f>
        <v/>
      </c>
      <c r="E122" s="177" t="str">
        <f>IF($A122="","",IF($A4="","",COUNTIFS(Başvuru!$I:$I,Toplantı!$B$7,Başvuru!$D:$D,$A$122)))</f>
        <v/>
      </c>
      <c r="F122" s="177" t="str">
        <f>IF($A122="","",IF($A4="","",COUNTIFS(Başvuru!$I:$I,Toplantı!$B$8,Başvuru!$D:$D,$A$122)))</f>
        <v/>
      </c>
      <c r="G122" s="177" t="str">
        <f>IF($A122="","",IF($A4="","",COUNTIFS(Başvuru!$I:$I,Toplantı!$B$9,Başvuru!$D:$D,$A$122)))</f>
        <v/>
      </c>
      <c r="H122" s="177" t="str">
        <f>IF($A122="","",IF($A4="","",COUNTIFS(Başvuru!$I:$I,Toplantı!$B$10,Başvuru!$D:$D,$A$122)))</f>
        <v/>
      </c>
      <c r="I122" s="177" t="str">
        <f>IF($A122="","",IF($A4="","",COUNTIFS(Başvuru!$I:$I,Toplantı!$B$11,Başvuru!$D:$D,$A$122)))</f>
        <v/>
      </c>
      <c r="J122" s="177" t="str">
        <f>IF($A122="","",IF($A4="","",COUNTIFS(Başvuru!$I:$I,Toplantı!$B$12,Başvuru!$D:$D,$A$122)))</f>
        <v/>
      </c>
      <c r="K122" s="177" t="str">
        <f>IF($A122="","",IF($A4="","",COUNTIFS(Başvuru!$I:$I,Toplantı!$B$13,Başvuru!$D:$D,$A$122)))</f>
        <v/>
      </c>
      <c r="L122" s="177" t="str">
        <f>IF($A122="","",IF($A4="","",COUNTIFS(Başvuru!$I:$I,Toplantı!$B$14,Başvuru!$D:$D,$A$122)))</f>
        <v/>
      </c>
      <c r="M122" s="177" t="str">
        <f>IF($A122="","",IF($A4="","",COUNTIFS(Başvuru!$I:$I,Toplantı!$B$15,Başvuru!$D:$D,$A$122)))</f>
        <v/>
      </c>
      <c r="N122" s="177" t="str">
        <f>IF($A122="","",IF($A4="","",COUNTIFS(Başvuru!$I:$I,Toplantı!$B$16,Başvuru!$D:$D,$A$122)))</f>
        <v/>
      </c>
      <c r="O122" s="177" t="str">
        <f>IF($A122="","",IF($A4="","",COUNTIFS(Başvuru!$I:$I,Toplantı!$B$17,Başvuru!$D:$D,$A$122)))</f>
        <v/>
      </c>
      <c r="P122" s="177" t="str">
        <f>IF($A122="","",IF($A4="","",COUNTIFS(Başvuru!$I:$I,Toplantı!$B$18,Başvuru!$D:$D,$A$122)))</f>
        <v/>
      </c>
      <c r="Q122" s="177" t="str">
        <f>IF($A122="","",IF($A4="","",COUNTIFS(Başvuru!$I:$I,Toplantı!$B$19,Başvuru!$D:$D,$A$122)))</f>
        <v/>
      </c>
      <c r="R122" s="177" t="str">
        <f>IF($A122="","",IF($A4="","",COUNTIFS(Başvuru!$I:$I,Toplantı!$B$20,Başvuru!$D:$D,$A$122)))</f>
        <v/>
      </c>
      <c r="S122" s="178">
        <f t="shared" si="3"/>
        <v>0</v>
      </c>
    </row>
    <row r="123" spans="1:19" x14ac:dyDescent="0.25">
      <c r="A123" s="176" t="str">
        <f>IF(Birim!C125="","",Birim!C125)</f>
        <v/>
      </c>
      <c r="B123" s="177" t="str">
        <f>IF($A123="","",IF($A4="","",COUNTIFS(Başvuru!$I:$I,Toplantı!$B$4,Başvuru!$D:$D,$A$123)))</f>
        <v/>
      </c>
      <c r="C123" s="177" t="str">
        <f>IF($A123="","",IF($A4="","",COUNTIFS(Başvuru!$I:$I,Toplantı!$B$5,Başvuru!$D:$D,$A$123)))</f>
        <v/>
      </c>
      <c r="D123" s="177" t="str">
        <f>IF($A123="","",IF($A4="","",COUNTIFS(Başvuru!$I:$I,Toplantı!$B$6,Başvuru!$D:$D,$A$123)))</f>
        <v/>
      </c>
      <c r="E123" s="177" t="str">
        <f>IF($A123="","",IF($A4="","",COUNTIFS(Başvuru!$I:$I,Toplantı!$B$7,Başvuru!$D:$D,$A$123)))</f>
        <v/>
      </c>
      <c r="F123" s="177" t="str">
        <f>IF($A123="","",IF($A4="","",COUNTIFS(Başvuru!$I:$I,Toplantı!$B$8,Başvuru!$D:$D,$A$123)))</f>
        <v/>
      </c>
      <c r="G123" s="177" t="str">
        <f>IF($A123="","",IF($A4="","",COUNTIFS(Başvuru!$I:$I,Toplantı!$B$9,Başvuru!$D:$D,$A$123)))</f>
        <v/>
      </c>
      <c r="H123" s="177" t="str">
        <f>IF($A123="","",IF($A4="","",COUNTIFS(Başvuru!$I:$I,Toplantı!$B$10,Başvuru!$D:$D,$A$123)))</f>
        <v/>
      </c>
      <c r="I123" s="177" t="str">
        <f>IF($A123="","",IF($A4="","",COUNTIFS(Başvuru!$I:$I,Toplantı!$B$11,Başvuru!$D:$D,$A$123)))</f>
        <v/>
      </c>
      <c r="J123" s="177" t="str">
        <f>IF($A123="","",IF($A4="","",COUNTIFS(Başvuru!$I:$I,Toplantı!$B$12,Başvuru!$D:$D,$A$123)))</f>
        <v/>
      </c>
      <c r="K123" s="177" t="str">
        <f>IF($A123="","",IF($A4="","",COUNTIFS(Başvuru!$I:$I,Toplantı!$B$13,Başvuru!$D:$D,$A$123)))</f>
        <v/>
      </c>
      <c r="L123" s="177" t="str">
        <f>IF($A123="","",IF($A4="","",COUNTIFS(Başvuru!$I:$I,Toplantı!$B$14,Başvuru!$D:$D,$A$123)))</f>
        <v/>
      </c>
      <c r="M123" s="177" t="str">
        <f>IF($A123="","",IF($A4="","",COUNTIFS(Başvuru!$I:$I,Toplantı!$B$15,Başvuru!$D:$D,$A$123)))</f>
        <v/>
      </c>
      <c r="N123" s="177" t="str">
        <f>IF($A123="","",IF($A4="","",COUNTIFS(Başvuru!$I:$I,Toplantı!$B$16,Başvuru!$D:$D,$A$123)))</f>
        <v/>
      </c>
      <c r="O123" s="177" t="str">
        <f>IF($A123="","",IF($A4="","",COUNTIFS(Başvuru!$I:$I,Toplantı!$B$17,Başvuru!$D:$D,$A$123)))</f>
        <v/>
      </c>
      <c r="P123" s="177" t="str">
        <f>IF($A123="","",IF($A4="","",COUNTIFS(Başvuru!$I:$I,Toplantı!$B$18,Başvuru!$D:$D,$A$123)))</f>
        <v/>
      </c>
      <c r="Q123" s="177" t="str">
        <f>IF($A123="","",IF($A4="","",COUNTIFS(Başvuru!$I:$I,Toplantı!$B$19,Başvuru!$D:$D,$A$123)))</f>
        <v/>
      </c>
      <c r="R123" s="177" t="str">
        <f>IF($A123="","",IF($A4="","",COUNTIFS(Başvuru!$I:$I,Toplantı!$B$20,Başvuru!$D:$D,$A$123)))</f>
        <v/>
      </c>
      <c r="S123" s="178">
        <f t="shared" si="3"/>
        <v>0</v>
      </c>
    </row>
    <row r="124" spans="1:19" x14ac:dyDescent="0.25">
      <c r="A124" s="176" t="str">
        <f>IF(Birim!C126="","",Birim!C126)</f>
        <v/>
      </c>
      <c r="B124" s="177" t="str">
        <f>IF($A124="","",IF($A4="","",COUNTIFS(Başvuru!$I:$I,Toplantı!$B$4,Başvuru!$D:$D,$A$124)))</f>
        <v/>
      </c>
      <c r="C124" s="177" t="str">
        <f>IF($A124="","",IF($A4="","",COUNTIFS(Başvuru!$I:$I,Toplantı!$B$5,Başvuru!$D:$D,$A$124)))</f>
        <v/>
      </c>
      <c r="D124" s="177" t="str">
        <f>IF($A124="","",IF($A4="","",COUNTIFS(Başvuru!$I:$I,Toplantı!$B$6,Başvuru!$D:$D,$A$124)))</f>
        <v/>
      </c>
      <c r="E124" s="177" t="str">
        <f>IF($A124="","",IF($A4="","",COUNTIFS(Başvuru!$I:$I,Toplantı!$B$7,Başvuru!$D:$D,$A$124)))</f>
        <v/>
      </c>
      <c r="F124" s="177" t="str">
        <f>IF($A124="","",IF($A4="","",COUNTIFS(Başvuru!$I:$I,Toplantı!$B$8,Başvuru!$D:$D,$A$124)))</f>
        <v/>
      </c>
      <c r="G124" s="177" t="str">
        <f>IF($A124="","",IF($A4="","",COUNTIFS(Başvuru!$I:$I,Toplantı!$B$9,Başvuru!$D:$D,$A$124)))</f>
        <v/>
      </c>
      <c r="H124" s="177" t="str">
        <f>IF($A124="","",IF($A4="","",COUNTIFS(Başvuru!$I:$I,Toplantı!$B$10,Başvuru!$D:$D,$A$124)))</f>
        <v/>
      </c>
      <c r="I124" s="177" t="str">
        <f>IF($A124="","",IF($A4="","",COUNTIFS(Başvuru!$I:$I,Toplantı!$B$11,Başvuru!$D:$D,$A$124)))</f>
        <v/>
      </c>
      <c r="J124" s="177" t="str">
        <f>IF($A124="","",IF($A4="","",COUNTIFS(Başvuru!$I:$I,Toplantı!$B$12,Başvuru!$D:$D,$A$124)))</f>
        <v/>
      </c>
      <c r="K124" s="177" t="str">
        <f>IF($A124="","",IF($A4="","",COUNTIFS(Başvuru!$I:$I,Toplantı!$B$13,Başvuru!$D:$D,$A$124)))</f>
        <v/>
      </c>
      <c r="L124" s="177" t="str">
        <f>IF($A124="","",IF($A4="","",COUNTIFS(Başvuru!$I:$I,Toplantı!$B$14,Başvuru!$D:$D,$A$124)))</f>
        <v/>
      </c>
      <c r="M124" s="177" t="str">
        <f>IF($A124="","",IF($A4="","",COUNTIFS(Başvuru!$I:$I,Toplantı!$B$15,Başvuru!$D:$D,$A$124)))</f>
        <v/>
      </c>
      <c r="N124" s="177" t="str">
        <f>IF($A124="","",IF($A4="","",COUNTIFS(Başvuru!$I:$I,Toplantı!$B$16,Başvuru!$D:$D,$A$124)))</f>
        <v/>
      </c>
      <c r="O124" s="177" t="str">
        <f>IF($A124="","",IF($A4="","",COUNTIFS(Başvuru!$I:$I,Toplantı!$B$17,Başvuru!$D:$D,$A$124)))</f>
        <v/>
      </c>
      <c r="P124" s="177" t="str">
        <f>IF($A124="","",IF($A4="","",COUNTIFS(Başvuru!$I:$I,Toplantı!$B$18,Başvuru!$D:$D,$A$124)))</f>
        <v/>
      </c>
      <c r="Q124" s="177" t="str">
        <f>IF($A124="","",IF($A4="","",COUNTIFS(Başvuru!$I:$I,Toplantı!$B$19,Başvuru!$D:$D,$A$124)))</f>
        <v/>
      </c>
      <c r="R124" s="177" t="str">
        <f>IF($A124="","",IF($A4="","",COUNTIFS(Başvuru!$I:$I,Toplantı!$B$20,Başvuru!$D:$D,$A$124)))</f>
        <v/>
      </c>
      <c r="S124" s="178">
        <f t="shared" si="3"/>
        <v>0</v>
      </c>
    </row>
    <row r="125" spans="1:19" x14ac:dyDescent="0.25">
      <c r="A125" s="176" t="str">
        <f>IF(Birim!C127="","",Birim!C127)</f>
        <v/>
      </c>
      <c r="B125" s="177" t="str">
        <f>IF($A125="","",IF($A4="","",COUNTIFS(Başvuru!$I:$I,Toplantı!$B$4,Başvuru!$D:$D,$A$125)))</f>
        <v/>
      </c>
      <c r="C125" s="177" t="str">
        <f>IF($A125="","",IF($A4="","",COUNTIFS(Başvuru!$I:$I,Toplantı!$B$5,Başvuru!$D:$D,$A$125)))</f>
        <v/>
      </c>
      <c r="D125" s="177" t="str">
        <f>IF($A125="","",IF($A4="","",COUNTIFS(Başvuru!$I:$I,Toplantı!$B$6,Başvuru!$D:$D,$A$125)))</f>
        <v/>
      </c>
      <c r="E125" s="177" t="str">
        <f>IF($A125="","",IF($A4="","",COUNTIFS(Başvuru!$I:$I,Toplantı!$B$7,Başvuru!$D:$D,$A$125)))</f>
        <v/>
      </c>
      <c r="F125" s="177" t="str">
        <f>IF($A125="","",IF($A4="","",COUNTIFS(Başvuru!$I:$I,Toplantı!$B$8,Başvuru!$D:$D,$A$125)))</f>
        <v/>
      </c>
      <c r="G125" s="177" t="str">
        <f>IF($A125="","",IF($A4="","",COUNTIFS(Başvuru!$I:$I,Toplantı!$B$9,Başvuru!$D:$D,$A$125)))</f>
        <v/>
      </c>
      <c r="H125" s="177" t="str">
        <f>IF($A125="","",IF($A4="","",COUNTIFS(Başvuru!$I:$I,Toplantı!$B$10,Başvuru!$D:$D,$A$125)))</f>
        <v/>
      </c>
      <c r="I125" s="177" t="str">
        <f>IF($A125="","",IF($A4="","",COUNTIFS(Başvuru!$I:$I,Toplantı!$B$11,Başvuru!$D:$D,$A$125)))</f>
        <v/>
      </c>
      <c r="J125" s="177" t="str">
        <f>IF($A125="","",IF($A4="","",COUNTIFS(Başvuru!$I:$I,Toplantı!$B$12,Başvuru!$D:$D,$A$125)))</f>
        <v/>
      </c>
      <c r="K125" s="177" t="str">
        <f>IF($A125="","",IF($A4="","",COUNTIFS(Başvuru!$I:$I,Toplantı!$B$13,Başvuru!$D:$D,$A$125)))</f>
        <v/>
      </c>
      <c r="L125" s="177" t="str">
        <f>IF($A125="","",IF($A4="","",COUNTIFS(Başvuru!$I:$I,Toplantı!$B$14,Başvuru!$D:$D,$A$125)))</f>
        <v/>
      </c>
      <c r="M125" s="177" t="str">
        <f>IF($A125="","",IF($A4="","",COUNTIFS(Başvuru!$I:$I,Toplantı!$B$15,Başvuru!$D:$D,$A$125)))</f>
        <v/>
      </c>
      <c r="N125" s="177" t="str">
        <f>IF($A125="","",IF($A4="","",COUNTIFS(Başvuru!$I:$I,Toplantı!$B$16,Başvuru!$D:$D,$A$125)))</f>
        <v/>
      </c>
      <c r="O125" s="177" t="str">
        <f>IF($A125="","",IF($A4="","",COUNTIFS(Başvuru!$I:$I,Toplantı!$B$17,Başvuru!$D:$D,$A$125)))</f>
        <v/>
      </c>
      <c r="P125" s="177" t="str">
        <f>IF($A125="","",IF($A4="","",COUNTIFS(Başvuru!$I:$I,Toplantı!$B$18,Başvuru!$D:$D,$A$125)))</f>
        <v/>
      </c>
      <c r="Q125" s="177" t="str">
        <f>IF($A125="","",IF($A4="","",COUNTIFS(Başvuru!$I:$I,Toplantı!$B$19,Başvuru!$D:$D,$A$125)))</f>
        <v/>
      </c>
      <c r="R125" s="177" t="str">
        <f>IF($A125="","",IF($A4="","",COUNTIFS(Başvuru!$I:$I,Toplantı!$B$20,Başvuru!$D:$D,$A$125)))</f>
        <v/>
      </c>
      <c r="S125" s="178">
        <f t="shared" si="3"/>
        <v>0</v>
      </c>
    </row>
    <row r="126" spans="1:19" x14ac:dyDescent="0.25">
      <c r="A126" s="176" t="str">
        <f>IF(Birim!C128="","",Birim!C128)</f>
        <v/>
      </c>
      <c r="B126" s="177" t="str">
        <f>IF($A126="","",IF($A4="","",COUNTIFS(Başvuru!$I:$I,Toplantı!$B$4,Başvuru!$D:$D,$A$126)))</f>
        <v/>
      </c>
      <c r="C126" s="177" t="str">
        <f>IF($A126="","",IF($A4="","",COUNTIFS(Başvuru!$I:$I,Toplantı!$B$5,Başvuru!$D:$D,$A$126)))</f>
        <v/>
      </c>
      <c r="D126" s="177" t="str">
        <f>IF($A126="","",IF($A4="","",COUNTIFS(Başvuru!$I:$I,Toplantı!$B$6,Başvuru!$D:$D,$A$126)))</f>
        <v/>
      </c>
      <c r="E126" s="177" t="str">
        <f>IF($A126="","",IF($A4="","",COUNTIFS(Başvuru!$I:$I,Toplantı!$B$7,Başvuru!$D:$D,$A$126)))</f>
        <v/>
      </c>
      <c r="F126" s="177" t="str">
        <f>IF($A126="","",IF($A4="","",COUNTIFS(Başvuru!$I:$I,Toplantı!$B$8,Başvuru!$D:$D,$A$126)))</f>
        <v/>
      </c>
      <c r="G126" s="177" t="str">
        <f>IF($A126="","",IF($A4="","",COUNTIFS(Başvuru!$I:$I,Toplantı!$B$9,Başvuru!$D:$D,$A$126)))</f>
        <v/>
      </c>
      <c r="H126" s="177" t="str">
        <f>IF($A126="","",IF($A4="","",COUNTIFS(Başvuru!$I:$I,Toplantı!$B$10,Başvuru!$D:$D,$A$126)))</f>
        <v/>
      </c>
      <c r="I126" s="177" t="str">
        <f>IF($A126="","",IF($A4="","",COUNTIFS(Başvuru!$I:$I,Toplantı!$B$11,Başvuru!$D:$D,$A$126)))</f>
        <v/>
      </c>
      <c r="J126" s="177" t="str">
        <f>IF($A126="","",IF($A4="","",COUNTIFS(Başvuru!$I:$I,Toplantı!$B$12,Başvuru!$D:$D,$A$126)))</f>
        <v/>
      </c>
      <c r="K126" s="177" t="str">
        <f>IF($A126="","",IF($A4="","",COUNTIFS(Başvuru!$I:$I,Toplantı!$B$13,Başvuru!$D:$D,$A$126)))</f>
        <v/>
      </c>
      <c r="L126" s="177" t="str">
        <f>IF($A126="","",IF($A4="","",COUNTIFS(Başvuru!$I:$I,Toplantı!$B$14,Başvuru!$D:$D,$A$126)))</f>
        <v/>
      </c>
      <c r="M126" s="177" t="str">
        <f>IF($A126="","",IF($A4="","",COUNTIFS(Başvuru!$I:$I,Toplantı!$B$15,Başvuru!$D:$D,$A$126)))</f>
        <v/>
      </c>
      <c r="N126" s="177" t="str">
        <f>IF($A126="","",IF($A4="","",COUNTIFS(Başvuru!$I:$I,Toplantı!$B$16,Başvuru!$D:$D,$A$126)))</f>
        <v/>
      </c>
      <c r="O126" s="177" t="str">
        <f>IF($A126="","",IF($A4="","",COUNTIFS(Başvuru!$I:$I,Toplantı!$B$17,Başvuru!$D:$D,$A$126)))</f>
        <v/>
      </c>
      <c r="P126" s="177" t="str">
        <f>IF($A126="","",IF($A4="","",COUNTIFS(Başvuru!$I:$I,Toplantı!$B$18,Başvuru!$D:$D,$A$126)))</f>
        <v/>
      </c>
      <c r="Q126" s="177" t="str">
        <f>IF($A126="","",IF($A4="","",COUNTIFS(Başvuru!$I:$I,Toplantı!$B$19,Başvuru!$D:$D,$A$126)))</f>
        <v/>
      </c>
      <c r="R126" s="177" t="str">
        <f>IF($A126="","",IF($A4="","",COUNTIFS(Başvuru!$I:$I,Toplantı!$B$20,Başvuru!$D:$D,$A$126)))</f>
        <v/>
      </c>
      <c r="S126" s="178">
        <f t="shared" si="3"/>
        <v>0</v>
      </c>
    </row>
    <row r="127" spans="1:19" x14ac:dyDescent="0.25">
      <c r="A127" s="176" t="str">
        <f>IF(Birim!C129="","",Birim!C129)</f>
        <v/>
      </c>
      <c r="B127" s="177" t="str">
        <f>IF($A127="","",IF($A4="","",COUNTIFS(Başvuru!$I:$I,Toplantı!$B$4,Başvuru!$D:$D,$A$127)))</f>
        <v/>
      </c>
      <c r="C127" s="177" t="str">
        <f>IF($A127="","",IF($A4="","",COUNTIFS(Başvuru!$I:$I,Toplantı!$B$5,Başvuru!$D:$D,$A$127)))</f>
        <v/>
      </c>
      <c r="D127" s="177" t="str">
        <f>IF($A127="","",IF($A4="","",COUNTIFS(Başvuru!$I:$I,Toplantı!$B$6,Başvuru!$D:$D,$A$127)))</f>
        <v/>
      </c>
      <c r="E127" s="177" t="str">
        <f>IF($A127="","",IF($A4="","",COUNTIFS(Başvuru!$I:$I,Toplantı!$B$7,Başvuru!$D:$D,$A$127)))</f>
        <v/>
      </c>
      <c r="F127" s="177" t="str">
        <f>IF($A127="","",IF($A4="","",COUNTIFS(Başvuru!$I:$I,Toplantı!$B$8,Başvuru!$D:$D,$A$127)))</f>
        <v/>
      </c>
      <c r="G127" s="177" t="str">
        <f>IF($A127="","",IF($A4="","",COUNTIFS(Başvuru!$I:$I,Toplantı!$B$9,Başvuru!$D:$D,$A$127)))</f>
        <v/>
      </c>
      <c r="H127" s="177" t="str">
        <f>IF($A127="","",IF($A4="","",COUNTIFS(Başvuru!$I:$I,Toplantı!$B$10,Başvuru!$D:$D,$A$127)))</f>
        <v/>
      </c>
      <c r="I127" s="177" t="str">
        <f>IF($A127="","",IF($A4="","",COUNTIFS(Başvuru!$I:$I,Toplantı!$B$11,Başvuru!$D:$D,$A$127)))</f>
        <v/>
      </c>
      <c r="J127" s="177" t="str">
        <f>IF($A127="","",IF($A4="","",COUNTIFS(Başvuru!$I:$I,Toplantı!$B$12,Başvuru!$D:$D,$A$127)))</f>
        <v/>
      </c>
      <c r="K127" s="177" t="str">
        <f>IF($A127="","",IF($A4="","",COUNTIFS(Başvuru!$I:$I,Toplantı!$B$13,Başvuru!$D:$D,$A$127)))</f>
        <v/>
      </c>
      <c r="L127" s="177" t="str">
        <f>IF($A127="","",IF($A4="","",COUNTIFS(Başvuru!$I:$I,Toplantı!$B$14,Başvuru!$D:$D,$A$127)))</f>
        <v/>
      </c>
      <c r="M127" s="177" t="str">
        <f>IF($A127="","",IF($A4="","",COUNTIFS(Başvuru!$I:$I,Toplantı!$B$15,Başvuru!$D:$D,$A$127)))</f>
        <v/>
      </c>
      <c r="N127" s="177" t="str">
        <f>IF($A127="","",IF($A4="","",COUNTIFS(Başvuru!$I:$I,Toplantı!$B$16,Başvuru!$D:$D,$A$127)))</f>
        <v/>
      </c>
      <c r="O127" s="177" t="str">
        <f>IF($A127="","",IF($A4="","",COUNTIFS(Başvuru!$I:$I,Toplantı!$B$17,Başvuru!$D:$D,$A$127)))</f>
        <v/>
      </c>
      <c r="P127" s="177" t="str">
        <f>IF($A127="","",IF($A4="","",COUNTIFS(Başvuru!$I:$I,Toplantı!$B$18,Başvuru!$D:$D,$A$127)))</f>
        <v/>
      </c>
      <c r="Q127" s="177" t="str">
        <f>IF($A127="","",IF($A4="","",COUNTIFS(Başvuru!$I:$I,Toplantı!$B$19,Başvuru!$D:$D,$A$127)))</f>
        <v/>
      </c>
      <c r="R127" s="177" t="str">
        <f>IF($A127="","",IF($A4="","",COUNTIFS(Başvuru!$I:$I,Toplantı!$B$20,Başvuru!$D:$D,$A$127)))</f>
        <v/>
      </c>
      <c r="S127" s="178">
        <f t="shared" si="3"/>
        <v>0</v>
      </c>
    </row>
    <row r="128" spans="1:19" x14ac:dyDescent="0.25">
      <c r="A128" s="176" t="str">
        <f>IF(Birim!C130="","",Birim!C130)</f>
        <v/>
      </c>
      <c r="B128" s="177" t="str">
        <f>IF($A128="","",IF($A4="","",COUNTIFS(Başvuru!$I:$I,Toplantı!$B$4,Başvuru!$D:$D,$A$128)))</f>
        <v/>
      </c>
      <c r="C128" s="177" t="str">
        <f>IF($A128="","",IF($A4="","",COUNTIFS(Başvuru!$I:$I,Toplantı!$B$5,Başvuru!$D:$D,$A$128)))</f>
        <v/>
      </c>
      <c r="D128" s="177" t="str">
        <f>IF($A128="","",IF($A4="","",COUNTIFS(Başvuru!$I:$I,Toplantı!$B$6,Başvuru!$D:$D,$A$128)))</f>
        <v/>
      </c>
      <c r="E128" s="177" t="str">
        <f>IF($A128="","",IF($A4="","",COUNTIFS(Başvuru!$I:$I,Toplantı!$B$7,Başvuru!$D:$D,$A$128)))</f>
        <v/>
      </c>
      <c r="F128" s="177" t="str">
        <f>IF($A128="","",IF($A4="","",COUNTIFS(Başvuru!$I:$I,Toplantı!$B$8,Başvuru!$D:$D,$A$128)))</f>
        <v/>
      </c>
      <c r="G128" s="177" t="str">
        <f>IF($A128="","",IF($A4="","",COUNTIFS(Başvuru!$I:$I,Toplantı!$B$9,Başvuru!$D:$D,$A$128)))</f>
        <v/>
      </c>
      <c r="H128" s="177" t="str">
        <f>IF($A128="","",IF($A4="","",COUNTIFS(Başvuru!$I:$I,Toplantı!$B$10,Başvuru!$D:$D,$A$128)))</f>
        <v/>
      </c>
      <c r="I128" s="177" t="str">
        <f>IF($A128="","",IF($A4="","",COUNTIFS(Başvuru!$I:$I,Toplantı!$B$11,Başvuru!$D:$D,$A$128)))</f>
        <v/>
      </c>
      <c r="J128" s="177" t="str">
        <f>IF($A128="","",IF($A4="","",COUNTIFS(Başvuru!$I:$I,Toplantı!$B$12,Başvuru!$D:$D,$A$128)))</f>
        <v/>
      </c>
      <c r="K128" s="177" t="str">
        <f>IF($A128="","",IF($A4="","",COUNTIFS(Başvuru!$I:$I,Toplantı!$B$13,Başvuru!$D:$D,$A$128)))</f>
        <v/>
      </c>
      <c r="L128" s="177" t="str">
        <f>IF($A128="","",IF($A4="","",COUNTIFS(Başvuru!$I:$I,Toplantı!$B$14,Başvuru!$D:$D,$A$128)))</f>
        <v/>
      </c>
      <c r="M128" s="177" t="str">
        <f>IF($A128="","",IF($A4="","",COUNTIFS(Başvuru!$I:$I,Toplantı!$B$15,Başvuru!$D:$D,$A$128)))</f>
        <v/>
      </c>
      <c r="N128" s="177" t="str">
        <f>IF($A128="","",IF($A4="","",COUNTIFS(Başvuru!$I:$I,Toplantı!$B$16,Başvuru!$D:$D,$A$128)))</f>
        <v/>
      </c>
      <c r="O128" s="177" t="str">
        <f>IF($A128="","",IF($A4="","",COUNTIFS(Başvuru!$I:$I,Toplantı!$B$17,Başvuru!$D:$D,$A$128)))</f>
        <v/>
      </c>
      <c r="P128" s="177" t="str">
        <f>IF($A128="","",IF($A4="","",COUNTIFS(Başvuru!$I:$I,Toplantı!$B$18,Başvuru!$D:$D,$A$128)))</f>
        <v/>
      </c>
      <c r="Q128" s="177" t="str">
        <f>IF($A128="","",IF($A4="","",COUNTIFS(Başvuru!$I:$I,Toplantı!$B$19,Başvuru!$D:$D,$A$128)))</f>
        <v/>
      </c>
      <c r="R128" s="177" t="str">
        <f>IF($A128="","",IF($A4="","",COUNTIFS(Başvuru!$I:$I,Toplantı!$B$20,Başvuru!$D:$D,$A$128)))</f>
        <v/>
      </c>
      <c r="S128" s="178">
        <f t="shared" si="3"/>
        <v>0</v>
      </c>
    </row>
    <row r="129" spans="1:19" x14ac:dyDescent="0.25">
      <c r="A129" s="176" t="str">
        <f>IF(Birim!C131="","",Birim!C131)</f>
        <v/>
      </c>
      <c r="B129" s="177" t="str">
        <f>IF($A129="","",IF($A4="","",COUNTIFS(Başvuru!$I:$I,Toplantı!$B$4,Başvuru!$D:$D,$A$129)))</f>
        <v/>
      </c>
      <c r="C129" s="177" t="str">
        <f>IF($A129="","",IF($A4="","",COUNTIFS(Başvuru!$I:$I,Toplantı!$B$5,Başvuru!$D:$D,$A$129)))</f>
        <v/>
      </c>
      <c r="D129" s="177" t="str">
        <f>IF($A129="","",IF($A4="","",COUNTIFS(Başvuru!$I:$I,Toplantı!$B$6,Başvuru!$D:$D,$A$129)))</f>
        <v/>
      </c>
      <c r="E129" s="177" t="str">
        <f>IF($A129="","",IF($A4="","",COUNTIFS(Başvuru!$I:$I,Toplantı!$B$7,Başvuru!$D:$D,$A$129)))</f>
        <v/>
      </c>
      <c r="F129" s="177" t="str">
        <f>IF($A129="","",IF($A4="","",COUNTIFS(Başvuru!$I:$I,Toplantı!$B$8,Başvuru!$D:$D,$A$129)))</f>
        <v/>
      </c>
      <c r="G129" s="177" t="str">
        <f>IF($A129="","",IF($A4="","",COUNTIFS(Başvuru!$I:$I,Toplantı!$B$9,Başvuru!$D:$D,$A$129)))</f>
        <v/>
      </c>
      <c r="H129" s="177" t="str">
        <f>IF($A129="","",IF($A4="","",COUNTIFS(Başvuru!$I:$I,Toplantı!$B$10,Başvuru!$D:$D,$A$129)))</f>
        <v/>
      </c>
      <c r="I129" s="177" t="str">
        <f>IF($A129="","",IF($A4="","",COUNTIFS(Başvuru!$I:$I,Toplantı!$B$11,Başvuru!$D:$D,$A$129)))</f>
        <v/>
      </c>
      <c r="J129" s="177" t="str">
        <f>IF($A129="","",IF($A4="","",COUNTIFS(Başvuru!$I:$I,Toplantı!$B$12,Başvuru!$D:$D,$A$129)))</f>
        <v/>
      </c>
      <c r="K129" s="177" t="str">
        <f>IF($A129="","",IF($A4="","",COUNTIFS(Başvuru!$I:$I,Toplantı!$B$13,Başvuru!$D:$D,$A$129)))</f>
        <v/>
      </c>
      <c r="L129" s="177" t="str">
        <f>IF($A129="","",IF($A4="","",COUNTIFS(Başvuru!$I:$I,Toplantı!$B$14,Başvuru!$D:$D,$A$129)))</f>
        <v/>
      </c>
      <c r="M129" s="177" t="str">
        <f>IF($A129="","",IF($A4="","",COUNTIFS(Başvuru!$I:$I,Toplantı!$B$15,Başvuru!$D:$D,$A$129)))</f>
        <v/>
      </c>
      <c r="N129" s="177" t="str">
        <f>IF($A129="","",IF($A4="","",COUNTIFS(Başvuru!$I:$I,Toplantı!$B$16,Başvuru!$D:$D,$A$129)))</f>
        <v/>
      </c>
      <c r="O129" s="177" t="str">
        <f>IF($A129="","",IF($A4="","",COUNTIFS(Başvuru!$I:$I,Toplantı!$B$17,Başvuru!$D:$D,$A$129)))</f>
        <v/>
      </c>
      <c r="P129" s="177" t="str">
        <f>IF($A129="","",IF($A4="","",COUNTIFS(Başvuru!$I:$I,Toplantı!$B$18,Başvuru!$D:$D,$A$129)))</f>
        <v/>
      </c>
      <c r="Q129" s="177" t="str">
        <f>IF($A129="","",IF($A4="","",COUNTIFS(Başvuru!$I:$I,Toplantı!$B$19,Başvuru!$D:$D,$A$129)))</f>
        <v/>
      </c>
      <c r="R129" s="177" t="str">
        <f>IF($A129="","",IF($A4="","",COUNTIFS(Başvuru!$I:$I,Toplantı!$B$20,Başvuru!$D:$D,$A$129)))</f>
        <v/>
      </c>
      <c r="S129" s="178">
        <f t="shared" si="3"/>
        <v>0</v>
      </c>
    </row>
    <row r="130" spans="1:19" x14ac:dyDescent="0.25">
      <c r="A130" s="176" t="str">
        <f>IF(Birim!C132="","",Birim!C132)</f>
        <v/>
      </c>
      <c r="B130" s="177" t="str">
        <f>IF($A130="","",IF($A4="","",COUNTIFS(Başvuru!$I:$I,Toplantı!$B$4,Başvuru!$D:$D,$A$130)))</f>
        <v/>
      </c>
      <c r="C130" s="177" t="str">
        <f>IF($A130="","",IF($A4="","",COUNTIFS(Başvuru!$I:$I,Toplantı!$B$5,Başvuru!$D:$D,$A$130)))</f>
        <v/>
      </c>
      <c r="D130" s="177" t="str">
        <f>IF($A130="","",IF($A4="","",COUNTIFS(Başvuru!$I:$I,Toplantı!$B$6,Başvuru!$D:$D,$A$130)))</f>
        <v/>
      </c>
      <c r="E130" s="177" t="str">
        <f>IF($A130="","",IF($A4="","",COUNTIFS(Başvuru!$I:$I,Toplantı!$B$7,Başvuru!$D:$D,$A$130)))</f>
        <v/>
      </c>
      <c r="F130" s="177" t="str">
        <f>IF($A130="","",IF($A4="","",COUNTIFS(Başvuru!$I:$I,Toplantı!$B$8,Başvuru!$D:$D,$A$130)))</f>
        <v/>
      </c>
      <c r="G130" s="177" t="str">
        <f>IF($A130="","",IF($A4="","",COUNTIFS(Başvuru!$I:$I,Toplantı!$B$9,Başvuru!$D:$D,$A$130)))</f>
        <v/>
      </c>
      <c r="H130" s="177" t="str">
        <f>IF($A130="","",IF($A4="","",COUNTIFS(Başvuru!$I:$I,Toplantı!$B$10,Başvuru!$D:$D,$A$130)))</f>
        <v/>
      </c>
      <c r="I130" s="177" t="str">
        <f>IF($A130="","",IF($A4="","",COUNTIFS(Başvuru!$I:$I,Toplantı!$B$11,Başvuru!$D:$D,$A$130)))</f>
        <v/>
      </c>
      <c r="J130" s="177" t="str">
        <f>IF($A130="","",IF($A4="","",COUNTIFS(Başvuru!$I:$I,Toplantı!$B$12,Başvuru!$D:$D,$A$130)))</f>
        <v/>
      </c>
      <c r="K130" s="177" t="str">
        <f>IF($A130="","",IF($A4="","",COUNTIFS(Başvuru!$I:$I,Toplantı!$B$13,Başvuru!$D:$D,$A$130)))</f>
        <v/>
      </c>
      <c r="L130" s="177" t="str">
        <f>IF($A130="","",IF($A4="","",COUNTIFS(Başvuru!$I:$I,Toplantı!$B$14,Başvuru!$D:$D,$A$130)))</f>
        <v/>
      </c>
      <c r="M130" s="177" t="str">
        <f>IF($A130="","",IF($A4="","",COUNTIFS(Başvuru!$I:$I,Toplantı!$B$15,Başvuru!$D:$D,$A$130)))</f>
        <v/>
      </c>
      <c r="N130" s="177" t="str">
        <f>IF($A130="","",IF($A4="","",COUNTIFS(Başvuru!$I:$I,Toplantı!$B$16,Başvuru!$D:$D,$A$130)))</f>
        <v/>
      </c>
      <c r="O130" s="177" t="str">
        <f>IF($A130="","",IF($A4="","",COUNTIFS(Başvuru!$I:$I,Toplantı!$B$17,Başvuru!$D:$D,$A$130)))</f>
        <v/>
      </c>
      <c r="P130" s="177" t="str">
        <f>IF($A130="","",IF($A4="","",COUNTIFS(Başvuru!$I:$I,Toplantı!$B$18,Başvuru!$D:$D,$A$130)))</f>
        <v/>
      </c>
      <c r="Q130" s="177" t="str">
        <f>IF($A130="","",IF($A4="","",COUNTIFS(Başvuru!$I:$I,Toplantı!$B$19,Başvuru!$D:$D,$A$130)))</f>
        <v/>
      </c>
      <c r="R130" s="177" t="str">
        <f>IF($A130="","",IF($A4="","",COUNTIFS(Başvuru!$I:$I,Toplantı!$B$20,Başvuru!$D:$D,$A$130)))</f>
        <v/>
      </c>
      <c r="S130" s="178">
        <f t="shared" si="3"/>
        <v>0</v>
      </c>
    </row>
    <row r="131" spans="1:19" x14ac:dyDescent="0.25">
      <c r="A131" s="176" t="str">
        <f>IF(Birim!C133="","",Birim!C133)</f>
        <v/>
      </c>
      <c r="B131" s="177" t="str">
        <f>IF($A131="","",IF($A4="","",COUNTIFS(Başvuru!$I:$I,Toplantı!$B$4,Başvuru!$D:$D,$A$131)))</f>
        <v/>
      </c>
      <c r="C131" s="177" t="str">
        <f>IF($A131="","",IF($A4="","",COUNTIFS(Başvuru!$I:$I,Toplantı!$B$5,Başvuru!$D:$D,$A$131)))</f>
        <v/>
      </c>
      <c r="D131" s="177" t="str">
        <f>IF($A131="","",IF($A4="","",COUNTIFS(Başvuru!$I:$I,Toplantı!$B$6,Başvuru!$D:$D,$A$131)))</f>
        <v/>
      </c>
      <c r="E131" s="177" t="str">
        <f>IF($A131="","",IF($A4="","",COUNTIFS(Başvuru!$I:$I,Toplantı!$B$7,Başvuru!$D:$D,$A$131)))</f>
        <v/>
      </c>
      <c r="F131" s="177" t="str">
        <f>IF($A131="","",IF($A4="","",COUNTIFS(Başvuru!$I:$I,Toplantı!$B$8,Başvuru!$D:$D,$A$131)))</f>
        <v/>
      </c>
      <c r="G131" s="177" t="str">
        <f>IF($A131="","",IF($A4="","",COUNTIFS(Başvuru!$I:$I,Toplantı!$B$9,Başvuru!$D:$D,$A$131)))</f>
        <v/>
      </c>
      <c r="H131" s="177" t="str">
        <f>IF($A131="","",IF($A4="","",COUNTIFS(Başvuru!$I:$I,Toplantı!$B$10,Başvuru!$D:$D,$A$131)))</f>
        <v/>
      </c>
      <c r="I131" s="177" t="str">
        <f>IF($A131="","",IF($A4="","",COUNTIFS(Başvuru!$I:$I,Toplantı!$B$11,Başvuru!$D:$D,$A$131)))</f>
        <v/>
      </c>
      <c r="J131" s="177" t="str">
        <f>IF($A131="","",IF($A4="","",COUNTIFS(Başvuru!$I:$I,Toplantı!$B$12,Başvuru!$D:$D,$A$131)))</f>
        <v/>
      </c>
      <c r="K131" s="177" t="str">
        <f>IF($A131="","",IF($A4="","",COUNTIFS(Başvuru!$I:$I,Toplantı!$B$13,Başvuru!$D:$D,$A$131)))</f>
        <v/>
      </c>
      <c r="L131" s="177" t="str">
        <f>IF($A131="","",IF($A4="","",COUNTIFS(Başvuru!$I:$I,Toplantı!$B$14,Başvuru!$D:$D,$A$131)))</f>
        <v/>
      </c>
      <c r="M131" s="177" t="str">
        <f>IF($A131="","",IF($A4="","",COUNTIFS(Başvuru!$I:$I,Toplantı!$B$15,Başvuru!$D:$D,$A$131)))</f>
        <v/>
      </c>
      <c r="N131" s="177" t="str">
        <f>IF($A131="","",IF($A4="","",COUNTIFS(Başvuru!$I:$I,Toplantı!$B$16,Başvuru!$D:$D,$A$131)))</f>
        <v/>
      </c>
      <c r="O131" s="177" t="str">
        <f>IF($A131="","",IF($A4="","",COUNTIFS(Başvuru!$I:$I,Toplantı!$B$17,Başvuru!$D:$D,$A$131)))</f>
        <v/>
      </c>
      <c r="P131" s="177" t="str">
        <f>IF($A131="","",IF($A4="","",COUNTIFS(Başvuru!$I:$I,Toplantı!$B$18,Başvuru!$D:$D,$A$131)))</f>
        <v/>
      </c>
      <c r="Q131" s="177" t="str">
        <f>IF($A131="","",IF($A4="","",COUNTIFS(Başvuru!$I:$I,Toplantı!$B$19,Başvuru!$D:$D,$A$131)))</f>
        <v/>
      </c>
      <c r="R131" s="177" t="str">
        <f>IF($A131="","",IF($A4="","",COUNTIFS(Başvuru!$I:$I,Toplantı!$B$20,Başvuru!$D:$D,$A$131)))</f>
        <v/>
      </c>
      <c r="S131" s="178">
        <f t="shared" si="3"/>
        <v>0</v>
      </c>
    </row>
    <row r="132" spans="1:19" x14ac:dyDescent="0.25">
      <c r="A132" s="176" t="str">
        <f>IF(Birim!C134="","",Birim!C134)</f>
        <v/>
      </c>
      <c r="B132" s="177" t="str">
        <f>IF($A132="","",IF($A4="","",COUNTIFS(Başvuru!$I:$I,Toplantı!$B$4,Başvuru!$D:$D,$A$132)))</f>
        <v/>
      </c>
      <c r="C132" s="177" t="str">
        <f>IF($A132="","",IF($A4="","",COUNTIFS(Başvuru!$I:$I,Toplantı!$B$5,Başvuru!$D:$D,$A$132)))</f>
        <v/>
      </c>
      <c r="D132" s="177" t="str">
        <f>IF($A132="","",IF($A4="","",COUNTIFS(Başvuru!$I:$I,Toplantı!$B$6,Başvuru!$D:$D,$A$132)))</f>
        <v/>
      </c>
      <c r="E132" s="177" t="str">
        <f>IF($A132="","",IF($A4="","",COUNTIFS(Başvuru!$I:$I,Toplantı!$B$7,Başvuru!$D:$D,$A$132)))</f>
        <v/>
      </c>
      <c r="F132" s="177" t="str">
        <f>IF($A132="","",IF($A4="","",COUNTIFS(Başvuru!$I:$I,Toplantı!$B$8,Başvuru!$D:$D,$A$132)))</f>
        <v/>
      </c>
      <c r="G132" s="177" t="str">
        <f>IF($A132="","",IF($A4="","",COUNTIFS(Başvuru!$I:$I,Toplantı!$B$9,Başvuru!$D:$D,$A$132)))</f>
        <v/>
      </c>
      <c r="H132" s="177" t="str">
        <f>IF($A132="","",IF($A4="","",COUNTIFS(Başvuru!$I:$I,Toplantı!$B$10,Başvuru!$D:$D,$A$132)))</f>
        <v/>
      </c>
      <c r="I132" s="177" t="str">
        <f>IF($A132="","",IF($A4="","",COUNTIFS(Başvuru!$I:$I,Toplantı!$B$11,Başvuru!$D:$D,$A$132)))</f>
        <v/>
      </c>
      <c r="J132" s="177" t="str">
        <f>IF($A132="","",IF($A4="","",COUNTIFS(Başvuru!$I:$I,Toplantı!$B$12,Başvuru!$D:$D,$A$132)))</f>
        <v/>
      </c>
      <c r="K132" s="177" t="str">
        <f>IF($A132="","",IF($A4="","",COUNTIFS(Başvuru!$I:$I,Toplantı!$B$13,Başvuru!$D:$D,$A$132)))</f>
        <v/>
      </c>
      <c r="L132" s="177" t="str">
        <f>IF($A132="","",IF($A4="","",COUNTIFS(Başvuru!$I:$I,Toplantı!$B$14,Başvuru!$D:$D,$A$132)))</f>
        <v/>
      </c>
      <c r="M132" s="177" t="str">
        <f>IF($A132="","",IF($A4="","",COUNTIFS(Başvuru!$I:$I,Toplantı!$B$15,Başvuru!$D:$D,$A$132)))</f>
        <v/>
      </c>
      <c r="N132" s="177" t="str">
        <f>IF($A132="","",IF($A4="","",COUNTIFS(Başvuru!$I:$I,Toplantı!$B$16,Başvuru!$D:$D,$A$132)))</f>
        <v/>
      </c>
      <c r="O132" s="177" t="str">
        <f>IF($A132="","",IF($A4="","",COUNTIFS(Başvuru!$I:$I,Toplantı!$B$17,Başvuru!$D:$D,$A$132)))</f>
        <v/>
      </c>
      <c r="P132" s="177" t="str">
        <f>IF($A132="","",IF($A4="","",COUNTIFS(Başvuru!$I:$I,Toplantı!$B$18,Başvuru!$D:$D,$A$132)))</f>
        <v/>
      </c>
      <c r="Q132" s="177" t="str">
        <f>IF($A132="","",IF($A4="","",COUNTIFS(Başvuru!$I:$I,Toplantı!$B$19,Başvuru!$D:$D,$A$132)))</f>
        <v/>
      </c>
      <c r="R132" s="177" t="str">
        <f>IF($A132="","",IF($A4="","",COUNTIFS(Başvuru!$I:$I,Toplantı!$B$20,Başvuru!$D:$D,$A$132)))</f>
        <v/>
      </c>
      <c r="S132" s="178">
        <f t="shared" ref="S132:S153" si="4">SUM(B132:R132)</f>
        <v>0</v>
      </c>
    </row>
    <row r="133" spans="1:19" x14ac:dyDescent="0.25">
      <c r="A133" s="176" t="str">
        <f>IF(Birim!C135="","",Birim!C135)</f>
        <v/>
      </c>
      <c r="B133" s="177" t="str">
        <f>IF($A133="","",IF($A4="","",COUNTIFS(Başvuru!$I:$I,Toplantı!$B$4,Başvuru!$D:$D,$A$133)))</f>
        <v/>
      </c>
      <c r="C133" s="177" t="str">
        <f>IF($A133="","",IF($A4="","",COUNTIFS(Başvuru!$I:$I,Toplantı!$B$5,Başvuru!$D:$D,$A$133)))</f>
        <v/>
      </c>
      <c r="D133" s="177" t="str">
        <f>IF($A133="","",IF($A4="","",COUNTIFS(Başvuru!$I:$I,Toplantı!$B$6,Başvuru!$D:$D,$A$133)))</f>
        <v/>
      </c>
      <c r="E133" s="177" t="str">
        <f>IF($A133="","",IF($A4="","",COUNTIFS(Başvuru!$I:$I,Toplantı!$B$7,Başvuru!$D:$D,$A$133)))</f>
        <v/>
      </c>
      <c r="F133" s="177" t="str">
        <f>IF($A133="","",IF($A4="","",COUNTIFS(Başvuru!$I:$I,Toplantı!$B$8,Başvuru!$D:$D,$A$133)))</f>
        <v/>
      </c>
      <c r="G133" s="177" t="str">
        <f>IF($A133="","",IF($A4="","",COUNTIFS(Başvuru!$I:$I,Toplantı!$B$9,Başvuru!$D:$D,$A$133)))</f>
        <v/>
      </c>
      <c r="H133" s="177" t="str">
        <f>IF($A133="","",IF($A4="","",COUNTIFS(Başvuru!$I:$I,Toplantı!$B$10,Başvuru!$D:$D,$A$133)))</f>
        <v/>
      </c>
      <c r="I133" s="177" t="str">
        <f>IF($A133="","",IF($A4="","",COUNTIFS(Başvuru!$I:$I,Toplantı!$B$11,Başvuru!$D:$D,$A$133)))</f>
        <v/>
      </c>
      <c r="J133" s="177" t="str">
        <f>IF($A133="","",IF($A4="","",COUNTIFS(Başvuru!$I:$I,Toplantı!$B$12,Başvuru!$D:$D,$A$133)))</f>
        <v/>
      </c>
      <c r="K133" s="177" t="str">
        <f>IF($A133="","",IF($A4="","",COUNTIFS(Başvuru!$I:$I,Toplantı!$B$13,Başvuru!$D:$D,$A$133)))</f>
        <v/>
      </c>
      <c r="L133" s="177" t="str">
        <f>IF($A133="","",IF($A4="","",COUNTIFS(Başvuru!$I:$I,Toplantı!$B$14,Başvuru!$D:$D,$A$133)))</f>
        <v/>
      </c>
      <c r="M133" s="177" t="str">
        <f>IF($A133="","",IF($A4="","",COUNTIFS(Başvuru!$I:$I,Toplantı!$B$15,Başvuru!$D:$D,$A$133)))</f>
        <v/>
      </c>
      <c r="N133" s="177" t="str">
        <f>IF($A133="","",IF($A4="","",COUNTIFS(Başvuru!$I:$I,Toplantı!$B$16,Başvuru!$D:$D,$A$133)))</f>
        <v/>
      </c>
      <c r="O133" s="177" t="str">
        <f>IF($A133="","",IF($A4="","",COUNTIFS(Başvuru!$I:$I,Toplantı!$B$17,Başvuru!$D:$D,$A$133)))</f>
        <v/>
      </c>
      <c r="P133" s="177" t="str">
        <f>IF($A133="","",IF($A4="","",COUNTIFS(Başvuru!$I:$I,Toplantı!$B$18,Başvuru!$D:$D,$A$133)))</f>
        <v/>
      </c>
      <c r="Q133" s="177" t="str">
        <f>IF($A133="","",IF($A4="","",COUNTIFS(Başvuru!$I:$I,Toplantı!$B$19,Başvuru!$D:$D,$A$133)))</f>
        <v/>
      </c>
      <c r="R133" s="177" t="str">
        <f>IF($A133="","",IF($A4="","",COUNTIFS(Başvuru!$I:$I,Toplantı!$B$20,Başvuru!$D:$D,$A$133)))</f>
        <v/>
      </c>
      <c r="S133" s="178">
        <f t="shared" si="4"/>
        <v>0</v>
      </c>
    </row>
    <row r="134" spans="1:19" x14ac:dyDescent="0.25">
      <c r="A134" s="176" t="str">
        <f>IF(Birim!C136="","",Birim!C136)</f>
        <v/>
      </c>
      <c r="B134" s="177" t="str">
        <f>IF($A134="","",IF($A4="","",COUNTIFS(Başvuru!$I:$I,Toplantı!$B$4,Başvuru!$D:$D,$A$134)))</f>
        <v/>
      </c>
      <c r="C134" s="177" t="str">
        <f>IF($A134="","",IF($A4="","",COUNTIFS(Başvuru!$I:$I,Toplantı!$B$5,Başvuru!$D:$D,$A$134)))</f>
        <v/>
      </c>
      <c r="D134" s="177" t="str">
        <f>IF($A134="","",IF($A4="","",COUNTIFS(Başvuru!$I:$I,Toplantı!$B$6,Başvuru!$D:$D,$A$134)))</f>
        <v/>
      </c>
      <c r="E134" s="177" t="str">
        <f>IF($A134="","",IF($A4="","",COUNTIFS(Başvuru!$I:$I,Toplantı!$B$7,Başvuru!$D:$D,$A$134)))</f>
        <v/>
      </c>
      <c r="F134" s="177" t="str">
        <f>IF($A134="","",IF($A4="","",COUNTIFS(Başvuru!$I:$I,Toplantı!$B$8,Başvuru!$D:$D,$A$134)))</f>
        <v/>
      </c>
      <c r="G134" s="177" t="str">
        <f>IF($A134="","",IF($A4="","",COUNTIFS(Başvuru!$I:$I,Toplantı!$B$9,Başvuru!$D:$D,$A$134)))</f>
        <v/>
      </c>
      <c r="H134" s="177" t="str">
        <f>IF($A134="","",IF($A4="","",COUNTIFS(Başvuru!$I:$I,Toplantı!$B$10,Başvuru!$D:$D,$A$134)))</f>
        <v/>
      </c>
      <c r="I134" s="177" t="str">
        <f>IF($A134="","",IF($A4="","",COUNTIFS(Başvuru!$I:$I,Toplantı!$B$11,Başvuru!$D:$D,$A$134)))</f>
        <v/>
      </c>
      <c r="J134" s="177" t="str">
        <f>IF($A134="","",IF($A4="","",COUNTIFS(Başvuru!$I:$I,Toplantı!$B$12,Başvuru!$D:$D,$A$134)))</f>
        <v/>
      </c>
      <c r="K134" s="177" t="str">
        <f>IF($A134="","",IF($A4="","",COUNTIFS(Başvuru!$I:$I,Toplantı!$B$13,Başvuru!$D:$D,$A$134)))</f>
        <v/>
      </c>
      <c r="L134" s="177" t="str">
        <f>IF($A134="","",IF($A4="","",COUNTIFS(Başvuru!$I:$I,Toplantı!$B$14,Başvuru!$D:$D,$A$134)))</f>
        <v/>
      </c>
      <c r="M134" s="177" t="str">
        <f>IF($A134="","",IF($A4="","",COUNTIFS(Başvuru!$I:$I,Toplantı!$B$15,Başvuru!$D:$D,$A$134)))</f>
        <v/>
      </c>
      <c r="N134" s="177" t="str">
        <f>IF($A134="","",IF($A4="","",COUNTIFS(Başvuru!$I:$I,Toplantı!$B$16,Başvuru!$D:$D,$A$134)))</f>
        <v/>
      </c>
      <c r="O134" s="177" t="str">
        <f>IF($A134="","",IF($A4="","",COUNTIFS(Başvuru!$I:$I,Toplantı!$B$17,Başvuru!$D:$D,$A$134)))</f>
        <v/>
      </c>
      <c r="P134" s="177" t="str">
        <f>IF($A134="","",IF($A4="","",COUNTIFS(Başvuru!$I:$I,Toplantı!$B$18,Başvuru!$D:$D,$A$134)))</f>
        <v/>
      </c>
      <c r="Q134" s="177" t="str">
        <f>IF($A134="","",IF($A4="","",COUNTIFS(Başvuru!$I:$I,Toplantı!$B$19,Başvuru!$D:$D,$A$134)))</f>
        <v/>
      </c>
      <c r="R134" s="177" t="str">
        <f>IF($A134="","",IF($A4="","",COUNTIFS(Başvuru!$I:$I,Toplantı!$B$20,Başvuru!$D:$D,$A$134)))</f>
        <v/>
      </c>
      <c r="S134" s="178">
        <f t="shared" si="4"/>
        <v>0</v>
      </c>
    </row>
    <row r="135" spans="1:19" x14ac:dyDescent="0.25">
      <c r="A135" s="176" t="str">
        <f>IF(Birim!C137="","",Birim!C137)</f>
        <v/>
      </c>
      <c r="B135" s="177" t="str">
        <f>IF($A135="","",IF($A4="","",COUNTIFS(Başvuru!$I:$I,Toplantı!$B$4,Başvuru!$D:$D,$A$135)))</f>
        <v/>
      </c>
      <c r="C135" s="177" t="str">
        <f>IF($A135="","",IF($A4="","",COUNTIFS(Başvuru!$I:$I,Toplantı!$B$5,Başvuru!$D:$D,$A$135)))</f>
        <v/>
      </c>
      <c r="D135" s="177" t="str">
        <f>IF($A135="","",IF($A4="","",COUNTIFS(Başvuru!$I:$I,Toplantı!$B$6,Başvuru!$D:$D,$A$135)))</f>
        <v/>
      </c>
      <c r="E135" s="177" t="str">
        <f>IF($A135="","",IF($A4="","",COUNTIFS(Başvuru!$I:$I,Toplantı!$B$7,Başvuru!$D:$D,$A$135)))</f>
        <v/>
      </c>
      <c r="F135" s="177" t="str">
        <f>IF($A135="","",IF($A4="","",COUNTIFS(Başvuru!$I:$I,Toplantı!$B$8,Başvuru!$D:$D,$A$135)))</f>
        <v/>
      </c>
      <c r="G135" s="177" t="str">
        <f>IF($A135="","",IF($A4="","",COUNTIFS(Başvuru!$I:$I,Toplantı!$B$9,Başvuru!$D:$D,$A$135)))</f>
        <v/>
      </c>
      <c r="H135" s="177" t="str">
        <f>IF($A135="","",IF($A4="","",COUNTIFS(Başvuru!$I:$I,Toplantı!$B$10,Başvuru!$D:$D,$A$135)))</f>
        <v/>
      </c>
      <c r="I135" s="177" t="str">
        <f>IF($A135="","",IF($A4="","",COUNTIFS(Başvuru!$I:$I,Toplantı!$B$11,Başvuru!$D:$D,$A$135)))</f>
        <v/>
      </c>
      <c r="J135" s="177" t="str">
        <f>IF($A135="","",IF($A4="","",COUNTIFS(Başvuru!$I:$I,Toplantı!$B$12,Başvuru!$D:$D,$A$135)))</f>
        <v/>
      </c>
      <c r="K135" s="177" t="str">
        <f>IF($A135="","",IF($A4="","",COUNTIFS(Başvuru!$I:$I,Toplantı!$B$13,Başvuru!$D:$D,$A$135)))</f>
        <v/>
      </c>
      <c r="L135" s="177" t="str">
        <f>IF($A135="","",IF($A4="","",COUNTIFS(Başvuru!$I:$I,Toplantı!$B$14,Başvuru!$D:$D,$A$135)))</f>
        <v/>
      </c>
      <c r="M135" s="177" t="str">
        <f>IF($A135="","",IF($A4="","",COUNTIFS(Başvuru!$I:$I,Toplantı!$B$15,Başvuru!$D:$D,$A$135)))</f>
        <v/>
      </c>
      <c r="N135" s="177" t="str">
        <f>IF($A135="","",IF($A4="","",COUNTIFS(Başvuru!$I:$I,Toplantı!$B$16,Başvuru!$D:$D,$A$135)))</f>
        <v/>
      </c>
      <c r="O135" s="177" t="str">
        <f>IF($A135="","",IF($A4="","",COUNTIFS(Başvuru!$I:$I,Toplantı!$B$17,Başvuru!$D:$D,$A$135)))</f>
        <v/>
      </c>
      <c r="P135" s="177" t="str">
        <f>IF($A135="","",IF($A4="","",COUNTIFS(Başvuru!$I:$I,Toplantı!$B$18,Başvuru!$D:$D,$A$135)))</f>
        <v/>
      </c>
      <c r="Q135" s="177" t="str">
        <f>IF($A135="","",IF($A4="","",COUNTIFS(Başvuru!$I:$I,Toplantı!$B$19,Başvuru!$D:$D,$A$135)))</f>
        <v/>
      </c>
      <c r="R135" s="177" t="str">
        <f>IF($A135="","",IF($A4="","",COUNTIFS(Başvuru!$I:$I,Toplantı!$B$20,Başvuru!$D:$D,$A$135)))</f>
        <v/>
      </c>
      <c r="S135" s="178">
        <f t="shared" si="4"/>
        <v>0</v>
      </c>
    </row>
    <row r="136" spans="1:19" x14ac:dyDescent="0.25">
      <c r="A136" s="176" t="str">
        <f>IF(Birim!C138="","",Birim!C138)</f>
        <v/>
      </c>
      <c r="B136" s="177" t="str">
        <f>IF($A136="","",IF($A4="","",COUNTIFS(Başvuru!$I:$I,Toplantı!$B$4,Başvuru!$D:$D,$A$136)))</f>
        <v/>
      </c>
      <c r="C136" s="177" t="str">
        <f>IF($A136="","",IF($A4="","",COUNTIFS(Başvuru!$I:$I,Toplantı!$B$5,Başvuru!$D:$D,$A$136)))</f>
        <v/>
      </c>
      <c r="D136" s="177" t="str">
        <f>IF($A136="","",IF($A4="","",COUNTIFS(Başvuru!$I:$I,Toplantı!$B$6,Başvuru!$D:$D,$A$136)))</f>
        <v/>
      </c>
      <c r="E136" s="177" t="str">
        <f>IF($A136="","",IF($A4="","",COUNTIFS(Başvuru!$I:$I,Toplantı!$B$7,Başvuru!$D:$D,$A$136)))</f>
        <v/>
      </c>
      <c r="F136" s="177" t="str">
        <f>IF($A136="","",IF($A4="","",COUNTIFS(Başvuru!$I:$I,Toplantı!$B$8,Başvuru!$D:$D,$A$136)))</f>
        <v/>
      </c>
      <c r="G136" s="177" t="str">
        <f>IF($A136="","",IF($A4="","",COUNTIFS(Başvuru!$I:$I,Toplantı!$B$9,Başvuru!$D:$D,$A$136)))</f>
        <v/>
      </c>
      <c r="H136" s="177" t="str">
        <f>IF($A136="","",IF($A4="","",COUNTIFS(Başvuru!$I:$I,Toplantı!$B$10,Başvuru!$D:$D,$A$136)))</f>
        <v/>
      </c>
      <c r="I136" s="177" t="str">
        <f>IF($A136="","",IF($A4="","",COUNTIFS(Başvuru!$I:$I,Toplantı!$B$11,Başvuru!$D:$D,$A$136)))</f>
        <v/>
      </c>
      <c r="J136" s="177" t="str">
        <f>IF($A136="","",IF($A4="","",COUNTIFS(Başvuru!$I:$I,Toplantı!$B$12,Başvuru!$D:$D,$A$136)))</f>
        <v/>
      </c>
      <c r="K136" s="177" t="str">
        <f>IF($A136="","",IF($A4="","",COUNTIFS(Başvuru!$I:$I,Toplantı!$B$13,Başvuru!$D:$D,$A$136)))</f>
        <v/>
      </c>
      <c r="L136" s="177" t="str">
        <f>IF($A136="","",IF($A4="","",COUNTIFS(Başvuru!$I:$I,Toplantı!$B$14,Başvuru!$D:$D,$A$136)))</f>
        <v/>
      </c>
      <c r="M136" s="177" t="str">
        <f>IF($A136="","",IF($A4="","",COUNTIFS(Başvuru!$I:$I,Toplantı!$B$15,Başvuru!$D:$D,$A$136)))</f>
        <v/>
      </c>
      <c r="N136" s="177" t="str">
        <f>IF($A136="","",IF($A4="","",COUNTIFS(Başvuru!$I:$I,Toplantı!$B$16,Başvuru!$D:$D,$A$136)))</f>
        <v/>
      </c>
      <c r="O136" s="177" t="str">
        <f>IF($A136="","",IF($A4="","",COUNTIFS(Başvuru!$I:$I,Toplantı!$B$17,Başvuru!$D:$D,$A$136)))</f>
        <v/>
      </c>
      <c r="P136" s="177" t="str">
        <f>IF($A136="","",IF($A4="","",COUNTIFS(Başvuru!$I:$I,Toplantı!$B$18,Başvuru!$D:$D,$A$136)))</f>
        <v/>
      </c>
      <c r="Q136" s="177" t="str">
        <f>IF($A136="","",IF($A4="","",COUNTIFS(Başvuru!$I:$I,Toplantı!$B$19,Başvuru!$D:$D,$A$136)))</f>
        <v/>
      </c>
      <c r="R136" s="177" t="str">
        <f>IF($A136="","",IF($A4="","",COUNTIFS(Başvuru!$I:$I,Toplantı!$B$20,Başvuru!$D:$D,$A$136)))</f>
        <v/>
      </c>
      <c r="S136" s="178">
        <f t="shared" si="4"/>
        <v>0</v>
      </c>
    </row>
    <row r="137" spans="1:19" x14ac:dyDescent="0.25">
      <c r="A137" s="176" t="str">
        <f>IF(Birim!C139="","",Birim!C139)</f>
        <v/>
      </c>
      <c r="B137" s="177" t="str">
        <f>IF($A137="","",IF($A4="","",COUNTIFS(Başvuru!$I:$I,Toplantı!$B$4,Başvuru!$D:$D,$A$137)))</f>
        <v/>
      </c>
      <c r="C137" s="177" t="str">
        <f>IF($A137="","",IF($A4="","",COUNTIFS(Başvuru!$I:$I,Toplantı!$B$5,Başvuru!$D:$D,$A$137)))</f>
        <v/>
      </c>
      <c r="D137" s="177" t="str">
        <f>IF($A137="","",IF($A4="","",COUNTIFS(Başvuru!$I:$I,Toplantı!$B$6,Başvuru!$D:$D,$A$137)))</f>
        <v/>
      </c>
      <c r="E137" s="177" t="str">
        <f>IF($A137="","",IF($A4="","",COUNTIFS(Başvuru!$I:$I,Toplantı!$B$7,Başvuru!$D:$D,$A$137)))</f>
        <v/>
      </c>
      <c r="F137" s="177" t="str">
        <f>IF($A137="","",IF($A4="","",COUNTIFS(Başvuru!$I:$I,Toplantı!$B$8,Başvuru!$D:$D,$A$137)))</f>
        <v/>
      </c>
      <c r="G137" s="177" t="str">
        <f>IF($A137="","",IF($A4="","",COUNTIFS(Başvuru!$I:$I,Toplantı!$B$9,Başvuru!$D:$D,$A$137)))</f>
        <v/>
      </c>
      <c r="H137" s="177" t="str">
        <f>IF($A137="","",IF($A4="","",COUNTIFS(Başvuru!$I:$I,Toplantı!$B$10,Başvuru!$D:$D,$A$137)))</f>
        <v/>
      </c>
      <c r="I137" s="177" t="str">
        <f>IF($A137="","",IF($A4="","",COUNTIFS(Başvuru!$I:$I,Toplantı!$B$11,Başvuru!$D:$D,$A$137)))</f>
        <v/>
      </c>
      <c r="J137" s="177" t="str">
        <f>IF($A137="","",IF($A4="","",COUNTIFS(Başvuru!$I:$I,Toplantı!$B$12,Başvuru!$D:$D,$A$137)))</f>
        <v/>
      </c>
      <c r="K137" s="177" t="str">
        <f>IF($A137="","",IF($A4="","",COUNTIFS(Başvuru!$I:$I,Toplantı!$B$13,Başvuru!$D:$D,$A$137)))</f>
        <v/>
      </c>
      <c r="L137" s="177" t="str">
        <f>IF($A137="","",IF($A4="","",COUNTIFS(Başvuru!$I:$I,Toplantı!$B$14,Başvuru!$D:$D,$A$137)))</f>
        <v/>
      </c>
      <c r="M137" s="177" t="str">
        <f>IF($A137="","",IF($A4="","",COUNTIFS(Başvuru!$I:$I,Toplantı!$B$15,Başvuru!$D:$D,$A$137)))</f>
        <v/>
      </c>
      <c r="N137" s="177" t="str">
        <f>IF($A137="","",IF($A4="","",COUNTIFS(Başvuru!$I:$I,Toplantı!$B$16,Başvuru!$D:$D,$A$137)))</f>
        <v/>
      </c>
      <c r="O137" s="177" t="str">
        <f>IF($A137="","",IF($A4="","",COUNTIFS(Başvuru!$I:$I,Toplantı!$B$17,Başvuru!$D:$D,$A$137)))</f>
        <v/>
      </c>
      <c r="P137" s="177" t="str">
        <f>IF($A137="","",IF($A4="","",COUNTIFS(Başvuru!$I:$I,Toplantı!$B$18,Başvuru!$D:$D,$A$137)))</f>
        <v/>
      </c>
      <c r="Q137" s="177" t="str">
        <f>IF($A137="","",IF($A4="","",COUNTIFS(Başvuru!$I:$I,Toplantı!$B$19,Başvuru!$D:$D,$A$137)))</f>
        <v/>
      </c>
      <c r="R137" s="177" t="str">
        <f>IF($A137="","",IF($A4="","",COUNTIFS(Başvuru!$I:$I,Toplantı!$B$20,Başvuru!$D:$D,$A$137)))</f>
        <v/>
      </c>
      <c r="S137" s="178">
        <f t="shared" si="4"/>
        <v>0</v>
      </c>
    </row>
    <row r="138" spans="1:19" x14ac:dyDescent="0.25">
      <c r="A138" s="176" t="str">
        <f>IF(Birim!C140="","",Birim!C140)</f>
        <v/>
      </c>
      <c r="B138" s="177" t="str">
        <f>IF($A138="","",IF($A4="","",COUNTIFS(Başvuru!$I:$I,Toplantı!$B$4,Başvuru!$D:$D,$A$138)))</f>
        <v/>
      </c>
      <c r="C138" s="177" t="str">
        <f>IF($A138="","",IF($A4="","",COUNTIFS(Başvuru!$I:$I,Toplantı!$B$5,Başvuru!$D:$D,$A$138)))</f>
        <v/>
      </c>
      <c r="D138" s="177" t="str">
        <f>IF($A138="","",IF($A4="","",COUNTIFS(Başvuru!$I:$I,Toplantı!$B$6,Başvuru!$D:$D,$A$138)))</f>
        <v/>
      </c>
      <c r="E138" s="177" t="str">
        <f>IF($A138="","",IF($A4="","",COUNTIFS(Başvuru!$I:$I,Toplantı!$B$7,Başvuru!$D:$D,$A$138)))</f>
        <v/>
      </c>
      <c r="F138" s="177" t="str">
        <f>IF($A138="","",IF($A4="","",COUNTIFS(Başvuru!$I:$I,Toplantı!$B$8,Başvuru!$D:$D,$A$138)))</f>
        <v/>
      </c>
      <c r="G138" s="177" t="str">
        <f>IF($A138="","",IF($A4="","",COUNTIFS(Başvuru!$I:$I,Toplantı!$B$9,Başvuru!$D:$D,$A$138)))</f>
        <v/>
      </c>
      <c r="H138" s="177" t="str">
        <f>IF($A138="","",IF($A4="","",COUNTIFS(Başvuru!$I:$I,Toplantı!$B$10,Başvuru!$D:$D,$A$138)))</f>
        <v/>
      </c>
      <c r="I138" s="177" t="str">
        <f>IF($A138="","",IF($A4="","",COUNTIFS(Başvuru!$I:$I,Toplantı!$B$11,Başvuru!$D:$D,$A$138)))</f>
        <v/>
      </c>
      <c r="J138" s="177" t="str">
        <f>IF($A138="","",IF($A4="","",COUNTIFS(Başvuru!$I:$I,Toplantı!$B$12,Başvuru!$D:$D,$A$138)))</f>
        <v/>
      </c>
      <c r="K138" s="177" t="str">
        <f>IF($A138="","",IF($A4="","",COUNTIFS(Başvuru!$I:$I,Toplantı!$B$13,Başvuru!$D:$D,$A$138)))</f>
        <v/>
      </c>
      <c r="L138" s="177" t="str">
        <f>IF($A138="","",IF($A4="","",COUNTIFS(Başvuru!$I:$I,Toplantı!$B$14,Başvuru!$D:$D,$A$138)))</f>
        <v/>
      </c>
      <c r="M138" s="177" t="str">
        <f>IF($A138="","",IF($A4="","",COUNTIFS(Başvuru!$I:$I,Toplantı!$B$15,Başvuru!$D:$D,$A$138)))</f>
        <v/>
      </c>
      <c r="N138" s="177" t="str">
        <f>IF($A138="","",IF($A4="","",COUNTIFS(Başvuru!$I:$I,Toplantı!$B$16,Başvuru!$D:$D,$A$138)))</f>
        <v/>
      </c>
      <c r="O138" s="177" t="str">
        <f>IF($A138="","",IF($A4="","",COUNTIFS(Başvuru!$I:$I,Toplantı!$B$17,Başvuru!$D:$D,$A$138)))</f>
        <v/>
      </c>
      <c r="P138" s="177" t="str">
        <f>IF($A138="","",IF($A4="","",COUNTIFS(Başvuru!$I:$I,Toplantı!$B$18,Başvuru!$D:$D,$A$138)))</f>
        <v/>
      </c>
      <c r="Q138" s="177" t="str">
        <f>IF($A138="","",IF($A4="","",COUNTIFS(Başvuru!$I:$I,Toplantı!$B$19,Başvuru!$D:$D,$A$138)))</f>
        <v/>
      </c>
      <c r="R138" s="177" t="str">
        <f>IF($A138="","",IF($A4="","",COUNTIFS(Başvuru!$I:$I,Toplantı!$B$20,Başvuru!$D:$D,$A$138)))</f>
        <v/>
      </c>
      <c r="S138" s="178">
        <f t="shared" si="4"/>
        <v>0</v>
      </c>
    </row>
    <row r="139" spans="1:19" x14ac:dyDescent="0.25">
      <c r="A139" s="176" t="str">
        <f>IF(Birim!C141="","",Birim!C141)</f>
        <v/>
      </c>
      <c r="B139" s="177" t="str">
        <f>IF($A139="","",IF($A4="","",COUNTIFS(Başvuru!$I:$I,Toplantı!$B$4,Başvuru!$D:$D,$A$139)))</f>
        <v/>
      </c>
      <c r="C139" s="177" t="str">
        <f>IF($A139="","",IF($A4="","",COUNTIFS(Başvuru!$I:$I,Toplantı!$B$5,Başvuru!$D:$D,$A$139)))</f>
        <v/>
      </c>
      <c r="D139" s="177" t="str">
        <f>IF($A139="","",IF($A4="","",COUNTIFS(Başvuru!$I:$I,Toplantı!$B$6,Başvuru!$D:$D,$A$139)))</f>
        <v/>
      </c>
      <c r="E139" s="177" t="str">
        <f>IF($A139="","",IF($A4="","",COUNTIFS(Başvuru!$I:$I,Toplantı!$B$7,Başvuru!$D:$D,$A$139)))</f>
        <v/>
      </c>
      <c r="F139" s="177" t="str">
        <f>IF($A139="","",IF($A4="","",COUNTIFS(Başvuru!$I:$I,Toplantı!$B$8,Başvuru!$D:$D,$A$139)))</f>
        <v/>
      </c>
      <c r="G139" s="177" t="str">
        <f>IF($A139="","",IF($A4="","",COUNTIFS(Başvuru!$I:$I,Toplantı!$B$9,Başvuru!$D:$D,$A$139)))</f>
        <v/>
      </c>
      <c r="H139" s="177" t="str">
        <f>IF($A139="","",IF($A4="","",COUNTIFS(Başvuru!$I:$I,Toplantı!$B$10,Başvuru!$D:$D,$A$139)))</f>
        <v/>
      </c>
      <c r="I139" s="177" t="str">
        <f>IF($A139="","",IF($A4="","",COUNTIFS(Başvuru!$I:$I,Toplantı!$B$11,Başvuru!$D:$D,$A$139)))</f>
        <v/>
      </c>
      <c r="J139" s="177" t="str">
        <f>IF($A139="","",IF($A4="","",COUNTIFS(Başvuru!$I:$I,Toplantı!$B$12,Başvuru!$D:$D,$A$139)))</f>
        <v/>
      </c>
      <c r="K139" s="177" t="str">
        <f>IF($A139="","",IF($A4="","",COUNTIFS(Başvuru!$I:$I,Toplantı!$B$13,Başvuru!$D:$D,$A$139)))</f>
        <v/>
      </c>
      <c r="L139" s="177" t="str">
        <f>IF($A139="","",IF($A4="","",COUNTIFS(Başvuru!$I:$I,Toplantı!$B$14,Başvuru!$D:$D,$A$139)))</f>
        <v/>
      </c>
      <c r="M139" s="177" t="str">
        <f>IF($A139="","",IF($A4="","",COUNTIFS(Başvuru!$I:$I,Toplantı!$B$15,Başvuru!$D:$D,$A$139)))</f>
        <v/>
      </c>
      <c r="N139" s="177" t="str">
        <f>IF($A139="","",IF($A4="","",COUNTIFS(Başvuru!$I:$I,Toplantı!$B$16,Başvuru!$D:$D,$A$139)))</f>
        <v/>
      </c>
      <c r="O139" s="177" t="str">
        <f>IF($A139="","",IF($A4="","",COUNTIFS(Başvuru!$I:$I,Toplantı!$B$17,Başvuru!$D:$D,$A$139)))</f>
        <v/>
      </c>
      <c r="P139" s="177" t="str">
        <f>IF($A139="","",IF($A4="","",COUNTIFS(Başvuru!$I:$I,Toplantı!$B$18,Başvuru!$D:$D,$A$139)))</f>
        <v/>
      </c>
      <c r="Q139" s="177" t="str">
        <f>IF($A139="","",IF($A4="","",COUNTIFS(Başvuru!$I:$I,Toplantı!$B$19,Başvuru!$D:$D,$A$139)))</f>
        <v/>
      </c>
      <c r="R139" s="177" t="str">
        <f>IF($A139="","",IF($A4="","",COUNTIFS(Başvuru!$I:$I,Toplantı!$B$20,Başvuru!$D:$D,$A$139)))</f>
        <v/>
      </c>
      <c r="S139" s="178">
        <f t="shared" si="4"/>
        <v>0</v>
      </c>
    </row>
    <row r="140" spans="1:19" x14ac:dyDescent="0.25">
      <c r="A140" s="176" t="str">
        <f>IF(Birim!C142="","",Birim!C142)</f>
        <v/>
      </c>
      <c r="B140" s="177" t="str">
        <f>IF($A140="","",IF($A4="","",COUNTIFS(Başvuru!$I:$I,Toplantı!$B$4,Başvuru!$D:$D,$A$140)))</f>
        <v/>
      </c>
      <c r="C140" s="177" t="str">
        <f>IF($A140="","",IF($A4="","",COUNTIFS(Başvuru!$I:$I,Toplantı!$B$5,Başvuru!$D:$D,$A$140)))</f>
        <v/>
      </c>
      <c r="D140" s="177" t="str">
        <f>IF($A140="","",IF($A4="","",COUNTIFS(Başvuru!$I:$I,Toplantı!$B$6,Başvuru!$D:$D,$A$140)))</f>
        <v/>
      </c>
      <c r="E140" s="177" t="str">
        <f>IF($A140="","",IF($A4="","",COUNTIFS(Başvuru!$I:$I,Toplantı!$B$7,Başvuru!$D:$D,$A$140)))</f>
        <v/>
      </c>
      <c r="F140" s="177" t="str">
        <f>IF($A140="","",IF($A4="","",COUNTIFS(Başvuru!$I:$I,Toplantı!$B$8,Başvuru!$D:$D,$A$140)))</f>
        <v/>
      </c>
      <c r="G140" s="177" t="str">
        <f>IF($A140="","",IF($A4="","",COUNTIFS(Başvuru!$I:$I,Toplantı!$B$9,Başvuru!$D:$D,$A$140)))</f>
        <v/>
      </c>
      <c r="H140" s="177" t="str">
        <f>IF($A140="","",IF($A4="","",COUNTIFS(Başvuru!$I:$I,Toplantı!$B$10,Başvuru!$D:$D,$A$140)))</f>
        <v/>
      </c>
      <c r="I140" s="177" t="str">
        <f>IF($A140="","",IF($A4="","",COUNTIFS(Başvuru!$I:$I,Toplantı!$B$11,Başvuru!$D:$D,$A$140)))</f>
        <v/>
      </c>
      <c r="J140" s="177" t="str">
        <f>IF($A140="","",IF($A4="","",COUNTIFS(Başvuru!$I:$I,Toplantı!$B$12,Başvuru!$D:$D,$A$140)))</f>
        <v/>
      </c>
      <c r="K140" s="177" t="str">
        <f>IF($A140="","",IF($A4="","",COUNTIFS(Başvuru!$I:$I,Toplantı!$B$13,Başvuru!$D:$D,$A$140)))</f>
        <v/>
      </c>
      <c r="L140" s="177" t="str">
        <f>IF($A140="","",IF($A4="","",COUNTIFS(Başvuru!$I:$I,Toplantı!$B$14,Başvuru!$D:$D,$A$140)))</f>
        <v/>
      </c>
      <c r="M140" s="177" t="str">
        <f>IF($A140="","",IF($A4="","",COUNTIFS(Başvuru!$I:$I,Toplantı!$B$15,Başvuru!$D:$D,$A$140)))</f>
        <v/>
      </c>
      <c r="N140" s="177" t="str">
        <f>IF($A140="","",IF($A4="","",COUNTIFS(Başvuru!$I:$I,Toplantı!$B$16,Başvuru!$D:$D,$A$140)))</f>
        <v/>
      </c>
      <c r="O140" s="177" t="str">
        <f>IF($A140="","",IF($A4="","",COUNTIFS(Başvuru!$I:$I,Toplantı!$B$17,Başvuru!$D:$D,$A$140)))</f>
        <v/>
      </c>
      <c r="P140" s="177" t="str">
        <f>IF($A140="","",IF($A4="","",COUNTIFS(Başvuru!$I:$I,Toplantı!$B$18,Başvuru!$D:$D,$A$140)))</f>
        <v/>
      </c>
      <c r="Q140" s="177" t="str">
        <f>IF($A140="","",IF($A4="","",COUNTIFS(Başvuru!$I:$I,Toplantı!$B$19,Başvuru!$D:$D,$A$140)))</f>
        <v/>
      </c>
      <c r="R140" s="177" t="str">
        <f>IF($A140="","",IF($A4="","",COUNTIFS(Başvuru!$I:$I,Toplantı!$B$20,Başvuru!$D:$D,$A$140)))</f>
        <v/>
      </c>
      <c r="S140" s="178">
        <f t="shared" si="4"/>
        <v>0</v>
      </c>
    </row>
    <row r="141" spans="1:19" x14ac:dyDescent="0.25">
      <c r="A141" s="176" t="str">
        <f>IF(Birim!C143="","",Birim!C143)</f>
        <v/>
      </c>
      <c r="B141" s="177" t="str">
        <f>IF($A141="","",IF($A4="","",COUNTIFS(Başvuru!$I:$I,Toplantı!$B$4,Başvuru!$D:$D,$A$141)))</f>
        <v/>
      </c>
      <c r="C141" s="177" t="str">
        <f>IF($A141="","",IF($A4="","",COUNTIFS(Başvuru!$I:$I,Toplantı!$B$5,Başvuru!$D:$D,$A$141)))</f>
        <v/>
      </c>
      <c r="D141" s="177" t="str">
        <f>IF($A141="","",IF($A4="","",COUNTIFS(Başvuru!$I:$I,Toplantı!$B$6,Başvuru!$D:$D,$A$141)))</f>
        <v/>
      </c>
      <c r="E141" s="177" t="str">
        <f>IF($A141="","",IF($A4="","",COUNTIFS(Başvuru!$I:$I,Toplantı!$B$7,Başvuru!$D:$D,$A$141)))</f>
        <v/>
      </c>
      <c r="F141" s="177" t="str">
        <f>IF($A141="","",IF($A4="","",COUNTIFS(Başvuru!$I:$I,Toplantı!$B$8,Başvuru!$D:$D,$A$141)))</f>
        <v/>
      </c>
      <c r="G141" s="177" t="str">
        <f>IF($A141="","",IF($A4="","",COUNTIFS(Başvuru!$I:$I,Toplantı!$B$9,Başvuru!$D:$D,$A$141)))</f>
        <v/>
      </c>
      <c r="H141" s="177" t="str">
        <f>IF($A141="","",IF($A4="","",COUNTIFS(Başvuru!$I:$I,Toplantı!$B$10,Başvuru!$D:$D,$A$141)))</f>
        <v/>
      </c>
      <c r="I141" s="177" t="str">
        <f>IF($A141="","",IF($A4="","",COUNTIFS(Başvuru!$I:$I,Toplantı!$B$11,Başvuru!$D:$D,$A$141)))</f>
        <v/>
      </c>
      <c r="J141" s="177" t="str">
        <f>IF($A141="","",IF($A4="","",COUNTIFS(Başvuru!$I:$I,Toplantı!$B$12,Başvuru!$D:$D,$A$141)))</f>
        <v/>
      </c>
      <c r="K141" s="177" t="str">
        <f>IF($A141="","",IF($A4="","",COUNTIFS(Başvuru!$I:$I,Toplantı!$B$13,Başvuru!$D:$D,$A$141)))</f>
        <v/>
      </c>
      <c r="L141" s="177" t="str">
        <f>IF($A141="","",IF($A4="","",COUNTIFS(Başvuru!$I:$I,Toplantı!$B$14,Başvuru!$D:$D,$A$141)))</f>
        <v/>
      </c>
      <c r="M141" s="177" t="str">
        <f>IF($A141="","",IF($A4="","",COUNTIFS(Başvuru!$I:$I,Toplantı!$B$15,Başvuru!$D:$D,$A$141)))</f>
        <v/>
      </c>
      <c r="N141" s="177" t="str">
        <f>IF($A141="","",IF($A4="","",COUNTIFS(Başvuru!$I:$I,Toplantı!$B$16,Başvuru!$D:$D,$A$141)))</f>
        <v/>
      </c>
      <c r="O141" s="177" t="str">
        <f>IF($A141="","",IF($A4="","",COUNTIFS(Başvuru!$I:$I,Toplantı!$B$17,Başvuru!$D:$D,$A$141)))</f>
        <v/>
      </c>
      <c r="P141" s="177" t="str">
        <f>IF($A141="","",IF($A4="","",COUNTIFS(Başvuru!$I:$I,Toplantı!$B$18,Başvuru!$D:$D,$A$141)))</f>
        <v/>
      </c>
      <c r="Q141" s="177" t="str">
        <f>IF($A141="","",IF($A4="","",COUNTIFS(Başvuru!$I:$I,Toplantı!$B$19,Başvuru!$D:$D,$A$141)))</f>
        <v/>
      </c>
      <c r="R141" s="177" t="str">
        <f>IF($A141="","",IF($A4="","",COUNTIFS(Başvuru!$I:$I,Toplantı!$B$20,Başvuru!$D:$D,$A$141)))</f>
        <v/>
      </c>
      <c r="S141" s="178">
        <f t="shared" si="4"/>
        <v>0</v>
      </c>
    </row>
    <row r="142" spans="1:19" x14ac:dyDescent="0.25">
      <c r="A142" s="176" t="str">
        <f>IF(Birim!C144="","",Birim!C144)</f>
        <v/>
      </c>
      <c r="B142" s="177" t="str">
        <f>IF($A142="","",IF($A4="","",COUNTIFS(Başvuru!$I:$I,Toplantı!$B$4,Başvuru!$D:$D,$A$142)))</f>
        <v/>
      </c>
      <c r="C142" s="177" t="str">
        <f>IF($A142="","",IF($A4="","",COUNTIFS(Başvuru!$I:$I,Toplantı!$B$5,Başvuru!$D:$D,$A$142)))</f>
        <v/>
      </c>
      <c r="D142" s="177" t="str">
        <f>IF($A142="","",IF($A4="","",COUNTIFS(Başvuru!$I:$I,Toplantı!$B$6,Başvuru!$D:$D,$A$142)))</f>
        <v/>
      </c>
      <c r="E142" s="177" t="str">
        <f>IF($A142="","",IF($A4="","",COUNTIFS(Başvuru!$I:$I,Toplantı!$B$7,Başvuru!$D:$D,$A$142)))</f>
        <v/>
      </c>
      <c r="F142" s="177" t="str">
        <f>IF($A142="","",IF($A4="","",COUNTIFS(Başvuru!$I:$I,Toplantı!$B$8,Başvuru!$D:$D,$A$142)))</f>
        <v/>
      </c>
      <c r="G142" s="177" t="str">
        <f>IF($A142="","",IF($A4="","",COUNTIFS(Başvuru!$I:$I,Toplantı!$B$9,Başvuru!$D:$D,$A$142)))</f>
        <v/>
      </c>
      <c r="H142" s="177" t="str">
        <f>IF($A142="","",IF($A4="","",COUNTIFS(Başvuru!$I:$I,Toplantı!$B$10,Başvuru!$D:$D,$A$142)))</f>
        <v/>
      </c>
      <c r="I142" s="177" t="str">
        <f>IF($A142="","",IF($A4="","",COUNTIFS(Başvuru!$I:$I,Toplantı!$B$11,Başvuru!$D:$D,$A$142)))</f>
        <v/>
      </c>
      <c r="J142" s="177" t="str">
        <f>IF($A142="","",IF($A4="","",COUNTIFS(Başvuru!$I:$I,Toplantı!$B$12,Başvuru!$D:$D,$A$142)))</f>
        <v/>
      </c>
      <c r="K142" s="177" t="str">
        <f>IF($A142="","",IF($A4="","",COUNTIFS(Başvuru!$I:$I,Toplantı!$B$13,Başvuru!$D:$D,$A$142)))</f>
        <v/>
      </c>
      <c r="L142" s="177" t="str">
        <f>IF($A142="","",IF($A4="","",COUNTIFS(Başvuru!$I:$I,Toplantı!$B$14,Başvuru!$D:$D,$A$142)))</f>
        <v/>
      </c>
      <c r="M142" s="177" t="str">
        <f>IF($A142="","",IF($A4="","",COUNTIFS(Başvuru!$I:$I,Toplantı!$B$15,Başvuru!$D:$D,$A$142)))</f>
        <v/>
      </c>
      <c r="N142" s="177" t="str">
        <f>IF($A142="","",IF($A4="","",COUNTIFS(Başvuru!$I:$I,Toplantı!$B$16,Başvuru!$D:$D,$A$142)))</f>
        <v/>
      </c>
      <c r="O142" s="177" t="str">
        <f>IF($A142="","",IF($A4="","",COUNTIFS(Başvuru!$I:$I,Toplantı!$B$17,Başvuru!$D:$D,$A$142)))</f>
        <v/>
      </c>
      <c r="P142" s="177" t="str">
        <f>IF($A142="","",IF($A4="","",COUNTIFS(Başvuru!$I:$I,Toplantı!$B$18,Başvuru!$D:$D,$A$142)))</f>
        <v/>
      </c>
      <c r="Q142" s="177" t="str">
        <f>IF($A142="","",IF($A4="","",COUNTIFS(Başvuru!$I:$I,Toplantı!$B$19,Başvuru!$D:$D,$A$142)))</f>
        <v/>
      </c>
      <c r="R142" s="177" t="str">
        <f>IF($A142="","",IF($A4="","",COUNTIFS(Başvuru!$I:$I,Toplantı!$B$20,Başvuru!$D:$D,$A$142)))</f>
        <v/>
      </c>
      <c r="S142" s="178">
        <f t="shared" si="4"/>
        <v>0</v>
      </c>
    </row>
    <row r="143" spans="1:19" x14ac:dyDescent="0.25">
      <c r="A143" s="176" t="str">
        <f>IF(Birim!C145="","",Birim!C145)</f>
        <v/>
      </c>
      <c r="B143" s="177" t="str">
        <f>IF($A143="","",IF($A4="","",COUNTIFS(Başvuru!$I:$I,Toplantı!$B$4,Başvuru!$D:$D,$A$143)))</f>
        <v/>
      </c>
      <c r="C143" s="177" t="str">
        <f>IF($A143="","",IF($A4="","",COUNTIFS(Başvuru!$I:$I,Toplantı!$B$5,Başvuru!$D:$D,$A$143)))</f>
        <v/>
      </c>
      <c r="D143" s="177" t="str">
        <f>IF($A143="","",IF($A4="","",COUNTIFS(Başvuru!$I:$I,Toplantı!$B$6,Başvuru!$D:$D,$A$143)))</f>
        <v/>
      </c>
      <c r="E143" s="177" t="str">
        <f>IF($A143="","",IF($A4="","",COUNTIFS(Başvuru!$I:$I,Toplantı!$B$7,Başvuru!$D:$D,$A$143)))</f>
        <v/>
      </c>
      <c r="F143" s="177" t="str">
        <f>IF($A143="","",IF($A4="","",COUNTIFS(Başvuru!$I:$I,Toplantı!$B$8,Başvuru!$D:$D,$A$143)))</f>
        <v/>
      </c>
      <c r="G143" s="177" t="str">
        <f>IF($A143="","",IF($A4="","",COUNTIFS(Başvuru!$I:$I,Toplantı!$B$9,Başvuru!$D:$D,$A$143)))</f>
        <v/>
      </c>
      <c r="H143" s="177" t="str">
        <f>IF($A143="","",IF($A4="","",COUNTIFS(Başvuru!$I:$I,Toplantı!$B$10,Başvuru!$D:$D,$A$143)))</f>
        <v/>
      </c>
      <c r="I143" s="177" t="str">
        <f>IF($A143="","",IF($A4="","",COUNTIFS(Başvuru!$I:$I,Toplantı!$B$11,Başvuru!$D:$D,$A$143)))</f>
        <v/>
      </c>
      <c r="J143" s="177" t="str">
        <f>IF($A143="","",IF($A4="","",COUNTIFS(Başvuru!$I:$I,Toplantı!$B$12,Başvuru!$D:$D,$A$143)))</f>
        <v/>
      </c>
      <c r="K143" s="177" t="str">
        <f>IF($A143="","",IF($A4="","",COUNTIFS(Başvuru!$I:$I,Toplantı!$B$13,Başvuru!$D:$D,$A$143)))</f>
        <v/>
      </c>
      <c r="L143" s="177" t="str">
        <f>IF($A143="","",IF($A4="","",COUNTIFS(Başvuru!$I:$I,Toplantı!$B$14,Başvuru!$D:$D,$A$143)))</f>
        <v/>
      </c>
      <c r="M143" s="177" t="str">
        <f>IF($A143="","",IF($A4="","",COUNTIFS(Başvuru!$I:$I,Toplantı!$B$15,Başvuru!$D:$D,$A$143)))</f>
        <v/>
      </c>
      <c r="N143" s="177" t="str">
        <f>IF($A143="","",IF($A4="","",COUNTIFS(Başvuru!$I:$I,Toplantı!$B$16,Başvuru!$D:$D,$A$143)))</f>
        <v/>
      </c>
      <c r="O143" s="177" t="str">
        <f>IF($A143="","",IF($A4="","",COUNTIFS(Başvuru!$I:$I,Toplantı!$B$17,Başvuru!$D:$D,$A$143)))</f>
        <v/>
      </c>
      <c r="P143" s="177" t="str">
        <f>IF($A143="","",IF($A4="","",COUNTIFS(Başvuru!$I:$I,Toplantı!$B$18,Başvuru!$D:$D,$A$143)))</f>
        <v/>
      </c>
      <c r="Q143" s="177" t="str">
        <f>IF($A143="","",IF($A4="","",COUNTIFS(Başvuru!$I:$I,Toplantı!$B$19,Başvuru!$D:$D,$A$143)))</f>
        <v/>
      </c>
      <c r="R143" s="177" t="str">
        <f>IF($A143="","",IF($A4="","",COUNTIFS(Başvuru!$I:$I,Toplantı!$B$20,Başvuru!$D:$D,$A$143)))</f>
        <v/>
      </c>
      <c r="S143" s="178">
        <f t="shared" si="4"/>
        <v>0</v>
      </c>
    </row>
    <row r="144" spans="1:19" x14ac:dyDescent="0.25">
      <c r="A144" s="176" t="str">
        <f>IF(Birim!C146="","",Birim!C146)</f>
        <v/>
      </c>
      <c r="B144" s="177" t="str">
        <f>IF($A144="","",IF($A4="","",COUNTIFS(Başvuru!$I:$I,Toplantı!$B$4,Başvuru!$D:$D,$A$144)))</f>
        <v/>
      </c>
      <c r="C144" s="177" t="str">
        <f>IF($A144="","",IF($A4="","",COUNTIFS(Başvuru!$I:$I,Toplantı!$B$5,Başvuru!$D:$D,$A$144)))</f>
        <v/>
      </c>
      <c r="D144" s="177" t="str">
        <f>IF($A144="","",IF($A4="","",COUNTIFS(Başvuru!$I:$I,Toplantı!$B$6,Başvuru!$D:$D,$A$144)))</f>
        <v/>
      </c>
      <c r="E144" s="177" t="str">
        <f>IF($A144="","",IF($A4="","",COUNTIFS(Başvuru!$I:$I,Toplantı!$B$7,Başvuru!$D:$D,$A$144)))</f>
        <v/>
      </c>
      <c r="F144" s="177" t="str">
        <f>IF($A144="","",IF($A4="","",COUNTIFS(Başvuru!$I:$I,Toplantı!$B$8,Başvuru!$D:$D,$A$144)))</f>
        <v/>
      </c>
      <c r="G144" s="177" t="str">
        <f>IF($A144="","",IF($A4="","",COUNTIFS(Başvuru!$I:$I,Toplantı!$B$9,Başvuru!$D:$D,$A$144)))</f>
        <v/>
      </c>
      <c r="H144" s="177" t="str">
        <f>IF($A144="","",IF($A4="","",COUNTIFS(Başvuru!$I:$I,Toplantı!$B$10,Başvuru!$D:$D,$A$144)))</f>
        <v/>
      </c>
      <c r="I144" s="177" t="str">
        <f>IF($A144="","",IF($A4="","",COUNTIFS(Başvuru!$I:$I,Toplantı!$B$11,Başvuru!$D:$D,$A$144)))</f>
        <v/>
      </c>
      <c r="J144" s="177" t="str">
        <f>IF($A144="","",IF($A4="","",COUNTIFS(Başvuru!$I:$I,Toplantı!$B$12,Başvuru!$D:$D,$A$144)))</f>
        <v/>
      </c>
      <c r="K144" s="177" t="str">
        <f>IF($A144="","",IF($A4="","",COUNTIFS(Başvuru!$I:$I,Toplantı!$B$13,Başvuru!$D:$D,$A$144)))</f>
        <v/>
      </c>
      <c r="L144" s="177" t="str">
        <f>IF($A144="","",IF($A4="","",COUNTIFS(Başvuru!$I:$I,Toplantı!$B$14,Başvuru!$D:$D,$A$144)))</f>
        <v/>
      </c>
      <c r="M144" s="177" t="str">
        <f>IF($A144="","",IF($A4="","",COUNTIFS(Başvuru!$I:$I,Toplantı!$B$15,Başvuru!$D:$D,$A$144)))</f>
        <v/>
      </c>
      <c r="N144" s="177" t="str">
        <f>IF($A144="","",IF($A4="","",COUNTIFS(Başvuru!$I:$I,Toplantı!$B$16,Başvuru!$D:$D,$A$144)))</f>
        <v/>
      </c>
      <c r="O144" s="177" t="str">
        <f>IF($A144="","",IF($A4="","",COUNTIFS(Başvuru!$I:$I,Toplantı!$B$17,Başvuru!$D:$D,$A$144)))</f>
        <v/>
      </c>
      <c r="P144" s="177" t="str">
        <f>IF($A144="","",IF($A4="","",COUNTIFS(Başvuru!$I:$I,Toplantı!$B$18,Başvuru!$D:$D,$A$144)))</f>
        <v/>
      </c>
      <c r="Q144" s="177" t="str">
        <f>IF($A144="","",IF($A4="","",COUNTIFS(Başvuru!$I:$I,Toplantı!$B$19,Başvuru!$D:$D,$A$144)))</f>
        <v/>
      </c>
      <c r="R144" s="177" t="str">
        <f>IF($A144="","",IF($A4="","",COUNTIFS(Başvuru!$I:$I,Toplantı!$B$20,Başvuru!$D:$D,$A$144)))</f>
        <v/>
      </c>
      <c r="S144" s="178">
        <f t="shared" si="4"/>
        <v>0</v>
      </c>
    </row>
    <row r="145" spans="1:19" x14ac:dyDescent="0.25">
      <c r="A145" s="176" t="str">
        <f>IF(Birim!C147="","",Birim!C147)</f>
        <v/>
      </c>
      <c r="B145" s="177" t="str">
        <f>IF($A145="","",IF($A4="","",COUNTIFS(Başvuru!$I:$I,Toplantı!$B$4,Başvuru!$D:$D,$A$145)))</f>
        <v/>
      </c>
      <c r="C145" s="177" t="str">
        <f>IF($A145="","",IF($A4="","",COUNTIFS(Başvuru!$I:$I,Toplantı!$B$5,Başvuru!$D:$D,$A$145)))</f>
        <v/>
      </c>
      <c r="D145" s="177" t="str">
        <f>IF($A145="","",IF($A4="","",COUNTIFS(Başvuru!$I:$I,Toplantı!$B$6,Başvuru!$D:$D,$A$145)))</f>
        <v/>
      </c>
      <c r="E145" s="177" t="str">
        <f>IF($A145="","",IF($A4="","",COUNTIFS(Başvuru!$I:$I,Toplantı!$B$7,Başvuru!$D:$D,$A$145)))</f>
        <v/>
      </c>
      <c r="F145" s="177" t="str">
        <f>IF($A145="","",IF($A4="","",COUNTIFS(Başvuru!$I:$I,Toplantı!$B$8,Başvuru!$D:$D,$A$145)))</f>
        <v/>
      </c>
      <c r="G145" s="177" t="str">
        <f>IF($A145="","",IF($A4="","",COUNTIFS(Başvuru!$I:$I,Toplantı!$B$9,Başvuru!$D:$D,$A$145)))</f>
        <v/>
      </c>
      <c r="H145" s="177" t="str">
        <f>IF($A145="","",IF($A4="","",COUNTIFS(Başvuru!$I:$I,Toplantı!$B$10,Başvuru!$D:$D,$A$145)))</f>
        <v/>
      </c>
      <c r="I145" s="177" t="str">
        <f>IF($A145="","",IF($A4="","",COUNTIFS(Başvuru!$I:$I,Toplantı!$B$11,Başvuru!$D:$D,$A$145)))</f>
        <v/>
      </c>
      <c r="J145" s="177" t="str">
        <f>IF($A145="","",IF($A4="","",COUNTIFS(Başvuru!$I:$I,Toplantı!$B$12,Başvuru!$D:$D,$A$145)))</f>
        <v/>
      </c>
      <c r="K145" s="177" t="str">
        <f>IF($A145="","",IF($A4="","",COUNTIFS(Başvuru!$I:$I,Toplantı!$B$13,Başvuru!$D:$D,$A$145)))</f>
        <v/>
      </c>
      <c r="L145" s="177" t="str">
        <f>IF($A145="","",IF($A4="","",COUNTIFS(Başvuru!$I:$I,Toplantı!$B$14,Başvuru!$D:$D,$A$145)))</f>
        <v/>
      </c>
      <c r="M145" s="177" t="str">
        <f>IF($A145="","",IF($A4="","",COUNTIFS(Başvuru!$I:$I,Toplantı!$B$15,Başvuru!$D:$D,$A$145)))</f>
        <v/>
      </c>
      <c r="N145" s="177" t="str">
        <f>IF($A145="","",IF($A4="","",COUNTIFS(Başvuru!$I:$I,Toplantı!$B$16,Başvuru!$D:$D,$A$145)))</f>
        <v/>
      </c>
      <c r="O145" s="177" t="str">
        <f>IF($A145="","",IF($A4="","",COUNTIFS(Başvuru!$I:$I,Toplantı!$B$17,Başvuru!$D:$D,$A$145)))</f>
        <v/>
      </c>
      <c r="P145" s="177" t="str">
        <f>IF($A145="","",IF($A4="","",COUNTIFS(Başvuru!$I:$I,Toplantı!$B$18,Başvuru!$D:$D,$A$145)))</f>
        <v/>
      </c>
      <c r="Q145" s="177" t="str">
        <f>IF($A145="","",IF($A4="","",COUNTIFS(Başvuru!$I:$I,Toplantı!$B$19,Başvuru!$D:$D,$A$145)))</f>
        <v/>
      </c>
      <c r="R145" s="177" t="str">
        <f>IF($A145="","",IF($A4="","",COUNTIFS(Başvuru!$I:$I,Toplantı!$B$20,Başvuru!$D:$D,$A$145)))</f>
        <v/>
      </c>
      <c r="S145" s="178">
        <f t="shared" si="4"/>
        <v>0</v>
      </c>
    </row>
    <row r="146" spans="1:19" x14ac:dyDescent="0.25">
      <c r="A146" s="176" t="str">
        <f>IF(Birim!C148="","",Birim!C148)</f>
        <v/>
      </c>
      <c r="B146" s="177" t="str">
        <f>IF($A146="","",IF($A4="","",COUNTIFS(Başvuru!$I:$I,Toplantı!$B$4,Başvuru!$D:$D,$A$146)))</f>
        <v/>
      </c>
      <c r="C146" s="177" t="str">
        <f>IF($A146="","",IF($A4="","",COUNTIFS(Başvuru!$I:$I,Toplantı!$B$5,Başvuru!$D:$D,$A$146)))</f>
        <v/>
      </c>
      <c r="D146" s="177" t="str">
        <f>IF($A146="","",IF($A4="","",COUNTIFS(Başvuru!$I:$I,Toplantı!$B$6,Başvuru!$D:$D,$A$146)))</f>
        <v/>
      </c>
      <c r="E146" s="177" t="str">
        <f>IF($A146="","",IF($A4="","",COUNTIFS(Başvuru!$I:$I,Toplantı!$B$7,Başvuru!$D:$D,$A$146)))</f>
        <v/>
      </c>
      <c r="F146" s="177" t="str">
        <f>IF($A146="","",IF($A4="","",COUNTIFS(Başvuru!$I:$I,Toplantı!$B$8,Başvuru!$D:$D,$A$146)))</f>
        <v/>
      </c>
      <c r="G146" s="177" t="str">
        <f>IF($A146="","",IF($A4="","",COUNTIFS(Başvuru!$I:$I,Toplantı!$B$9,Başvuru!$D:$D,$A$146)))</f>
        <v/>
      </c>
      <c r="H146" s="177" t="str">
        <f>IF($A146="","",IF($A4="","",COUNTIFS(Başvuru!$I:$I,Toplantı!$B$10,Başvuru!$D:$D,$A$146)))</f>
        <v/>
      </c>
      <c r="I146" s="177" t="str">
        <f>IF($A146="","",IF($A4="","",COUNTIFS(Başvuru!$I:$I,Toplantı!$B$11,Başvuru!$D:$D,$A$146)))</f>
        <v/>
      </c>
      <c r="J146" s="177" t="str">
        <f>IF($A146="","",IF($A4="","",COUNTIFS(Başvuru!$I:$I,Toplantı!$B$12,Başvuru!$D:$D,$A$146)))</f>
        <v/>
      </c>
      <c r="K146" s="177" t="str">
        <f>IF($A146="","",IF($A4="","",COUNTIFS(Başvuru!$I:$I,Toplantı!$B$13,Başvuru!$D:$D,$A$146)))</f>
        <v/>
      </c>
      <c r="L146" s="177" t="str">
        <f>IF($A146="","",IF($A4="","",COUNTIFS(Başvuru!$I:$I,Toplantı!$B$14,Başvuru!$D:$D,$A$146)))</f>
        <v/>
      </c>
      <c r="M146" s="177" t="str">
        <f>IF($A146="","",IF($A4="","",COUNTIFS(Başvuru!$I:$I,Toplantı!$B$15,Başvuru!$D:$D,$A$146)))</f>
        <v/>
      </c>
      <c r="N146" s="177" t="str">
        <f>IF($A146="","",IF($A4="","",COUNTIFS(Başvuru!$I:$I,Toplantı!$B$16,Başvuru!$D:$D,$A$146)))</f>
        <v/>
      </c>
      <c r="O146" s="177" t="str">
        <f>IF($A146="","",IF($A4="","",COUNTIFS(Başvuru!$I:$I,Toplantı!$B$17,Başvuru!$D:$D,$A$146)))</f>
        <v/>
      </c>
      <c r="P146" s="177" t="str">
        <f>IF($A146="","",IF($A4="","",COUNTIFS(Başvuru!$I:$I,Toplantı!$B$18,Başvuru!$D:$D,$A$146)))</f>
        <v/>
      </c>
      <c r="Q146" s="177" t="str">
        <f>IF($A146="","",IF($A4="","",COUNTIFS(Başvuru!$I:$I,Toplantı!$B$19,Başvuru!$D:$D,$A$146)))</f>
        <v/>
      </c>
      <c r="R146" s="177" t="str">
        <f>IF($A146="","",IF($A4="","",COUNTIFS(Başvuru!$I:$I,Toplantı!$B$20,Başvuru!$D:$D,$A$146)))</f>
        <v/>
      </c>
      <c r="S146" s="178">
        <f t="shared" si="4"/>
        <v>0</v>
      </c>
    </row>
    <row r="147" spans="1:19" x14ac:dyDescent="0.25">
      <c r="A147" s="176" t="str">
        <f>IF(Birim!C149="","",Birim!C149)</f>
        <v/>
      </c>
      <c r="B147" s="177" t="str">
        <f>IF($A147="","",IF($A4="","",COUNTIFS(Başvuru!$I:$I,Toplantı!$B$4,Başvuru!$D:$D,$A$147)))</f>
        <v/>
      </c>
      <c r="C147" s="177" t="str">
        <f>IF($A147="","",IF($A4="","",COUNTIFS(Başvuru!$I:$I,Toplantı!$B$5,Başvuru!$D:$D,$A$147)))</f>
        <v/>
      </c>
      <c r="D147" s="177" t="str">
        <f>IF($A147="","",IF($A4="","",COUNTIFS(Başvuru!$I:$I,Toplantı!$B$6,Başvuru!$D:$D,$A$147)))</f>
        <v/>
      </c>
      <c r="E147" s="177" t="str">
        <f>IF($A147="","",IF($A4="","",COUNTIFS(Başvuru!$I:$I,Toplantı!$B$7,Başvuru!$D:$D,$A$147)))</f>
        <v/>
      </c>
      <c r="F147" s="177" t="str">
        <f>IF($A147="","",IF($A4="","",COUNTIFS(Başvuru!$I:$I,Toplantı!$B$8,Başvuru!$D:$D,$A$147)))</f>
        <v/>
      </c>
      <c r="G147" s="177" t="str">
        <f>IF($A147="","",IF($A4="","",COUNTIFS(Başvuru!$I:$I,Toplantı!$B$9,Başvuru!$D:$D,$A$147)))</f>
        <v/>
      </c>
      <c r="H147" s="177" t="str">
        <f>IF($A147="","",IF($A4="","",COUNTIFS(Başvuru!$I:$I,Toplantı!$B$10,Başvuru!$D:$D,$A$147)))</f>
        <v/>
      </c>
      <c r="I147" s="177" t="str">
        <f>IF($A147="","",IF($A4="","",COUNTIFS(Başvuru!$I:$I,Toplantı!$B$11,Başvuru!$D:$D,$A$147)))</f>
        <v/>
      </c>
      <c r="J147" s="177" t="str">
        <f>IF($A147="","",IF($A4="","",COUNTIFS(Başvuru!$I:$I,Toplantı!$B$12,Başvuru!$D:$D,$A$147)))</f>
        <v/>
      </c>
      <c r="K147" s="177" t="str">
        <f>IF($A147="","",IF($A4="","",COUNTIFS(Başvuru!$I:$I,Toplantı!$B$13,Başvuru!$D:$D,$A$147)))</f>
        <v/>
      </c>
      <c r="L147" s="177" t="str">
        <f>IF($A147="","",IF($A4="","",COUNTIFS(Başvuru!$I:$I,Toplantı!$B$14,Başvuru!$D:$D,$A$147)))</f>
        <v/>
      </c>
      <c r="M147" s="177" t="str">
        <f>IF($A147="","",IF($A4="","",COUNTIFS(Başvuru!$I:$I,Toplantı!$B$15,Başvuru!$D:$D,$A$147)))</f>
        <v/>
      </c>
      <c r="N147" s="177" t="str">
        <f>IF($A147="","",IF($A4="","",COUNTIFS(Başvuru!$I:$I,Toplantı!$B$16,Başvuru!$D:$D,$A$147)))</f>
        <v/>
      </c>
      <c r="O147" s="177" t="str">
        <f>IF($A147="","",IF($A4="","",COUNTIFS(Başvuru!$I:$I,Toplantı!$B$17,Başvuru!$D:$D,$A$147)))</f>
        <v/>
      </c>
      <c r="P147" s="177" t="str">
        <f>IF($A147="","",IF($A4="","",COUNTIFS(Başvuru!$I:$I,Toplantı!$B$18,Başvuru!$D:$D,$A$147)))</f>
        <v/>
      </c>
      <c r="Q147" s="177" t="str">
        <f>IF($A147="","",IF($A4="","",COUNTIFS(Başvuru!$I:$I,Toplantı!$B$19,Başvuru!$D:$D,$A$147)))</f>
        <v/>
      </c>
      <c r="R147" s="177" t="str">
        <f>IF($A147="","",IF($A4="","",COUNTIFS(Başvuru!$I:$I,Toplantı!$B$20,Başvuru!$D:$D,$A$147)))</f>
        <v/>
      </c>
      <c r="S147" s="178">
        <f t="shared" si="4"/>
        <v>0</v>
      </c>
    </row>
    <row r="148" spans="1:19" x14ac:dyDescent="0.25">
      <c r="A148" s="176" t="str">
        <f>IF(Birim!C150="","",Birim!C150)</f>
        <v/>
      </c>
      <c r="B148" s="177" t="str">
        <f>IF($A148="","",IF($A4="","",COUNTIFS(Başvuru!$I:$I,Toplantı!$B$4,Başvuru!$D:$D,$A$148)))</f>
        <v/>
      </c>
      <c r="C148" s="177" t="str">
        <f>IF($A148="","",IF($A4="","",COUNTIFS(Başvuru!$I:$I,Toplantı!$B$5,Başvuru!$D:$D,$A$148)))</f>
        <v/>
      </c>
      <c r="D148" s="177" t="str">
        <f>IF($A148="","",IF($A4="","",COUNTIFS(Başvuru!$I:$I,Toplantı!$B$6,Başvuru!$D:$D,$A$148)))</f>
        <v/>
      </c>
      <c r="E148" s="177" t="str">
        <f>IF($A148="","",IF($A4="","",COUNTIFS(Başvuru!$I:$I,Toplantı!$B$7,Başvuru!$D:$D,$A$148)))</f>
        <v/>
      </c>
      <c r="F148" s="177" t="str">
        <f>IF($A148="","",IF($A4="","",COUNTIFS(Başvuru!$I:$I,Toplantı!$B$8,Başvuru!$D:$D,$A$148)))</f>
        <v/>
      </c>
      <c r="G148" s="177" t="str">
        <f>IF($A148="","",IF($A4="","",COUNTIFS(Başvuru!$I:$I,Toplantı!$B$9,Başvuru!$D:$D,$A$148)))</f>
        <v/>
      </c>
      <c r="H148" s="177" t="str">
        <f>IF($A148="","",IF($A4="","",COUNTIFS(Başvuru!$I:$I,Toplantı!$B$10,Başvuru!$D:$D,$A$148)))</f>
        <v/>
      </c>
      <c r="I148" s="177" t="str">
        <f>IF($A148="","",IF($A4="","",COUNTIFS(Başvuru!$I:$I,Toplantı!$B$11,Başvuru!$D:$D,$A$148)))</f>
        <v/>
      </c>
      <c r="J148" s="177" t="str">
        <f>IF($A148="","",IF($A4="","",COUNTIFS(Başvuru!$I:$I,Toplantı!$B$12,Başvuru!$D:$D,$A$148)))</f>
        <v/>
      </c>
      <c r="K148" s="177" t="str">
        <f>IF($A148="","",IF($A4="","",COUNTIFS(Başvuru!$I:$I,Toplantı!$B$13,Başvuru!$D:$D,$A$148)))</f>
        <v/>
      </c>
      <c r="L148" s="177" t="str">
        <f>IF($A148="","",IF($A4="","",COUNTIFS(Başvuru!$I:$I,Toplantı!$B$14,Başvuru!$D:$D,$A$148)))</f>
        <v/>
      </c>
      <c r="M148" s="177" t="str">
        <f>IF($A148="","",IF($A4="","",COUNTIFS(Başvuru!$I:$I,Toplantı!$B$15,Başvuru!$D:$D,$A$148)))</f>
        <v/>
      </c>
      <c r="N148" s="177" t="str">
        <f>IF($A148="","",IF($A4="","",COUNTIFS(Başvuru!$I:$I,Toplantı!$B$16,Başvuru!$D:$D,$A$148)))</f>
        <v/>
      </c>
      <c r="O148" s="177" t="str">
        <f>IF($A148="","",IF($A4="","",COUNTIFS(Başvuru!$I:$I,Toplantı!$B$17,Başvuru!$D:$D,$A$148)))</f>
        <v/>
      </c>
      <c r="P148" s="177" t="str">
        <f>IF($A148="","",IF($A4="","",COUNTIFS(Başvuru!$I:$I,Toplantı!$B$18,Başvuru!$D:$D,$A$148)))</f>
        <v/>
      </c>
      <c r="Q148" s="177" t="str">
        <f>IF($A148="","",IF($A4="","",COUNTIFS(Başvuru!$I:$I,Toplantı!$B$19,Başvuru!$D:$D,$A$148)))</f>
        <v/>
      </c>
      <c r="R148" s="177" t="str">
        <f>IF($A148="","",IF($A4="","",COUNTIFS(Başvuru!$I:$I,Toplantı!$B$20,Başvuru!$D:$D,$A$148)))</f>
        <v/>
      </c>
      <c r="S148" s="178">
        <f t="shared" si="4"/>
        <v>0</v>
      </c>
    </row>
    <row r="149" spans="1:19" x14ac:dyDescent="0.25">
      <c r="A149" s="176" t="str">
        <f>IF(Birim!C151="","",Birim!C151)</f>
        <v/>
      </c>
      <c r="B149" s="177" t="str">
        <f>IF($A149="","",IF($A4="","",COUNTIFS(Başvuru!$I:$I,Toplantı!$B$4,Başvuru!$D:$D,$A$149)))</f>
        <v/>
      </c>
      <c r="C149" s="177" t="str">
        <f>IF($A149="","",IF($A4="","",COUNTIFS(Başvuru!$I:$I,Toplantı!$B$5,Başvuru!$D:$D,$A$149)))</f>
        <v/>
      </c>
      <c r="D149" s="177" t="str">
        <f>IF($A149="","",IF($A4="","",COUNTIFS(Başvuru!$I:$I,Toplantı!$B$6,Başvuru!$D:$D,$A$149)))</f>
        <v/>
      </c>
      <c r="E149" s="177" t="str">
        <f>IF($A149="","",IF($A4="","",COUNTIFS(Başvuru!$I:$I,Toplantı!$B$7,Başvuru!$D:$D,$A$149)))</f>
        <v/>
      </c>
      <c r="F149" s="177" t="str">
        <f>IF($A149="","",IF($A4="","",COUNTIFS(Başvuru!$I:$I,Toplantı!$B$8,Başvuru!$D:$D,$A$149)))</f>
        <v/>
      </c>
      <c r="G149" s="177" t="str">
        <f>IF($A149="","",IF($A4="","",COUNTIFS(Başvuru!$I:$I,Toplantı!$B$9,Başvuru!$D:$D,$A$149)))</f>
        <v/>
      </c>
      <c r="H149" s="177" t="str">
        <f>IF($A149="","",IF($A4="","",COUNTIFS(Başvuru!$I:$I,Toplantı!$B$10,Başvuru!$D:$D,$A$149)))</f>
        <v/>
      </c>
      <c r="I149" s="177" t="str">
        <f>IF($A149="","",IF($A4="","",COUNTIFS(Başvuru!$I:$I,Toplantı!$B$11,Başvuru!$D:$D,$A$149)))</f>
        <v/>
      </c>
      <c r="J149" s="177" t="str">
        <f>IF($A149="","",IF($A4="","",COUNTIFS(Başvuru!$I:$I,Toplantı!$B$12,Başvuru!$D:$D,$A$149)))</f>
        <v/>
      </c>
      <c r="K149" s="177" t="str">
        <f>IF($A149="","",IF($A4="","",COUNTIFS(Başvuru!$I:$I,Toplantı!$B$13,Başvuru!$D:$D,$A$149)))</f>
        <v/>
      </c>
      <c r="L149" s="177" t="str">
        <f>IF($A149="","",IF($A4="","",COUNTIFS(Başvuru!$I:$I,Toplantı!$B$14,Başvuru!$D:$D,$A$149)))</f>
        <v/>
      </c>
      <c r="M149" s="177" t="str">
        <f>IF($A149="","",IF($A4="","",COUNTIFS(Başvuru!$I:$I,Toplantı!$B$15,Başvuru!$D:$D,$A$149)))</f>
        <v/>
      </c>
      <c r="N149" s="177" t="str">
        <f>IF($A149="","",IF($A4="","",COUNTIFS(Başvuru!$I:$I,Toplantı!$B$16,Başvuru!$D:$D,$A$149)))</f>
        <v/>
      </c>
      <c r="O149" s="177" t="str">
        <f>IF($A149="","",IF($A4="","",COUNTIFS(Başvuru!$I:$I,Toplantı!$B$17,Başvuru!$D:$D,$A$149)))</f>
        <v/>
      </c>
      <c r="P149" s="177" t="str">
        <f>IF($A149="","",IF($A4="","",COUNTIFS(Başvuru!$I:$I,Toplantı!$B$18,Başvuru!$D:$D,$A$149)))</f>
        <v/>
      </c>
      <c r="Q149" s="177" t="str">
        <f>IF($A149="","",IF($A4="","",COUNTIFS(Başvuru!$I:$I,Toplantı!$B$19,Başvuru!$D:$D,$A$149)))</f>
        <v/>
      </c>
      <c r="R149" s="177" t="str">
        <f>IF($A149="","",IF($A4="","",COUNTIFS(Başvuru!$I:$I,Toplantı!$B$20,Başvuru!$D:$D,$A$149)))</f>
        <v/>
      </c>
      <c r="S149" s="178">
        <f t="shared" si="4"/>
        <v>0</v>
      </c>
    </row>
    <row r="150" spans="1:19" x14ac:dyDescent="0.25">
      <c r="A150" s="176" t="str">
        <f>IF(Birim!C152="","",Birim!C152)</f>
        <v/>
      </c>
      <c r="B150" s="177" t="str">
        <f>IF($A150="","",IF($A4="","",COUNTIFS(Başvuru!$I:$I,Toplantı!$B$4,Başvuru!$D:$D,$A$150)))</f>
        <v/>
      </c>
      <c r="C150" s="177" t="str">
        <f>IF($A150="","",IF($A4="","",COUNTIFS(Başvuru!$I:$I,Toplantı!$B$5,Başvuru!$D:$D,$A$150)))</f>
        <v/>
      </c>
      <c r="D150" s="177" t="str">
        <f>IF($A150="","",IF($A4="","",COUNTIFS(Başvuru!$I:$I,Toplantı!$B$6,Başvuru!$D:$D,$A$150)))</f>
        <v/>
      </c>
      <c r="E150" s="177" t="str">
        <f>IF($A150="","",IF($A4="","",COUNTIFS(Başvuru!$I:$I,Toplantı!$B$7,Başvuru!$D:$D,$A$150)))</f>
        <v/>
      </c>
      <c r="F150" s="177" t="str">
        <f>IF($A150="","",IF($A4="","",COUNTIFS(Başvuru!$I:$I,Toplantı!$B$8,Başvuru!$D:$D,$A$150)))</f>
        <v/>
      </c>
      <c r="G150" s="177" t="str">
        <f>IF($A150="","",IF($A4="","",COUNTIFS(Başvuru!$I:$I,Toplantı!$B$9,Başvuru!$D:$D,$A$150)))</f>
        <v/>
      </c>
      <c r="H150" s="177" t="str">
        <f>IF($A150="","",IF($A4="","",COUNTIFS(Başvuru!$I:$I,Toplantı!$B$10,Başvuru!$D:$D,$A$150)))</f>
        <v/>
      </c>
      <c r="I150" s="177" t="str">
        <f>IF($A150="","",IF($A4="","",COUNTIFS(Başvuru!$I:$I,Toplantı!$B$11,Başvuru!$D:$D,$A$150)))</f>
        <v/>
      </c>
      <c r="J150" s="177" t="str">
        <f>IF($A150="","",IF($A4="","",COUNTIFS(Başvuru!$I:$I,Toplantı!$B$12,Başvuru!$D:$D,$A$150)))</f>
        <v/>
      </c>
      <c r="K150" s="177" t="str">
        <f>IF($A150="","",IF($A4="","",COUNTIFS(Başvuru!$I:$I,Toplantı!$B$13,Başvuru!$D:$D,$A$150)))</f>
        <v/>
      </c>
      <c r="L150" s="177" t="str">
        <f>IF($A150="","",IF($A4="","",COUNTIFS(Başvuru!$I:$I,Toplantı!$B$14,Başvuru!$D:$D,$A$150)))</f>
        <v/>
      </c>
      <c r="M150" s="177" t="str">
        <f>IF($A150="","",IF($A4="","",COUNTIFS(Başvuru!$I:$I,Toplantı!$B$15,Başvuru!$D:$D,$A$150)))</f>
        <v/>
      </c>
      <c r="N150" s="177" t="str">
        <f>IF($A150="","",IF($A4="","",COUNTIFS(Başvuru!$I:$I,Toplantı!$B$16,Başvuru!$D:$D,$A$150)))</f>
        <v/>
      </c>
      <c r="O150" s="177" t="str">
        <f>IF($A150="","",IF($A4="","",COUNTIFS(Başvuru!$I:$I,Toplantı!$B$17,Başvuru!$D:$D,$A$150)))</f>
        <v/>
      </c>
      <c r="P150" s="177" t="str">
        <f>IF($A150="","",IF($A4="","",COUNTIFS(Başvuru!$I:$I,Toplantı!$B$18,Başvuru!$D:$D,$A$150)))</f>
        <v/>
      </c>
      <c r="Q150" s="177" t="str">
        <f>IF($A150="","",IF($A4="","",COUNTIFS(Başvuru!$I:$I,Toplantı!$B$19,Başvuru!$D:$D,$A$150)))</f>
        <v/>
      </c>
      <c r="R150" s="177" t="str">
        <f>IF($A150="","",IF($A4="","",COUNTIFS(Başvuru!$I:$I,Toplantı!$B$20,Başvuru!$D:$D,$A$150)))</f>
        <v/>
      </c>
      <c r="S150" s="178">
        <f t="shared" si="4"/>
        <v>0</v>
      </c>
    </row>
    <row r="151" spans="1:19" x14ac:dyDescent="0.25">
      <c r="A151" s="176" t="str">
        <f>IF(Birim!C153="","",Birim!C153)</f>
        <v/>
      </c>
      <c r="B151" s="177" t="str">
        <f>IF($A151="","",IF($A4="","",COUNTIFS(Başvuru!$I:$I,Toplantı!$B$4,Başvuru!$D:$D,$A$151)))</f>
        <v/>
      </c>
      <c r="C151" s="177" t="str">
        <f>IF($A151="","",IF($A4="","",COUNTIFS(Başvuru!$I:$I,Toplantı!$B$5,Başvuru!$D:$D,$A$151)))</f>
        <v/>
      </c>
      <c r="D151" s="177" t="str">
        <f>IF($A151="","",IF($A4="","",COUNTIFS(Başvuru!$I:$I,Toplantı!$B$6,Başvuru!$D:$D,$A$151)))</f>
        <v/>
      </c>
      <c r="E151" s="177" t="str">
        <f>IF($A151="","",IF($A4="","",COUNTIFS(Başvuru!$I:$I,Toplantı!$B$7,Başvuru!$D:$D,$A$151)))</f>
        <v/>
      </c>
      <c r="F151" s="177" t="str">
        <f>IF($A151="","",IF($A4="","",COUNTIFS(Başvuru!$I:$I,Toplantı!$B$8,Başvuru!$D:$D,$A$151)))</f>
        <v/>
      </c>
      <c r="G151" s="177" t="str">
        <f>IF($A151="","",IF($A4="","",COUNTIFS(Başvuru!$I:$I,Toplantı!$B$9,Başvuru!$D:$D,$A$151)))</f>
        <v/>
      </c>
      <c r="H151" s="177" t="str">
        <f>IF($A151="","",IF($A4="","",COUNTIFS(Başvuru!$I:$I,Toplantı!$B$10,Başvuru!$D:$D,$A$151)))</f>
        <v/>
      </c>
      <c r="I151" s="177" t="str">
        <f>IF($A151="","",IF($A4="","",COUNTIFS(Başvuru!$I:$I,Toplantı!$B$11,Başvuru!$D:$D,$A$151)))</f>
        <v/>
      </c>
      <c r="J151" s="177" t="str">
        <f>IF($A151="","",IF($A4="","",COUNTIFS(Başvuru!$I:$I,Toplantı!$B$12,Başvuru!$D:$D,$A$151)))</f>
        <v/>
      </c>
      <c r="K151" s="177" t="str">
        <f>IF($A151="","",IF($A4="","",COUNTIFS(Başvuru!$I:$I,Toplantı!$B$13,Başvuru!$D:$D,$A$151)))</f>
        <v/>
      </c>
      <c r="L151" s="177" t="str">
        <f>IF($A151="","",IF($A4="","",COUNTIFS(Başvuru!$I:$I,Toplantı!$B$14,Başvuru!$D:$D,$A$151)))</f>
        <v/>
      </c>
      <c r="M151" s="177" t="str">
        <f>IF($A151="","",IF($A4="","",COUNTIFS(Başvuru!$I:$I,Toplantı!$B$15,Başvuru!$D:$D,$A$151)))</f>
        <v/>
      </c>
      <c r="N151" s="177" t="str">
        <f>IF($A151="","",IF($A4="","",COUNTIFS(Başvuru!$I:$I,Toplantı!$B$16,Başvuru!$D:$D,$A$151)))</f>
        <v/>
      </c>
      <c r="O151" s="177" t="str">
        <f>IF($A151="","",IF($A4="","",COUNTIFS(Başvuru!$I:$I,Toplantı!$B$17,Başvuru!$D:$D,$A$151)))</f>
        <v/>
      </c>
      <c r="P151" s="177" t="str">
        <f>IF($A151="","",IF($A4="","",COUNTIFS(Başvuru!$I:$I,Toplantı!$B$18,Başvuru!$D:$D,$A$151)))</f>
        <v/>
      </c>
      <c r="Q151" s="177" t="str">
        <f>IF($A151="","",IF($A4="","",COUNTIFS(Başvuru!$I:$I,Toplantı!$B$19,Başvuru!$D:$D,$A$151)))</f>
        <v/>
      </c>
      <c r="R151" s="177" t="str">
        <f>IF($A151="","",IF($A4="","",COUNTIFS(Başvuru!$I:$I,Toplantı!$B$20,Başvuru!$D:$D,$A$151)))</f>
        <v/>
      </c>
      <c r="S151" s="178">
        <f t="shared" si="4"/>
        <v>0</v>
      </c>
    </row>
    <row r="152" spans="1:19" x14ac:dyDescent="0.25">
      <c r="A152" s="176" t="str">
        <f>IF(Birim!C154="","",Birim!C154)</f>
        <v/>
      </c>
      <c r="B152" s="177" t="str">
        <f>IF($A152="","",IF($A4="","",COUNTIFS(Başvuru!$I:$I,Toplantı!$B$4,Başvuru!$D:$D,$A$152)))</f>
        <v/>
      </c>
      <c r="C152" s="177" t="str">
        <f>IF($A152="","",IF($A4="","",COUNTIFS(Başvuru!$I:$I,Toplantı!$B$5,Başvuru!$D:$D,$A$152)))</f>
        <v/>
      </c>
      <c r="D152" s="177" t="str">
        <f>IF($A152="","",IF($A4="","",COUNTIFS(Başvuru!$I:$I,Toplantı!$B$6,Başvuru!$D:$D,$A$152)))</f>
        <v/>
      </c>
      <c r="E152" s="177" t="str">
        <f>IF($A152="","",IF($A4="","",COUNTIFS(Başvuru!$I:$I,Toplantı!$B$7,Başvuru!$D:$D,$A$152)))</f>
        <v/>
      </c>
      <c r="F152" s="177" t="str">
        <f>IF($A152="","",IF($A4="","",COUNTIFS(Başvuru!$I:$I,Toplantı!$B$8,Başvuru!$D:$D,$A$152)))</f>
        <v/>
      </c>
      <c r="G152" s="177" t="str">
        <f>IF($A152="","",IF($A4="","",COUNTIFS(Başvuru!$I:$I,Toplantı!$B$9,Başvuru!$D:$D,$A$152)))</f>
        <v/>
      </c>
      <c r="H152" s="177" t="str">
        <f>IF($A152="","",IF($A4="","",COUNTIFS(Başvuru!$I:$I,Toplantı!$B$10,Başvuru!$D:$D,$A$152)))</f>
        <v/>
      </c>
      <c r="I152" s="177" t="str">
        <f>IF($A152="","",IF($A4="","",COUNTIFS(Başvuru!$I:$I,Toplantı!$B$11,Başvuru!$D:$D,$A$152)))</f>
        <v/>
      </c>
      <c r="J152" s="177" t="str">
        <f>IF($A152="","",IF($A4="","",COUNTIFS(Başvuru!$I:$I,Toplantı!$B$12,Başvuru!$D:$D,$A$152)))</f>
        <v/>
      </c>
      <c r="K152" s="177" t="str">
        <f>IF($A152="","",IF($A4="","",COUNTIFS(Başvuru!$I:$I,Toplantı!$B$13,Başvuru!$D:$D,$A$152)))</f>
        <v/>
      </c>
      <c r="L152" s="177" t="str">
        <f>IF($A152="","",IF($A4="","",COUNTIFS(Başvuru!$I:$I,Toplantı!$B$14,Başvuru!$D:$D,$A$152)))</f>
        <v/>
      </c>
      <c r="M152" s="177" t="str">
        <f>IF($A152="","",IF($A4="","",COUNTIFS(Başvuru!$I:$I,Toplantı!$B$15,Başvuru!$D:$D,$A$152)))</f>
        <v/>
      </c>
      <c r="N152" s="177" t="str">
        <f>IF($A152="","",IF($A4="","",COUNTIFS(Başvuru!$I:$I,Toplantı!$B$16,Başvuru!$D:$D,$A$152)))</f>
        <v/>
      </c>
      <c r="O152" s="177" t="str">
        <f>IF($A152="","",IF($A4="","",COUNTIFS(Başvuru!$I:$I,Toplantı!$B$17,Başvuru!$D:$D,$A$152)))</f>
        <v/>
      </c>
      <c r="P152" s="177" t="str">
        <f>IF($A152="","",IF($A4="","",COUNTIFS(Başvuru!$I:$I,Toplantı!$B$18,Başvuru!$D:$D,$A$152)))</f>
        <v/>
      </c>
      <c r="Q152" s="177" t="str">
        <f>IF($A152="","",IF($A4="","",COUNTIFS(Başvuru!$I:$I,Toplantı!$B$19,Başvuru!$D:$D,$A$152)))</f>
        <v/>
      </c>
      <c r="R152" s="177" t="str">
        <f>IF($A152="","",IF($A4="","",COUNTIFS(Başvuru!$I:$I,Toplantı!$B$20,Başvuru!$D:$D,$A$152)))</f>
        <v/>
      </c>
      <c r="S152" s="178">
        <f t="shared" si="4"/>
        <v>0</v>
      </c>
    </row>
    <row r="153" spans="1:19" x14ac:dyDescent="0.25">
      <c r="A153" s="176" t="str">
        <f>IF(Birim!C155="","",Birim!C155)</f>
        <v/>
      </c>
      <c r="B153" s="177" t="str">
        <f>IF($A153="","",IF($A4="","",COUNTIFS(Başvuru!$I:$I,Toplantı!$B$4,Başvuru!$D:$D,$A$153)))</f>
        <v/>
      </c>
      <c r="C153" s="177" t="str">
        <f>IF($A153="","",IF($A4="","",COUNTIFS(Başvuru!$I:$I,Toplantı!$B$5,Başvuru!$D:$D,$A$153)))</f>
        <v/>
      </c>
      <c r="D153" s="177" t="str">
        <f>IF($A153="","",IF($A4="","",COUNTIFS(Başvuru!$I:$I,Toplantı!$B$6,Başvuru!$D:$D,$A$153)))</f>
        <v/>
      </c>
      <c r="E153" s="177" t="str">
        <f>IF($A153="","",IF($A4="","",COUNTIFS(Başvuru!$I:$I,Toplantı!$B$7,Başvuru!$D:$D,$A$153)))</f>
        <v/>
      </c>
      <c r="F153" s="177" t="str">
        <f>IF($A153="","",IF($A4="","",COUNTIFS(Başvuru!$I:$I,Toplantı!$B$8,Başvuru!$D:$D,$A$153)))</f>
        <v/>
      </c>
      <c r="G153" s="177" t="str">
        <f>IF($A153="","",IF($A4="","",COUNTIFS(Başvuru!$I:$I,Toplantı!$B$9,Başvuru!$D:$D,$A$153)))</f>
        <v/>
      </c>
      <c r="H153" s="177" t="str">
        <f>IF($A153="","",IF($A4="","",COUNTIFS(Başvuru!$I:$I,Toplantı!$B$10,Başvuru!$D:$D,$A$153)))</f>
        <v/>
      </c>
      <c r="I153" s="177" t="str">
        <f>IF($A153="","",IF($A4="","",COUNTIFS(Başvuru!$I:$I,Toplantı!$B$11,Başvuru!$D:$D,$A$153)))</f>
        <v/>
      </c>
      <c r="J153" s="177" t="str">
        <f>IF($A153="","",IF($A4="","",COUNTIFS(Başvuru!$I:$I,Toplantı!$B$12,Başvuru!$D:$D,$A$153)))</f>
        <v/>
      </c>
      <c r="K153" s="177" t="str">
        <f>IF($A153="","",IF($A4="","",COUNTIFS(Başvuru!$I:$I,Toplantı!$B$13,Başvuru!$D:$D,$A$153)))</f>
        <v/>
      </c>
      <c r="L153" s="177" t="str">
        <f>IF($A153="","",IF($A4="","",COUNTIFS(Başvuru!$I:$I,Toplantı!$B$14,Başvuru!$D:$D,$A$153)))</f>
        <v/>
      </c>
      <c r="M153" s="177" t="str">
        <f>IF($A153="","",IF($A4="","",COUNTIFS(Başvuru!$I:$I,Toplantı!$B$15,Başvuru!$D:$D,$A$153)))</f>
        <v/>
      </c>
      <c r="N153" s="177" t="str">
        <f>IF($A153="","",IF($A4="","",COUNTIFS(Başvuru!$I:$I,Toplantı!$B$16,Başvuru!$D:$D,$A$153)))</f>
        <v/>
      </c>
      <c r="O153" s="177" t="str">
        <f>IF($A153="","",IF($A4="","",COUNTIFS(Başvuru!$I:$I,Toplantı!$B$17,Başvuru!$D:$D,$A$153)))</f>
        <v/>
      </c>
      <c r="P153" s="177" t="str">
        <f>IF($A153="","",IF($A4="","",COUNTIFS(Başvuru!$I:$I,Toplantı!$B$18,Başvuru!$D:$D,$A$153)))</f>
        <v/>
      </c>
      <c r="Q153" s="177" t="str">
        <f>IF($A153="","",IF($A4="","",COUNTIFS(Başvuru!$I:$I,Toplantı!$B$19,Başvuru!$D:$D,$A$153)))</f>
        <v/>
      </c>
      <c r="R153" s="177" t="str">
        <f>IF($A153="","",IF($A4="","",COUNTIFS(Başvuru!$I:$I,Toplantı!$B$20,Başvuru!$D:$D,$A$153)))</f>
        <v/>
      </c>
      <c r="S153" s="178">
        <f t="shared" si="4"/>
        <v>0</v>
      </c>
    </row>
    <row r="154" spans="1:19" x14ac:dyDescent="0.25">
      <c r="A154" s="176" t="s">
        <v>4</v>
      </c>
      <c r="B154" s="177">
        <f t="shared" ref="B154:S154" si="5">SUM(B4:B153)</f>
        <v>55</v>
      </c>
      <c r="C154" s="177">
        <f t="shared" si="5"/>
        <v>45</v>
      </c>
      <c r="D154" s="177">
        <f t="shared" si="5"/>
        <v>45</v>
      </c>
      <c r="E154" s="177">
        <f t="shared" si="5"/>
        <v>45</v>
      </c>
      <c r="F154" s="177">
        <f t="shared" si="5"/>
        <v>35</v>
      </c>
      <c r="G154" s="177">
        <f t="shared" si="5"/>
        <v>47</v>
      </c>
      <c r="H154" s="177">
        <f t="shared" si="5"/>
        <v>40</v>
      </c>
      <c r="I154" s="177">
        <f t="shared" si="5"/>
        <v>40</v>
      </c>
      <c r="J154" s="177">
        <f t="shared" si="5"/>
        <v>48</v>
      </c>
      <c r="K154" s="177">
        <f t="shared" si="5"/>
        <v>52</v>
      </c>
      <c r="L154" s="177">
        <f t="shared" si="5"/>
        <v>40</v>
      </c>
      <c r="M154" s="177">
        <f t="shared" si="5"/>
        <v>46</v>
      </c>
      <c r="N154" s="177">
        <f t="shared" si="5"/>
        <v>50</v>
      </c>
      <c r="O154" s="177">
        <f t="shared" si="5"/>
        <v>51</v>
      </c>
      <c r="P154" s="177">
        <f t="shared" si="5"/>
        <v>34</v>
      </c>
      <c r="Q154" s="177">
        <f t="shared" si="5"/>
        <v>50</v>
      </c>
      <c r="R154" s="177">
        <f t="shared" si="5"/>
        <v>18</v>
      </c>
      <c r="S154" s="178">
        <f t="shared" si="5"/>
        <v>741</v>
      </c>
    </row>
    <row r="156" spans="1:19" x14ac:dyDescent="0.25">
      <c r="A156" t="s">
        <v>4557</v>
      </c>
    </row>
  </sheetData>
  <mergeCells count="2">
    <mergeCell ref="A1:S1"/>
    <mergeCell ref="A2:S2"/>
  </mergeCells>
  <conditionalFormatting sqref="B4:R153">
    <cfRule type="cellIs" dxfId="5" priority="2" operator="greaterThanOrEqual">
      <formula>5</formula>
    </cfRule>
    <cfRule type="cellIs" dxfId="4" priority="3" operator="between">
      <formula>3</formula>
      <formula>4</formula>
    </cfRule>
    <cfRule type="cellIs" dxfId="3" priority="4" operator="equal">
      <formula>0</formula>
    </cfRule>
  </conditionalFormatting>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2060"/>
  </sheetPr>
  <dimension ref="B2:S506"/>
  <sheetViews>
    <sheetView showGridLines="0" showZeros="0" zoomScaleNormal="100" workbookViewId="0">
      <pane xSplit="2" ySplit="5" topLeftCell="C336" activePane="bottomRight" state="frozen"/>
      <selection pane="topRight" activeCell="C1" sqref="C1"/>
      <selection pane="bottomLeft" activeCell="A340" sqref="A340"/>
      <selection pane="bottomRight" activeCell="X346" sqref="X346"/>
    </sheetView>
  </sheetViews>
  <sheetFormatPr defaultColWidth="8.7109375" defaultRowHeight="15" x14ac:dyDescent="0.25"/>
  <cols>
    <col min="1" max="1" width="3" customWidth="1"/>
    <col min="2" max="2" width="6.28515625" customWidth="1"/>
    <col min="3" max="3" width="34.85546875" customWidth="1"/>
    <col min="4" max="4" width="10" customWidth="1"/>
    <col min="5" max="5" width="8" customWidth="1"/>
    <col min="6" max="16" width="10" customWidth="1"/>
    <col min="17" max="17" width="36" hidden="1" customWidth="1"/>
    <col min="18" max="19" width="10" hidden="1" customWidth="1"/>
  </cols>
  <sheetData>
    <row r="2" spans="2:19" ht="23.25" customHeight="1" x14ac:dyDescent="0.25">
      <c r="B2" s="221" t="s">
        <v>4558</v>
      </c>
      <c r="C2" s="221"/>
      <c r="D2" s="221"/>
      <c r="E2" s="221"/>
      <c r="F2" s="221"/>
      <c r="G2" s="221"/>
      <c r="H2" s="221"/>
      <c r="I2" s="221"/>
      <c r="J2" s="221"/>
      <c r="K2" s="221"/>
      <c r="L2" s="221"/>
      <c r="M2" s="221"/>
      <c r="N2" s="221"/>
      <c r="O2" s="221"/>
      <c r="P2" s="221"/>
    </row>
    <row r="3" spans="2:19" ht="23.25" customHeight="1" x14ac:dyDescent="0.25">
      <c r="B3" s="222" t="s">
        <v>4539</v>
      </c>
      <c r="C3" s="222"/>
      <c r="D3" s="222"/>
      <c r="E3" s="222"/>
      <c r="F3" s="222"/>
      <c r="G3" s="222"/>
      <c r="H3" s="222"/>
      <c r="I3" s="222"/>
      <c r="J3" s="222"/>
      <c r="K3" s="222"/>
      <c r="L3" s="222"/>
      <c r="M3" s="222"/>
      <c r="N3" s="222"/>
      <c r="O3" s="222"/>
      <c r="P3" s="222"/>
    </row>
    <row r="5" spans="2:19" ht="23.25" customHeight="1" x14ac:dyDescent="0.25">
      <c r="B5" s="147" t="s">
        <v>4540</v>
      </c>
      <c r="C5" s="148" t="s">
        <v>4541</v>
      </c>
      <c r="D5" s="149" t="s">
        <v>4</v>
      </c>
      <c r="E5" s="147" t="s">
        <v>4542</v>
      </c>
      <c r="F5" s="150" t="s">
        <v>4543</v>
      </c>
      <c r="G5" s="150" t="s">
        <v>4544</v>
      </c>
      <c r="H5" s="150" t="s">
        <v>4545</v>
      </c>
      <c r="I5" s="150" t="s">
        <v>4546</v>
      </c>
      <c r="J5" s="151" t="s">
        <v>77</v>
      </c>
      <c r="K5" s="152" t="s">
        <v>4547</v>
      </c>
      <c r="L5" s="153" t="s">
        <v>218</v>
      </c>
      <c r="M5" s="154" t="s">
        <v>206</v>
      </c>
      <c r="N5" s="155" t="s">
        <v>172</v>
      </c>
      <c r="O5" s="156" t="s">
        <v>4548</v>
      </c>
      <c r="P5" s="157" t="s">
        <v>4549</v>
      </c>
      <c r="Q5" s="158" t="s">
        <v>4550</v>
      </c>
      <c r="R5" s="158" t="s">
        <v>4551</v>
      </c>
      <c r="S5" s="158" t="s">
        <v>4552</v>
      </c>
    </row>
    <row r="6" spans="2:19" ht="23.25" customHeight="1" x14ac:dyDescent="0.25">
      <c r="B6" s="159">
        <v>1</v>
      </c>
      <c r="C6" s="160" t="str">
        <f>IFERROR(INDEX($Q$6:$Q$505,MATCH(1,$S$6:$S$505,0)),"")</f>
        <v>Prof. Dr. Meltem Gülhan HALİL</v>
      </c>
      <c r="D6" s="161">
        <f>IF(C6="","",COUNTIFS(Başvuru!$C:$C,C6,Başvuru!$A:$A,"&lt;&gt;"&amp;"",Başvuru!$F:$F,"&lt;&gt;"&amp;""))</f>
        <v>18</v>
      </c>
      <c r="E6" s="159" t="str">
        <f>IF(C6="","-",IF(D6&gt;0,TEXT(D6/(COUNTIFS(Başvuru!$A:$A,"&lt;&gt;",Başvuru!$F:$F,"&lt;&gt;")-1)*100,"0.0")&amp;"%","-"))</f>
        <v>02%</v>
      </c>
      <c r="F6" s="162">
        <f>IF(C6="","",COUNTIFS(Başvuru!$C:$C,C6,Başvuru!$G:$G,"Bireysel Araştırma",Başvuru!$A:$A,"&lt;&gt;"&amp;"",Başvuru!$F:$F,"&lt;&gt;"&amp;""))</f>
        <v>16</v>
      </c>
      <c r="G6" s="162">
        <f>IF(C6="","",COUNTIFS(Başvuru!$C:$C,C6,Başvuru!$G:$G,"Uzmanlık Tezi",Başvuru!$A:$A,"&lt;&gt;"&amp;"",Başvuru!$F:$F,"&lt;&gt;"&amp;""))</f>
        <v>1</v>
      </c>
      <c r="H6" s="162">
        <f>IF(C6="","",COUNTIFS(Başvuru!$C:$C,C6,Başvuru!$G:$G,"Doktora Tezi",Başvuru!$A:$A,"&lt;&gt;"&amp;"",Başvuru!$F:$F,"&lt;&gt;"&amp;""))</f>
        <v>1</v>
      </c>
      <c r="I6" s="162">
        <f>IF(C6="","",COUNTIFS(Başvuru!$C:$C,C6,Başvuru!$G:$G,"Yüksek Lisans Tezi",Başvuru!$A:$A,"&lt;&gt;"&amp;"",Başvuru!$F:$F,"&lt;&gt;"&amp;""))</f>
        <v>0</v>
      </c>
      <c r="J6" s="163">
        <f>IF(C6="","",COUNTIFS(Başvuru!$C:$C,C6,Başvuru!$L:$L,"ONAY",Başvuru!$A:$A,"&lt;&gt;"&amp;"",Başvuru!$F:$F,"&lt;&gt;"&amp;""))</f>
        <v>7</v>
      </c>
      <c r="K6" s="164">
        <f>IF(C6="","",COUNTIFS(Başvuru!$C:$C,C6,Başvuru!$L:$L,"DÜZELTME",Başvuru!$A:$A,"&lt;&gt;"&amp;"",Başvuru!$F:$F,"&lt;&gt;"&amp;""))</f>
        <v>4</v>
      </c>
      <c r="L6" s="165">
        <f>IF(C6="","",COUNTIFS(Başvuru!$C:$C,C6,Başvuru!$L:$L,"KAEK",Başvuru!$A:$A,"&lt;&gt;"&amp;"",Başvuru!$F:$F,"&lt;&gt;"&amp;""))</f>
        <v>0</v>
      </c>
      <c r="M6" s="166">
        <f>IF(C6="","",COUNTIFS(Başvuru!$C:$C,C6,Başvuru!$L:$L,"GÖRÜŞ",Başvuru!$A:$A,"&lt;&gt;"&amp;"",Başvuru!$F:$F,"&lt;&gt;"&amp;""))</f>
        <v>4</v>
      </c>
      <c r="N6" s="167">
        <f>IF(C6="","",COUNTIFS(Başvuru!$C:$C,C6,Başvuru!$L:$L,"RET",Başvuru!$A:$A,"&lt;&gt;"&amp;"",Başvuru!$F:$F,"&lt;&gt;"&amp;""))</f>
        <v>2</v>
      </c>
      <c r="O6" s="168">
        <f>IF(C6="","",COUNTIFS(Başvuru!$C:$C,C6,Başvuru!$L:$L,"KAPSAM DIŞI",Başvuru!$A:$A,"&lt;&gt;"&amp;"",Başvuru!$F:$F,"&lt;&gt;"&amp;""))</f>
        <v>0</v>
      </c>
      <c r="P6" s="169">
        <f>IF(C6="","",COUNTIFS(Başvuru!$C:$C,C6,Başvuru!$L:$L,"GERİ ÇEKİLDİ",Başvuru!$A:$A,"&lt;&gt;"&amp;"",Başvuru!$F:$F,"&lt;&gt;"&amp;""))</f>
        <v>0</v>
      </c>
      <c r="Q6" s="170" t="str">
        <f>IFERROR(INDEX(Başvuru!$C$2:$C$1851,MATCH(1,Başvuru!$AB$2:$AB$1851,0)),"")</f>
        <v>Dr. Vet. Hek. Özgür Doğuş EROL DUYAR</v>
      </c>
      <c r="R6" s="171">
        <f>IF(Q6="","",COUNTIFS(Başvuru!$C:$C,Q6,Başvuru!$A:$A,"&lt;&gt;"&amp;"",Başvuru!$F:$F,"&lt;&gt;"&amp;""))</f>
        <v>1</v>
      </c>
      <c r="S6" s="171">
        <f>IF(R6="","",RANK(R6,$R$6:$R$505,0)+COUNTIF($R$6:R6,R6)-1)</f>
        <v>157</v>
      </c>
    </row>
    <row r="7" spans="2:19" ht="23.25" customHeight="1" x14ac:dyDescent="0.25">
      <c r="B7" s="159">
        <v>2</v>
      </c>
      <c r="C7" s="160" t="str">
        <f>IFERROR(INDEX($Q$6:$Q$505,MATCH(2,$S$6:$S$505,0)),"")</f>
        <v>Prof. Dr. Deniz ÇAĞDAŞ AYVAZ</v>
      </c>
      <c r="D7" s="161">
        <f>IF(C7="","",COUNTIFS(Başvuru!$C:$C,C7,Başvuru!$A:$A,"&lt;&gt;"&amp;"",Başvuru!$F:$F,"&lt;&gt;"&amp;""))</f>
        <v>15</v>
      </c>
      <c r="E7" s="159" t="str">
        <f>IF(C7="","-",IF(D7&gt;0,TEXT(D7/(COUNTIFS(Başvuru!$A:$A,"&lt;&gt;",Başvuru!$F:$F,"&lt;&gt;")-1)*100,"0.0")&amp;"%","-"))</f>
        <v>02%</v>
      </c>
      <c r="F7" s="162">
        <f>IF(C7="","",COUNTIFS(Başvuru!$C:$C,C7,Başvuru!$G:$G,"Bireysel Araştırma",Başvuru!$A:$A,"&lt;&gt;"&amp;"",Başvuru!$F:$F,"&lt;&gt;"&amp;""))</f>
        <v>14</v>
      </c>
      <c r="G7" s="162">
        <f>IF(C7="","",COUNTIFS(Başvuru!$C:$C,C7,Başvuru!$G:$G,"Uzmanlık Tezi",Başvuru!$A:$A,"&lt;&gt;"&amp;"",Başvuru!$F:$F,"&lt;&gt;"&amp;""))</f>
        <v>0</v>
      </c>
      <c r="H7" s="162">
        <f>IF(C7="","",COUNTIFS(Başvuru!$C:$C,C7,Başvuru!$G:$G,"Doktora Tezi",Başvuru!$A:$A,"&lt;&gt;"&amp;"",Başvuru!$F:$F,"&lt;&gt;"&amp;""))</f>
        <v>0</v>
      </c>
      <c r="I7" s="162">
        <f>IF(C7="","",COUNTIFS(Başvuru!$C:$C,C7,Başvuru!$G:$G,"Yüksek Lisans Tezi",Başvuru!$A:$A,"&lt;&gt;"&amp;"",Başvuru!$F:$F,"&lt;&gt;"&amp;""))</f>
        <v>1</v>
      </c>
      <c r="J7" s="163">
        <f>IF(C7="","",COUNTIFS(Başvuru!$C:$C,C7,Başvuru!$L:$L,"ONAY",Başvuru!$A:$A,"&lt;&gt;"&amp;"",Başvuru!$F:$F,"&lt;&gt;"&amp;""))</f>
        <v>7</v>
      </c>
      <c r="K7" s="164">
        <f>IF(C7="","",COUNTIFS(Başvuru!$C:$C,C7,Başvuru!$L:$L,"DÜZELTME",Başvuru!$A:$A,"&lt;&gt;"&amp;"",Başvuru!$F:$F,"&lt;&gt;"&amp;""))</f>
        <v>4</v>
      </c>
      <c r="L7" s="165">
        <f>IF(C7="","",COUNTIFS(Başvuru!$C:$C,C7,Başvuru!$L:$L,"KAEK",Başvuru!$A:$A,"&lt;&gt;"&amp;"",Başvuru!$F:$F,"&lt;&gt;"&amp;""))</f>
        <v>0</v>
      </c>
      <c r="M7" s="166">
        <f>IF(C7="","",COUNTIFS(Başvuru!$C:$C,C7,Başvuru!$L:$L,"GÖRÜŞ",Başvuru!$A:$A,"&lt;&gt;"&amp;"",Başvuru!$F:$F,"&lt;&gt;"&amp;""))</f>
        <v>0</v>
      </c>
      <c r="N7" s="167">
        <f>IF(C7="","",COUNTIFS(Başvuru!$C:$C,C7,Başvuru!$L:$L,"RET",Başvuru!$A:$A,"&lt;&gt;"&amp;"",Başvuru!$F:$F,"&lt;&gt;"&amp;""))</f>
        <v>0</v>
      </c>
      <c r="O7" s="168">
        <f>IF(C7="","",COUNTIFS(Başvuru!$C:$C,C7,Başvuru!$L:$L,"KAPSAM DIŞI",Başvuru!$A:$A,"&lt;&gt;"&amp;"",Başvuru!$F:$F,"&lt;&gt;"&amp;""))</f>
        <v>0</v>
      </c>
      <c r="P7" s="169">
        <f>IF(C7="","",COUNTIFS(Başvuru!$C:$C,C7,Başvuru!$L:$L,"GERİ ÇEKİLDİ",Başvuru!$A:$A,"&lt;&gt;"&amp;"",Başvuru!$F:$F,"&lt;&gt;"&amp;""))</f>
        <v>0</v>
      </c>
      <c r="Q7" s="170" t="str">
        <f>IFERROR(INDEX(Başvuru!$C$2:$C$1851,MATCH(2,Başvuru!$AB$2:$AB$1851,0)),"")</f>
        <v>Prof. Dr. Esra BİRBEN</v>
      </c>
      <c r="R7" s="171">
        <f>IF(Q7="","",COUNTIFS(Başvuru!$C:$C,Q7,Başvuru!$A:$A,"&lt;&gt;"&amp;"",Başvuru!$F:$F,"&lt;&gt;"&amp;""))</f>
        <v>1</v>
      </c>
      <c r="S7" s="171">
        <f>IF(R7="","",RANK(R7,$R$6:$R$505,0)+COUNTIF($R$6:R7,R7)-1)</f>
        <v>158</v>
      </c>
    </row>
    <row r="8" spans="2:19" ht="23.25" customHeight="1" x14ac:dyDescent="0.25">
      <c r="B8" s="159">
        <v>3</v>
      </c>
      <c r="C8" s="160" t="str">
        <f>IFERROR(INDEX($Q$6:$Q$505,MATCH(3,$S$6:$S$505,0)),"")</f>
        <v>Prof. Dr. Taylan KAV</v>
      </c>
      <c r="D8" s="161">
        <f>IF(C8="","",COUNTIFS(Başvuru!$C:$C,C8,Başvuru!$A:$A,"&lt;&gt;"&amp;"",Başvuru!$F:$F,"&lt;&gt;"&amp;""))</f>
        <v>13</v>
      </c>
      <c r="E8" s="159" t="str">
        <f>IF(C8="","-",IF(D8&gt;0,TEXT(D8/(COUNTIFS(Başvuru!$A:$A,"&lt;&gt;",Başvuru!$F:$F,"&lt;&gt;")-1)*100,"0.0")&amp;"%","-"))</f>
        <v>02%</v>
      </c>
      <c r="F8" s="162">
        <f>IF(C8="","",COUNTIFS(Başvuru!$C:$C,C8,Başvuru!$G:$G,"Bireysel Araştırma",Başvuru!$A:$A,"&lt;&gt;"&amp;"",Başvuru!$F:$F,"&lt;&gt;"&amp;""))</f>
        <v>12</v>
      </c>
      <c r="G8" s="162">
        <f>IF(C8="","",COUNTIFS(Başvuru!$C:$C,C8,Başvuru!$G:$G,"Uzmanlık Tezi",Başvuru!$A:$A,"&lt;&gt;"&amp;"",Başvuru!$F:$F,"&lt;&gt;"&amp;""))</f>
        <v>1</v>
      </c>
      <c r="H8" s="162">
        <f>IF(C8="","",COUNTIFS(Başvuru!$C:$C,C8,Başvuru!$G:$G,"Doktora Tezi",Başvuru!$A:$A,"&lt;&gt;"&amp;"",Başvuru!$F:$F,"&lt;&gt;"&amp;""))</f>
        <v>0</v>
      </c>
      <c r="I8" s="162">
        <f>IF(C8="","",COUNTIFS(Başvuru!$C:$C,C8,Başvuru!$G:$G,"Yüksek Lisans Tezi",Başvuru!$A:$A,"&lt;&gt;"&amp;"",Başvuru!$F:$F,"&lt;&gt;"&amp;""))</f>
        <v>0</v>
      </c>
      <c r="J8" s="163">
        <f>IF(C8="","",COUNTIFS(Başvuru!$C:$C,C8,Başvuru!$L:$L,"ONAY",Başvuru!$A:$A,"&lt;&gt;"&amp;"",Başvuru!$F:$F,"&lt;&gt;"&amp;""))</f>
        <v>5</v>
      </c>
      <c r="K8" s="164">
        <f>IF(C8="","",COUNTIFS(Başvuru!$C:$C,C8,Başvuru!$L:$L,"DÜZELTME",Başvuru!$A:$A,"&lt;&gt;"&amp;"",Başvuru!$F:$F,"&lt;&gt;"&amp;""))</f>
        <v>4</v>
      </c>
      <c r="L8" s="165">
        <f>IF(C8="","",COUNTIFS(Başvuru!$C:$C,C8,Başvuru!$L:$L,"KAEK",Başvuru!$A:$A,"&lt;&gt;"&amp;"",Başvuru!$F:$F,"&lt;&gt;"&amp;""))</f>
        <v>0</v>
      </c>
      <c r="M8" s="166">
        <f>IF(C8="","",COUNTIFS(Başvuru!$C:$C,C8,Başvuru!$L:$L,"GÖRÜŞ",Başvuru!$A:$A,"&lt;&gt;"&amp;"",Başvuru!$F:$F,"&lt;&gt;"&amp;""))</f>
        <v>0</v>
      </c>
      <c r="N8" s="167">
        <f>IF(C8="","",COUNTIFS(Başvuru!$C:$C,C8,Başvuru!$L:$L,"RET",Başvuru!$A:$A,"&lt;&gt;"&amp;"",Başvuru!$F:$F,"&lt;&gt;"&amp;""))</f>
        <v>0</v>
      </c>
      <c r="O8" s="168">
        <f>IF(C8="","",COUNTIFS(Başvuru!$C:$C,C8,Başvuru!$L:$L,"KAPSAM DIŞI",Başvuru!$A:$A,"&lt;&gt;"&amp;"",Başvuru!$F:$F,"&lt;&gt;"&amp;""))</f>
        <v>0</v>
      </c>
      <c r="P8" s="169">
        <f>IF(C8="","",COUNTIFS(Başvuru!$C:$C,C8,Başvuru!$L:$L,"GERİ ÇEKİLDİ",Başvuru!$A:$A,"&lt;&gt;"&amp;"",Başvuru!$F:$F,"&lt;&gt;"&amp;""))</f>
        <v>0</v>
      </c>
      <c r="Q8" s="170" t="str">
        <f>IFERROR(INDEX(Başvuru!$C$2:$C$1851,MATCH(3,Başvuru!$AB$2:$AB$1851,0)),"")</f>
        <v>Doç. Dr. Gamze DURHAN</v>
      </c>
      <c r="R8" s="171">
        <f>IF(Q8="","",COUNTIFS(Başvuru!$C:$C,Q8,Başvuru!$A:$A,"&lt;&gt;"&amp;"",Başvuru!$F:$F,"&lt;&gt;"&amp;""))</f>
        <v>4</v>
      </c>
      <c r="S8" s="171">
        <f>IF(R8="","",RANK(R8,$R$6:$R$505,0)+COUNTIF($R$6:R8,R8)-1)</f>
        <v>30</v>
      </c>
    </row>
    <row r="9" spans="2:19" ht="23.25" customHeight="1" x14ac:dyDescent="0.25">
      <c r="B9" s="159">
        <v>4</v>
      </c>
      <c r="C9" s="160" t="str">
        <f>IFERROR(INDEX($Q$6:$Q$505,MATCH(4,$S$6:$S$505,0)),"")</f>
        <v>Doç. Dr. Mert EŞME</v>
      </c>
      <c r="D9" s="161">
        <f>IF(C9="","",COUNTIFS(Başvuru!$C:$C,C9,Başvuru!$A:$A,"&lt;&gt;"&amp;"",Başvuru!$F:$F,"&lt;&gt;"&amp;""))</f>
        <v>11</v>
      </c>
      <c r="E9" s="159" t="str">
        <f>IF(C9="","-",IF(D9&gt;0,TEXT(D9/(COUNTIFS(Başvuru!$A:$A,"&lt;&gt;",Başvuru!$F:$F,"&lt;&gt;")-1)*100,"0.0")&amp;"%","-"))</f>
        <v>01%</v>
      </c>
      <c r="F9" s="162">
        <f>IF(C9="","",COUNTIFS(Başvuru!$C:$C,C9,Başvuru!$G:$G,"Bireysel Araştırma",Başvuru!$A:$A,"&lt;&gt;"&amp;"",Başvuru!$F:$F,"&lt;&gt;"&amp;""))</f>
        <v>9</v>
      </c>
      <c r="G9" s="162">
        <f>IF(C9="","",COUNTIFS(Başvuru!$C:$C,C9,Başvuru!$G:$G,"Uzmanlık Tezi",Başvuru!$A:$A,"&lt;&gt;"&amp;"",Başvuru!$F:$F,"&lt;&gt;"&amp;""))</f>
        <v>2</v>
      </c>
      <c r="H9" s="162">
        <f>IF(C9="","",COUNTIFS(Başvuru!$C:$C,C9,Başvuru!$G:$G,"Doktora Tezi",Başvuru!$A:$A,"&lt;&gt;"&amp;"",Başvuru!$F:$F,"&lt;&gt;"&amp;""))</f>
        <v>0</v>
      </c>
      <c r="I9" s="162">
        <f>IF(C9="","",COUNTIFS(Başvuru!$C:$C,C9,Başvuru!$G:$G,"Yüksek Lisans Tezi",Başvuru!$A:$A,"&lt;&gt;"&amp;"",Başvuru!$F:$F,"&lt;&gt;"&amp;""))</f>
        <v>0</v>
      </c>
      <c r="J9" s="163">
        <f>IF(C9="","",COUNTIFS(Başvuru!$C:$C,C9,Başvuru!$L:$L,"ONAY",Başvuru!$A:$A,"&lt;&gt;"&amp;"",Başvuru!$F:$F,"&lt;&gt;"&amp;""))</f>
        <v>5</v>
      </c>
      <c r="K9" s="164">
        <f>IF(C9="","",COUNTIFS(Başvuru!$C:$C,C9,Başvuru!$L:$L,"DÜZELTME",Başvuru!$A:$A,"&lt;&gt;"&amp;"",Başvuru!$F:$F,"&lt;&gt;"&amp;""))</f>
        <v>2</v>
      </c>
      <c r="L9" s="165">
        <f>IF(C9="","",COUNTIFS(Başvuru!$C:$C,C9,Başvuru!$L:$L,"KAEK",Başvuru!$A:$A,"&lt;&gt;"&amp;"",Başvuru!$F:$F,"&lt;&gt;"&amp;""))</f>
        <v>0</v>
      </c>
      <c r="M9" s="166">
        <f>IF(C9="","",COUNTIFS(Başvuru!$C:$C,C9,Başvuru!$L:$L,"GÖRÜŞ",Başvuru!$A:$A,"&lt;&gt;"&amp;"",Başvuru!$F:$F,"&lt;&gt;"&amp;""))</f>
        <v>2</v>
      </c>
      <c r="N9" s="167">
        <f>IF(C9="","",COUNTIFS(Başvuru!$C:$C,C9,Başvuru!$L:$L,"RET",Başvuru!$A:$A,"&lt;&gt;"&amp;"",Başvuru!$F:$F,"&lt;&gt;"&amp;""))</f>
        <v>0</v>
      </c>
      <c r="O9" s="168">
        <f>IF(C9="","",COUNTIFS(Başvuru!$C:$C,C9,Başvuru!$L:$L,"KAPSAM DIŞI",Başvuru!$A:$A,"&lt;&gt;"&amp;"",Başvuru!$F:$F,"&lt;&gt;"&amp;""))</f>
        <v>1</v>
      </c>
      <c r="P9" s="169">
        <f>IF(C9="","",COUNTIFS(Başvuru!$C:$C,C9,Başvuru!$L:$L,"GERİ ÇEKİLDİ",Başvuru!$A:$A,"&lt;&gt;"&amp;"",Başvuru!$F:$F,"&lt;&gt;"&amp;""))</f>
        <v>0</v>
      </c>
      <c r="Q9" s="170" t="str">
        <f>IFERROR(INDEX(Başvuru!$C$2:$C$1851,MATCH(4,Başvuru!$AB$2:$AB$1851,0)),"")</f>
        <v>Prof. Dr. Bayram ŞAHİN</v>
      </c>
      <c r="R9" s="171">
        <f>IF(Q9="","",COUNTIFS(Başvuru!$C:$C,Q9,Başvuru!$A:$A,"&lt;&gt;"&amp;"",Başvuru!$F:$F,"&lt;&gt;"&amp;""))</f>
        <v>2</v>
      </c>
      <c r="S9" s="171">
        <f>IF(R9="","",RANK(R9,$R$6:$R$505,0)+COUNTIF($R$6:R9,R9)-1)</f>
        <v>83</v>
      </c>
    </row>
    <row r="10" spans="2:19" ht="23.25" customHeight="1" x14ac:dyDescent="0.25">
      <c r="B10" s="159">
        <v>5</v>
      </c>
      <c r="C10" s="160" t="str">
        <f>IFERROR(INDEX($Q$6:$Q$505,MATCH(5,$S$6:$S$505,0)),"")</f>
        <v>Prof. Dr. Yasemin ÖZSÜREKCİ</v>
      </c>
      <c r="D10" s="161">
        <f>IF(C10="","",COUNTIFS(Başvuru!$C:$C,C10,Başvuru!$A:$A,"&lt;&gt;"&amp;"",Başvuru!$F:$F,"&lt;&gt;"&amp;""))</f>
        <v>9</v>
      </c>
      <c r="E10" s="159" t="str">
        <f>IF(C10="","-",IF(D10&gt;0,TEXT(D10/(COUNTIFS(Başvuru!$A:$A,"&lt;&gt;",Başvuru!$F:$F,"&lt;&gt;")-1)*100,"0.0")&amp;"%","-"))</f>
        <v>01%</v>
      </c>
      <c r="F10" s="162">
        <f>IF(C10="","",COUNTIFS(Başvuru!$C:$C,C10,Başvuru!$G:$G,"Bireysel Araştırma",Başvuru!$A:$A,"&lt;&gt;"&amp;"",Başvuru!$F:$F,"&lt;&gt;"&amp;""))</f>
        <v>8</v>
      </c>
      <c r="G10" s="162">
        <f>IF(C10="","",COUNTIFS(Başvuru!$C:$C,C10,Başvuru!$G:$G,"Uzmanlık Tezi",Başvuru!$A:$A,"&lt;&gt;"&amp;"",Başvuru!$F:$F,"&lt;&gt;"&amp;""))</f>
        <v>1</v>
      </c>
      <c r="H10" s="162">
        <f>IF(C10="","",COUNTIFS(Başvuru!$C:$C,C10,Başvuru!$G:$G,"Doktora Tezi",Başvuru!$A:$A,"&lt;&gt;"&amp;"",Başvuru!$F:$F,"&lt;&gt;"&amp;""))</f>
        <v>0</v>
      </c>
      <c r="I10" s="162">
        <f>IF(C10="","",COUNTIFS(Başvuru!$C:$C,C10,Başvuru!$G:$G,"Yüksek Lisans Tezi",Başvuru!$A:$A,"&lt;&gt;"&amp;"",Başvuru!$F:$F,"&lt;&gt;"&amp;""))</f>
        <v>0</v>
      </c>
      <c r="J10" s="163">
        <f>IF(C10="","",COUNTIFS(Başvuru!$C:$C,C10,Başvuru!$L:$L,"ONAY",Başvuru!$A:$A,"&lt;&gt;"&amp;"",Başvuru!$F:$F,"&lt;&gt;"&amp;""))</f>
        <v>4</v>
      </c>
      <c r="K10" s="164">
        <f>IF(C10="","",COUNTIFS(Başvuru!$C:$C,C10,Başvuru!$L:$L,"DÜZELTME",Başvuru!$A:$A,"&lt;&gt;"&amp;"",Başvuru!$F:$F,"&lt;&gt;"&amp;""))</f>
        <v>3</v>
      </c>
      <c r="L10" s="165">
        <f>IF(C10="","",COUNTIFS(Başvuru!$C:$C,C10,Başvuru!$L:$L,"KAEK",Başvuru!$A:$A,"&lt;&gt;"&amp;"",Başvuru!$F:$F,"&lt;&gt;"&amp;""))</f>
        <v>0</v>
      </c>
      <c r="M10" s="166">
        <f>IF(C10="","",COUNTIFS(Başvuru!$C:$C,C10,Başvuru!$L:$L,"GÖRÜŞ",Başvuru!$A:$A,"&lt;&gt;"&amp;"",Başvuru!$F:$F,"&lt;&gt;"&amp;""))</f>
        <v>1</v>
      </c>
      <c r="N10" s="167">
        <f>IF(C10="","",COUNTIFS(Başvuru!$C:$C,C10,Başvuru!$L:$L,"RET",Başvuru!$A:$A,"&lt;&gt;"&amp;"",Başvuru!$F:$F,"&lt;&gt;"&amp;""))</f>
        <v>1</v>
      </c>
      <c r="O10" s="168">
        <f>IF(C10="","",COUNTIFS(Başvuru!$C:$C,C10,Başvuru!$L:$L,"KAPSAM DIŞI",Başvuru!$A:$A,"&lt;&gt;"&amp;"",Başvuru!$F:$F,"&lt;&gt;"&amp;""))</f>
        <v>0</v>
      </c>
      <c r="P10" s="169">
        <f>IF(C10="","",COUNTIFS(Başvuru!$C:$C,C10,Başvuru!$L:$L,"GERİ ÇEKİLDİ",Başvuru!$A:$A,"&lt;&gt;"&amp;"",Başvuru!$F:$F,"&lt;&gt;"&amp;""))</f>
        <v>0</v>
      </c>
      <c r="Q10" s="170" t="str">
        <f>IFERROR(INDEX(Başvuru!$C$2:$C$1851,MATCH(5,Başvuru!$AB$2:$AB$1851,0)),"")</f>
        <v>Prof. Dr. Ömür ÇELİKBIÇAK</v>
      </c>
      <c r="R10" s="171">
        <f>IF(Q10="","",COUNTIFS(Başvuru!$C:$C,Q10,Başvuru!$A:$A,"&lt;&gt;"&amp;"",Başvuru!$F:$F,"&lt;&gt;"&amp;""))</f>
        <v>1</v>
      </c>
      <c r="S10" s="171">
        <f>IF(R10="","",RANK(R10,$R$6:$R$505,0)+COUNTIF($R$6:R10,R10)-1)</f>
        <v>159</v>
      </c>
    </row>
    <row r="11" spans="2:19" ht="23.25" customHeight="1" x14ac:dyDescent="0.25">
      <c r="B11" s="159">
        <v>6</v>
      </c>
      <c r="C11" s="160" t="str">
        <f>IFERROR(INDEX($Q$6:$Q$505,MATCH(6,$S$6:$S$505,0)),"")</f>
        <v>Prof. Dr. Salih Kutay DEMİRKAN</v>
      </c>
      <c r="D11" s="161">
        <f>IF(C11="","",COUNTIFS(Başvuru!$C:$C,C11,Başvuru!$A:$A,"&lt;&gt;"&amp;"",Başvuru!$F:$F,"&lt;&gt;"&amp;""))</f>
        <v>9</v>
      </c>
      <c r="E11" s="159" t="str">
        <f>IF(C11="","-",IF(D11&gt;0,TEXT(D11/(COUNTIFS(Başvuru!$A:$A,"&lt;&gt;",Başvuru!$F:$F,"&lt;&gt;")-1)*100,"0.0")&amp;"%","-"))</f>
        <v>01%</v>
      </c>
      <c r="F11" s="162">
        <f>IF(C11="","",COUNTIFS(Başvuru!$C:$C,C11,Başvuru!$G:$G,"Bireysel Araştırma",Başvuru!$A:$A,"&lt;&gt;"&amp;"",Başvuru!$F:$F,"&lt;&gt;"&amp;""))</f>
        <v>4</v>
      </c>
      <c r="G11" s="162">
        <f>IF(C11="","",COUNTIFS(Başvuru!$C:$C,C11,Başvuru!$G:$G,"Uzmanlık Tezi",Başvuru!$A:$A,"&lt;&gt;"&amp;"",Başvuru!$F:$F,"&lt;&gt;"&amp;""))</f>
        <v>2</v>
      </c>
      <c r="H11" s="162">
        <f>IF(C11="","",COUNTIFS(Başvuru!$C:$C,C11,Başvuru!$G:$G,"Doktora Tezi",Başvuru!$A:$A,"&lt;&gt;"&amp;"",Başvuru!$F:$F,"&lt;&gt;"&amp;""))</f>
        <v>3</v>
      </c>
      <c r="I11" s="162">
        <f>IF(C11="","",COUNTIFS(Başvuru!$C:$C,C11,Başvuru!$G:$G,"Yüksek Lisans Tezi",Başvuru!$A:$A,"&lt;&gt;"&amp;"",Başvuru!$F:$F,"&lt;&gt;"&amp;""))</f>
        <v>0</v>
      </c>
      <c r="J11" s="163">
        <f>IF(C11="","",COUNTIFS(Başvuru!$C:$C,C11,Başvuru!$L:$L,"ONAY",Başvuru!$A:$A,"&lt;&gt;"&amp;"",Başvuru!$F:$F,"&lt;&gt;"&amp;""))</f>
        <v>3</v>
      </c>
      <c r="K11" s="164">
        <f>IF(C11="","",COUNTIFS(Başvuru!$C:$C,C11,Başvuru!$L:$L,"DÜZELTME",Başvuru!$A:$A,"&lt;&gt;"&amp;"",Başvuru!$F:$F,"&lt;&gt;"&amp;""))</f>
        <v>4</v>
      </c>
      <c r="L11" s="165">
        <f>IF(C11="","",COUNTIFS(Başvuru!$C:$C,C11,Başvuru!$L:$L,"KAEK",Başvuru!$A:$A,"&lt;&gt;"&amp;"",Başvuru!$F:$F,"&lt;&gt;"&amp;""))</f>
        <v>0</v>
      </c>
      <c r="M11" s="166">
        <f>IF(C11="","",COUNTIFS(Başvuru!$C:$C,C11,Başvuru!$L:$L,"GÖRÜŞ",Başvuru!$A:$A,"&lt;&gt;"&amp;"",Başvuru!$F:$F,"&lt;&gt;"&amp;""))</f>
        <v>1</v>
      </c>
      <c r="N11" s="167">
        <f>IF(C11="","",COUNTIFS(Başvuru!$C:$C,C11,Başvuru!$L:$L,"RET",Başvuru!$A:$A,"&lt;&gt;"&amp;"",Başvuru!$F:$F,"&lt;&gt;"&amp;""))</f>
        <v>0</v>
      </c>
      <c r="O11" s="168">
        <f>IF(C11="","",COUNTIFS(Başvuru!$C:$C,C11,Başvuru!$L:$L,"KAPSAM DIŞI",Başvuru!$A:$A,"&lt;&gt;"&amp;"",Başvuru!$F:$F,"&lt;&gt;"&amp;""))</f>
        <v>0</v>
      </c>
      <c r="P11" s="169">
        <f>IF(C11="","",COUNTIFS(Başvuru!$C:$C,C11,Başvuru!$L:$L,"GERİ ÇEKİLDİ",Başvuru!$A:$A,"&lt;&gt;"&amp;"",Başvuru!$F:$F,"&lt;&gt;"&amp;""))</f>
        <v>0</v>
      </c>
      <c r="Q11" s="170" t="str">
        <f>IFERROR(INDEX(Başvuru!$C$2:$C$1851,MATCH(6,Başvuru!$AB$2:$AB$1851,0)),"")</f>
        <v>Prof. Dr. Meltem Gülhan HALİL</v>
      </c>
      <c r="R11" s="171">
        <f>IF(Q11="","",COUNTIFS(Başvuru!$C:$C,Q11,Başvuru!$A:$A,"&lt;&gt;"&amp;"",Başvuru!$F:$F,"&lt;&gt;"&amp;""))</f>
        <v>18</v>
      </c>
      <c r="S11" s="171">
        <f>IF(R11="","",RANK(R11,$R$6:$R$505,0)+COUNTIF($R$6:R11,R11)-1)</f>
        <v>1</v>
      </c>
    </row>
    <row r="12" spans="2:19" ht="23.25" customHeight="1" x14ac:dyDescent="0.25">
      <c r="B12" s="159">
        <v>7</v>
      </c>
      <c r="C12" s="160" t="str">
        <f>IFERROR(INDEX($Q$6:$Q$505,MATCH(7,$S$6:$S$505,0)),"")</f>
        <v>Dr. Öğr. Üyesi Figen BEZCİ AYGÜN</v>
      </c>
      <c r="D12" s="161">
        <f>IF(C12="","",COUNTIFS(Başvuru!$C:$C,C12,Başvuru!$A:$A,"&lt;&gt;"&amp;"",Başvuru!$F:$F,"&lt;&gt;"&amp;""))</f>
        <v>8</v>
      </c>
      <c r="E12" s="159" t="str">
        <f>IF(C12="","-",IF(D12&gt;0,TEXT(D12/(COUNTIFS(Başvuru!$A:$A,"&lt;&gt;",Başvuru!$F:$F,"&lt;&gt;")-1)*100,"0.0")&amp;"%","-"))</f>
        <v>01%</v>
      </c>
      <c r="F12" s="162">
        <f>IF(C12="","",COUNTIFS(Başvuru!$C:$C,C12,Başvuru!$G:$G,"Bireysel Araştırma",Başvuru!$A:$A,"&lt;&gt;"&amp;"",Başvuru!$F:$F,"&lt;&gt;"&amp;""))</f>
        <v>8</v>
      </c>
      <c r="G12" s="162">
        <f>IF(C12="","",COUNTIFS(Başvuru!$C:$C,C12,Başvuru!$G:$G,"Uzmanlık Tezi",Başvuru!$A:$A,"&lt;&gt;"&amp;"",Başvuru!$F:$F,"&lt;&gt;"&amp;""))</f>
        <v>0</v>
      </c>
      <c r="H12" s="162">
        <f>IF(C12="","",COUNTIFS(Başvuru!$C:$C,C12,Başvuru!$G:$G,"Doktora Tezi",Başvuru!$A:$A,"&lt;&gt;"&amp;"",Başvuru!$F:$F,"&lt;&gt;"&amp;""))</f>
        <v>0</v>
      </c>
      <c r="I12" s="162">
        <f>IF(C12="","",COUNTIFS(Başvuru!$C:$C,C12,Başvuru!$G:$G,"Yüksek Lisans Tezi",Başvuru!$A:$A,"&lt;&gt;"&amp;"",Başvuru!$F:$F,"&lt;&gt;"&amp;""))</f>
        <v>0</v>
      </c>
      <c r="J12" s="163">
        <f>IF(C12="","",COUNTIFS(Başvuru!$C:$C,C12,Başvuru!$L:$L,"ONAY",Başvuru!$A:$A,"&lt;&gt;"&amp;"",Başvuru!$F:$F,"&lt;&gt;"&amp;""))</f>
        <v>3</v>
      </c>
      <c r="K12" s="164">
        <f>IF(C12="","",COUNTIFS(Başvuru!$C:$C,C12,Başvuru!$L:$L,"DÜZELTME",Başvuru!$A:$A,"&lt;&gt;"&amp;"",Başvuru!$F:$F,"&lt;&gt;"&amp;""))</f>
        <v>1</v>
      </c>
      <c r="L12" s="165">
        <f>IF(C12="","",COUNTIFS(Başvuru!$C:$C,C12,Başvuru!$L:$L,"KAEK",Başvuru!$A:$A,"&lt;&gt;"&amp;"",Başvuru!$F:$F,"&lt;&gt;"&amp;""))</f>
        <v>0</v>
      </c>
      <c r="M12" s="166">
        <f>IF(C12="","",COUNTIFS(Başvuru!$C:$C,C12,Başvuru!$L:$L,"GÖRÜŞ",Başvuru!$A:$A,"&lt;&gt;"&amp;"",Başvuru!$F:$F,"&lt;&gt;"&amp;""))</f>
        <v>0</v>
      </c>
      <c r="N12" s="167">
        <f>IF(C12="","",COUNTIFS(Başvuru!$C:$C,C12,Başvuru!$L:$L,"RET",Başvuru!$A:$A,"&lt;&gt;"&amp;"",Başvuru!$F:$F,"&lt;&gt;"&amp;""))</f>
        <v>0</v>
      </c>
      <c r="O12" s="168">
        <f>IF(C12="","",COUNTIFS(Başvuru!$C:$C,C12,Başvuru!$L:$L,"KAPSAM DIŞI",Başvuru!$A:$A,"&lt;&gt;"&amp;"",Başvuru!$F:$F,"&lt;&gt;"&amp;""))</f>
        <v>0</v>
      </c>
      <c r="P12" s="169">
        <f>IF(C12="","",COUNTIFS(Başvuru!$C:$C,C12,Başvuru!$L:$L,"GERİ ÇEKİLDİ",Başvuru!$A:$A,"&lt;&gt;"&amp;"",Başvuru!$F:$F,"&lt;&gt;"&amp;""))</f>
        <v>0</v>
      </c>
      <c r="Q12" s="170" t="str">
        <f>IFERROR(INDEX(Başvuru!$C$2:$C$1851,MATCH(7,Başvuru!$AB$2:$AB$1851,0)),"")</f>
        <v>Doç. Dr. Ayhan EYMİRLİ</v>
      </c>
      <c r="R12" s="171">
        <f>IF(Q12="","",COUNTIFS(Başvuru!$C:$C,Q12,Başvuru!$A:$A,"&lt;&gt;"&amp;"",Başvuru!$F:$F,"&lt;&gt;"&amp;""))</f>
        <v>1</v>
      </c>
      <c r="S12" s="171">
        <f>IF(R12="","",RANK(R12,$R$6:$R$505,0)+COUNTIF($R$6:R12,R12)-1)</f>
        <v>160</v>
      </c>
    </row>
    <row r="13" spans="2:19" ht="23.25" customHeight="1" x14ac:dyDescent="0.25">
      <c r="B13" s="159">
        <v>8</v>
      </c>
      <c r="C13" s="160" t="str">
        <f>IFERROR(INDEX($Q$6:$Q$505,MATCH(8,$S$6:$S$505,0)),"")</f>
        <v>Dr. Öğr. Üyesi Gonca ÖZTEN DERE</v>
      </c>
      <c r="D13" s="161">
        <f>IF(C13="","",COUNTIFS(Başvuru!$C:$C,C13,Başvuru!$A:$A,"&lt;&gt;"&amp;"",Başvuru!$F:$F,"&lt;&gt;"&amp;""))</f>
        <v>8</v>
      </c>
      <c r="E13" s="159" t="str">
        <f>IF(C13="","-",IF(D13&gt;0,TEXT(D13/(COUNTIFS(Başvuru!$A:$A,"&lt;&gt;",Başvuru!$F:$F,"&lt;&gt;")-1)*100,"0.0")&amp;"%","-"))</f>
        <v>01%</v>
      </c>
      <c r="F13" s="162">
        <f>IF(C13="","",COUNTIFS(Başvuru!$C:$C,C13,Başvuru!$G:$G,"Bireysel Araştırma",Başvuru!$A:$A,"&lt;&gt;"&amp;"",Başvuru!$F:$F,"&lt;&gt;"&amp;""))</f>
        <v>8</v>
      </c>
      <c r="G13" s="162">
        <f>IF(C13="","",COUNTIFS(Başvuru!$C:$C,C13,Başvuru!$G:$G,"Uzmanlık Tezi",Başvuru!$A:$A,"&lt;&gt;"&amp;"",Başvuru!$F:$F,"&lt;&gt;"&amp;""))</f>
        <v>0</v>
      </c>
      <c r="H13" s="162">
        <f>IF(C13="","",COUNTIFS(Başvuru!$C:$C,C13,Başvuru!$G:$G,"Doktora Tezi",Başvuru!$A:$A,"&lt;&gt;"&amp;"",Başvuru!$F:$F,"&lt;&gt;"&amp;""))</f>
        <v>0</v>
      </c>
      <c r="I13" s="162">
        <f>IF(C13="","",COUNTIFS(Başvuru!$C:$C,C13,Başvuru!$G:$G,"Yüksek Lisans Tezi",Başvuru!$A:$A,"&lt;&gt;"&amp;"",Başvuru!$F:$F,"&lt;&gt;"&amp;""))</f>
        <v>0</v>
      </c>
      <c r="J13" s="163">
        <f>IF(C13="","",COUNTIFS(Başvuru!$C:$C,C13,Başvuru!$L:$L,"ONAY",Başvuru!$A:$A,"&lt;&gt;"&amp;"",Başvuru!$F:$F,"&lt;&gt;"&amp;""))</f>
        <v>5</v>
      </c>
      <c r="K13" s="164">
        <f>IF(C13="","",COUNTIFS(Başvuru!$C:$C,C13,Başvuru!$L:$L,"DÜZELTME",Başvuru!$A:$A,"&lt;&gt;"&amp;"",Başvuru!$F:$F,"&lt;&gt;"&amp;""))</f>
        <v>2</v>
      </c>
      <c r="L13" s="165">
        <f>IF(C13="","",COUNTIFS(Başvuru!$C:$C,C13,Başvuru!$L:$L,"KAEK",Başvuru!$A:$A,"&lt;&gt;"&amp;"",Başvuru!$F:$F,"&lt;&gt;"&amp;""))</f>
        <v>0</v>
      </c>
      <c r="M13" s="166">
        <f>IF(C13="","",COUNTIFS(Başvuru!$C:$C,C13,Başvuru!$L:$L,"GÖRÜŞ",Başvuru!$A:$A,"&lt;&gt;"&amp;"",Başvuru!$F:$F,"&lt;&gt;"&amp;""))</f>
        <v>0</v>
      </c>
      <c r="N13" s="167">
        <f>IF(C13="","",COUNTIFS(Başvuru!$C:$C,C13,Başvuru!$L:$L,"RET",Başvuru!$A:$A,"&lt;&gt;"&amp;"",Başvuru!$F:$F,"&lt;&gt;"&amp;""))</f>
        <v>1</v>
      </c>
      <c r="O13" s="168">
        <f>IF(C13="","",COUNTIFS(Başvuru!$C:$C,C13,Başvuru!$L:$L,"KAPSAM DIŞI",Başvuru!$A:$A,"&lt;&gt;"&amp;"",Başvuru!$F:$F,"&lt;&gt;"&amp;""))</f>
        <v>0</v>
      </c>
      <c r="P13" s="169">
        <f>IF(C13="","",COUNTIFS(Başvuru!$C:$C,C13,Başvuru!$L:$L,"GERİ ÇEKİLDİ",Başvuru!$A:$A,"&lt;&gt;"&amp;"",Başvuru!$F:$F,"&lt;&gt;"&amp;""))</f>
        <v>0</v>
      </c>
      <c r="Q13" s="170" t="str">
        <f>IFERROR(INDEX(Başvuru!$C$2:$C$1851,MATCH(8,Başvuru!$AB$2:$AB$1851,0)),"")</f>
        <v>Doç. Dr. Nursel ÇALIK BAŞARAN</v>
      </c>
      <c r="R13" s="171">
        <f>IF(Q13="","",COUNTIFS(Başvuru!$C:$C,Q13,Başvuru!$A:$A,"&lt;&gt;"&amp;"",Başvuru!$F:$F,"&lt;&gt;"&amp;""))</f>
        <v>2</v>
      </c>
      <c r="S13" s="171">
        <f>IF(R13="","",RANK(R13,$R$6:$R$505,0)+COUNTIF($R$6:R13,R13)-1)</f>
        <v>84</v>
      </c>
    </row>
    <row r="14" spans="2:19" ht="23.25" customHeight="1" x14ac:dyDescent="0.25">
      <c r="B14" s="159">
        <v>9</v>
      </c>
      <c r="C14" s="160" t="str">
        <f>IFERROR(INDEX($Q$6:$Q$505,MATCH(9,$S$6:$S$505,0)),"")</f>
        <v>Prof. Dr. Mehmet AYVAZ</v>
      </c>
      <c r="D14" s="161">
        <f>IF(C14="","",COUNTIFS(Başvuru!$C:$C,C14,Başvuru!$A:$A,"&lt;&gt;"&amp;"",Başvuru!$F:$F,"&lt;&gt;"&amp;""))</f>
        <v>8</v>
      </c>
      <c r="E14" s="159" t="str">
        <f>IF(C14="","-",IF(D14&gt;0,TEXT(D14/(COUNTIFS(Başvuru!$A:$A,"&lt;&gt;",Başvuru!$F:$F,"&lt;&gt;")-1)*100,"0.0")&amp;"%","-"))</f>
        <v>01%</v>
      </c>
      <c r="F14" s="162">
        <f>IF(C14="","",COUNTIFS(Başvuru!$C:$C,C14,Başvuru!$G:$G,"Bireysel Araştırma",Başvuru!$A:$A,"&lt;&gt;"&amp;"",Başvuru!$F:$F,"&lt;&gt;"&amp;""))</f>
        <v>8</v>
      </c>
      <c r="G14" s="162">
        <f>IF(C14="","",COUNTIFS(Başvuru!$C:$C,C14,Başvuru!$G:$G,"Uzmanlık Tezi",Başvuru!$A:$A,"&lt;&gt;"&amp;"",Başvuru!$F:$F,"&lt;&gt;"&amp;""))</f>
        <v>0</v>
      </c>
      <c r="H14" s="162">
        <f>IF(C14="","",COUNTIFS(Başvuru!$C:$C,C14,Başvuru!$G:$G,"Doktora Tezi",Başvuru!$A:$A,"&lt;&gt;"&amp;"",Başvuru!$F:$F,"&lt;&gt;"&amp;""))</f>
        <v>0</v>
      </c>
      <c r="I14" s="162">
        <f>IF(C14="","",COUNTIFS(Başvuru!$C:$C,C14,Başvuru!$G:$G,"Yüksek Lisans Tezi",Başvuru!$A:$A,"&lt;&gt;"&amp;"",Başvuru!$F:$F,"&lt;&gt;"&amp;""))</f>
        <v>0</v>
      </c>
      <c r="J14" s="163">
        <f>IF(C14="","",COUNTIFS(Başvuru!$C:$C,C14,Başvuru!$L:$L,"ONAY",Başvuru!$A:$A,"&lt;&gt;"&amp;"",Başvuru!$F:$F,"&lt;&gt;"&amp;""))</f>
        <v>3</v>
      </c>
      <c r="K14" s="164">
        <f>IF(C14="","",COUNTIFS(Başvuru!$C:$C,C14,Başvuru!$L:$L,"DÜZELTME",Başvuru!$A:$A,"&lt;&gt;"&amp;"",Başvuru!$F:$F,"&lt;&gt;"&amp;""))</f>
        <v>4</v>
      </c>
      <c r="L14" s="165">
        <f>IF(C14="","",COUNTIFS(Başvuru!$C:$C,C14,Başvuru!$L:$L,"KAEK",Başvuru!$A:$A,"&lt;&gt;"&amp;"",Başvuru!$F:$F,"&lt;&gt;"&amp;""))</f>
        <v>0</v>
      </c>
      <c r="M14" s="166">
        <f>IF(C14="","",COUNTIFS(Başvuru!$C:$C,C14,Başvuru!$L:$L,"GÖRÜŞ",Başvuru!$A:$A,"&lt;&gt;"&amp;"",Başvuru!$F:$F,"&lt;&gt;"&amp;""))</f>
        <v>0</v>
      </c>
      <c r="N14" s="167">
        <f>IF(C14="","",COUNTIFS(Başvuru!$C:$C,C14,Başvuru!$L:$L,"RET",Başvuru!$A:$A,"&lt;&gt;"&amp;"",Başvuru!$F:$F,"&lt;&gt;"&amp;""))</f>
        <v>0</v>
      </c>
      <c r="O14" s="168">
        <f>IF(C14="","",COUNTIFS(Başvuru!$C:$C,C14,Başvuru!$L:$L,"KAPSAM DIŞI",Başvuru!$A:$A,"&lt;&gt;"&amp;"",Başvuru!$F:$F,"&lt;&gt;"&amp;""))</f>
        <v>1</v>
      </c>
      <c r="P14" s="169">
        <f>IF(C14="","",COUNTIFS(Başvuru!$C:$C,C14,Başvuru!$L:$L,"GERİ ÇEKİLDİ",Başvuru!$A:$A,"&lt;&gt;"&amp;"",Başvuru!$F:$F,"&lt;&gt;"&amp;""))</f>
        <v>0</v>
      </c>
      <c r="Q14" s="170" t="str">
        <f>IFERROR(INDEX(Başvuru!$C$2:$C$1851,MATCH(9,Başvuru!$AB$2:$AB$1851,0)),"")</f>
        <v>Öğr. Gör. Dr. Buket KILIÇ</v>
      </c>
      <c r="R14" s="171">
        <f>IF(Q14="","",COUNTIFS(Başvuru!$C:$C,Q14,Başvuru!$A:$A,"&lt;&gt;"&amp;"",Başvuru!$F:$F,"&lt;&gt;"&amp;""))</f>
        <v>4</v>
      </c>
      <c r="S14" s="171">
        <f>IF(R14="","",RANK(R14,$R$6:$R$505,0)+COUNTIF($R$6:R14,R14)-1)</f>
        <v>31</v>
      </c>
    </row>
    <row r="15" spans="2:19" ht="23.25" customHeight="1" x14ac:dyDescent="0.25">
      <c r="B15" s="159">
        <v>10</v>
      </c>
      <c r="C15" s="160" t="str">
        <f>IFERROR(INDEX($Q$6:$Q$505,MATCH(10,$S$6:$S$505,0)),"")</f>
        <v>Prof. Dr. Neşe DERİCİOĞLU</v>
      </c>
      <c r="D15" s="161">
        <f>IF(C15="","",COUNTIFS(Başvuru!$C:$C,C15,Başvuru!$A:$A,"&lt;&gt;"&amp;"",Başvuru!$F:$F,"&lt;&gt;"&amp;""))</f>
        <v>8</v>
      </c>
      <c r="E15" s="159" t="str">
        <f>IF(C15="","-",IF(D15&gt;0,TEXT(D15/(COUNTIFS(Başvuru!$A:$A,"&lt;&gt;",Başvuru!$F:$F,"&lt;&gt;")-1)*100,"0.0")&amp;"%","-"))</f>
        <v>01%</v>
      </c>
      <c r="F15" s="162">
        <f>IF(C15="","",COUNTIFS(Başvuru!$C:$C,C15,Başvuru!$G:$G,"Bireysel Araştırma",Başvuru!$A:$A,"&lt;&gt;"&amp;"",Başvuru!$F:$F,"&lt;&gt;"&amp;""))</f>
        <v>7</v>
      </c>
      <c r="G15" s="162">
        <f>IF(C15="","",COUNTIFS(Başvuru!$C:$C,C15,Başvuru!$G:$G,"Uzmanlık Tezi",Başvuru!$A:$A,"&lt;&gt;"&amp;"",Başvuru!$F:$F,"&lt;&gt;"&amp;""))</f>
        <v>1</v>
      </c>
      <c r="H15" s="162">
        <f>IF(C15="","",COUNTIFS(Başvuru!$C:$C,C15,Başvuru!$G:$G,"Doktora Tezi",Başvuru!$A:$A,"&lt;&gt;"&amp;"",Başvuru!$F:$F,"&lt;&gt;"&amp;""))</f>
        <v>0</v>
      </c>
      <c r="I15" s="162">
        <f>IF(C15="","",COUNTIFS(Başvuru!$C:$C,C15,Başvuru!$G:$G,"Yüksek Lisans Tezi",Başvuru!$A:$A,"&lt;&gt;"&amp;"",Başvuru!$F:$F,"&lt;&gt;"&amp;""))</f>
        <v>0</v>
      </c>
      <c r="J15" s="163">
        <f>IF(C15="","",COUNTIFS(Başvuru!$C:$C,C15,Başvuru!$L:$L,"ONAY",Başvuru!$A:$A,"&lt;&gt;"&amp;"",Başvuru!$F:$F,"&lt;&gt;"&amp;""))</f>
        <v>5</v>
      </c>
      <c r="K15" s="164">
        <f>IF(C15="","",COUNTIFS(Başvuru!$C:$C,C15,Başvuru!$L:$L,"DÜZELTME",Başvuru!$A:$A,"&lt;&gt;"&amp;"",Başvuru!$F:$F,"&lt;&gt;"&amp;""))</f>
        <v>1</v>
      </c>
      <c r="L15" s="165">
        <f>IF(C15="","",COUNTIFS(Başvuru!$C:$C,C15,Başvuru!$L:$L,"KAEK",Başvuru!$A:$A,"&lt;&gt;"&amp;"",Başvuru!$F:$F,"&lt;&gt;"&amp;""))</f>
        <v>0</v>
      </c>
      <c r="M15" s="166">
        <f>IF(C15="","",COUNTIFS(Başvuru!$C:$C,C15,Başvuru!$L:$L,"GÖRÜŞ",Başvuru!$A:$A,"&lt;&gt;"&amp;"",Başvuru!$F:$F,"&lt;&gt;"&amp;""))</f>
        <v>0</v>
      </c>
      <c r="N15" s="167">
        <f>IF(C15="","",COUNTIFS(Başvuru!$C:$C,C15,Başvuru!$L:$L,"RET",Başvuru!$A:$A,"&lt;&gt;"&amp;"",Başvuru!$F:$F,"&lt;&gt;"&amp;""))</f>
        <v>0</v>
      </c>
      <c r="O15" s="168">
        <f>IF(C15="","",COUNTIFS(Başvuru!$C:$C,C15,Başvuru!$L:$L,"KAPSAM DIŞI",Başvuru!$A:$A,"&lt;&gt;"&amp;"",Başvuru!$F:$F,"&lt;&gt;"&amp;""))</f>
        <v>0</v>
      </c>
      <c r="P15" s="169">
        <f>IF(C15="","",COUNTIFS(Başvuru!$C:$C,C15,Başvuru!$L:$L,"GERİ ÇEKİLDİ",Başvuru!$A:$A,"&lt;&gt;"&amp;"",Başvuru!$F:$F,"&lt;&gt;"&amp;""))</f>
        <v>0</v>
      </c>
      <c r="Q15" s="170" t="str">
        <f>IFERROR(INDEX(Başvuru!$C$2:$C$1851,MATCH(10,Başvuru!$AB$2:$AB$1851,0)),"")</f>
        <v>Prof. Dr. Yakut AKYÖN YILMAZ</v>
      </c>
      <c r="R15" s="171">
        <f>IF(Q15="","",COUNTIFS(Başvuru!$C:$C,Q15,Başvuru!$A:$A,"&lt;&gt;"&amp;"",Başvuru!$F:$F,"&lt;&gt;"&amp;""))</f>
        <v>1</v>
      </c>
      <c r="S15" s="171">
        <f>IF(R15="","",RANK(R15,$R$6:$R$505,0)+COUNTIF($R$6:R15,R15)-1)</f>
        <v>161</v>
      </c>
    </row>
    <row r="16" spans="2:19" ht="23.25" customHeight="1" x14ac:dyDescent="0.25">
      <c r="B16" s="159">
        <v>11</v>
      </c>
      <c r="C16" s="160" t="str">
        <f>IFERROR(INDEX($Q$6:$Q$505,MATCH(11,$S$6:$S$505,0)),"")</f>
        <v>Prof. Dr. Mustafa CANKURTARAN</v>
      </c>
      <c r="D16" s="161">
        <f>IF(C16="","",COUNTIFS(Başvuru!$C:$C,C16,Başvuru!$A:$A,"&lt;&gt;"&amp;"",Başvuru!$F:$F,"&lt;&gt;"&amp;""))</f>
        <v>8</v>
      </c>
      <c r="E16" s="159" t="str">
        <f>IF(C16="","-",IF(D16&gt;0,TEXT(D16/(COUNTIFS(Başvuru!$A:$A,"&lt;&gt;",Başvuru!$F:$F,"&lt;&gt;")-1)*100,"0.0")&amp;"%","-"))</f>
        <v>01%</v>
      </c>
      <c r="F16" s="162">
        <f>IF(C16="","",COUNTIFS(Başvuru!$C:$C,C16,Başvuru!$G:$G,"Bireysel Araştırma",Başvuru!$A:$A,"&lt;&gt;"&amp;"",Başvuru!$F:$F,"&lt;&gt;"&amp;""))</f>
        <v>8</v>
      </c>
      <c r="G16" s="162">
        <f>IF(C16="","",COUNTIFS(Başvuru!$C:$C,C16,Başvuru!$G:$G,"Uzmanlık Tezi",Başvuru!$A:$A,"&lt;&gt;"&amp;"",Başvuru!$F:$F,"&lt;&gt;"&amp;""))</f>
        <v>0</v>
      </c>
      <c r="H16" s="162">
        <f>IF(C16="","",COUNTIFS(Başvuru!$C:$C,C16,Başvuru!$G:$G,"Doktora Tezi",Başvuru!$A:$A,"&lt;&gt;"&amp;"",Başvuru!$F:$F,"&lt;&gt;"&amp;""))</f>
        <v>0</v>
      </c>
      <c r="I16" s="162">
        <f>IF(C16="","",COUNTIFS(Başvuru!$C:$C,C16,Başvuru!$G:$G,"Yüksek Lisans Tezi",Başvuru!$A:$A,"&lt;&gt;"&amp;"",Başvuru!$F:$F,"&lt;&gt;"&amp;""))</f>
        <v>0</v>
      </c>
      <c r="J16" s="163">
        <f>IF(C16="","",COUNTIFS(Başvuru!$C:$C,C16,Başvuru!$L:$L,"ONAY",Başvuru!$A:$A,"&lt;&gt;"&amp;"",Başvuru!$F:$F,"&lt;&gt;"&amp;""))</f>
        <v>1</v>
      </c>
      <c r="K16" s="164">
        <f>IF(C16="","",COUNTIFS(Başvuru!$C:$C,C16,Başvuru!$L:$L,"DÜZELTME",Başvuru!$A:$A,"&lt;&gt;"&amp;"",Başvuru!$F:$F,"&lt;&gt;"&amp;""))</f>
        <v>1</v>
      </c>
      <c r="L16" s="165">
        <f>IF(C16="","",COUNTIFS(Başvuru!$C:$C,C16,Başvuru!$L:$L,"KAEK",Başvuru!$A:$A,"&lt;&gt;"&amp;"",Başvuru!$F:$F,"&lt;&gt;"&amp;""))</f>
        <v>0</v>
      </c>
      <c r="M16" s="166">
        <f>IF(C16="","",COUNTIFS(Başvuru!$C:$C,C16,Başvuru!$L:$L,"GÖRÜŞ",Başvuru!$A:$A,"&lt;&gt;"&amp;"",Başvuru!$F:$F,"&lt;&gt;"&amp;""))</f>
        <v>0</v>
      </c>
      <c r="N16" s="167">
        <f>IF(C16="","",COUNTIFS(Başvuru!$C:$C,C16,Başvuru!$L:$L,"RET",Başvuru!$A:$A,"&lt;&gt;"&amp;"",Başvuru!$F:$F,"&lt;&gt;"&amp;""))</f>
        <v>0</v>
      </c>
      <c r="O16" s="168">
        <f>IF(C16="","",COUNTIFS(Başvuru!$C:$C,C16,Başvuru!$L:$L,"KAPSAM DIŞI",Başvuru!$A:$A,"&lt;&gt;"&amp;"",Başvuru!$F:$F,"&lt;&gt;"&amp;""))</f>
        <v>5</v>
      </c>
      <c r="P16" s="169">
        <f>IF(C16="","",COUNTIFS(Başvuru!$C:$C,C16,Başvuru!$L:$L,"GERİ ÇEKİLDİ",Başvuru!$A:$A,"&lt;&gt;"&amp;"",Başvuru!$F:$F,"&lt;&gt;"&amp;""))</f>
        <v>0</v>
      </c>
      <c r="Q16" s="170" t="str">
        <f>IFERROR(INDEX(Başvuru!$C$2:$C$1851,MATCH(11,Başvuru!$AB$2:$AB$1851,0)),"")</f>
        <v>Prof. Dr. Ömer KARADAĞ</v>
      </c>
      <c r="R16" s="171">
        <f>IF(Q16="","",COUNTIFS(Başvuru!$C:$C,Q16,Başvuru!$A:$A,"&lt;&gt;"&amp;"",Başvuru!$F:$F,"&lt;&gt;"&amp;""))</f>
        <v>4</v>
      </c>
      <c r="S16" s="171">
        <f>IF(R16="","",RANK(R16,$R$6:$R$505,0)+COUNTIF($R$6:R16,R16)-1)</f>
        <v>32</v>
      </c>
    </row>
    <row r="17" spans="2:19" ht="23.25" customHeight="1" x14ac:dyDescent="0.25">
      <c r="B17" s="159">
        <v>12</v>
      </c>
      <c r="C17" s="160" t="str">
        <f>IFERROR(INDEX($Q$6:$Q$505,MATCH(12,$S$6:$S$505,0)),"")</f>
        <v>Doç. Dr. Cafer BALCI</v>
      </c>
      <c r="D17" s="161">
        <f>IF(C17="","",COUNTIFS(Başvuru!$C:$C,C17,Başvuru!$A:$A,"&lt;&gt;"&amp;"",Başvuru!$F:$F,"&lt;&gt;"&amp;""))</f>
        <v>8</v>
      </c>
      <c r="E17" s="159" t="str">
        <f>IF(C17="","-",IF(D17&gt;0,TEXT(D17/(COUNTIFS(Başvuru!$A:$A,"&lt;&gt;",Başvuru!$F:$F,"&lt;&gt;")-1)*100,"0.0")&amp;"%","-"))</f>
        <v>01%</v>
      </c>
      <c r="F17" s="162">
        <f>IF(C17="","",COUNTIFS(Başvuru!$C:$C,C17,Başvuru!$G:$G,"Bireysel Araştırma",Başvuru!$A:$A,"&lt;&gt;"&amp;"",Başvuru!$F:$F,"&lt;&gt;"&amp;""))</f>
        <v>8</v>
      </c>
      <c r="G17" s="162">
        <f>IF(C17="","",COUNTIFS(Başvuru!$C:$C,C17,Başvuru!$G:$G,"Uzmanlık Tezi",Başvuru!$A:$A,"&lt;&gt;"&amp;"",Başvuru!$F:$F,"&lt;&gt;"&amp;""))</f>
        <v>0</v>
      </c>
      <c r="H17" s="162">
        <f>IF(C17="","",COUNTIFS(Başvuru!$C:$C,C17,Başvuru!$G:$G,"Doktora Tezi",Başvuru!$A:$A,"&lt;&gt;"&amp;"",Başvuru!$F:$F,"&lt;&gt;"&amp;""))</f>
        <v>0</v>
      </c>
      <c r="I17" s="162">
        <f>IF(C17="","",COUNTIFS(Başvuru!$C:$C,C17,Başvuru!$G:$G,"Yüksek Lisans Tezi",Başvuru!$A:$A,"&lt;&gt;"&amp;"",Başvuru!$F:$F,"&lt;&gt;"&amp;""))</f>
        <v>0</v>
      </c>
      <c r="J17" s="163">
        <f>IF(C17="","",COUNTIFS(Başvuru!$C:$C,C17,Başvuru!$L:$L,"ONAY",Başvuru!$A:$A,"&lt;&gt;"&amp;"",Başvuru!$F:$F,"&lt;&gt;"&amp;""))</f>
        <v>3</v>
      </c>
      <c r="K17" s="164">
        <f>IF(C17="","",COUNTIFS(Başvuru!$C:$C,C17,Başvuru!$L:$L,"DÜZELTME",Başvuru!$A:$A,"&lt;&gt;"&amp;"",Başvuru!$F:$F,"&lt;&gt;"&amp;""))</f>
        <v>3</v>
      </c>
      <c r="L17" s="165">
        <f>IF(C17="","",COUNTIFS(Başvuru!$C:$C,C17,Başvuru!$L:$L,"KAEK",Başvuru!$A:$A,"&lt;&gt;"&amp;"",Başvuru!$F:$F,"&lt;&gt;"&amp;""))</f>
        <v>0</v>
      </c>
      <c r="M17" s="166">
        <f>IF(C17="","",COUNTIFS(Başvuru!$C:$C,C17,Başvuru!$L:$L,"GÖRÜŞ",Başvuru!$A:$A,"&lt;&gt;"&amp;"",Başvuru!$F:$F,"&lt;&gt;"&amp;""))</f>
        <v>1</v>
      </c>
      <c r="N17" s="167">
        <f>IF(C17="","",COUNTIFS(Başvuru!$C:$C,C17,Başvuru!$L:$L,"RET",Başvuru!$A:$A,"&lt;&gt;"&amp;"",Başvuru!$F:$F,"&lt;&gt;"&amp;""))</f>
        <v>0</v>
      </c>
      <c r="O17" s="168">
        <f>IF(C17="","",COUNTIFS(Başvuru!$C:$C,C17,Başvuru!$L:$L,"KAPSAM DIŞI",Başvuru!$A:$A,"&lt;&gt;"&amp;"",Başvuru!$F:$F,"&lt;&gt;"&amp;""))</f>
        <v>0</v>
      </c>
      <c r="P17" s="169">
        <f>IF(C17="","",COUNTIFS(Başvuru!$C:$C,C17,Başvuru!$L:$L,"GERİ ÇEKİLDİ",Başvuru!$A:$A,"&lt;&gt;"&amp;"",Başvuru!$F:$F,"&lt;&gt;"&amp;""))</f>
        <v>0</v>
      </c>
      <c r="Q17" s="170" t="str">
        <f>IFERROR(INDEX(Başvuru!$C$2:$C$1851,MATCH(12,Başvuru!$AB$2:$AB$1851,0)),"")</f>
        <v>Prof. Dr. N. Dilara ZEYBEK</v>
      </c>
      <c r="R17" s="171">
        <f>IF(Q17="","",COUNTIFS(Başvuru!$C:$C,Q17,Başvuru!$A:$A,"&lt;&gt;"&amp;"",Başvuru!$F:$F,"&lt;&gt;"&amp;""))</f>
        <v>1</v>
      </c>
      <c r="S17" s="171">
        <f>IF(R17="","",RANK(R17,$R$6:$R$505,0)+COUNTIF($R$6:R17,R17)-1)</f>
        <v>162</v>
      </c>
    </row>
    <row r="18" spans="2:19" ht="23.25" customHeight="1" x14ac:dyDescent="0.25">
      <c r="B18" s="159">
        <v>13</v>
      </c>
      <c r="C18" s="160" t="str">
        <f>IFERROR(INDEX($Q$6:$Q$505,MATCH(13,$S$6:$S$505,0)),"")</f>
        <v>Doç. Dr. Utku AKGÖR</v>
      </c>
      <c r="D18" s="161">
        <f>IF(C18="","",COUNTIFS(Başvuru!$C:$C,C18,Başvuru!$A:$A,"&lt;&gt;"&amp;"",Başvuru!$F:$F,"&lt;&gt;"&amp;""))</f>
        <v>7</v>
      </c>
      <c r="E18" s="159" t="str">
        <f>IF(C18="","-",IF(D18&gt;0,TEXT(D18/(COUNTIFS(Başvuru!$A:$A,"&lt;&gt;",Başvuru!$F:$F,"&lt;&gt;")-1)*100,"0.0")&amp;"%","-"))</f>
        <v>01%</v>
      </c>
      <c r="F18" s="162">
        <f>IF(C18="","",COUNTIFS(Başvuru!$C:$C,C18,Başvuru!$G:$G,"Bireysel Araştırma",Başvuru!$A:$A,"&lt;&gt;"&amp;"",Başvuru!$F:$F,"&lt;&gt;"&amp;""))</f>
        <v>6</v>
      </c>
      <c r="G18" s="162">
        <f>IF(C18="","",COUNTIFS(Başvuru!$C:$C,C18,Başvuru!$G:$G,"Uzmanlık Tezi",Başvuru!$A:$A,"&lt;&gt;"&amp;"",Başvuru!$F:$F,"&lt;&gt;"&amp;""))</f>
        <v>1</v>
      </c>
      <c r="H18" s="162">
        <f>IF(C18="","",COUNTIFS(Başvuru!$C:$C,C18,Başvuru!$G:$G,"Doktora Tezi",Başvuru!$A:$A,"&lt;&gt;"&amp;"",Başvuru!$F:$F,"&lt;&gt;"&amp;""))</f>
        <v>0</v>
      </c>
      <c r="I18" s="162">
        <f>IF(C18="","",COUNTIFS(Başvuru!$C:$C,C18,Başvuru!$G:$G,"Yüksek Lisans Tezi",Başvuru!$A:$A,"&lt;&gt;"&amp;"",Başvuru!$F:$F,"&lt;&gt;"&amp;""))</f>
        <v>0</v>
      </c>
      <c r="J18" s="163">
        <f>IF(C18="","",COUNTIFS(Başvuru!$C:$C,C18,Başvuru!$L:$L,"ONAY",Başvuru!$A:$A,"&lt;&gt;"&amp;"",Başvuru!$F:$F,"&lt;&gt;"&amp;""))</f>
        <v>4</v>
      </c>
      <c r="K18" s="164">
        <f>IF(C18="","",COUNTIFS(Başvuru!$C:$C,C18,Başvuru!$L:$L,"DÜZELTME",Başvuru!$A:$A,"&lt;&gt;"&amp;"",Başvuru!$F:$F,"&lt;&gt;"&amp;""))</f>
        <v>2</v>
      </c>
      <c r="L18" s="165">
        <f>IF(C18="","",COUNTIFS(Başvuru!$C:$C,C18,Başvuru!$L:$L,"KAEK",Başvuru!$A:$A,"&lt;&gt;"&amp;"",Başvuru!$F:$F,"&lt;&gt;"&amp;""))</f>
        <v>0</v>
      </c>
      <c r="M18" s="166">
        <f>IF(C18="","",COUNTIFS(Başvuru!$C:$C,C18,Başvuru!$L:$L,"GÖRÜŞ",Başvuru!$A:$A,"&lt;&gt;"&amp;"",Başvuru!$F:$F,"&lt;&gt;"&amp;""))</f>
        <v>0</v>
      </c>
      <c r="N18" s="167">
        <f>IF(C18="","",COUNTIFS(Başvuru!$C:$C,C18,Başvuru!$L:$L,"RET",Başvuru!$A:$A,"&lt;&gt;"&amp;"",Başvuru!$F:$F,"&lt;&gt;"&amp;""))</f>
        <v>1</v>
      </c>
      <c r="O18" s="168">
        <f>IF(C18="","",COUNTIFS(Başvuru!$C:$C,C18,Başvuru!$L:$L,"KAPSAM DIŞI",Başvuru!$A:$A,"&lt;&gt;"&amp;"",Başvuru!$F:$F,"&lt;&gt;"&amp;""))</f>
        <v>0</v>
      </c>
      <c r="P18" s="169">
        <f>IF(C18="","",COUNTIFS(Başvuru!$C:$C,C18,Başvuru!$L:$L,"GERİ ÇEKİLDİ",Başvuru!$A:$A,"&lt;&gt;"&amp;"",Başvuru!$F:$F,"&lt;&gt;"&amp;""))</f>
        <v>0</v>
      </c>
      <c r="Q18" s="170" t="str">
        <f>IFERROR(INDEX(Başvuru!$C$2:$C$1851,MATCH(13,Başvuru!$AB$2:$AB$1851,0)),"")</f>
        <v>Prof. Dr. Orhan ODABAŞI</v>
      </c>
      <c r="R18" s="171">
        <f>IF(Q18="","",COUNTIFS(Başvuru!$C:$C,Q18,Başvuru!$A:$A,"&lt;&gt;"&amp;"",Başvuru!$F:$F,"&lt;&gt;"&amp;""))</f>
        <v>1</v>
      </c>
      <c r="S18" s="171">
        <f>IF(R18="","",RANK(R18,$R$6:$R$505,0)+COUNTIF($R$6:R18,R18)-1)</f>
        <v>163</v>
      </c>
    </row>
    <row r="19" spans="2:19" ht="23.25" customHeight="1" x14ac:dyDescent="0.25">
      <c r="B19" s="159">
        <v>14</v>
      </c>
      <c r="C19" s="160" t="str">
        <f>IFERROR(INDEX($Q$6:$Q$505,MATCH(14,$S$6:$S$505,0)),"")</f>
        <v>Prof. Dr. Burcu Balam DOĞU</v>
      </c>
      <c r="D19" s="161">
        <f>IF(C19="","",COUNTIFS(Başvuru!$C:$C,C19,Başvuru!$A:$A,"&lt;&gt;"&amp;"",Başvuru!$F:$F,"&lt;&gt;"&amp;""))</f>
        <v>7</v>
      </c>
      <c r="E19" s="159" t="str">
        <f>IF(C19="","-",IF(D19&gt;0,TEXT(D19/(COUNTIFS(Başvuru!$A:$A,"&lt;&gt;",Başvuru!$F:$F,"&lt;&gt;")-1)*100,"0.0")&amp;"%","-"))</f>
        <v>01%</v>
      </c>
      <c r="F19" s="162">
        <f>IF(C19="","",COUNTIFS(Başvuru!$C:$C,C19,Başvuru!$G:$G,"Bireysel Araştırma",Başvuru!$A:$A,"&lt;&gt;"&amp;"",Başvuru!$F:$F,"&lt;&gt;"&amp;""))</f>
        <v>7</v>
      </c>
      <c r="G19" s="162">
        <f>IF(C19="","",COUNTIFS(Başvuru!$C:$C,C19,Başvuru!$G:$G,"Uzmanlık Tezi",Başvuru!$A:$A,"&lt;&gt;"&amp;"",Başvuru!$F:$F,"&lt;&gt;"&amp;""))</f>
        <v>0</v>
      </c>
      <c r="H19" s="162">
        <f>IF(C19="","",COUNTIFS(Başvuru!$C:$C,C19,Başvuru!$G:$G,"Doktora Tezi",Başvuru!$A:$A,"&lt;&gt;"&amp;"",Başvuru!$F:$F,"&lt;&gt;"&amp;""))</f>
        <v>0</v>
      </c>
      <c r="I19" s="162">
        <f>IF(C19="","",COUNTIFS(Başvuru!$C:$C,C19,Başvuru!$G:$G,"Yüksek Lisans Tezi",Başvuru!$A:$A,"&lt;&gt;"&amp;"",Başvuru!$F:$F,"&lt;&gt;"&amp;""))</f>
        <v>0</v>
      </c>
      <c r="J19" s="163">
        <f>IF(C19="","",COUNTIFS(Başvuru!$C:$C,C19,Başvuru!$L:$L,"ONAY",Başvuru!$A:$A,"&lt;&gt;"&amp;"",Başvuru!$F:$F,"&lt;&gt;"&amp;""))</f>
        <v>2</v>
      </c>
      <c r="K19" s="164">
        <f>IF(C19="","",COUNTIFS(Başvuru!$C:$C,C19,Başvuru!$L:$L,"DÜZELTME",Başvuru!$A:$A,"&lt;&gt;"&amp;"",Başvuru!$F:$F,"&lt;&gt;"&amp;""))</f>
        <v>5</v>
      </c>
      <c r="L19" s="165">
        <f>IF(C19="","",COUNTIFS(Başvuru!$C:$C,C19,Başvuru!$L:$L,"KAEK",Başvuru!$A:$A,"&lt;&gt;"&amp;"",Başvuru!$F:$F,"&lt;&gt;"&amp;""))</f>
        <v>0</v>
      </c>
      <c r="M19" s="166">
        <f>IF(C19="","",COUNTIFS(Başvuru!$C:$C,C19,Başvuru!$L:$L,"GÖRÜŞ",Başvuru!$A:$A,"&lt;&gt;"&amp;"",Başvuru!$F:$F,"&lt;&gt;"&amp;""))</f>
        <v>0</v>
      </c>
      <c r="N19" s="167">
        <f>IF(C19="","",COUNTIFS(Başvuru!$C:$C,C19,Başvuru!$L:$L,"RET",Başvuru!$A:$A,"&lt;&gt;"&amp;"",Başvuru!$F:$F,"&lt;&gt;"&amp;""))</f>
        <v>0</v>
      </c>
      <c r="O19" s="168">
        <f>IF(C19="","",COUNTIFS(Başvuru!$C:$C,C19,Başvuru!$L:$L,"KAPSAM DIŞI",Başvuru!$A:$A,"&lt;&gt;"&amp;"",Başvuru!$F:$F,"&lt;&gt;"&amp;""))</f>
        <v>0</v>
      </c>
      <c r="P19" s="169">
        <f>IF(C19="","",COUNTIFS(Başvuru!$C:$C,C19,Başvuru!$L:$L,"GERİ ÇEKİLDİ",Başvuru!$A:$A,"&lt;&gt;"&amp;"",Başvuru!$F:$F,"&lt;&gt;"&amp;""))</f>
        <v>0</v>
      </c>
      <c r="Q19" s="170" t="str">
        <f>IFERROR(INDEX(Başvuru!$C$2:$C$1851,MATCH(14,Başvuru!$AB$2:$AB$1851,0)),"")</f>
        <v>Dr. Öğr. Üyesi Yiğitcan KARANFİL</v>
      </c>
      <c r="R19" s="171">
        <f>IF(Q19="","",COUNTIFS(Başvuru!$C:$C,Q19,Başvuru!$A:$A,"&lt;&gt;"&amp;"",Başvuru!$F:$F,"&lt;&gt;"&amp;""))</f>
        <v>3</v>
      </c>
      <c r="S19" s="171">
        <f>IF(R19="","",RANK(R19,$R$6:$R$505,0)+COUNTIF($R$6:R19,R19)-1)</f>
        <v>55</v>
      </c>
    </row>
    <row r="20" spans="2:19" ht="23.25" customHeight="1" x14ac:dyDescent="0.25">
      <c r="B20" s="159">
        <v>15</v>
      </c>
      <c r="C20" s="160" t="str">
        <f>IFERROR(INDEX($Q$6:$Q$505,MATCH(15,$S$6:$S$505,0)),"")</f>
        <v>Doç. Dr. Cem ÇÖTELİ</v>
      </c>
      <c r="D20" s="161">
        <f>IF(C20="","",COUNTIFS(Başvuru!$C:$C,C20,Başvuru!$A:$A,"&lt;&gt;"&amp;"",Başvuru!$F:$F,"&lt;&gt;"&amp;""))</f>
        <v>7</v>
      </c>
      <c r="E20" s="159" t="str">
        <f>IF(C20="","-",IF(D20&gt;0,TEXT(D20/(COUNTIFS(Başvuru!$A:$A,"&lt;&gt;",Başvuru!$F:$F,"&lt;&gt;")-1)*100,"0.0")&amp;"%","-"))</f>
        <v>01%</v>
      </c>
      <c r="F20" s="162">
        <f>IF(C20="","",COUNTIFS(Başvuru!$C:$C,C20,Başvuru!$G:$G,"Bireysel Araştırma",Başvuru!$A:$A,"&lt;&gt;"&amp;"",Başvuru!$F:$F,"&lt;&gt;"&amp;""))</f>
        <v>7</v>
      </c>
      <c r="G20" s="162">
        <f>IF(C20="","",COUNTIFS(Başvuru!$C:$C,C20,Başvuru!$G:$G,"Uzmanlık Tezi",Başvuru!$A:$A,"&lt;&gt;"&amp;"",Başvuru!$F:$F,"&lt;&gt;"&amp;""))</f>
        <v>0</v>
      </c>
      <c r="H20" s="162">
        <f>IF(C20="","",COUNTIFS(Başvuru!$C:$C,C20,Başvuru!$G:$G,"Doktora Tezi",Başvuru!$A:$A,"&lt;&gt;"&amp;"",Başvuru!$F:$F,"&lt;&gt;"&amp;""))</f>
        <v>0</v>
      </c>
      <c r="I20" s="162">
        <f>IF(C20="","",COUNTIFS(Başvuru!$C:$C,C20,Başvuru!$G:$G,"Yüksek Lisans Tezi",Başvuru!$A:$A,"&lt;&gt;"&amp;"",Başvuru!$F:$F,"&lt;&gt;"&amp;""))</f>
        <v>0</v>
      </c>
      <c r="J20" s="163">
        <f>IF(C20="","",COUNTIFS(Başvuru!$C:$C,C20,Başvuru!$L:$L,"ONAY",Başvuru!$A:$A,"&lt;&gt;"&amp;"",Başvuru!$F:$F,"&lt;&gt;"&amp;""))</f>
        <v>3</v>
      </c>
      <c r="K20" s="164">
        <f>IF(C20="","",COUNTIFS(Başvuru!$C:$C,C20,Başvuru!$L:$L,"DÜZELTME",Başvuru!$A:$A,"&lt;&gt;"&amp;"",Başvuru!$F:$F,"&lt;&gt;"&amp;""))</f>
        <v>2</v>
      </c>
      <c r="L20" s="165">
        <f>IF(C20="","",COUNTIFS(Başvuru!$C:$C,C20,Başvuru!$L:$L,"KAEK",Başvuru!$A:$A,"&lt;&gt;"&amp;"",Başvuru!$F:$F,"&lt;&gt;"&amp;""))</f>
        <v>2</v>
      </c>
      <c r="M20" s="166">
        <f>IF(C20="","",COUNTIFS(Başvuru!$C:$C,C20,Başvuru!$L:$L,"GÖRÜŞ",Başvuru!$A:$A,"&lt;&gt;"&amp;"",Başvuru!$F:$F,"&lt;&gt;"&amp;""))</f>
        <v>0</v>
      </c>
      <c r="N20" s="167">
        <f>IF(C20="","",COUNTIFS(Başvuru!$C:$C,C20,Başvuru!$L:$L,"RET",Başvuru!$A:$A,"&lt;&gt;"&amp;"",Başvuru!$F:$F,"&lt;&gt;"&amp;""))</f>
        <v>0</v>
      </c>
      <c r="O20" s="168">
        <f>IF(C20="","",COUNTIFS(Başvuru!$C:$C,C20,Başvuru!$L:$L,"KAPSAM DIŞI",Başvuru!$A:$A,"&lt;&gt;"&amp;"",Başvuru!$F:$F,"&lt;&gt;"&amp;""))</f>
        <v>0</v>
      </c>
      <c r="P20" s="169">
        <f>IF(C20="","",COUNTIFS(Başvuru!$C:$C,C20,Başvuru!$L:$L,"GERİ ÇEKİLDİ",Başvuru!$A:$A,"&lt;&gt;"&amp;"",Başvuru!$F:$F,"&lt;&gt;"&amp;""))</f>
        <v>0</v>
      </c>
      <c r="Q20" s="170" t="str">
        <f>IFERROR(INDEX(Başvuru!$C$2:$C$1851,MATCH(15,Başvuru!$AB$2:$AB$1851,0)),"")</f>
        <v>Prof. Dr. Ali Fuat KALYONCU</v>
      </c>
      <c r="R20" s="171">
        <f>IF(Q20="","",COUNTIFS(Başvuru!$C:$C,Q20,Başvuru!$A:$A,"&lt;&gt;"&amp;"",Başvuru!$F:$F,"&lt;&gt;"&amp;""))</f>
        <v>4</v>
      </c>
      <c r="S20" s="171">
        <f>IF(R20="","",RANK(R20,$R$6:$R$505,0)+COUNTIF($R$6:R20,R20)-1)</f>
        <v>33</v>
      </c>
    </row>
    <row r="21" spans="2:19" ht="23.25" customHeight="1" x14ac:dyDescent="0.25">
      <c r="B21" s="159">
        <v>16</v>
      </c>
      <c r="C21" s="160" t="str">
        <f>IFERROR(INDEX($Q$6:$Q$505,MATCH(16,$S$6:$S$505,0)),"")</f>
        <v>Prof. Dr. Gül KARAKAYA</v>
      </c>
      <c r="D21" s="161">
        <f>IF(C21="","",COUNTIFS(Başvuru!$C:$C,C21,Başvuru!$A:$A,"&lt;&gt;"&amp;"",Başvuru!$F:$F,"&lt;&gt;"&amp;""))</f>
        <v>6</v>
      </c>
      <c r="E21" s="159" t="str">
        <f>IF(C21="","-",IF(D21&gt;0,TEXT(D21/(COUNTIFS(Başvuru!$A:$A,"&lt;&gt;",Başvuru!$F:$F,"&lt;&gt;")-1)*100,"0.0")&amp;"%","-"))</f>
        <v>01%</v>
      </c>
      <c r="F21" s="162">
        <f>IF(C21="","",COUNTIFS(Başvuru!$C:$C,C21,Başvuru!$G:$G,"Bireysel Araştırma",Başvuru!$A:$A,"&lt;&gt;"&amp;"",Başvuru!$F:$F,"&lt;&gt;"&amp;""))</f>
        <v>6</v>
      </c>
      <c r="G21" s="162">
        <f>IF(C21="","",COUNTIFS(Başvuru!$C:$C,C21,Başvuru!$G:$G,"Uzmanlık Tezi",Başvuru!$A:$A,"&lt;&gt;"&amp;"",Başvuru!$F:$F,"&lt;&gt;"&amp;""))</f>
        <v>0</v>
      </c>
      <c r="H21" s="162">
        <f>IF(C21="","",COUNTIFS(Başvuru!$C:$C,C21,Başvuru!$G:$G,"Doktora Tezi",Başvuru!$A:$A,"&lt;&gt;"&amp;"",Başvuru!$F:$F,"&lt;&gt;"&amp;""))</f>
        <v>0</v>
      </c>
      <c r="I21" s="162">
        <f>IF(C21="","",COUNTIFS(Başvuru!$C:$C,C21,Başvuru!$G:$G,"Yüksek Lisans Tezi",Başvuru!$A:$A,"&lt;&gt;"&amp;"",Başvuru!$F:$F,"&lt;&gt;"&amp;""))</f>
        <v>0</v>
      </c>
      <c r="J21" s="163">
        <f>IF(C21="","",COUNTIFS(Başvuru!$C:$C,C21,Başvuru!$L:$L,"ONAY",Başvuru!$A:$A,"&lt;&gt;"&amp;"",Başvuru!$F:$F,"&lt;&gt;"&amp;""))</f>
        <v>4</v>
      </c>
      <c r="K21" s="164">
        <f>IF(C21="","",COUNTIFS(Başvuru!$C:$C,C21,Başvuru!$L:$L,"DÜZELTME",Başvuru!$A:$A,"&lt;&gt;"&amp;"",Başvuru!$F:$F,"&lt;&gt;"&amp;""))</f>
        <v>1</v>
      </c>
      <c r="L21" s="165">
        <f>IF(C21="","",COUNTIFS(Başvuru!$C:$C,C21,Başvuru!$L:$L,"KAEK",Başvuru!$A:$A,"&lt;&gt;"&amp;"",Başvuru!$F:$F,"&lt;&gt;"&amp;""))</f>
        <v>0</v>
      </c>
      <c r="M21" s="166">
        <f>IF(C21="","",COUNTIFS(Başvuru!$C:$C,C21,Başvuru!$L:$L,"GÖRÜŞ",Başvuru!$A:$A,"&lt;&gt;"&amp;"",Başvuru!$F:$F,"&lt;&gt;"&amp;""))</f>
        <v>0</v>
      </c>
      <c r="N21" s="167">
        <f>IF(C21="","",COUNTIFS(Başvuru!$C:$C,C21,Başvuru!$L:$L,"RET",Başvuru!$A:$A,"&lt;&gt;"&amp;"",Başvuru!$F:$F,"&lt;&gt;"&amp;""))</f>
        <v>0</v>
      </c>
      <c r="O21" s="168">
        <f>IF(C21="","",COUNTIFS(Başvuru!$C:$C,C21,Başvuru!$L:$L,"KAPSAM DIŞI",Başvuru!$A:$A,"&lt;&gt;"&amp;"",Başvuru!$F:$F,"&lt;&gt;"&amp;""))</f>
        <v>0</v>
      </c>
      <c r="P21" s="169">
        <f>IF(C21="","",COUNTIFS(Başvuru!$C:$C,C21,Başvuru!$L:$L,"GERİ ÇEKİLDİ",Başvuru!$A:$A,"&lt;&gt;"&amp;"",Başvuru!$F:$F,"&lt;&gt;"&amp;""))</f>
        <v>0</v>
      </c>
      <c r="Q21" s="170" t="str">
        <f>IFERROR(INDEX(Başvuru!$C$2:$C$1851,MATCH(16,Başvuru!$AB$2:$AB$1851,0)),"")</f>
        <v>Prof. Dr. Gül KARAKAYA</v>
      </c>
      <c r="R21" s="171">
        <f>IF(Q21="","",COUNTIFS(Başvuru!$C:$C,Q21,Başvuru!$A:$A,"&lt;&gt;"&amp;"",Başvuru!$F:$F,"&lt;&gt;"&amp;""))</f>
        <v>6</v>
      </c>
      <c r="S21" s="171">
        <f>IF(R21="","",RANK(R21,$R$6:$R$505,0)+COUNTIF($R$6:R21,R21)-1)</f>
        <v>16</v>
      </c>
    </row>
    <row r="22" spans="2:19" ht="23.25" customHeight="1" x14ac:dyDescent="0.25">
      <c r="B22" s="159">
        <v>17</v>
      </c>
      <c r="C22" s="160" t="str">
        <f>IFERROR(INDEX($Q$6:$Q$505,MATCH(17,$S$6:$S$505,0)),"")</f>
        <v>Prof. Dr. Tutku SOYER</v>
      </c>
      <c r="D22" s="161">
        <f>IF(C22="","",COUNTIFS(Başvuru!$C:$C,C22,Başvuru!$A:$A,"&lt;&gt;"&amp;"",Başvuru!$F:$F,"&lt;&gt;"&amp;""))</f>
        <v>6</v>
      </c>
      <c r="E22" s="159" t="str">
        <f>IF(C22="","-",IF(D22&gt;0,TEXT(D22/(COUNTIFS(Başvuru!$A:$A,"&lt;&gt;",Başvuru!$F:$F,"&lt;&gt;")-1)*100,"0.0")&amp;"%","-"))</f>
        <v>01%</v>
      </c>
      <c r="F22" s="162">
        <f>IF(C22="","",COUNTIFS(Başvuru!$C:$C,C22,Başvuru!$G:$G,"Bireysel Araştırma",Başvuru!$A:$A,"&lt;&gt;"&amp;"",Başvuru!$F:$F,"&lt;&gt;"&amp;""))</f>
        <v>5</v>
      </c>
      <c r="G22" s="162">
        <f>IF(C22="","",COUNTIFS(Başvuru!$C:$C,C22,Başvuru!$G:$G,"Uzmanlık Tezi",Başvuru!$A:$A,"&lt;&gt;"&amp;"",Başvuru!$F:$F,"&lt;&gt;"&amp;""))</f>
        <v>1</v>
      </c>
      <c r="H22" s="162">
        <f>IF(C22="","",COUNTIFS(Başvuru!$C:$C,C22,Başvuru!$G:$G,"Doktora Tezi",Başvuru!$A:$A,"&lt;&gt;"&amp;"",Başvuru!$F:$F,"&lt;&gt;"&amp;""))</f>
        <v>0</v>
      </c>
      <c r="I22" s="162">
        <f>IF(C22="","",COUNTIFS(Başvuru!$C:$C,C22,Başvuru!$G:$G,"Yüksek Lisans Tezi",Başvuru!$A:$A,"&lt;&gt;"&amp;"",Başvuru!$F:$F,"&lt;&gt;"&amp;""))</f>
        <v>0</v>
      </c>
      <c r="J22" s="163">
        <f>IF(C22="","",COUNTIFS(Başvuru!$C:$C,C22,Başvuru!$L:$L,"ONAY",Başvuru!$A:$A,"&lt;&gt;"&amp;"",Başvuru!$F:$F,"&lt;&gt;"&amp;""))</f>
        <v>3</v>
      </c>
      <c r="K22" s="164">
        <f>IF(C22="","",COUNTIFS(Başvuru!$C:$C,C22,Başvuru!$L:$L,"DÜZELTME",Başvuru!$A:$A,"&lt;&gt;"&amp;"",Başvuru!$F:$F,"&lt;&gt;"&amp;""))</f>
        <v>3</v>
      </c>
      <c r="L22" s="165">
        <f>IF(C22="","",COUNTIFS(Başvuru!$C:$C,C22,Başvuru!$L:$L,"KAEK",Başvuru!$A:$A,"&lt;&gt;"&amp;"",Başvuru!$F:$F,"&lt;&gt;"&amp;""))</f>
        <v>0</v>
      </c>
      <c r="M22" s="166">
        <f>IF(C22="","",COUNTIFS(Başvuru!$C:$C,C22,Başvuru!$L:$L,"GÖRÜŞ",Başvuru!$A:$A,"&lt;&gt;"&amp;"",Başvuru!$F:$F,"&lt;&gt;"&amp;""))</f>
        <v>0</v>
      </c>
      <c r="N22" s="167">
        <f>IF(C22="","",COUNTIFS(Başvuru!$C:$C,C22,Başvuru!$L:$L,"RET",Başvuru!$A:$A,"&lt;&gt;"&amp;"",Başvuru!$F:$F,"&lt;&gt;"&amp;""))</f>
        <v>0</v>
      </c>
      <c r="O22" s="168">
        <f>IF(C22="","",COUNTIFS(Başvuru!$C:$C,C22,Başvuru!$L:$L,"KAPSAM DIŞI",Başvuru!$A:$A,"&lt;&gt;"&amp;"",Başvuru!$F:$F,"&lt;&gt;"&amp;""))</f>
        <v>0</v>
      </c>
      <c r="P22" s="169">
        <f>IF(C22="","",COUNTIFS(Başvuru!$C:$C,C22,Başvuru!$L:$L,"GERİ ÇEKİLDİ",Başvuru!$A:$A,"&lt;&gt;"&amp;"",Başvuru!$F:$F,"&lt;&gt;"&amp;""))</f>
        <v>0</v>
      </c>
      <c r="Q22" s="170" t="str">
        <f>IFERROR(INDEX(Başvuru!$C$2:$C$1851,MATCH(17,Başvuru!$AB$2:$AB$1851,0)),"")</f>
        <v>Prof. Dr. Banu KILIÇASLAN</v>
      </c>
      <c r="R22" s="171">
        <f>IF(Q22="","",COUNTIFS(Başvuru!$C:$C,Q22,Başvuru!$A:$A,"&lt;&gt;"&amp;"",Başvuru!$F:$F,"&lt;&gt;"&amp;""))</f>
        <v>1</v>
      </c>
      <c r="S22" s="171">
        <f>IF(R22="","",RANK(R22,$R$6:$R$505,0)+COUNTIF($R$6:R22,R22)-1)</f>
        <v>164</v>
      </c>
    </row>
    <row r="23" spans="2:19" ht="23.25" customHeight="1" x14ac:dyDescent="0.25">
      <c r="B23" s="159">
        <v>18</v>
      </c>
      <c r="C23" s="160" t="str">
        <f>IFERROR(INDEX($Q$6:$Q$505,MATCH(18,$S$6:$S$505,0)),"")</f>
        <v>Doç. Dr. Süleyman Nahit ŞENDUR</v>
      </c>
      <c r="D23" s="161">
        <f>IF(C23="","",COUNTIFS(Başvuru!$C:$C,C23,Başvuru!$A:$A,"&lt;&gt;"&amp;"",Başvuru!$F:$F,"&lt;&gt;"&amp;""))</f>
        <v>6</v>
      </c>
      <c r="E23" s="159" t="str">
        <f>IF(C23="","-",IF(D23&gt;0,TEXT(D23/(COUNTIFS(Başvuru!$A:$A,"&lt;&gt;",Başvuru!$F:$F,"&lt;&gt;")-1)*100,"0.0")&amp;"%","-"))</f>
        <v>01%</v>
      </c>
      <c r="F23" s="162">
        <f>IF(C23="","",COUNTIFS(Başvuru!$C:$C,C23,Başvuru!$G:$G,"Bireysel Araştırma",Başvuru!$A:$A,"&lt;&gt;"&amp;"",Başvuru!$F:$F,"&lt;&gt;"&amp;""))</f>
        <v>5</v>
      </c>
      <c r="G23" s="162">
        <f>IF(C23="","",COUNTIFS(Başvuru!$C:$C,C23,Başvuru!$G:$G,"Uzmanlık Tezi",Başvuru!$A:$A,"&lt;&gt;"&amp;"",Başvuru!$F:$F,"&lt;&gt;"&amp;""))</f>
        <v>1</v>
      </c>
      <c r="H23" s="162">
        <f>IF(C23="","",COUNTIFS(Başvuru!$C:$C,C23,Başvuru!$G:$G,"Doktora Tezi",Başvuru!$A:$A,"&lt;&gt;"&amp;"",Başvuru!$F:$F,"&lt;&gt;"&amp;""))</f>
        <v>0</v>
      </c>
      <c r="I23" s="162">
        <f>IF(C23="","",COUNTIFS(Başvuru!$C:$C,C23,Başvuru!$G:$G,"Yüksek Lisans Tezi",Başvuru!$A:$A,"&lt;&gt;"&amp;"",Başvuru!$F:$F,"&lt;&gt;"&amp;""))</f>
        <v>0</v>
      </c>
      <c r="J23" s="163">
        <f>IF(C23="","",COUNTIFS(Başvuru!$C:$C,C23,Başvuru!$L:$L,"ONAY",Başvuru!$A:$A,"&lt;&gt;"&amp;"",Başvuru!$F:$F,"&lt;&gt;"&amp;""))</f>
        <v>6</v>
      </c>
      <c r="K23" s="164">
        <f>IF(C23="","",COUNTIFS(Başvuru!$C:$C,C23,Başvuru!$L:$L,"DÜZELTME",Başvuru!$A:$A,"&lt;&gt;"&amp;"",Başvuru!$F:$F,"&lt;&gt;"&amp;""))</f>
        <v>0</v>
      </c>
      <c r="L23" s="165">
        <f>IF(C23="","",COUNTIFS(Başvuru!$C:$C,C23,Başvuru!$L:$L,"KAEK",Başvuru!$A:$A,"&lt;&gt;"&amp;"",Başvuru!$F:$F,"&lt;&gt;"&amp;""))</f>
        <v>0</v>
      </c>
      <c r="M23" s="166">
        <f>IF(C23="","",COUNTIFS(Başvuru!$C:$C,C23,Başvuru!$L:$L,"GÖRÜŞ",Başvuru!$A:$A,"&lt;&gt;"&amp;"",Başvuru!$F:$F,"&lt;&gt;"&amp;""))</f>
        <v>0</v>
      </c>
      <c r="N23" s="167">
        <f>IF(C23="","",COUNTIFS(Başvuru!$C:$C,C23,Başvuru!$L:$L,"RET",Başvuru!$A:$A,"&lt;&gt;"&amp;"",Başvuru!$F:$F,"&lt;&gt;"&amp;""))</f>
        <v>0</v>
      </c>
      <c r="O23" s="168">
        <f>IF(C23="","",COUNTIFS(Başvuru!$C:$C,C23,Başvuru!$L:$L,"KAPSAM DIŞI",Başvuru!$A:$A,"&lt;&gt;"&amp;"",Başvuru!$F:$F,"&lt;&gt;"&amp;""))</f>
        <v>0</v>
      </c>
      <c r="P23" s="169">
        <f>IF(C23="","",COUNTIFS(Başvuru!$C:$C,C23,Başvuru!$L:$L,"GERİ ÇEKİLDİ",Başvuru!$A:$A,"&lt;&gt;"&amp;"",Başvuru!$F:$F,"&lt;&gt;"&amp;""))</f>
        <v>0</v>
      </c>
      <c r="Q23" s="170" t="str">
        <f>IFERROR(INDEX(Başvuru!$C$2:$C$1851,MATCH(18,Başvuru!$AB$2:$AB$1851,0)),"")</f>
        <v>Doç. Dr. Ulaş KUMBASAR</v>
      </c>
      <c r="R23" s="171">
        <f>IF(Q23="","",COUNTIFS(Başvuru!$C:$C,Q23,Başvuru!$A:$A,"&lt;&gt;"&amp;"",Başvuru!$F:$F,"&lt;&gt;"&amp;""))</f>
        <v>1</v>
      </c>
      <c r="S23" s="171">
        <f>IF(R23="","",RANK(R23,$R$6:$R$505,0)+COUNTIF($R$6:R23,R23)-1)</f>
        <v>165</v>
      </c>
    </row>
    <row r="24" spans="2:19" ht="23.25" customHeight="1" x14ac:dyDescent="0.25">
      <c r="B24" s="159">
        <v>19</v>
      </c>
      <c r="C24" s="160" t="str">
        <f>IFERROR(INDEX($Q$6:$Q$505,MATCH(19,$S$6:$S$505,0)),"")</f>
        <v>Prof. Dr. Özlem TEKŞAM</v>
      </c>
      <c r="D24" s="161">
        <f>IF(C24="","",COUNTIFS(Başvuru!$C:$C,C24,Başvuru!$A:$A,"&lt;&gt;"&amp;"",Başvuru!$F:$F,"&lt;&gt;"&amp;""))</f>
        <v>6</v>
      </c>
      <c r="E24" s="159" t="str">
        <f>IF(C24="","-",IF(D24&gt;0,TEXT(D24/(COUNTIFS(Başvuru!$A:$A,"&lt;&gt;",Başvuru!$F:$F,"&lt;&gt;")-1)*100,"0.0")&amp;"%","-"))</f>
        <v>01%</v>
      </c>
      <c r="F24" s="162">
        <f>IF(C24="","",COUNTIFS(Başvuru!$C:$C,C24,Başvuru!$G:$G,"Bireysel Araştırma",Başvuru!$A:$A,"&lt;&gt;"&amp;"",Başvuru!$F:$F,"&lt;&gt;"&amp;""))</f>
        <v>4</v>
      </c>
      <c r="G24" s="162">
        <f>IF(C24="","",COUNTIFS(Başvuru!$C:$C,C24,Başvuru!$G:$G,"Uzmanlık Tezi",Başvuru!$A:$A,"&lt;&gt;"&amp;"",Başvuru!$F:$F,"&lt;&gt;"&amp;""))</f>
        <v>2</v>
      </c>
      <c r="H24" s="162">
        <f>IF(C24="","",COUNTIFS(Başvuru!$C:$C,C24,Başvuru!$G:$G,"Doktora Tezi",Başvuru!$A:$A,"&lt;&gt;"&amp;"",Başvuru!$F:$F,"&lt;&gt;"&amp;""))</f>
        <v>0</v>
      </c>
      <c r="I24" s="162">
        <f>IF(C24="","",COUNTIFS(Başvuru!$C:$C,C24,Başvuru!$G:$G,"Yüksek Lisans Tezi",Başvuru!$A:$A,"&lt;&gt;"&amp;"",Başvuru!$F:$F,"&lt;&gt;"&amp;""))</f>
        <v>0</v>
      </c>
      <c r="J24" s="163">
        <f>IF(C24="","",COUNTIFS(Başvuru!$C:$C,C24,Başvuru!$L:$L,"ONAY",Başvuru!$A:$A,"&lt;&gt;"&amp;"",Başvuru!$F:$F,"&lt;&gt;"&amp;""))</f>
        <v>4</v>
      </c>
      <c r="K24" s="164">
        <f>IF(C24="","",COUNTIFS(Başvuru!$C:$C,C24,Başvuru!$L:$L,"DÜZELTME",Başvuru!$A:$A,"&lt;&gt;"&amp;"",Başvuru!$F:$F,"&lt;&gt;"&amp;""))</f>
        <v>1</v>
      </c>
      <c r="L24" s="165">
        <f>IF(C24="","",COUNTIFS(Başvuru!$C:$C,C24,Başvuru!$L:$L,"KAEK",Başvuru!$A:$A,"&lt;&gt;"&amp;"",Başvuru!$F:$F,"&lt;&gt;"&amp;""))</f>
        <v>0</v>
      </c>
      <c r="M24" s="166">
        <f>IF(C24="","",COUNTIFS(Başvuru!$C:$C,C24,Başvuru!$L:$L,"GÖRÜŞ",Başvuru!$A:$A,"&lt;&gt;"&amp;"",Başvuru!$F:$F,"&lt;&gt;"&amp;""))</f>
        <v>0</v>
      </c>
      <c r="N24" s="167">
        <f>IF(C24="","",COUNTIFS(Başvuru!$C:$C,C24,Başvuru!$L:$L,"RET",Başvuru!$A:$A,"&lt;&gt;"&amp;"",Başvuru!$F:$F,"&lt;&gt;"&amp;""))</f>
        <v>0</v>
      </c>
      <c r="O24" s="168">
        <f>IF(C24="","",COUNTIFS(Başvuru!$C:$C,C24,Başvuru!$L:$L,"KAPSAM DIŞI",Başvuru!$A:$A,"&lt;&gt;"&amp;"",Başvuru!$F:$F,"&lt;&gt;"&amp;""))</f>
        <v>0</v>
      </c>
      <c r="P24" s="169">
        <f>IF(C24="","",COUNTIFS(Başvuru!$C:$C,C24,Başvuru!$L:$L,"GERİ ÇEKİLDİ",Başvuru!$A:$A,"&lt;&gt;"&amp;"",Başvuru!$F:$F,"&lt;&gt;"&amp;""))</f>
        <v>0</v>
      </c>
      <c r="Q24" s="170" t="str">
        <f>IFERROR(INDEX(Başvuru!$C$2:$C$1851,MATCH(19,Başvuru!$AB$2:$AB$1851,0)),"")</f>
        <v>Dr. Öğr. Üyesi Figen BEZCİ AYGÜN</v>
      </c>
      <c r="R24" s="171">
        <f>IF(Q24="","",COUNTIFS(Başvuru!$C:$C,Q24,Başvuru!$A:$A,"&lt;&gt;"&amp;"",Başvuru!$F:$F,"&lt;&gt;"&amp;""))</f>
        <v>8</v>
      </c>
      <c r="S24" s="171">
        <f>IF(R24="","",RANK(R24,$R$6:$R$505,0)+COUNTIF($R$6:R24,R24)-1)</f>
        <v>7</v>
      </c>
    </row>
    <row r="25" spans="2:19" ht="23.25" customHeight="1" x14ac:dyDescent="0.25">
      <c r="B25" s="159">
        <v>20</v>
      </c>
      <c r="C25" s="160" t="str">
        <f>IFERROR(INDEX($Q$6:$Q$505,MATCH(20,$S$6:$S$505,0)),"")</f>
        <v>Doç. Dr. Levent KILIÇ</v>
      </c>
      <c r="D25" s="161">
        <f>IF(C25="","",COUNTIFS(Başvuru!$C:$C,C25,Başvuru!$A:$A,"&lt;&gt;"&amp;"",Başvuru!$F:$F,"&lt;&gt;"&amp;""))</f>
        <v>5</v>
      </c>
      <c r="E25" s="159" t="str">
        <f>IF(C25="","-",IF(D25&gt;0,TEXT(D25/(COUNTIFS(Başvuru!$A:$A,"&lt;&gt;",Başvuru!$F:$F,"&lt;&gt;")-1)*100,"0.0")&amp;"%","-"))</f>
        <v>01%</v>
      </c>
      <c r="F25" s="162">
        <f>IF(C25="","",COUNTIFS(Başvuru!$C:$C,C25,Başvuru!$G:$G,"Bireysel Araştırma",Başvuru!$A:$A,"&lt;&gt;"&amp;"",Başvuru!$F:$F,"&lt;&gt;"&amp;""))</f>
        <v>4</v>
      </c>
      <c r="G25" s="162">
        <f>IF(C25="","",COUNTIFS(Başvuru!$C:$C,C25,Başvuru!$G:$G,"Uzmanlık Tezi",Başvuru!$A:$A,"&lt;&gt;"&amp;"",Başvuru!$F:$F,"&lt;&gt;"&amp;""))</f>
        <v>1</v>
      </c>
      <c r="H25" s="162">
        <f>IF(C25="","",COUNTIFS(Başvuru!$C:$C,C25,Başvuru!$G:$G,"Doktora Tezi",Başvuru!$A:$A,"&lt;&gt;"&amp;"",Başvuru!$F:$F,"&lt;&gt;"&amp;""))</f>
        <v>0</v>
      </c>
      <c r="I25" s="162">
        <f>IF(C25="","",COUNTIFS(Başvuru!$C:$C,C25,Başvuru!$G:$G,"Yüksek Lisans Tezi",Başvuru!$A:$A,"&lt;&gt;"&amp;"",Başvuru!$F:$F,"&lt;&gt;"&amp;""))</f>
        <v>0</v>
      </c>
      <c r="J25" s="163">
        <f>IF(C25="","",COUNTIFS(Başvuru!$C:$C,C25,Başvuru!$L:$L,"ONAY",Başvuru!$A:$A,"&lt;&gt;"&amp;"",Başvuru!$F:$F,"&lt;&gt;"&amp;""))</f>
        <v>2</v>
      </c>
      <c r="K25" s="164">
        <f>IF(C25="","",COUNTIFS(Başvuru!$C:$C,C25,Başvuru!$L:$L,"DÜZELTME",Başvuru!$A:$A,"&lt;&gt;"&amp;"",Başvuru!$F:$F,"&lt;&gt;"&amp;""))</f>
        <v>1</v>
      </c>
      <c r="L25" s="165">
        <f>IF(C25="","",COUNTIFS(Başvuru!$C:$C,C25,Başvuru!$L:$L,"KAEK",Başvuru!$A:$A,"&lt;&gt;"&amp;"",Başvuru!$F:$F,"&lt;&gt;"&amp;""))</f>
        <v>0</v>
      </c>
      <c r="M25" s="166">
        <f>IF(C25="","",COUNTIFS(Başvuru!$C:$C,C25,Başvuru!$L:$L,"GÖRÜŞ",Başvuru!$A:$A,"&lt;&gt;"&amp;"",Başvuru!$F:$F,"&lt;&gt;"&amp;""))</f>
        <v>1</v>
      </c>
      <c r="N25" s="167">
        <f>IF(C25="","",COUNTIFS(Başvuru!$C:$C,C25,Başvuru!$L:$L,"RET",Başvuru!$A:$A,"&lt;&gt;"&amp;"",Başvuru!$F:$F,"&lt;&gt;"&amp;""))</f>
        <v>0</v>
      </c>
      <c r="O25" s="168">
        <f>IF(C25="","",COUNTIFS(Başvuru!$C:$C,C25,Başvuru!$L:$L,"KAPSAM DIŞI",Başvuru!$A:$A,"&lt;&gt;"&amp;"",Başvuru!$F:$F,"&lt;&gt;"&amp;""))</f>
        <v>0</v>
      </c>
      <c r="P25" s="169">
        <f>IF(C25="","",COUNTIFS(Başvuru!$C:$C,C25,Başvuru!$L:$L,"GERİ ÇEKİLDİ",Başvuru!$A:$A,"&lt;&gt;"&amp;"",Başvuru!$F:$F,"&lt;&gt;"&amp;""))</f>
        <v>0</v>
      </c>
      <c r="Q25" s="170" t="str">
        <f>IFERROR(INDEX(Başvuru!$C$2:$C$1851,MATCH(20,Başvuru!$AB$2:$AB$1851,0)),"")</f>
        <v>Prof. Dr. Oğuz IŞIK</v>
      </c>
      <c r="R25" s="171">
        <f>IF(Q25="","",COUNTIFS(Başvuru!$C:$C,Q25,Başvuru!$A:$A,"&lt;&gt;"&amp;"",Başvuru!$F:$F,"&lt;&gt;"&amp;""))</f>
        <v>3</v>
      </c>
      <c r="S25" s="171">
        <f>IF(R25="","",RANK(R25,$R$6:$R$505,0)+COUNTIF($R$6:R25,R25)-1)</f>
        <v>56</v>
      </c>
    </row>
    <row r="26" spans="2:19" ht="23.25" customHeight="1" x14ac:dyDescent="0.25">
      <c r="B26" s="159">
        <v>21</v>
      </c>
      <c r="C26" s="160" t="str">
        <f>IFERROR(INDEX($Q$6:$Q$505,MATCH(21,$S$6:$S$505,0)),"")</f>
        <v>Doç. Dr. Erdem FADILOĞLU</v>
      </c>
      <c r="D26" s="161">
        <f>IF(C26="","",COUNTIFS(Başvuru!$C:$C,C26,Başvuru!$A:$A,"&lt;&gt;"&amp;"",Başvuru!$F:$F,"&lt;&gt;"&amp;""))</f>
        <v>5</v>
      </c>
      <c r="E26" s="159" t="str">
        <f>IF(C26="","-",IF(D26&gt;0,TEXT(D26/(COUNTIFS(Başvuru!$A:$A,"&lt;&gt;",Başvuru!$F:$F,"&lt;&gt;")-1)*100,"0.0")&amp;"%","-"))</f>
        <v>01%</v>
      </c>
      <c r="F26" s="162">
        <f>IF(C26="","",COUNTIFS(Başvuru!$C:$C,C26,Başvuru!$G:$G,"Bireysel Araştırma",Başvuru!$A:$A,"&lt;&gt;"&amp;"",Başvuru!$F:$F,"&lt;&gt;"&amp;""))</f>
        <v>3</v>
      </c>
      <c r="G26" s="162">
        <f>IF(C26="","",COUNTIFS(Başvuru!$C:$C,C26,Başvuru!$G:$G,"Uzmanlık Tezi",Başvuru!$A:$A,"&lt;&gt;"&amp;"",Başvuru!$F:$F,"&lt;&gt;"&amp;""))</f>
        <v>2</v>
      </c>
      <c r="H26" s="162">
        <f>IF(C26="","",COUNTIFS(Başvuru!$C:$C,C26,Başvuru!$G:$G,"Doktora Tezi",Başvuru!$A:$A,"&lt;&gt;"&amp;"",Başvuru!$F:$F,"&lt;&gt;"&amp;""))</f>
        <v>0</v>
      </c>
      <c r="I26" s="162">
        <f>IF(C26="","",COUNTIFS(Başvuru!$C:$C,C26,Başvuru!$G:$G,"Yüksek Lisans Tezi",Başvuru!$A:$A,"&lt;&gt;"&amp;"",Başvuru!$F:$F,"&lt;&gt;"&amp;""))</f>
        <v>0</v>
      </c>
      <c r="J26" s="163">
        <f>IF(C26="","",COUNTIFS(Başvuru!$C:$C,C26,Başvuru!$L:$L,"ONAY",Başvuru!$A:$A,"&lt;&gt;"&amp;"",Başvuru!$F:$F,"&lt;&gt;"&amp;""))</f>
        <v>1</v>
      </c>
      <c r="K26" s="164">
        <f>IF(C26="","",COUNTIFS(Başvuru!$C:$C,C26,Başvuru!$L:$L,"DÜZELTME",Başvuru!$A:$A,"&lt;&gt;"&amp;"",Başvuru!$F:$F,"&lt;&gt;"&amp;""))</f>
        <v>3</v>
      </c>
      <c r="L26" s="165">
        <f>IF(C26="","",COUNTIFS(Başvuru!$C:$C,C26,Başvuru!$L:$L,"KAEK",Başvuru!$A:$A,"&lt;&gt;"&amp;"",Başvuru!$F:$F,"&lt;&gt;"&amp;""))</f>
        <v>0</v>
      </c>
      <c r="M26" s="166">
        <f>IF(C26="","",COUNTIFS(Başvuru!$C:$C,C26,Başvuru!$L:$L,"GÖRÜŞ",Başvuru!$A:$A,"&lt;&gt;"&amp;"",Başvuru!$F:$F,"&lt;&gt;"&amp;""))</f>
        <v>0</v>
      </c>
      <c r="N26" s="167">
        <f>IF(C26="","",COUNTIFS(Başvuru!$C:$C,C26,Başvuru!$L:$L,"RET",Başvuru!$A:$A,"&lt;&gt;"&amp;"",Başvuru!$F:$F,"&lt;&gt;"&amp;""))</f>
        <v>0</v>
      </c>
      <c r="O26" s="168">
        <f>IF(C26="","",COUNTIFS(Başvuru!$C:$C,C26,Başvuru!$L:$L,"KAPSAM DIŞI",Başvuru!$A:$A,"&lt;&gt;"&amp;"",Başvuru!$F:$F,"&lt;&gt;"&amp;""))</f>
        <v>0</v>
      </c>
      <c r="P26" s="169">
        <f>IF(C26="","",COUNTIFS(Başvuru!$C:$C,C26,Başvuru!$L:$L,"GERİ ÇEKİLDİ",Başvuru!$A:$A,"&lt;&gt;"&amp;"",Başvuru!$F:$F,"&lt;&gt;"&amp;""))</f>
        <v>0</v>
      </c>
      <c r="Q26" s="170" t="str">
        <f>IFERROR(INDEX(Başvuru!$C$2:$C$1851,MATCH(21,Başvuru!$AB$2:$AB$1851,0)),"")</f>
        <v>Doç. Dr. Dilek ÜNAL</v>
      </c>
      <c r="R26" s="171">
        <f>IF(Q26="","",COUNTIFS(Başvuru!$C:$C,Q26,Başvuru!$A:$A,"&lt;&gt;"&amp;"",Başvuru!$F:$F,"&lt;&gt;"&amp;""))</f>
        <v>4</v>
      </c>
      <c r="S26" s="171">
        <f>IF(R26="","",RANK(R26,$R$6:$R$505,0)+COUNTIF($R$6:R26,R26)-1)</f>
        <v>34</v>
      </c>
    </row>
    <row r="27" spans="2:19" ht="23.25" customHeight="1" x14ac:dyDescent="0.25">
      <c r="B27" s="159">
        <v>22</v>
      </c>
      <c r="C27" s="160" t="str">
        <f>IFERROR(INDEX($Q$6:$Q$505,MATCH(22,$S$6:$S$505,0)),"")</f>
        <v>Dr. Öğr. Üyesi Burcu KELLECİ ÇAKIR</v>
      </c>
      <c r="D27" s="161">
        <f>IF(C27="","",COUNTIFS(Başvuru!$C:$C,C27,Başvuru!$A:$A,"&lt;&gt;"&amp;"",Başvuru!$F:$F,"&lt;&gt;"&amp;""))</f>
        <v>5</v>
      </c>
      <c r="E27" s="159" t="str">
        <f>IF(C27="","-",IF(D27&gt;0,TEXT(D27/(COUNTIFS(Başvuru!$A:$A,"&lt;&gt;",Başvuru!$F:$F,"&lt;&gt;")-1)*100,"0.0")&amp;"%","-"))</f>
        <v>01%</v>
      </c>
      <c r="F27" s="162">
        <f>IF(C27="","",COUNTIFS(Başvuru!$C:$C,C27,Başvuru!$G:$G,"Bireysel Araştırma",Başvuru!$A:$A,"&lt;&gt;"&amp;"",Başvuru!$F:$F,"&lt;&gt;"&amp;""))</f>
        <v>4</v>
      </c>
      <c r="G27" s="162">
        <f>IF(C27="","",COUNTIFS(Başvuru!$C:$C,C27,Başvuru!$G:$G,"Uzmanlık Tezi",Başvuru!$A:$A,"&lt;&gt;"&amp;"",Başvuru!$F:$F,"&lt;&gt;"&amp;""))</f>
        <v>0</v>
      </c>
      <c r="H27" s="162">
        <f>IF(C27="","",COUNTIFS(Başvuru!$C:$C,C27,Başvuru!$G:$G,"Doktora Tezi",Başvuru!$A:$A,"&lt;&gt;"&amp;"",Başvuru!$F:$F,"&lt;&gt;"&amp;""))</f>
        <v>0</v>
      </c>
      <c r="I27" s="162">
        <f>IF(C27="","",COUNTIFS(Başvuru!$C:$C,C27,Başvuru!$G:$G,"Yüksek Lisans Tezi",Başvuru!$A:$A,"&lt;&gt;"&amp;"",Başvuru!$F:$F,"&lt;&gt;"&amp;""))</f>
        <v>1</v>
      </c>
      <c r="J27" s="163">
        <f>IF(C27="","",COUNTIFS(Başvuru!$C:$C,C27,Başvuru!$L:$L,"ONAY",Başvuru!$A:$A,"&lt;&gt;"&amp;"",Başvuru!$F:$F,"&lt;&gt;"&amp;""))</f>
        <v>4</v>
      </c>
      <c r="K27" s="164">
        <f>IF(C27="","",COUNTIFS(Başvuru!$C:$C,C27,Başvuru!$L:$L,"DÜZELTME",Başvuru!$A:$A,"&lt;&gt;"&amp;"",Başvuru!$F:$F,"&lt;&gt;"&amp;""))</f>
        <v>1</v>
      </c>
      <c r="L27" s="165">
        <f>IF(C27="","",COUNTIFS(Başvuru!$C:$C,C27,Başvuru!$L:$L,"KAEK",Başvuru!$A:$A,"&lt;&gt;"&amp;"",Başvuru!$F:$F,"&lt;&gt;"&amp;""))</f>
        <v>0</v>
      </c>
      <c r="M27" s="166">
        <f>IF(C27="","",COUNTIFS(Başvuru!$C:$C,C27,Başvuru!$L:$L,"GÖRÜŞ",Başvuru!$A:$A,"&lt;&gt;"&amp;"",Başvuru!$F:$F,"&lt;&gt;"&amp;""))</f>
        <v>0</v>
      </c>
      <c r="N27" s="167">
        <f>IF(C27="","",COUNTIFS(Başvuru!$C:$C,C27,Başvuru!$L:$L,"RET",Başvuru!$A:$A,"&lt;&gt;"&amp;"",Başvuru!$F:$F,"&lt;&gt;"&amp;""))</f>
        <v>0</v>
      </c>
      <c r="O27" s="168">
        <f>IF(C27="","",COUNTIFS(Başvuru!$C:$C,C27,Başvuru!$L:$L,"KAPSAM DIŞI",Başvuru!$A:$A,"&lt;&gt;"&amp;"",Başvuru!$F:$F,"&lt;&gt;"&amp;""))</f>
        <v>0</v>
      </c>
      <c r="P27" s="169">
        <f>IF(C27="","",COUNTIFS(Başvuru!$C:$C,C27,Başvuru!$L:$L,"GERİ ÇEKİLDİ",Başvuru!$A:$A,"&lt;&gt;"&amp;"",Başvuru!$F:$F,"&lt;&gt;"&amp;""))</f>
        <v>0</v>
      </c>
      <c r="Q27" s="170" t="str">
        <f>IFERROR(INDEX(Başvuru!$C$2:$C$1851,MATCH(22,Başvuru!$AB$2:$AB$1851,0)),"")</f>
        <v>Prof. Dr. Emre TOSUN</v>
      </c>
      <c r="R27" s="171">
        <f>IF(Q27="","",COUNTIFS(Başvuru!$C:$C,Q27,Başvuru!$A:$A,"&lt;&gt;"&amp;"",Başvuru!$F:$F,"&lt;&gt;"&amp;""))</f>
        <v>1</v>
      </c>
      <c r="S27" s="171">
        <f>IF(R27="","",RANK(R27,$R$6:$R$505,0)+COUNTIF($R$6:R27,R27)-1)</f>
        <v>166</v>
      </c>
    </row>
    <row r="28" spans="2:19" ht="23.25" customHeight="1" x14ac:dyDescent="0.25">
      <c r="B28" s="159">
        <v>23</v>
      </c>
      <c r="C28" s="160" t="str">
        <f>IFERROR(INDEX($Q$6:$Q$505,MATCH(23,$S$6:$S$505,0)),"")</f>
        <v>Doç. Dr. Ezgi ATİK</v>
      </c>
      <c r="D28" s="161">
        <f>IF(C28="","",COUNTIFS(Başvuru!$C:$C,C28,Başvuru!$A:$A,"&lt;&gt;"&amp;"",Başvuru!$F:$F,"&lt;&gt;"&amp;""))</f>
        <v>5</v>
      </c>
      <c r="E28" s="159" t="str">
        <f>IF(C28="","-",IF(D28&gt;0,TEXT(D28/(COUNTIFS(Başvuru!$A:$A,"&lt;&gt;",Başvuru!$F:$F,"&lt;&gt;")-1)*100,"0.0")&amp;"%","-"))</f>
        <v>01%</v>
      </c>
      <c r="F28" s="162">
        <f>IF(C28="","",COUNTIFS(Başvuru!$C:$C,C28,Başvuru!$G:$G,"Bireysel Araştırma",Başvuru!$A:$A,"&lt;&gt;"&amp;"",Başvuru!$F:$F,"&lt;&gt;"&amp;""))</f>
        <v>5</v>
      </c>
      <c r="G28" s="162">
        <f>IF(C28="","",COUNTIFS(Başvuru!$C:$C,C28,Başvuru!$G:$G,"Uzmanlık Tezi",Başvuru!$A:$A,"&lt;&gt;"&amp;"",Başvuru!$F:$F,"&lt;&gt;"&amp;""))</f>
        <v>0</v>
      </c>
      <c r="H28" s="162">
        <f>IF(C28="","",COUNTIFS(Başvuru!$C:$C,C28,Başvuru!$G:$G,"Doktora Tezi",Başvuru!$A:$A,"&lt;&gt;"&amp;"",Başvuru!$F:$F,"&lt;&gt;"&amp;""))</f>
        <v>0</v>
      </c>
      <c r="I28" s="162">
        <f>IF(C28="","",COUNTIFS(Başvuru!$C:$C,C28,Başvuru!$G:$G,"Yüksek Lisans Tezi",Başvuru!$A:$A,"&lt;&gt;"&amp;"",Başvuru!$F:$F,"&lt;&gt;"&amp;""))</f>
        <v>0</v>
      </c>
      <c r="J28" s="163">
        <f>IF(C28="","",COUNTIFS(Başvuru!$C:$C,C28,Başvuru!$L:$L,"ONAY",Başvuru!$A:$A,"&lt;&gt;"&amp;"",Başvuru!$F:$F,"&lt;&gt;"&amp;""))</f>
        <v>4</v>
      </c>
      <c r="K28" s="164">
        <f>IF(C28="","",COUNTIFS(Başvuru!$C:$C,C28,Başvuru!$L:$L,"DÜZELTME",Başvuru!$A:$A,"&lt;&gt;"&amp;"",Başvuru!$F:$F,"&lt;&gt;"&amp;""))</f>
        <v>1</v>
      </c>
      <c r="L28" s="165">
        <f>IF(C28="","",COUNTIFS(Başvuru!$C:$C,C28,Başvuru!$L:$L,"KAEK",Başvuru!$A:$A,"&lt;&gt;"&amp;"",Başvuru!$F:$F,"&lt;&gt;"&amp;""))</f>
        <v>0</v>
      </c>
      <c r="M28" s="166">
        <f>IF(C28="","",COUNTIFS(Başvuru!$C:$C,C28,Başvuru!$L:$L,"GÖRÜŞ",Başvuru!$A:$A,"&lt;&gt;"&amp;"",Başvuru!$F:$F,"&lt;&gt;"&amp;""))</f>
        <v>0</v>
      </c>
      <c r="N28" s="167">
        <f>IF(C28="","",COUNTIFS(Başvuru!$C:$C,C28,Başvuru!$L:$L,"RET",Başvuru!$A:$A,"&lt;&gt;"&amp;"",Başvuru!$F:$F,"&lt;&gt;"&amp;""))</f>
        <v>0</v>
      </c>
      <c r="O28" s="168">
        <f>IF(C28="","",COUNTIFS(Başvuru!$C:$C,C28,Başvuru!$L:$L,"KAPSAM DIŞI",Başvuru!$A:$A,"&lt;&gt;"&amp;"",Başvuru!$F:$F,"&lt;&gt;"&amp;""))</f>
        <v>0</v>
      </c>
      <c r="P28" s="169">
        <f>IF(C28="","",COUNTIFS(Başvuru!$C:$C,C28,Başvuru!$L:$L,"GERİ ÇEKİLDİ",Başvuru!$A:$A,"&lt;&gt;"&amp;"",Başvuru!$F:$F,"&lt;&gt;"&amp;""))</f>
        <v>0</v>
      </c>
      <c r="Q28" s="170" t="str">
        <f>IFERROR(INDEX(Başvuru!$C$2:$C$1851,MATCH(23,Başvuru!$AB$2:$AB$1851,0)),"")</f>
        <v>Prof. Dr. Seza ÖZEN</v>
      </c>
      <c r="R28" s="171">
        <f>IF(Q28="","",COUNTIFS(Başvuru!$C:$C,Q28,Başvuru!$A:$A,"&lt;&gt;"&amp;"",Başvuru!$F:$F,"&lt;&gt;"&amp;""))</f>
        <v>3</v>
      </c>
      <c r="S28" s="171">
        <f>IF(R28="","",RANK(R28,$R$6:$R$505,0)+COUNTIF($R$6:R28,R28)-1)</f>
        <v>57</v>
      </c>
    </row>
    <row r="29" spans="2:19" ht="23.25" customHeight="1" x14ac:dyDescent="0.25">
      <c r="B29" s="159">
        <v>24</v>
      </c>
      <c r="C29" s="160" t="str">
        <f>IFERROR(INDEX($Q$6:$Q$505,MATCH(24,$S$6:$S$505,0)),"")</f>
        <v>Doç. Dr. İrem KOÇ</v>
      </c>
      <c r="D29" s="161">
        <f>IF(C29="","",COUNTIFS(Başvuru!$C:$C,C29,Başvuru!$A:$A,"&lt;&gt;"&amp;"",Başvuru!$F:$F,"&lt;&gt;"&amp;""))</f>
        <v>5</v>
      </c>
      <c r="E29" s="159" t="str">
        <f>IF(C29="","-",IF(D29&gt;0,TEXT(D29/(COUNTIFS(Başvuru!$A:$A,"&lt;&gt;",Başvuru!$F:$F,"&lt;&gt;")-1)*100,"0.0")&amp;"%","-"))</f>
        <v>01%</v>
      </c>
      <c r="F29" s="162">
        <f>IF(C29="","",COUNTIFS(Başvuru!$C:$C,C29,Başvuru!$G:$G,"Bireysel Araştırma",Başvuru!$A:$A,"&lt;&gt;"&amp;"",Başvuru!$F:$F,"&lt;&gt;"&amp;""))</f>
        <v>5</v>
      </c>
      <c r="G29" s="162">
        <f>IF(C29="","",COUNTIFS(Başvuru!$C:$C,C29,Başvuru!$G:$G,"Uzmanlık Tezi",Başvuru!$A:$A,"&lt;&gt;"&amp;"",Başvuru!$F:$F,"&lt;&gt;"&amp;""))</f>
        <v>0</v>
      </c>
      <c r="H29" s="162">
        <f>IF(C29="","",COUNTIFS(Başvuru!$C:$C,C29,Başvuru!$G:$G,"Doktora Tezi",Başvuru!$A:$A,"&lt;&gt;"&amp;"",Başvuru!$F:$F,"&lt;&gt;"&amp;""))</f>
        <v>0</v>
      </c>
      <c r="I29" s="162">
        <f>IF(C29="","",COUNTIFS(Başvuru!$C:$C,C29,Başvuru!$G:$G,"Yüksek Lisans Tezi",Başvuru!$A:$A,"&lt;&gt;"&amp;"",Başvuru!$F:$F,"&lt;&gt;"&amp;""))</f>
        <v>0</v>
      </c>
      <c r="J29" s="163">
        <f>IF(C29="","",COUNTIFS(Başvuru!$C:$C,C29,Başvuru!$L:$L,"ONAY",Başvuru!$A:$A,"&lt;&gt;"&amp;"",Başvuru!$F:$F,"&lt;&gt;"&amp;""))</f>
        <v>4</v>
      </c>
      <c r="K29" s="164">
        <f>IF(C29="","",COUNTIFS(Başvuru!$C:$C,C29,Başvuru!$L:$L,"DÜZELTME",Başvuru!$A:$A,"&lt;&gt;"&amp;"",Başvuru!$F:$F,"&lt;&gt;"&amp;""))</f>
        <v>1</v>
      </c>
      <c r="L29" s="165">
        <f>IF(C29="","",COUNTIFS(Başvuru!$C:$C,C29,Başvuru!$L:$L,"KAEK",Başvuru!$A:$A,"&lt;&gt;"&amp;"",Başvuru!$F:$F,"&lt;&gt;"&amp;""))</f>
        <v>0</v>
      </c>
      <c r="M29" s="166">
        <f>IF(C29="","",COUNTIFS(Başvuru!$C:$C,C29,Başvuru!$L:$L,"GÖRÜŞ",Başvuru!$A:$A,"&lt;&gt;"&amp;"",Başvuru!$F:$F,"&lt;&gt;"&amp;""))</f>
        <v>0</v>
      </c>
      <c r="N29" s="167">
        <f>IF(C29="","",COUNTIFS(Başvuru!$C:$C,C29,Başvuru!$L:$L,"RET",Başvuru!$A:$A,"&lt;&gt;"&amp;"",Başvuru!$F:$F,"&lt;&gt;"&amp;""))</f>
        <v>0</v>
      </c>
      <c r="O29" s="168">
        <f>IF(C29="","",COUNTIFS(Başvuru!$C:$C,C29,Başvuru!$L:$L,"KAPSAM DIŞI",Başvuru!$A:$A,"&lt;&gt;"&amp;"",Başvuru!$F:$F,"&lt;&gt;"&amp;""))</f>
        <v>0</v>
      </c>
      <c r="P29" s="169">
        <f>IF(C29="","",COUNTIFS(Başvuru!$C:$C,C29,Başvuru!$L:$L,"GERİ ÇEKİLDİ",Başvuru!$A:$A,"&lt;&gt;"&amp;"",Başvuru!$F:$F,"&lt;&gt;"&amp;""))</f>
        <v>0</v>
      </c>
      <c r="Q29" s="170" t="str">
        <f>IFERROR(INDEX(Başvuru!$C$2:$C$1851,MATCH(24,Başvuru!$AB$2:$AB$1851,0)),"")</f>
        <v>Dr. Öğr. Üyesi Gonca ÖZTEN DERE</v>
      </c>
      <c r="R29" s="171">
        <f>IF(Q29="","",COUNTIFS(Başvuru!$C:$C,Q29,Başvuru!$A:$A,"&lt;&gt;"&amp;"",Başvuru!$F:$F,"&lt;&gt;"&amp;""))</f>
        <v>8</v>
      </c>
      <c r="S29" s="171">
        <f>IF(R29="","",RANK(R29,$R$6:$R$505,0)+COUNTIF($R$6:R29,R29)-1)</f>
        <v>8</v>
      </c>
    </row>
    <row r="30" spans="2:19" ht="23.25" customHeight="1" x14ac:dyDescent="0.25">
      <c r="B30" s="159">
        <v>25</v>
      </c>
      <c r="C30" s="160" t="str">
        <f>IFERROR(INDEX($Q$6:$Q$505,MATCH(25,$S$6:$S$505,0)),"")</f>
        <v>Prof. Dr. Alp ÇETİN</v>
      </c>
      <c r="D30" s="161">
        <f>IF(C30="","",COUNTIFS(Başvuru!$C:$C,C30,Başvuru!$A:$A,"&lt;&gt;"&amp;"",Başvuru!$F:$F,"&lt;&gt;"&amp;""))</f>
        <v>5</v>
      </c>
      <c r="E30" s="159" t="str">
        <f>IF(C30="","-",IF(D30&gt;0,TEXT(D30/(COUNTIFS(Başvuru!$A:$A,"&lt;&gt;",Başvuru!$F:$F,"&lt;&gt;")-1)*100,"0.0")&amp;"%","-"))</f>
        <v>01%</v>
      </c>
      <c r="F30" s="162">
        <f>IF(C30="","",COUNTIFS(Başvuru!$C:$C,C30,Başvuru!$G:$G,"Bireysel Araştırma",Başvuru!$A:$A,"&lt;&gt;"&amp;"",Başvuru!$F:$F,"&lt;&gt;"&amp;""))</f>
        <v>4</v>
      </c>
      <c r="G30" s="162">
        <f>IF(C30="","",COUNTIFS(Başvuru!$C:$C,C30,Başvuru!$G:$G,"Uzmanlık Tezi",Başvuru!$A:$A,"&lt;&gt;"&amp;"",Başvuru!$F:$F,"&lt;&gt;"&amp;""))</f>
        <v>1</v>
      </c>
      <c r="H30" s="162">
        <f>IF(C30="","",COUNTIFS(Başvuru!$C:$C,C30,Başvuru!$G:$G,"Doktora Tezi",Başvuru!$A:$A,"&lt;&gt;"&amp;"",Başvuru!$F:$F,"&lt;&gt;"&amp;""))</f>
        <v>0</v>
      </c>
      <c r="I30" s="162">
        <f>IF(C30="","",COUNTIFS(Başvuru!$C:$C,C30,Başvuru!$G:$G,"Yüksek Lisans Tezi",Başvuru!$A:$A,"&lt;&gt;"&amp;"",Başvuru!$F:$F,"&lt;&gt;"&amp;""))</f>
        <v>0</v>
      </c>
      <c r="J30" s="163">
        <f>IF(C30="","",COUNTIFS(Başvuru!$C:$C,C30,Başvuru!$L:$L,"ONAY",Başvuru!$A:$A,"&lt;&gt;"&amp;"",Başvuru!$F:$F,"&lt;&gt;"&amp;""))</f>
        <v>1</v>
      </c>
      <c r="K30" s="164">
        <f>IF(C30="","",COUNTIFS(Başvuru!$C:$C,C30,Başvuru!$L:$L,"DÜZELTME",Başvuru!$A:$A,"&lt;&gt;"&amp;"",Başvuru!$F:$F,"&lt;&gt;"&amp;""))</f>
        <v>1</v>
      </c>
      <c r="L30" s="165">
        <f>IF(C30="","",COUNTIFS(Başvuru!$C:$C,C30,Başvuru!$L:$L,"KAEK",Başvuru!$A:$A,"&lt;&gt;"&amp;"",Başvuru!$F:$F,"&lt;&gt;"&amp;""))</f>
        <v>0</v>
      </c>
      <c r="M30" s="166">
        <f>IF(C30="","",COUNTIFS(Başvuru!$C:$C,C30,Başvuru!$L:$L,"GÖRÜŞ",Başvuru!$A:$A,"&lt;&gt;"&amp;"",Başvuru!$F:$F,"&lt;&gt;"&amp;""))</f>
        <v>0</v>
      </c>
      <c r="N30" s="167">
        <f>IF(C30="","",COUNTIFS(Başvuru!$C:$C,C30,Başvuru!$L:$L,"RET",Başvuru!$A:$A,"&lt;&gt;"&amp;"",Başvuru!$F:$F,"&lt;&gt;"&amp;""))</f>
        <v>2</v>
      </c>
      <c r="O30" s="168">
        <f>IF(C30="","",COUNTIFS(Başvuru!$C:$C,C30,Başvuru!$L:$L,"KAPSAM DIŞI",Başvuru!$A:$A,"&lt;&gt;"&amp;"",Başvuru!$F:$F,"&lt;&gt;"&amp;""))</f>
        <v>0</v>
      </c>
      <c r="P30" s="169">
        <f>IF(C30="","",COUNTIFS(Başvuru!$C:$C,C30,Başvuru!$L:$L,"GERİ ÇEKİLDİ",Başvuru!$A:$A,"&lt;&gt;"&amp;"",Başvuru!$F:$F,"&lt;&gt;"&amp;""))</f>
        <v>0</v>
      </c>
      <c r="Q30" s="170" t="str">
        <f>IFERROR(INDEX(Başvuru!$C$2:$C$1851,MATCH(25,Başvuru!$AB$2:$AB$1851,0)),"")</f>
        <v>Prof. Dr. Hikmet YORGUN</v>
      </c>
      <c r="R30" s="171">
        <f>IF(Q30="","",COUNTIFS(Başvuru!$C:$C,Q30,Başvuru!$A:$A,"&lt;&gt;"&amp;"",Başvuru!$F:$F,"&lt;&gt;"&amp;""))</f>
        <v>2</v>
      </c>
      <c r="S30" s="171">
        <f>IF(R30="","",RANK(R30,$R$6:$R$505,0)+COUNTIF($R$6:R30,R30)-1)</f>
        <v>85</v>
      </c>
    </row>
    <row r="31" spans="2:19" ht="23.25" customHeight="1" x14ac:dyDescent="0.25">
      <c r="B31" s="159">
        <v>26</v>
      </c>
      <c r="C31" s="160" t="str">
        <f>IFERROR(INDEX($Q$6:$Q$505,MATCH(26,$S$6:$S$505,0)),"")</f>
        <v>Doç. Dr. Duygu AYHAN BAŞER</v>
      </c>
      <c r="D31" s="161">
        <f>IF(C31="","",COUNTIFS(Başvuru!$C:$C,C31,Başvuru!$A:$A,"&lt;&gt;"&amp;"",Başvuru!$F:$F,"&lt;&gt;"&amp;""))</f>
        <v>5</v>
      </c>
      <c r="E31" s="159" t="str">
        <f>IF(C31="","-",IF(D31&gt;0,TEXT(D31/(COUNTIFS(Başvuru!$A:$A,"&lt;&gt;",Başvuru!$F:$F,"&lt;&gt;")-1)*100,"0.0")&amp;"%","-"))</f>
        <v>01%</v>
      </c>
      <c r="F31" s="162">
        <f>IF(C31="","",COUNTIFS(Başvuru!$C:$C,C31,Başvuru!$G:$G,"Bireysel Araştırma",Başvuru!$A:$A,"&lt;&gt;"&amp;"",Başvuru!$F:$F,"&lt;&gt;"&amp;""))</f>
        <v>4</v>
      </c>
      <c r="G31" s="162">
        <f>IF(C31="","",COUNTIFS(Başvuru!$C:$C,C31,Başvuru!$G:$G,"Uzmanlık Tezi",Başvuru!$A:$A,"&lt;&gt;"&amp;"",Başvuru!$F:$F,"&lt;&gt;"&amp;""))</f>
        <v>1</v>
      </c>
      <c r="H31" s="162">
        <f>IF(C31="","",COUNTIFS(Başvuru!$C:$C,C31,Başvuru!$G:$G,"Doktora Tezi",Başvuru!$A:$A,"&lt;&gt;"&amp;"",Başvuru!$F:$F,"&lt;&gt;"&amp;""))</f>
        <v>0</v>
      </c>
      <c r="I31" s="162">
        <f>IF(C31="","",COUNTIFS(Başvuru!$C:$C,C31,Başvuru!$G:$G,"Yüksek Lisans Tezi",Başvuru!$A:$A,"&lt;&gt;"&amp;"",Başvuru!$F:$F,"&lt;&gt;"&amp;""))</f>
        <v>0</v>
      </c>
      <c r="J31" s="163">
        <f>IF(C31="","",COUNTIFS(Başvuru!$C:$C,C31,Başvuru!$L:$L,"ONAY",Başvuru!$A:$A,"&lt;&gt;"&amp;"",Başvuru!$F:$F,"&lt;&gt;"&amp;""))</f>
        <v>2</v>
      </c>
      <c r="K31" s="164">
        <f>IF(C31="","",COUNTIFS(Başvuru!$C:$C,C31,Başvuru!$L:$L,"DÜZELTME",Başvuru!$A:$A,"&lt;&gt;"&amp;"",Başvuru!$F:$F,"&lt;&gt;"&amp;""))</f>
        <v>1</v>
      </c>
      <c r="L31" s="165">
        <f>IF(C31="","",COUNTIFS(Başvuru!$C:$C,C31,Başvuru!$L:$L,"KAEK",Başvuru!$A:$A,"&lt;&gt;"&amp;"",Başvuru!$F:$F,"&lt;&gt;"&amp;""))</f>
        <v>0</v>
      </c>
      <c r="M31" s="166">
        <f>IF(C31="","",COUNTIFS(Başvuru!$C:$C,C31,Başvuru!$L:$L,"GÖRÜŞ",Başvuru!$A:$A,"&lt;&gt;"&amp;"",Başvuru!$F:$F,"&lt;&gt;"&amp;""))</f>
        <v>0</v>
      </c>
      <c r="N31" s="167">
        <f>IF(C31="","",COUNTIFS(Başvuru!$C:$C,C31,Başvuru!$L:$L,"RET",Başvuru!$A:$A,"&lt;&gt;"&amp;"",Başvuru!$F:$F,"&lt;&gt;"&amp;""))</f>
        <v>2</v>
      </c>
      <c r="O31" s="168">
        <f>IF(C31="","",COUNTIFS(Başvuru!$C:$C,C31,Başvuru!$L:$L,"KAPSAM DIŞI",Başvuru!$A:$A,"&lt;&gt;"&amp;"",Başvuru!$F:$F,"&lt;&gt;"&amp;""))</f>
        <v>0</v>
      </c>
      <c r="P31" s="169">
        <f>IF(C31="","",COUNTIFS(Başvuru!$C:$C,C31,Başvuru!$L:$L,"GERİ ÇEKİLDİ",Başvuru!$A:$A,"&lt;&gt;"&amp;"",Başvuru!$F:$F,"&lt;&gt;"&amp;""))</f>
        <v>0</v>
      </c>
      <c r="Q31" s="170" t="str">
        <f>IFERROR(INDEX(Başvuru!$C$2:$C$1851,MATCH(26,Başvuru!$AB$2:$AB$1851,0)),"")</f>
        <v>Doç. Dr. Levent KILIÇ</v>
      </c>
      <c r="R31" s="171">
        <f>IF(Q31="","",COUNTIFS(Başvuru!$C:$C,Q31,Başvuru!$A:$A,"&lt;&gt;"&amp;"",Başvuru!$F:$F,"&lt;&gt;"&amp;""))</f>
        <v>5</v>
      </c>
      <c r="S31" s="171">
        <f>IF(R31="","",RANK(R31,$R$6:$R$505,0)+COUNTIF($R$6:R31,R31)-1)</f>
        <v>20</v>
      </c>
    </row>
    <row r="32" spans="2:19" ht="23.25" customHeight="1" x14ac:dyDescent="0.25">
      <c r="B32" s="159">
        <v>27</v>
      </c>
      <c r="C32" s="160" t="str">
        <f>IFERROR(INDEX($Q$6:$Q$505,MATCH(27,$S$6:$S$505,0)),"")</f>
        <v>Prof. Dr. Şule ÜNAL CANGÜL</v>
      </c>
      <c r="D32" s="161">
        <f>IF(C32="","",COUNTIFS(Başvuru!$C:$C,C32,Başvuru!$A:$A,"&lt;&gt;"&amp;"",Başvuru!$F:$F,"&lt;&gt;"&amp;""))</f>
        <v>5</v>
      </c>
      <c r="E32" s="159" t="str">
        <f>IF(C32="","-",IF(D32&gt;0,TEXT(D32/(COUNTIFS(Başvuru!$A:$A,"&lt;&gt;",Başvuru!$F:$F,"&lt;&gt;")-1)*100,"0.0")&amp;"%","-"))</f>
        <v>01%</v>
      </c>
      <c r="F32" s="162">
        <f>IF(C32="","",COUNTIFS(Başvuru!$C:$C,C32,Başvuru!$G:$G,"Bireysel Araştırma",Başvuru!$A:$A,"&lt;&gt;"&amp;"",Başvuru!$F:$F,"&lt;&gt;"&amp;""))</f>
        <v>4</v>
      </c>
      <c r="G32" s="162">
        <f>IF(C32="","",COUNTIFS(Başvuru!$C:$C,C32,Başvuru!$G:$G,"Uzmanlık Tezi",Başvuru!$A:$A,"&lt;&gt;"&amp;"",Başvuru!$F:$F,"&lt;&gt;"&amp;""))</f>
        <v>1</v>
      </c>
      <c r="H32" s="162">
        <f>IF(C32="","",COUNTIFS(Başvuru!$C:$C,C32,Başvuru!$G:$G,"Doktora Tezi",Başvuru!$A:$A,"&lt;&gt;"&amp;"",Başvuru!$F:$F,"&lt;&gt;"&amp;""))</f>
        <v>0</v>
      </c>
      <c r="I32" s="162">
        <f>IF(C32="","",COUNTIFS(Başvuru!$C:$C,C32,Başvuru!$G:$G,"Yüksek Lisans Tezi",Başvuru!$A:$A,"&lt;&gt;"&amp;"",Başvuru!$F:$F,"&lt;&gt;"&amp;""))</f>
        <v>0</v>
      </c>
      <c r="J32" s="163">
        <f>IF(C32="","",COUNTIFS(Başvuru!$C:$C,C32,Başvuru!$L:$L,"ONAY",Başvuru!$A:$A,"&lt;&gt;"&amp;"",Başvuru!$F:$F,"&lt;&gt;"&amp;""))</f>
        <v>2</v>
      </c>
      <c r="K32" s="164">
        <f>IF(C32="","",COUNTIFS(Başvuru!$C:$C,C32,Başvuru!$L:$L,"DÜZELTME",Başvuru!$A:$A,"&lt;&gt;"&amp;"",Başvuru!$F:$F,"&lt;&gt;"&amp;""))</f>
        <v>2</v>
      </c>
      <c r="L32" s="165">
        <f>IF(C32="","",COUNTIFS(Başvuru!$C:$C,C32,Başvuru!$L:$L,"KAEK",Başvuru!$A:$A,"&lt;&gt;"&amp;"",Başvuru!$F:$F,"&lt;&gt;"&amp;""))</f>
        <v>1</v>
      </c>
      <c r="M32" s="166">
        <f>IF(C32="","",COUNTIFS(Başvuru!$C:$C,C32,Başvuru!$L:$L,"GÖRÜŞ",Başvuru!$A:$A,"&lt;&gt;"&amp;"",Başvuru!$F:$F,"&lt;&gt;"&amp;""))</f>
        <v>0</v>
      </c>
      <c r="N32" s="167">
        <f>IF(C32="","",COUNTIFS(Başvuru!$C:$C,C32,Başvuru!$L:$L,"RET",Başvuru!$A:$A,"&lt;&gt;"&amp;"",Başvuru!$F:$F,"&lt;&gt;"&amp;""))</f>
        <v>0</v>
      </c>
      <c r="O32" s="168">
        <f>IF(C32="","",COUNTIFS(Başvuru!$C:$C,C32,Başvuru!$L:$L,"KAPSAM DIŞI",Başvuru!$A:$A,"&lt;&gt;"&amp;"",Başvuru!$F:$F,"&lt;&gt;"&amp;""))</f>
        <v>0</v>
      </c>
      <c r="P32" s="169">
        <f>IF(C32="","",COUNTIFS(Başvuru!$C:$C,C32,Başvuru!$L:$L,"GERİ ÇEKİLDİ",Başvuru!$A:$A,"&lt;&gt;"&amp;"",Başvuru!$F:$F,"&lt;&gt;"&amp;""))</f>
        <v>0</v>
      </c>
      <c r="Q32" s="170" t="str">
        <f>IFERROR(INDEX(Başvuru!$C$2:$C$1851,MATCH(27,Başvuru!$AB$2:$AB$1851,0)),"")</f>
        <v>Prof. Dr. Kudret AYTEMİR</v>
      </c>
      <c r="R32" s="171">
        <f>IF(Q32="","",COUNTIFS(Başvuru!$C:$C,Q32,Başvuru!$A:$A,"&lt;&gt;"&amp;"",Başvuru!$F:$F,"&lt;&gt;"&amp;""))</f>
        <v>3</v>
      </c>
      <c r="S32" s="171">
        <f>IF(R32="","",RANK(R32,$R$6:$R$505,0)+COUNTIF($R$6:R32,R32)-1)</f>
        <v>58</v>
      </c>
    </row>
    <row r="33" spans="2:19" ht="23.25" customHeight="1" x14ac:dyDescent="0.25">
      <c r="B33" s="159">
        <v>28</v>
      </c>
      <c r="C33" s="160" t="str">
        <f>IFERROR(INDEX($Q$6:$Q$505,MATCH(28,$S$6:$S$505,0)),"")</f>
        <v>Prof. Dr. Murat GÜLTEKİN</v>
      </c>
      <c r="D33" s="161">
        <f>IF(C33="","",COUNTIFS(Başvuru!$C:$C,C33,Başvuru!$A:$A,"&lt;&gt;"&amp;"",Başvuru!$F:$F,"&lt;&gt;"&amp;""))</f>
        <v>5</v>
      </c>
      <c r="E33" s="159" t="str">
        <f>IF(C33="","-",IF(D33&gt;0,TEXT(D33/(COUNTIFS(Başvuru!$A:$A,"&lt;&gt;",Başvuru!$F:$F,"&lt;&gt;")-1)*100,"0.0")&amp;"%","-"))</f>
        <v>01%</v>
      </c>
      <c r="F33" s="162">
        <f>IF(C33="","",COUNTIFS(Başvuru!$C:$C,C33,Başvuru!$G:$G,"Bireysel Araştırma",Başvuru!$A:$A,"&lt;&gt;"&amp;"",Başvuru!$F:$F,"&lt;&gt;"&amp;""))</f>
        <v>5</v>
      </c>
      <c r="G33" s="162">
        <f>IF(C33="","",COUNTIFS(Başvuru!$C:$C,C33,Başvuru!$G:$G,"Uzmanlık Tezi",Başvuru!$A:$A,"&lt;&gt;"&amp;"",Başvuru!$F:$F,"&lt;&gt;"&amp;""))</f>
        <v>0</v>
      </c>
      <c r="H33" s="162">
        <f>IF(C33="","",COUNTIFS(Başvuru!$C:$C,C33,Başvuru!$G:$G,"Doktora Tezi",Başvuru!$A:$A,"&lt;&gt;"&amp;"",Başvuru!$F:$F,"&lt;&gt;"&amp;""))</f>
        <v>0</v>
      </c>
      <c r="I33" s="162">
        <f>IF(C33="","",COUNTIFS(Başvuru!$C:$C,C33,Başvuru!$G:$G,"Yüksek Lisans Tezi",Başvuru!$A:$A,"&lt;&gt;"&amp;"",Başvuru!$F:$F,"&lt;&gt;"&amp;""))</f>
        <v>0</v>
      </c>
      <c r="J33" s="163">
        <f>IF(C33="","",COUNTIFS(Başvuru!$C:$C,C33,Başvuru!$L:$L,"ONAY",Başvuru!$A:$A,"&lt;&gt;"&amp;"",Başvuru!$F:$F,"&lt;&gt;"&amp;""))</f>
        <v>1</v>
      </c>
      <c r="K33" s="164">
        <f>IF(C33="","",COUNTIFS(Başvuru!$C:$C,C33,Başvuru!$L:$L,"DÜZELTME",Başvuru!$A:$A,"&lt;&gt;"&amp;"",Başvuru!$F:$F,"&lt;&gt;"&amp;""))</f>
        <v>0</v>
      </c>
      <c r="L33" s="165">
        <f>IF(C33="","",COUNTIFS(Başvuru!$C:$C,C33,Başvuru!$L:$L,"KAEK",Başvuru!$A:$A,"&lt;&gt;"&amp;"",Başvuru!$F:$F,"&lt;&gt;"&amp;""))</f>
        <v>2</v>
      </c>
      <c r="M33" s="166">
        <f>IF(C33="","",COUNTIFS(Başvuru!$C:$C,C33,Başvuru!$L:$L,"GÖRÜŞ",Başvuru!$A:$A,"&lt;&gt;"&amp;"",Başvuru!$F:$F,"&lt;&gt;"&amp;""))</f>
        <v>1</v>
      </c>
      <c r="N33" s="167">
        <f>IF(C33="","",COUNTIFS(Başvuru!$C:$C,C33,Başvuru!$L:$L,"RET",Başvuru!$A:$A,"&lt;&gt;"&amp;"",Başvuru!$F:$F,"&lt;&gt;"&amp;""))</f>
        <v>1</v>
      </c>
      <c r="O33" s="168">
        <f>IF(C33="","",COUNTIFS(Başvuru!$C:$C,C33,Başvuru!$L:$L,"KAPSAM DIŞI",Başvuru!$A:$A,"&lt;&gt;"&amp;"",Başvuru!$F:$F,"&lt;&gt;"&amp;""))</f>
        <v>0</v>
      </c>
      <c r="P33" s="169">
        <f>IF(C33="","",COUNTIFS(Başvuru!$C:$C,C33,Başvuru!$L:$L,"GERİ ÇEKİLDİ",Başvuru!$A:$A,"&lt;&gt;"&amp;"",Başvuru!$F:$F,"&lt;&gt;"&amp;""))</f>
        <v>0</v>
      </c>
      <c r="Q33" s="170" t="str">
        <f>IFERROR(INDEX(Başvuru!$C$2:$C$1851,MATCH(28,Başvuru!$AB$2:$AB$1851,0)),"")</f>
        <v>Prof. Dr. Ebru DAMADOĞLU</v>
      </c>
      <c r="R33" s="171">
        <f>IF(Q33="","",COUNTIFS(Başvuru!$C:$C,Q33,Başvuru!$A:$A,"&lt;&gt;"&amp;"",Başvuru!$F:$F,"&lt;&gt;"&amp;""))</f>
        <v>4</v>
      </c>
      <c r="S33" s="171">
        <f>IF(R33="","",RANK(R33,$R$6:$R$505,0)+COUNTIF($R$6:R33,R33)-1)</f>
        <v>35</v>
      </c>
    </row>
    <row r="34" spans="2:19" ht="23.25" customHeight="1" x14ac:dyDescent="0.25">
      <c r="B34" s="159">
        <v>29</v>
      </c>
      <c r="C34" s="160" t="str">
        <f>IFERROR(INDEX($Q$6:$Q$505,MATCH(29,$S$6:$S$505,0)),"")</f>
        <v>Prof. Dr. Umut KALYONCU</v>
      </c>
      <c r="D34" s="161">
        <f>IF(C34="","",COUNTIFS(Başvuru!$C:$C,C34,Başvuru!$A:$A,"&lt;&gt;"&amp;"",Başvuru!$F:$F,"&lt;&gt;"&amp;""))</f>
        <v>5</v>
      </c>
      <c r="E34" s="159" t="str">
        <f>IF(C34="","-",IF(D34&gt;0,TEXT(D34/(COUNTIFS(Başvuru!$A:$A,"&lt;&gt;",Başvuru!$F:$F,"&lt;&gt;")-1)*100,"0.0")&amp;"%","-"))</f>
        <v>01%</v>
      </c>
      <c r="F34" s="162">
        <f>IF(C34="","",COUNTIFS(Başvuru!$C:$C,C34,Başvuru!$G:$G,"Bireysel Araştırma",Başvuru!$A:$A,"&lt;&gt;"&amp;"",Başvuru!$F:$F,"&lt;&gt;"&amp;""))</f>
        <v>4</v>
      </c>
      <c r="G34" s="162">
        <f>IF(C34="","",COUNTIFS(Başvuru!$C:$C,C34,Başvuru!$G:$G,"Uzmanlık Tezi",Başvuru!$A:$A,"&lt;&gt;"&amp;"",Başvuru!$F:$F,"&lt;&gt;"&amp;""))</f>
        <v>1</v>
      </c>
      <c r="H34" s="162">
        <f>IF(C34="","",COUNTIFS(Başvuru!$C:$C,C34,Başvuru!$G:$G,"Doktora Tezi",Başvuru!$A:$A,"&lt;&gt;"&amp;"",Başvuru!$F:$F,"&lt;&gt;"&amp;""))</f>
        <v>0</v>
      </c>
      <c r="I34" s="162">
        <f>IF(C34="","",COUNTIFS(Başvuru!$C:$C,C34,Başvuru!$G:$G,"Yüksek Lisans Tezi",Başvuru!$A:$A,"&lt;&gt;"&amp;"",Başvuru!$F:$F,"&lt;&gt;"&amp;""))</f>
        <v>0</v>
      </c>
      <c r="J34" s="163">
        <f>IF(C34="","",COUNTIFS(Başvuru!$C:$C,C34,Başvuru!$L:$L,"ONAY",Başvuru!$A:$A,"&lt;&gt;"&amp;"",Başvuru!$F:$F,"&lt;&gt;"&amp;""))</f>
        <v>2</v>
      </c>
      <c r="K34" s="164">
        <f>IF(C34="","",COUNTIFS(Başvuru!$C:$C,C34,Başvuru!$L:$L,"DÜZELTME",Başvuru!$A:$A,"&lt;&gt;"&amp;"",Başvuru!$F:$F,"&lt;&gt;"&amp;""))</f>
        <v>1</v>
      </c>
      <c r="L34" s="165">
        <f>IF(C34="","",COUNTIFS(Başvuru!$C:$C,C34,Başvuru!$L:$L,"KAEK",Başvuru!$A:$A,"&lt;&gt;"&amp;"",Başvuru!$F:$F,"&lt;&gt;"&amp;""))</f>
        <v>0</v>
      </c>
      <c r="M34" s="166">
        <f>IF(C34="","",COUNTIFS(Başvuru!$C:$C,C34,Başvuru!$L:$L,"GÖRÜŞ",Başvuru!$A:$A,"&lt;&gt;"&amp;"",Başvuru!$F:$F,"&lt;&gt;"&amp;""))</f>
        <v>0</v>
      </c>
      <c r="N34" s="167">
        <f>IF(C34="","",COUNTIFS(Başvuru!$C:$C,C34,Başvuru!$L:$L,"RET",Başvuru!$A:$A,"&lt;&gt;"&amp;"",Başvuru!$F:$F,"&lt;&gt;"&amp;""))</f>
        <v>1</v>
      </c>
      <c r="O34" s="168">
        <f>IF(C34="","",COUNTIFS(Başvuru!$C:$C,C34,Başvuru!$L:$L,"KAPSAM DIŞI",Başvuru!$A:$A,"&lt;&gt;"&amp;"",Başvuru!$F:$F,"&lt;&gt;"&amp;""))</f>
        <v>0</v>
      </c>
      <c r="P34" s="169">
        <f>IF(C34="","",COUNTIFS(Başvuru!$C:$C,C34,Başvuru!$L:$L,"GERİ ÇEKİLDİ",Başvuru!$A:$A,"&lt;&gt;"&amp;"",Başvuru!$F:$F,"&lt;&gt;"&amp;""))</f>
        <v>0</v>
      </c>
      <c r="Q34" s="170" t="str">
        <f>IFERROR(INDEX(Başvuru!$C$2:$C$1851,MATCH(29,Başvuru!$AB$2:$AB$1851,0)),"")</f>
        <v>Öğr. Gör. Dr. Bahattin PASLI</v>
      </c>
      <c r="R34" s="171">
        <f>IF(Q34="","",COUNTIFS(Başvuru!$C:$C,Q34,Başvuru!$A:$A,"&lt;&gt;"&amp;"",Başvuru!$F:$F,"&lt;&gt;"&amp;""))</f>
        <v>2</v>
      </c>
      <c r="S34" s="171">
        <f>IF(R34="","",RANK(R34,$R$6:$R$505,0)+COUNTIF($R$6:R34,R34)-1)</f>
        <v>86</v>
      </c>
    </row>
    <row r="35" spans="2:19" ht="23.25" customHeight="1" x14ac:dyDescent="0.25">
      <c r="B35" s="159">
        <v>30</v>
      </c>
      <c r="C35" s="160" t="str">
        <f>IFERROR(INDEX($Q$6:$Q$505,MATCH(30,$S$6:$S$505,0)),"")</f>
        <v>Doç. Dr. Gamze DURHAN</v>
      </c>
      <c r="D35" s="161">
        <f>IF(C35="","",COUNTIFS(Başvuru!$C:$C,C35,Başvuru!$A:$A,"&lt;&gt;"&amp;"",Başvuru!$F:$F,"&lt;&gt;"&amp;""))</f>
        <v>4</v>
      </c>
      <c r="E35" s="159" t="str">
        <f>IF(C35="","-",IF(D35&gt;0,TEXT(D35/(COUNTIFS(Başvuru!$A:$A,"&lt;&gt;",Başvuru!$F:$F,"&lt;&gt;")-1)*100,"0.0")&amp;"%","-"))</f>
        <v>01%</v>
      </c>
      <c r="F35" s="162">
        <f>IF(C35="","",COUNTIFS(Başvuru!$C:$C,C35,Başvuru!$G:$G,"Bireysel Araştırma",Başvuru!$A:$A,"&lt;&gt;"&amp;"",Başvuru!$F:$F,"&lt;&gt;"&amp;""))</f>
        <v>3</v>
      </c>
      <c r="G35" s="162">
        <f>IF(C35="","",COUNTIFS(Başvuru!$C:$C,C35,Başvuru!$G:$G,"Uzmanlık Tezi",Başvuru!$A:$A,"&lt;&gt;"&amp;"",Başvuru!$F:$F,"&lt;&gt;"&amp;""))</f>
        <v>1</v>
      </c>
      <c r="H35" s="162">
        <f>IF(C35="","",COUNTIFS(Başvuru!$C:$C,C35,Başvuru!$G:$G,"Doktora Tezi",Başvuru!$A:$A,"&lt;&gt;"&amp;"",Başvuru!$F:$F,"&lt;&gt;"&amp;""))</f>
        <v>0</v>
      </c>
      <c r="I35" s="162">
        <f>IF(C35="","",COUNTIFS(Başvuru!$C:$C,C35,Başvuru!$G:$G,"Yüksek Lisans Tezi",Başvuru!$A:$A,"&lt;&gt;"&amp;"",Başvuru!$F:$F,"&lt;&gt;"&amp;""))</f>
        <v>0</v>
      </c>
      <c r="J35" s="163">
        <f>IF(C35="","",COUNTIFS(Başvuru!$C:$C,C35,Başvuru!$L:$L,"ONAY",Başvuru!$A:$A,"&lt;&gt;"&amp;"",Başvuru!$F:$F,"&lt;&gt;"&amp;""))</f>
        <v>3</v>
      </c>
      <c r="K35" s="164">
        <f>IF(C35="","",COUNTIFS(Başvuru!$C:$C,C35,Başvuru!$L:$L,"DÜZELTME",Başvuru!$A:$A,"&lt;&gt;"&amp;"",Başvuru!$F:$F,"&lt;&gt;"&amp;""))</f>
        <v>0</v>
      </c>
      <c r="L35" s="165">
        <f>IF(C35="","",COUNTIFS(Başvuru!$C:$C,C35,Başvuru!$L:$L,"KAEK",Başvuru!$A:$A,"&lt;&gt;"&amp;"",Başvuru!$F:$F,"&lt;&gt;"&amp;""))</f>
        <v>0</v>
      </c>
      <c r="M35" s="166">
        <f>IF(C35="","",COUNTIFS(Başvuru!$C:$C,C35,Başvuru!$L:$L,"GÖRÜŞ",Başvuru!$A:$A,"&lt;&gt;"&amp;"",Başvuru!$F:$F,"&lt;&gt;"&amp;""))</f>
        <v>0</v>
      </c>
      <c r="N35" s="167">
        <f>IF(C35="","",COUNTIFS(Başvuru!$C:$C,C35,Başvuru!$L:$L,"RET",Başvuru!$A:$A,"&lt;&gt;"&amp;"",Başvuru!$F:$F,"&lt;&gt;"&amp;""))</f>
        <v>0</v>
      </c>
      <c r="O35" s="168">
        <f>IF(C35="","",COUNTIFS(Başvuru!$C:$C,C35,Başvuru!$L:$L,"KAPSAM DIŞI",Başvuru!$A:$A,"&lt;&gt;"&amp;"",Başvuru!$F:$F,"&lt;&gt;"&amp;""))</f>
        <v>0</v>
      </c>
      <c r="P35" s="169">
        <f>IF(C35="","",COUNTIFS(Başvuru!$C:$C,C35,Başvuru!$L:$L,"GERİ ÇEKİLDİ",Başvuru!$A:$A,"&lt;&gt;"&amp;"",Başvuru!$F:$F,"&lt;&gt;"&amp;""))</f>
        <v>0</v>
      </c>
      <c r="Q35" s="170" t="str">
        <f>IFERROR(INDEX(Başvuru!$C$2:$C$1851,MATCH(30,Başvuru!$AB$2:$AB$1851,0)),"")</f>
        <v>Prof. Dr. Müzeyyen Pınar ÖZGEN KIRATLI</v>
      </c>
      <c r="R35" s="171">
        <f>IF(Q35="","",COUNTIFS(Başvuru!$C:$C,Q35,Başvuru!$A:$A,"&lt;&gt;"&amp;"",Başvuru!$F:$F,"&lt;&gt;"&amp;""))</f>
        <v>1</v>
      </c>
      <c r="S35" s="171">
        <f>IF(R35="","",RANK(R35,$R$6:$R$505,0)+COUNTIF($R$6:R35,R35)-1)</f>
        <v>167</v>
      </c>
    </row>
    <row r="36" spans="2:19" ht="23.25" customHeight="1" x14ac:dyDescent="0.25">
      <c r="B36" s="159">
        <v>31</v>
      </c>
      <c r="C36" s="160" t="str">
        <f>IFERROR(INDEX($Q$6:$Q$505,MATCH(31,$S$6:$S$505,0)),"")</f>
        <v>Öğr. Gör. Dr. Buket KILIÇ</v>
      </c>
      <c r="D36" s="161">
        <f>IF(C36="","",COUNTIFS(Başvuru!$C:$C,C36,Başvuru!$A:$A,"&lt;&gt;"&amp;"",Başvuru!$F:$F,"&lt;&gt;"&amp;""))</f>
        <v>4</v>
      </c>
      <c r="E36" s="159" t="str">
        <f>IF(C36="","-",IF(D36&gt;0,TEXT(D36/(COUNTIFS(Başvuru!$A:$A,"&lt;&gt;",Başvuru!$F:$F,"&lt;&gt;")-1)*100,"0.0")&amp;"%","-"))</f>
        <v>01%</v>
      </c>
      <c r="F36" s="162">
        <f>IF(C36="","",COUNTIFS(Başvuru!$C:$C,C36,Başvuru!$G:$G,"Bireysel Araştırma",Başvuru!$A:$A,"&lt;&gt;"&amp;"",Başvuru!$F:$F,"&lt;&gt;"&amp;""))</f>
        <v>4</v>
      </c>
      <c r="G36" s="162">
        <f>IF(C36="","",COUNTIFS(Başvuru!$C:$C,C36,Başvuru!$G:$G,"Uzmanlık Tezi",Başvuru!$A:$A,"&lt;&gt;"&amp;"",Başvuru!$F:$F,"&lt;&gt;"&amp;""))</f>
        <v>0</v>
      </c>
      <c r="H36" s="162">
        <f>IF(C36="","",COUNTIFS(Başvuru!$C:$C,C36,Başvuru!$G:$G,"Doktora Tezi",Başvuru!$A:$A,"&lt;&gt;"&amp;"",Başvuru!$F:$F,"&lt;&gt;"&amp;""))</f>
        <v>0</v>
      </c>
      <c r="I36" s="162">
        <f>IF(C36="","",COUNTIFS(Başvuru!$C:$C,C36,Başvuru!$G:$G,"Yüksek Lisans Tezi",Başvuru!$A:$A,"&lt;&gt;"&amp;"",Başvuru!$F:$F,"&lt;&gt;"&amp;""))</f>
        <v>0</v>
      </c>
      <c r="J36" s="163">
        <f>IF(C36="","",COUNTIFS(Başvuru!$C:$C,C36,Başvuru!$L:$L,"ONAY",Başvuru!$A:$A,"&lt;&gt;"&amp;"",Başvuru!$F:$F,"&lt;&gt;"&amp;""))</f>
        <v>3</v>
      </c>
      <c r="K36" s="164">
        <f>IF(C36="","",COUNTIFS(Başvuru!$C:$C,C36,Başvuru!$L:$L,"DÜZELTME",Başvuru!$A:$A,"&lt;&gt;"&amp;"",Başvuru!$F:$F,"&lt;&gt;"&amp;""))</f>
        <v>0</v>
      </c>
      <c r="L36" s="165">
        <f>IF(C36="","",COUNTIFS(Başvuru!$C:$C,C36,Başvuru!$L:$L,"KAEK",Başvuru!$A:$A,"&lt;&gt;"&amp;"",Başvuru!$F:$F,"&lt;&gt;"&amp;""))</f>
        <v>0</v>
      </c>
      <c r="M36" s="166">
        <f>IF(C36="","",COUNTIFS(Başvuru!$C:$C,C36,Başvuru!$L:$L,"GÖRÜŞ",Başvuru!$A:$A,"&lt;&gt;"&amp;"",Başvuru!$F:$F,"&lt;&gt;"&amp;""))</f>
        <v>0</v>
      </c>
      <c r="N36" s="167">
        <f>IF(C36="","",COUNTIFS(Başvuru!$C:$C,C36,Başvuru!$L:$L,"RET",Başvuru!$A:$A,"&lt;&gt;"&amp;"",Başvuru!$F:$F,"&lt;&gt;"&amp;""))</f>
        <v>0</v>
      </c>
      <c r="O36" s="168">
        <f>IF(C36="","",COUNTIFS(Başvuru!$C:$C,C36,Başvuru!$L:$L,"KAPSAM DIŞI",Başvuru!$A:$A,"&lt;&gt;"&amp;"",Başvuru!$F:$F,"&lt;&gt;"&amp;""))</f>
        <v>0</v>
      </c>
      <c r="P36" s="169">
        <f>IF(C36="","",COUNTIFS(Başvuru!$C:$C,C36,Başvuru!$L:$L,"GERİ ÇEKİLDİ",Başvuru!$A:$A,"&lt;&gt;"&amp;"",Başvuru!$F:$F,"&lt;&gt;"&amp;""))</f>
        <v>0</v>
      </c>
      <c r="Q36" s="170" t="str">
        <f>IFERROR(INDEX(Başvuru!$C$2:$C$1851,MATCH(31,Başvuru!$AB$2:$AB$1851,0)),"")</f>
        <v>Prof. Dr. Yasemin ÖZSÜREKCİ</v>
      </c>
      <c r="R36" s="171">
        <f>IF(Q36="","",COUNTIFS(Başvuru!$C:$C,Q36,Başvuru!$A:$A,"&lt;&gt;"&amp;"",Başvuru!$F:$F,"&lt;&gt;"&amp;""))</f>
        <v>9</v>
      </c>
      <c r="S36" s="171">
        <f>IF(R36="","",RANK(R36,$R$6:$R$505,0)+COUNTIF($R$6:R36,R36)-1)</f>
        <v>5</v>
      </c>
    </row>
    <row r="37" spans="2:19" ht="23.25" customHeight="1" x14ac:dyDescent="0.25">
      <c r="B37" s="159">
        <v>32</v>
      </c>
      <c r="C37" s="160" t="str">
        <f>IFERROR(INDEX($Q$6:$Q$505,MATCH(32,$S$6:$S$505,0)),"")</f>
        <v>Prof. Dr. Ömer KARADAĞ</v>
      </c>
      <c r="D37" s="161">
        <f>IF(C37="","",COUNTIFS(Başvuru!$C:$C,C37,Başvuru!$A:$A,"&lt;&gt;"&amp;"",Başvuru!$F:$F,"&lt;&gt;"&amp;""))</f>
        <v>4</v>
      </c>
      <c r="E37" s="159" t="str">
        <f>IF(C37="","-",IF(D37&gt;0,TEXT(D37/(COUNTIFS(Başvuru!$A:$A,"&lt;&gt;",Başvuru!$F:$F,"&lt;&gt;")-1)*100,"0.0")&amp;"%","-"))</f>
        <v>01%</v>
      </c>
      <c r="F37" s="162">
        <f>IF(C37="","",COUNTIFS(Başvuru!$C:$C,C37,Başvuru!$G:$G,"Bireysel Araştırma",Başvuru!$A:$A,"&lt;&gt;"&amp;"",Başvuru!$F:$F,"&lt;&gt;"&amp;""))</f>
        <v>4</v>
      </c>
      <c r="G37" s="162">
        <f>IF(C37="","",COUNTIFS(Başvuru!$C:$C,C37,Başvuru!$G:$G,"Uzmanlık Tezi",Başvuru!$A:$A,"&lt;&gt;"&amp;"",Başvuru!$F:$F,"&lt;&gt;"&amp;""))</f>
        <v>0</v>
      </c>
      <c r="H37" s="162">
        <f>IF(C37="","",COUNTIFS(Başvuru!$C:$C,C37,Başvuru!$G:$G,"Doktora Tezi",Başvuru!$A:$A,"&lt;&gt;"&amp;"",Başvuru!$F:$F,"&lt;&gt;"&amp;""))</f>
        <v>0</v>
      </c>
      <c r="I37" s="162">
        <f>IF(C37="","",COUNTIFS(Başvuru!$C:$C,C37,Başvuru!$G:$G,"Yüksek Lisans Tezi",Başvuru!$A:$A,"&lt;&gt;"&amp;"",Başvuru!$F:$F,"&lt;&gt;"&amp;""))</f>
        <v>0</v>
      </c>
      <c r="J37" s="163">
        <f>IF(C37="","",COUNTIFS(Başvuru!$C:$C,C37,Başvuru!$L:$L,"ONAY",Başvuru!$A:$A,"&lt;&gt;"&amp;"",Başvuru!$F:$F,"&lt;&gt;"&amp;""))</f>
        <v>3</v>
      </c>
      <c r="K37" s="164">
        <f>IF(C37="","",COUNTIFS(Başvuru!$C:$C,C37,Başvuru!$L:$L,"DÜZELTME",Başvuru!$A:$A,"&lt;&gt;"&amp;"",Başvuru!$F:$F,"&lt;&gt;"&amp;""))</f>
        <v>1</v>
      </c>
      <c r="L37" s="165">
        <f>IF(C37="","",COUNTIFS(Başvuru!$C:$C,C37,Başvuru!$L:$L,"KAEK",Başvuru!$A:$A,"&lt;&gt;"&amp;"",Başvuru!$F:$F,"&lt;&gt;"&amp;""))</f>
        <v>0</v>
      </c>
      <c r="M37" s="166">
        <f>IF(C37="","",COUNTIFS(Başvuru!$C:$C,C37,Başvuru!$L:$L,"GÖRÜŞ",Başvuru!$A:$A,"&lt;&gt;"&amp;"",Başvuru!$F:$F,"&lt;&gt;"&amp;""))</f>
        <v>0</v>
      </c>
      <c r="N37" s="167">
        <f>IF(C37="","",COUNTIFS(Başvuru!$C:$C,C37,Başvuru!$L:$L,"RET",Başvuru!$A:$A,"&lt;&gt;"&amp;"",Başvuru!$F:$F,"&lt;&gt;"&amp;""))</f>
        <v>0</v>
      </c>
      <c r="O37" s="168">
        <f>IF(C37="","",COUNTIFS(Başvuru!$C:$C,C37,Başvuru!$L:$L,"KAPSAM DIŞI",Başvuru!$A:$A,"&lt;&gt;"&amp;"",Başvuru!$F:$F,"&lt;&gt;"&amp;""))</f>
        <v>0</v>
      </c>
      <c r="P37" s="169">
        <f>IF(C37="","",COUNTIFS(Başvuru!$C:$C,C37,Başvuru!$L:$L,"GERİ ÇEKİLDİ",Başvuru!$A:$A,"&lt;&gt;"&amp;"",Başvuru!$F:$F,"&lt;&gt;"&amp;""))</f>
        <v>0</v>
      </c>
      <c r="Q37" s="170" t="str">
        <f>IFERROR(INDEX(Başvuru!$C$2:$C$1851,MATCH(32,Başvuru!$AB$2:$AB$1851,0)),"")</f>
        <v>Öğr. Gör. Dr. Burçay TELLİOĞLU</v>
      </c>
      <c r="R37" s="171">
        <f>IF(Q37="","",COUNTIFS(Başvuru!$C:$C,Q37,Başvuru!$A:$A,"&lt;&gt;"&amp;"",Başvuru!$F:$F,"&lt;&gt;"&amp;""))</f>
        <v>1</v>
      </c>
      <c r="S37" s="171">
        <f>IF(R37="","",RANK(R37,$R$6:$R$505,0)+COUNTIF($R$6:R37,R37)-1)</f>
        <v>168</v>
      </c>
    </row>
    <row r="38" spans="2:19" ht="23.25" customHeight="1" x14ac:dyDescent="0.25">
      <c r="B38" s="159">
        <v>33</v>
      </c>
      <c r="C38" s="160" t="str">
        <f>IFERROR(INDEX($Q$6:$Q$505,MATCH(33,$S$6:$S$505,0)),"")</f>
        <v>Prof. Dr. Ali Fuat KALYONCU</v>
      </c>
      <c r="D38" s="161">
        <f>IF(C38="","",COUNTIFS(Başvuru!$C:$C,C38,Başvuru!$A:$A,"&lt;&gt;"&amp;"",Başvuru!$F:$F,"&lt;&gt;"&amp;""))</f>
        <v>4</v>
      </c>
      <c r="E38" s="159" t="str">
        <f>IF(C38="","-",IF(D38&gt;0,TEXT(D38/(COUNTIFS(Başvuru!$A:$A,"&lt;&gt;",Başvuru!$F:$F,"&lt;&gt;")-1)*100,"0.0")&amp;"%","-"))</f>
        <v>01%</v>
      </c>
      <c r="F38" s="162">
        <f>IF(C38="","",COUNTIFS(Başvuru!$C:$C,C38,Başvuru!$G:$G,"Bireysel Araştırma",Başvuru!$A:$A,"&lt;&gt;"&amp;"",Başvuru!$F:$F,"&lt;&gt;"&amp;""))</f>
        <v>4</v>
      </c>
      <c r="G38" s="162">
        <f>IF(C38="","",COUNTIFS(Başvuru!$C:$C,C38,Başvuru!$G:$G,"Uzmanlık Tezi",Başvuru!$A:$A,"&lt;&gt;"&amp;"",Başvuru!$F:$F,"&lt;&gt;"&amp;""))</f>
        <v>0</v>
      </c>
      <c r="H38" s="162">
        <f>IF(C38="","",COUNTIFS(Başvuru!$C:$C,C38,Başvuru!$G:$G,"Doktora Tezi",Başvuru!$A:$A,"&lt;&gt;"&amp;"",Başvuru!$F:$F,"&lt;&gt;"&amp;""))</f>
        <v>0</v>
      </c>
      <c r="I38" s="162">
        <f>IF(C38="","",COUNTIFS(Başvuru!$C:$C,C38,Başvuru!$G:$G,"Yüksek Lisans Tezi",Başvuru!$A:$A,"&lt;&gt;"&amp;"",Başvuru!$F:$F,"&lt;&gt;"&amp;""))</f>
        <v>0</v>
      </c>
      <c r="J38" s="163">
        <f>IF(C38="","",COUNTIFS(Başvuru!$C:$C,C38,Başvuru!$L:$L,"ONAY",Başvuru!$A:$A,"&lt;&gt;"&amp;"",Başvuru!$F:$F,"&lt;&gt;"&amp;""))</f>
        <v>0</v>
      </c>
      <c r="K38" s="164">
        <f>IF(C38="","",COUNTIFS(Başvuru!$C:$C,C38,Başvuru!$L:$L,"DÜZELTME",Başvuru!$A:$A,"&lt;&gt;"&amp;"",Başvuru!$F:$F,"&lt;&gt;"&amp;""))</f>
        <v>3</v>
      </c>
      <c r="L38" s="165">
        <f>IF(C38="","",COUNTIFS(Başvuru!$C:$C,C38,Başvuru!$L:$L,"KAEK",Başvuru!$A:$A,"&lt;&gt;"&amp;"",Başvuru!$F:$F,"&lt;&gt;"&amp;""))</f>
        <v>0</v>
      </c>
      <c r="M38" s="166">
        <f>IF(C38="","",COUNTIFS(Başvuru!$C:$C,C38,Başvuru!$L:$L,"GÖRÜŞ",Başvuru!$A:$A,"&lt;&gt;"&amp;"",Başvuru!$F:$F,"&lt;&gt;"&amp;""))</f>
        <v>0</v>
      </c>
      <c r="N38" s="167">
        <f>IF(C38="","",COUNTIFS(Başvuru!$C:$C,C38,Başvuru!$L:$L,"RET",Başvuru!$A:$A,"&lt;&gt;"&amp;"",Başvuru!$F:$F,"&lt;&gt;"&amp;""))</f>
        <v>1</v>
      </c>
      <c r="O38" s="168">
        <f>IF(C38="","",COUNTIFS(Başvuru!$C:$C,C38,Başvuru!$L:$L,"KAPSAM DIŞI",Başvuru!$A:$A,"&lt;&gt;"&amp;"",Başvuru!$F:$F,"&lt;&gt;"&amp;""))</f>
        <v>0</v>
      </c>
      <c r="P38" s="169">
        <f>IF(C38="","",COUNTIFS(Başvuru!$C:$C,C38,Başvuru!$L:$L,"GERİ ÇEKİLDİ",Başvuru!$A:$A,"&lt;&gt;"&amp;"",Başvuru!$F:$F,"&lt;&gt;"&amp;""))</f>
        <v>0</v>
      </c>
      <c r="Q38" s="170" t="str">
        <f>IFERROR(INDEX(Başvuru!$C$2:$C$1851,MATCH(33,Başvuru!$AB$2:$AB$1851,0)),"")</f>
        <v>Doç. Dr. Hande GÖRÜCÜ COŞKUNER</v>
      </c>
      <c r="R38" s="171">
        <f>IF(Q38="","",COUNTIFS(Başvuru!$C:$C,Q38,Başvuru!$A:$A,"&lt;&gt;"&amp;"",Başvuru!$F:$F,"&lt;&gt;"&amp;""))</f>
        <v>2</v>
      </c>
      <c r="S38" s="171">
        <f>IF(R38="","",RANK(R38,$R$6:$R$505,0)+COUNTIF($R$6:R38,R38)-1)</f>
        <v>87</v>
      </c>
    </row>
    <row r="39" spans="2:19" ht="23.25" customHeight="1" x14ac:dyDescent="0.25">
      <c r="B39" s="159">
        <v>34</v>
      </c>
      <c r="C39" s="160" t="str">
        <f>IFERROR(INDEX($Q$6:$Q$505,MATCH(34,$S$6:$S$505,0)),"")</f>
        <v>Doç. Dr. Dilek ÜNAL</v>
      </c>
      <c r="D39" s="161">
        <f>IF(C39="","",COUNTIFS(Başvuru!$C:$C,C39,Başvuru!$A:$A,"&lt;&gt;"&amp;"",Başvuru!$F:$F,"&lt;&gt;"&amp;""))</f>
        <v>4</v>
      </c>
      <c r="E39" s="159" t="str">
        <f>IF(C39="","-",IF(D39&gt;0,TEXT(D39/(COUNTIFS(Başvuru!$A:$A,"&lt;&gt;",Başvuru!$F:$F,"&lt;&gt;")-1)*100,"0.0")&amp;"%","-"))</f>
        <v>01%</v>
      </c>
      <c r="F39" s="162">
        <f>IF(C39="","",COUNTIFS(Başvuru!$C:$C,C39,Başvuru!$G:$G,"Bireysel Araştırma",Başvuru!$A:$A,"&lt;&gt;"&amp;"",Başvuru!$F:$F,"&lt;&gt;"&amp;""))</f>
        <v>2</v>
      </c>
      <c r="G39" s="162">
        <f>IF(C39="","",COUNTIFS(Başvuru!$C:$C,C39,Başvuru!$G:$G,"Uzmanlık Tezi",Başvuru!$A:$A,"&lt;&gt;"&amp;"",Başvuru!$F:$F,"&lt;&gt;"&amp;""))</f>
        <v>2</v>
      </c>
      <c r="H39" s="162">
        <f>IF(C39="","",COUNTIFS(Başvuru!$C:$C,C39,Başvuru!$G:$G,"Doktora Tezi",Başvuru!$A:$A,"&lt;&gt;"&amp;"",Başvuru!$F:$F,"&lt;&gt;"&amp;""))</f>
        <v>0</v>
      </c>
      <c r="I39" s="162">
        <f>IF(C39="","",COUNTIFS(Başvuru!$C:$C,C39,Başvuru!$G:$G,"Yüksek Lisans Tezi",Başvuru!$A:$A,"&lt;&gt;"&amp;"",Başvuru!$F:$F,"&lt;&gt;"&amp;""))</f>
        <v>0</v>
      </c>
      <c r="J39" s="163">
        <f>IF(C39="","",COUNTIFS(Başvuru!$C:$C,C39,Başvuru!$L:$L,"ONAY",Başvuru!$A:$A,"&lt;&gt;"&amp;"",Başvuru!$F:$F,"&lt;&gt;"&amp;""))</f>
        <v>1</v>
      </c>
      <c r="K39" s="164">
        <f>IF(C39="","",COUNTIFS(Başvuru!$C:$C,C39,Başvuru!$L:$L,"DÜZELTME",Başvuru!$A:$A,"&lt;&gt;"&amp;"",Başvuru!$F:$F,"&lt;&gt;"&amp;""))</f>
        <v>3</v>
      </c>
      <c r="L39" s="165">
        <f>IF(C39="","",COUNTIFS(Başvuru!$C:$C,C39,Başvuru!$L:$L,"KAEK",Başvuru!$A:$A,"&lt;&gt;"&amp;"",Başvuru!$F:$F,"&lt;&gt;"&amp;""))</f>
        <v>0</v>
      </c>
      <c r="M39" s="166">
        <f>IF(C39="","",COUNTIFS(Başvuru!$C:$C,C39,Başvuru!$L:$L,"GÖRÜŞ",Başvuru!$A:$A,"&lt;&gt;"&amp;"",Başvuru!$F:$F,"&lt;&gt;"&amp;""))</f>
        <v>0</v>
      </c>
      <c r="N39" s="167">
        <f>IF(C39="","",COUNTIFS(Başvuru!$C:$C,C39,Başvuru!$L:$L,"RET",Başvuru!$A:$A,"&lt;&gt;"&amp;"",Başvuru!$F:$F,"&lt;&gt;"&amp;""))</f>
        <v>0</v>
      </c>
      <c r="O39" s="168">
        <f>IF(C39="","",COUNTIFS(Başvuru!$C:$C,C39,Başvuru!$L:$L,"KAPSAM DIŞI",Başvuru!$A:$A,"&lt;&gt;"&amp;"",Başvuru!$F:$F,"&lt;&gt;"&amp;""))</f>
        <v>0</v>
      </c>
      <c r="P39" s="169">
        <f>IF(C39="","",COUNTIFS(Başvuru!$C:$C,C39,Başvuru!$L:$L,"GERİ ÇEKİLDİ",Başvuru!$A:$A,"&lt;&gt;"&amp;"",Başvuru!$F:$F,"&lt;&gt;"&amp;""))</f>
        <v>0</v>
      </c>
      <c r="Q39" s="170" t="str">
        <f>IFERROR(INDEX(Başvuru!$C$2:$C$1851,MATCH(34,Başvuru!$AB$2:$AB$1851,0)),"")</f>
        <v>Doç. Dr. Saliha ESENBOĞA</v>
      </c>
      <c r="R39" s="171">
        <f>IF(Q39="","",COUNTIFS(Başvuru!$C:$C,Q39,Başvuru!$A:$A,"&lt;&gt;"&amp;"",Başvuru!$F:$F,"&lt;&gt;"&amp;""))</f>
        <v>2</v>
      </c>
      <c r="S39" s="171">
        <f>IF(R39="","",RANK(R39,$R$6:$R$505,0)+COUNTIF($R$6:R39,R39)-1)</f>
        <v>88</v>
      </c>
    </row>
    <row r="40" spans="2:19" ht="23.25" customHeight="1" x14ac:dyDescent="0.25">
      <c r="B40" s="159">
        <v>35</v>
      </c>
      <c r="C40" s="160" t="str">
        <f>IFERROR(INDEX($Q$6:$Q$505,MATCH(35,$S$6:$S$505,0)),"")</f>
        <v>Prof. Dr. Ebru DAMADOĞLU</v>
      </c>
      <c r="D40" s="161">
        <f>IF(C40="","",COUNTIFS(Başvuru!$C:$C,C40,Başvuru!$A:$A,"&lt;&gt;"&amp;"",Başvuru!$F:$F,"&lt;&gt;"&amp;""))</f>
        <v>4</v>
      </c>
      <c r="E40" s="159" t="str">
        <f>IF(C40="","-",IF(D40&gt;0,TEXT(D40/(COUNTIFS(Başvuru!$A:$A,"&lt;&gt;",Başvuru!$F:$F,"&lt;&gt;")-1)*100,"0.0")&amp;"%","-"))</f>
        <v>01%</v>
      </c>
      <c r="F40" s="162">
        <f>IF(C40="","",COUNTIFS(Başvuru!$C:$C,C40,Başvuru!$G:$G,"Bireysel Araştırma",Başvuru!$A:$A,"&lt;&gt;"&amp;"",Başvuru!$F:$F,"&lt;&gt;"&amp;""))</f>
        <v>4</v>
      </c>
      <c r="G40" s="162">
        <f>IF(C40="","",COUNTIFS(Başvuru!$C:$C,C40,Başvuru!$G:$G,"Uzmanlık Tezi",Başvuru!$A:$A,"&lt;&gt;"&amp;"",Başvuru!$F:$F,"&lt;&gt;"&amp;""))</f>
        <v>0</v>
      </c>
      <c r="H40" s="162">
        <f>IF(C40="","",COUNTIFS(Başvuru!$C:$C,C40,Başvuru!$G:$G,"Doktora Tezi",Başvuru!$A:$A,"&lt;&gt;"&amp;"",Başvuru!$F:$F,"&lt;&gt;"&amp;""))</f>
        <v>0</v>
      </c>
      <c r="I40" s="162">
        <f>IF(C40="","",COUNTIFS(Başvuru!$C:$C,C40,Başvuru!$G:$G,"Yüksek Lisans Tezi",Başvuru!$A:$A,"&lt;&gt;"&amp;"",Başvuru!$F:$F,"&lt;&gt;"&amp;""))</f>
        <v>0</v>
      </c>
      <c r="J40" s="163">
        <f>IF(C40="","",COUNTIFS(Başvuru!$C:$C,C40,Başvuru!$L:$L,"ONAY",Başvuru!$A:$A,"&lt;&gt;"&amp;"",Başvuru!$F:$F,"&lt;&gt;"&amp;""))</f>
        <v>3</v>
      </c>
      <c r="K40" s="164">
        <f>IF(C40="","",COUNTIFS(Başvuru!$C:$C,C40,Başvuru!$L:$L,"DÜZELTME",Başvuru!$A:$A,"&lt;&gt;"&amp;"",Başvuru!$F:$F,"&lt;&gt;"&amp;""))</f>
        <v>0</v>
      </c>
      <c r="L40" s="165">
        <f>IF(C40="","",COUNTIFS(Başvuru!$C:$C,C40,Başvuru!$L:$L,"KAEK",Başvuru!$A:$A,"&lt;&gt;"&amp;"",Başvuru!$F:$F,"&lt;&gt;"&amp;""))</f>
        <v>0</v>
      </c>
      <c r="M40" s="166">
        <f>IF(C40="","",COUNTIFS(Başvuru!$C:$C,C40,Başvuru!$L:$L,"GÖRÜŞ",Başvuru!$A:$A,"&lt;&gt;"&amp;"",Başvuru!$F:$F,"&lt;&gt;"&amp;""))</f>
        <v>0</v>
      </c>
      <c r="N40" s="167">
        <f>IF(C40="","",COUNTIFS(Başvuru!$C:$C,C40,Başvuru!$L:$L,"RET",Başvuru!$A:$A,"&lt;&gt;"&amp;"",Başvuru!$F:$F,"&lt;&gt;"&amp;""))</f>
        <v>0</v>
      </c>
      <c r="O40" s="168">
        <f>IF(C40="","",COUNTIFS(Başvuru!$C:$C,C40,Başvuru!$L:$L,"KAPSAM DIŞI",Başvuru!$A:$A,"&lt;&gt;"&amp;"",Başvuru!$F:$F,"&lt;&gt;"&amp;""))</f>
        <v>0</v>
      </c>
      <c r="P40" s="169">
        <f>IF(C40="","",COUNTIFS(Başvuru!$C:$C,C40,Başvuru!$L:$L,"GERİ ÇEKİLDİ",Başvuru!$A:$A,"&lt;&gt;"&amp;"",Başvuru!$F:$F,"&lt;&gt;"&amp;""))</f>
        <v>0</v>
      </c>
      <c r="Q40" s="170" t="str">
        <f>IFERROR(INDEX(Başvuru!$C$2:$C$1851,MATCH(35,Başvuru!$AB$2:$AB$1851,0)),"")</f>
        <v>Dr. Öğr. Üyesi Ahmet KIVRAK</v>
      </c>
      <c r="R40" s="171">
        <f>IF(Q40="","",COUNTIFS(Başvuru!$C:$C,Q40,Başvuru!$A:$A,"&lt;&gt;"&amp;"",Başvuru!$F:$F,"&lt;&gt;"&amp;""))</f>
        <v>3</v>
      </c>
      <c r="S40" s="171">
        <f>IF(R40="","",RANK(R40,$R$6:$R$505,0)+COUNTIF($R$6:R40,R40)-1)</f>
        <v>59</v>
      </c>
    </row>
    <row r="41" spans="2:19" ht="23.25" customHeight="1" x14ac:dyDescent="0.25">
      <c r="B41" s="159">
        <v>36</v>
      </c>
      <c r="C41" s="160" t="str">
        <f>IFERROR(INDEX($Q$6:$Q$505,MATCH(36,$S$6:$S$505,0)),"")</f>
        <v>Prof. Dr. Fatma Gökçem YILDIZ SARIKAYA</v>
      </c>
      <c r="D41" s="161">
        <f>IF(C41="","",COUNTIFS(Başvuru!$C:$C,C41,Başvuru!$A:$A,"&lt;&gt;"&amp;"",Başvuru!$F:$F,"&lt;&gt;"&amp;""))</f>
        <v>4</v>
      </c>
      <c r="E41" s="159" t="str">
        <f>IF(C41="","-",IF(D41&gt;0,TEXT(D41/(COUNTIFS(Başvuru!$A:$A,"&lt;&gt;",Başvuru!$F:$F,"&lt;&gt;")-1)*100,"0.0")&amp;"%","-"))</f>
        <v>01%</v>
      </c>
      <c r="F41" s="162">
        <f>IF(C41="","",COUNTIFS(Başvuru!$C:$C,C41,Başvuru!$G:$G,"Bireysel Araştırma",Başvuru!$A:$A,"&lt;&gt;"&amp;"",Başvuru!$F:$F,"&lt;&gt;"&amp;""))</f>
        <v>4</v>
      </c>
      <c r="G41" s="162">
        <f>IF(C41="","",COUNTIFS(Başvuru!$C:$C,C41,Başvuru!$G:$G,"Uzmanlık Tezi",Başvuru!$A:$A,"&lt;&gt;"&amp;"",Başvuru!$F:$F,"&lt;&gt;"&amp;""))</f>
        <v>0</v>
      </c>
      <c r="H41" s="162">
        <f>IF(C41="","",COUNTIFS(Başvuru!$C:$C,C41,Başvuru!$G:$G,"Doktora Tezi",Başvuru!$A:$A,"&lt;&gt;"&amp;"",Başvuru!$F:$F,"&lt;&gt;"&amp;""))</f>
        <v>0</v>
      </c>
      <c r="I41" s="162">
        <f>IF(C41="","",COUNTIFS(Başvuru!$C:$C,C41,Başvuru!$G:$G,"Yüksek Lisans Tezi",Başvuru!$A:$A,"&lt;&gt;"&amp;"",Başvuru!$F:$F,"&lt;&gt;"&amp;""))</f>
        <v>0</v>
      </c>
      <c r="J41" s="163">
        <f>IF(C41="","",COUNTIFS(Başvuru!$C:$C,C41,Başvuru!$L:$L,"ONAY",Başvuru!$A:$A,"&lt;&gt;"&amp;"",Başvuru!$F:$F,"&lt;&gt;"&amp;""))</f>
        <v>3</v>
      </c>
      <c r="K41" s="164">
        <f>IF(C41="","",COUNTIFS(Başvuru!$C:$C,C41,Başvuru!$L:$L,"DÜZELTME",Başvuru!$A:$A,"&lt;&gt;"&amp;"",Başvuru!$F:$F,"&lt;&gt;"&amp;""))</f>
        <v>0</v>
      </c>
      <c r="L41" s="165">
        <f>IF(C41="","",COUNTIFS(Başvuru!$C:$C,C41,Başvuru!$L:$L,"KAEK",Başvuru!$A:$A,"&lt;&gt;"&amp;"",Başvuru!$F:$F,"&lt;&gt;"&amp;""))</f>
        <v>0</v>
      </c>
      <c r="M41" s="166">
        <f>IF(C41="","",COUNTIFS(Başvuru!$C:$C,C41,Başvuru!$L:$L,"GÖRÜŞ",Başvuru!$A:$A,"&lt;&gt;"&amp;"",Başvuru!$F:$F,"&lt;&gt;"&amp;""))</f>
        <v>1</v>
      </c>
      <c r="N41" s="167">
        <f>IF(C41="","",COUNTIFS(Başvuru!$C:$C,C41,Başvuru!$L:$L,"RET",Başvuru!$A:$A,"&lt;&gt;"&amp;"",Başvuru!$F:$F,"&lt;&gt;"&amp;""))</f>
        <v>0</v>
      </c>
      <c r="O41" s="168">
        <f>IF(C41="","",COUNTIFS(Başvuru!$C:$C,C41,Başvuru!$L:$L,"KAPSAM DIŞI",Başvuru!$A:$A,"&lt;&gt;"&amp;"",Başvuru!$F:$F,"&lt;&gt;"&amp;""))</f>
        <v>0</v>
      </c>
      <c r="P41" s="169">
        <f>IF(C41="","",COUNTIFS(Başvuru!$C:$C,C41,Başvuru!$L:$L,"GERİ ÇEKİLDİ",Başvuru!$A:$A,"&lt;&gt;"&amp;"",Başvuru!$F:$F,"&lt;&gt;"&amp;""))</f>
        <v>0</v>
      </c>
      <c r="Q41" s="170" t="str">
        <f>IFERROR(INDEX(Başvuru!$C$2:$C$1851,MATCH(36,Başvuru!$AB$2:$AB$1851,0)),"")</f>
        <v>Prof. Dr. Bülent ALTUN</v>
      </c>
      <c r="R41" s="171">
        <f>IF(Q41="","",COUNTIFS(Başvuru!$C:$C,Q41,Başvuru!$A:$A,"&lt;&gt;"&amp;"",Başvuru!$F:$F,"&lt;&gt;"&amp;""))</f>
        <v>1</v>
      </c>
      <c r="S41" s="171">
        <f>IF(R41="","",RANK(R41,$R$6:$R$505,0)+COUNTIF($R$6:R41,R41)-1)</f>
        <v>169</v>
      </c>
    </row>
    <row r="42" spans="2:19" ht="23.25" customHeight="1" x14ac:dyDescent="0.25">
      <c r="B42" s="159">
        <v>37</v>
      </c>
      <c r="C42" s="160" t="str">
        <f>IFERROR(INDEX($Q$6:$Q$505,MATCH(37,$S$6:$S$505,0)),"")</f>
        <v>Dr. Öğr. Üyesi Serkan UYSAL</v>
      </c>
      <c r="D42" s="161">
        <f>IF(C42="","",COUNTIFS(Başvuru!$C:$C,C42,Başvuru!$A:$A,"&lt;&gt;"&amp;"",Başvuru!$F:$F,"&lt;&gt;"&amp;""))</f>
        <v>4</v>
      </c>
      <c r="E42" s="159" t="str">
        <f>IF(C42="","-",IF(D42&gt;0,TEXT(D42/(COUNTIFS(Başvuru!$A:$A,"&lt;&gt;",Başvuru!$F:$F,"&lt;&gt;")-1)*100,"0.0")&amp;"%","-"))</f>
        <v>01%</v>
      </c>
      <c r="F42" s="162">
        <f>IF(C42="","",COUNTIFS(Başvuru!$C:$C,C42,Başvuru!$G:$G,"Bireysel Araştırma",Başvuru!$A:$A,"&lt;&gt;"&amp;"",Başvuru!$F:$F,"&lt;&gt;"&amp;""))</f>
        <v>4</v>
      </c>
      <c r="G42" s="162">
        <f>IF(C42="","",COUNTIFS(Başvuru!$C:$C,C42,Başvuru!$G:$G,"Uzmanlık Tezi",Başvuru!$A:$A,"&lt;&gt;"&amp;"",Başvuru!$F:$F,"&lt;&gt;"&amp;""))</f>
        <v>0</v>
      </c>
      <c r="H42" s="162">
        <f>IF(C42="","",COUNTIFS(Başvuru!$C:$C,C42,Başvuru!$G:$G,"Doktora Tezi",Başvuru!$A:$A,"&lt;&gt;"&amp;"",Başvuru!$F:$F,"&lt;&gt;"&amp;""))</f>
        <v>0</v>
      </c>
      <c r="I42" s="162">
        <f>IF(C42="","",COUNTIFS(Başvuru!$C:$C,C42,Başvuru!$G:$G,"Yüksek Lisans Tezi",Başvuru!$A:$A,"&lt;&gt;"&amp;"",Başvuru!$F:$F,"&lt;&gt;"&amp;""))</f>
        <v>0</v>
      </c>
      <c r="J42" s="163">
        <f>IF(C42="","",COUNTIFS(Başvuru!$C:$C,C42,Başvuru!$L:$L,"ONAY",Başvuru!$A:$A,"&lt;&gt;"&amp;"",Başvuru!$F:$F,"&lt;&gt;"&amp;""))</f>
        <v>3</v>
      </c>
      <c r="K42" s="164">
        <f>IF(C42="","",COUNTIFS(Başvuru!$C:$C,C42,Başvuru!$L:$L,"DÜZELTME",Başvuru!$A:$A,"&lt;&gt;"&amp;"",Başvuru!$F:$F,"&lt;&gt;"&amp;""))</f>
        <v>1</v>
      </c>
      <c r="L42" s="165">
        <f>IF(C42="","",COUNTIFS(Başvuru!$C:$C,C42,Başvuru!$L:$L,"KAEK",Başvuru!$A:$A,"&lt;&gt;"&amp;"",Başvuru!$F:$F,"&lt;&gt;"&amp;""))</f>
        <v>0</v>
      </c>
      <c r="M42" s="166">
        <f>IF(C42="","",COUNTIFS(Başvuru!$C:$C,C42,Başvuru!$L:$L,"GÖRÜŞ",Başvuru!$A:$A,"&lt;&gt;"&amp;"",Başvuru!$F:$F,"&lt;&gt;"&amp;""))</f>
        <v>0</v>
      </c>
      <c r="N42" s="167">
        <f>IF(C42="","",COUNTIFS(Başvuru!$C:$C,C42,Başvuru!$L:$L,"RET",Başvuru!$A:$A,"&lt;&gt;"&amp;"",Başvuru!$F:$F,"&lt;&gt;"&amp;""))</f>
        <v>0</v>
      </c>
      <c r="O42" s="168">
        <f>IF(C42="","",COUNTIFS(Başvuru!$C:$C,C42,Başvuru!$L:$L,"KAPSAM DIŞI",Başvuru!$A:$A,"&lt;&gt;"&amp;"",Başvuru!$F:$F,"&lt;&gt;"&amp;""))</f>
        <v>0</v>
      </c>
      <c r="P42" s="169">
        <f>IF(C42="","",COUNTIFS(Başvuru!$C:$C,C42,Başvuru!$L:$L,"GERİ ÇEKİLDİ",Başvuru!$A:$A,"&lt;&gt;"&amp;"",Başvuru!$F:$F,"&lt;&gt;"&amp;""))</f>
        <v>0</v>
      </c>
      <c r="Q42" s="170" t="str">
        <f>IFERROR(INDEX(Başvuru!$C$2:$C$1851,MATCH(37,Başvuru!$AB$2:$AB$1851,0)),"")</f>
        <v>Prof. Dr. Dilek ASLAN</v>
      </c>
      <c r="R42" s="171">
        <f>IF(Q42="","",COUNTIFS(Başvuru!$C:$C,Q42,Başvuru!$A:$A,"&lt;&gt;"&amp;"",Başvuru!$F:$F,"&lt;&gt;"&amp;""))</f>
        <v>3</v>
      </c>
      <c r="S42" s="171">
        <f>IF(R42="","",RANK(R42,$R$6:$R$505,0)+COUNTIF($R$6:R42,R42)-1)</f>
        <v>60</v>
      </c>
    </row>
    <row r="43" spans="2:19" ht="23.25" customHeight="1" x14ac:dyDescent="0.25">
      <c r="B43" s="159">
        <v>38</v>
      </c>
      <c r="C43" s="160" t="str">
        <f>IFERROR(INDEX($Q$6:$Q$505,MATCH(38,$S$6:$S$505,0)),"")</f>
        <v>Prof. Dr. Sıddika Songül YALÇIN</v>
      </c>
      <c r="D43" s="161">
        <f>IF(C43="","",COUNTIFS(Başvuru!$C:$C,C43,Başvuru!$A:$A,"&lt;&gt;"&amp;"",Başvuru!$F:$F,"&lt;&gt;"&amp;""))</f>
        <v>4</v>
      </c>
      <c r="E43" s="159" t="str">
        <f>IF(C43="","-",IF(D43&gt;0,TEXT(D43/(COUNTIFS(Başvuru!$A:$A,"&lt;&gt;",Başvuru!$F:$F,"&lt;&gt;")-1)*100,"0.0")&amp;"%","-"))</f>
        <v>01%</v>
      </c>
      <c r="F43" s="162">
        <f>IF(C43="","",COUNTIFS(Başvuru!$C:$C,C43,Başvuru!$G:$G,"Bireysel Araştırma",Başvuru!$A:$A,"&lt;&gt;"&amp;"",Başvuru!$F:$F,"&lt;&gt;"&amp;""))</f>
        <v>3</v>
      </c>
      <c r="G43" s="162">
        <f>IF(C43="","",COUNTIFS(Başvuru!$C:$C,C43,Başvuru!$G:$G,"Uzmanlık Tezi",Başvuru!$A:$A,"&lt;&gt;"&amp;"",Başvuru!$F:$F,"&lt;&gt;"&amp;""))</f>
        <v>0</v>
      </c>
      <c r="H43" s="162">
        <f>IF(C43="","",COUNTIFS(Başvuru!$C:$C,C43,Başvuru!$G:$G,"Doktora Tezi",Başvuru!$A:$A,"&lt;&gt;"&amp;"",Başvuru!$F:$F,"&lt;&gt;"&amp;""))</f>
        <v>1</v>
      </c>
      <c r="I43" s="162">
        <f>IF(C43="","",COUNTIFS(Başvuru!$C:$C,C43,Başvuru!$G:$G,"Yüksek Lisans Tezi",Başvuru!$A:$A,"&lt;&gt;"&amp;"",Başvuru!$F:$F,"&lt;&gt;"&amp;""))</f>
        <v>0</v>
      </c>
      <c r="J43" s="163">
        <f>IF(C43="","",COUNTIFS(Başvuru!$C:$C,C43,Başvuru!$L:$L,"ONAY",Başvuru!$A:$A,"&lt;&gt;"&amp;"",Başvuru!$F:$F,"&lt;&gt;"&amp;""))</f>
        <v>3</v>
      </c>
      <c r="K43" s="164">
        <f>IF(C43="","",COUNTIFS(Başvuru!$C:$C,C43,Başvuru!$L:$L,"DÜZELTME",Başvuru!$A:$A,"&lt;&gt;"&amp;"",Başvuru!$F:$F,"&lt;&gt;"&amp;""))</f>
        <v>0</v>
      </c>
      <c r="L43" s="165">
        <f>IF(C43="","",COUNTIFS(Başvuru!$C:$C,C43,Başvuru!$L:$L,"KAEK",Başvuru!$A:$A,"&lt;&gt;"&amp;"",Başvuru!$F:$F,"&lt;&gt;"&amp;""))</f>
        <v>0</v>
      </c>
      <c r="M43" s="166">
        <f>IF(C43="","",COUNTIFS(Başvuru!$C:$C,C43,Başvuru!$L:$L,"GÖRÜŞ",Başvuru!$A:$A,"&lt;&gt;"&amp;"",Başvuru!$F:$F,"&lt;&gt;"&amp;""))</f>
        <v>0</v>
      </c>
      <c r="N43" s="167">
        <f>IF(C43="","",COUNTIFS(Başvuru!$C:$C,C43,Başvuru!$L:$L,"RET",Başvuru!$A:$A,"&lt;&gt;"&amp;"",Başvuru!$F:$F,"&lt;&gt;"&amp;""))</f>
        <v>0</v>
      </c>
      <c r="O43" s="168">
        <f>IF(C43="","",COUNTIFS(Başvuru!$C:$C,C43,Başvuru!$L:$L,"KAPSAM DIŞI",Başvuru!$A:$A,"&lt;&gt;"&amp;"",Başvuru!$F:$F,"&lt;&gt;"&amp;""))</f>
        <v>0</v>
      </c>
      <c r="P43" s="169">
        <f>IF(C43="","",COUNTIFS(Başvuru!$C:$C,C43,Başvuru!$L:$L,"GERİ ÇEKİLDİ",Başvuru!$A:$A,"&lt;&gt;"&amp;"",Başvuru!$F:$F,"&lt;&gt;"&amp;""))</f>
        <v>0</v>
      </c>
      <c r="Q43" s="170" t="str">
        <f>IFERROR(INDEX(Başvuru!$C$2:$C$1851,MATCH(38,Başvuru!$AB$2:$AB$1851,0)),"")</f>
        <v>Prof. Dr. Ali DÜZOVA</v>
      </c>
      <c r="R43" s="171">
        <f>IF(Q43="","",COUNTIFS(Başvuru!$C:$C,Q43,Başvuru!$A:$A,"&lt;&gt;"&amp;"",Başvuru!$F:$F,"&lt;&gt;"&amp;""))</f>
        <v>1</v>
      </c>
      <c r="S43" s="171">
        <f>IF(R43="","",RANK(R43,$R$6:$R$505,0)+COUNTIF($R$6:R43,R43)-1)</f>
        <v>170</v>
      </c>
    </row>
    <row r="44" spans="2:19" ht="23.25" customHeight="1" x14ac:dyDescent="0.25">
      <c r="B44" s="159">
        <v>39</v>
      </c>
      <c r="C44" s="160" t="str">
        <f>IFERROR(INDEX($Q$6:$Q$505,MATCH(39,$S$6:$S$505,0)),"")</f>
        <v>Doç. Dr. Kübra AYKAÇ</v>
      </c>
      <c r="D44" s="161">
        <f>IF(C44="","",COUNTIFS(Başvuru!$C:$C,C44,Başvuru!$A:$A,"&lt;&gt;"&amp;"",Başvuru!$F:$F,"&lt;&gt;"&amp;""))</f>
        <v>4</v>
      </c>
      <c r="E44" s="159" t="str">
        <f>IF(C44="","-",IF(D44&gt;0,TEXT(D44/(COUNTIFS(Başvuru!$A:$A,"&lt;&gt;",Başvuru!$F:$F,"&lt;&gt;")-1)*100,"0.0")&amp;"%","-"))</f>
        <v>01%</v>
      </c>
      <c r="F44" s="162">
        <f>IF(C44="","",COUNTIFS(Başvuru!$C:$C,C44,Başvuru!$G:$G,"Bireysel Araştırma",Başvuru!$A:$A,"&lt;&gt;"&amp;"",Başvuru!$F:$F,"&lt;&gt;"&amp;""))</f>
        <v>3</v>
      </c>
      <c r="G44" s="162">
        <f>IF(C44="","",COUNTIFS(Başvuru!$C:$C,C44,Başvuru!$G:$G,"Uzmanlık Tezi",Başvuru!$A:$A,"&lt;&gt;"&amp;"",Başvuru!$F:$F,"&lt;&gt;"&amp;""))</f>
        <v>1</v>
      </c>
      <c r="H44" s="162">
        <f>IF(C44="","",COUNTIFS(Başvuru!$C:$C,C44,Başvuru!$G:$G,"Doktora Tezi",Başvuru!$A:$A,"&lt;&gt;"&amp;"",Başvuru!$F:$F,"&lt;&gt;"&amp;""))</f>
        <v>0</v>
      </c>
      <c r="I44" s="162">
        <f>IF(C44="","",COUNTIFS(Başvuru!$C:$C,C44,Başvuru!$G:$G,"Yüksek Lisans Tezi",Başvuru!$A:$A,"&lt;&gt;"&amp;"",Başvuru!$F:$F,"&lt;&gt;"&amp;""))</f>
        <v>0</v>
      </c>
      <c r="J44" s="163">
        <f>IF(C44="","",COUNTIFS(Başvuru!$C:$C,C44,Başvuru!$L:$L,"ONAY",Başvuru!$A:$A,"&lt;&gt;"&amp;"",Başvuru!$F:$F,"&lt;&gt;"&amp;""))</f>
        <v>1</v>
      </c>
      <c r="K44" s="164">
        <f>IF(C44="","",COUNTIFS(Başvuru!$C:$C,C44,Başvuru!$L:$L,"DÜZELTME",Başvuru!$A:$A,"&lt;&gt;"&amp;"",Başvuru!$F:$F,"&lt;&gt;"&amp;""))</f>
        <v>3</v>
      </c>
      <c r="L44" s="165">
        <f>IF(C44="","",COUNTIFS(Başvuru!$C:$C,C44,Başvuru!$L:$L,"KAEK",Başvuru!$A:$A,"&lt;&gt;"&amp;"",Başvuru!$F:$F,"&lt;&gt;"&amp;""))</f>
        <v>0</v>
      </c>
      <c r="M44" s="166">
        <f>IF(C44="","",COUNTIFS(Başvuru!$C:$C,C44,Başvuru!$L:$L,"GÖRÜŞ",Başvuru!$A:$A,"&lt;&gt;"&amp;"",Başvuru!$F:$F,"&lt;&gt;"&amp;""))</f>
        <v>0</v>
      </c>
      <c r="N44" s="167">
        <f>IF(C44="","",COUNTIFS(Başvuru!$C:$C,C44,Başvuru!$L:$L,"RET",Başvuru!$A:$A,"&lt;&gt;"&amp;"",Başvuru!$F:$F,"&lt;&gt;"&amp;""))</f>
        <v>0</v>
      </c>
      <c r="O44" s="168">
        <f>IF(C44="","",COUNTIFS(Başvuru!$C:$C,C44,Başvuru!$L:$L,"KAPSAM DIŞI",Başvuru!$A:$A,"&lt;&gt;"&amp;"",Başvuru!$F:$F,"&lt;&gt;"&amp;""))</f>
        <v>0</v>
      </c>
      <c r="P44" s="169">
        <f>IF(C44="","",COUNTIFS(Başvuru!$C:$C,C44,Başvuru!$L:$L,"GERİ ÇEKİLDİ",Başvuru!$A:$A,"&lt;&gt;"&amp;"",Başvuru!$F:$F,"&lt;&gt;"&amp;""))</f>
        <v>0</v>
      </c>
      <c r="Q44" s="170" t="str">
        <f>IFERROR(INDEX(Başvuru!$C$2:$C$1851,MATCH(39,Başvuru!$AB$2:$AB$1851,0)),"")</f>
        <v>Prof. Dr. Petek KORKUSUZ</v>
      </c>
      <c r="R44" s="171">
        <f>IF(Q44="","",COUNTIFS(Başvuru!$C:$C,Q44,Başvuru!$A:$A,"&lt;&gt;"&amp;"",Başvuru!$F:$F,"&lt;&gt;"&amp;""))</f>
        <v>1</v>
      </c>
      <c r="S44" s="171">
        <f>IF(R44="","",RANK(R44,$R$6:$R$505,0)+COUNTIF($R$6:R44,R44)-1)</f>
        <v>171</v>
      </c>
    </row>
    <row r="45" spans="2:19" ht="23.25" customHeight="1" x14ac:dyDescent="0.25">
      <c r="B45" s="159">
        <v>40</v>
      </c>
      <c r="C45" s="160" t="str">
        <f>IFERROR(INDEX($Q$6:$Q$505,MATCH(40,$S$6:$S$505,0)),"")</f>
        <v>Prof. Dr. Hakan Hıfzı TÜZ</v>
      </c>
      <c r="D45" s="161">
        <f>IF(C45="","",COUNTIFS(Başvuru!$C:$C,C45,Başvuru!$A:$A,"&lt;&gt;"&amp;"",Başvuru!$F:$F,"&lt;&gt;"&amp;""))</f>
        <v>4</v>
      </c>
      <c r="E45" s="159" t="str">
        <f>IF(C45="","-",IF(D45&gt;0,TEXT(D45/(COUNTIFS(Başvuru!$A:$A,"&lt;&gt;",Başvuru!$F:$F,"&lt;&gt;")-1)*100,"0.0")&amp;"%","-"))</f>
        <v>01%</v>
      </c>
      <c r="F45" s="162">
        <f>IF(C45="","",COUNTIFS(Başvuru!$C:$C,C45,Başvuru!$G:$G,"Bireysel Araştırma",Başvuru!$A:$A,"&lt;&gt;"&amp;"",Başvuru!$F:$F,"&lt;&gt;"&amp;""))</f>
        <v>3</v>
      </c>
      <c r="G45" s="162">
        <f>IF(C45="","",COUNTIFS(Başvuru!$C:$C,C45,Başvuru!$G:$G,"Uzmanlık Tezi",Başvuru!$A:$A,"&lt;&gt;"&amp;"",Başvuru!$F:$F,"&lt;&gt;"&amp;""))</f>
        <v>1</v>
      </c>
      <c r="H45" s="162">
        <f>IF(C45="","",COUNTIFS(Başvuru!$C:$C,C45,Başvuru!$G:$G,"Doktora Tezi",Başvuru!$A:$A,"&lt;&gt;"&amp;"",Başvuru!$F:$F,"&lt;&gt;"&amp;""))</f>
        <v>0</v>
      </c>
      <c r="I45" s="162">
        <f>IF(C45="","",COUNTIFS(Başvuru!$C:$C,C45,Başvuru!$G:$G,"Yüksek Lisans Tezi",Başvuru!$A:$A,"&lt;&gt;"&amp;"",Başvuru!$F:$F,"&lt;&gt;"&amp;""))</f>
        <v>0</v>
      </c>
      <c r="J45" s="163">
        <f>IF(C45="","",COUNTIFS(Başvuru!$C:$C,C45,Başvuru!$L:$L,"ONAY",Başvuru!$A:$A,"&lt;&gt;"&amp;"",Başvuru!$F:$F,"&lt;&gt;"&amp;""))</f>
        <v>2</v>
      </c>
      <c r="K45" s="164">
        <f>IF(C45="","",COUNTIFS(Başvuru!$C:$C,C45,Başvuru!$L:$L,"DÜZELTME",Başvuru!$A:$A,"&lt;&gt;"&amp;"",Başvuru!$F:$F,"&lt;&gt;"&amp;""))</f>
        <v>0</v>
      </c>
      <c r="L45" s="165">
        <f>IF(C45="","",COUNTIFS(Başvuru!$C:$C,C45,Başvuru!$L:$L,"KAEK",Başvuru!$A:$A,"&lt;&gt;"&amp;"",Başvuru!$F:$F,"&lt;&gt;"&amp;""))</f>
        <v>0</v>
      </c>
      <c r="M45" s="166">
        <f>IF(C45="","",COUNTIFS(Başvuru!$C:$C,C45,Başvuru!$L:$L,"GÖRÜŞ",Başvuru!$A:$A,"&lt;&gt;"&amp;"",Başvuru!$F:$F,"&lt;&gt;"&amp;""))</f>
        <v>0</v>
      </c>
      <c r="N45" s="167">
        <f>IF(C45="","",COUNTIFS(Başvuru!$C:$C,C45,Başvuru!$L:$L,"RET",Başvuru!$A:$A,"&lt;&gt;"&amp;"",Başvuru!$F:$F,"&lt;&gt;"&amp;""))</f>
        <v>0</v>
      </c>
      <c r="O45" s="168">
        <f>IF(C45="","",COUNTIFS(Başvuru!$C:$C,C45,Başvuru!$L:$L,"KAPSAM DIŞI",Başvuru!$A:$A,"&lt;&gt;"&amp;"",Başvuru!$F:$F,"&lt;&gt;"&amp;""))</f>
        <v>0</v>
      </c>
      <c r="P45" s="169">
        <f>IF(C45="","",COUNTIFS(Başvuru!$C:$C,C45,Başvuru!$L:$L,"GERİ ÇEKİLDİ",Başvuru!$A:$A,"&lt;&gt;"&amp;"",Başvuru!$F:$F,"&lt;&gt;"&amp;""))</f>
        <v>0</v>
      </c>
      <c r="Q45" s="170" t="str">
        <f>IFERROR(INDEX(Başvuru!$C$2:$C$1851,MATCH(40,Başvuru!$AB$2:$AB$1851,0)),"")</f>
        <v>Prof. Dr. Sibel ERSOY EVANS</v>
      </c>
      <c r="R45" s="171">
        <f>IF(Q45="","",COUNTIFS(Başvuru!$C:$C,Q45,Başvuru!$A:$A,"&lt;&gt;"&amp;"",Başvuru!$F:$F,"&lt;&gt;"&amp;""))</f>
        <v>1</v>
      </c>
      <c r="S45" s="171">
        <f>IF(R45="","",RANK(R45,$R$6:$R$505,0)+COUNTIF($R$6:R45,R45)-1)</f>
        <v>172</v>
      </c>
    </row>
    <row r="46" spans="2:19" ht="23.25" customHeight="1" x14ac:dyDescent="0.25">
      <c r="B46" s="159">
        <v>41</v>
      </c>
      <c r="C46" s="160" t="str">
        <f>IFERROR(INDEX($Q$6:$Q$505,MATCH(41,$S$6:$S$505,0)),"")</f>
        <v>Prof. Dr. Çağrı Mesut TEMUÇİN</v>
      </c>
      <c r="D46" s="161">
        <f>IF(C46="","",COUNTIFS(Başvuru!$C:$C,C46,Başvuru!$A:$A,"&lt;&gt;"&amp;"",Başvuru!$F:$F,"&lt;&gt;"&amp;""))</f>
        <v>4</v>
      </c>
      <c r="E46" s="159" t="str">
        <f>IF(C46="","-",IF(D46&gt;0,TEXT(D46/(COUNTIFS(Başvuru!$A:$A,"&lt;&gt;",Başvuru!$F:$F,"&lt;&gt;")-1)*100,"0.0")&amp;"%","-"))</f>
        <v>01%</v>
      </c>
      <c r="F46" s="162">
        <f>IF(C46="","",COUNTIFS(Başvuru!$C:$C,C46,Başvuru!$G:$G,"Bireysel Araştırma",Başvuru!$A:$A,"&lt;&gt;"&amp;"",Başvuru!$F:$F,"&lt;&gt;"&amp;""))</f>
        <v>4</v>
      </c>
      <c r="G46" s="162">
        <f>IF(C46="","",COUNTIFS(Başvuru!$C:$C,C46,Başvuru!$G:$G,"Uzmanlık Tezi",Başvuru!$A:$A,"&lt;&gt;"&amp;"",Başvuru!$F:$F,"&lt;&gt;"&amp;""))</f>
        <v>0</v>
      </c>
      <c r="H46" s="162">
        <f>IF(C46="","",COUNTIFS(Başvuru!$C:$C,C46,Başvuru!$G:$G,"Doktora Tezi",Başvuru!$A:$A,"&lt;&gt;"&amp;"",Başvuru!$F:$F,"&lt;&gt;"&amp;""))</f>
        <v>0</v>
      </c>
      <c r="I46" s="162">
        <f>IF(C46="","",COUNTIFS(Başvuru!$C:$C,C46,Başvuru!$G:$G,"Yüksek Lisans Tezi",Başvuru!$A:$A,"&lt;&gt;"&amp;"",Başvuru!$F:$F,"&lt;&gt;"&amp;""))</f>
        <v>0</v>
      </c>
      <c r="J46" s="163">
        <f>IF(C46="","",COUNTIFS(Başvuru!$C:$C,C46,Başvuru!$L:$L,"ONAY",Başvuru!$A:$A,"&lt;&gt;"&amp;"",Başvuru!$F:$F,"&lt;&gt;"&amp;""))</f>
        <v>3</v>
      </c>
      <c r="K46" s="164">
        <f>IF(C46="","",COUNTIFS(Başvuru!$C:$C,C46,Başvuru!$L:$L,"DÜZELTME",Başvuru!$A:$A,"&lt;&gt;"&amp;"",Başvuru!$F:$F,"&lt;&gt;"&amp;""))</f>
        <v>1</v>
      </c>
      <c r="L46" s="165">
        <f>IF(C46="","",COUNTIFS(Başvuru!$C:$C,C46,Başvuru!$L:$L,"KAEK",Başvuru!$A:$A,"&lt;&gt;"&amp;"",Başvuru!$F:$F,"&lt;&gt;"&amp;""))</f>
        <v>0</v>
      </c>
      <c r="M46" s="166">
        <f>IF(C46="","",COUNTIFS(Başvuru!$C:$C,C46,Başvuru!$L:$L,"GÖRÜŞ",Başvuru!$A:$A,"&lt;&gt;"&amp;"",Başvuru!$F:$F,"&lt;&gt;"&amp;""))</f>
        <v>0</v>
      </c>
      <c r="N46" s="167">
        <f>IF(C46="","",COUNTIFS(Başvuru!$C:$C,C46,Başvuru!$L:$L,"RET",Başvuru!$A:$A,"&lt;&gt;"&amp;"",Başvuru!$F:$F,"&lt;&gt;"&amp;""))</f>
        <v>0</v>
      </c>
      <c r="O46" s="168">
        <f>IF(C46="","",COUNTIFS(Başvuru!$C:$C,C46,Başvuru!$L:$L,"KAPSAM DIŞI",Başvuru!$A:$A,"&lt;&gt;"&amp;"",Başvuru!$F:$F,"&lt;&gt;"&amp;""))</f>
        <v>0</v>
      </c>
      <c r="P46" s="169">
        <f>IF(C46="","",COUNTIFS(Başvuru!$C:$C,C46,Başvuru!$L:$L,"GERİ ÇEKİLDİ",Başvuru!$A:$A,"&lt;&gt;"&amp;"",Başvuru!$F:$F,"&lt;&gt;"&amp;""))</f>
        <v>0</v>
      </c>
      <c r="Q46" s="170" t="str">
        <f>IFERROR(INDEX(Başvuru!$C$2:$C$1851,MATCH(41,Başvuru!$AB$2:$AB$1851,0)),"")</f>
        <v>Prof. Dr. Oya ÖZDEMİR</v>
      </c>
      <c r="R46" s="171">
        <f>IF(Q46="","",COUNTIFS(Başvuru!$C:$C,Q46,Başvuru!$A:$A,"&lt;&gt;"&amp;"",Başvuru!$F:$F,"&lt;&gt;"&amp;""))</f>
        <v>1</v>
      </c>
      <c r="S46" s="171">
        <f>IF(R46="","",RANK(R46,$R$6:$R$505,0)+COUNTIF($R$6:R46,R46)-1)</f>
        <v>173</v>
      </c>
    </row>
    <row r="47" spans="2:19" ht="23.25" customHeight="1" x14ac:dyDescent="0.25">
      <c r="B47" s="159">
        <v>42</v>
      </c>
      <c r="C47" s="160" t="str">
        <f>IFERROR(INDEX($Q$6:$Q$505,MATCH(42,$S$6:$S$505,0)),"")</f>
        <v>Prof. Dr. Ayşe KİN İŞLER</v>
      </c>
      <c r="D47" s="161">
        <f>IF(C47="","",COUNTIFS(Başvuru!$C:$C,C47,Başvuru!$A:$A,"&lt;&gt;"&amp;"",Başvuru!$F:$F,"&lt;&gt;"&amp;""))</f>
        <v>4</v>
      </c>
      <c r="E47" s="159" t="str">
        <f>IF(C47="","-",IF(D47&gt;0,TEXT(D47/(COUNTIFS(Başvuru!$A:$A,"&lt;&gt;",Başvuru!$F:$F,"&lt;&gt;")-1)*100,"0.0")&amp;"%","-"))</f>
        <v>01%</v>
      </c>
      <c r="F47" s="162">
        <f>IF(C47="","",COUNTIFS(Başvuru!$C:$C,C47,Başvuru!$G:$G,"Bireysel Araştırma",Başvuru!$A:$A,"&lt;&gt;"&amp;"",Başvuru!$F:$F,"&lt;&gt;"&amp;""))</f>
        <v>1</v>
      </c>
      <c r="G47" s="162">
        <f>IF(C47="","",COUNTIFS(Başvuru!$C:$C,C47,Başvuru!$G:$G,"Uzmanlık Tezi",Başvuru!$A:$A,"&lt;&gt;"&amp;"",Başvuru!$F:$F,"&lt;&gt;"&amp;""))</f>
        <v>0</v>
      </c>
      <c r="H47" s="162">
        <f>IF(C47="","",COUNTIFS(Başvuru!$C:$C,C47,Başvuru!$G:$G,"Doktora Tezi",Başvuru!$A:$A,"&lt;&gt;"&amp;"",Başvuru!$F:$F,"&lt;&gt;"&amp;""))</f>
        <v>1</v>
      </c>
      <c r="I47" s="162">
        <f>IF(C47="","",COUNTIFS(Başvuru!$C:$C,C47,Başvuru!$G:$G,"Yüksek Lisans Tezi",Başvuru!$A:$A,"&lt;&gt;"&amp;"",Başvuru!$F:$F,"&lt;&gt;"&amp;""))</f>
        <v>2</v>
      </c>
      <c r="J47" s="163">
        <f>IF(C47="","",COUNTIFS(Başvuru!$C:$C,C47,Başvuru!$L:$L,"ONAY",Başvuru!$A:$A,"&lt;&gt;"&amp;"",Başvuru!$F:$F,"&lt;&gt;"&amp;""))</f>
        <v>2</v>
      </c>
      <c r="K47" s="164">
        <f>IF(C47="","",COUNTIFS(Başvuru!$C:$C,C47,Başvuru!$L:$L,"DÜZELTME",Başvuru!$A:$A,"&lt;&gt;"&amp;"",Başvuru!$F:$F,"&lt;&gt;"&amp;""))</f>
        <v>2</v>
      </c>
      <c r="L47" s="165">
        <f>IF(C47="","",COUNTIFS(Başvuru!$C:$C,C47,Başvuru!$L:$L,"KAEK",Başvuru!$A:$A,"&lt;&gt;"&amp;"",Başvuru!$F:$F,"&lt;&gt;"&amp;""))</f>
        <v>0</v>
      </c>
      <c r="M47" s="166">
        <f>IF(C47="","",COUNTIFS(Başvuru!$C:$C,C47,Başvuru!$L:$L,"GÖRÜŞ",Başvuru!$A:$A,"&lt;&gt;"&amp;"",Başvuru!$F:$F,"&lt;&gt;"&amp;""))</f>
        <v>0</v>
      </c>
      <c r="N47" s="167">
        <f>IF(C47="","",COUNTIFS(Başvuru!$C:$C,C47,Başvuru!$L:$L,"RET",Başvuru!$A:$A,"&lt;&gt;"&amp;"",Başvuru!$F:$F,"&lt;&gt;"&amp;""))</f>
        <v>0</v>
      </c>
      <c r="O47" s="168">
        <f>IF(C47="","",COUNTIFS(Başvuru!$C:$C,C47,Başvuru!$L:$L,"KAPSAM DIŞI",Başvuru!$A:$A,"&lt;&gt;"&amp;"",Başvuru!$F:$F,"&lt;&gt;"&amp;""))</f>
        <v>0</v>
      </c>
      <c r="P47" s="169">
        <f>IF(C47="","",COUNTIFS(Başvuru!$C:$C,C47,Başvuru!$L:$L,"GERİ ÇEKİLDİ",Başvuru!$A:$A,"&lt;&gt;"&amp;"",Başvuru!$F:$F,"&lt;&gt;"&amp;""))</f>
        <v>0</v>
      </c>
      <c r="Q47" s="170" t="str">
        <f>IFERROR(INDEX(Başvuru!$C$2:$C$1851,MATCH(42,Başvuru!$AB$2:$AB$1851,0)),"")</f>
        <v>Prof. Dr. Bahar GÜÇİZ DOĞAN</v>
      </c>
      <c r="R47" s="171">
        <f>IF(Q47="","",COUNTIFS(Başvuru!$C:$C,Q47,Başvuru!$A:$A,"&lt;&gt;"&amp;"",Başvuru!$F:$F,"&lt;&gt;"&amp;""))</f>
        <v>1</v>
      </c>
      <c r="S47" s="171">
        <f>IF(R47="","",RANK(R47,$R$6:$R$505,0)+COUNTIF($R$6:R47,R47)-1)</f>
        <v>174</v>
      </c>
    </row>
    <row r="48" spans="2:19" ht="23.25" customHeight="1" x14ac:dyDescent="0.25">
      <c r="B48" s="159">
        <v>43</v>
      </c>
      <c r="C48" s="160" t="str">
        <f>IFERROR(INDEX($Q$6:$Q$505,MATCH(43,$S$6:$S$505,0)),"")</f>
        <v>Prof. Dr. Hatice Yasemin BALABAN</v>
      </c>
      <c r="D48" s="161">
        <f>IF(C48="","",COUNTIFS(Başvuru!$C:$C,C48,Başvuru!$A:$A,"&lt;&gt;"&amp;"",Başvuru!$F:$F,"&lt;&gt;"&amp;""))</f>
        <v>4</v>
      </c>
      <c r="E48" s="159" t="str">
        <f>IF(C48="","-",IF(D48&gt;0,TEXT(D48/(COUNTIFS(Başvuru!$A:$A,"&lt;&gt;",Başvuru!$F:$F,"&lt;&gt;")-1)*100,"0.0")&amp;"%","-"))</f>
        <v>01%</v>
      </c>
      <c r="F48" s="162">
        <f>IF(C48="","",COUNTIFS(Başvuru!$C:$C,C48,Başvuru!$G:$G,"Bireysel Araştırma",Başvuru!$A:$A,"&lt;&gt;"&amp;"",Başvuru!$F:$F,"&lt;&gt;"&amp;""))</f>
        <v>4</v>
      </c>
      <c r="G48" s="162">
        <f>IF(C48="","",COUNTIFS(Başvuru!$C:$C,C48,Başvuru!$G:$G,"Uzmanlık Tezi",Başvuru!$A:$A,"&lt;&gt;"&amp;"",Başvuru!$F:$F,"&lt;&gt;"&amp;""))</f>
        <v>0</v>
      </c>
      <c r="H48" s="162">
        <f>IF(C48="","",COUNTIFS(Başvuru!$C:$C,C48,Başvuru!$G:$G,"Doktora Tezi",Başvuru!$A:$A,"&lt;&gt;"&amp;"",Başvuru!$F:$F,"&lt;&gt;"&amp;""))</f>
        <v>0</v>
      </c>
      <c r="I48" s="162">
        <f>IF(C48="","",COUNTIFS(Başvuru!$C:$C,C48,Başvuru!$G:$G,"Yüksek Lisans Tezi",Başvuru!$A:$A,"&lt;&gt;"&amp;"",Başvuru!$F:$F,"&lt;&gt;"&amp;""))</f>
        <v>0</v>
      </c>
      <c r="J48" s="163">
        <f>IF(C48="","",COUNTIFS(Başvuru!$C:$C,C48,Başvuru!$L:$L,"ONAY",Başvuru!$A:$A,"&lt;&gt;"&amp;"",Başvuru!$F:$F,"&lt;&gt;"&amp;""))</f>
        <v>0</v>
      </c>
      <c r="K48" s="164">
        <f>IF(C48="","",COUNTIFS(Başvuru!$C:$C,C48,Başvuru!$L:$L,"DÜZELTME",Başvuru!$A:$A,"&lt;&gt;"&amp;"",Başvuru!$F:$F,"&lt;&gt;"&amp;""))</f>
        <v>2</v>
      </c>
      <c r="L48" s="165">
        <f>IF(C48="","",COUNTIFS(Başvuru!$C:$C,C48,Başvuru!$L:$L,"KAEK",Başvuru!$A:$A,"&lt;&gt;"&amp;"",Başvuru!$F:$F,"&lt;&gt;"&amp;""))</f>
        <v>0</v>
      </c>
      <c r="M48" s="166">
        <f>IF(C48="","",COUNTIFS(Başvuru!$C:$C,C48,Başvuru!$L:$L,"GÖRÜŞ",Başvuru!$A:$A,"&lt;&gt;"&amp;"",Başvuru!$F:$F,"&lt;&gt;"&amp;""))</f>
        <v>0</v>
      </c>
      <c r="N48" s="167">
        <f>IF(C48="","",COUNTIFS(Başvuru!$C:$C,C48,Başvuru!$L:$L,"RET",Başvuru!$A:$A,"&lt;&gt;"&amp;"",Başvuru!$F:$F,"&lt;&gt;"&amp;""))</f>
        <v>1</v>
      </c>
      <c r="O48" s="168">
        <f>IF(C48="","",COUNTIFS(Başvuru!$C:$C,C48,Başvuru!$L:$L,"KAPSAM DIŞI",Başvuru!$A:$A,"&lt;&gt;"&amp;"",Başvuru!$F:$F,"&lt;&gt;"&amp;""))</f>
        <v>1</v>
      </c>
      <c r="P48" s="169">
        <f>IF(C48="","",COUNTIFS(Başvuru!$C:$C,C48,Başvuru!$L:$L,"GERİ ÇEKİLDİ",Başvuru!$A:$A,"&lt;&gt;"&amp;"",Başvuru!$F:$F,"&lt;&gt;"&amp;""))</f>
        <v>0</v>
      </c>
      <c r="Q48" s="170" t="str">
        <f>IFERROR(INDEX(Başvuru!$C$2:$C$1851,MATCH(43,Başvuru!$AB$2:$AB$1851,0)),"")</f>
        <v>Doç. Dr. Erdem FADILOĞLU</v>
      </c>
      <c r="R48" s="171">
        <f>IF(Q48="","",COUNTIFS(Başvuru!$C:$C,Q48,Başvuru!$A:$A,"&lt;&gt;"&amp;"",Başvuru!$F:$F,"&lt;&gt;"&amp;""))</f>
        <v>5</v>
      </c>
      <c r="S48" s="171">
        <f>IF(R48="","",RANK(R48,$R$6:$R$505,0)+COUNTIF($R$6:R48,R48)-1)</f>
        <v>21</v>
      </c>
    </row>
    <row r="49" spans="2:19" ht="23.25" customHeight="1" x14ac:dyDescent="0.25">
      <c r="B49" s="159">
        <v>44</v>
      </c>
      <c r="C49" s="160" t="str">
        <f>IFERROR(INDEX($Q$6:$Q$505,MATCH(44,$S$6:$S$505,0)),"")</f>
        <v>Prof. Dr. Deniz DOĞRU ERSÖZ</v>
      </c>
      <c r="D49" s="161">
        <f>IF(C49="","",COUNTIFS(Başvuru!$C:$C,C49,Başvuru!$A:$A,"&lt;&gt;"&amp;"",Başvuru!$F:$F,"&lt;&gt;"&amp;""))</f>
        <v>4</v>
      </c>
      <c r="E49" s="159" t="str">
        <f>IF(C49="","-",IF(D49&gt;0,TEXT(D49/(COUNTIFS(Başvuru!$A:$A,"&lt;&gt;",Başvuru!$F:$F,"&lt;&gt;")-1)*100,"0.0")&amp;"%","-"))</f>
        <v>01%</v>
      </c>
      <c r="F49" s="162">
        <f>IF(C49="","",COUNTIFS(Başvuru!$C:$C,C49,Başvuru!$G:$G,"Bireysel Araştırma",Başvuru!$A:$A,"&lt;&gt;"&amp;"",Başvuru!$F:$F,"&lt;&gt;"&amp;""))</f>
        <v>4</v>
      </c>
      <c r="G49" s="162">
        <f>IF(C49="","",COUNTIFS(Başvuru!$C:$C,C49,Başvuru!$G:$G,"Uzmanlık Tezi",Başvuru!$A:$A,"&lt;&gt;"&amp;"",Başvuru!$F:$F,"&lt;&gt;"&amp;""))</f>
        <v>0</v>
      </c>
      <c r="H49" s="162">
        <f>IF(C49="","",COUNTIFS(Başvuru!$C:$C,C49,Başvuru!$G:$G,"Doktora Tezi",Başvuru!$A:$A,"&lt;&gt;"&amp;"",Başvuru!$F:$F,"&lt;&gt;"&amp;""))</f>
        <v>0</v>
      </c>
      <c r="I49" s="162">
        <f>IF(C49="","",COUNTIFS(Başvuru!$C:$C,C49,Başvuru!$G:$G,"Yüksek Lisans Tezi",Başvuru!$A:$A,"&lt;&gt;"&amp;"",Başvuru!$F:$F,"&lt;&gt;"&amp;""))</f>
        <v>0</v>
      </c>
      <c r="J49" s="163">
        <f>IF(C49="","",COUNTIFS(Başvuru!$C:$C,C49,Başvuru!$L:$L,"ONAY",Başvuru!$A:$A,"&lt;&gt;"&amp;"",Başvuru!$F:$F,"&lt;&gt;"&amp;""))</f>
        <v>1</v>
      </c>
      <c r="K49" s="164">
        <f>IF(C49="","",COUNTIFS(Başvuru!$C:$C,C49,Başvuru!$L:$L,"DÜZELTME",Başvuru!$A:$A,"&lt;&gt;"&amp;"",Başvuru!$F:$F,"&lt;&gt;"&amp;""))</f>
        <v>0</v>
      </c>
      <c r="L49" s="165">
        <f>IF(C49="","",COUNTIFS(Başvuru!$C:$C,C49,Başvuru!$L:$L,"KAEK",Başvuru!$A:$A,"&lt;&gt;"&amp;"",Başvuru!$F:$F,"&lt;&gt;"&amp;""))</f>
        <v>3</v>
      </c>
      <c r="M49" s="166">
        <f>IF(C49="","",COUNTIFS(Başvuru!$C:$C,C49,Başvuru!$L:$L,"GÖRÜŞ",Başvuru!$A:$A,"&lt;&gt;"&amp;"",Başvuru!$F:$F,"&lt;&gt;"&amp;""))</f>
        <v>0</v>
      </c>
      <c r="N49" s="167">
        <f>IF(C49="","",COUNTIFS(Başvuru!$C:$C,C49,Başvuru!$L:$L,"RET",Başvuru!$A:$A,"&lt;&gt;"&amp;"",Başvuru!$F:$F,"&lt;&gt;"&amp;""))</f>
        <v>0</v>
      </c>
      <c r="O49" s="168">
        <f>IF(C49="","",COUNTIFS(Başvuru!$C:$C,C49,Başvuru!$L:$L,"KAPSAM DIŞI",Başvuru!$A:$A,"&lt;&gt;"&amp;"",Başvuru!$F:$F,"&lt;&gt;"&amp;""))</f>
        <v>0</v>
      </c>
      <c r="P49" s="169">
        <f>IF(C49="","",COUNTIFS(Başvuru!$C:$C,C49,Başvuru!$L:$L,"GERİ ÇEKİLDİ",Başvuru!$A:$A,"&lt;&gt;"&amp;"",Başvuru!$F:$F,"&lt;&gt;"&amp;""))</f>
        <v>0</v>
      </c>
      <c r="Q49" s="170" t="str">
        <f>IFERROR(INDEX(Başvuru!$C$2:$C$1851,MATCH(44,Başvuru!$AB$2:$AB$1851,0)),"")</f>
        <v>Prof. Dr. Mehmet Akif TOPÇUOĞLU</v>
      </c>
      <c r="R49" s="171">
        <f>IF(Q49="","",COUNTIFS(Başvuru!$C:$C,Q49,Başvuru!$A:$A,"&lt;&gt;"&amp;"",Başvuru!$F:$F,"&lt;&gt;"&amp;""))</f>
        <v>1</v>
      </c>
      <c r="S49" s="171">
        <f>IF(R49="","",RANK(R49,$R$6:$R$505,0)+COUNTIF($R$6:R49,R49)-1)</f>
        <v>175</v>
      </c>
    </row>
    <row r="50" spans="2:19" ht="23.25" customHeight="1" x14ac:dyDescent="0.25">
      <c r="B50" s="159">
        <v>45</v>
      </c>
      <c r="C50" s="160" t="str">
        <f>IFERROR(INDEX($Q$6:$Q$505,MATCH(45,$S$6:$S$505,0)),"")</f>
        <v>Doç. Dr. Mesut ALTAN</v>
      </c>
      <c r="D50" s="161">
        <f>IF(C50="","",COUNTIFS(Başvuru!$C:$C,C50,Başvuru!$A:$A,"&lt;&gt;"&amp;"",Başvuru!$F:$F,"&lt;&gt;"&amp;""))</f>
        <v>4</v>
      </c>
      <c r="E50" s="159" t="str">
        <f>IF(C50="","-",IF(D50&gt;0,TEXT(D50/(COUNTIFS(Başvuru!$A:$A,"&lt;&gt;",Başvuru!$F:$F,"&lt;&gt;")-1)*100,"0.0")&amp;"%","-"))</f>
        <v>01%</v>
      </c>
      <c r="F50" s="162">
        <f>IF(C50="","",COUNTIFS(Başvuru!$C:$C,C50,Başvuru!$G:$G,"Bireysel Araştırma",Başvuru!$A:$A,"&lt;&gt;"&amp;"",Başvuru!$F:$F,"&lt;&gt;"&amp;""))</f>
        <v>4</v>
      </c>
      <c r="G50" s="162">
        <f>IF(C50="","",COUNTIFS(Başvuru!$C:$C,C50,Başvuru!$G:$G,"Uzmanlık Tezi",Başvuru!$A:$A,"&lt;&gt;"&amp;"",Başvuru!$F:$F,"&lt;&gt;"&amp;""))</f>
        <v>0</v>
      </c>
      <c r="H50" s="162">
        <f>IF(C50="","",COUNTIFS(Başvuru!$C:$C,C50,Başvuru!$G:$G,"Doktora Tezi",Başvuru!$A:$A,"&lt;&gt;"&amp;"",Başvuru!$F:$F,"&lt;&gt;"&amp;""))</f>
        <v>0</v>
      </c>
      <c r="I50" s="162">
        <f>IF(C50="","",COUNTIFS(Başvuru!$C:$C,C50,Başvuru!$G:$G,"Yüksek Lisans Tezi",Başvuru!$A:$A,"&lt;&gt;"&amp;"",Başvuru!$F:$F,"&lt;&gt;"&amp;""))</f>
        <v>0</v>
      </c>
      <c r="J50" s="163">
        <f>IF(C50="","",COUNTIFS(Başvuru!$C:$C,C50,Başvuru!$L:$L,"ONAY",Başvuru!$A:$A,"&lt;&gt;"&amp;"",Başvuru!$F:$F,"&lt;&gt;"&amp;""))</f>
        <v>4</v>
      </c>
      <c r="K50" s="164">
        <f>IF(C50="","",COUNTIFS(Başvuru!$C:$C,C50,Başvuru!$L:$L,"DÜZELTME",Başvuru!$A:$A,"&lt;&gt;"&amp;"",Başvuru!$F:$F,"&lt;&gt;"&amp;""))</f>
        <v>0</v>
      </c>
      <c r="L50" s="165">
        <f>IF(C50="","",COUNTIFS(Başvuru!$C:$C,C50,Başvuru!$L:$L,"KAEK",Başvuru!$A:$A,"&lt;&gt;"&amp;"",Başvuru!$F:$F,"&lt;&gt;"&amp;""))</f>
        <v>0</v>
      </c>
      <c r="M50" s="166">
        <f>IF(C50="","",COUNTIFS(Başvuru!$C:$C,C50,Başvuru!$L:$L,"GÖRÜŞ",Başvuru!$A:$A,"&lt;&gt;"&amp;"",Başvuru!$F:$F,"&lt;&gt;"&amp;""))</f>
        <v>0</v>
      </c>
      <c r="N50" s="167">
        <f>IF(C50="","",COUNTIFS(Başvuru!$C:$C,C50,Başvuru!$L:$L,"RET",Başvuru!$A:$A,"&lt;&gt;"&amp;"",Başvuru!$F:$F,"&lt;&gt;"&amp;""))</f>
        <v>0</v>
      </c>
      <c r="O50" s="168">
        <f>IF(C50="","",COUNTIFS(Başvuru!$C:$C,C50,Başvuru!$L:$L,"KAPSAM DIŞI",Başvuru!$A:$A,"&lt;&gt;"&amp;"",Başvuru!$F:$F,"&lt;&gt;"&amp;""))</f>
        <v>0</v>
      </c>
      <c r="P50" s="169">
        <f>IF(C50="","",COUNTIFS(Başvuru!$C:$C,C50,Başvuru!$L:$L,"GERİ ÇEKİLDİ",Başvuru!$A:$A,"&lt;&gt;"&amp;"",Başvuru!$F:$F,"&lt;&gt;"&amp;""))</f>
        <v>0</v>
      </c>
      <c r="Q50" s="170" t="str">
        <f>IFERROR(INDEX(Başvuru!$C$2:$C$1851,MATCH(45,Başvuru!$AB$2:$AB$1851,0)),"")</f>
        <v>Doç. Dr. Başak YALICI ARMAĞAN</v>
      </c>
      <c r="R50" s="171">
        <f>IF(Q50="","",COUNTIFS(Başvuru!$C:$C,Q50,Başvuru!$A:$A,"&lt;&gt;"&amp;"",Başvuru!$F:$F,"&lt;&gt;"&amp;""))</f>
        <v>3</v>
      </c>
      <c r="S50" s="171">
        <f>IF(R50="","",RANK(R50,$R$6:$R$505,0)+COUNTIF($R$6:R50,R50)-1)</f>
        <v>61</v>
      </c>
    </row>
    <row r="51" spans="2:19" ht="23.25" customHeight="1" x14ac:dyDescent="0.25">
      <c r="B51" s="159">
        <v>46</v>
      </c>
      <c r="C51" s="160" t="str">
        <f>IFERROR(INDEX($Q$6:$Q$505,MATCH(46,$S$6:$S$505,0)),"")</f>
        <v>Dr. Öğr. Üyesi Aycan UYSAL</v>
      </c>
      <c r="D51" s="161">
        <f>IF(C51="","",COUNTIFS(Başvuru!$C:$C,C51,Başvuru!$A:$A,"&lt;&gt;"&amp;"",Başvuru!$F:$F,"&lt;&gt;"&amp;""))</f>
        <v>4</v>
      </c>
      <c r="E51" s="159" t="str">
        <f>IF(C51="","-",IF(D51&gt;0,TEXT(D51/(COUNTIFS(Başvuru!$A:$A,"&lt;&gt;",Başvuru!$F:$F,"&lt;&gt;")-1)*100,"0.0")&amp;"%","-"))</f>
        <v>01%</v>
      </c>
      <c r="F51" s="162">
        <f>IF(C51="","",COUNTIFS(Başvuru!$C:$C,C51,Başvuru!$G:$G,"Bireysel Araştırma",Başvuru!$A:$A,"&lt;&gt;"&amp;"",Başvuru!$F:$F,"&lt;&gt;"&amp;""))</f>
        <v>3</v>
      </c>
      <c r="G51" s="162">
        <f>IF(C51="","",COUNTIFS(Başvuru!$C:$C,C51,Başvuru!$G:$G,"Uzmanlık Tezi",Başvuru!$A:$A,"&lt;&gt;"&amp;"",Başvuru!$F:$F,"&lt;&gt;"&amp;""))</f>
        <v>1</v>
      </c>
      <c r="H51" s="162">
        <f>IF(C51="","",COUNTIFS(Başvuru!$C:$C,C51,Başvuru!$G:$G,"Doktora Tezi",Başvuru!$A:$A,"&lt;&gt;"&amp;"",Başvuru!$F:$F,"&lt;&gt;"&amp;""))</f>
        <v>0</v>
      </c>
      <c r="I51" s="162">
        <f>IF(C51="","",COUNTIFS(Başvuru!$C:$C,C51,Başvuru!$G:$G,"Yüksek Lisans Tezi",Başvuru!$A:$A,"&lt;&gt;"&amp;"",Başvuru!$F:$F,"&lt;&gt;"&amp;""))</f>
        <v>0</v>
      </c>
      <c r="J51" s="163">
        <f>IF(C51="","",COUNTIFS(Başvuru!$C:$C,C51,Başvuru!$L:$L,"ONAY",Başvuru!$A:$A,"&lt;&gt;"&amp;"",Başvuru!$F:$F,"&lt;&gt;"&amp;""))</f>
        <v>4</v>
      </c>
      <c r="K51" s="164">
        <f>IF(C51="","",COUNTIFS(Başvuru!$C:$C,C51,Başvuru!$L:$L,"DÜZELTME",Başvuru!$A:$A,"&lt;&gt;"&amp;"",Başvuru!$F:$F,"&lt;&gt;"&amp;""))</f>
        <v>0</v>
      </c>
      <c r="L51" s="165">
        <f>IF(C51="","",COUNTIFS(Başvuru!$C:$C,C51,Başvuru!$L:$L,"KAEK",Başvuru!$A:$A,"&lt;&gt;"&amp;"",Başvuru!$F:$F,"&lt;&gt;"&amp;""))</f>
        <v>0</v>
      </c>
      <c r="M51" s="166">
        <f>IF(C51="","",COUNTIFS(Başvuru!$C:$C,C51,Başvuru!$L:$L,"GÖRÜŞ",Başvuru!$A:$A,"&lt;&gt;"&amp;"",Başvuru!$F:$F,"&lt;&gt;"&amp;""))</f>
        <v>0</v>
      </c>
      <c r="N51" s="167">
        <f>IF(C51="","",COUNTIFS(Başvuru!$C:$C,C51,Başvuru!$L:$L,"RET",Başvuru!$A:$A,"&lt;&gt;"&amp;"",Başvuru!$F:$F,"&lt;&gt;"&amp;""))</f>
        <v>0</v>
      </c>
      <c r="O51" s="168">
        <f>IF(C51="","",COUNTIFS(Başvuru!$C:$C,C51,Başvuru!$L:$L,"KAPSAM DIŞI",Başvuru!$A:$A,"&lt;&gt;"&amp;"",Başvuru!$F:$F,"&lt;&gt;"&amp;""))</f>
        <v>0</v>
      </c>
      <c r="P51" s="169">
        <f>IF(C51="","",COUNTIFS(Başvuru!$C:$C,C51,Başvuru!$L:$L,"GERİ ÇEKİLDİ",Başvuru!$A:$A,"&lt;&gt;"&amp;"",Başvuru!$F:$F,"&lt;&gt;"&amp;""))</f>
        <v>0</v>
      </c>
      <c r="Q51" s="170" t="str">
        <f>IFERROR(INDEX(Başvuru!$C$2:$C$1851,MATCH(46,Başvuru!$AB$2:$AB$1851,0)),"")</f>
        <v>Doç. Dr. Neslihan AKDOĞAN</v>
      </c>
      <c r="R51" s="171">
        <f>IF(Q51="","",COUNTIFS(Başvuru!$C:$C,Q51,Başvuru!$A:$A,"&lt;&gt;"&amp;"",Başvuru!$F:$F,"&lt;&gt;"&amp;""))</f>
        <v>2</v>
      </c>
      <c r="S51" s="171">
        <f>IF(R51="","",RANK(R51,$R$6:$R$505,0)+COUNTIF($R$6:R51,R51)-1)</f>
        <v>89</v>
      </c>
    </row>
    <row r="52" spans="2:19" ht="23.25" customHeight="1" x14ac:dyDescent="0.25">
      <c r="B52" s="159">
        <v>47</v>
      </c>
      <c r="C52" s="160" t="str">
        <f>IFERROR(INDEX($Q$6:$Q$505,MATCH(47,$S$6:$S$505,0)),"")</f>
        <v>Prof. Dr. Murat TUNCEL</v>
      </c>
      <c r="D52" s="161">
        <f>IF(C52="","",COUNTIFS(Başvuru!$C:$C,C52,Başvuru!$A:$A,"&lt;&gt;"&amp;"",Başvuru!$F:$F,"&lt;&gt;"&amp;""))</f>
        <v>4</v>
      </c>
      <c r="E52" s="159" t="str">
        <f>IF(C52="","-",IF(D52&gt;0,TEXT(D52/(COUNTIFS(Başvuru!$A:$A,"&lt;&gt;",Başvuru!$F:$F,"&lt;&gt;")-1)*100,"0.0")&amp;"%","-"))</f>
        <v>01%</v>
      </c>
      <c r="F52" s="162">
        <f>IF(C52="","",COUNTIFS(Başvuru!$C:$C,C52,Başvuru!$G:$G,"Bireysel Araştırma",Başvuru!$A:$A,"&lt;&gt;"&amp;"",Başvuru!$F:$F,"&lt;&gt;"&amp;""))</f>
        <v>3</v>
      </c>
      <c r="G52" s="162">
        <f>IF(C52="","",COUNTIFS(Başvuru!$C:$C,C52,Başvuru!$G:$G,"Uzmanlık Tezi",Başvuru!$A:$A,"&lt;&gt;"&amp;"",Başvuru!$F:$F,"&lt;&gt;"&amp;""))</f>
        <v>1</v>
      </c>
      <c r="H52" s="162">
        <f>IF(C52="","",COUNTIFS(Başvuru!$C:$C,C52,Başvuru!$G:$G,"Doktora Tezi",Başvuru!$A:$A,"&lt;&gt;"&amp;"",Başvuru!$F:$F,"&lt;&gt;"&amp;""))</f>
        <v>0</v>
      </c>
      <c r="I52" s="162">
        <f>IF(C52="","",COUNTIFS(Başvuru!$C:$C,C52,Başvuru!$G:$G,"Yüksek Lisans Tezi",Başvuru!$A:$A,"&lt;&gt;"&amp;"",Başvuru!$F:$F,"&lt;&gt;"&amp;""))</f>
        <v>0</v>
      </c>
      <c r="J52" s="163">
        <f>IF(C52="","",COUNTIFS(Başvuru!$C:$C,C52,Başvuru!$L:$L,"ONAY",Başvuru!$A:$A,"&lt;&gt;"&amp;"",Başvuru!$F:$F,"&lt;&gt;"&amp;""))</f>
        <v>1</v>
      </c>
      <c r="K52" s="164">
        <f>IF(C52="","",COUNTIFS(Başvuru!$C:$C,C52,Başvuru!$L:$L,"DÜZELTME",Başvuru!$A:$A,"&lt;&gt;"&amp;"",Başvuru!$F:$F,"&lt;&gt;"&amp;""))</f>
        <v>0</v>
      </c>
      <c r="L52" s="165">
        <f>IF(C52="","",COUNTIFS(Başvuru!$C:$C,C52,Başvuru!$L:$L,"KAEK",Başvuru!$A:$A,"&lt;&gt;"&amp;"",Başvuru!$F:$F,"&lt;&gt;"&amp;""))</f>
        <v>0</v>
      </c>
      <c r="M52" s="166">
        <f>IF(C52="","",COUNTIFS(Başvuru!$C:$C,C52,Başvuru!$L:$L,"GÖRÜŞ",Başvuru!$A:$A,"&lt;&gt;"&amp;"",Başvuru!$F:$F,"&lt;&gt;"&amp;""))</f>
        <v>0</v>
      </c>
      <c r="N52" s="167">
        <f>IF(C52="","",COUNTIFS(Başvuru!$C:$C,C52,Başvuru!$L:$L,"RET",Başvuru!$A:$A,"&lt;&gt;"&amp;"",Başvuru!$F:$F,"&lt;&gt;"&amp;""))</f>
        <v>1</v>
      </c>
      <c r="O52" s="168">
        <f>IF(C52="","",COUNTIFS(Başvuru!$C:$C,C52,Başvuru!$L:$L,"KAPSAM DIŞI",Başvuru!$A:$A,"&lt;&gt;"&amp;"",Başvuru!$F:$F,"&lt;&gt;"&amp;""))</f>
        <v>0</v>
      </c>
      <c r="P52" s="169">
        <f>IF(C52="","",COUNTIFS(Başvuru!$C:$C,C52,Başvuru!$L:$L,"GERİ ÇEKİLDİ",Başvuru!$A:$A,"&lt;&gt;"&amp;"",Başvuru!$F:$F,"&lt;&gt;"&amp;""))</f>
        <v>0</v>
      </c>
      <c r="Q52" s="170" t="str">
        <f>IFERROR(INDEX(Başvuru!$C$2:$C$1851,MATCH(47,Başvuru!$AB$2:$AB$1851,0)),"")</f>
        <v>Prof. Dr. Deniz ÇAĞDAŞ AYVAZ</v>
      </c>
      <c r="R52" s="171">
        <f>IF(Q52="","",COUNTIFS(Başvuru!$C:$C,Q52,Başvuru!$A:$A,"&lt;&gt;"&amp;"",Başvuru!$F:$F,"&lt;&gt;"&amp;""))</f>
        <v>15</v>
      </c>
      <c r="S52" s="171">
        <f>IF(R52="","",RANK(R52,$R$6:$R$505,0)+COUNTIF($R$6:R52,R52)-1)</f>
        <v>2</v>
      </c>
    </row>
    <row r="53" spans="2:19" ht="23.25" customHeight="1" x14ac:dyDescent="0.25">
      <c r="B53" s="159">
        <v>48</v>
      </c>
      <c r="C53" s="160" t="str">
        <f>IFERROR(INDEX($Q$6:$Q$505,MATCH(48,$S$6:$S$505,0)),"")</f>
        <v>Prof. Dr. Fadime İrsel TEZER FİLİK</v>
      </c>
      <c r="D53" s="161">
        <f>IF(C53="","",COUNTIFS(Başvuru!$C:$C,C53,Başvuru!$A:$A,"&lt;&gt;"&amp;"",Başvuru!$F:$F,"&lt;&gt;"&amp;""))</f>
        <v>4</v>
      </c>
      <c r="E53" s="159" t="str">
        <f>IF(C53="","-",IF(D53&gt;0,TEXT(D53/(COUNTIFS(Başvuru!$A:$A,"&lt;&gt;",Başvuru!$F:$F,"&lt;&gt;")-1)*100,"0.0")&amp;"%","-"))</f>
        <v>01%</v>
      </c>
      <c r="F53" s="162">
        <f>IF(C53="","",COUNTIFS(Başvuru!$C:$C,C53,Başvuru!$G:$G,"Bireysel Araştırma",Başvuru!$A:$A,"&lt;&gt;"&amp;"",Başvuru!$F:$F,"&lt;&gt;"&amp;""))</f>
        <v>2</v>
      </c>
      <c r="G53" s="162">
        <f>IF(C53="","",COUNTIFS(Başvuru!$C:$C,C53,Başvuru!$G:$G,"Uzmanlık Tezi",Başvuru!$A:$A,"&lt;&gt;"&amp;"",Başvuru!$F:$F,"&lt;&gt;"&amp;""))</f>
        <v>2</v>
      </c>
      <c r="H53" s="162">
        <f>IF(C53="","",COUNTIFS(Başvuru!$C:$C,C53,Başvuru!$G:$G,"Doktora Tezi",Başvuru!$A:$A,"&lt;&gt;"&amp;"",Başvuru!$F:$F,"&lt;&gt;"&amp;""))</f>
        <v>0</v>
      </c>
      <c r="I53" s="162">
        <f>IF(C53="","",COUNTIFS(Başvuru!$C:$C,C53,Başvuru!$G:$G,"Yüksek Lisans Tezi",Başvuru!$A:$A,"&lt;&gt;"&amp;"",Başvuru!$F:$F,"&lt;&gt;"&amp;""))</f>
        <v>0</v>
      </c>
      <c r="J53" s="163">
        <f>IF(C53="","",COUNTIFS(Başvuru!$C:$C,C53,Başvuru!$L:$L,"ONAY",Başvuru!$A:$A,"&lt;&gt;"&amp;"",Başvuru!$F:$F,"&lt;&gt;"&amp;""))</f>
        <v>3</v>
      </c>
      <c r="K53" s="164">
        <f>IF(C53="","",COUNTIFS(Başvuru!$C:$C,C53,Başvuru!$L:$L,"DÜZELTME",Başvuru!$A:$A,"&lt;&gt;"&amp;"",Başvuru!$F:$F,"&lt;&gt;"&amp;""))</f>
        <v>0</v>
      </c>
      <c r="L53" s="165">
        <f>IF(C53="","",COUNTIFS(Başvuru!$C:$C,C53,Başvuru!$L:$L,"KAEK",Başvuru!$A:$A,"&lt;&gt;"&amp;"",Başvuru!$F:$F,"&lt;&gt;"&amp;""))</f>
        <v>0</v>
      </c>
      <c r="M53" s="166">
        <f>IF(C53="","",COUNTIFS(Başvuru!$C:$C,C53,Başvuru!$L:$L,"GÖRÜŞ",Başvuru!$A:$A,"&lt;&gt;"&amp;"",Başvuru!$F:$F,"&lt;&gt;"&amp;""))</f>
        <v>0</v>
      </c>
      <c r="N53" s="167">
        <f>IF(C53="","",COUNTIFS(Başvuru!$C:$C,C53,Başvuru!$L:$L,"RET",Başvuru!$A:$A,"&lt;&gt;"&amp;"",Başvuru!$F:$F,"&lt;&gt;"&amp;""))</f>
        <v>0</v>
      </c>
      <c r="O53" s="168">
        <f>IF(C53="","",COUNTIFS(Başvuru!$C:$C,C53,Başvuru!$L:$L,"KAPSAM DIŞI",Başvuru!$A:$A,"&lt;&gt;"&amp;"",Başvuru!$F:$F,"&lt;&gt;"&amp;""))</f>
        <v>0</v>
      </c>
      <c r="P53" s="169">
        <f>IF(C53="","",COUNTIFS(Başvuru!$C:$C,C53,Başvuru!$L:$L,"GERİ ÇEKİLDİ",Başvuru!$A:$A,"&lt;&gt;"&amp;"",Başvuru!$F:$F,"&lt;&gt;"&amp;""))</f>
        <v>0</v>
      </c>
      <c r="Q53" s="170" t="str">
        <f>IFERROR(INDEX(Başvuru!$C$2:$C$1851,MATCH(48,Başvuru!$AB$2:$AB$1851,0)),"")</f>
        <v>Prof. Dr. Tutku SOYER</v>
      </c>
      <c r="R53" s="171">
        <f>IF(Q53="","",COUNTIFS(Başvuru!$C:$C,Q53,Başvuru!$A:$A,"&lt;&gt;"&amp;"",Başvuru!$F:$F,"&lt;&gt;"&amp;""))</f>
        <v>6</v>
      </c>
      <c r="S53" s="171">
        <f>IF(R53="","",RANK(R53,$R$6:$R$505,0)+COUNTIF($R$6:R53,R53)-1)</f>
        <v>17</v>
      </c>
    </row>
    <row r="54" spans="2:19" ht="23.25" customHeight="1" x14ac:dyDescent="0.25">
      <c r="B54" s="159">
        <v>49</v>
      </c>
      <c r="C54" s="160" t="str">
        <f>IFERROR(INDEX($Q$6:$Q$505,MATCH(49,$S$6:$S$505,0)),"")</f>
        <v>Dr. Öğr. Üyesi Selen ADİLOĞLU</v>
      </c>
      <c r="D54" s="161">
        <f>IF(C54="","",COUNTIFS(Başvuru!$C:$C,C54,Başvuru!$A:$A,"&lt;&gt;"&amp;"",Başvuru!$F:$F,"&lt;&gt;"&amp;""))</f>
        <v>4</v>
      </c>
      <c r="E54" s="159" t="str">
        <f>IF(C54="","-",IF(D54&gt;0,TEXT(D54/(COUNTIFS(Başvuru!$A:$A,"&lt;&gt;",Başvuru!$F:$F,"&lt;&gt;")-1)*100,"0.0")&amp;"%","-"))</f>
        <v>01%</v>
      </c>
      <c r="F54" s="162">
        <f>IF(C54="","",COUNTIFS(Başvuru!$C:$C,C54,Başvuru!$G:$G,"Bireysel Araştırma",Başvuru!$A:$A,"&lt;&gt;"&amp;"",Başvuru!$F:$F,"&lt;&gt;"&amp;""))</f>
        <v>4</v>
      </c>
      <c r="G54" s="162">
        <f>IF(C54="","",COUNTIFS(Başvuru!$C:$C,C54,Başvuru!$G:$G,"Uzmanlık Tezi",Başvuru!$A:$A,"&lt;&gt;"&amp;"",Başvuru!$F:$F,"&lt;&gt;"&amp;""))</f>
        <v>0</v>
      </c>
      <c r="H54" s="162">
        <f>IF(C54="","",COUNTIFS(Başvuru!$C:$C,C54,Başvuru!$G:$G,"Doktora Tezi",Başvuru!$A:$A,"&lt;&gt;"&amp;"",Başvuru!$F:$F,"&lt;&gt;"&amp;""))</f>
        <v>0</v>
      </c>
      <c r="I54" s="162">
        <f>IF(C54="","",COUNTIFS(Başvuru!$C:$C,C54,Başvuru!$G:$G,"Yüksek Lisans Tezi",Başvuru!$A:$A,"&lt;&gt;"&amp;"",Başvuru!$F:$F,"&lt;&gt;"&amp;""))</f>
        <v>0</v>
      </c>
      <c r="J54" s="163">
        <f>IF(C54="","",COUNTIFS(Başvuru!$C:$C,C54,Başvuru!$L:$L,"ONAY",Başvuru!$A:$A,"&lt;&gt;"&amp;"",Başvuru!$F:$F,"&lt;&gt;"&amp;""))</f>
        <v>1</v>
      </c>
      <c r="K54" s="164">
        <f>IF(C54="","",COUNTIFS(Başvuru!$C:$C,C54,Başvuru!$L:$L,"DÜZELTME",Başvuru!$A:$A,"&lt;&gt;"&amp;"",Başvuru!$F:$F,"&lt;&gt;"&amp;""))</f>
        <v>3</v>
      </c>
      <c r="L54" s="165">
        <f>IF(C54="","",COUNTIFS(Başvuru!$C:$C,C54,Başvuru!$L:$L,"KAEK",Başvuru!$A:$A,"&lt;&gt;"&amp;"",Başvuru!$F:$F,"&lt;&gt;"&amp;""))</f>
        <v>0</v>
      </c>
      <c r="M54" s="166">
        <f>IF(C54="","",COUNTIFS(Başvuru!$C:$C,C54,Başvuru!$L:$L,"GÖRÜŞ",Başvuru!$A:$A,"&lt;&gt;"&amp;"",Başvuru!$F:$F,"&lt;&gt;"&amp;""))</f>
        <v>0</v>
      </c>
      <c r="N54" s="167">
        <f>IF(C54="","",COUNTIFS(Başvuru!$C:$C,C54,Başvuru!$L:$L,"RET",Başvuru!$A:$A,"&lt;&gt;"&amp;"",Başvuru!$F:$F,"&lt;&gt;"&amp;""))</f>
        <v>0</v>
      </c>
      <c r="O54" s="168">
        <f>IF(C54="","",COUNTIFS(Başvuru!$C:$C,C54,Başvuru!$L:$L,"KAPSAM DIŞI",Başvuru!$A:$A,"&lt;&gt;"&amp;"",Başvuru!$F:$F,"&lt;&gt;"&amp;""))</f>
        <v>0</v>
      </c>
      <c r="P54" s="169">
        <f>IF(C54="","",COUNTIFS(Başvuru!$C:$C,C54,Başvuru!$L:$L,"GERİ ÇEKİLDİ",Başvuru!$A:$A,"&lt;&gt;"&amp;"",Başvuru!$F:$F,"&lt;&gt;"&amp;""))</f>
        <v>0</v>
      </c>
      <c r="Q54" s="170" t="str">
        <f>IFERROR(INDEX(Başvuru!$C$2:$C$1851,MATCH(49,Başvuru!$AB$2:$AB$1851,0)),"")</f>
        <v>Prof. Dr. Mehmet AYVAZ</v>
      </c>
      <c r="R54" s="171">
        <f>IF(Q54="","",COUNTIFS(Başvuru!$C:$C,Q54,Başvuru!$A:$A,"&lt;&gt;"&amp;"",Başvuru!$F:$F,"&lt;&gt;"&amp;""))</f>
        <v>8</v>
      </c>
      <c r="S54" s="171">
        <f>IF(R54="","",RANK(R54,$R$6:$R$505,0)+COUNTIF($R$6:R54,R54)-1)</f>
        <v>9</v>
      </c>
    </row>
    <row r="55" spans="2:19" ht="23.25" customHeight="1" x14ac:dyDescent="0.25">
      <c r="B55" s="159">
        <v>50</v>
      </c>
      <c r="C55" s="160" t="str">
        <f>IFERROR(INDEX($Q$6:$Q$505,MATCH(50,$S$6:$S$505,0)),"")</f>
        <v>Doç. Dr. Hilal AKSOY</v>
      </c>
      <c r="D55" s="161">
        <f>IF(C55="","",COUNTIFS(Başvuru!$C:$C,C55,Başvuru!$A:$A,"&lt;&gt;"&amp;"",Başvuru!$F:$F,"&lt;&gt;"&amp;""))</f>
        <v>4</v>
      </c>
      <c r="E55" s="159" t="str">
        <f>IF(C55="","-",IF(D55&gt;0,TEXT(D55/(COUNTIFS(Başvuru!$A:$A,"&lt;&gt;",Başvuru!$F:$F,"&lt;&gt;")-1)*100,"0.0")&amp;"%","-"))</f>
        <v>01%</v>
      </c>
      <c r="F55" s="162">
        <f>IF(C55="","",COUNTIFS(Başvuru!$C:$C,C55,Başvuru!$G:$G,"Bireysel Araştırma",Başvuru!$A:$A,"&lt;&gt;"&amp;"",Başvuru!$F:$F,"&lt;&gt;"&amp;""))</f>
        <v>1</v>
      </c>
      <c r="G55" s="162">
        <f>IF(C55="","",COUNTIFS(Başvuru!$C:$C,C55,Başvuru!$G:$G,"Uzmanlık Tezi",Başvuru!$A:$A,"&lt;&gt;"&amp;"",Başvuru!$F:$F,"&lt;&gt;"&amp;""))</f>
        <v>3</v>
      </c>
      <c r="H55" s="162">
        <f>IF(C55="","",COUNTIFS(Başvuru!$C:$C,C55,Başvuru!$G:$G,"Doktora Tezi",Başvuru!$A:$A,"&lt;&gt;"&amp;"",Başvuru!$F:$F,"&lt;&gt;"&amp;""))</f>
        <v>0</v>
      </c>
      <c r="I55" s="162">
        <f>IF(C55="","",COUNTIFS(Başvuru!$C:$C,C55,Başvuru!$G:$G,"Yüksek Lisans Tezi",Başvuru!$A:$A,"&lt;&gt;"&amp;"",Başvuru!$F:$F,"&lt;&gt;"&amp;""))</f>
        <v>0</v>
      </c>
      <c r="J55" s="163">
        <f>IF(C55="","",COUNTIFS(Başvuru!$C:$C,C55,Başvuru!$L:$L,"ONAY",Başvuru!$A:$A,"&lt;&gt;"&amp;"",Başvuru!$F:$F,"&lt;&gt;"&amp;""))</f>
        <v>1</v>
      </c>
      <c r="K55" s="164">
        <f>IF(C55="","",COUNTIFS(Başvuru!$C:$C,C55,Başvuru!$L:$L,"DÜZELTME",Başvuru!$A:$A,"&lt;&gt;"&amp;"",Başvuru!$F:$F,"&lt;&gt;"&amp;""))</f>
        <v>2</v>
      </c>
      <c r="L55" s="165">
        <f>IF(C55="","",COUNTIFS(Başvuru!$C:$C,C55,Başvuru!$L:$L,"KAEK",Başvuru!$A:$A,"&lt;&gt;"&amp;"",Başvuru!$F:$F,"&lt;&gt;"&amp;""))</f>
        <v>0</v>
      </c>
      <c r="M55" s="166">
        <f>IF(C55="","",COUNTIFS(Başvuru!$C:$C,C55,Başvuru!$L:$L,"GÖRÜŞ",Başvuru!$A:$A,"&lt;&gt;"&amp;"",Başvuru!$F:$F,"&lt;&gt;"&amp;""))</f>
        <v>1</v>
      </c>
      <c r="N55" s="167">
        <f>IF(C55="","",COUNTIFS(Başvuru!$C:$C,C55,Başvuru!$L:$L,"RET",Başvuru!$A:$A,"&lt;&gt;"&amp;"",Başvuru!$F:$F,"&lt;&gt;"&amp;""))</f>
        <v>0</v>
      </c>
      <c r="O55" s="168">
        <f>IF(C55="","",COUNTIFS(Başvuru!$C:$C,C55,Başvuru!$L:$L,"KAPSAM DIŞI",Başvuru!$A:$A,"&lt;&gt;"&amp;"",Başvuru!$F:$F,"&lt;&gt;"&amp;""))</f>
        <v>0</v>
      </c>
      <c r="P55" s="169">
        <f>IF(C55="","",COUNTIFS(Başvuru!$C:$C,C55,Başvuru!$L:$L,"GERİ ÇEKİLDİ",Başvuru!$A:$A,"&lt;&gt;"&amp;"",Başvuru!$F:$F,"&lt;&gt;"&amp;""))</f>
        <v>0</v>
      </c>
      <c r="Q55" s="170" t="str">
        <f>IFERROR(INDEX(Başvuru!$C$2:$C$1851,MATCH(50,Başvuru!$AB$2:$AB$1851,0)),"")</f>
        <v>Prof. Dr. Salih Kutay DEMİRKAN</v>
      </c>
      <c r="R55" s="171">
        <f>IF(Q55="","",COUNTIFS(Başvuru!$C:$C,Q55,Başvuru!$A:$A,"&lt;&gt;"&amp;"",Başvuru!$F:$F,"&lt;&gt;"&amp;""))</f>
        <v>9</v>
      </c>
      <c r="S55" s="171">
        <f>IF(R55="","",RANK(R55,$R$6:$R$505,0)+COUNTIF($R$6:R55,R55)-1)</f>
        <v>6</v>
      </c>
    </row>
    <row r="56" spans="2:19" ht="23.25" customHeight="1" x14ac:dyDescent="0.25">
      <c r="B56" s="159">
        <v>51</v>
      </c>
      <c r="C56" s="160" t="str">
        <f>IFERROR(INDEX($Q$6:$Q$505,MATCH(51,$S$6:$S$505,0)),"")</f>
        <v>Dr. Öğr. Üyesi Ece ÖZOĞUL</v>
      </c>
      <c r="D56" s="161">
        <f>IF(C56="","",COUNTIFS(Başvuru!$C:$C,C56,Başvuru!$A:$A,"&lt;&gt;"&amp;"",Başvuru!$F:$F,"&lt;&gt;"&amp;""))</f>
        <v>4</v>
      </c>
      <c r="E56" s="159" t="str">
        <f>IF(C56="","-",IF(D56&gt;0,TEXT(D56/(COUNTIFS(Başvuru!$A:$A,"&lt;&gt;",Başvuru!$F:$F,"&lt;&gt;")-1)*100,"0.0")&amp;"%","-"))</f>
        <v>01%</v>
      </c>
      <c r="F56" s="162">
        <f>IF(C56="","",COUNTIFS(Başvuru!$C:$C,C56,Başvuru!$G:$G,"Bireysel Araştırma",Başvuru!$A:$A,"&lt;&gt;"&amp;"",Başvuru!$F:$F,"&lt;&gt;"&amp;""))</f>
        <v>4</v>
      </c>
      <c r="G56" s="162">
        <f>IF(C56="","",COUNTIFS(Başvuru!$C:$C,C56,Başvuru!$G:$G,"Uzmanlık Tezi",Başvuru!$A:$A,"&lt;&gt;"&amp;"",Başvuru!$F:$F,"&lt;&gt;"&amp;""))</f>
        <v>0</v>
      </c>
      <c r="H56" s="162">
        <f>IF(C56="","",COUNTIFS(Başvuru!$C:$C,C56,Başvuru!$G:$G,"Doktora Tezi",Başvuru!$A:$A,"&lt;&gt;"&amp;"",Başvuru!$F:$F,"&lt;&gt;"&amp;""))</f>
        <v>0</v>
      </c>
      <c r="I56" s="162">
        <f>IF(C56="","",COUNTIFS(Başvuru!$C:$C,C56,Başvuru!$G:$G,"Yüksek Lisans Tezi",Başvuru!$A:$A,"&lt;&gt;"&amp;"",Başvuru!$F:$F,"&lt;&gt;"&amp;""))</f>
        <v>0</v>
      </c>
      <c r="J56" s="163">
        <f>IF(C56="","",COUNTIFS(Başvuru!$C:$C,C56,Başvuru!$L:$L,"ONAY",Başvuru!$A:$A,"&lt;&gt;"&amp;"",Başvuru!$F:$F,"&lt;&gt;"&amp;""))</f>
        <v>3</v>
      </c>
      <c r="K56" s="164">
        <f>IF(C56="","",COUNTIFS(Başvuru!$C:$C,C56,Başvuru!$L:$L,"DÜZELTME",Başvuru!$A:$A,"&lt;&gt;"&amp;"",Başvuru!$F:$F,"&lt;&gt;"&amp;""))</f>
        <v>1</v>
      </c>
      <c r="L56" s="165">
        <f>IF(C56="","",COUNTIFS(Başvuru!$C:$C,C56,Başvuru!$L:$L,"KAEK",Başvuru!$A:$A,"&lt;&gt;"&amp;"",Başvuru!$F:$F,"&lt;&gt;"&amp;""))</f>
        <v>0</v>
      </c>
      <c r="M56" s="166">
        <f>IF(C56="","",COUNTIFS(Başvuru!$C:$C,C56,Başvuru!$L:$L,"GÖRÜŞ",Başvuru!$A:$A,"&lt;&gt;"&amp;"",Başvuru!$F:$F,"&lt;&gt;"&amp;""))</f>
        <v>0</v>
      </c>
      <c r="N56" s="167">
        <f>IF(C56="","",COUNTIFS(Başvuru!$C:$C,C56,Başvuru!$L:$L,"RET",Başvuru!$A:$A,"&lt;&gt;"&amp;"",Başvuru!$F:$F,"&lt;&gt;"&amp;""))</f>
        <v>0</v>
      </c>
      <c r="O56" s="168">
        <f>IF(C56="","",COUNTIFS(Başvuru!$C:$C,C56,Başvuru!$L:$L,"KAPSAM DIŞI",Başvuru!$A:$A,"&lt;&gt;"&amp;"",Başvuru!$F:$F,"&lt;&gt;"&amp;""))</f>
        <v>0</v>
      </c>
      <c r="P56" s="169">
        <f>IF(C56="","",COUNTIFS(Başvuru!$C:$C,C56,Başvuru!$L:$L,"GERİ ÇEKİLDİ",Başvuru!$A:$A,"&lt;&gt;"&amp;"",Başvuru!$F:$F,"&lt;&gt;"&amp;""))</f>
        <v>0</v>
      </c>
      <c r="Q56" s="170" t="str">
        <f>IFERROR(INDEX(Başvuru!$C$2:$C$1851,MATCH(51,Başvuru!$AB$2:$AB$1851,0)),"")</f>
        <v>Prof. Dr. Hasan Serkan DOĞAN</v>
      </c>
      <c r="R56" s="171">
        <f>IF(Q56="","",COUNTIFS(Başvuru!$C:$C,Q56,Başvuru!$A:$A,"&lt;&gt;"&amp;"",Başvuru!$F:$F,"&lt;&gt;"&amp;""))</f>
        <v>3</v>
      </c>
      <c r="S56" s="171">
        <f>IF(R56="","",RANK(R56,$R$6:$R$505,0)+COUNTIF($R$6:R56,R56)-1)</f>
        <v>62</v>
      </c>
    </row>
    <row r="57" spans="2:19" ht="23.25" customHeight="1" x14ac:dyDescent="0.25">
      <c r="B57" s="159">
        <v>52</v>
      </c>
      <c r="C57" s="160" t="str">
        <f>IFERROR(INDEX($Q$6:$Q$505,MATCH(52,$S$6:$S$505,0)),"")</f>
        <v>Prof. Dr. Ümit Yavuz MALKAN</v>
      </c>
      <c r="D57" s="161">
        <f>IF(C57="","",COUNTIFS(Başvuru!$C:$C,C57,Başvuru!$A:$A,"&lt;&gt;"&amp;"",Başvuru!$F:$F,"&lt;&gt;"&amp;""))</f>
        <v>4</v>
      </c>
      <c r="E57" s="159" t="str">
        <f>IF(C57="","-",IF(D57&gt;0,TEXT(D57/(COUNTIFS(Başvuru!$A:$A,"&lt;&gt;",Başvuru!$F:$F,"&lt;&gt;")-1)*100,"0.0")&amp;"%","-"))</f>
        <v>01%</v>
      </c>
      <c r="F57" s="162">
        <f>IF(C57="","",COUNTIFS(Başvuru!$C:$C,C57,Başvuru!$G:$G,"Bireysel Araştırma",Başvuru!$A:$A,"&lt;&gt;"&amp;"",Başvuru!$F:$F,"&lt;&gt;"&amp;""))</f>
        <v>4</v>
      </c>
      <c r="G57" s="162">
        <f>IF(C57="","",COUNTIFS(Başvuru!$C:$C,C57,Başvuru!$G:$G,"Uzmanlık Tezi",Başvuru!$A:$A,"&lt;&gt;"&amp;"",Başvuru!$F:$F,"&lt;&gt;"&amp;""))</f>
        <v>0</v>
      </c>
      <c r="H57" s="162">
        <f>IF(C57="","",COUNTIFS(Başvuru!$C:$C,C57,Başvuru!$G:$G,"Doktora Tezi",Başvuru!$A:$A,"&lt;&gt;"&amp;"",Başvuru!$F:$F,"&lt;&gt;"&amp;""))</f>
        <v>0</v>
      </c>
      <c r="I57" s="162">
        <f>IF(C57="","",COUNTIFS(Başvuru!$C:$C,C57,Başvuru!$G:$G,"Yüksek Lisans Tezi",Başvuru!$A:$A,"&lt;&gt;"&amp;"",Başvuru!$F:$F,"&lt;&gt;"&amp;""))</f>
        <v>0</v>
      </c>
      <c r="J57" s="163">
        <f>IF(C57="","",COUNTIFS(Başvuru!$C:$C,C57,Başvuru!$L:$L,"ONAY",Başvuru!$A:$A,"&lt;&gt;"&amp;"",Başvuru!$F:$F,"&lt;&gt;"&amp;""))</f>
        <v>3</v>
      </c>
      <c r="K57" s="164">
        <f>IF(C57="","",COUNTIFS(Başvuru!$C:$C,C57,Başvuru!$L:$L,"DÜZELTME",Başvuru!$A:$A,"&lt;&gt;"&amp;"",Başvuru!$F:$F,"&lt;&gt;"&amp;""))</f>
        <v>1</v>
      </c>
      <c r="L57" s="165">
        <f>IF(C57="","",COUNTIFS(Başvuru!$C:$C,C57,Başvuru!$L:$L,"KAEK",Başvuru!$A:$A,"&lt;&gt;"&amp;"",Başvuru!$F:$F,"&lt;&gt;"&amp;""))</f>
        <v>0</v>
      </c>
      <c r="M57" s="166">
        <f>IF(C57="","",COUNTIFS(Başvuru!$C:$C,C57,Başvuru!$L:$L,"GÖRÜŞ",Başvuru!$A:$A,"&lt;&gt;"&amp;"",Başvuru!$F:$F,"&lt;&gt;"&amp;""))</f>
        <v>0</v>
      </c>
      <c r="N57" s="167">
        <f>IF(C57="","",COUNTIFS(Başvuru!$C:$C,C57,Başvuru!$L:$L,"RET",Başvuru!$A:$A,"&lt;&gt;"&amp;"",Başvuru!$F:$F,"&lt;&gt;"&amp;""))</f>
        <v>0</v>
      </c>
      <c r="O57" s="168">
        <f>IF(C57="","",COUNTIFS(Başvuru!$C:$C,C57,Başvuru!$L:$L,"KAPSAM DIŞI",Başvuru!$A:$A,"&lt;&gt;"&amp;"",Başvuru!$F:$F,"&lt;&gt;"&amp;""))</f>
        <v>0</v>
      </c>
      <c r="P57" s="169">
        <f>IF(C57="","",COUNTIFS(Başvuru!$C:$C,C57,Başvuru!$L:$L,"GERİ ÇEKİLDİ",Başvuru!$A:$A,"&lt;&gt;"&amp;"",Başvuru!$F:$F,"&lt;&gt;"&amp;""))</f>
        <v>0</v>
      </c>
      <c r="Q57" s="170" t="str">
        <f>IFERROR(INDEX(Başvuru!$C$2:$C$1851,MATCH(52,Başvuru!$AB$2:$AB$1851,0)),"")</f>
        <v>Prof. Dr. Kıvanç AKÇA</v>
      </c>
      <c r="R57" s="171">
        <f>IF(Q57="","",COUNTIFS(Başvuru!$C:$C,Q57,Başvuru!$A:$A,"&lt;&gt;"&amp;"",Başvuru!$F:$F,"&lt;&gt;"&amp;""))</f>
        <v>2</v>
      </c>
      <c r="S57" s="171">
        <f>IF(R57="","",RANK(R57,$R$6:$R$505,0)+COUNTIF($R$6:R57,R57)-1)</f>
        <v>90</v>
      </c>
    </row>
    <row r="58" spans="2:19" ht="23.25" customHeight="1" x14ac:dyDescent="0.25">
      <c r="B58" s="159">
        <v>53</v>
      </c>
      <c r="C58" s="160" t="str">
        <f>IFERROR(INDEX($Q$6:$Q$505,MATCH(53,$S$6:$S$505,0)),"")</f>
        <v>Doç. Dr. Ahmet KIVRAK</v>
      </c>
      <c r="D58" s="161">
        <f>IF(C58="","",COUNTIFS(Başvuru!$C:$C,C58,Başvuru!$A:$A,"&lt;&gt;"&amp;"",Başvuru!$F:$F,"&lt;&gt;"&amp;""))</f>
        <v>4</v>
      </c>
      <c r="E58" s="159" t="str">
        <f>IF(C58="","-",IF(D58&gt;0,TEXT(D58/(COUNTIFS(Başvuru!$A:$A,"&lt;&gt;",Başvuru!$F:$F,"&lt;&gt;")-1)*100,"0.0")&amp;"%","-"))</f>
        <v>01%</v>
      </c>
      <c r="F58" s="162">
        <f>IF(C58="","",COUNTIFS(Başvuru!$C:$C,C58,Başvuru!$G:$G,"Bireysel Araştırma",Başvuru!$A:$A,"&lt;&gt;"&amp;"",Başvuru!$F:$F,"&lt;&gt;"&amp;""))</f>
        <v>4</v>
      </c>
      <c r="G58" s="162">
        <f>IF(C58="","",COUNTIFS(Başvuru!$C:$C,C58,Başvuru!$G:$G,"Uzmanlık Tezi",Başvuru!$A:$A,"&lt;&gt;"&amp;"",Başvuru!$F:$F,"&lt;&gt;"&amp;""))</f>
        <v>0</v>
      </c>
      <c r="H58" s="162">
        <f>IF(C58="","",COUNTIFS(Başvuru!$C:$C,C58,Başvuru!$G:$G,"Doktora Tezi",Başvuru!$A:$A,"&lt;&gt;"&amp;"",Başvuru!$F:$F,"&lt;&gt;"&amp;""))</f>
        <v>0</v>
      </c>
      <c r="I58" s="162">
        <f>IF(C58="","",COUNTIFS(Başvuru!$C:$C,C58,Başvuru!$G:$G,"Yüksek Lisans Tezi",Başvuru!$A:$A,"&lt;&gt;"&amp;"",Başvuru!$F:$F,"&lt;&gt;"&amp;""))</f>
        <v>0</v>
      </c>
      <c r="J58" s="163">
        <f>IF(C58="","",COUNTIFS(Başvuru!$C:$C,C58,Başvuru!$L:$L,"ONAY",Başvuru!$A:$A,"&lt;&gt;"&amp;"",Başvuru!$F:$F,"&lt;&gt;"&amp;""))</f>
        <v>3</v>
      </c>
      <c r="K58" s="164">
        <f>IF(C58="","",COUNTIFS(Başvuru!$C:$C,C58,Başvuru!$L:$L,"DÜZELTME",Başvuru!$A:$A,"&lt;&gt;"&amp;"",Başvuru!$F:$F,"&lt;&gt;"&amp;""))</f>
        <v>1</v>
      </c>
      <c r="L58" s="165">
        <f>IF(C58="","",COUNTIFS(Başvuru!$C:$C,C58,Başvuru!$L:$L,"KAEK",Başvuru!$A:$A,"&lt;&gt;"&amp;"",Başvuru!$F:$F,"&lt;&gt;"&amp;""))</f>
        <v>0</v>
      </c>
      <c r="M58" s="166">
        <f>IF(C58="","",COUNTIFS(Başvuru!$C:$C,C58,Başvuru!$L:$L,"GÖRÜŞ",Başvuru!$A:$A,"&lt;&gt;"&amp;"",Başvuru!$F:$F,"&lt;&gt;"&amp;""))</f>
        <v>0</v>
      </c>
      <c r="N58" s="167">
        <f>IF(C58="","",COUNTIFS(Başvuru!$C:$C,C58,Başvuru!$L:$L,"RET",Başvuru!$A:$A,"&lt;&gt;"&amp;"",Başvuru!$F:$F,"&lt;&gt;"&amp;""))</f>
        <v>0</v>
      </c>
      <c r="O58" s="168">
        <f>IF(C58="","",COUNTIFS(Başvuru!$C:$C,C58,Başvuru!$L:$L,"KAPSAM DIŞI",Başvuru!$A:$A,"&lt;&gt;"&amp;"",Başvuru!$F:$F,"&lt;&gt;"&amp;""))</f>
        <v>0</v>
      </c>
      <c r="P58" s="169">
        <f>IF(C58="","",COUNTIFS(Başvuru!$C:$C,C58,Başvuru!$L:$L,"GERİ ÇEKİLDİ",Başvuru!$A:$A,"&lt;&gt;"&amp;"",Başvuru!$F:$F,"&lt;&gt;"&amp;""))</f>
        <v>0</v>
      </c>
      <c r="Q58" s="170" t="str">
        <f>IFERROR(INDEX(Başvuru!$C$2:$C$1851,MATCH(53,Başvuru!$AB$2:$AB$1851,0)),"")</f>
        <v>Dr. Öğr. Üyesi Burcu KELLECİ ÇAKIR</v>
      </c>
      <c r="R58" s="171">
        <f>IF(Q58="","",COUNTIFS(Başvuru!$C:$C,Q58,Başvuru!$A:$A,"&lt;&gt;"&amp;"",Başvuru!$F:$F,"&lt;&gt;"&amp;""))</f>
        <v>5</v>
      </c>
      <c r="S58" s="171">
        <f>IF(R58="","",RANK(R58,$R$6:$R$505,0)+COUNTIF($R$6:R58,R58)-1)</f>
        <v>22</v>
      </c>
    </row>
    <row r="59" spans="2:19" ht="23.25" customHeight="1" x14ac:dyDescent="0.25">
      <c r="B59" s="159">
        <v>54</v>
      </c>
      <c r="C59" s="160" t="str">
        <f>IFERROR(INDEX($Q$6:$Q$505,MATCH(54,$S$6:$S$505,0)),"")</f>
        <v>Prof. Dr. Özge UYSAL SOYER</v>
      </c>
      <c r="D59" s="161">
        <f>IF(C59="","",COUNTIFS(Başvuru!$C:$C,C59,Başvuru!$A:$A,"&lt;&gt;"&amp;"",Başvuru!$F:$F,"&lt;&gt;"&amp;""))</f>
        <v>4</v>
      </c>
      <c r="E59" s="159" t="str">
        <f>IF(C59="","-",IF(D59&gt;0,TEXT(D59/(COUNTIFS(Başvuru!$A:$A,"&lt;&gt;",Başvuru!$F:$F,"&lt;&gt;")-1)*100,"0.0")&amp;"%","-"))</f>
        <v>01%</v>
      </c>
      <c r="F59" s="162">
        <f>IF(C59="","",COUNTIFS(Başvuru!$C:$C,C59,Başvuru!$G:$G,"Bireysel Araştırma",Başvuru!$A:$A,"&lt;&gt;"&amp;"",Başvuru!$F:$F,"&lt;&gt;"&amp;""))</f>
        <v>4</v>
      </c>
      <c r="G59" s="162">
        <f>IF(C59="","",COUNTIFS(Başvuru!$C:$C,C59,Başvuru!$G:$G,"Uzmanlık Tezi",Başvuru!$A:$A,"&lt;&gt;"&amp;"",Başvuru!$F:$F,"&lt;&gt;"&amp;""))</f>
        <v>0</v>
      </c>
      <c r="H59" s="162">
        <f>IF(C59="","",COUNTIFS(Başvuru!$C:$C,C59,Başvuru!$G:$G,"Doktora Tezi",Başvuru!$A:$A,"&lt;&gt;"&amp;"",Başvuru!$F:$F,"&lt;&gt;"&amp;""))</f>
        <v>0</v>
      </c>
      <c r="I59" s="162">
        <f>IF(C59="","",COUNTIFS(Başvuru!$C:$C,C59,Başvuru!$G:$G,"Yüksek Lisans Tezi",Başvuru!$A:$A,"&lt;&gt;"&amp;"",Başvuru!$F:$F,"&lt;&gt;"&amp;""))</f>
        <v>0</v>
      </c>
      <c r="J59" s="163">
        <f>IF(C59="","",COUNTIFS(Başvuru!$C:$C,C59,Başvuru!$L:$L,"ONAY",Başvuru!$A:$A,"&lt;&gt;"&amp;"",Başvuru!$F:$F,"&lt;&gt;"&amp;""))</f>
        <v>0</v>
      </c>
      <c r="K59" s="164">
        <f>IF(C59="","",COUNTIFS(Başvuru!$C:$C,C59,Başvuru!$L:$L,"DÜZELTME",Başvuru!$A:$A,"&lt;&gt;"&amp;"",Başvuru!$F:$F,"&lt;&gt;"&amp;""))</f>
        <v>0</v>
      </c>
      <c r="L59" s="165">
        <f>IF(C59="","",COUNTIFS(Başvuru!$C:$C,C59,Başvuru!$L:$L,"KAEK",Başvuru!$A:$A,"&lt;&gt;"&amp;"",Başvuru!$F:$F,"&lt;&gt;"&amp;""))</f>
        <v>0</v>
      </c>
      <c r="M59" s="166">
        <f>IF(C59="","",COUNTIFS(Başvuru!$C:$C,C59,Başvuru!$L:$L,"GÖRÜŞ",Başvuru!$A:$A,"&lt;&gt;"&amp;"",Başvuru!$F:$F,"&lt;&gt;"&amp;""))</f>
        <v>0</v>
      </c>
      <c r="N59" s="167">
        <f>IF(C59="","",COUNTIFS(Başvuru!$C:$C,C59,Başvuru!$L:$L,"RET",Başvuru!$A:$A,"&lt;&gt;"&amp;"",Başvuru!$F:$F,"&lt;&gt;"&amp;""))</f>
        <v>1</v>
      </c>
      <c r="O59" s="168">
        <f>IF(C59="","",COUNTIFS(Başvuru!$C:$C,C59,Başvuru!$L:$L,"KAPSAM DIŞI",Başvuru!$A:$A,"&lt;&gt;"&amp;"",Başvuru!$F:$F,"&lt;&gt;"&amp;""))</f>
        <v>0</v>
      </c>
      <c r="P59" s="169">
        <f>IF(C59="","",COUNTIFS(Başvuru!$C:$C,C59,Başvuru!$L:$L,"GERİ ÇEKİLDİ",Başvuru!$A:$A,"&lt;&gt;"&amp;"",Başvuru!$F:$F,"&lt;&gt;"&amp;""))</f>
        <v>0</v>
      </c>
      <c r="Q59" s="170" t="str">
        <f>IFERROR(INDEX(Başvuru!$C$2:$C$1851,MATCH(54,Başvuru!$AB$2:$AB$1851,0)),"")</f>
        <v>Prof. Dr. Fatma Gökçem YILDIZ SARIKAYA</v>
      </c>
      <c r="R59" s="171">
        <f>IF(Q59="","",COUNTIFS(Başvuru!$C:$C,Q59,Başvuru!$A:$A,"&lt;&gt;"&amp;"",Başvuru!$F:$F,"&lt;&gt;"&amp;""))</f>
        <v>4</v>
      </c>
      <c r="S59" s="171">
        <f>IF(R59="","",RANK(R59,$R$6:$R$505,0)+COUNTIF($R$6:R59,R59)-1)</f>
        <v>36</v>
      </c>
    </row>
    <row r="60" spans="2:19" ht="23.25" customHeight="1" x14ac:dyDescent="0.25">
      <c r="B60" s="159">
        <v>55</v>
      </c>
      <c r="C60" s="160" t="str">
        <f>IFERROR(INDEX($Q$6:$Q$505,MATCH(55,$S$6:$S$505,0)),"")</f>
        <v>Dr. Öğr. Üyesi Yiğitcan KARANFİL</v>
      </c>
      <c r="D60" s="161">
        <f>IF(C60="","",COUNTIFS(Başvuru!$C:$C,C60,Başvuru!$A:$A,"&lt;&gt;"&amp;"",Başvuru!$F:$F,"&lt;&gt;"&amp;""))</f>
        <v>3</v>
      </c>
      <c r="E60" s="159" t="str">
        <f>IF(C60="","-",IF(D60&gt;0,TEXT(D60/(COUNTIFS(Başvuru!$A:$A,"&lt;&gt;",Başvuru!$F:$F,"&lt;&gt;")-1)*100,"0.0")&amp;"%","-"))</f>
        <v>00%</v>
      </c>
      <c r="F60" s="162">
        <f>IF(C60="","",COUNTIFS(Başvuru!$C:$C,C60,Başvuru!$G:$G,"Bireysel Araştırma",Başvuru!$A:$A,"&lt;&gt;"&amp;"",Başvuru!$F:$F,"&lt;&gt;"&amp;""))</f>
        <v>3</v>
      </c>
      <c r="G60" s="162">
        <f>IF(C60="","",COUNTIFS(Başvuru!$C:$C,C60,Başvuru!$G:$G,"Uzmanlık Tezi",Başvuru!$A:$A,"&lt;&gt;"&amp;"",Başvuru!$F:$F,"&lt;&gt;"&amp;""))</f>
        <v>0</v>
      </c>
      <c r="H60" s="162">
        <f>IF(C60="","",COUNTIFS(Başvuru!$C:$C,C60,Başvuru!$G:$G,"Doktora Tezi",Başvuru!$A:$A,"&lt;&gt;"&amp;"",Başvuru!$F:$F,"&lt;&gt;"&amp;""))</f>
        <v>0</v>
      </c>
      <c r="I60" s="162">
        <f>IF(C60="","",COUNTIFS(Başvuru!$C:$C,C60,Başvuru!$G:$G,"Yüksek Lisans Tezi",Başvuru!$A:$A,"&lt;&gt;"&amp;"",Başvuru!$F:$F,"&lt;&gt;"&amp;""))</f>
        <v>0</v>
      </c>
      <c r="J60" s="163">
        <f>IF(C60="","",COUNTIFS(Başvuru!$C:$C,C60,Başvuru!$L:$L,"ONAY",Başvuru!$A:$A,"&lt;&gt;"&amp;"",Başvuru!$F:$F,"&lt;&gt;"&amp;""))</f>
        <v>3</v>
      </c>
      <c r="K60" s="164">
        <f>IF(C60="","",COUNTIFS(Başvuru!$C:$C,C60,Başvuru!$L:$L,"DÜZELTME",Başvuru!$A:$A,"&lt;&gt;"&amp;"",Başvuru!$F:$F,"&lt;&gt;"&amp;""))</f>
        <v>0</v>
      </c>
      <c r="L60" s="165">
        <f>IF(C60="","",COUNTIFS(Başvuru!$C:$C,C60,Başvuru!$L:$L,"KAEK",Başvuru!$A:$A,"&lt;&gt;"&amp;"",Başvuru!$F:$F,"&lt;&gt;"&amp;""))</f>
        <v>0</v>
      </c>
      <c r="M60" s="166">
        <f>IF(C60="","",COUNTIFS(Başvuru!$C:$C,C60,Başvuru!$L:$L,"GÖRÜŞ",Başvuru!$A:$A,"&lt;&gt;"&amp;"",Başvuru!$F:$F,"&lt;&gt;"&amp;""))</f>
        <v>0</v>
      </c>
      <c r="N60" s="167">
        <f>IF(C60="","",COUNTIFS(Başvuru!$C:$C,C60,Başvuru!$L:$L,"RET",Başvuru!$A:$A,"&lt;&gt;"&amp;"",Başvuru!$F:$F,"&lt;&gt;"&amp;""))</f>
        <v>0</v>
      </c>
      <c r="O60" s="168">
        <f>IF(C60="","",COUNTIFS(Başvuru!$C:$C,C60,Başvuru!$L:$L,"KAPSAM DIŞI",Başvuru!$A:$A,"&lt;&gt;"&amp;"",Başvuru!$F:$F,"&lt;&gt;"&amp;""))</f>
        <v>0</v>
      </c>
      <c r="P60" s="169">
        <f>IF(C60="","",COUNTIFS(Başvuru!$C:$C,C60,Başvuru!$L:$L,"GERİ ÇEKİLDİ",Başvuru!$A:$A,"&lt;&gt;"&amp;"",Başvuru!$F:$F,"&lt;&gt;"&amp;""))</f>
        <v>0</v>
      </c>
      <c r="Q60" s="170" t="str">
        <f>IFERROR(INDEX(Başvuru!$C$2:$C$1851,MATCH(55,Başvuru!$AB$2:$AB$1851,0)),"")</f>
        <v>Prof. Dr. Cengiz KILIÇ</v>
      </c>
      <c r="R60" s="171">
        <f>IF(Q60="","",COUNTIFS(Başvuru!$C:$C,Q60,Başvuru!$A:$A,"&lt;&gt;"&amp;"",Başvuru!$F:$F,"&lt;&gt;"&amp;""))</f>
        <v>2</v>
      </c>
      <c r="S60" s="171">
        <f>IF(R60="","",RANK(R60,$R$6:$R$505,0)+COUNTIF($R$6:R60,R60)-1)</f>
        <v>91</v>
      </c>
    </row>
    <row r="61" spans="2:19" ht="23.25" customHeight="1" x14ac:dyDescent="0.25">
      <c r="B61" s="159">
        <v>56</v>
      </c>
      <c r="C61" s="160" t="str">
        <f>IFERROR(INDEX($Q$6:$Q$505,MATCH(56,$S$6:$S$505,0)),"")</f>
        <v>Prof. Dr. Oğuz IŞIK</v>
      </c>
      <c r="D61" s="161">
        <f>IF(C61="","",COUNTIFS(Başvuru!$C:$C,C61,Başvuru!$A:$A,"&lt;&gt;"&amp;"",Başvuru!$F:$F,"&lt;&gt;"&amp;""))</f>
        <v>3</v>
      </c>
      <c r="E61" s="159" t="str">
        <f>IF(C61="","-",IF(D61&gt;0,TEXT(D61/(COUNTIFS(Başvuru!$A:$A,"&lt;&gt;",Başvuru!$F:$F,"&lt;&gt;")-1)*100,"0.0")&amp;"%","-"))</f>
        <v>00%</v>
      </c>
      <c r="F61" s="162">
        <f>IF(C61="","",COUNTIFS(Başvuru!$C:$C,C61,Başvuru!$G:$G,"Bireysel Araştırma",Başvuru!$A:$A,"&lt;&gt;"&amp;"",Başvuru!$F:$F,"&lt;&gt;"&amp;""))</f>
        <v>0</v>
      </c>
      <c r="G61" s="162">
        <f>IF(C61="","",COUNTIFS(Başvuru!$C:$C,C61,Başvuru!$G:$G,"Uzmanlık Tezi",Başvuru!$A:$A,"&lt;&gt;"&amp;"",Başvuru!$F:$F,"&lt;&gt;"&amp;""))</f>
        <v>0</v>
      </c>
      <c r="H61" s="162">
        <f>IF(C61="","",COUNTIFS(Başvuru!$C:$C,C61,Başvuru!$G:$G,"Doktora Tezi",Başvuru!$A:$A,"&lt;&gt;"&amp;"",Başvuru!$F:$F,"&lt;&gt;"&amp;""))</f>
        <v>3</v>
      </c>
      <c r="I61" s="162">
        <f>IF(C61="","",COUNTIFS(Başvuru!$C:$C,C61,Başvuru!$G:$G,"Yüksek Lisans Tezi",Başvuru!$A:$A,"&lt;&gt;"&amp;"",Başvuru!$F:$F,"&lt;&gt;"&amp;""))</f>
        <v>0</v>
      </c>
      <c r="J61" s="163">
        <f>IF(C61="","",COUNTIFS(Başvuru!$C:$C,C61,Başvuru!$L:$L,"ONAY",Başvuru!$A:$A,"&lt;&gt;"&amp;"",Başvuru!$F:$F,"&lt;&gt;"&amp;""))</f>
        <v>1</v>
      </c>
      <c r="K61" s="164">
        <f>IF(C61="","",COUNTIFS(Başvuru!$C:$C,C61,Başvuru!$L:$L,"DÜZELTME",Başvuru!$A:$A,"&lt;&gt;"&amp;"",Başvuru!$F:$F,"&lt;&gt;"&amp;""))</f>
        <v>2</v>
      </c>
      <c r="L61" s="165">
        <f>IF(C61="","",COUNTIFS(Başvuru!$C:$C,C61,Başvuru!$L:$L,"KAEK",Başvuru!$A:$A,"&lt;&gt;"&amp;"",Başvuru!$F:$F,"&lt;&gt;"&amp;""))</f>
        <v>0</v>
      </c>
      <c r="M61" s="166">
        <f>IF(C61="","",COUNTIFS(Başvuru!$C:$C,C61,Başvuru!$L:$L,"GÖRÜŞ",Başvuru!$A:$A,"&lt;&gt;"&amp;"",Başvuru!$F:$F,"&lt;&gt;"&amp;""))</f>
        <v>0</v>
      </c>
      <c r="N61" s="167">
        <f>IF(C61="","",COUNTIFS(Başvuru!$C:$C,C61,Başvuru!$L:$L,"RET",Başvuru!$A:$A,"&lt;&gt;"&amp;"",Başvuru!$F:$F,"&lt;&gt;"&amp;""))</f>
        <v>0</v>
      </c>
      <c r="O61" s="168">
        <f>IF(C61="","",COUNTIFS(Başvuru!$C:$C,C61,Başvuru!$L:$L,"KAPSAM DIŞI",Başvuru!$A:$A,"&lt;&gt;"&amp;"",Başvuru!$F:$F,"&lt;&gt;"&amp;""))</f>
        <v>0</v>
      </c>
      <c r="P61" s="169">
        <f>IF(C61="","",COUNTIFS(Başvuru!$C:$C,C61,Başvuru!$L:$L,"GERİ ÇEKİLDİ",Başvuru!$A:$A,"&lt;&gt;"&amp;"",Başvuru!$F:$F,"&lt;&gt;"&amp;""))</f>
        <v>0</v>
      </c>
      <c r="Q61" s="170" t="str">
        <f>IFERROR(INDEX(Başvuru!$C$2:$C$1851,MATCH(56,Başvuru!$AB$2:$AB$1851,0)),"")</f>
        <v>Dr. Öğr. Üyesi Serkan UYSAL</v>
      </c>
      <c r="R61" s="171">
        <f>IF(Q61="","",COUNTIFS(Başvuru!$C:$C,Q61,Başvuru!$A:$A,"&lt;&gt;"&amp;"",Başvuru!$F:$F,"&lt;&gt;"&amp;""))</f>
        <v>4</v>
      </c>
      <c r="S61" s="171">
        <f>IF(R61="","",RANK(R61,$R$6:$R$505,0)+COUNTIF($R$6:R61,R61)-1)</f>
        <v>37</v>
      </c>
    </row>
    <row r="62" spans="2:19" ht="23.25" customHeight="1" x14ac:dyDescent="0.25">
      <c r="B62" s="159">
        <v>57</v>
      </c>
      <c r="C62" s="160" t="str">
        <f>IFERROR(INDEX($Q$6:$Q$505,MATCH(57,$S$6:$S$505,0)),"")</f>
        <v>Prof. Dr. Seza ÖZEN</v>
      </c>
      <c r="D62" s="161">
        <f>IF(C62="","",COUNTIFS(Başvuru!$C:$C,C62,Başvuru!$A:$A,"&lt;&gt;"&amp;"",Başvuru!$F:$F,"&lt;&gt;"&amp;""))</f>
        <v>3</v>
      </c>
      <c r="E62" s="159" t="str">
        <f>IF(C62="","-",IF(D62&gt;0,TEXT(D62/(COUNTIFS(Başvuru!$A:$A,"&lt;&gt;",Başvuru!$F:$F,"&lt;&gt;")-1)*100,"0.0")&amp;"%","-"))</f>
        <v>00%</v>
      </c>
      <c r="F62" s="162">
        <f>IF(C62="","",COUNTIFS(Başvuru!$C:$C,C62,Başvuru!$G:$G,"Bireysel Araştırma",Başvuru!$A:$A,"&lt;&gt;"&amp;"",Başvuru!$F:$F,"&lt;&gt;"&amp;""))</f>
        <v>3</v>
      </c>
      <c r="G62" s="162">
        <f>IF(C62="","",COUNTIFS(Başvuru!$C:$C,C62,Başvuru!$G:$G,"Uzmanlık Tezi",Başvuru!$A:$A,"&lt;&gt;"&amp;"",Başvuru!$F:$F,"&lt;&gt;"&amp;""))</f>
        <v>0</v>
      </c>
      <c r="H62" s="162">
        <f>IF(C62="","",COUNTIFS(Başvuru!$C:$C,C62,Başvuru!$G:$G,"Doktora Tezi",Başvuru!$A:$A,"&lt;&gt;"&amp;"",Başvuru!$F:$F,"&lt;&gt;"&amp;""))</f>
        <v>0</v>
      </c>
      <c r="I62" s="162">
        <f>IF(C62="","",COUNTIFS(Başvuru!$C:$C,C62,Başvuru!$G:$G,"Yüksek Lisans Tezi",Başvuru!$A:$A,"&lt;&gt;"&amp;"",Başvuru!$F:$F,"&lt;&gt;"&amp;""))</f>
        <v>0</v>
      </c>
      <c r="J62" s="163">
        <f>IF(C62="","",COUNTIFS(Başvuru!$C:$C,C62,Başvuru!$L:$L,"ONAY",Başvuru!$A:$A,"&lt;&gt;"&amp;"",Başvuru!$F:$F,"&lt;&gt;"&amp;""))</f>
        <v>0</v>
      </c>
      <c r="K62" s="164">
        <f>IF(C62="","",COUNTIFS(Başvuru!$C:$C,C62,Başvuru!$L:$L,"DÜZELTME",Başvuru!$A:$A,"&lt;&gt;"&amp;"",Başvuru!$F:$F,"&lt;&gt;"&amp;""))</f>
        <v>2</v>
      </c>
      <c r="L62" s="165">
        <f>IF(C62="","",COUNTIFS(Başvuru!$C:$C,C62,Başvuru!$L:$L,"KAEK",Başvuru!$A:$A,"&lt;&gt;"&amp;"",Başvuru!$F:$F,"&lt;&gt;"&amp;""))</f>
        <v>0</v>
      </c>
      <c r="M62" s="166">
        <f>IF(C62="","",COUNTIFS(Başvuru!$C:$C,C62,Başvuru!$L:$L,"GÖRÜŞ",Başvuru!$A:$A,"&lt;&gt;"&amp;"",Başvuru!$F:$F,"&lt;&gt;"&amp;""))</f>
        <v>1</v>
      </c>
      <c r="N62" s="167">
        <f>IF(C62="","",COUNTIFS(Başvuru!$C:$C,C62,Başvuru!$L:$L,"RET",Başvuru!$A:$A,"&lt;&gt;"&amp;"",Başvuru!$F:$F,"&lt;&gt;"&amp;""))</f>
        <v>0</v>
      </c>
      <c r="O62" s="168">
        <f>IF(C62="","",COUNTIFS(Başvuru!$C:$C,C62,Başvuru!$L:$L,"KAPSAM DIŞI",Başvuru!$A:$A,"&lt;&gt;"&amp;"",Başvuru!$F:$F,"&lt;&gt;"&amp;""))</f>
        <v>0</v>
      </c>
      <c r="P62" s="169">
        <f>IF(C62="","",COUNTIFS(Başvuru!$C:$C,C62,Başvuru!$L:$L,"GERİ ÇEKİLDİ",Başvuru!$A:$A,"&lt;&gt;"&amp;"",Başvuru!$F:$F,"&lt;&gt;"&amp;""))</f>
        <v>0</v>
      </c>
      <c r="Q62" s="170" t="str">
        <f>IFERROR(INDEX(Başvuru!$C$2:$C$1851,MATCH(57,Başvuru!$AB$2:$AB$1851,0)),"")</f>
        <v>Arş. Gör. Dr. Aycan UYSAL</v>
      </c>
      <c r="R62" s="171">
        <f>IF(Q62="","",COUNTIFS(Başvuru!$C:$C,Q62,Başvuru!$A:$A,"&lt;&gt;"&amp;"",Başvuru!$F:$F,"&lt;&gt;"&amp;""))</f>
        <v>1</v>
      </c>
      <c r="S62" s="171">
        <f>IF(R62="","",RANK(R62,$R$6:$R$505,0)+COUNTIF($R$6:R62,R62)-1)</f>
        <v>176</v>
      </c>
    </row>
    <row r="63" spans="2:19" ht="23.25" customHeight="1" x14ac:dyDescent="0.25">
      <c r="B63" s="159">
        <v>58</v>
      </c>
      <c r="C63" s="160" t="str">
        <f>IFERROR(INDEX($Q$6:$Q$505,MATCH(58,$S$6:$S$505,0)),"")</f>
        <v>Prof. Dr. Kudret AYTEMİR</v>
      </c>
      <c r="D63" s="161">
        <f>IF(C63="","",COUNTIFS(Başvuru!$C:$C,C63,Başvuru!$A:$A,"&lt;&gt;"&amp;"",Başvuru!$F:$F,"&lt;&gt;"&amp;""))</f>
        <v>3</v>
      </c>
      <c r="E63" s="159" t="str">
        <f>IF(C63="","-",IF(D63&gt;0,TEXT(D63/(COUNTIFS(Başvuru!$A:$A,"&lt;&gt;",Başvuru!$F:$F,"&lt;&gt;")-1)*100,"0.0")&amp;"%","-"))</f>
        <v>00%</v>
      </c>
      <c r="F63" s="162">
        <f>IF(C63="","",COUNTIFS(Başvuru!$C:$C,C63,Başvuru!$G:$G,"Bireysel Araştırma",Başvuru!$A:$A,"&lt;&gt;"&amp;"",Başvuru!$F:$F,"&lt;&gt;"&amp;""))</f>
        <v>2</v>
      </c>
      <c r="G63" s="162">
        <f>IF(C63="","",COUNTIFS(Başvuru!$C:$C,C63,Başvuru!$G:$G,"Uzmanlık Tezi",Başvuru!$A:$A,"&lt;&gt;"&amp;"",Başvuru!$F:$F,"&lt;&gt;"&amp;""))</f>
        <v>1</v>
      </c>
      <c r="H63" s="162">
        <f>IF(C63="","",COUNTIFS(Başvuru!$C:$C,C63,Başvuru!$G:$G,"Doktora Tezi",Başvuru!$A:$A,"&lt;&gt;"&amp;"",Başvuru!$F:$F,"&lt;&gt;"&amp;""))</f>
        <v>0</v>
      </c>
      <c r="I63" s="162">
        <f>IF(C63="","",COUNTIFS(Başvuru!$C:$C,C63,Başvuru!$G:$G,"Yüksek Lisans Tezi",Başvuru!$A:$A,"&lt;&gt;"&amp;"",Başvuru!$F:$F,"&lt;&gt;"&amp;""))</f>
        <v>0</v>
      </c>
      <c r="J63" s="163">
        <f>IF(C63="","",COUNTIFS(Başvuru!$C:$C,C63,Başvuru!$L:$L,"ONAY",Başvuru!$A:$A,"&lt;&gt;"&amp;"",Başvuru!$F:$F,"&lt;&gt;"&amp;""))</f>
        <v>2</v>
      </c>
      <c r="K63" s="164">
        <f>IF(C63="","",COUNTIFS(Başvuru!$C:$C,C63,Başvuru!$L:$L,"DÜZELTME",Başvuru!$A:$A,"&lt;&gt;"&amp;"",Başvuru!$F:$F,"&lt;&gt;"&amp;""))</f>
        <v>0</v>
      </c>
      <c r="L63" s="165">
        <f>IF(C63="","",COUNTIFS(Başvuru!$C:$C,C63,Başvuru!$L:$L,"KAEK",Başvuru!$A:$A,"&lt;&gt;"&amp;"",Başvuru!$F:$F,"&lt;&gt;"&amp;""))</f>
        <v>1</v>
      </c>
      <c r="M63" s="166">
        <f>IF(C63="","",COUNTIFS(Başvuru!$C:$C,C63,Başvuru!$L:$L,"GÖRÜŞ",Başvuru!$A:$A,"&lt;&gt;"&amp;"",Başvuru!$F:$F,"&lt;&gt;"&amp;""))</f>
        <v>0</v>
      </c>
      <c r="N63" s="167">
        <f>IF(C63="","",COUNTIFS(Başvuru!$C:$C,C63,Başvuru!$L:$L,"RET",Başvuru!$A:$A,"&lt;&gt;"&amp;"",Başvuru!$F:$F,"&lt;&gt;"&amp;""))</f>
        <v>0</v>
      </c>
      <c r="O63" s="168">
        <f>IF(C63="","",COUNTIFS(Başvuru!$C:$C,C63,Başvuru!$L:$L,"KAPSAM DIŞI",Başvuru!$A:$A,"&lt;&gt;"&amp;"",Başvuru!$F:$F,"&lt;&gt;"&amp;""))</f>
        <v>0</v>
      </c>
      <c r="P63" s="169">
        <f>IF(C63="","",COUNTIFS(Başvuru!$C:$C,C63,Başvuru!$L:$L,"GERİ ÇEKİLDİ",Başvuru!$A:$A,"&lt;&gt;"&amp;"",Başvuru!$F:$F,"&lt;&gt;"&amp;""))</f>
        <v>0</v>
      </c>
      <c r="Q63" s="170" t="str">
        <f>IFERROR(INDEX(Başvuru!$C$2:$C$1851,MATCH(58,Başvuru!$AB$2:$AB$1851,0)),"")</f>
        <v>Doç. Dr. Ekim GÜMELER</v>
      </c>
      <c r="R63" s="171">
        <f>IF(Q63="","",COUNTIFS(Başvuru!$C:$C,Q63,Başvuru!$A:$A,"&lt;&gt;"&amp;"",Başvuru!$F:$F,"&lt;&gt;"&amp;""))</f>
        <v>1</v>
      </c>
      <c r="S63" s="171">
        <f>IF(R63="","",RANK(R63,$R$6:$R$505,0)+COUNTIF($R$6:R63,R63)-1)</f>
        <v>177</v>
      </c>
    </row>
    <row r="64" spans="2:19" ht="23.25" customHeight="1" x14ac:dyDescent="0.25">
      <c r="B64" s="159">
        <v>59</v>
      </c>
      <c r="C64" s="160" t="str">
        <f>IFERROR(INDEX($Q$6:$Q$505,MATCH(59,$S$6:$S$505,0)),"")</f>
        <v>Dr. Öğr. Üyesi Ahmet KIVRAK</v>
      </c>
      <c r="D64" s="161">
        <f>IF(C64="","",COUNTIFS(Başvuru!$C:$C,C64,Başvuru!$A:$A,"&lt;&gt;"&amp;"",Başvuru!$F:$F,"&lt;&gt;"&amp;""))</f>
        <v>3</v>
      </c>
      <c r="E64" s="159" t="str">
        <f>IF(C64="","-",IF(D64&gt;0,TEXT(D64/(COUNTIFS(Başvuru!$A:$A,"&lt;&gt;",Başvuru!$F:$F,"&lt;&gt;")-1)*100,"0.0")&amp;"%","-"))</f>
        <v>00%</v>
      </c>
      <c r="F64" s="162">
        <f>IF(C64="","",COUNTIFS(Başvuru!$C:$C,C64,Başvuru!$G:$G,"Bireysel Araştırma",Başvuru!$A:$A,"&lt;&gt;"&amp;"",Başvuru!$F:$F,"&lt;&gt;"&amp;""))</f>
        <v>2</v>
      </c>
      <c r="G64" s="162">
        <f>IF(C64="","",COUNTIFS(Başvuru!$C:$C,C64,Başvuru!$G:$G,"Uzmanlık Tezi",Başvuru!$A:$A,"&lt;&gt;"&amp;"",Başvuru!$F:$F,"&lt;&gt;"&amp;""))</f>
        <v>1</v>
      </c>
      <c r="H64" s="162">
        <f>IF(C64="","",COUNTIFS(Başvuru!$C:$C,C64,Başvuru!$G:$G,"Doktora Tezi",Başvuru!$A:$A,"&lt;&gt;"&amp;"",Başvuru!$F:$F,"&lt;&gt;"&amp;""))</f>
        <v>0</v>
      </c>
      <c r="I64" s="162">
        <f>IF(C64="","",COUNTIFS(Başvuru!$C:$C,C64,Başvuru!$G:$G,"Yüksek Lisans Tezi",Başvuru!$A:$A,"&lt;&gt;"&amp;"",Başvuru!$F:$F,"&lt;&gt;"&amp;""))</f>
        <v>0</v>
      </c>
      <c r="J64" s="163">
        <f>IF(C64="","",COUNTIFS(Başvuru!$C:$C,C64,Başvuru!$L:$L,"ONAY",Başvuru!$A:$A,"&lt;&gt;"&amp;"",Başvuru!$F:$F,"&lt;&gt;"&amp;""))</f>
        <v>2</v>
      </c>
      <c r="K64" s="164">
        <f>IF(C64="","",COUNTIFS(Başvuru!$C:$C,C64,Başvuru!$L:$L,"DÜZELTME",Başvuru!$A:$A,"&lt;&gt;"&amp;"",Başvuru!$F:$F,"&lt;&gt;"&amp;""))</f>
        <v>1</v>
      </c>
      <c r="L64" s="165">
        <f>IF(C64="","",COUNTIFS(Başvuru!$C:$C,C64,Başvuru!$L:$L,"KAEK",Başvuru!$A:$A,"&lt;&gt;"&amp;"",Başvuru!$F:$F,"&lt;&gt;"&amp;""))</f>
        <v>0</v>
      </c>
      <c r="M64" s="166">
        <f>IF(C64="","",COUNTIFS(Başvuru!$C:$C,C64,Başvuru!$L:$L,"GÖRÜŞ",Başvuru!$A:$A,"&lt;&gt;"&amp;"",Başvuru!$F:$F,"&lt;&gt;"&amp;""))</f>
        <v>0</v>
      </c>
      <c r="N64" s="167">
        <f>IF(C64="","",COUNTIFS(Başvuru!$C:$C,C64,Başvuru!$L:$L,"RET",Başvuru!$A:$A,"&lt;&gt;"&amp;"",Başvuru!$F:$F,"&lt;&gt;"&amp;""))</f>
        <v>0</v>
      </c>
      <c r="O64" s="168">
        <f>IF(C64="","",COUNTIFS(Başvuru!$C:$C,C64,Başvuru!$L:$L,"KAPSAM DIŞI",Başvuru!$A:$A,"&lt;&gt;"&amp;"",Başvuru!$F:$F,"&lt;&gt;"&amp;""))</f>
        <v>0</v>
      </c>
      <c r="P64" s="169">
        <f>IF(C64="","",COUNTIFS(Başvuru!$C:$C,C64,Başvuru!$L:$L,"GERİ ÇEKİLDİ",Başvuru!$A:$A,"&lt;&gt;"&amp;"",Başvuru!$F:$F,"&lt;&gt;"&amp;""))</f>
        <v>0</v>
      </c>
      <c r="Q64" s="170" t="str">
        <f>IFERROR(INDEX(Başvuru!$C$2:$C$1851,MATCH(59,Başvuru!$AB$2:$AB$1851,0)),"")</f>
        <v>Prof. Dr. Ömer UĞUR</v>
      </c>
      <c r="R64" s="171">
        <f>IF(Q64="","",COUNTIFS(Başvuru!$C:$C,Q64,Başvuru!$A:$A,"&lt;&gt;"&amp;"",Başvuru!$F:$F,"&lt;&gt;"&amp;""))</f>
        <v>1</v>
      </c>
      <c r="S64" s="171">
        <f>IF(R64="","",RANK(R64,$R$6:$R$505,0)+COUNTIF($R$6:R64,R64)-1)</f>
        <v>178</v>
      </c>
    </row>
    <row r="65" spans="2:19" ht="23.25" customHeight="1" x14ac:dyDescent="0.25">
      <c r="B65" s="159">
        <v>60</v>
      </c>
      <c r="C65" s="160" t="str">
        <f>IFERROR(INDEX($Q$6:$Q$505,MATCH(60,$S$6:$S$505,0)),"")</f>
        <v>Prof. Dr. Dilek ASLAN</v>
      </c>
      <c r="D65" s="161">
        <f>IF(C65="","",COUNTIFS(Başvuru!$C:$C,C65,Başvuru!$A:$A,"&lt;&gt;"&amp;"",Başvuru!$F:$F,"&lt;&gt;"&amp;""))</f>
        <v>3</v>
      </c>
      <c r="E65" s="159" t="str">
        <f>IF(C65="","-",IF(D65&gt;0,TEXT(D65/(COUNTIFS(Başvuru!$A:$A,"&lt;&gt;",Başvuru!$F:$F,"&lt;&gt;")-1)*100,"0.0")&amp;"%","-"))</f>
        <v>00%</v>
      </c>
      <c r="F65" s="162">
        <f>IF(C65="","",COUNTIFS(Başvuru!$C:$C,C65,Başvuru!$G:$G,"Bireysel Araştırma",Başvuru!$A:$A,"&lt;&gt;"&amp;"",Başvuru!$F:$F,"&lt;&gt;"&amp;""))</f>
        <v>0</v>
      </c>
      <c r="G65" s="162">
        <f>IF(C65="","",COUNTIFS(Başvuru!$C:$C,C65,Başvuru!$G:$G,"Uzmanlık Tezi",Başvuru!$A:$A,"&lt;&gt;"&amp;"",Başvuru!$F:$F,"&lt;&gt;"&amp;""))</f>
        <v>2</v>
      </c>
      <c r="H65" s="162">
        <f>IF(C65="","",COUNTIFS(Başvuru!$C:$C,C65,Başvuru!$G:$G,"Doktora Tezi",Başvuru!$A:$A,"&lt;&gt;"&amp;"",Başvuru!$F:$F,"&lt;&gt;"&amp;""))</f>
        <v>1</v>
      </c>
      <c r="I65" s="162">
        <f>IF(C65="","",COUNTIFS(Başvuru!$C:$C,C65,Başvuru!$G:$G,"Yüksek Lisans Tezi",Başvuru!$A:$A,"&lt;&gt;"&amp;"",Başvuru!$F:$F,"&lt;&gt;"&amp;""))</f>
        <v>0</v>
      </c>
      <c r="J65" s="163">
        <f>IF(C65="","",COUNTIFS(Başvuru!$C:$C,C65,Başvuru!$L:$L,"ONAY",Başvuru!$A:$A,"&lt;&gt;"&amp;"",Başvuru!$F:$F,"&lt;&gt;"&amp;""))</f>
        <v>3</v>
      </c>
      <c r="K65" s="164">
        <f>IF(C65="","",COUNTIFS(Başvuru!$C:$C,C65,Başvuru!$L:$L,"DÜZELTME",Başvuru!$A:$A,"&lt;&gt;"&amp;"",Başvuru!$F:$F,"&lt;&gt;"&amp;""))</f>
        <v>0</v>
      </c>
      <c r="L65" s="165">
        <f>IF(C65="","",COUNTIFS(Başvuru!$C:$C,C65,Başvuru!$L:$L,"KAEK",Başvuru!$A:$A,"&lt;&gt;"&amp;"",Başvuru!$F:$F,"&lt;&gt;"&amp;""))</f>
        <v>0</v>
      </c>
      <c r="M65" s="166">
        <f>IF(C65="","",COUNTIFS(Başvuru!$C:$C,C65,Başvuru!$L:$L,"GÖRÜŞ",Başvuru!$A:$A,"&lt;&gt;"&amp;"",Başvuru!$F:$F,"&lt;&gt;"&amp;""))</f>
        <v>0</v>
      </c>
      <c r="N65" s="167">
        <f>IF(C65="","",COUNTIFS(Başvuru!$C:$C,C65,Başvuru!$L:$L,"RET",Başvuru!$A:$A,"&lt;&gt;"&amp;"",Başvuru!$F:$F,"&lt;&gt;"&amp;""))</f>
        <v>0</v>
      </c>
      <c r="O65" s="168">
        <f>IF(C65="","",COUNTIFS(Başvuru!$C:$C,C65,Başvuru!$L:$L,"KAPSAM DIŞI",Başvuru!$A:$A,"&lt;&gt;"&amp;"",Başvuru!$F:$F,"&lt;&gt;"&amp;""))</f>
        <v>0</v>
      </c>
      <c r="P65" s="169">
        <f>IF(C65="","",COUNTIFS(Başvuru!$C:$C,C65,Başvuru!$L:$L,"GERİ ÇEKİLDİ",Başvuru!$A:$A,"&lt;&gt;"&amp;"",Başvuru!$F:$F,"&lt;&gt;"&amp;""))</f>
        <v>0</v>
      </c>
      <c r="Q65" s="170" t="str">
        <f>IFERROR(INDEX(Başvuru!$C$2:$C$1851,MATCH(60,Başvuru!$AB$2:$AB$1851,0)),"")</f>
        <v>Dr. Natalia RAKİSLOVA</v>
      </c>
      <c r="R65" s="171">
        <f>IF(Q65="","",COUNTIFS(Başvuru!$C:$C,Q65,Başvuru!$A:$A,"&lt;&gt;"&amp;"",Başvuru!$F:$F,"&lt;&gt;"&amp;""))</f>
        <v>1</v>
      </c>
      <c r="S65" s="171">
        <f>IF(R65="","",RANK(R65,$R$6:$R$505,0)+COUNTIF($R$6:R65,R65)-1)</f>
        <v>179</v>
      </c>
    </row>
    <row r="66" spans="2:19" ht="23.25" customHeight="1" x14ac:dyDescent="0.25">
      <c r="B66" s="159">
        <v>61</v>
      </c>
      <c r="C66" s="160" t="str">
        <f>IFERROR(INDEX($Q$6:$Q$505,MATCH(61,$S$6:$S$505,0)),"")</f>
        <v>Doç. Dr. Başak YALICI ARMAĞAN</v>
      </c>
      <c r="D66" s="161">
        <f>IF(C66="","",COUNTIFS(Başvuru!$C:$C,C66,Başvuru!$A:$A,"&lt;&gt;"&amp;"",Başvuru!$F:$F,"&lt;&gt;"&amp;""))</f>
        <v>3</v>
      </c>
      <c r="E66" s="159" t="str">
        <f>IF(C66="","-",IF(D66&gt;0,TEXT(D66/(COUNTIFS(Başvuru!$A:$A,"&lt;&gt;",Başvuru!$F:$F,"&lt;&gt;")-1)*100,"0.0")&amp;"%","-"))</f>
        <v>00%</v>
      </c>
      <c r="F66" s="162">
        <f>IF(C66="","",COUNTIFS(Başvuru!$C:$C,C66,Başvuru!$G:$G,"Bireysel Araştırma",Başvuru!$A:$A,"&lt;&gt;"&amp;"",Başvuru!$F:$F,"&lt;&gt;"&amp;""))</f>
        <v>1</v>
      </c>
      <c r="G66" s="162">
        <f>IF(C66="","",COUNTIFS(Başvuru!$C:$C,C66,Başvuru!$G:$G,"Uzmanlık Tezi",Başvuru!$A:$A,"&lt;&gt;"&amp;"",Başvuru!$F:$F,"&lt;&gt;"&amp;""))</f>
        <v>2</v>
      </c>
      <c r="H66" s="162">
        <f>IF(C66="","",COUNTIFS(Başvuru!$C:$C,C66,Başvuru!$G:$G,"Doktora Tezi",Başvuru!$A:$A,"&lt;&gt;"&amp;"",Başvuru!$F:$F,"&lt;&gt;"&amp;""))</f>
        <v>0</v>
      </c>
      <c r="I66" s="162">
        <f>IF(C66="","",COUNTIFS(Başvuru!$C:$C,C66,Başvuru!$G:$G,"Yüksek Lisans Tezi",Başvuru!$A:$A,"&lt;&gt;"&amp;"",Başvuru!$F:$F,"&lt;&gt;"&amp;""))</f>
        <v>0</v>
      </c>
      <c r="J66" s="163">
        <f>IF(C66="","",COUNTIFS(Başvuru!$C:$C,C66,Başvuru!$L:$L,"ONAY",Başvuru!$A:$A,"&lt;&gt;"&amp;"",Başvuru!$F:$F,"&lt;&gt;"&amp;""))</f>
        <v>1</v>
      </c>
      <c r="K66" s="164">
        <f>IF(C66="","",COUNTIFS(Başvuru!$C:$C,C66,Başvuru!$L:$L,"DÜZELTME",Başvuru!$A:$A,"&lt;&gt;"&amp;"",Başvuru!$F:$F,"&lt;&gt;"&amp;""))</f>
        <v>1</v>
      </c>
      <c r="L66" s="165">
        <f>IF(C66="","",COUNTIFS(Başvuru!$C:$C,C66,Başvuru!$L:$L,"KAEK",Başvuru!$A:$A,"&lt;&gt;"&amp;"",Başvuru!$F:$F,"&lt;&gt;"&amp;""))</f>
        <v>1</v>
      </c>
      <c r="M66" s="166">
        <f>IF(C66="","",COUNTIFS(Başvuru!$C:$C,C66,Başvuru!$L:$L,"GÖRÜŞ",Başvuru!$A:$A,"&lt;&gt;"&amp;"",Başvuru!$F:$F,"&lt;&gt;"&amp;""))</f>
        <v>0</v>
      </c>
      <c r="N66" s="167">
        <f>IF(C66="","",COUNTIFS(Başvuru!$C:$C,C66,Başvuru!$L:$L,"RET",Başvuru!$A:$A,"&lt;&gt;"&amp;"",Başvuru!$F:$F,"&lt;&gt;"&amp;""))</f>
        <v>0</v>
      </c>
      <c r="O66" s="168">
        <f>IF(C66="","",COUNTIFS(Başvuru!$C:$C,C66,Başvuru!$L:$L,"KAPSAM DIŞI",Başvuru!$A:$A,"&lt;&gt;"&amp;"",Başvuru!$F:$F,"&lt;&gt;"&amp;""))</f>
        <v>0</v>
      </c>
      <c r="P66" s="169">
        <f>IF(C66="","",COUNTIFS(Başvuru!$C:$C,C66,Başvuru!$L:$L,"GERİ ÇEKİLDİ",Başvuru!$A:$A,"&lt;&gt;"&amp;"",Başvuru!$F:$F,"&lt;&gt;"&amp;""))</f>
        <v>0</v>
      </c>
      <c r="Q66" s="170" t="str">
        <f>IFERROR(INDEX(Başvuru!$C$2:$C$1851,MATCH(61,Başvuru!$AB$2:$AB$1851,0)),"")</f>
        <v>Doç. Dr. İlker ERTUĞRUL</v>
      </c>
      <c r="R66" s="171">
        <f>IF(Q66="","",COUNTIFS(Başvuru!$C:$C,Q66,Başvuru!$A:$A,"&lt;&gt;"&amp;"",Başvuru!$F:$F,"&lt;&gt;"&amp;""))</f>
        <v>1</v>
      </c>
      <c r="S66" s="171">
        <f>IF(R66="","",RANK(R66,$R$6:$R$505,0)+COUNTIF($R$6:R66,R66)-1)</f>
        <v>180</v>
      </c>
    </row>
    <row r="67" spans="2:19" ht="23.25" customHeight="1" x14ac:dyDescent="0.25">
      <c r="B67" s="159">
        <v>62</v>
      </c>
      <c r="C67" s="160" t="str">
        <f>IFERROR(INDEX($Q$6:$Q$505,MATCH(62,$S$6:$S$505,0)),"")</f>
        <v>Prof. Dr. Hasan Serkan DOĞAN</v>
      </c>
      <c r="D67" s="161">
        <f>IF(C67="","",COUNTIFS(Başvuru!$C:$C,C67,Başvuru!$A:$A,"&lt;&gt;"&amp;"",Başvuru!$F:$F,"&lt;&gt;"&amp;""))</f>
        <v>3</v>
      </c>
      <c r="E67" s="159" t="str">
        <f>IF(C67="","-",IF(D67&gt;0,TEXT(D67/(COUNTIFS(Başvuru!$A:$A,"&lt;&gt;",Başvuru!$F:$F,"&lt;&gt;")-1)*100,"0.0")&amp;"%","-"))</f>
        <v>00%</v>
      </c>
      <c r="F67" s="162">
        <f>IF(C67="","",COUNTIFS(Başvuru!$C:$C,C67,Başvuru!$G:$G,"Bireysel Araştırma",Başvuru!$A:$A,"&lt;&gt;"&amp;"",Başvuru!$F:$F,"&lt;&gt;"&amp;""))</f>
        <v>2</v>
      </c>
      <c r="G67" s="162">
        <f>IF(C67="","",COUNTIFS(Başvuru!$C:$C,C67,Başvuru!$G:$G,"Uzmanlık Tezi",Başvuru!$A:$A,"&lt;&gt;"&amp;"",Başvuru!$F:$F,"&lt;&gt;"&amp;""))</f>
        <v>1</v>
      </c>
      <c r="H67" s="162">
        <f>IF(C67="","",COUNTIFS(Başvuru!$C:$C,C67,Başvuru!$G:$G,"Doktora Tezi",Başvuru!$A:$A,"&lt;&gt;"&amp;"",Başvuru!$F:$F,"&lt;&gt;"&amp;""))</f>
        <v>0</v>
      </c>
      <c r="I67" s="162">
        <f>IF(C67="","",COUNTIFS(Başvuru!$C:$C,C67,Başvuru!$G:$G,"Yüksek Lisans Tezi",Başvuru!$A:$A,"&lt;&gt;"&amp;"",Başvuru!$F:$F,"&lt;&gt;"&amp;""))</f>
        <v>0</v>
      </c>
      <c r="J67" s="163">
        <f>IF(C67="","",COUNTIFS(Başvuru!$C:$C,C67,Başvuru!$L:$L,"ONAY",Başvuru!$A:$A,"&lt;&gt;"&amp;"",Başvuru!$F:$F,"&lt;&gt;"&amp;""))</f>
        <v>1</v>
      </c>
      <c r="K67" s="164">
        <f>IF(C67="","",COUNTIFS(Başvuru!$C:$C,C67,Başvuru!$L:$L,"DÜZELTME",Başvuru!$A:$A,"&lt;&gt;"&amp;"",Başvuru!$F:$F,"&lt;&gt;"&amp;""))</f>
        <v>1</v>
      </c>
      <c r="L67" s="165">
        <f>IF(C67="","",COUNTIFS(Başvuru!$C:$C,C67,Başvuru!$L:$L,"KAEK",Başvuru!$A:$A,"&lt;&gt;"&amp;"",Başvuru!$F:$F,"&lt;&gt;"&amp;""))</f>
        <v>0</v>
      </c>
      <c r="M67" s="166">
        <f>IF(C67="","",COUNTIFS(Başvuru!$C:$C,C67,Başvuru!$L:$L,"GÖRÜŞ",Başvuru!$A:$A,"&lt;&gt;"&amp;"",Başvuru!$F:$F,"&lt;&gt;"&amp;""))</f>
        <v>0</v>
      </c>
      <c r="N67" s="167">
        <f>IF(C67="","",COUNTIFS(Başvuru!$C:$C,C67,Başvuru!$L:$L,"RET",Başvuru!$A:$A,"&lt;&gt;"&amp;"",Başvuru!$F:$F,"&lt;&gt;"&amp;""))</f>
        <v>0</v>
      </c>
      <c r="O67" s="168">
        <f>IF(C67="","",COUNTIFS(Başvuru!$C:$C,C67,Başvuru!$L:$L,"KAPSAM DIŞI",Başvuru!$A:$A,"&lt;&gt;"&amp;"",Başvuru!$F:$F,"&lt;&gt;"&amp;""))</f>
        <v>0</v>
      </c>
      <c r="P67" s="169">
        <f>IF(C67="","",COUNTIFS(Başvuru!$C:$C,C67,Başvuru!$L:$L,"GERİ ÇEKİLDİ",Başvuru!$A:$A,"&lt;&gt;"&amp;"",Başvuru!$F:$F,"&lt;&gt;"&amp;""))</f>
        <v>0</v>
      </c>
      <c r="Q67" s="170" t="str">
        <f>IFERROR(INDEX(Başvuru!$C$2:$C$1851,MATCH(62,Başvuru!$AB$2:$AB$1851,0)),"")</f>
        <v>Prof. Dr. Sıddika Songül YALÇIN</v>
      </c>
      <c r="R67" s="171">
        <f>IF(Q67="","",COUNTIFS(Başvuru!$C:$C,Q67,Başvuru!$A:$A,"&lt;&gt;"&amp;"",Başvuru!$F:$F,"&lt;&gt;"&amp;""))</f>
        <v>4</v>
      </c>
      <c r="S67" s="171">
        <f>IF(R67="","",RANK(R67,$R$6:$R$505,0)+COUNTIF($R$6:R67,R67)-1)</f>
        <v>38</v>
      </c>
    </row>
    <row r="68" spans="2:19" ht="23.25" customHeight="1" x14ac:dyDescent="0.25">
      <c r="B68" s="159">
        <v>63</v>
      </c>
      <c r="C68" s="160" t="str">
        <f>IFERROR(INDEX($Q$6:$Q$505,MATCH(63,$S$6:$S$505,0)),"")</f>
        <v>Doç. Dr. Hacı Hasan YETER</v>
      </c>
      <c r="D68" s="161">
        <f>IF(C68="","",COUNTIFS(Başvuru!$C:$C,C68,Başvuru!$A:$A,"&lt;&gt;"&amp;"",Başvuru!$F:$F,"&lt;&gt;"&amp;""))</f>
        <v>3</v>
      </c>
      <c r="E68" s="159" t="str">
        <f>IF(C68="","-",IF(D68&gt;0,TEXT(D68/(COUNTIFS(Başvuru!$A:$A,"&lt;&gt;",Başvuru!$F:$F,"&lt;&gt;")-1)*100,"0.0")&amp;"%","-"))</f>
        <v>00%</v>
      </c>
      <c r="F68" s="162">
        <f>IF(C68="","",COUNTIFS(Başvuru!$C:$C,C68,Başvuru!$G:$G,"Bireysel Araştırma",Başvuru!$A:$A,"&lt;&gt;"&amp;"",Başvuru!$F:$F,"&lt;&gt;"&amp;""))</f>
        <v>3</v>
      </c>
      <c r="G68" s="162">
        <f>IF(C68="","",COUNTIFS(Başvuru!$C:$C,C68,Başvuru!$G:$G,"Uzmanlık Tezi",Başvuru!$A:$A,"&lt;&gt;"&amp;"",Başvuru!$F:$F,"&lt;&gt;"&amp;""))</f>
        <v>0</v>
      </c>
      <c r="H68" s="162">
        <f>IF(C68="","",COUNTIFS(Başvuru!$C:$C,C68,Başvuru!$G:$G,"Doktora Tezi",Başvuru!$A:$A,"&lt;&gt;"&amp;"",Başvuru!$F:$F,"&lt;&gt;"&amp;""))</f>
        <v>0</v>
      </c>
      <c r="I68" s="162">
        <f>IF(C68="","",COUNTIFS(Başvuru!$C:$C,C68,Başvuru!$G:$G,"Yüksek Lisans Tezi",Başvuru!$A:$A,"&lt;&gt;"&amp;"",Başvuru!$F:$F,"&lt;&gt;"&amp;""))</f>
        <v>0</v>
      </c>
      <c r="J68" s="163">
        <f>IF(C68="","",COUNTIFS(Başvuru!$C:$C,C68,Başvuru!$L:$L,"ONAY",Başvuru!$A:$A,"&lt;&gt;"&amp;"",Başvuru!$F:$F,"&lt;&gt;"&amp;""))</f>
        <v>3</v>
      </c>
      <c r="K68" s="164">
        <f>IF(C68="","",COUNTIFS(Başvuru!$C:$C,C68,Başvuru!$L:$L,"DÜZELTME",Başvuru!$A:$A,"&lt;&gt;"&amp;"",Başvuru!$F:$F,"&lt;&gt;"&amp;""))</f>
        <v>0</v>
      </c>
      <c r="L68" s="165">
        <f>IF(C68="","",COUNTIFS(Başvuru!$C:$C,C68,Başvuru!$L:$L,"KAEK",Başvuru!$A:$A,"&lt;&gt;"&amp;"",Başvuru!$F:$F,"&lt;&gt;"&amp;""))</f>
        <v>0</v>
      </c>
      <c r="M68" s="166">
        <f>IF(C68="","",COUNTIFS(Başvuru!$C:$C,C68,Başvuru!$L:$L,"GÖRÜŞ",Başvuru!$A:$A,"&lt;&gt;"&amp;"",Başvuru!$F:$F,"&lt;&gt;"&amp;""))</f>
        <v>0</v>
      </c>
      <c r="N68" s="167">
        <f>IF(C68="","",COUNTIFS(Başvuru!$C:$C,C68,Başvuru!$L:$L,"RET",Başvuru!$A:$A,"&lt;&gt;"&amp;"",Başvuru!$F:$F,"&lt;&gt;"&amp;""))</f>
        <v>0</v>
      </c>
      <c r="O68" s="168">
        <f>IF(C68="","",COUNTIFS(Başvuru!$C:$C,C68,Başvuru!$L:$L,"KAPSAM DIŞI",Başvuru!$A:$A,"&lt;&gt;"&amp;"",Başvuru!$F:$F,"&lt;&gt;"&amp;""))</f>
        <v>0</v>
      </c>
      <c r="P68" s="169">
        <f>IF(C68="","",COUNTIFS(Başvuru!$C:$C,C68,Başvuru!$L:$L,"GERİ ÇEKİLDİ",Başvuru!$A:$A,"&lt;&gt;"&amp;"",Başvuru!$F:$F,"&lt;&gt;"&amp;""))</f>
        <v>0</v>
      </c>
      <c r="Q68" s="170" t="str">
        <f>IFERROR(INDEX(Başvuru!$C$2:$C$1851,MATCH(63,Başvuru!$AB$2:$AB$1851,0)),"")</f>
        <v>Dr. Öğr. Üyesi Gökçen AKÇİÇEK</v>
      </c>
      <c r="R68" s="171">
        <f>IF(Q68="","",COUNTIFS(Başvuru!$C:$C,Q68,Başvuru!$A:$A,"&lt;&gt;"&amp;"",Başvuru!$F:$F,"&lt;&gt;"&amp;""))</f>
        <v>1</v>
      </c>
      <c r="S68" s="171">
        <f>IF(R68="","",RANK(R68,$R$6:$R$505,0)+COUNTIF($R$6:R68,R68)-1)</f>
        <v>181</v>
      </c>
    </row>
    <row r="69" spans="2:19" ht="23.25" customHeight="1" x14ac:dyDescent="0.25">
      <c r="B69" s="159">
        <v>64</v>
      </c>
      <c r="C69" s="160" t="str">
        <f>IFERROR(INDEX($Q$6:$Q$505,MATCH(64,$S$6:$S$505,0)),"")</f>
        <v>Prof. Dr. Ayşe Tomris ERBAŞ</v>
      </c>
      <c r="D69" s="161">
        <f>IF(C69="","",COUNTIFS(Başvuru!$C:$C,C69,Başvuru!$A:$A,"&lt;&gt;"&amp;"",Başvuru!$F:$F,"&lt;&gt;"&amp;""))</f>
        <v>3</v>
      </c>
      <c r="E69" s="159" t="str">
        <f>IF(C69="","-",IF(D69&gt;0,TEXT(D69/(COUNTIFS(Başvuru!$A:$A,"&lt;&gt;",Başvuru!$F:$F,"&lt;&gt;")-1)*100,"0.0")&amp;"%","-"))</f>
        <v>00%</v>
      </c>
      <c r="F69" s="162">
        <f>IF(C69="","",COUNTIFS(Başvuru!$C:$C,C69,Başvuru!$G:$G,"Bireysel Araştırma",Başvuru!$A:$A,"&lt;&gt;"&amp;"",Başvuru!$F:$F,"&lt;&gt;"&amp;""))</f>
        <v>3</v>
      </c>
      <c r="G69" s="162">
        <f>IF(C69="","",COUNTIFS(Başvuru!$C:$C,C69,Başvuru!$G:$G,"Uzmanlık Tezi",Başvuru!$A:$A,"&lt;&gt;"&amp;"",Başvuru!$F:$F,"&lt;&gt;"&amp;""))</f>
        <v>0</v>
      </c>
      <c r="H69" s="162">
        <f>IF(C69="","",COUNTIFS(Başvuru!$C:$C,C69,Başvuru!$G:$G,"Doktora Tezi",Başvuru!$A:$A,"&lt;&gt;"&amp;"",Başvuru!$F:$F,"&lt;&gt;"&amp;""))</f>
        <v>0</v>
      </c>
      <c r="I69" s="162">
        <f>IF(C69="","",COUNTIFS(Başvuru!$C:$C,C69,Başvuru!$G:$G,"Yüksek Lisans Tezi",Başvuru!$A:$A,"&lt;&gt;"&amp;"",Başvuru!$F:$F,"&lt;&gt;"&amp;""))</f>
        <v>0</v>
      </c>
      <c r="J69" s="163">
        <f>IF(C69="","",COUNTIFS(Başvuru!$C:$C,C69,Başvuru!$L:$L,"ONAY",Başvuru!$A:$A,"&lt;&gt;"&amp;"",Başvuru!$F:$F,"&lt;&gt;"&amp;""))</f>
        <v>3</v>
      </c>
      <c r="K69" s="164">
        <f>IF(C69="","",COUNTIFS(Başvuru!$C:$C,C69,Başvuru!$L:$L,"DÜZELTME",Başvuru!$A:$A,"&lt;&gt;"&amp;"",Başvuru!$F:$F,"&lt;&gt;"&amp;""))</f>
        <v>0</v>
      </c>
      <c r="L69" s="165">
        <f>IF(C69="","",COUNTIFS(Başvuru!$C:$C,C69,Başvuru!$L:$L,"KAEK",Başvuru!$A:$A,"&lt;&gt;"&amp;"",Başvuru!$F:$F,"&lt;&gt;"&amp;""))</f>
        <v>0</v>
      </c>
      <c r="M69" s="166">
        <f>IF(C69="","",COUNTIFS(Başvuru!$C:$C,C69,Başvuru!$L:$L,"GÖRÜŞ",Başvuru!$A:$A,"&lt;&gt;"&amp;"",Başvuru!$F:$F,"&lt;&gt;"&amp;""))</f>
        <v>0</v>
      </c>
      <c r="N69" s="167">
        <f>IF(C69="","",COUNTIFS(Başvuru!$C:$C,C69,Başvuru!$L:$L,"RET",Başvuru!$A:$A,"&lt;&gt;"&amp;"",Başvuru!$F:$F,"&lt;&gt;"&amp;""))</f>
        <v>0</v>
      </c>
      <c r="O69" s="168">
        <f>IF(C69="","",COUNTIFS(Başvuru!$C:$C,C69,Başvuru!$L:$L,"KAPSAM DIŞI",Başvuru!$A:$A,"&lt;&gt;"&amp;"",Başvuru!$F:$F,"&lt;&gt;"&amp;""))</f>
        <v>0</v>
      </c>
      <c r="P69" s="169">
        <f>IF(C69="","",COUNTIFS(Başvuru!$C:$C,C69,Başvuru!$L:$L,"GERİ ÇEKİLDİ",Başvuru!$A:$A,"&lt;&gt;"&amp;"",Başvuru!$F:$F,"&lt;&gt;"&amp;""))</f>
        <v>0</v>
      </c>
      <c r="Q69" s="170" t="str">
        <f>IFERROR(INDEX(Başvuru!$C$2:$C$1851,MATCH(64,Başvuru!$AB$2:$AB$1851,0)),"")</f>
        <v>Doç. Dr. Ezgi ATİK</v>
      </c>
      <c r="R69" s="171">
        <f>IF(Q69="","",COUNTIFS(Başvuru!$C:$C,Q69,Başvuru!$A:$A,"&lt;&gt;"&amp;"",Başvuru!$F:$F,"&lt;&gt;"&amp;""))</f>
        <v>5</v>
      </c>
      <c r="S69" s="171">
        <f>IF(R69="","",RANK(R69,$R$6:$R$505,0)+COUNTIF($R$6:R69,R69)-1)</f>
        <v>23</v>
      </c>
    </row>
    <row r="70" spans="2:19" ht="23.25" customHeight="1" x14ac:dyDescent="0.25">
      <c r="B70" s="159">
        <v>65</v>
      </c>
      <c r="C70" s="160" t="str">
        <f>IFERROR(INDEX($Q$6:$Q$505,MATCH(65,$S$6:$S$505,0)),"")</f>
        <v>Dr. Öğr. Üyesi Murat ÇAĞAN</v>
      </c>
      <c r="D70" s="161">
        <f>IF(C70="","",COUNTIFS(Başvuru!$C:$C,C70,Başvuru!$A:$A,"&lt;&gt;"&amp;"",Başvuru!$F:$F,"&lt;&gt;"&amp;""))</f>
        <v>3</v>
      </c>
      <c r="E70" s="159" t="str">
        <f>IF(C70="","-",IF(D70&gt;0,TEXT(D70/(COUNTIFS(Başvuru!$A:$A,"&lt;&gt;",Başvuru!$F:$F,"&lt;&gt;")-1)*100,"0.0")&amp;"%","-"))</f>
        <v>00%</v>
      </c>
      <c r="F70" s="162">
        <f>IF(C70="","",COUNTIFS(Başvuru!$C:$C,C70,Başvuru!$G:$G,"Bireysel Araştırma",Başvuru!$A:$A,"&lt;&gt;"&amp;"",Başvuru!$F:$F,"&lt;&gt;"&amp;""))</f>
        <v>1</v>
      </c>
      <c r="G70" s="162">
        <f>IF(C70="","",COUNTIFS(Başvuru!$C:$C,C70,Başvuru!$G:$G,"Uzmanlık Tezi",Başvuru!$A:$A,"&lt;&gt;"&amp;"",Başvuru!$F:$F,"&lt;&gt;"&amp;""))</f>
        <v>2</v>
      </c>
      <c r="H70" s="162">
        <f>IF(C70="","",COUNTIFS(Başvuru!$C:$C,C70,Başvuru!$G:$G,"Doktora Tezi",Başvuru!$A:$A,"&lt;&gt;"&amp;"",Başvuru!$F:$F,"&lt;&gt;"&amp;""))</f>
        <v>0</v>
      </c>
      <c r="I70" s="162">
        <f>IF(C70="","",COUNTIFS(Başvuru!$C:$C,C70,Başvuru!$G:$G,"Yüksek Lisans Tezi",Başvuru!$A:$A,"&lt;&gt;"&amp;"",Başvuru!$F:$F,"&lt;&gt;"&amp;""))</f>
        <v>0</v>
      </c>
      <c r="J70" s="163">
        <f>IF(C70="","",COUNTIFS(Başvuru!$C:$C,C70,Başvuru!$L:$L,"ONAY",Başvuru!$A:$A,"&lt;&gt;"&amp;"",Başvuru!$F:$F,"&lt;&gt;"&amp;""))</f>
        <v>2</v>
      </c>
      <c r="K70" s="164">
        <f>IF(C70="","",COUNTIFS(Başvuru!$C:$C,C70,Başvuru!$L:$L,"DÜZELTME",Başvuru!$A:$A,"&lt;&gt;"&amp;"",Başvuru!$F:$F,"&lt;&gt;"&amp;""))</f>
        <v>1</v>
      </c>
      <c r="L70" s="165">
        <f>IF(C70="","",COUNTIFS(Başvuru!$C:$C,C70,Başvuru!$L:$L,"KAEK",Başvuru!$A:$A,"&lt;&gt;"&amp;"",Başvuru!$F:$F,"&lt;&gt;"&amp;""))</f>
        <v>0</v>
      </c>
      <c r="M70" s="166">
        <f>IF(C70="","",COUNTIFS(Başvuru!$C:$C,C70,Başvuru!$L:$L,"GÖRÜŞ",Başvuru!$A:$A,"&lt;&gt;"&amp;"",Başvuru!$F:$F,"&lt;&gt;"&amp;""))</f>
        <v>0</v>
      </c>
      <c r="N70" s="167">
        <f>IF(C70="","",COUNTIFS(Başvuru!$C:$C,C70,Başvuru!$L:$L,"RET",Başvuru!$A:$A,"&lt;&gt;"&amp;"",Başvuru!$F:$F,"&lt;&gt;"&amp;""))</f>
        <v>0</v>
      </c>
      <c r="O70" s="168">
        <f>IF(C70="","",COUNTIFS(Başvuru!$C:$C,C70,Başvuru!$L:$L,"KAPSAM DIŞI",Başvuru!$A:$A,"&lt;&gt;"&amp;"",Başvuru!$F:$F,"&lt;&gt;"&amp;""))</f>
        <v>0</v>
      </c>
      <c r="P70" s="169">
        <f>IF(C70="","",COUNTIFS(Başvuru!$C:$C,C70,Başvuru!$L:$L,"GERİ ÇEKİLDİ",Başvuru!$A:$A,"&lt;&gt;"&amp;"",Başvuru!$F:$F,"&lt;&gt;"&amp;""))</f>
        <v>0</v>
      </c>
      <c r="Q70" s="170" t="str">
        <f>IFERROR(INDEX(Başvuru!$C$2:$C$1851,MATCH(65,Başvuru!$AB$2:$AB$1851,0)),"")</f>
        <v>Prof. Dr. Özlem BOYBEYİ</v>
      </c>
      <c r="R70" s="171">
        <f>IF(Q70="","",COUNTIFS(Başvuru!$C:$C,Q70,Başvuru!$A:$A,"&lt;&gt;"&amp;"",Başvuru!$F:$F,"&lt;&gt;"&amp;""))</f>
        <v>1</v>
      </c>
      <c r="S70" s="171">
        <f>IF(R70="","",RANK(R70,$R$6:$R$505,0)+COUNTIF($R$6:R70,R70)-1)</f>
        <v>182</v>
      </c>
    </row>
    <row r="71" spans="2:19" ht="23.25" customHeight="1" x14ac:dyDescent="0.25">
      <c r="B71" s="159">
        <v>66</v>
      </c>
      <c r="C71" s="160" t="str">
        <f>IFERROR(INDEX($Q$6:$Q$505,MATCH(66,$S$6:$S$505,0)),"")</f>
        <v>Prof. Dr. Hülya DEMİR</v>
      </c>
      <c r="D71" s="161">
        <f>IF(C71="","",COUNTIFS(Başvuru!$C:$C,C71,Başvuru!$A:$A,"&lt;&gt;"&amp;"",Başvuru!$F:$F,"&lt;&gt;"&amp;""))</f>
        <v>3</v>
      </c>
      <c r="E71" s="159" t="str">
        <f>IF(C71="","-",IF(D71&gt;0,TEXT(D71/(COUNTIFS(Başvuru!$A:$A,"&lt;&gt;",Başvuru!$F:$F,"&lt;&gt;")-1)*100,"0.0")&amp;"%","-"))</f>
        <v>00%</v>
      </c>
      <c r="F71" s="162">
        <f>IF(C71="","",COUNTIFS(Başvuru!$C:$C,C71,Başvuru!$G:$G,"Bireysel Araştırma",Başvuru!$A:$A,"&lt;&gt;"&amp;"",Başvuru!$F:$F,"&lt;&gt;"&amp;""))</f>
        <v>3</v>
      </c>
      <c r="G71" s="162">
        <f>IF(C71="","",COUNTIFS(Başvuru!$C:$C,C71,Başvuru!$G:$G,"Uzmanlık Tezi",Başvuru!$A:$A,"&lt;&gt;"&amp;"",Başvuru!$F:$F,"&lt;&gt;"&amp;""))</f>
        <v>0</v>
      </c>
      <c r="H71" s="162">
        <f>IF(C71="","",COUNTIFS(Başvuru!$C:$C,C71,Başvuru!$G:$G,"Doktora Tezi",Başvuru!$A:$A,"&lt;&gt;"&amp;"",Başvuru!$F:$F,"&lt;&gt;"&amp;""))</f>
        <v>0</v>
      </c>
      <c r="I71" s="162">
        <f>IF(C71="","",COUNTIFS(Başvuru!$C:$C,C71,Başvuru!$G:$G,"Yüksek Lisans Tezi",Başvuru!$A:$A,"&lt;&gt;"&amp;"",Başvuru!$F:$F,"&lt;&gt;"&amp;""))</f>
        <v>0</v>
      </c>
      <c r="J71" s="163">
        <f>IF(C71="","",COUNTIFS(Başvuru!$C:$C,C71,Başvuru!$L:$L,"ONAY",Başvuru!$A:$A,"&lt;&gt;"&amp;"",Başvuru!$F:$F,"&lt;&gt;"&amp;""))</f>
        <v>1</v>
      </c>
      <c r="K71" s="164">
        <f>IF(C71="","",COUNTIFS(Başvuru!$C:$C,C71,Başvuru!$L:$L,"DÜZELTME",Başvuru!$A:$A,"&lt;&gt;"&amp;"",Başvuru!$F:$F,"&lt;&gt;"&amp;""))</f>
        <v>0</v>
      </c>
      <c r="L71" s="165">
        <f>IF(C71="","",COUNTIFS(Başvuru!$C:$C,C71,Başvuru!$L:$L,"KAEK",Başvuru!$A:$A,"&lt;&gt;"&amp;"",Başvuru!$F:$F,"&lt;&gt;"&amp;""))</f>
        <v>0</v>
      </c>
      <c r="M71" s="166">
        <f>IF(C71="","",COUNTIFS(Başvuru!$C:$C,C71,Başvuru!$L:$L,"GÖRÜŞ",Başvuru!$A:$A,"&lt;&gt;"&amp;"",Başvuru!$F:$F,"&lt;&gt;"&amp;""))</f>
        <v>0</v>
      </c>
      <c r="N71" s="167">
        <f>IF(C71="","",COUNTIFS(Başvuru!$C:$C,C71,Başvuru!$L:$L,"RET",Başvuru!$A:$A,"&lt;&gt;"&amp;"",Başvuru!$F:$F,"&lt;&gt;"&amp;""))</f>
        <v>0</v>
      </c>
      <c r="O71" s="168">
        <f>IF(C71="","",COUNTIFS(Başvuru!$C:$C,C71,Başvuru!$L:$L,"KAPSAM DIŞI",Başvuru!$A:$A,"&lt;&gt;"&amp;"",Başvuru!$F:$F,"&lt;&gt;"&amp;""))</f>
        <v>0</v>
      </c>
      <c r="P71" s="169">
        <f>IF(C71="","",COUNTIFS(Başvuru!$C:$C,C71,Başvuru!$L:$L,"GERİ ÇEKİLDİ",Başvuru!$A:$A,"&lt;&gt;"&amp;"",Başvuru!$F:$F,"&lt;&gt;"&amp;""))</f>
        <v>0</v>
      </c>
      <c r="Q71" s="170" t="str">
        <f>IFERROR(INDEX(Başvuru!$C$2:$C$1851,MATCH(66,Başvuru!$AB$2:$AB$1851,0)),"")</f>
        <v>Prof. Dr. Ülkü ÜNDEĞER BUCURGAT</v>
      </c>
      <c r="R71" s="171">
        <f>IF(Q71="","",COUNTIFS(Başvuru!$C:$C,Q71,Başvuru!$A:$A,"&lt;&gt;"&amp;"",Başvuru!$F:$F,"&lt;&gt;"&amp;""))</f>
        <v>1</v>
      </c>
      <c r="S71" s="171">
        <f>IF(R71="","",RANK(R71,$R$6:$R$505,0)+COUNTIF($R$6:R71,R71)-1)</f>
        <v>183</v>
      </c>
    </row>
    <row r="72" spans="2:19" ht="23.25" customHeight="1" x14ac:dyDescent="0.25">
      <c r="B72" s="159">
        <v>67</v>
      </c>
      <c r="C72" s="160" t="str">
        <f>IFERROR(INDEX($Q$6:$Q$505,MATCH(67,$S$6:$S$505,0)),"")</f>
        <v>Dr. Öğr. Üyesi Emre KARA</v>
      </c>
      <c r="D72" s="161">
        <f>IF(C72="","",COUNTIFS(Başvuru!$C:$C,C72,Başvuru!$A:$A,"&lt;&gt;"&amp;"",Başvuru!$F:$F,"&lt;&gt;"&amp;""))</f>
        <v>3</v>
      </c>
      <c r="E72" s="159" t="str">
        <f>IF(C72="","-",IF(D72&gt;0,TEXT(D72/(COUNTIFS(Başvuru!$A:$A,"&lt;&gt;",Başvuru!$F:$F,"&lt;&gt;")-1)*100,"0.0")&amp;"%","-"))</f>
        <v>00%</v>
      </c>
      <c r="F72" s="162">
        <f>IF(C72="","",COUNTIFS(Başvuru!$C:$C,C72,Başvuru!$G:$G,"Bireysel Araştırma",Başvuru!$A:$A,"&lt;&gt;"&amp;"",Başvuru!$F:$F,"&lt;&gt;"&amp;""))</f>
        <v>2</v>
      </c>
      <c r="G72" s="162">
        <f>IF(C72="","",COUNTIFS(Başvuru!$C:$C,C72,Başvuru!$G:$G,"Uzmanlık Tezi",Başvuru!$A:$A,"&lt;&gt;"&amp;"",Başvuru!$F:$F,"&lt;&gt;"&amp;""))</f>
        <v>0</v>
      </c>
      <c r="H72" s="162">
        <f>IF(C72="","",COUNTIFS(Başvuru!$C:$C,C72,Başvuru!$G:$G,"Doktora Tezi",Başvuru!$A:$A,"&lt;&gt;"&amp;"",Başvuru!$F:$F,"&lt;&gt;"&amp;""))</f>
        <v>0</v>
      </c>
      <c r="I72" s="162">
        <f>IF(C72="","",COUNTIFS(Başvuru!$C:$C,C72,Başvuru!$G:$G,"Yüksek Lisans Tezi",Başvuru!$A:$A,"&lt;&gt;"&amp;"",Başvuru!$F:$F,"&lt;&gt;"&amp;""))</f>
        <v>1</v>
      </c>
      <c r="J72" s="163">
        <f>IF(C72="","",COUNTIFS(Başvuru!$C:$C,C72,Başvuru!$L:$L,"ONAY",Başvuru!$A:$A,"&lt;&gt;"&amp;"",Başvuru!$F:$F,"&lt;&gt;"&amp;""))</f>
        <v>1</v>
      </c>
      <c r="K72" s="164">
        <f>IF(C72="","",COUNTIFS(Başvuru!$C:$C,C72,Başvuru!$L:$L,"DÜZELTME",Başvuru!$A:$A,"&lt;&gt;"&amp;"",Başvuru!$F:$F,"&lt;&gt;"&amp;""))</f>
        <v>2</v>
      </c>
      <c r="L72" s="165">
        <f>IF(C72="","",COUNTIFS(Başvuru!$C:$C,C72,Başvuru!$L:$L,"KAEK",Başvuru!$A:$A,"&lt;&gt;"&amp;"",Başvuru!$F:$F,"&lt;&gt;"&amp;""))</f>
        <v>0</v>
      </c>
      <c r="M72" s="166">
        <f>IF(C72="","",COUNTIFS(Başvuru!$C:$C,C72,Başvuru!$L:$L,"GÖRÜŞ",Başvuru!$A:$A,"&lt;&gt;"&amp;"",Başvuru!$F:$F,"&lt;&gt;"&amp;""))</f>
        <v>0</v>
      </c>
      <c r="N72" s="167">
        <f>IF(C72="","",COUNTIFS(Başvuru!$C:$C,C72,Başvuru!$L:$L,"RET",Başvuru!$A:$A,"&lt;&gt;"&amp;"",Başvuru!$F:$F,"&lt;&gt;"&amp;""))</f>
        <v>0</v>
      </c>
      <c r="O72" s="168">
        <f>IF(C72="","",COUNTIFS(Başvuru!$C:$C,C72,Başvuru!$L:$L,"KAPSAM DIŞI",Başvuru!$A:$A,"&lt;&gt;"&amp;"",Başvuru!$F:$F,"&lt;&gt;"&amp;""))</f>
        <v>0</v>
      </c>
      <c r="P72" s="169">
        <f>IF(C72="","",COUNTIFS(Başvuru!$C:$C,C72,Başvuru!$L:$L,"GERİ ÇEKİLDİ",Başvuru!$A:$A,"&lt;&gt;"&amp;"",Başvuru!$F:$F,"&lt;&gt;"&amp;""))</f>
        <v>0</v>
      </c>
      <c r="Q72" s="170" t="str">
        <f>IFERROR(INDEX(Başvuru!$C$2:$C$1851,MATCH(67,Başvuru!$AB$2:$AB$1851,0)),"")</f>
        <v>Doç. Dr. Erdal SAĞ</v>
      </c>
      <c r="R72" s="171">
        <f>IF(Q72="","",COUNTIFS(Başvuru!$C:$C,Q72,Başvuru!$A:$A,"&lt;&gt;"&amp;"",Başvuru!$F:$F,"&lt;&gt;"&amp;""))</f>
        <v>2</v>
      </c>
      <c r="S72" s="171">
        <f>IF(R72="","",RANK(R72,$R$6:$R$505,0)+COUNTIF($R$6:R72,R72)-1)</f>
        <v>92</v>
      </c>
    </row>
    <row r="73" spans="2:19" ht="23.25" customHeight="1" x14ac:dyDescent="0.25">
      <c r="B73" s="159">
        <v>68</v>
      </c>
      <c r="C73" s="160" t="str">
        <f>IFERROR(INDEX($Q$6:$Q$505,MATCH(68,$S$6:$S$505,0)),"")</f>
        <v>Prof. Dr. Nagehan EMİRALİOĞLU ORDUKAYA</v>
      </c>
      <c r="D73" s="161">
        <f>IF(C73="","",COUNTIFS(Başvuru!$C:$C,C73,Başvuru!$A:$A,"&lt;&gt;"&amp;"",Başvuru!$F:$F,"&lt;&gt;"&amp;""))</f>
        <v>3</v>
      </c>
      <c r="E73" s="159" t="str">
        <f>IF(C73="","-",IF(D73&gt;0,TEXT(D73/(COUNTIFS(Başvuru!$A:$A,"&lt;&gt;",Başvuru!$F:$F,"&lt;&gt;")-1)*100,"0.0")&amp;"%","-"))</f>
        <v>00%</v>
      </c>
      <c r="F73" s="162">
        <f>IF(C73="","",COUNTIFS(Başvuru!$C:$C,C73,Başvuru!$G:$G,"Bireysel Araştırma",Başvuru!$A:$A,"&lt;&gt;"&amp;"",Başvuru!$F:$F,"&lt;&gt;"&amp;""))</f>
        <v>2</v>
      </c>
      <c r="G73" s="162">
        <f>IF(C73="","",COUNTIFS(Başvuru!$C:$C,C73,Başvuru!$G:$G,"Uzmanlık Tezi",Başvuru!$A:$A,"&lt;&gt;"&amp;"",Başvuru!$F:$F,"&lt;&gt;"&amp;""))</f>
        <v>1</v>
      </c>
      <c r="H73" s="162">
        <f>IF(C73="","",COUNTIFS(Başvuru!$C:$C,C73,Başvuru!$G:$G,"Doktora Tezi",Başvuru!$A:$A,"&lt;&gt;"&amp;"",Başvuru!$F:$F,"&lt;&gt;"&amp;""))</f>
        <v>0</v>
      </c>
      <c r="I73" s="162">
        <f>IF(C73="","",COUNTIFS(Başvuru!$C:$C,C73,Başvuru!$G:$G,"Yüksek Lisans Tezi",Başvuru!$A:$A,"&lt;&gt;"&amp;"",Başvuru!$F:$F,"&lt;&gt;"&amp;""))</f>
        <v>0</v>
      </c>
      <c r="J73" s="163">
        <f>IF(C73="","",COUNTIFS(Başvuru!$C:$C,C73,Başvuru!$L:$L,"ONAY",Başvuru!$A:$A,"&lt;&gt;"&amp;"",Başvuru!$F:$F,"&lt;&gt;"&amp;""))</f>
        <v>1</v>
      </c>
      <c r="K73" s="164">
        <f>IF(C73="","",COUNTIFS(Başvuru!$C:$C,C73,Başvuru!$L:$L,"DÜZELTME",Başvuru!$A:$A,"&lt;&gt;"&amp;"",Başvuru!$F:$F,"&lt;&gt;"&amp;""))</f>
        <v>1</v>
      </c>
      <c r="L73" s="165">
        <f>IF(C73="","",COUNTIFS(Başvuru!$C:$C,C73,Başvuru!$L:$L,"KAEK",Başvuru!$A:$A,"&lt;&gt;"&amp;"",Başvuru!$F:$F,"&lt;&gt;"&amp;""))</f>
        <v>0</v>
      </c>
      <c r="M73" s="166">
        <f>IF(C73="","",COUNTIFS(Başvuru!$C:$C,C73,Başvuru!$L:$L,"GÖRÜŞ",Başvuru!$A:$A,"&lt;&gt;"&amp;"",Başvuru!$F:$F,"&lt;&gt;"&amp;""))</f>
        <v>0</v>
      </c>
      <c r="N73" s="167">
        <f>IF(C73="","",COUNTIFS(Başvuru!$C:$C,C73,Başvuru!$L:$L,"RET",Başvuru!$A:$A,"&lt;&gt;"&amp;"",Başvuru!$F:$F,"&lt;&gt;"&amp;""))</f>
        <v>0</v>
      </c>
      <c r="O73" s="168">
        <f>IF(C73="","",COUNTIFS(Başvuru!$C:$C,C73,Başvuru!$L:$L,"KAPSAM DIŞI",Başvuru!$A:$A,"&lt;&gt;"&amp;"",Başvuru!$F:$F,"&lt;&gt;"&amp;""))</f>
        <v>0</v>
      </c>
      <c r="P73" s="169">
        <f>IF(C73="","",COUNTIFS(Başvuru!$C:$C,C73,Başvuru!$L:$L,"GERİ ÇEKİLDİ",Başvuru!$A:$A,"&lt;&gt;"&amp;"",Başvuru!$F:$F,"&lt;&gt;"&amp;""))</f>
        <v>0</v>
      </c>
      <c r="Q73" s="170" t="str">
        <f>IFERROR(INDEX(Başvuru!$C$2:$C$1851,MATCH(68,Başvuru!$AB$2:$AB$1851,0)),"")</f>
        <v>Prof. Dr. Taner YILMAZ</v>
      </c>
      <c r="R73" s="171">
        <f>IF(Q73="","",COUNTIFS(Başvuru!$C:$C,Q73,Başvuru!$A:$A,"&lt;&gt;"&amp;"",Başvuru!$F:$F,"&lt;&gt;"&amp;""))</f>
        <v>2</v>
      </c>
      <c r="S73" s="171">
        <f>IF(R73="","",RANK(R73,$R$6:$R$505,0)+COUNTIF($R$6:R73,R73)-1)</f>
        <v>93</v>
      </c>
    </row>
    <row r="74" spans="2:19" ht="23.25" customHeight="1" x14ac:dyDescent="0.25">
      <c r="B74" s="159">
        <v>69</v>
      </c>
      <c r="C74" s="160" t="str">
        <f>IFERROR(INDEX($Q$6:$Q$505,MATCH(69,$S$6:$S$505,0)),"")</f>
        <v>Doç. Dr. Tekin AKSU</v>
      </c>
      <c r="D74" s="161">
        <f>IF(C74="","",COUNTIFS(Başvuru!$C:$C,C74,Başvuru!$A:$A,"&lt;&gt;"&amp;"",Başvuru!$F:$F,"&lt;&gt;"&amp;""))</f>
        <v>3</v>
      </c>
      <c r="E74" s="159" t="str">
        <f>IF(C74="","-",IF(D74&gt;0,TEXT(D74/(COUNTIFS(Başvuru!$A:$A,"&lt;&gt;",Başvuru!$F:$F,"&lt;&gt;")-1)*100,"0.0")&amp;"%","-"))</f>
        <v>00%</v>
      </c>
      <c r="F74" s="162">
        <f>IF(C74="","",COUNTIFS(Başvuru!$C:$C,C74,Başvuru!$G:$G,"Bireysel Araştırma",Başvuru!$A:$A,"&lt;&gt;"&amp;"",Başvuru!$F:$F,"&lt;&gt;"&amp;""))</f>
        <v>2</v>
      </c>
      <c r="G74" s="162">
        <f>IF(C74="","",COUNTIFS(Başvuru!$C:$C,C74,Başvuru!$G:$G,"Uzmanlık Tezi",Başvuru!$A:$A,"&lt;&gt;"&amp;"",Başvuru!$F:$F,"&lt;&gt;"&amp;""))</f>
        <v>1</v>
      </c>
      <c r="H74" s="162">
        <f>IF(C74="","",COUNTIFS(Başvuru!$C:$C,C74,Başvuru!$G:$G,"Doktora Tezi",Başvuru!$A:$A,"&lt;&gt;"&amp;"",Başvuru!$F:$F,"&lt;&gt;"&amp;""))</f>
        <v>0</v>
      </c>
      <c r="I74" s="162">
        <f>IF(C74="","",COUNTIFS(Başvuru!$C:$C,C74,Başvuru!$G:$G,"Yüksek Lisans Tezi",Başvuru!$A:$A,"&lt;&gt;"&amp;"",Başvuru!$F:$F,"&lt;&gt;"&amp;""))</f>
        <v>0</v>
      </c>
      <c r="J74" s="163">
        <f>IF(C74="","",COUNTIFS(Başvuru!$C:$C,C74,Başvuru!$L:$L,"ONAY",Başvuru!$A:$A,"&lt;&gt;"&amp;"",Başvuru!$F:$F,"&lt;&gt;"&amp;""))</f>
        <v>0</v>
      </c>
      <c r="K74" s="164">
        <f>IF(C74="","",COUNTIFS(Başvuru!$C:$C,C74,Başvuru!$L:$L,"DÜZELTME",Başvuru!$A:$A,"&lt;&gt;"&amp;"",Başvuru!$F:$F,"&lt;&gt;"&amp;""))</f>
        <v>2</v>
      </c>
      <c r="L74" s="165">
        <f>IF(C74="","",COUNTIFS(Başvuru!$C:$C,C74,Başvuru!$L:$L,"KAEK",Başvuru!$A:$A,"&lt;&gt;"&amp;"",Başvuru!$F:$F,"&lt;&gt;"&amp;""))</f>
        <v>0</v>
      </c>
      <c r="M74" s="166">
        <f>IF(C74="","",COUNTIFS(Başvuru!$C:$C,C74,Başvuru!$L:$L,"GÖRÜŞ",Başvuru!$A:$A,"&lt;&gt;"&amp;"",Başvuru!$F:$F,"&lt;&gt;"&amp;""))</f>
        <v>0</v>
      </c>
      <c r="N74" s="167">
        <f>IF(C74="","",COUNTIFS(Başvuru!$C:$C,C74,Başvuru!$L:$L,"RET",Başvuru!$A:$A,"&lt;&gt;"&amp;"",Başvuru!$F:$F,"&lt;&gt;"&amp;""))</f>
        <v>0</v>
      </c>
      <c r="O74" s="168">
        <f>IF(C74="","",COUNTIFS(Başvuru!$C:$C,C74,Başvuru!$L:$L,"KAPSAM DIŞI",Başvuru!$A:$A,"&lt;&gt;"&amp;"",Başvuru!$F:$F,"&lt;&gt;"&amp;""))</f>
        <v>0</v>
      </c>
      <c r="P74" s="169">
        <f>IF(C74="","",COUNTIFS(Başvuru!$C:$C,C74,Başvuru!$L:$L,"GERİ ÇEKİLDİ",Başvuru!$A:$A,"&lt;&gt;"&amp;"",Başvuru!$F:$F,"&lt;&gt;"&amp;""))</f>
        <v>0</v>
      </c>
      <c r="Q74" s="170" t="str">
        <f>IFERROR(INDEX(Başvuru!$C$2:$C$1851,MATCH(69,Başvuru!$AB$2:$AB$1851,0)),"")</f>
        <v>Prof. Dr. Neşe DERİCİOĞLU</v>
      </c>
      <c r="R74" s="171">
        <f>IF(Q74="","",COUNTIFS(Başvuru!$C:$C,Q74,Başvuru!$A:$A,"&lt;&gt;"&amp;"",Başvuru!$F:$F,"&lt;&gt;"&amp;""))</f>
        <v>8</v>
      </c>
      <c r="S74" s="171">
        <f>IF(R74="","",RANK(R74,$R$6:$R$505,0)+COUNTIF($R$6:R74,R74)-1)</f>
        <v>10</v>
      </c>
    </row>
    <row r="75" spans="2:19" ht="23.25" customHeight="1" x14ac:dyDescent="0.25">
      <c r="B75" s="159">
        <v>70</v>
      </c>
      <c r="C75" s="160" t="str">
        <f>IFERROR(INDEX($Q$6:$Q$505,MATCH(70,$S$6:$S$505,0)),"")</f>
        <v>Prof. Dr. Özgür UĞURLUOĞLU</v>
      </c>
      <c r="D75" s="161">
        <f>IF(C75="","",COUNTIFS(Başvuru!$C:$C,C75,Başvuru!$A:$A,"&lt;&gt;"&amp;"",Başvuru!$F:$F,"&lt;&gt;"&amp;""))</f>
        <v>3</v>
      </c>
      <c r="E75" s="159" t="str">
        <f>IF(C75="","-",IF(D75&gt;0,TEXT(D75/(COUNTIFS(Başvuru!$A:$A,"&lt;&gt;",Başvuru!$F:$F,"&lt;&gt;")-1)*100,"0.0")&amp;"%","-"))</f>
        <v>00%</v>
      </c>
      <c r="F75" s="162">
        <f>IF(C75="","",COUNTIFS(Başvuru!$C:$C,C75,Başvuru!$G:$G,"Bireysel Araştırma",Başvuru!$A:$A,"&lt;&gt;"&amp;"",Başvuru!$F:$F,"&lt;&gt;"&amp;""))</f>
        <v>0</v>
      </c>
      <c r="G75" s="162">
        <f>IF(C75="","",COUNTIFS(Başvuru!$C:$C,C75,Başvuru!$G:$G,"Uzmanlık Tezi",Başvuru!$A:$A,"&lt;&gt;"&amp;"",Başvuru!$F:$F,"&lt;&gt;"&amp;""))</f>
        <v>0</v>
      </c>
      <c r="H75" s="162">
        <f>IF(C75="","",COUNTIFS(Başvuru!$C:$C,C75,Başvuru!$G:$G,"Doktora Tezi",Başvuru!$A:$A,"&lt;&gt;"&amp;"",Başvuru!$F:$F,"&lt;&gt;"&amp;""))</f>
        <v>3</v>
      </c>
      <c r="I75" s="162">
        <f>IF(C75="","",COUNTIFS(Başvuru!$C:$C,C75,Başvuru!$G:$G,"Yüksek Lisans Tezi",Başvuru!$A:$A,"&lt;&gt;"&amp;"",Başvuru!$F:$F,"&lt;&gt;"&amp;""))</f>
        <v>0</v>
      </c>
      <c r="J75" s="163">
        <f>IF(C75="","",COUNTIFS(Başvuru!$C:$C,C75,Başvuru!$L:$L,"ONAY",Başvuru!$A:$A,"&lt;&gt;"&amp;"",Başvuru!$F:$F,"&lt;&gt;"&amp;""))</f>
        <v>1</v>
      </c>
      <c r="K75" s="164">
        <f>IF(C75="","",COUNTIFS(Başvuru!$C:$C,C75,Başvuru!$L:$L,"DÜZELTME",Başvuru!$A:$A,"&lt;&gt;"&amp;"",Başvuru!$F:$F,"&lt;&gt;"&amp;""))</f>
        <v>1</v>
      </c>
      <c r="L75" s="165">
        <f>IF(C75="","",COUNTIFS(Başvuru!$C:$C,C75,Başvuru!$L:$L,"KAEK",Başvuru!$A:$A,"&lt;&gt;"&amp;"",Başvuru!$F:$F,"&lt;&gt;"&amp;""))</f>
        <v>0</v>
      </c>
      <c r="M75" s="166">
        <f>IF(C75="","",COUNTIFS(Başvuru!$C:$C,C75,Başvuru!$L:$L,"GÖRÜŞ",Başvuru!$A:$A,"&lt;&gt;"&amp;"",Başvuru!$F:$F,"&lt;&gt;"&amp;""))</f>
        <v>1</v>
      </c>
      <c r="N75" s="167">
        <f>IF(C75="","",COUNTIFS(Başvuru!$C:$C,C75,Başvuru!$L:$L,"RET",Başvuru!$A:$A,"&lt;&gt;"&amp;"",Başvuru!$F:$F,"&lt;&gt;"&amp;""))</f>
        <v>0</v>
      </c>
      <c r="O75" s="168">
        <f>IF(C75="","",COUNTIFS(Başvuru!$C:$C,C75,Başvuru!$L:$L,"KAPSAM DIŞI",Başvuru!$A:$A,"&lt;&gt;"&amp;"",Başvuru!$F:$F,"&lt;&gt;"&amp;""))</f>
        <v>0</v>
      </c>
      <c r="P75" s="169">
        <f>IF(C75="","",COUNTIFS(Başvuru!$C:$C,C75,Başvuru!$L:$L,"GERİ ÇEKİLDİ",Başvuru!$A:$A,"&lt;&gt;"&amp;"",Başvuru!$F:$F,"&lt;&gt;"&amp;""))</f>
        <v>0</v>
      </c>
      <c r="Q75" s="170" t="str">
        <f>IFERROR(INDEX(Başvuru!$C$2:$C$1851,MATCH(70,Başvuru!$AB$2:$AB$1851,0)),"")</f>
        <v>Doç. Dr. Mert EŞME</v>
      </c>
      <c r="R75" s="171">
        <f>IF(Q75="","",COUNTIFS(Başvuru!$C:$C,Q75,Başvuru!$A:$A,"&lt;&gt;"&amp;"",Başvuru!$F:$F,"&lt;&gt;"&amp;""))</f>
        <v>11</v>
      </c>
      <c r="S75" s="171">
        <f>IF(R75="","",RANK(R75,$R$6:$R$505,0)+COUNTIF($R$6:R75,R75)-1)</f>
        <v>4</v>
      </c>
    </row>
    <row r="76" spans="2:19" ht="23.25" customHeight="1" x14ac:dyDescent="0.25">
      <c r="B76" s="159">
        <v>71</v>
      </c>
      <c r="C76" s="160" t="str">
        <f>IFERROR(INDEX($Q$6:$Q$505,MATCH(71,$S$6:$S$505,0)),"")</f>
        <v>Prof. Dr. Seda Banu AKINCI</v>
      </c>
      <c r="D76" s="161">
        <f>IF(C76="","",COUNTIFS(Başvuru!$C:$C,C76,Başvuru!$A:$A,"&lt;&gt;"&amp;"",Başvuru!$F:$F,"&lt;&gt;"&amp;""))</f>
        <v>3</v>
      </c>
      <c r="E76" s="159" t="str">
        <f>IF(C76="","-",IF(D76&gt;0,TEXT(D76/(COUNTIFS(Başvuru!$A:$A,"&lt;&gt;",Başvuru!$F:$F,"&lt;&gt;")-1)*100,"0.0")&amp;"%","-"))</f>
        <v>00%</v>
      </c>
      <c r="F76" s="162">
        <f>IF(C76="","",COUNTIFS(Başvuru!$C:$C,C76,Başvuru!$G:$G,"Bireysel Araştırma",Başvuru!$A:$A,"&lt;&gt;"&amp;"",Başvuru!$F:$F,"&lt;&gt;"&amp;""))</f>
        <v>3</v>
      </c>
      <c r="G76" s="162">
        <f>IF(C76="","",COUNTIFS(Başvuru!$C:$C,C76,Başvuru!$G:$G,"Uzmanlık Tezi",Başvuru!$A:$A,"&lt;&gt;"&amp;"",Başvuru!$F:$F,"&lt;&gt;"&amp;""))</f>
        <v>0</v>
      </c>
      <c r="H76" s="162">
        <f>IF(C76="","",COUNTIFS(Başvuru!$C:$C,C76,Başvuru!$G:$G,"Doktora Tezi",Başvuru!$A:$A,"&lt;&gt;"&amp;"",Başvuru!$F:$F,"&lt;&gt;"&amp;""))</f>
        <v>0</v>
      </c>
      <c r="I76" s="162">
        <f>IF(C76="","",COUNTIFS(Başvuru!$C:$C,C76,Başvuru!$G:$G,"Yüksek Lisans Tezi",Başvuru!$A:$A,"&lt;&gt;"&amp;"",Başvuru!$F:$F,"&lt;&gt;"&amp;""))</f>
        <v>0</v>
      </c>
      <c r="J76" s="163">
        <f>IF(C76="","",COUNTIFS(Başvuru!$C:$C,C76,Başvuru!$L:$L,"ONAY",Başvuru!$A:$A,"&lt;&gt;"&amp;"",Başvuru!$F:$F,"&lt;&gt;"&amp;""))</f>
        <v>2</v>
      </c>
      <c r="K76" s="164">
        <f>IF(C76="","",COUNTIFS(Başvuru!$C:$C,C76,Başvuru!$L:$L,"DÜZELTME",Başvuru!$A:$A,"&lt;&gt;"&amp;"",Başvuru!$F:$F,"&lt;&gt;"&amp;""))</f>
        <v>0</v>
      </c>
      <c r="L76" s="165">
        <f>IF(C76="","",COUNTIFS(Başvuru!$C:$C,C76,Başvuru!$L:$L,"KAEK",Başvuru!$A:$A,"&lt;&gt;"&amp;"",Başvuru!$F:$F,"&lt;&gt;"&amp;""))</f>
        <v>0</v>
      </c>
      <c r="M76" s="166">
        <f>IF(C76="","",COUNTIFS(Başvuru!$C:$C,C76,Başvuru!$L:$L,"GÖRÜŞ",Başvuru!$A:$A,"&lt;&gt;"&amp;"",Başvuru!$F:$F,"&lt;&gt;"&amp;""))</f>
        <v>0</v>
      </c>
      <c r="N76" s="167">
        <f>IF(C76="","",COUNTIFS(Başvuru!$C:$C,C76,Başvuru!$L:$L,"RET",Başvuru!$A:$A,"&lt;&gt;"&amp;"",Başvuru!$F:$F,"&lt;&gt;"&amp;""))</f>
        <v>0</v>
      </c>
      <c r="O76" s="168">
        <f>IF(C76="","",COUNTIFS(Başvuru!$C:$C,C76,Başvuru!$L:$L,"KAPSAM DIŞI",Başvuru!$A:$A,"&lt;&gt;"&amp;"",Başvuru!$F:$F,"&lt;&gt;"&amp;""))</f>
        <v>0</v>
      </c>
      <c r="P76" s="169">
        <f>IF(C76="","",COUNTIFS(Başvuru!$C:$C,C76,Başvuru!$L:$L,"GERİ ÇEKİLDİ",Başvuru!$A:$A,"&lt;&gt;"&amp;"",Başvuru!$F:$F,"&lt;&gt;"&amp;""))</f>
        <v>0</v>
      </c>
      <c r="Q76" s="170" t="str">
        <f>IFERROR(INDEX(Başvuru!$C$2:$C$1851,MATCH(71,Başvuru!$AB$2:$AB$1851,0)),"")</f>
        <v>Prof. Dr. Salih AKSU</v>
      </c>
      <c r="R76" s="171">
        <f>IF(Q76="","",COUNTIFS(Başvuru!$C:$C,Q76,Başvuru!$A:$A,"&lt;&gt;"&amp;"",Başvuru!$F:$F,"&lt;&gt;"&amp;""))</f>
        <v>2</v>
      </c>
      <c r="S76" s="171">
        <f>IF(R76="","",RANK(R76,$R$6:$R$505,0)+COUNTIF($R$6:R76,R76)-1)</f>
        <v>94</v>
      </c>
    </row>
    <row r="77" spans="2:19" ht="23.25" customHeight="1" x14ac:dyDescent="0.25">
      <c r="B77" s="159">
        <v>72</v>
      </c>
      <c r="C77" s="160" t="str">
        <f>IFERROR(INDEX($Q$6:$Q$505,MATCH(72,$S$6:$S$505,0)),"")</f>
        <v>Doç. Dr. Hayriye HIZARCIOĞLU GÜLŞEN</v>
      </c>
      <c r="D77" s="161">
        <f>IF(C77="","",COUNTIFS(Başvuru!$C:$C,C77,Başvuru!$A:$A,"&lt;&gt;"&amp;"",Başvuru!$F:$F,"&lt;&gt;"&amp;""))</f>
        <v>3</v>
      </c>
      <c r="E77" s="159" t="str">
        <f>IF(C77="","-",IF(D77&gt;0,TEXT(D77/(COUNTIFS(Başvuru!$A:$A,"&lt;&gt;",Başvuru!$F:$F,"&lt;&gt;")-1)*100,"0.0")&amp;"%","-"))</f>
        <v>00%</v>
      </c>
      <c r="F77" s="162">
        <f>IF(C77="","",COUNTIFS(Başvuru!$C:$C,C77,Başvuru!$G:$G,"Bireysel Araştırma",Başvuru!$A:$A,"&lt;&gt;"&amp;"",Başvuru!$F:$F,"&lt;&gt;"&amp;""))</f>
        <v>3</v>
      </c>
      <c r="G77" s="162">
        <f>IF(C77="","",COUNTIFS(Başvuru!$C:$C,C77,Başvuru!$G:$G,"Uzmanlık Tezi",Başvuru!$A:$A,"&lt;&gt;"&amp;"",Başvuru!$F:$F,"&lt;&gt;"&amp;""))</f>
        <v>0</v>
      </c>
      <c r="H77" s="162">
        <f>IF(C77="","",COUNTIFS(Başvuru!$C:$C,C77,Başvuru!$G:$G,"Doktora Tezi",Başvuru!$A:$A,"&lt;&gt;"&amp;"",Başvuru!$F:$F,"&lt;&gt;"&amp;""))</f>
        <v>0</v>
      </c>
      <c r="I77" s="162">
        <f>IF(C77="","",COUNTIFS(Başvuru!$C:$C,C77,Başvuru!$G:$G,"Yüksek Lisans Tezi",Başvuru!$A:$A,"&lt;&gt;"&amp;"",Başvuru!$F:$F,"&lt;&gt;"&amp;""))</f>
        <v>0</v>
      </c>
      <c r="J77" s="163">
        <f>IF(C77="","",COUNTIFS(Başvuru!$C:$C,C77,Başvuru!$L:$L,"ONAY",Başvuru!$A:$A,"&lt;&gt;"&amp;"",Başvuru!$F:$F,"&lt;&gt;"&amp;""))</f>
        <v>3</v>
      </c>
      <c r="K77" s="164">
        <f>IF(C77="","",COUNTIFS(Başvuru!$C:$C,C77,Başvuru!$L:$L,"DÜZELTME",Başvuru!$A:$A,"&lt;&gt;"&amp;"",Başvuru!$F:$F,"&lt;&gt;"&amp;""))</f>
        <v>0</v>
      </c>
      <c r="L77" s="165">
        <f>IF(C77="","",COUNTIFS(Başvuru!$C:$C,C77,Başvuru!$L:$L,"KAEK",Başvuru!$A:$A,"&lt;&gt;"&amp;"",Başvuru!$F:$F,"&lt;&gt;"&amp;""))</f>
        <v>0</v>
      </c>
      <c r="M77" s="166">
        <f>IF(C77="","",COUNTIFS(Başvuru!$C:$C,C77,Başvuru!$L:$L,"GÖRÜŞ",Başvuru!$A:$A,"&lt;&gt;"&amp;"",Başvuru!$F:$F,"&lt;&gt;"&amp;""))</f>
        <v>0</v>
      </c>
      <c r="N77" s="167">
        <f>IF(C77="","",COUNTIFS(Başvuru!$C:$C,C77,Başvuru!$L:$L,"RET",Başvuru!$A:$A,"&lt;&gt;"&amp;"",Başvuru!$F:$F,"&lt;&gt;"&amp;""))</f>
        <v>0</v>
      </c>
      <c r="O77" s="168">
        <f>IF(C77="","",COUNTIFS(Başvuru!$C:$C,C77,Başvuru!$L:$L,"KAPSAM DIŞI",Başvuru!$A:$A,"&lt;&gt;"&amp;"",Başvuru!$F:$F,"&lt;&gt;"&amp;""))</f>
        <v>0</v>
      </c>
      <c r="P77" s="169">
        <f>IF(C77="","",COUNTIFS(Başvuru!$C:$C,C77,Başvuru!$L:$L,"GERİ ÇEKİLDİ",Başvuru!$A:$A,"&lt;&gt;"&amp;"",Başvuru!$F:$F,"&lt;&gt;"&amp;""))</f>
        <v>0</v>
      </c>
      <c r="Q77" s="170" t="str">
        <f>IFERROR(INDEX(Başvuru!$C$2:$C$1851,MATCH(72,Başvuru!$AB$2:$AB$1851,0)),"")</f>
        <v>Prof. Dr. Güliz Nigar GÜNCÜ</v>
      </c>
      <c r="R77" s="171">
        <f>IF(Q77="","",COUNTIFS(Başvuru!$C:$C,Q77,Başvuru!$A:$A,"&lt;&gt;"&amp;"",Başvuru!$F:$F,"&lt;&gt;"&amp;""))</f>
        <v>1</v>
      </c>
      <c r="S77" s="171">
        <f>IF(R77="","",RANK(R77,$R$6:$R$505,0)+COUNTIF($R$6:R77,R77)-1)</f>
        <v>184</v>
      </c>
    </row>
    <row r="78" spans="2:19" ht="23.25" customHeight="1" x14ac:dyDescent="0.25">
      <c r="B78" s="159">
        <v>73</v>
      </c>
      <c r="C78" s="160" t="str">
        <f>IFERROR(INDEX($Q$6:$Q$505,MATCH(73,$S$6:$S$505,0)),"")</f>
        <v>Dr. Öğr. Üyesi Gizem ÜREL DEMİR</v>
      </c>
      <c r="D78" s="161">
        <f>IF(C78="","",COUNTIFS(Başvuru!$C:$C,C78,Başvuru!$A:$A,"&lt;&gt;"&amp;"",Başvuru!$F:$F,"&lt;&gt;"&amp;""))</f>
        <v>3</v>
      </c>
      <c r="E78" s="159" t="str">
        <f>IF(C78="","-",IF(D78&gt;0,TEXT(D78/(COUNTIFS(Başvuru!$A:$A,"&lt;&gt;",Başvuru!$F:$F,"&lt;&gt;")-1)*100,"0.0")&amp;"%","-"))</f>
        <v>00%</v>
      </c>
      <c r="F78" s="162">
        <f>IF(C78="","",COUNTIFS(Başvuru!$C:$C,C78,Başvuru!$G:$G,"Bireysel Araştırma",Başvuru!$A:$A,"&lt;&gt;"&amp;"",Başvuru!$F:$F,"&lt;&gt;"&amp;""))</f>
        <v>3</v>
      </c>
      <c r="G78" s="162">
        <f>IF(C78="","",COUNTIFS(Başvuru!$C:$C,C78,Başvuru!$G:$G,"Uzmanlık Tezi",Başvuru!$A:$A,"&lt;&gt;"&amp;"",Başvuru!$F:$F,"&lt;&gt;"&amp;""))</f>
        <v>0</v>
      </c>
      <c r="H78" s="162">
        <f>IF(C78="","",COUNTIFS(Başvuru!$C:$C,C78,Başvuru!$G:$G,"Doktora Tezi",Başvuru!$A:$A,"&lt;&gt;"&amp;"",Başvuru!$F:$F,"&lt;&gt;"&amp;""))</f>
        <v>0</v>
      </c>
      <c r="I78" s="162">
        <f>IF(C78="","",COUNTIFS(Başvuru!$C:$C,C78,Başvuru!$G:$G,"Yüksek Lisans Tezi",Başvuru!$A:$A,"&lt;&gt;"&amp;"",Başvuru!$F:$F,"&lt;&gt;"&amp;""))</f>
        <v>0</v>
      </c>
      <c r="J78" s="163">
        <f>IF(C78="","",COUNTIFS(Başvuru!$C:$C,C78,Başvuru!$L:$L,"ONAY",Başvuru!$A:$A,"&lt;&gt;"&amp;"",Başvuru!$F:$F,"&lt;&gt;"&amp;""))</f>
        <v>3</v>
      </c>
      <c r="K78" s="164">
        <f>IF(C78="","",COUNTIFS(Başvuru!$C:$C,C78,Başvuru!$L:$L,"DÜZELTME",Başvuru!$A:$A,"&lt;&gt;"&amp;"",Başvuru!$F:$F,"&lt;&gt;"&amp;""))</f>
        <v>0</v>
      </c>
      <c r="L78" s="165">
        <f>IF(C78="","",COUNTIFS(Başvuru!$C:$C,C78,Başvuru!$L:$L,"KAEK",Başvuru!$A:$A,"&lt;&gt;"&amp;"",Başvuru!$F:$F,"&lt;&gt;"&amp;""))</f>
        <v>0</v>
      </c>
      <c r="M78" s="166">
        <f>IF(C78="","",COUNTIFS(Başvuru!$C:$C,C78,Başvuru!$L:$L,"GÖRÜŞ",Başvuru!$A:$A,"&lt;&gt;"&amp;"",Başvuru!$F:$F,"&lt;&gt;"&amp;""))</f>
        <v>0</v>
      </c>
      <c r="N78" s="167">
        <f>IF(C78="","",COUNTIFS(Başvuru!$C:$C,C78,Başvuru!$L:$L,"RET",Başvuru!$A:$A,"&lt;&gt;"&amp;"",Başvuru!$F:$F,"&lt;&gt;"&amp;""))</f>
        <v>0</v>
      </c>
      <c r="O78" s="168">
        <f>IF(C78="","",COUNTIFS(Başvuru!$C:$C,C78,Başvuru!$L:$L,"KAPSAM DIŞI",Başvuru!$A:$A,"&lt;&gt;"&amp;"",Başvuru!$F:$F,"&lt;&gt;"&amp;""))</f>
        <v>0</v>
      </c>
      <c r="P78" s="169">
        <f>IF(C78="","",COUNTIFS(Başvuru!$C:$C,C78,Başvuru!$L:$L,"GERİ ÇEKİLDİ",Başvuru!$A:$A,"&lt;&gt;"&amp;"",Başvuru!$F:$F,"&lt;&gt;"&amp;""))</f>
        <v>0</v>
      </c>
      <c r="Q78" s="170" t="str">
        <f>IFERROR(INDEX(Başvuru!$C$2:$C$1851,MATCH(73,Başvuru!$AB$2:$AB$1851,0)),"")</f>
        <v>Doç. Dr. İrem KOÇ</v>
      </c>
      <c r="R78" s="171">
        <f>IF(Q78="","",COUNTIFS(Başvuru!$C:$C,Q78,Başvuru!$A:$A,"&lt;&gt;"&amp;"",Başvuru!$F:$F,"&lt;&gt;"&amp;""))</f>
        <v>5</v>
      </c>
      <c r="S78" s="171">
        <f>IF(R78="","",RANK(R78,$R$6:$R$505,0)+COUNTIF($R$6:R78,R78)-1)</f>
        <v>24</v>
      </c>
    </row>
    <row r="79" spans="2:19" ht="23.25" customHeight="1" x14ac:dyDescent="0.25">
      <c r="B79" s="159">
        <v>74</v>
      </c>
      <c r="C79" s="160" t="str">
        <f>IFERROR(INDEX($Q$6:$Q$505,MATCH(74,$S$6:$S$505,0)),"")</f>
        <v>Prof. Dr. Hakan GÖKER</v>
      </c>
      <c r="D79" s="161">
        <f>IF(C79="","",COUNTIFS(Başvuru!$C:$C,C79,Başvuru!$A:$A,"&lt;&gt;"&amp;"",Başvuru!$F:$F,"&lt;&gt;"&amp;""))</f>
        <v>3</v>
      </c>
      <c r="E79" s="159" t="str">
        <f>IF(C79="","-",IF(D79&gt;0,TEXT(D79/(COUNTIFS(Başvuru!$A:$A,"&lt;&gt;",Başvuru!$F:$F,"&lt;&gt;")-1)*100,"0.0")&amp;"%","-"))</f>
        <v>00%</v>
      </c>
      <c r="F79" s="162">
        <f>IF(C79="","",COUNTIFS(Başvuru!$C:$C,C79,Başvuru!$G:$G,"Bireysel Araştırma",Başvuru!$A:$A,"&lt;&gt;"&amp;"",Başvuru!$F:$F,"&lt;&gt;"&amp;""))</f>
        <v>3</v>
      </c>
      <c r="G79" s="162">
        <f>IF(C79="","",COUNTIFS(Başvuru!$C:$C,C79,Başvuru!$G:$G,"Uzmanlık Tezi",Başvuru!$A:$A,"&lt;&gt;"&amp;"",Başvuru!$F:$F,"&lt;&gt;"&amp;""))</f>
        <v>0</v>
      </c>
      <c r="H79" s="162">
        <f>IF(C79="","",COUNTIFS(Başvuru!$C:$C,C79,Başvuru!$G:$G,"Doktora Tezi",Başvuru!$A:$A,"&lt;&gt;"&amp;"",Başvuru!$F:$F,"&lt;&gt;"&amp;""))</f>
        <v>0</v>
      </c>
      <c r="I79" s="162">
        <f>IF(C79="","",COUNTIFS(Başvuru!$C:$C,C79,Başvuru!$G:$G,"Yüksek Lisans Tezi",Başvuru!$A:$A,"&lt;&gt;"&amp;"",Başvuru!$F:$F,"&lt;&gt;"&amp;""))</f>
        <v>0</v>
      </c>
      <c r="J79" s="163">
        <f>IF(C79="","",COUNTIFS(Başvuru!$C:$C,C79,Başvuru!$L:$L,"ONAY",Başvuru!$A:$A,"&lt;&gt;"&amp;"",Başvuru!$F:$F,"&lt;&gt;"&amp;""))</f>
        <v>1</v>
      </c>
      <c r="K79" s="164">
        <f>IF(C79="","",COUNTIFS(Başvuru!$C:$C,C79,Başvuru!$L:$L,"DÜZELTME",Başvuru!$A:$A,"&lt;&gt;"&amp;"",Başvuru!$F:$F,"&lt;&gt;"&amp;""))</f>
        <v>2</v>
      </c>
      <c r="L79" s="165">
        <f>IF(C79="","",COUNTIFS(Başvuru!$C:$C,C79,Başvuru!$L:$L,"KAEK",Başvuru!$A:$A,"&lt;&gt;"&amp;"",Başvuru!$F:$F,"&lt;&gt;"&amp;""))</f>
        <v>0</v>
      </c>
      <c r="M79" s="166">
        <f>IF(C79="","",COUNTIFS(Başvuru!$C:$C,C79,Başvuru!$L:$L,"GÖRÜŞ",Başvuru!$A:$A,"&lt;&gt;"&amp;"",Başvuru!$F:$F,"&lt;&gt;"&amp;""))</f>
        <v>0</v>
      </c>
      <c r="N79" s="167">
        <f>IF(C79="","",COUNTIFS(Başvuru!$C:$C,C79,Başvuru!$L:$L,"RET",Başvuru!$A:$A,"&lt;&gt;"&amp;"",Başvuru!$F:$F,"&lt;&gt;"&amp;""))</f>
        <v>0</v>
      </c>
      <c r="O79" s="168">
        <f>IF(C79="","",COUNTIFS(Başvuru!$C:$C,C79,Başvuru!$L:$L,"KAPSAM DIŞI",Başvuru!$A:$A,"&lt;&gt;"&amp;"",Başvuru!$F:$F,"&lt;&gt;"&amp;""))</f>
        <v>0</v>
      </c>
      <c r="P79" s="169">
        <f>IF(C79="","",COUNTIFS(Başvuru!$C:$C,C79,Başvuru!$L:$L,"GERİ ÇEKİLDİ",Başvuru!$A:$A,"&lt;&gt;"&amp;"",Başvuru!$F:$F,"&lt;&gt;"&amp;""))</f>
        <v>0</v>
      </c>
      <c r="Q79" s="170" t="str">
        <f>IFERROR(INDEX(Başvuru!$C$2:$C$1851,MATCH(74,Başvuru!$AB$2:$AB$1851,0)),"")</f>
        <v>Doç. Dr. Hacı Hasan YETER</v>
      </c>
      <c r="R79" s="171">
        <f>IF(Q79="","",COUNTIFS(Başvuru!$C:$C,Q79,Başvuru!$A:$A,"&lt;&gt;"&amp;"",Başvuru!$F:$F,"&lt;&gt;"&amp;""))</f>
        <v>3</v>
      </c>
      <c r="S79" s="171">
        <f>IF(R79="","",RANK(R79,$R$6:$R$505,0)+COUNTIF($R$6:R79,R79)-1)</f>
        <v>63</v>
      </c>
    </row>
    <row r="80" spans="2:19" ht="23.25" customHeight="1" x14ac:dyDescent="0.25">
      <c r="B80" s="159">
        <v>75</v>
      </c>
      <c r="C80" s="160" t="str">
        <f>IFERROR(INDEX($Q$6:$Q$505,MATCH(75,$S$6:$S$505,0)),"")</f>
        <v>Prof. Dr. Sinem AKGÜL</v>
      </c>
      <c r="D80" s="161">
        <f>IF(C80="","",COUNTIFS(Başvuru!$C:$C,C80,Başvuru!$A:$A,"&lt;&gt;"&amp;"",Başvuru!$F:$F,"&lt;&gt;"&amp;""))</f>
        <v>3</v>
      </c>
      <c r="E80" s="159" t="str">
        <f>IF(C80="","-",IF(D80&gt;0,TEXT(D80/(COUNTIFS(Başvuru!$A:$A,"&lt;&gt;",Başvuru!$F:$F,"&lt;&gt;")-1)*100,"0.0")&amp;"%","-"))</f>
        <v>00%</v>
      </c>
      <c r="F80" s="162">
        <f>IF(C80="","",COUNTIFS(Başvuru!$C:$C,C80,Başvuru!$G:$G,"Bireysel Araştırma",Başvuru!$A:$A,"&lt;&gt;"&amp;"",Başvuru!$F:$F,"&lt;&gt;"&amp;""))</f>
        <v>2</v>
      </c>
      <c r="G80" s="162">
        <f>IF(C80="","",COUNTIFS(Başvuru!$C:$C,C80,Başvuru!$G:$G,"Uzmanlık Tezi",Başvuru!$A:$A,"&lt;&gt;"&amp;"",Başvuru!$F:$F,"&lt;&gt;"&amp;""))</f>
        <v>1</v>
      </c>
      <c r="H80" s="162">
        <f>IF(C80="","",COUNTIFS(Başvuru!$C:$C,C80,Başvuru!$G:$G,"Doktora Tezi",Başvuru!$A:$A,"&lt;&gt;"&amp;"",Başvuru!$F:$F,"&lt;&gt;"&amp;""))</f>
        <v>0</v>
      </c>
      <c r="I80" s="162">
        <f>IF(C80="","",COUNTIFS(Başvuru!$C:$C,C80,Başvuru!$G:$G,"Yüksek Lisans Tezi",Başvuru!$A:$A,"&lt;&gt;"&amp;"",Başvuru!$F:$F,"&lt;&gt;"&amp;""))</f>
        <v>0</v>
      </c>
      <c r="J80" s="163">
        <f>IF(C80="","",COUNTIFS(Başvuru!$C:$C,C80,Başvuru!$L:$L,"ONAY",Başvuru!$A:$A,"&lt;&gt;"&amp;"",Başvuru!$F:$F,"&lt;&gt;"&amp;""))</f>
        <v>1</v>
      </c>
      <c r="K80" s="164">
        <f>IF(C80="","",COUNTIFS(Başvuru!$C:$C,C80,Başvuru!$L:$L,"DÜZELTME",Başvuru!$A:$A,"&lt;&gt;"&amp;"",Başvuru!$F:$F,"&lt;&gt;"&amp;""))</f>
        <v>1</v>
      </c>
      <c r="L80" s="165">
        <f>IF(C80="","",COUNTIFS(Başvuru!$C:$C,C80,Başvuru!$L:$L,"KAEK",Başvuru!$A:$A,"&lt;&gt;"&amp;"",Başvuru!$F:$F,"&lt;&gt;"&amp;""))</f>
        <v>1</v>
      </c>
      <c r="M80" s="166">
        <f>IF(C80="","",COUNTIFS(Başvuru!$C:$C,C80,Başvuru!$L:$L,"GÖRÜŞ",Başvuru!$A:$A,"&lt;&gt;"&amp;"",Başvuru!$F:$F,"&lt;&gt;"&amp;""))</f>
        <v>0</v>
      </c>
      <c r="N80" s="167">
        <f>IF(C80="","",COUNTIFS(Başvuru!$C:$C,C80,Başvuru!$L:$L,"RET",Başvuru!$A:$A,"&lt;&gt;"&amp;"",Başvuru!$F:$F,"&lt;&gt;"&amp;""))</f>
        <v>0</v>
      </c>
      <c r="O80" s="168">
        <f>IF(C80="","",COUNTIFS(Başvuru!$C:$C,C80,Başvuru!$L:$L,"KAPSAM DIŞI",Başvuru!$A:$A,"&lt;&gt;"&amp;"",Başvuru!$F:$F,"&lt;&gt;"&amp;""))</f>
        <v>0</v>
      </c>
      <c r="P80" s="169">
        <f>IF(C80="","",COUNTIFS(Başvuru!$C:$C,C80,Başvuru!$L:$L,"GERİ ÇEKİLDİ",Başvuru!$A:$A,"&lt;&gt;"&amp;"",Başvuru!$F:$F,"&lt;&gt;"&amp;""))</f>
        <v>0</v>
      </c>
      <c r="Q80" s="170" t="str">
        <f>IFERROR(INDEX(Başvuru!$C$2:$C$1851,MATCH(75,Başvuru!$AB$2:$AB$1851,0)),"")</f>
        <v>Doç. Dr. Kübra AYKAÇ</v>
      </c>
      <c r="R80" s="171">
        <f>IF(Q80="","",COUNTIFS(Başvuru!$C:$C,Q80,Başvuru!$A:$A,"&lt;&gt;"&amp;"",Başvuru!$F:$F,"&lt;&gt;"&amp;""))</f>
        <v>4</v>
      </c>
      <c r="S80" s="171">
        <f>IF(R80="","",RANK(R80,$R$6:$R$505,0)+COUNTIF($R$6:R80,R80)-1)</f>
        <v>39</v>
      </c>
    </row>
    <row r="81" spans="2:19" ht="23.25" customHeight="1" x14ac:dyDescent="0.25">
      <c r="B81" s="159">
        <v>76</v>
      </c>
      <c r="C81" s="160" t="str">
        <f>IFERROR(INDEX($Q$6:$Q$505,MATCH(76,$S$6:$S$505,0)),"")</f>
        <v>Prof. Dr. Filiz YALÇIN ÇAKIR</v>
      </c>
      <c r="D81" s="161">
        <f>IF(C81="","",COUNTIFS(Başvuru!$C:$C,C81,Başvuru!$A:$A,"&lt;&gt;"&amp;"",Başvuru!$F:$F,"&lt;&gt;"&amp;""))</f>
        <v>3</v>
      </c>
      <c r="E81" s="159" t="str">
        <f>IF(C81="","-",IF(D81&gt;0,TEXT(D81/(COUNTIFS(Başvuru!$A:$A,"&lt;&gt;",Başvuru!$F:$F,"&lt;&gt;")-1)*100,"0.0")&amp;"%","-"))</f>
        <v>00%</v>
      </c>
      <c r="F81" s="162">
        <f>IF(C81="","",COUNTIFS(Başvuru!$C:$C,C81,Başvuru!$G:$G,"Bireysel Araştırma",Başvuru!$A:$A,"&lt;&gt;"&amp;"",Başvuru!$F:$F,"&lt;&gt;"&amp;""))</f>
        <v>3</v>
      </c>
      <c r="G81" s="162">
        <f>IF(C81="","",COUNTIFS(Başvuru!$C:$C,C81,Başvuru!$G:$G,"Uzmanlık Tezi",Başvuru!$A:$A,"&lt;&gt;"&amp;"",Başvuru!$F:$F,"&lt;&gt;"&amp;""))</f>
        <v>0</v>
      </c>
      <c r="H81" s="162">
        <f>IF(C81="","",COUNTIFS(Başvuru!$C:$C,C81,Başvuru!$G:$G,"Doktora Tezi",Başvuru!$A:$A,"&lt;&gt;"&amp;"",Başvuru!$F:$F,"&lt;&gt;"&amp;""))</f>
        <v>0</v>
      </c>
      <c r="I81" s="162">
        <f>IF(C81="","",COUNTIFS(Başvuru!$C:$C,C81,Başvuru!$G:$G,"Yüksek Lisans Tezi",Başvuru!$A:$A,"&lt;&gt;"&amp;"",Başvuru!$F:$F,"&lt;&gt;"&amp;""))</f>
        <v>0</v>
      </c>
      <c r="J81" s="163">
        <f>IF(C81="","",COUNTIFS(Başvuru!$C:$C,C81,Başvuru!$L:$L,"ONAY",Başvuru!$A:$A,"&lt;&gt;"&amp;"",Başvuru!$F:$F,"&lt;&gt;"&amp;""))</f>
        <v>0</v>
      </c>
      <c r="K81" s="164">
        <f>IF(C81="","",COUNTIFS(Başvuru!$C:$C,C81,Başvuru!$L:$L,"DÜZELTME",Başvuru!$A:$A,"&lt;&gt;"&amp;"",Başvuru!$F:$F,"&lt;&gt;"&amp;""))</f>
        <v>1</v>
      </c>
      <c r="L81" s="165">
        <f>IF(C81="","",COUNTIFS(Başvuru!$C:$C,C81,Başvuru!$L:$L,"KAEK",Başvuru!$A:$A,"&lt;&gt;"&amp;"",Başvuru!$F:$F,"&lt;&gt;"&amp;""))</f>
        <v>0</v>
      </c>
      <c r="M81" s="166">
        <f>IF(C81="","",COUNTIFS(Başvuru!$C:$C,C81,Başvuru!$L:$L,"GÖRÜŞ",Başvuru!$A:$A,"&lt;&gt;"&amp;"",Başvuru!$F:$F,"&lt;&gt;"&amp;""))</f>
        <v>0</v>
      </c>
      <c r="N81" s="167">
        <f>IF(C81="","",COUNTIFS(Başvuru!$C:$C,C81,Başvuru!$L:$L,"RET",Başvuru!$A:$A,"&lt;&gt;"&amp;"",Başvuru!$F:$F,"&lt;&gt;"&amp;""))</f>
        <v>0</v>
      </c>
      <c r="O81" s="168">
        <f>IF(C81="","",COUNTIFS(Başvuru!$C:$C,C81,Başvuru!$L:$L,"KAPSAM DIŞI",Başvuru!$A:$A,"&lt;&gt;"&amp;"",Başvuru!$F:$F,"&lt;&gt;"&amp;""))</f>
        <v>0</v>
      </c>
      <c r="P81" s="169">
        <f>IF(C81="","",COUNTIFS(Başvuru!$C:$C,C81,Başvuru!$L:$L,"GERİ ÇEKİLDİ",Başvuru!$A:$A,"&lt;&gt;"&amp;"",Başvuru!$F:$F,"&lt;&gt;"&amp;""))</f>
        <v>0</v>
      </c>
      <c r="Q81" s="170" t="str">
        <f>IFERROR(INDEX(Başvuru!$C$2:$C$1851,MATCH(76,Başvuru!$AB$2:$AB$1851,0)),"")</f>
        <v>Doç. Dr. Emel ISIYEL</v>
      </c>
      <c r="R81" s="171">
        <f>IF(Q81="","",COUNTIFS(Başvuru!$C:$C,Q81,Başvuru!$A:$A,"&lt;&gt;"&amp;"",Başvuru!$F:$F,"&lt;&gt;"&amp;""))</f>
        <v>1</v>
      </c>
      <c r="S81" s="171">
        <f>IF(R81="","",RANK(R81,$R$6:$R$505,0)+COUNTIF($R$6:R81,R81)-1)</f>
        <v>185</v>
      </c>
    </row>
    <row r="82" spans="2:19" ht="23.25" customHeight="1" x14ac:dyDescent="0.25">
      <c r="B82" s="159">
        <v>77</v>
      </c>
      <c r="C82" s="160" t="str">
        <f>IFERROR(INDEX($Q$6:$Q$505,MATCH(77,$S$6:$S$505,0)),"")</f>
        <v>Prof. Dr. Sibel DOĞAN GÜNAYDIN</v>
      </c>
      <c r="D82" s="161">
        <f>IF(C82="","",COUNTIFS(Başvuru!$C:$C,C82,Başvuru!$A:$A,"&lt;&gt;"&amp;"",Başvuru!$F:$F,"&lt;&gt;"&amp;""))</f>
        <v>3</v>
      </c>
      <c r="E82" s="159" t="str">
        <f>IF(C82="","-",IF(D82&gt;0,TEXT(D82/(COUNTIFS(Başvuru!$A:$A,"&lt;&gt;",Başvuru!$F:$F,"&lt;&gt;")-1)*100,"0.0")&amp;"%","-"))</f>
        <v>00%</v>
      </c>
      <c r="F82" s="162">
        <f>IF(C82="","",COUNTIFS(Başvuru!$C:$C,C82,Başvuru!$G:$G,"Bireysel Araştırma",Başvuru!$A:$A,"&lt;&gt;"&amp;"",Başvuru!$F:$F,"&lt;&gt;"&amp;""))</f>
        <v>2</v>
      </c>
      <c r="G82" s="162">
        <f>IF(C82="","",COUNTIFS(Başvuru!$C:$C,C82,Başvuru!$G:$G,"Uzmanlık Tezi",Başvuru!$A:$A,"&lt;&gt;"&amp;"",Başvuru!$F:$F,"&lt;&gt;"&amp;""))</f>
        <v>1</v>
      </c>
      <c r="H82" s="162">
        <f>IF(C82="","",COUNTIFS(Başvuru!$C:$C,C82,Başvuru!$G:$G,"Doktora Tezi",Başvuru!$A:$A,"&lt;&gt;"&amp;"",Başvuru!$F:$F,"&lt;&gt;"&amp;""))</f>
        <v>0</v>
      </c>
      <c r="I82" s="162">
        <f>IF(C82="","",COUNTIFS(Başvuru!$C:$C,C82,Başvuru!$G:$G,"Yüksek Lisans Tezi",Başvuru!$A:$A,"&lt;&gt;"&amp;"",Başvuru!$F:$F,"&lt;&gt;"&amp;""))</f>
        <v>0</v>
      </c>
      <c r="J82" s="163">
        <f>IF(C82="","",COUNTIFS(Başvuru!$C:$C,C82,Başvuru!$L:$L,"ONAY",Başvuru!$A:$A,"&lt;&gt;"&amp;"",Başvuru!$F:$F,"&lt;&gt;"&amp;""))</f>
        <v>1</v>
      </c>
      <c r="K82" s="164">
        <f>IF(C82="","",COUNTIFS(Başvuru!$C:$C,C82,Başvuru!$L:$L,"DÜZELTME",Başvuru!$A:$A,"&lt;&gt;"&amp;"",Başvuru!$F:$F,"&lt;&gt;"&amp;""))</f>
        <v>2</v>
      </c>
      <c r="L82" s="165">
        <f>IF(C82="","",COUNTIFS(Başvuru!$C:$C,C82,Başvuru!$L:$L,"KAEK",Başvuru!$A:$A,"&lt;&gt;"&amp;"",Başvuru!$F:$F,"&lt;&gt;"&amp;""))</f>
        <v>0</v>
      </c>
      <c r="M82" s="166">
        <f>IF(C82="","",COUNTIFS(Başvuru!$C:$C,C82,Başvuru!$L:$L,"GÖRÜŞ",Başvuru!$A:$A,"&lt;&gt;"&amp;"",Başvuru!$F:$F,"&lt;&gt;"&amp;""))</f>
        <v>0</v>
      </c>
      <c r="N82" s="167">
        <f>IF(C82="","",COUNTIFS(Başvuru!$C:$C,C82,Başvuru!$L:$L,"RET",Başvuru!$A:$A,"&lt;&gt;"&amp;"",Başvuru!$F:$F,"&lt;&gt;"&amp;""))</f>
        <v>0</v>
      </c>
      <c r="O82" s="168">
        <f>IF(C82="","",COUNTIFS(Başvuru!$C:$C,C82,Başvuru!$L:$L,"KAPSAM DIŞI",Başvuru!$A:$A,"&lt;&gt;"&amp;"",Başvuru!$F:$F,"&lt;&gt;"&amp;""))</f>
        <v>0</v>
      </c>
      <c r="P82" s="169">
        <f>IF(C82="","",COUNTIFS(Başvuru!$C:$C,C82,Başvuru!$L:$L,"GERİ ÇEKİLDİ",Başvuru!$A:$A,"&lt;&gt;"&amp;"",Başvuru!$F:$F,"&lt;&gt;"&amp;""))</f>
        <v>0</v>
      </c>
      <c r="Q82" s="170" t="str">
        <f>IFERROR(INDEX(Başvuru!$C$2:$C$1851,MATCH(77,Başvuru!$AB$2:$AB$1851,0)),"")</f>
        <v>Prof. Dr. Ayşe Tomris ERBAŞ</v>
      </c>
      <c r="R82" s="171">
        <f>IF(Q82="","",COUNTIFS(Başvuru!$C:$C,Q82,Başvuru!$A:$A,"&lt;&gt;"&amp;"",Başvuru!$F:$F,"&lt;&gt;"&amp;""))</f>
        <v>3</v>
      </c>
      <c r="S82" s="171">
        <f>IF(R82="","",RANK(R82,$R$6:$R$505,0)+COUNTIF($R$6:R82,R82)-1)</f>
        <v>64</v>
      </c>
    </row>
    <row r="83" spans="2:19" ht="23.25" customHeight="1" x14ac:dyDescent="0.25">
      <c r="B83" s="159">
        <v>78</v>
      </c>
      <c r="C83" s="160" t="str">
        <f>IFERROR(INDEX($Q$6:$Q$505,MATCH(78,$S$6:$S$505,0)),"")</f>
        <v>Prof. Dr. Meryem Aslı TUNCER</v>
      </c>
      <c r="D83" s="161">
        <f>IF(C83="","",COUNTIFS(Başvuru!$C:$C,C83,Başvuru!$A:$A,"&lt;&gt;"&amp;"",Başvuru!$F:$F,"&lt;&gt;"&amp;""))</f>
        <v>3</v>
      </c>
      <c r="E83" s="159" t="str">
        <f>IF(C83="","-",IF(D83&gt;0,TEXT(D83/(COUNTIFS(Başvuru!$A:$A,"&lt;&gt;",Başvuru!$F:$F,"&lt;&gt;")-1)*100,"0.0")&amp;"%","-"))</f>
        <v>00%</v>
      </c>
      <c r="F83" s="162">
        <f>IF(C83="","",COUNTIFS(Başvuru!$C:$C,C83,Başvuru!$G:$G,"Bireysel Araştırma",Başvuru!$A:$A,"&lt;&gt;"&amp;"",Başvuru!$F:$F,"&lt;&gt;"&amp;""))</f>
        <v>1</v>
      </c>
      <c r="G83" s="162">
        <f>IF(C83="","",COUNTIFS(Başvuru!$C:$C,C83,Başvuru!$G:$G,"Uzmanlık Tezi",Başvuru!$A:$A,"&lt;&gt;"&amp;"",Başvuru!$F:$F,"&lt;&gt;"&amp;""))</f>
        <v>2</v>
      </c>
      <c r="H83" s="162">
        <f>IF(C83="","",COUNTIFS(Başvuru!$C:$C,C83,Başvuru!$G:$G,"Doktora Tezi",Başvuru!$A:$A,"&lt;&gt;"&amp;"",Başvuru!$F:$F,"&lt;&gt;"&amp;""))</f>
        <v>0</v>
      </c>
      <c r="I83" s="162">
        <f>IF(C83="","",COUNTIFS(Başvuru!$C:$C,C83,Başvuru!$G:$G,"Yüksek Lisans Tezi",Başvuru!$A:$A,"&lt;&gt;"&amp;"",Başvuru!$F:$F,"&lt;&gt;"&amp;""))</f>
        <v>0</v>
      </c>
      <c r="J83" s="163">
        <f>IF(C83="","",COUNTIFS(Başvuru!$C:$C,C83,Başvuru!$L:$L,"ONAY",Başvuru!$A:$A,"&lt;&gt;"&amp;"",Başvuru!$F:$F,"&lt;&gt;"&amp;""))</f>
        <v>2</v>
      </c>
      <c r="K83" s="164">
        <f>IF(C83="","",COUNTIFS(Başvuru!$C:$C,C83,Başvuru!$L:$L,"DÜZELTME",Başvuru!$A:$A,"&lt;&gt;"&amp;"",Başvuru!$F:$F,"&lt;&gt;"&amp;""))</f>
        <v>1</v>
      </c>
      <c r="L83" s="165">
        <f>IF(C83="","",COUNTIFS(Başvuru!$C:$C,C83,Başvuru!$L:$L,"KAEK",Başvuru!$A:$A,"&lt;&gt;"&amp;"",Başvuru!$F:$F,"&lt;&gt;"&amp;""))</f>
        <v>0</v>
      </c>
      <c r="M83" s="166">
        <f>IF(C83="","",COUNTIFS(Başvuru!$C:$C,C83,Başvuru!$L:$L,"GÖRÜŞ",Başvuru!$A:$A,"&lt;&gt;"&amp;"",Başvuru!$F:$F,"&lt;&gt;"&amp;""))</f>
        <v>0</v>
      </c>
      <c r="N83" s="167">
        <f>IF(C83="","",COUNTIFS(Başvuru!$C:$C,C83,Başvuru!$L:$L,"RET",Başvuru!$A:$A,"&lt;&gt;"&amp;"",Başvuru!$F:$F,"&lt;&gt;"&amp;""))</f>
        <v>0</v>
      </c>
      <c r="O83" s="168">
        <f>IF(C83="","",COUNTIFS(Başvuru!$C:$C,C83,Başvuru!$L:$L,"KAPSAM DIŞI",Başvuru!$A:$A,"&lt;&gt;"&amp;"",Başvuru!$F:$F,"&lt;&gt;"&amp;""))</f>
        <v>0</v>
      </c>
      <c r="P83" s="169">
        <f>IF(C83="","",COUNTIFS(Başvuru!$C:$C,C83,Başvuru!$L:$L,"GERİ ÇEKİLDİ",Başvuru!$A:$A,"&lt;&gt;"&amp;"",Başvuru!$F:$F,"&lt;&gt;"&amp;""))</f>
        <v>0</v>
      </c>
      <c r="Q83" s="170" t="str">
        <f>IFERROR(INDEX(Başvuru!$C$2:$C$1851,MATCH(78,Başvuru!$AB$2:$AB$1851,0)),"")</f>
        <v>Doç. Dr. Aslıhan AYKARA</v>
      </c>
      <c r="R83" s="171">
        <f>IF(Q83="","",COUNTIFS(Başvuru!$C:$C,Q83,Başvuru!$A:$A,"&lt;&gt;"&amp;"",Başvuru!$F:$F,"&lt;&gt;"&amp;""))</f>
        <v>2</v>
      </c>
      <c r="S83" s="171">
        <f>IF(R83="","",RANK(R83,$R$6:$R$505,0)+COUNTIF($R$6:R83,R83)-1)</f>
        <v>95</v>
      </c>
    </row>
    <row r="84" spans="2:19" ht="23.25" customHeight="1" x14ac:dyDescent="0.25">
      <c r="B84" s="159">
        <v>79</v>
      </c>
      <c r="C84" s="160" t="str">
        <f>IFERROR(INDEX($Q$6:$Q$505,MATCH(79,$S$6:$S$505,0)),"")</f>
        <v>Dr. Öğr. Üyesi Hayri Can ÖZDEN</v>
      </c>
      <c r="D84" s="161">
        <f>IF(C84="","",COUNTIFS(Başvuru!$C:$C,C84,Başvuru!$A:$A,"&lt;&gt;"&amp;"",Başvuru!$F:$F,"&lt;&gt;"&amp;""))</f>
        <v>3</v>
      </c>
      <c r="E84" s="159" t="str">
        <f>IF(C84="","-",IF(D84&gt;0,TEXT(D84/(COUNTIFS(Başvuru!$A:$A,"&lt;&gt;",Başvuru!$F:$F,"&lt;&gt;")-1)*100,"0.0")&amp;"%","-"))</f>
        <v>00%</v>
      </c>
      <c r="F84" s="162">
        <f>IF(C84="","",COUNTIFS(Başvuru!$C:$C,C84,Başvuru!$G:$G,"Bireysel Araştırma",Başvuru!$A:$A,"&lt;&gt;"&amp;"",Başvuru!$F:$F,"&lt;&gt;"&amp;""))</f>
        <v>3</v>
      </c>
      <c r="G84" s="162">
        <f>IF(C84="","",COUNTIFS(Başvuru!$C:$C,C84,Başvuru!$G:$G,"Uzmanlık Tezi",Başvuru!$A:$A,"&lt;&gt;"&amp;"",Başvuru!$F:$F,"&lt;&gt;"&amp;""))</f>
        <v>0</v>
      </c>
      <c r="H84" s="162">
        <f>IF(C84="","",COUNTIFS(Başvuru!$C:$C,C84,Başvuru!$G:$G,"Doktora Tezi",Başvuru!$A:$A,"&lt;&gt;"&amp;"",Başvuru!$F:$F,"&lt;&gt;"&amp;""))</f>
        <v>0</v>
      </c>
      <c r="I84" s="162">
        <f>IF(C84="","",COUNTIFS(Başvuru!$C:$C,C84,Başvuru!$G:$G,"Yüksek Lisans Tezi",Başvuru!$A:$A,"&lt;&gt;"&amp;"",Başvuru!$F:$F,"&lt;&gt;"&amp;""))</f>
        <v>0</v>
      </c>
      <c r="J84" s="163">
        <f>IF(C84="","",COUNTIFS(Başvuru!$C:$C,C84,Başvuru!$L:$L,"ONAY",Başvuru!$A:$A,"&lt;&gt;"&amp;"",Başvuru!$F:$F,"&lt;&gt;"&amp;""))</f>
        <v>0</v>
      </c>
      <c r="K84" s="164">
        <f>IF(C84="","",COUNTIFS(Başvuru!$C:$C,C84,Başvuru!$L:$L,"DÜZELTME",Başvuru!$A:$A,"&lt;&gt;"&amp;"",Başvuru!$F:$F,"&lt;&gt;"&amp;""))</f>
        <v>2</v>
      </c>
      <c r="L84" s="165">
        <f>IF(C84="","",COUNTIFS(Başvuru!$C:$C,C84,Başvuru!$L:$L,"KAEK",Başvuru!$A:$A,"&lt;&gt;"&amp;"",Başvuru!$F:$F,"&lt;&gt;"&amp;""))</f>
        <v>0</v>
      </c>
      <c r="M84" s="166">
        <f>IF(C84="","",COUNTIFS(Başvuru!$C:$C,C84,Başvuru!$L:$L,"GÖRÜŞ",Başvuru!$A:$A,"&lt;&gt;"&amp;"",Başvuru!$F:$F,"&lt;&gt;"&amp;""))</f>
        <v>0</v>
      </c>
      <c r="N84" s="167">
        <f>IF(C84="","",COUNTIFS(Başvuru!$C:$C,C84,Başvuru!$L:$L,"RET",Başvuru!$A:$A,"&lt;&gt;"&amp;"",Başvuru!$F:$F,"&lt;&gt;"&amp;""))</f>
        <v>0</v>
      </c>
      <c r="O84" s="168">
        <f>IF(C84="","",COUNTIFS(Başvuru!$C:$C,C84,Başvuru!$L:$L,"KAPSAM DIŞI",Başvuru!$A:$A,"&lt;&gt;"&amp;"",Başvuru!$F:$F,"&lt;&gt;"&amp;""))</f>
        <v>0</v>
      </c>
      <c r="P84" s="169">
        <f>IF(C84="","",COUNTIFS(Başvuru!$C:$C,C84,Başvuru!$L:$L,"GERİ ÇEKİLDİ",Başvuru!$A:$A,"&lt;&gt;"&amp;"",Başvuru!$F:$F,"&lt;&gt;"&amp;""))</f>
        <v>0</v>
      </c>
      <c r="Q84" s="170" t="str">
        <f>IFERROR(INDEX(Başvuru!$C$2:$C$1851,MATCH(79,Başvuru!$AB$2:$AB$1851,0)),"")</f>
        <v>Prof. Dr. Hakan Hıfzı TÜZ</v>
      </c>
      <c r="R84" s="171">
        <f>IF(Q84="","",COUNTIFS(Başvuru!$C:$C,Q84,Başvuru!$A:$A,"&lt;&gt;"&amp;"",Başvuru!$F:$F,"&lt;&gt;"&amp;""))</f>
        <v>4</v>
      </c>
      <c r="S84" s="171">
        <f>IF(R84="","",RANK(R84,$R$6:$R$505,0)+COUNTIF($R$6:R84,R84)-1)</f>
        <v>40</v>
      </c>
    </row>
    <row r="85" spans="2:19" ht="23.25" customHeight="1" x14ac:dyDescent="0.25">
      <c r="B85" s="159">
        <v>80</v>
      </c>
      <c r="C85" s="160" t="str">
        <f>IFERROR(INDEX($Q$6:$Q$505,MATCH(80,$S$6:$S$505,0)),"")</f>
        <v>Doç. Dr. Melis PEHLİVANTÜRK KIZILKAN</v>
      </c>
      <c r="D85" s="161">
        <f>IF(C85="","",COUNTIFS(Başvuru!$C:$C,C85,Başvuru!$A:$A,"&lt;&gt;"&amp;"",Başvuru!$F:$F,"&lt;&gt;"&amp;""))</f>
        <v>3</v>
      </c>
      <c r="E85" s="159" t="str">
        <f>IF(C85="","-",IF(D85&gt;0,TEXT(D85/(COUNTIFS(Başvuru!$A:$A,"&lt;&gt;",Başvuru!$F:$F,"&lt;&gt;")-1)*100,"0.0")&amp;"%","-"))</f>
        <v>00%</v>
      </c>
      <c r="F85" s="162">
        <f>IF(C85="","",COUNTIFS(Başvuru!$C:$C,C85,Başvuru!$G:$G,"Bireysel Araştırma",Başvuru!$A:$A,"&lt;&gt;"&amp;"",Başvuru!$F:$F,"&lt;&gt;"&amp;""))</f>
        <v>2</v>
      </c>
      <c r="G85" s="162">
        <f>IF(C85="","",COUNTIFS(Başvuru!$C:$C,C85,Başvuru!$G:$G,"Uzmanlık Tezi",Başvuru!$A:$A,"&lt;&gt;"&amp;"",Başvuru!$F:$F,"&lt;&gt;"&amp;""))</f>
        <v>0</v>
      </c>
      <c r="H85" s="162">
        <f>IF(C85="","",COUNTIFS(Başvuru!$C:$C,C85,Başvuru!$G:$G,"Doktora Tezi",Başvuru!$A:$A,"&lt;&gt;"&amp;"",Başvuru!$F:$F,"&lt;&gt;"&amp;""))</f>
        <v>1</v>
      </c>
      <c r="I85" s="162">
        <f>IF(C85="","",COUNTIFS(Başvuru!$C:$C,C85,Başvuru!$G:$G,"Yüksek Lisans Tezi",Başvuru!$A:$A,"&lt;&gt;"&amp;"",Başvuru!$F:$F,"&lt;&gt;"&amp;""))</f>
        <v>0</v>
      </c>
      <c r="J85" s="163">
        <f>IF(C85="","",COUNTIFS(Başvuru!$C:$C,C85,Başvuru!$L:$L,"ONAY",Başvuru!$A:$A,"&lt;&gt;"&amp;"",Başvuru!$F:$F,"&lt;&gt;"&amp;""))</f>
        <v>0</v>
      </c>
      <c r="K85" s="164">
        <f>IF(C85="","",COUNTIFS(Başvuru!$C:$C,C85,Başvuru!$L:$L,"DÜZELTME",Başvuru!$A:$A,"&lt;&gt;"&amp;"",Başvuru!$F:$F,"&lt;&gt;"&amp;""))</f>
        <v>2</v>
      </c>
      <c r="L85" s="165">
        <f>IF(C85="","",COUNTIFS(Başvuru!$C:$C,C85,Başvuru!$L:$L,"KAEK",Başvuru!$A:$A,"&lt;&gt;"&amp;"",Başvuru!$F:$F,"&lt;&gt;"&amp;""))</f>
        <v>0</v>
      </c>
      <c r="M85" s="166">
        <f>IF(C85="","",COUNTIFS(Başvuru!$C:$C,C85,Başvuru!$L:$L,"GÖRÜŞ",Başvuru!$A:$A,"&lt;&gt;"&amp;"",Başvuru!$F:$F,"&lt;&gt;"&amp;""))</f>
        <v>0</v>
      </c>
      <c r="N85" s="167">
        <f>IF(C85="","",COUNTIFS(Başvuru!$C:$C,C85,Başvuru!$L:$L,"RET",Başvuru!$A:$A,"&lt;&gt;"&amp;"",Başvuru!$F:$F,"&lt;&gt;"&amp;""))</f>
        <v>0</v>
      </c>
      <c r="O85" s="168">
        <f>IF(C85="","",COUNTIFS(Başvuru!$C:$C,C85,Başvuru!$L:$L,"KAPSAM DIŞI",Başvuru!$A:$A,"&lt;&gt;"&amp;"",Başvuru!$F:$F,"&lt;&gt;"&amp;""))</f>
        <v>0</v>
      </c>
      <c r="P85" s="169">
        <f>IF(C85="","",COUNTIFS(Başvuru!$C:$C,C85,Başvuru!$L:$L,"GERİ ÇEKİLDİ",Başvuru!$A:$A,"&lt;&gt;"&amp;"",Başvuru!$F:$F,"&lt;&gt;"&amp;""))</f>
        <v>0</v>
      </c>
      <c r="Q85" s="170" t="str">
        <f>IFERROR(INDEX(Başvuru!$C$2:$C$1851,MATCH(80,Başvuru!$AB$2:$AB$1851,0)),"")</f>
        <v>Dr. Öğr. Üyesi Burkay UTKU</v>
      </c>
      <c r="R85" s="171">
        <f>IF(Q85="","",COUNTIFS(Başvuru!$C:$C,Q85,Başvuru!$A:$A,"&lt;&gt;"&amp;"",Başvuru!$F:$F,"&lt;&gt;"&amp;""))</f>
        <v>1</v>
      </c>
      <c r="S85" s="171">
        <f>IF(R85="","",RANK(R85,$R$6:$R$505,0)+COUNTIF($R$6:R85,R85)-1)</f>
        <v>186</v>
      </c>
    </row>
    <row r="86" spans="2:19" ht="23.25" customHeight="1" x14ac:dyDescent="0.25">
      <c r="B86" s="159">
        <v>81</v>
      </c>
      <c r="C86" s="160" t="str">
        <f>IFERROR(INDEX($Q$6:$Q$505,MATCH(81,$S$6:$S$505,0)),"")</f>
        <v>Doç. Dr. Melike OCAK</v>
      </c>
      <c r="D86" s="161">
        <f>IF(C86="","",COUNTIFS(Başvuru!$C:$C,C86,Başvuru!$A:$A,"&lt;&gt;"&amp;"",Başvuru!$F:$F,"&lt;&gt;"&amp;""))</f>
        <v>3</v>
      </c>
      <c r="E86" s="159" t="str">
        <f>IF(C86="","-",IF(D86&gt;0,TEXT(D86/(COUNTIFS(Başvuru!$A:$A,"&lt;&gt;",Başvuru!$F:$F,"&lt;&gt;")-1)*100,"0.0")&amp;"%","-"))</f>
        <v>00%</v>
      </c>
      <c r="F86" s="162">
        <f>IF(C86="","",COUNTIFS(Başvuru!$C:$C,C86,Başvuru!$G:$G,"Bireysel Araştırma",Başvuru!$A:$A,"&lt;&gt;"&amp;"",Başvuru!$F:$F,"&lt;&gt;"&amp;""))</f>
        <v>3</v>
      </c>
      <c r="G86" s="162">
        <f>IF(C86="","",COUNTIFS(Başvuru!$C:$C,C86,Başvuru!$G:$G,"Uzmanlık Tezi",Başvuru!$A:$A,"&lt;&gt;"&amp;"",Başvuru!$F:$F,"&lt;&gt;"&amp;""))</f>
        <v>0</v>
      </c>
      <c r="H86" s="162">
        <f>IF(C86="","",COUNTIFS(Başvuru!$C:$C,C86,Başvuru!$G:$G,"Doktora Tezi",Başvuru!$A:$A,"&lt;&gt;"&amp;"",Başvuru!$F:$F,"&lt;&gt;"&amp;""))</f>
        <v>0</v>
      </c>
      <c r="I86" s="162">
        <f>IF(C86="","",COUNTIFS(Başvuru!$C:$C,C86,Başvuru!$G:$G,"Yüksek Lisans Tezi",Başvuru!$A:$A,"&lt;&gt;"&amp;"",Başvuru!$F:$F,"&lt;&gt;"&amp;""))</f>
        <v>0</v>
      </c>
      <c r="J86" s="163">
        <f>IF(C86="","",COUNTIFS(Başvuru!$C:$C,C86,Başvuru!$L:$L,"ONAY",Başvuru!$A:$A,"&lt;&gt;"&amp;"",Başvuru!$F:$F,"&lt;&gt;"&amp;""))</f>
        <v>2</v>
      </c>
      <c r="K86" s="164">
        <f>IF(C86="","",COUNTIFS(Başvuru!$C:$C,C86,Başvuru!$L:$L,"DÜZELTME",Başvuru!$A:$A,"&lt;&gt;"&amp;"",Başvuru!$F:$F,"&lt;&gt;"&amp;""))</f>
        <v>1</v>
      </c>
      <c r="L86" s="165">
        <f>IF(C86="","",COUNTIFS(Başvuru!$C:$C,C86,Başvuru!$L:$L,"KAEK",Başvuru!$A:$A,"&lt;&gt;"&amp;"",Başvuru!$F:$F,"&lt;&gt;"&amp;""))</f>
        <v>0</v>
      </c>
      <c r="M86" s="166">
        <f>IF(C86="","",COUNTIFS(Başvuru!$C:$C,C86,Başvuru!$L:$L,"GÖRÜŞ",Başvuru!$A:$A,"&lt;&gt;"&amp;"",Başvuru!$F:$F,"&lt;&gt;"&amp;""))</f>
        <v>0</v>
      </c>
      <c r="N86" s="167">
        <f>IF(C86="","",COUNTIFS(Başvuru!$C:$C,C86,Başvuru!$L:$L,"RET",Başvuru!$A:$A,"&lt;&gt;"&amp;"",Başvuru!$F:$F,"&lt;&gt;"&amp;""))</f>
        <v>0</v>
      </c>
      <c r="O86" s="168">
        <f>IF(C86="","",COUNTIFS(Başvuru!$C:$C,C86,Başvuru!$L:$L,"KAPSAM DIŞI",Başvuru!$A:$A,"&lt;&gt;"&amp;"",Başvuru!$F:$F,"&lt;&gt;"&amp;""))</f>
        <v>0</v>
      </c>
      <c r="P86" s="169">
        <f>IF(C86="","",COUNTIFS(Başvuru!$C:$C,C86,Başvuru!$L:$L,"GERİ ÇEKİLDİ",Başvuru!$A:$A,"&lt;&gt;"&amp;"",Başvuru!$F:$F,"&lt;&gt;"&amp;""))</f>
        <v>0</v>
      </c>
      <c r="Q86" s="170" t="str">
        <f>IFERROR(INDEX(Başvuru!$C$2:$C$1851,MATCH(81,Başvuru!$AB$2:$AB$1851,0)),"")</f>
        <v>Doç. Dr. Burcu ERSÖZ ALAN</v>
      </c>
      <c r="R86" s="171">
        <f>IF(Q86="","",COUNTIFS(Başvuru!$C:$C,Q86,Başvuru!$A:$A,"&lt;&gt;"&amp;"",Başvuru!$F:$F,"&lt;&gt;"&amp;""))</f>
        <v>2</v>
      </c>
      <c r="S86" s="171">
        <f>IF(R86="","",RANK(R86,$R$6:$R$505,0)+COUNTIF($R$6:R86,R86)-1)</f>
        <v>96</v>
      </c>
    </row>
    <row r="87" spans="2:19" ht="23.25" customHeight="1" x14ac:dyDescent="0.25">
      <c r="B87" s="159">
        <v>82</v>
      </c>
      <c r="C87" s="160" t="str">
        <f>IFERROR(INDEX($Q$6:$Q$505,MATCH(82,$S$6:$S$505,0)),"")</f>
        <v>Prof. Dr. Selin AYTAÇ EYÜPOĞLU</v>
      </c>
      <c r="D87" s="161">
        <f>IF(C87="","",COUNTIFS(Başvuru!$C:$C,C87,Başvuru!$A:$A,"&lt;&gt;"&amp;"",Başvuru!$F:$F,"&lt;&gt;"&amp;""))</f>
        <v>3</v>
      </c>
      <c r="E87" s="159" t="str">
        <f>IF(C87="","-",IF(D87&gt;0,TEXT(D87/(COUNTIFS(Başvuru!$A:$A,"&lt;&gt;",Başvuru!$F:$F,"&lt;&gt;")-1)*100,"0.0")&amp;"%","-"))</f>
        <v>00%</v>
      </c>
      <c r="F87" s="162">
        <f>IF(C87="","",COUNTIFS(Başvuru!$C:$C,C87,Başvuru!$G:$G,"Bireysel Araştırma",Başvuru!$A:$A,"&lt;&gt;"&amp;"",Başvuru!$F:$F,"&lt;&gt;"&amp;""))</f>
        <v>3</v>
      </c>
      <c r="G87" s="162">
        <f>IF(C87="","",COUNTIFS(Başvuru!$C:$C,C87,Başvuru!$G:$G,"Uzmanlık Tezi",Başvuru!$A:$A,"&lt;&gt;"&amp;"",Başvuru!$F:$F,"&lt;&gt;"&amp;""))</f>
        <v>0</v>
      </c>
      <c r="H87" s="162">
        <f>IF(C87="","",COUNTIFS(Başvuru!$C:$C,C87,Başvuru!$G:$G,"Doktora Tezi",Başvuru!$A:$A,"&lt;&gt;"&amp;"",Başvuru!$F:$F,"&lt;&gt;"&amp;""))</f>
        <v>0</v>
      </c>
      <c r="I87" s="162">
        <f>IF(C87="","",COUNTIFS(Başvuru!$C:$C,C87,Başvuru!$G:$G,"Yüksek Lisans Tezi",Başvuru!$A:$A,"&lt;&gt;"&amp;"",Başvuru!$F:$F,"&lt;&gt;"&amp;""))</f>
        <v>0</v>
      </c>
      <c r="J87" s="163">
        <f>IF(C87="","",COUNTIFS(Başvuru!$C:$C,C87,Başvuru!$L:$L,"ONAY",Başvuru!$A:$A,"&lt;&gt;"&amp;"",Başvuru!$F:$F,"&lt;&gt;"&amp;""))</f>
        <v>2</v>
      </c>
      <c r="K87" s="164">
        <f>IF(C87="","",COUNTIFS(Başvuru!$C:$C,C87,Başvuru!$L:$L,"DÜZELTME",Başvuru!$A:$A,"&lt;&gt;"&amp;"",Başvuru!$F:$F,"&lt;&gt;"&amp;""))</f>
        <v>1</v>
      </c>
      <c r="L87" s="165">
        <f>IF(C87="","",COUNTIFS(Başvuru!$C:$C,C87,Başvuru!$L:$L,"KAEK",Başvuru!$A:$A,"&lt;&gt;"&amp;"",Başvuru!$F:$F,"&lt;&gt;"&amp;""))</f>
        <v>0</v>
      </c>
      <c r="M87" s="166">
        <f>IF(C87="","",COUNTIFS(Başvuru!$C:$C,C87,Başvuru!$L:$L,"GÖRÜŞ",Başvuru!$A:$A,"&lt;&gt;"&amp;"",Başvuru!$F:$F,"&lt;&gt;"&amp;""))</f>
        <v>0</v>
      </c>
      <c r="N87" s="167">
        <f>IF(C87="","",COUNTIFS(Başvuru!$C:$C,C87,Başvuru!$L:$L,"RET",Başvuru!$A:$A,"&lt;&gt;"&amp;"",Başvuru!$F:$F,"&lt;&gt;"&amp;""))</f>
        <v>0</v>
      </c>
      <c r="O87" s="168">
        <f>IF(C87="","",COUNTIFS(Başvuru!$C:$C,C87,Başvuru!$L:$L,"KAPSAM DIŞI",Başvuru!$A:$A,"&lt;&gt;"&amp;"",Başvuru!$F:$F,"&lt;&gt;"&amp;""))</f>
        <v>0</v>
      </c>
      <c r="P87" s="169">
        <f>IF(C87="","",COUNTIFS(Başvuru!$C:$C,C87,Başvuru!$L:$L,"GERİ ÇEKİLDİ",Başvuru!$A:$A,"&lt;&gt;"&amp;"",Başvuru!$F:$F,"&lt;&gt;"&amp;""))</f>
        <v>0</v>
      </c>
      <c r="Q87" s="170" t="str">
        <f>IFERROR(INDEX(Başvuru!$C$2:$C$1851,MATCH(82,Başvuru!$AB$2:$AB$1851,0)),"")</f>
        <v>Prof. Dr. Selçuk DAĞDELEN</v>
      </c>
      <c r="R87" s="171">
        <f>IF(Q87="","",COUNTIFS(Başvuru!$C:$C,Q87,Başvuru!$A:$A,"&lt;&gt;"&amp;"",Başvuru!$F:$F,"&lt;&gt;"&amp;""))</f>
        <v>1</v>
      </c>
      <c r="S87" s="171">
        <f>IF(R87="","",RANK(R87,$R$6:$R$505,0)+COUNTIF($R$6:R87,R87)-1)</f>
        <v>187</v>
      </c>
    </row>
    <row r="88" spans="2:19" ht="23.25" customHeight="1" x14ac:dyDescent="0.25">
      <c r="B88" s="159">
        <v>83</v>
      </c>
      <c r="C88" s="160" t="str">
        <f>IFERROR(INDEX($Q$6:$Q$505,MATCH(83,$S$6:$S$505,0)),"")</f>
        <v>Prof. Dr. Bayram ŞAHİN</v>
      </c>
      <c r="D88" s="161">
        <f>IF(C88="","",COUNTIFS(Başvuru!$C:$C,C88,Başvuru!$A:$A,"&lt;&gt;"&amp;"",Başvuru!$F:$F,"&lt;&gt;"&amp;""))</f>
        <v>2</v>
      </c>
      <c r="E88" s="159" t="str">
        <f>IF(C88="","-",IF(D88&gt;0,TEXT(D88/(COUNTIFS(Başvuru!$A:$A,"&lt;&gt;",Başvuru!$F:$F,"&lt;&gt;")-1)*100,"0.0")&amp;"%","-"))</f>
        <v>00%</v>
      </c>
      <c r="F88" s="162">
        <f>IF(C88="","",COUNTIFS(Başvuru!$C:$C,C88,Başvuru!$G:$G,"Bireysel Araştırma",Başvuru!$A:$A,"&lt;&gt;"&amp;"",Başvuru!$F:$F,"&lt;&gt;"&amp;""))</f>
        <v>0</v>
      </c>
      <c r="G88" s="162">
        <f>IF(C88="","",COUNTIFS(Başvuru!$C:$C,C88,Başvuru!$G:$G,"Uzmanlık Tezi",Başvuru!$A:$A,"&lt;&gt;"&amp;"",Başvuru!$F:$F,"&lt;&gt;"&amp;""))</f>
        <v>0</v>
      </c>
      <c r="H88" s="162">
        <f>IF(C88="","",COUNTIFS(Başvuru!$C:$C,C88,Başvuru!$G:$G,"Doktora Tezi",Başvuru!$A:$A,"&lt;&gt;"&amp;"",Başvuru!$F:$F,"&lt;&gt;"&amp;""))</f>
        <v>1</v>
      </c>
      <c r="I88" s="162">
        <f>IF(C88="","",COUNTIFS(Başvuru!$C:$C,C88,Başvuru!$G:$G,"Yüksek Lisans Tezi",Başvuru!$A:$A,"&lt;&gt;"&amp;"",Başvuru!$F:$F,"&lt;&gt;"&amp;""))</f>
        <v>1</v>
      </c>
      <c r="J88" s="163">
        <f>IF(C88="","",COUNTIFS(Başvuru!$C:$C,C88,Başvuru!$L:$L,"ONAY",Başvuru!$A:$A,"&lt;&gt;"&amp;"",Başvuru!$F:$F,"&lt;&gt;"&amp;""))</f>
        <v>0</v>
      </c>
      <c r="K88" s="164">
        <f>IF(C88="","",COUNTIFS(Başvuru!$C:$C,C88,Başvuru!$L:$L,"DÜZELTME",Başvuru!$A:$A,"&lt;&gt;"&amp;"",Başvuru!$F:$F,"&lt;&gt;"&amp;""))</f>
        <v>1</v>
      </c>
      <c r="L88" s="165">
        <f>IF(C88="","",COUNTIFS(Başvuru!$C:$C,C88,Başvuru!$L:$L,"KAEK",Başvuru!$A:$A,"&lt;&gt;"&amp;"",Başvuru!$F:$F,"&lt;&gt;"&amp;""))</f>
        <v>0</v>
      </c>
      <c r="M88" s="166">
        <f>IF(C88="","",COUNTIFS(Başvuru!$C:$C,C88,Başvuru!$L:$L,"GÖRÜŞ",Başvuru!$A:$A,"&lt;&gt;"&amp;"",Başvuru!$F:$F,"&lt;&gt;"&amp;""))</f>
        <v>0</v>
      </c>
      <c r="N88" s="167">
        <f>IF(C88="","",COUNTIFS(Başvuru!$C:$C,C88,Başvuru!$L:$L,"RET",Başvuru!$A:$A,"&lt;&gt;"&amp;"",Başvuru!$F:$F,"&lt;&gt;"&amp;""))</f>
        <v>1</v>
      </c>
      <c r="O88" s="168">
        <f>IF(C88="","",COUNTIFS(Başvuru!$C:$C,C88,Başvuru!$L:$L,"KAPSAM DIŞI",Başvuru!$A:$A,"&lt;&gt;"&amp;"",Başvuru!$F:$F,"&lt;&gt;"&amp;""))</f>
        <v>0</v>
      </c>
      <c r="P88" s="169">
        <f>IF(C88="","",COUNTIFS(Başvuru!$C:$C,C88,Başvuru!$L:$L,"GERİ ÇEKİLDİ",Başvuru!$A:$A,"&lt;&gt;"&amp;"",Başvuru!$F:$F,"&lt;&gt;"&amp;""))</f>
        <v>0</v>
      </c>
      <c r="Q88" s="170" t="str">
        <f>IFERROR(INDEX(Başvuru!$C$2:$C$1851,MATCH(83,Başvuru!$AB$2:$AB$1851,0)),"")</f>
        <v>Öğr. Gör. Dr. Aytekin İDİKUT</v>
      </c>
      <c r="R88" s="171">
        <f>IF(Q88="","",COUNTIFS(Başvuru!$C:$C,Q88,Başvuru!$A:$A,"&lt;&gt;"&amp;"",Başvuru!$F:$F,"&lt;&gt;"&amp;""))</f>
        <v>2</v>
      </c>
      <c r="S88" s="171">
        <f>IF(R88="","",RANK(R88,$R$6:$R$505,0)+COUNTIF($R$6:R88,R88)-1)</f>
        <v>97</v>
      </c>
    </row>
    <row r="89" spans="2:19" ht="23.25" customHeight="1" x14ac:dyDescent="0.25">
      <c r="B89" s="159">
        <v>84</v>
      </c>
      <c r="C89" s="160" t="str">
        <f>IFERROR(INDEX($Q$6:$Q$505,MATCH(84,$S$6:$S$505,0)),"")</f>
        <v>Doç. Dr. Nursel ÇALIK BAŞARAN</v>
      </c>
      <c r="D89" s="161">
        <f>IF(C89="","",COUNTIFS(Başvuru!$C:$C,C89,Başvuru!$A:$A,"&lt;&gt;"&amp;"",Başvuru!$F:$F,"&lt;&gt;"&amp;""))</f>
        <v>2</v>
      </c>
      <c r="E89" s="159" t="str">
        <f>IF(C89="","-",IF(D89&gt;0,TEXT(D89/(COUNTIFS(Başvuru!$A:$A,"&lt;&gt;",Başvuru!$F:$F,"&lt;&gt;")-1)*100,"0.0")&amp;"%","-"))</f>
        <v>00%</v>
      </c>
      <c r="F89" s="162">
        <f>IF(C89="","",COUNTIFS(Başvuru!$C:$C,C89,Başvuru!$G:$G,"Bireysel Araştırma",Başvuru!$A:$A,"&lt;&gt;"&amp;"",Başvuru!$F:$F,"&lt;&gt;"&amp;""))</f>
        <v>1</v>
      </c>
      <c r="G89" s="162">
        <f>IF(C89="","",COUNTIFS(Başvuru!$C:$C,C89,Başvuru!$G:$G,"Uzmanlık Tezi",Başvuru!$A:$A,"&lt;&gt;"&amp;"",Başvuru!$F:$F,"&lt;&gt;"&amp;""))</f>
        <v>1</v>
      </c>
      <c r="H89" s="162">
        <f>IF(C89="","",COUNTIFS(Başvuru!$C:$C,C89,Başvuru!$G:$G,"Doktora Tezi",Başvuru!$A:$A,"&lt;&gt;"&amp;"",Başvuru!$F:$F,"&lt;&gt;"&amp;""))</f>
        <v>0</v>
      </c>
      <c r="I89" s="162">
        <f>IF(C89="","",COUNTIFS(Başvuru!$C:$C,C89,Başvuru!$G:$G,"Yüksek Lisans Tezi",Başvuru!$A:$A,"&lt;&gt;"&amp;"",Başvuru!$F:$F,"&lt;&gt;"&amp;""))</f>
        <v>0</v>
      </c>
      <c r="J89" s="163">
        <f>IF(C89="","",COUNTIFS(Başvuru!$C:$C,C89,Başvuru!$L:$L,"ONAY",Başvuru!$A:$A,"&lt;&gt;"&amp;"",Başvuru!$F:$F,"&lt;&gt;"&amp;""))</f>
        <v>2</v>
      </c>
      <c r="K89" s="164">
        <f>IF(C89="","",COUNTIFS(Başvuru!$C:$C,C89,Başvuru!$L:$L,"DÜZELTME",Başvuru!$A:$A,"&lt;&gt;"&amp;"",Başvuru!$F:$F,"&lt;&gt;"&amp;""))</f>
        <v>0</v>
      </c>
      <c r="L89" s="165">
        <f>IF(C89="","",COUNTIFS(Başvuru!$C:$C,C89,Başvuru!$L:$L,"KAEK",Başvuru!$A:$A,"&lt;&gt;"&amp;"",Başvuru!$F:$F,"&lt;&gt;"&amp;""))</f>
        <v>0</v>
      </c>
      <c r="M89" s="166">
        <f>IF(C89="","",COUNTIFS(Başvuru!$C:$C,C89,Başvuru!$L:$L,"GÖRÜŞ",Başvuru!$A:$A,"&lt;&gt;"&amp;"",Başvuru!$F:$F,"&lt;&gt;"&amp;""))</f>
        <v>0</v>
      </c>
      <c r="N89" s="167">
        <f>IF(C89="","",COUNTIFS(Başvuru!$C:$C,C89,Başvuru!$L:$L,"RET",Başvuru!$A:$A,"&lt;&gt;"&amp;"",Başvuru!$F:$F,"&lt;&gt;"&amp;""))</f>
        <v>0</v>
      </c>
      <c r="O89" s="168">
        <f>IF(C89="","",COUNTIFS(Başvuru!$C:$C,C89,Başvuru!$L:$L,"KAPSAM DIŞI",Başvuru!$A:$A,"&lt;&gt;"&amp;"",Başvuru!$F:$F,"&lt;&gt;"&amp;""))</f>
        <v>0</v>
      </c>
      <c r="P89" s="169">
        <f>IF(C89="","",COUNTIFS(Başvuru!$C:$C,C89,Başvuru!$L:$L,"GERİ ÇEKİLDİ",Başvuru!$A:$A,"&lt;&gt;"&amp;"",Başvuru!$F:$F,"&lt;&gt;"&amp;""))</f>
        <v>0</v>
      </c>
      <c r="Q89" s="170" t="str">
        <f>IFERROR(INDEX(Başvuru!$C$2:$C$1851,MATCH(84,Başvuru!$AB$2:$AB$1851,0)),"")</f>
        <v>Dr. Öğr. Üyesi Murat ÇAĞAN</v>
      </c>
      <c r="R89" s="171">
        <f>IF(Q89="","",COUNTIFS(Başvuru!$C:$C,Q89,Başvuru!$A:$A,"&lt;&gt;"&amp;"",Başvuru!$F:$F,"&lt;&gt;"&amp;""))</f>
        <v>3</v>
      </c>
      <c r="S89" s="171">
        <f>IF(R89="","",RANK(R89,$R$6:$R$505,0)+COUNTIF($R$6:R89,R89)-1)</f>
        <v>65</v>
      </c>
    </row>
    <row r="90" spans="2:19" ht="23.25" customHeight="1" x14ac:dyDescent="0.25">
      <c r="B90" s="159">
        <v>85</v>
      </c>
      <c r="C90" s="160" t="str">
        <f>IFERROR(INDEX($Q$6:$Q$505,MATCH(85,$S$6:$S$505,0)),"")</f>
        <v>Prof. Dr. Hikmet YORGUN</v>
      </c>
      <c r="D90" s="161">
        <f>IF(C90="","",COUNTIFS(Başvuru!$C:$C,C90,Başvuru!$A:$A,"&lt;&gt;"&amp;"",Başvuru!$F:$F,"&lt;&gt;"&amp;""))</f>
        <v>2</v>
      </c>
      <c r="E90" s="159" t="str">
        <f>IF(C90="","-",IF(D90&gt;0,TEXT(D90/(COUNTIFS(Başvuru!$A:$A,"&lt;&gt;",Başvuru!$F:$F,"&lt;&gt;")-1)*100,"0.0")&amp;"%","-"))</f>
        <v>00%</v>
      </c>
      <c r="F90" s="162">
        <f>IF(C90="","",COUNTIFS(Başvuru!$C:$C,C90,Başvuru!$G:$G,"Bireysel Araştırma",Başvuru!$A:$A,"&lt;&gt;"&amp;"",Başvuru!$F:$F,"&lt;&gt;"&amp;""))</f>
        <v>1</v>
      </c>
      <c r="G90" s="162">
        <f>IF(C90="","",COUNTIFS(Başvuru!$C:$C,C90,Başvuru!$G:$G,"Uzmanlık Tezi",Başvuru!$A:$A,"&lt;&gt;"&amp;"",Başvuru!$F:$F,"&lt;&gt;"&amp;""))</f>
        <v>1</v>
      </c>
      <c r="H90" s="162">
        <f>IF(C90="","",COUNTIFS(Başvuru!$C:$C,C90,Başvuru!$G:$G,"Doktora Tezi",Başvuru!$A:$A,"&lt;&gt;"&amp;"",Başvuru!$F:$F,"&lt;&gt;"&amp;""))</f>
        <v>0</v>
      </c>
      <c r="I90" s="162">
        <f>IF(C90="","",COUNTIFS(Başvuru!$C:$C,C90,Başvuru!$G:$G,"Yüksek Lisans Tezi",Başvuru!$A:$A,"&lt;&gt;"&amp;"",Başvuru!$F:$F,"&lt;&gt;"&amp;""))</f>
        <v>0</v>
      </c>
      <c r="J90" s="163">
        <f>IF(C90="","",COUNTIFS(Başvuru!$C:$C,C90,Başvuru!$L:$L,"ONAY",Başvuru!$A:$A,"&lt;&gt;"&amp;"",Başvuru!$F:$F,"&lt;&gt;"&amp;""))</f>
        <v>2</v>
      </c>
      <c r="K90" s="164">
        <f>IF(C90="","",COUNTIFS(Başvuru!$C:$C,C90,Başvuru!$L:$L,"DÜZELTME",Başvuru!$A:$A,"&lt;&gt;"&amp;"",Başvuru!$F:$F,"&lt;&gt;"&amp;""))</f>
        <v>0</v>
      </c>
      <c r="L90" s="165">
        <f>IF(C90="","",COUNTIFS(Başvuru!$C:$C,C90,Başvuru!$L:$L,"KAEK",Başvuru!$A:$A,"&lt;&gt;"&amp;"",Başvuru!$F:$F,"&lt;&gt;"&amp;""))</f>
        <v>0</v>
      </c>
      <c r="M90" s="166">
        <f>IF(C90="","",COUNTIFS(Başvuru!$C:$C,C90,Başvuru!$L:$L,"GÖRÜŞ",Başvuru!$A:$A,"&lt;&gt;"&amp;"",Başvuru!$F:$F,"&lt;&gt;"&amp;""))</f>
        <v>0</v>
      </c>
      <c r="N90" s="167">
        <f>IF(C90="","",COUNTIFS(Başvuru!$C:$C,C90,Başvuru!$L:$L,"RET",Başvuru!$A:$A,"&lt;&gt;"&amp;"",Başvuru!$F:$F,"&lt;&gt;"&amp;""))</f>
        <v>0</v>
      </c>
      <c r="O90" s="168">
        <f>IF(C90="","",COUNTIFS(Başvuru!$C:$C,C90,Başvuru!$L:$L,"KAPSAM DIŞI",Başvuru!$A:$A,"&lt;&gt;"&amp;"",Başvuru!$F:$F,"&lt;&gt;"&amp;""))</f>
        <v>0</v>
      </c>
      <c r="P90" s="169">
        <f>IF(C90="","",COUNTIFS(Başvuru!$C:$C,C90,Başvuru!$L:$L,"GERİ ÇEKİLDİ",Başvuru!$A:$A,"&lt;&gt;"&amp;"",Başvuru!$F:$F,"&lt;&gt;"&amp;""))</f>
        <v>0</v>
      </c>
      <c r="Q90" s="170" t="str">
        <f>IFERROR(INDEX(Başvuru!$C$2:$C$1851,MATCH(85,Başvuru!$AB$2:$AB$1851,0)),"")</f>
        <v>Doç. Dr. Utku AKGÖR</v>
      </c>
      <c r="R90" s="171">
        <f>IF(Q90="","",COUNTIFS(Başvuru!$C:$C,Q90,Başvuru!$A:$A,"&lt;&gt;"&amp;"",Başvuru!$F:$F,"&lt;&gt;"&amp;""))</f>
        <v>7</v>
      </c>
      <c r="S90" s="171">
        <f>IF(R90="","",RANK(R90,$R$6:$R$505,0)+COUNTIF($R$6:R90,R90)-1)</f>
        <v>13</v>
      </c>
    </row>
    <row r="91" spans="2:19" ht="23.25" customHeight="1" x14ac:dyDescent="0.25">
      <c r="B91" s="159">
        <v>86</v>
      </c>
      <c r="C91" s="160" t="str">
        <f>IFERROR(INDEX($Q$6:$Q$505,MATCH(86,$S$6:$S$505,0)),"")</f>
        <v>Öğr. Gör. Dr. Bahattin PASLI</v>
      </c>
      <c r="D91" s="161">
        <f>IF(C91="","",COUNTIFS(Başvuru!$C:$C,C91,Başvuru!$A:$A,"&lt;&gt;"&amp;"",Başvuru!$F:$F,"&lt;&gt;"&amp;""))</f>
        <v>2</v>
      </c>
      <c r="E91" s="159" t="str">
        <f>IF(C91="","-",IF(D91&gt;0,TEXT(D91/(COUNTIFS(Başvuru!$A:$A,"&lt;&gt;",Başvuru!$F:$F,"&lt;&gt;")-1)*100,"0.0")&amp;"%","-"))</f>
        <v>00%</v>
      </c>
      <c r="F91" s="162">
        <f>IF(C91="","",COUNTIFS(Başvuru!$C:$C,C91,Başvuru!$G:$G,"Bireysel Araştırma",Başvuru!$A:$A,"&lt;&gt;"&amp;"",Başvuru!$F:$F,"&lt;&gt;"&amp;""))</f>
        <v>2</v>
      </c>
      <c r="G91" s="162">
        <f>IF(C91="","",COUNTIFS(Başvuru!$C:$C,C91,Başvuru!$G:$G,"Uzmanlık Tezi",Başvuru!$A:$A,"&lt;&gt;"&amp;"",Başvuru!$F:$F,"&lt;&gt;"&amp;""))</f>
        <v>0</v>
      </c>
      <c r="H91" s="162">
        <f>IF(C91="","",COUNTIFS(Başvuru!$C:$C,C91,Başvuru!$G:$G,"Doktora Tezi",Başvuru!$A:$A,"&lt;&gt;"&amp;"",Başvuru!$F:$F,"&lt;&gt;"&amp;""))</f>
        <v>0</v>
      </c>
      <c r="I91" s="162">
        <f>IF(C91="","",COUNTIFS(Başvuru!$C:$C,C91,Başvuru!$G:$G,"Yüksek Lisans Tezi",Başvuru!$A:$A,"&lt;&gt;"&amp;"",Başvuru!$F:$F,"&lt;&gt;"&amp;""))</f>
        <v>0</v>
      </c>
      <c r="J91" s="163">
        <f>IF(C91="","",COUNTIFS(Başvuru!$C:$C,C91,Başvuru!$L:$L,"ONAY",Başvuru!$A:$A,"&lt;&gt;"&amp;"",Başvuru!$F:$F,"&lt;&gt;"&amp;""))</f>
        <v>2</v>
      </c>
      <c r="K91" s="164">
        <f>IF(C91="","",COUNTIFS(Başvuru!$C:$C,C91,Başvuru!$L:$L,"DÜZELTME",Başvuru!$A:$A,"&lt;&gt;"&amp;"",Başvuru!$F:$F,"&lt;&gt;"&amp;""))</f>
        <v>0</v>
      </c>
      <c r="L91" s="165">
        <f>IF(C91="","",COUNTIFS(Başvuru!$C:$C,C91,Başvuru!$L:$L,"KAEK",Başvuru!$A:$A,"&lt;&gt;"&amp;"",Başvuru!$F:$F,"&lt;&gt;"&amp;""))</f>
        <v>0</v>
      </c>
      <c r="M91" s="166">
        <f>IF(C91="","",COUNTIFS(Başvuru!$C:$C,C91,Başvuru!$L:$L,"GÖRÜŞ",Başvuru!$A:$A,"&lt;&gt;"&amp;"",Başvuru!$F:$F,"&lt;&gt;"&amp;""))</f>
        <v>0</v>
      </c>
      <c r="N91" s="167">
        <f>IF(C91="","",COUNTIFS(Başvuru!$C:$C,C91,Başvuru!$L:$L,"RET",Başvuru!$A:$A,"&lt;&gt;"&amp;"",Başvuru!$F:$F,"&lt;&gt;"&amp;""))</f>
        <v>0</v>
      </c>
      <c r="O91" s="168">
        <f>IF(C91="","",COUNTIFS(Başvuru!$C:$C,C91,Başvuru!$L:$L,"KAPSAM DIŞI",Başvuru!$A:$A,"&lt;&gt;"&amp;"",Başvuru!$F:$F,"&lt;&gt;"&amp;""))</f>
        <v>0</v>
      </c>
      <c r="P91" s="169">
        <f>IF(C91="","",COUNTIFS(Başvuru!$C:$C,C91,Başvuru!$L:$L,"GERİ ÇEKİLDİ",Başvuru!$A:$A,"&lt;&gt;"&amp;"",Başvuru!$F:$F,"&lt;&gt;"&amp;""))</f>
        <v>0</v>
      </c>
      <c r="Q91" s="170" t="str">
        <f>IFERROR(INDEX(Başvuru!$C$2:$C$1851,MATCH(86,Başvuru!$AB$2:$AB$1851,0)),"")</f>
        <v>Arş. Gör. Dt. Dilara KARA</v>
      </c>
      <c r="R91" s="171">
        <f>IF(Q91="","",COUNTIFS(Başvuru!$C:$C,Q91,Başvuru!$A:$A,"&lt;&gt;"&amp;"",Başvuru!$F:$F,"&lt;&gt;"&amp;""))</f>
        <v>1</v>
      </c>
      <c r="S91" s="171">
        <f>IF(R91="","",RANK(R91,$R$6:$R$505,0)+COUNTIF($R$6:R91,R91)-1)</f>
        <v>188</v>
      </c>
    </row>
    <row r="92" spans="2:19" ht="23.25" customHeight="1" x14ac:dyDescent="0.25">
      <c r="B92" s="159">
        <v>87</v>
      </c>
      <c r="C92" s="160" t="str">
        <f>IFERROR(INDEX($Q$6:$Q$505,MATCH(87,$S$6:$S$505,0)),"")</f>
        <v>Doç. Dr. Hande GÖRÜCÜ COŞKUNER</v>
      </c>
      <c r="D92" s="161">
        <f>IF(C92="","",COUNTIFS(Başvuru!$C:$C,C92,Başvuru!$A:$A,"&lt;&gt;"&amp;"",Başvuru!$F:$F,"&lt;&gt;"&amp;""))</f>
        <v>2</v>
      </c>
      <c r="E92" s="159" t="str">
        <f>IF(C92="","-",IF(D92&gt;0,TEXT(D92/(COUNTIFS(Başvuru!$A:$A,"&lt;&gt;",Başvuru!$F:$F,"&lt;&gt;")-1)*100,"0.0")&amp;"%","-"))</f>
        <v>00%</v>
      </c>
      <c r="F92" s="162">
        <f>IF(C92="","",COUNTIFS(Başvuru!$C:$C,C92,Başvuru!$G:$G,"Bireysel Araştırma",Başvuru!$A:$A,"&lt;&gt;"&amp;"",Başvuru!$F:$F,"&lt;&gt;"&amp;""))</f>
        <v>2</v>
      </c>
      <c r="G92" s="162">
        <f>IF(C92="","",COUNTIFS(Başvuru!$C:$C,C92,Başvuru!$G:$G,"Uzmanlık Tezi",Başvuru!$A:$A,"&lt;&gt;"&amp;"",Başvuru!$F:$F,"&lt;&gt;"&amp;""))</f>
        <v>0</v>
      </c>
      <c r="H92" s="162">
        <f>IF(C92="","",COUNTIFS(Başvuru!$C:$C,C92,Başvuru!$G:$G,"Doktora Tezi",Başvuru!$A:$A,"&lt;&gt;"&amp;"",Başvuru!$F:$F,"&lt;&gt;"&amp;""))</f>
        <v>0</v>
      </c>
      <c r="I92" s="162">
        <f>IF(C92="","",COUNTIFS(Başvuru!$C:$C,C92,Başvuru!$G:$G,"Yüksek Lisans Tezi",Başvuru!$A:$A,"&lt;&gt;"&amp;"",Başvuru!$F:$F,"&lt;&gt;"&amp;""))</f>
        <v>0</v>
      </c>
      <c r="J92" s="163">
        <f>IF(C92="","",COUNTIFS(Başvuru!$C:$C,C92,Başvuru!$L:$L,"ONAY",Başvuru!$A:$A,"&lt;&gt;"&amp;"",Başvuru!$F:$F,"&lt;&gt;"&amp;""))</f>
        <v>0</v>
      </c>
      <c r="K92" s="164">
        <f>IF(C92="","",COUNTIFS(Başvuru!$C:$C,C92,Başvuru!$L:$L,"DÜZELTME",Başvuru!$A:$A,"&lt;&gt;"&amp;"",Başvuru!$F:$F,"&lt;&gt;"&amp;""))</f>
        <v>0</v>
      </c>
      <c r="L92" s="165">
        <f>IF(C92="","",COUNTIFS(Başvuru!$C:$C,C92,Başvuru!$L:$L,"KAEK",Başvuru!$A:$A,"&lt;&gt;"&amp;"",Başvuru!$F:$F,"&lt;&gt;"&amp;""))</f>
        <v>1</v>
      </c>
      <c r="M92" s="166">
        <f>IF(C92="","",COUNTIFS(Başvuru!$C:$C,C92,Başvuru!$L:$L,"GÖRÜŞ",Başvuru!$A:$A,"&lt;&gt;"&amp;"",Başvuru!$F:$F,"&lt;&gt;"&amp;""))</f>
        <v>0</v>
      </c>
      <c r="N92" s="167">
        <f>IF(C92="","",COUNTIFS(Başvuru!$C:$C,C92,Başvuru!$L:$L,"RET",Başvuru!$A:$A,"&lt;&gt;"&amp;"",Başvuru!$F:$F,"&lt;&gt;"&amp;""))</f>
        <v>1</v>
      </c>
      <c r="O92" s="168">
        <f>IF(C92="","",COUNTIFS(Başvuru!$C:$C,C92,Başvuru!$L:$L,"KAPSAM DIŞI",Başvuru!$A:$A,"&lt;&gt;"&amp;"",Başvuru!$F:$F,"&lt;&gt;"&amp;""))</f>
        <v>0</v>
      </c>
      <c r="P92" s="169">
        <f>IF(C92="","",COUNTIFS(Başvuru!$C:$C,C92,Başvuru!$L:$L,"GERİ ÇEKİLDİ",Başvuru!$A:$A,"&lt;&gt;"&amp;"",Başvuru!$F:$F,"&lt;&gt;"&amp;""))</f>
        <v>0</v>
      </c>
      <c r="Q92" s="170" t="str">
        <f>IFERROR(INDEX(Başvuru!$C$2:$C$1851,MATCH(87,Başvuru!$AB$2:$AB$1851,0)),"")</f>
        <v>Arş. Gör. Dr. Sebiha Şükran GÜNDEŞLİ</v>
      </c>
      <c r="R92" s="171">
        <f>IF(Q92="","",COUNTIFS(Başvuru!$C:$C,Q92,Başvuru!$A:$A,"&lt;&gt;"&amp;"",Başvuru!$F:$F,"&lt;&gt;"&amp;""))</f>
        <v>2</v>
      </c>
      <c r="S92" s="171">
        <f>IF(R92="","",RANK(R92,$R$6:$R$505,0)+COUNTIF($R$6:R92,R92)-1)</f>
        <v>98</v>
      </c>
    </row>
    <row r="93" spans="2:19" ht="23.25" customHeight="1" x14ac:dyDescent="0.25">
      <c r="B93" s="159">
        <v>88</v>
      </c>
      <c r="C93" s="160" t="str">
        <f>IFERROR(INDEX($Q$6:$Q$505,MATCH(88,$S$6:$S$505,0)),"")</f>
        <v>Doç. Dr. Saliha ESENBOĞA</v>
      </c>
      <c r="D93" s="161">
        <f>IF(C93="","",COUNTIFS(Başvuru!$C:$C,C93,Başvuru!$A:$A,"&lt;&gt;"&amp;"",Başvuru!$F:$F,"&lt;&gt;"&amp;""))</f>
        <v>2</v>
      </c>
      <c r="E93" s="159" t="str">
        <f>IF(C93="","-",IF(D93&gt;0,TEXT(D93/(COUNTIFS(Başvuru!$A:$A,"&lt;&gt;",Başvuru!$F:$F,"&lt;&gt;")-1)*100,"0.0")&amp;"%","-"))</f>
        <v>00%</v>
      </c>
      <c r="F93" s="162">
        <f>IF(C93="","",COUNTIFS(Başvuru!$C:$C,C93,Başvuru!$G:$G,"Bireysel Araştırma",Başvuru!$A:$A,"&lt;&gt;"&amp;"",Başvuru!$F:$F,"&lt;&gt;"&amp;""))</f>
        <v>2</v>
      </c>
      <c r="G93" s="162">
        <f>IF(C93="","",COUNTIFS(Başvuru!$C:$C,C93,Başvuru!$G:$G,"Uzmanlık Tezi",Başvuru!$A:$A,"&lt;&gt;"&amp;"",Başvuru!$F:$F,"&lt;&gt;"&amp;""))</f>
        <v>0</v>
      </c>
      <c r="H93" s="162">
        <f>IF(C93="","",COUNTIFS(Başvuru!$C:$C,C93,Başvuru!$G:$G,"Doktora Tezi",Başvuru!$A:$A,"&lt;&gt;"&amp;"",Başvuru!$F:$F,"&lt;&gt;"&amp;""))</f>
        <v>0</v>
      </c>
      <c r="I93" s="162">
        <f>IF(C93="","",COUNTIFS(Başvuru!$C:$C,C93,Başvuru!$G:$G,"Yüksek Lisans Tezi",Başvuru!$A:$A,"&lt;&gt;"&amp;"",Başvuru!$F:$F,"&lt;&gt;"&amp;""))</f>
        <v>0</v>
      </c>
      <c r="J93" s="163">
        <f>IF(C93="","",COUNTIFS(Başvuru!$C:$C,C93,Başvuru!$L:$L,"ONAY",Başvuru!$A:$A,"&lt;&gt;"&amp;"",Başvuru!$F:$F,"&lt;&gt;"&amp;""))</f>
        <v>1</v>
      </c>
      <c r="K93" s="164">
        <f>IF(C93="","",COUNTIFS(Başvuru!$C:$C,C93,Başvuru!$L:$L,"DÜZELTME",Başvuru!$A:$A,"&lt;&gt;"&amp;"",Başvuru!$F:$F,"&lt;&gt;"&amp;""))</f>
        <v>1</v>
      </c>
      <c r="L93" s="165">
        <f>IF(C93="","",COUNTIFS(Başvuru!$C:$C,C93,Başvuru!$L:$L,"KAEK",Başvuru!$A:$A,"&lt;&gt;"&amp;"",Başvuru!$F:$F,"&lt;&gt;"&amp;""))</f>
        <v>0</v>
      </c>
      <c r="M93" s="166">
        <f>IF(C93="","",COUNTIFS(Başvuru!$C:$C,C93,Başvuru!$L:$L,"GÖRÜŞ",Başvuru!$A:$A,"&lt;&gt;"&amp;"",Başvuru!$F:$F,"&lt;&gt;"&amp;""))</f>
        <v>0</v>
      </c>
      <c r="N93" s="167">
        <f>IF(C93="","",COUNTIFS(Başvuru!$C:$C,C93,Başvuru!$L:$L,"RET",Başvuru!$A:$A,"&lt;&gt;"&amp;"",Başvuru!$F:$F,"&lt;&gt;"&amp;""))</f>
        <v>0</v>
      </c>
      <c r="O93" s="168">
        <f>IF(C93="","",COUNTIFS(Başvuru!$C:$C,C93,Başvuru!$L:$L,"KAPSAM DIŞI",Başvuru!$A:$A,"&lt;&gt;"&amp;"",Başvuru!$F:$F,"&lt;&gt;"&amp;""))</f>
        <v>0</v>
      </c>
      <c r="P93" s="169">
        <f>IF(C93="","",COUNTIFS(Başvuru!$C:$C,C93,Başvuru!$L:$L,"GERİ ÇEKİLDİ",Başvuru!$A:$A,"&lt;&gt;"&amp;"",Başvuru!$F:$F,"&lt;&gt;"&amp;""))</f>
        <v>0</v>
      </c>
      <c r="Q93" s="170" t="str">
        <f>IFERROR(INDEX(Başvuru!$C$2:$C$1851,MATCH(88,Başvuru!$AB$2:$AB$1851,0)),"")</f>
        <v>Prof. Dr. Çağrı Mesut TEMUÇİN</v>
      </c>
      <c r="R93" s="171">
        <f>IF(Q93="","",COUNTIFS(Başvuru!$C:$C,Q93,Başvuru!$A:$A,"&lt;&gt;"&amp;"",Başvuru!$F:$F,"&lt;&gt;"&amp;""))</f>
        <v>4</v>
      </c>
      <c r="S93" s="171">
        <f>IF(R93="","",RANK(R93,$R$6:$R$505,0)+COUNTIF($R$6:R93,R93)-1)</f>
        <v>41</v>
      </c>
    </row>
    <row r="94" spans="2:19" ht="23.25" customHeight="1" x14ac:dyDescent="0.25">
      <c r="B94" s="159">
        <v>89</v>
      </c>
      <c r="C94" s="160" t="str">
        <f>IFERROR(INDEX($Q$6:$Q$505,MATCH(89,$S$6:$S$505,0)),"")</f>
        <v>Doç. Dr. Neslihan AKDOĞAN</v>
      </c>
      <c r="D94" s="161">
        <f>IF(C94="","",COUNTIFS(Başvuru!$C:$C,C94,Başvuru!$A:$A,"&lt;&gt;"&amp;"",Başvuru!$F:$F,"&lt;&gt;"&amp;""))</f>
        <v>2</v>
      </c>
      <c r="E94" s="159" t="str">
        <f>IF(C94="","-",IF(D94&gt;0,TEXT(D94/(COUNTIFS(Başvuru!$A:$A,"&lt;&gt;",Başvuru!$F:$F,"&lt;&gt;")-1)*100,"0.0")&amp;"%","-"))</f>
        <v>00%</v>
      </c>
      <c r="F94" s="162">
        <f>IF(C94="","",COUNTIFS(Başvuru!$C:$C,C94,Başvuru!$G:$G,"Bireysel Araştırma",Başvuru!$A:$A,"&lt;&gt;"&amp;"",Başvuru!$F:$F,"&lt;&gt;"&amp;""))</f>
        <v>1</v>
      </c>
      <c r="G94" s="162">
        <f>IF(C94="","",COUNTIFS(Başvuru!$C:$C,C94,Başvuru!$G:$G,"Uzmanlık Tezi",Başvuru!$A:$A,"&lt;&gt;"&amp;"",Başvuru!$F:$F,"&lt;&gt;"&amp;""))</f>
        <v>1</v>
      </c>
      <c r="H94" s="162">
        <f>IF(C94="","",COUNTIFS(Başvuru!$C:$C,C94,Başvuru!$G:$G,"Doktora Tezi",Başvuru!$A:$A,"&lt;&gt;"&amp;"",Başvuru!$F:$F,"&lt;&gt;"&amp;""))</f>
        <v>0</v>
      </c>
      <c r="I94" s="162">
        <f>IF(C94="","",COUNTIFS(Başvuru!$C:$C,C94,Başvuru!$G:$G,"Yüksek Lisans Tezi",Başvuru!$A:$A,"&lt;&gt;"&amp;"",Başvuru!$F:$F,"&lt;&gt;"&amp;""))</f>
        <v>0</v>
      </c>
      <c r="J94" s="163">
        <f>IF(C94="","",COUNTIFS(Başvuru!$C:$C,C94,Başvuru!$L:$L,"ONAY",Başvuru!$A:$A,"&lt;&gt;"&amp;"",Başvuru!$F:$F,"&lt;&gt;"&amp;""))</f>
        <v>1</v>
      </c>
      <c r="K94" s="164">
        <f>IF(C94="","",COUNTIFS(Başvuru!$C:$C,C94,Başvuru!$L:$L,"DÜZELTME",Başvuru!$A:$A,"&lt;&gt;"&amp;"",Başvuru!$F:$F,"&lt;&gt;"&amp;""))</f>
        <v>0</v>
      </c>
      <c r="L94" s="165">
        <f>IF(C94="","",COUNTIFS(Başvuru!$C:$C,C94,Başvuru!$L:$L,"KAEK",Başvuru!$A:$A,"&lt;&gt;"&amp;"",Başvuru!$F:$F,"&lt;&gt;"&amp;""))</f>
        <v>0</v>
      </c>
      <c r="M94" s="166">
        <f>IF(C94="","",COUNTIFS(Başvuru!$C:$C,C94,Başvuru!$L:$L,"GÖRÜŞ",Başvuru!$A:$A,"&lt;&gt;"&amp;"",Başvuru!$F:$F,"&lt;&gt;"&amp;""))</f>
        <v>0</v>
      </c>
      <c r="N94" s="167">
        <f>IF(C94="","",COUNTIFS(Başvuru!$C:$C,C94,Başvuru!$L:$L,"RET",Başvuru!$A:$A,"&lt;&gt;"&amp;"",Başvuru!$F:$F,"&lt;&gt;"&amp;""))</f>
        <v>0</v>
      </c>
      <c r="O94" s="168">
        <f>IF(C94="","",COUNTIFS(Başvuru!$C:$C,C94,Başvuru!$L:$L,"KAPSAM DIŞI",Başvuru!$A:$A,"&lt;&gt;"&amp;"",Başvuru!$F:$F,"&lt;&gt;"&amp;""))</f>
        <v>0</v>
      </c>
      <c r="P94" s="169">
        <f>IF(C94="","",COUNTIFS(Başvuru!$C:$C,C94,Başvuru!$L:$L,"GERİ ÇEKİLDİ",Başvuru!$A:$A,"&lt;&gt;"&amp;"",Başvuru!$F:$F,"&lt;&gt;"&amp;""))</f>
        <v>0</v>
      </c>
      <c r="Q94" s="170" t="str">
        <f>IFERROR(INDEX(Başvuru!$C$2:$C$1851,MATCH(89,Başvuru!$AB$2:$AB$1851,0)),"")</f>
        <v>Dr. Öğr. Üyesi Irmak OCAK</v>
      </c>
      <c r="R94" s="171">
        <f>IF(Q94="","",COUNTIFS(Başvuru!$C:$C,Q94,Başvuru!$A:$A,"&lt;&gt;"&amp;"",Başvuru!$F:$F,"&lt;&gt;"&amp;""))</f>
        <v>1</v>
      </c>
      <c r="S94" s="171">
        <f>IF(R94="","",RANK(R94,$R$6:$R$505,0)+COUNTIF($R$6:R94,R94)-1)</f>
        <v>189</v>
      </c>
    </row>
    <row r="95" spans="2:19" ht="23.25" customHeight="1" x14ac:dyDescent="0.25">
      <c r="B95" s="159">
        <v>90</v>
      </c>
      <c r="C95" s="160" t="str">
        <f>IFERROR(INDEX($Q$6:$Q$505,MATCH(90,$S$6:$S$505,0)),"")</f>
        <v>Prof. Dr. Kıvanç AKÇA</v>
      </c>
      <c r="D95" s="161">
        <f>IF(C95="","",COUNTIFS(Başvuru!$C:$C,C95,Başvuru!$A:$A,"&lt;&gt;"&amp;"",Başvuru!$F:$F,"&lt;&gt;"&amp;""))</f>
        <v>2</v>
      </c>
      <c r="E95" s="159" t="str">
        <f>IF(C95="","-",IF(D95&gt;0,TEXT(D95/(COUNTIFS(Başvuru!$A:$A,"&lt;&gt;",Başvuru!$F:$F,"&lt;&gt;")-1)*100,"0.0")&amp;"%","-"))</f>
        <v>00%</v>
      </c>
      <c r="F95" s="162">
        <f>IF(C95="","",COUNTIFS(Başvuru!$C:$C,C95,Başvuru!$G:$G,"Bireysel Araştırma",Başvuru!$A:$A,"&lt;&gt;"&amp;"",Başvuru!$F:$F,"&lt;&gt;"&amp;""))</f>
        <v>2</v>
      </c>
      <c r="G95" s="162">
        <f>IF(C95="","",COUNTIFS(Başvuru!$C:$C,C95,Başvuru!$G:$G,"Uzmanlık Tezi",Başvuru!$A:$A,"&lt;&gt;"&amp;"",Başvuru!$F:$F,"&lt;&gt;"&amp;""))</f>
        <v>0</v>
      </c>
      <c r="H95" s="162">
        <f>IF(C95="","",COUNTIFS(Başvuru!$C:$C,C95,Başvuru!$G:$G,"Doktora Tezi",Başvuru!$A:$A,"&lt;&gt;"&amp;"",Başvuru!$F:$F,"&lt;&gt;"&amp;""))</f>
        <v>0</v>
      </c>
      <c r="I95" s="162">
        <f>IF(C95="","",COUNTIFS(Başvuru!$C:$C,C95,Başvuru!$G:$G,"Yüksek Lisans Tezi",Başvuru!$A:$A,"&lt;&gt;"&amp;"",Başvuru!$F:$F,"&lt;&gt;"&amp;""))</f>
        <v>0</v>
      </c>
      <c r="J95" s="163">
        <f>IF(C95="","",COUNTIFS(Başvuru!$C:$C,C95,Başvuru!$L:$L,"ONAY",Başvuru!$A:$A,"&lt;&gt;"&amp;"",Başvuru!$F:$F,"&lt;&gt;"&amp;""))</f>
        <v>1</v>
      </c>
      <c r="K95" s="164">
        <f>IF(C95="","",COUNTIFS(Başvuru!$C:$C,C95,Başvuru!$L:$L,"DÜZELTME",Başvuru!$A:$A,"&lt;&gt;"&amp;"",Başvuru!$F:$F,"&lt;&gt;"&amp;""))</f>
        <v>0</v>
      </c>
      <c r="L95" s="165">
        <f>IF(C95="","",COUNTIFS(Başvuru!$C:$C,C95,Başvuru!$L:$L,"KAEK",Başvuru!$A:$A,"&lt;&gt;"&amp;"",Başvuru!$F:$F,"&lt;&gt;"&amp;""))</f>
        <v>0</v>
      </c>
      <c r="M95" s="166">
        <f>IF(C95="","",COUNTIFS(Başvuru!$C:$C,C95,Başvuru!$L:$L,"GÖRÜŞ",Başvuru!$A:$A,"&lt;&gt;"&amp;"",Başvuru!$F:$F,"&lt;&gt;"&amp;""))</f>
        <v>1</v>
      </c>
      <c r="N95" s="167">
        <f>IF(C95="","",COUNTIFS(Başvuru!$C:$C,C95,Başvuru!$L:$L,"RET",Başvuru!$A:$A,"&lt;&gt;"&amp;"",Başvuru!$F:$F,"&lt;&gt;"&amp;""))</f>
        <v>0</v>
      </c>
      <c r="O95" s="168">
        <f>IF(C95="","",COUNTIFS(Başvuru!$C:$C,C95,Başvuru!$L:$L,"KAPSAM DIŞI",Başvuru!$A:$A,"&lt;&gt;"&amp;"",Başvuru!$F:$F,"&lt;&gt;"&amp;""))</f>
        <v>0</v>
      </c>
      <c r="P95" s="169">
        <f>IF(C95="","",COUNTIFS(Başvuru!$C:$C,C95,Başvuru!$L:$L,"GERİ ÇEKİLDİ",Başvuru!$A:$A,"&lt;&gt;"&amp;"",Başvuru!$F:$F,"&lt;&gt;"&amp;""))</f>
        <v>0</v>
      </c>
      <c r="Q95" s="170" t="str">
        <f>IFERROR(INDEX(Başvuru!$C$2:$C$1851,MATCH(90,Başvuru!$AB$2:$AB$1851,0)),"")</f>
        <v>Prof. Dr. Ayşe KİN İŞLER</v>
      </c>
      <c r="R95" s="171">
        <f>IF(Q95="","",COUNTIFS(Başvuru!$C:$C,Q95,Başvuru!$A:$A,"&lt;&gt;"&amp;"",Başvuru!$F:$F,"&lt;&gt;"&amp;""))</f>
        <v>4</v>
      </c>
      <c r="S95" s="171">
        <f>IF(R95="","",RANK(R95,$R$6:$R$505,0)+COUNTIF($R$6:R95,R95)-1)</f>
        <v>42</v>
      </c>
    </row>
    <row r="96" spans="2:19" ht="23.25" customHeight="1" x14ac:dyDescent="0.25">
      <c r="B96" s="159">
        <v>91</v>
      </c>
      <c r="C96" s="160" t="str">
        <f>IFERROR(INDEX($Q$6:$Q$505,MATCH(91,$S$6:$S$505,0)),"")</f>
        <v>Prof. Dr. Cengiz KILIÇ</v>
      </c>
      <c r="D96" s="161">
        <f>IF(C96="","",COUNTIFS(Başvuru!$C:$C,C96,Başvuru!$A:$A,"&lt;&gt;"&amp;"",Başvuru!$F:$F,"&lt;&gt;"&amp;""))</f>
        <v>2</v>
      </c>
      <c r="E96" s="159" t="str">
        <f>IF(C96="","-",IF(D96&gt;0,TEXT(D96/(COUNTIFS(Başvuru!$A:$A,"&lt;&gt;",Başvuru!$F:$F,"&lt;&gt;")-1)*100,"0.0")&amp;"%","-"))</f>
        <v>00%</v>
      </c>
      <c r="F96" s="162">
        <f>IF(C96="","",COUNTIFS(Başvuru!$C:$C,C96,Başvuru!$G:$G,"Bireysel Araştırma",Başvuru!$A:$A,"&lt;&gt;"&amp;"",Başvuru!$F:$F,"&lt;&gt;"&amp;""))</f>
        <v>0</v>
      </c>
      <c r="G96" s="162">
        <f>IF(C96="","",COUNTIFS(Başvuru!$C:$C,C96,Başvuru!$G:$G,"Uzmanlık Tezi",Başvuru!$A:$A,"&lt;&gt;"&amp;"",Başvuru!$F:$F,"&lt;&gt;"&amp;""))</f>
        <v>2</v>
      </c>
      <c r="H96" s="162">
        <f>IF(C96="","",COUNTIFS(Başvuru!$C:$C,C96,Başvuru!$G:$G,"Doktora Tezi",Başvuru!$A:$A,"&lt;&gt;"&amp;"",Başvuru!$F:$F,"&lt;&gt;"&amp;""))</f>
        <v>0</v>
      </c>
      <c r="I96" s="162">
        <f>IF(C96="","",COUNTIFS(Başvuru!$C:$C,C96,Başvuru!$G:$G,"Yüksek Lisans Tezi",Başvuru!$A:$A,"&lt;&gt;"&amp;"",Başvuru!$F:$F,"&lt;&gt;"&amp;""))</f>
        <v>0</v>
      </c>
      <c r="J96" s="163">
        <f>IF(C96="","",COUNTIFS(Başvuru!$C:$C,C96,Başvuru!$L:$L,"ONAY",Başvuru!$A:$A,"&lt;&gt;"&amp;"",Başvuru!$F:$F,"&lt;&gt;"&amp;""))</f>
        <v>0</v>
      </c>
      <c r="K96" s="164">
        <f>IF(C96="","",COUNTIFS(Başvuru!$C:$C,C96,Başvuru!$L:$L,"DÜZELTME",Başvuru!$A:$A,"&lt;&gt;"&amp;"",Başvuru!$F:$F,"&lt;&gt;"&amp;""))</f>
        <v>2</v>
      </c>
      <c r="L96" s="165">
        <f>IF(C96="","",COUNTIFS(Başvuru!$C:$C,C96,Başvuru!$L:$L,"KAEK",Başvuru!$A:$A,"&lt;&gt;"&amp;"",Başvuru!$F:$F,"&lt;&gt;"&amp;""))</f>
        <v>0</v>
      </c>
      <c r="M96" s="166">
        <f>IF(C96="","",COUNTIFS(Başvuru!$C:$C,C96,Başvuru!$L:$L,"GÖRÜŞ",Başvuru!$A:$A,"&lt;&gt;"&amp;"",Başvuru!$F:$F,"&lt;&gt;"&amp;""))</f>
        <v>0</v>
      </c>
      <c r="N96" s="167">
        <f>IF(C96="","",COUNTIFS(Başvuru!$C:$C,C96,Başvuru!$L:$L,"RET",Başvuru!$A:$A,"&lt;&gt;"&amp;"",Başvuru!$F:$F,"&lt;&gt;"&amp;""))</f>
        <v>0</v>
      </c>
      <c r="O96" s="168">
        <f>IF(C96="","",COUNTIFS(Başvuru!$C:$C,C96,Başvuru!$L:$L,"KAPSAM DIŞI",Başvuru!$A:$A,"&lt;&gt;"&amp;"",Başvuru!$F:$F,"&lt;&gt;"&amp;""))</f>
        <v>0</v>
      </c>
      <c r="P96" s="169">
        <f>IF(C96="","",COUNTIFS(Başvuru!$C:$C,C96,Başvuru!$L:$L,"GERİ ÇEKİLDİ",Başvuru!$A:$A,"&lt;&gt;"&amp;"",Başvuru!$F:$F,"&lt;&gt;"&amp;""))</f>
        <v>0</v>
      </c>
      <c r="Q96" s="170" t="str">
        <f>IFERROR(INDEX(Başvuru!$C$2:$C$1851,MATCH(91,Başvuru!$AB$2:$AB$1851,0)),"")</f>
        <v>Prof. Dr. Alp ÇETİN</v>
      </c>
      <c r="R96" s="171">
        <f>IF(Q96="","",COUNTIFS(Başvuru!$C:$C,Q96,Başvuru!$A:$A,"&lt;&gt;"&amp;"",Başvuru!$F:$F,"&lt;&gt;"&amp;""))</f>
        <v>5</v>
      </c>
      <c r="S96" s="171">
        <f>IF(R96="","",RANK(R96,$R$6:$R$505,0)+COUNTIF($R$6:R96,R96)-1)</f>
        <v>25</v>
      </c>
    </row>
    <row r="97" spans="2:19" ht="23.25" customHeight="1" x14ac:dyDescent="0.25">
      <c r="B97" s="159">
        <v>92</v>
      </c>
      <c r="C97" s="160" t="str">
        <f>IFERROR(INDEX($Q$6:$Q$505,MATCH(92,$S$6:$S$505,0)),"")</f>
        <v>Doç. Dr. Erdal SAĞ</v>
      </c>
      <c r="D97" s="161">
        <f>IF(C97="","",COUNTIFS(Başvuru!$C:$C,C97,Başvuru!$A:$A,"&lt;&gt;"&amp;"",Başvuru!$F:$F,"&lt;&gt;"&amp;""))</f>
        <v>2</v>
      </c>
      <c r="E97" s="159" t="str">
        <f>IF(C97="","-",IF(D97&gt;0,TEXT(D97/(COUNTIFS(Başvuru!$A:$A,"&lt;&gt;",Başvuru!$F:$F,"&lt;&gt;")-1)*100,"0.0")&amp;"%","-"))</f>
        <v>00%</v>
      </c>
      <c r="F97" s="162">
        <f>IF(C97="","",COUNTIFS(Başvuru!$C:$C,C97,Başvuru!$G:$G,"Bireysel Araştırma",Başvuru!$A:$A,"&lt;&gt;"&amp;"",Başvuru!$F:$F,"&lt;&gt;"&amp;""))</f>
        <v>1</v>
      </c>
      <c r="G97" s="162">
        <f>IF(C97="","",COUNTIFS(Başvuru!$C:$C,C97,Başvuru!$G:$G,"Uzmanlık Tezi",Başvuru!$A:$A,"&lt;&gt;"&amp;"",Başvuru!$F:$F,"&lt;&gt;"&amp;""))</f>
        <v>1</v>
      </c>
      <c r="H97" s="162">
        <f>IF(C97="","",COUNTIFS(Başvuru!$C:$C,C97,Başvuru!$G:$G,"Doktora Tezi",Başvuru!$A:$A,"&lt;&gt;"&amp;"",Başvuru!$F:$F,"&lt;&gt;"&amp;""))</f>
        <v>0</v>
      </c>
      <c r="I97" s="162">
        <f>IF(C97="","",COUNTIFS(Başvuru!$C:$C,C97,Başvuru!$G:$G,"Yüksek Lisans Tezi",Başvuru!$A:$A,"&lt;&gt;"&amp;"",Başvuru!$F:$F,"&lt;&gt;"&amp;""))</f>
        <v>0</v>
      </c>
      <c r="J97" s="163">
        <f>IF(C97="","",COUNTIFS(Başvuru!$C:$C,C97,Başvuru!$L:$L,"ONAY",Başvuru!$A:$A,"&lt;&gt;"&amp;"",Başvuru!$F:$F,"&lt;&gt;"&amp;""))</f>
        <v>0</v>
      </c>
      <c r="K97" s="164">
        <f>IF(C97="","",COUNTIFS(Başvuru!$C:$C,C97,Başvuru!$L:$L,"DÜZELTME",Başvuru!$A:$A,"&lt;&gt;"&amp;"",Başvuru!$F:$F,"&lt;&gt;"&amp;""))</f>
        <v>2</v>
      </c>
      <c r="L97" s="165">
        <f>IF(C97="","",COUNTIFS(Başvuru!$C:$C,C97,Başvuru!$L:$L,"KAEK",Başvuru!$A:$A,"&lt;&gt;"&amp;"",Başvuru!$F:$F,"&lt;&gt;"&amp;""))</f>
        <v>0</v>
      </c>
      <c r="M97" s="166">
        <f>IF(C97="","",COUNTIFS(Başvuru!$C:$C,C97,Başvuru!$L:$L,"GÖRÜŞ",Başvuru!$A:$A,"&lt;&gt;"&amp;"",Başvuru!$F:$F,"&lt;&gt;"&amp;""))</f>
        <v>0</v>
      </c>
      <c r="N97" s="167">
        <f>IF(C97="","",COUNTIFS(Başvuru!$C:$C,C97,Başvuru!$L:$L,"RET",Başvuru!$A:$A,"&lt;&gt;"&amp;"",Başvuru!$F:$F,"&lt;&gt;"&amp;""))</f>
        <v>0</v>
      </c>
      <c r="O97" s="168">
        <f>IF(C97="","",COUNTIFS(Başvuru!$C:$C,C97,Başvuru!$L:$L,"KAPSAM DIŞI",Başvuru!$A:$A,"&lt;&gt;"&amp;"",Başvuru!$F:$F,"&lt;&gt;"&amp;""))</f>
        <v>0</v>
      </c>
      <c r="P97" s="169">
        <f>IF(C97="","",COUNTIFS(Başvuru!$C:$C,C97,Başvuru!$L:$L,"GERİ ÇEKİLDİ",Başvuru!$A:$A,"&lt;&gt;"&amp;"",Başvuru!$F:$F,"&lt;&gt;"&amp;""))</f>
        <v>0</v>
      </c>
      <c r="Q97" s="170" t="str">
        <f>IFERROR(INDEX(Başvuru!$C$2:$C$1851,MATCH(92,Başvuru!$AB$2:$AB$1851,0)),"")</f>
        <v>Doç. Dr. Ceren GÜNENÇ BEŞER</v>
      </c>
      <c r="R97" s="171">
        <f>IF(Q97="","",COUNTIFS(Başvuru!$C:$C,Q97,Başvuru!$A:$A,"&lt;&gt;"&amp;"",Başvuru!$F:$F,"&lt;&gt;"&amp;""))</f>
        <v>2</v>
      </c>
      <c r="S97" s="171">
        <f>IF(R97="","",RANK(R97,$R$6:$R$505,0)+COUNTIF($R$6:R97,R97)-1)</f>
        <v>99</v>
      </c>
    </row>
    <row r="98" spans="2:19" ht="23.25" customHeight="1" x14ac:dyDescent="0.25">
      <c r="B98" s="159">
        <v>93</v>
      </c>
      <c r="C98" s="160" t="str">
        <f>IFERROR(INDEX($Q$6:$Q$505,MATCH(93,$S$6:$S$505,0)),"")</f>
        <v>Prof. Dr. Taner YILMAZ</v>
      </c>
      <c r="D98" s="161">
        <f>IF(C98="","",COUNTIFS(Başvuru!$C:$C,C98,Başvuru!$A:$A,"&lt;&gt;"&amp;"",Başvuru!$F:$F,"&lt;&gt;"&amp;""))</f>
        <v>2</v>
      </c>
      <c r="E98" s="159" t="str">
        <f>IF(C98="","-",IF(D98&gt;0,TEXT(D98/(COUNTIFS(Başvuru!$A:$A,"&lt;&gt;",Başvuru!$F:$F,"&lt;&gt;")-1)*100,"0.0")&amp;"%","-"))</f>
        <v>00%</v>
      </c>
      <c r="F98" s="162">
        <f>IF(C98="","",COUNTIFS(Başvuru!$C:$C,C98,Başvuru!$G:$G,"Bireysel Araştırma",Başvuru!$A:$A,"&lt;&gt;"&amp;"",Başvuru!$F:$F,"&lt;&gt;"&amp;""))</f>
        <v>2</v>
      </c>
      <c r="G98" s="162">
        <f>IF(C98="","",COUNTIFS(Başvuru!$C:$C,C98,Başvuru!$G:$G,"Uzmanlık Tezi",Başvuru!$A:$A,"&lt;&gt;"&amp;"",Başvuru!$F:$F,"&lt;&gt;"&amp;""))</f>
        <v>0</v>
      </c>
      <c r="H98" s="162">
        <f>IF(C98="","",COUNTIFS(Başvuru!$C:$C,C98,Başvuru!$G:$G,"Doktora Tezi",Başvuru!$A:$A,"&lt;&gt;"&amp;"",Başvuru!$F:$F,"&lt;&gt;"&amp;""))</f>
        <v>0</v>
      </c>
      <c r="I98" s="162">
        <f>IF(C98="","",COUNTIFS(Başvuru!$C:$C,C98,Başvuru!$G:$G,"Yüksek Lisans Tezi",Başvuru!$A:$A,"&lt;&gt;"&amp;"",Başvuru!$F:$F,"&lt;&gt;"&amp;""))</f>
        <v>0</v>
      </c>
      <c r="J98" s="163">
        <f>IF(C98="","",COUNTIFS(Başvuru!$C:$C,C98,Başvuru!$L:$L,"ONAY",Başvuru!$A:$A,"&lt;&gt;"&amp;"",Başvuru!$F:$F,"&lt;&gt;"&amp;""))</f>
        <v>2</v>
      </c>
      <c r="K98" s="164">
        <f>IF(C98="","",COUNTIFS(Başvuru!$C:$C,C98,Başvuru!$L:$L,"DÜZELTME",Başvuru!$A:$A,"&lt;&gt;"&amp;"",Başvuru!$F:$F,"&lt;&gt;"&amp;""))</f>
        <v>0</v>
      </c>
      <c r="L98" s="165">
        <f>IF(C98="","",COUNTIFS(Başvuru!$C:$C,C98,Başvuru!$L:$L,"KAEK",Başvuru!$A:$A,"&lt;&gt;"&amp;"",Başvuru!$F:$F,"&lt;&gt;"&amp;""))</f>
        <v>0</v>
      </c>
      <c r="M98" s="166">
        <f>IF(C98="","",COUNTIFS(Başvuru!$C:$C,C98,Başvuru!$L:$L,"GÖRÜŞ",Başvuru!$A:$A,"&lt;&gt;"&amp;"",Başvuru!$F:$F,"&lt;&gt;"&amp;""))</f>
        <v>0</v>
      </c>
      <c r="N98" s="167">
        <f>IF(C98="","",COUNTIFS(Başvuru!$C:$C,C98,Başvuru!$L:$L,"RET",Başvuru!$A:$A,"&lt;&gt;"&amp;"",Başvuru!$F:$F,"&lt;&gt;"&amp;""))</f>
        <v>0</v>
      </c>
      <c r="O98" s="168">
        <f>IF(C98="","",COUNTIFS(Başvuru!$C:$C,C98,Başvuru!$L:$L,"KAPSAM DIŞI",Başvuru!$A:$A,"&lt;&gt;"&amp;"",Başvuru!$F:$F,"&lt;&gt;"&amp;""))</f>
        <v>0</v>
      </c>
      <c r="P98" s="169">
        <f>IF(C98="","",COUNTIFS(Başvuru!$C:$C,C98,Başvuru!$L:$L,"GERİ ÇEKİLDİ",Başvuru!$A:$A,"&lt;&gt;"&amp;"",Başvuru!$F:$F,"&lt;&gt;"&amp;""))</f>
        <v>0</v>
      </c>
      <c r="Q98" s="170" t="str">
        <f>IFERROR(INDEX(Başvuru!$C$2:$C$1851,MATCH(93,Başvuru!$AB$2:$AB$1851,0)),"")</f>
        <v>Prof. Dr. Hatice Yasemin BALABAN</v>
      </c>
      <c r="R98" s="171">
        <f>IF(Q98="","",COUNTIFS(Başvuru!$C:$C,Q98,Başvuru!$A:$A,"&lt;&gt;"&amp;"",Başvuru!$F:$F,"&lt;&gt;"&amp;""))</f>
        <v>4</v>
      </c>
      <c r="S98" s="171">
        <f>IF(R98="","",RANK(R98,$R$6:$R$505,0)+COUNTIF($R$6:R98,R98)-1)</f>
        <v>43</v>
      </c>
    </row>
    <row r="99" spans="2:19" ht="23.25" customHeight="1" x14ac:dyDescent="0.25">
      <c r="B99" s="159">
        <v>94</v>
      </c>
      <c r="C99" s="160" t="str">
        <f>IFERROR(INDEX($Q$6:$Q$505,MATCH(94,$S$6:$S$505,0)),"")</f>
        <v>Prof. Dr. Salih AKSU</v>
      </c>
      <c r="D99" s="161">
        <f>IF(C99="","",COUNTIFS(Başvuru!$C:$C,C99,Başvuru!$A:$A,"&lt;&gt;"&amp;"",Başvuru!$F:$F,"&lt;&gt;"&amp;""))</f>
        <v>2</v>
      </c>
      <c r="E99" s="159" t="str">
        <f>IF(C99="","-",IF(D99&gt;0,TEXT(D99/(COUNTIFS(Başvuru!$A:$A,"&lt;&gt;",Başvuru!$F:$F,"&lt;&gt;")-1)*100,"0.0")&amp;"%","-"))</f>
        <v>00%</v>
      </c>
      <c r="F99" s="162">
        <f>IF(C99="","",COUNTIFS(Başvuru!$C:$C,C99,Başvuru!$G:$G,"Bireysel Araştırma",Başvuru!$A:$A,"&lt;&gt;"&amp;"",Başvuru!$F:$F,"&lt;&gt;"&amp;""))</f>
        <v>2</v>
      </c>
      <c r="G99" s="162">
        <f>IF(C99="","",COUNTIFS(Başvuru!$C:$C,C99,Başvuru!$G:$G,"Uzmanlık Tezi",Başvuru!$A:$A,"&lt;&gt;"&amp;"",Başvuru!$F:$F,"&lt;&gt;"&amp;""))</f>
        <v>0</v>
      </c>
      <c r="H99" s="162">
        <f>IF(C99="","",COUNTIFS(Başvuru!$C:$C,C99,Başvuru!$G:$G,"Doktora Tezi",Başvuru!$A:$A,"&lt;&gt;"&amp;"",Başvuru!$F:$F,"&lt;&gt;"&amp;""))</f>
        <v>0</v>
      </c>
      <c r="I99" s="162">
        <f>IF(C99="","",COUNTIFS(Başvuru!$C:$C,C99,Başvuru!$G:$G,"Yüksek Lisans Tezi",Başvuru!$A:$A,"&lt;&gt;"&amp;"",Başvuru!$F:$F,"&lt;&gt;"&amp;""))</f>
        <v>0</v>
      </c>
      <c r="J99" s="163">
        <f>IF(C99="","",COUNTIFS(Başvuru!$C:$C,C99,Başvuru!$L:$L,"ONAY",Başvuru!$A:$A,"&lt;&gt;"&amp;"",Başvuru!$F:$F,"&lt;&gt;"&amp;""))</f>
        <v>2</v>
      </c>
      <c r="K99" s="164">
        <f>IF(C99="","",COUNTIFS(Başvuru!$C:$C,C99,Başvuru!$L:$L,"DÜZELTME",Başvuru!$A:$A,"&lt;&gt;"&amp;"",Başvuru!$F:$F,"&lt;&gt;"&amp;""))</f>
        <v>0</v>
      </c>
      <c r="L99" s="165">
        <f>IF(C99="","",COUNTIFS(Başvuru!$C:$C,C99,Başvuru!$L:$L,"KAEK",Başvuru!$A:$A,"&lt;&gt;"&amp;"",Başvuru!$F:$F,"&lt;&gt;"&amp;""))</f>
        <v>0</v>
      </c>
      <c r="M99" s="166">
        <f>IF(C99="","",COUNTIFS(Başvuru!$C:$C,C99,Başvuru!$L:$L,"GÖRÜŞ",Başvuru!$A:$A,"&lt;&gt;"&amp;"",Başvuru!$F:$F,"&lt;&gt;"&amp;""))</f>
        <v>0</v>
      </c>
      <c r="N99" s="167">
        <f>IF(C99="","",COUNTIFS(Başvuru!$C:$C,C99,Başvuru!$L:$L,"RET",Başvuru!$A:$A,"&lt;&gt;"&amp;"",Başvuru!$F:$F,"&lt;&gt;"&amp;""))</f>
        <v>0</v>
      </c>
      <c r="O99" s="168">
        <f>IF(C99="","",COUNTIFS(Başvuru!$C:$C,C99,Başvuru!$L:$L,"KAPSAM DIŞI",Başvuru!$A:$A,"&lt;&gt;"&amp;"",Başvuru!$F:$F,"&lt;&gt;"&amp;""))</f>
        <v>0</v>
      </c>
      <c r="P99" s="169">
        <f>IF(C99="","",COUNTIFS(Başvuru!$C:$C,C99,Başvuru!$L:$L,"GERİ ÇEKİLDİ",Başvuru!$A:$A,"&lt;&gt;"&amp;"",Başvuru!$F:$F,"&lt;&gt;"&amp;""))</f>
        <v>0</v>
      </c>
      <c r="Q99" s="170" t="str">
        <f>IFERROR(INDEX(Başvuru!$C$2:$C$1851,MATCH(94,Başvuru!$AB$2:$AB$1851,0)),"")</f>
        <v>Doç. Dr. Serra ÖRSTEN</v>
      </c>
      <c r="R99" s="171">
        <f>IF(Q99="","",COUNTIFS(Başvuru!$C:$C,Q99,Başvuru!$A:$A,"&lt;&gt;"&amp;"",Başvuru!$F:$F,"&lt;&gt;"&amp;""))</f>
        <v>1</v>
      </c>
      <c r="S99" s="171">
        <f>IF(R99="","",RANK(R99,$R$6:$R$505,0)+COUNTIF($R$6:R99,R99)-1)</f>
        <v>190</v>
      </c>
    </row>
    <row r="100" spans="2:19" ht="23.25" customHeight="1" x14ac:dyDescent="0.25">
      <c r="B100" s="159">
        <v>95</v>
      </c>
      <c r="C100" s="160" t="str">
        <f>IFERROR(INDEX($Q$6:$Q$505,MATCH(95,$S$6:$S$505,0)),"")</f>
        <v>Doç. Dr. Aslıhan AYKARA</v>
      </c>
      <c r="D100" s="161">
        <f>IF(C100="","",COUNTIFS(Başvuru!$C:$C,C100,Başvuru!$A:$A,"&lt;&gt;"&amp;"",Başvuru!$F:$F,"&lt;&gt;"&amp;""))</f>
        <v>2</v>
      </c>
      <c r="E100" s="159" t="str">
        <f>IF(C100="","-",IF(D100&gt;0,TEXT(D100/(COUNTIFS(Başvuru!$A:$A,"&lt;&gt;",Başvuru!$F:$F,"&lt;&gt;")-1)*100,"0.0")&amp;"%","-"))</f>
        <v>00%</v>
      </c>
      <c r="F100" s="162">
        <f>IF(C100="","",COUNTIFS(Başvuru!$C:$C,C100,Başvuru!$G:$G,"Bireysel Araştırma",Başvuru!$A:$A,"&lt;&gt;"&amp;"",Başvuru!$F:$F,"&lt;&gt;"&amp;""))</f>
        <v>0</v>
      </c>
      <c r="G100" s="162">
        <f>IF(C100="","",COUNTIFS(Başvuru!$C:$C,C100,Başvuru!$G:$G,"Uzmanlık Tezi",Başvuru!$A:$A,"&lt;&gt;"&amp;"",Başvuru!$F:$F,"&lt;&gt;"&amp;""))</f>
        <v>0</v>
      </c>
      <c r="H100" s="162">
        <f>IF(C100="","",COUNTIFS(Başvuru!$C:$C,C100,Başvuru!$G:$G,"Doktora Tezi",Başvuru!$A:$A,"&lt;&gt;"&amp;"",Başvuru!$F:$F,"&lt;&gt;"&amp;""))</f>
        <v>2</v>
      </c>
      <c r="I100" s="162">
        <f>IF(C100="","",COUNTIFS(Başvuru!$C:$C,C100,Başvuru!$G:$G,"Yüksek Lisans Tezi",Başvuru!$A:$A,"&lt;&gt;"&amp;"",Başvuru!$F:$F,"&lt;&gt;"&amp;""))</f>
        <v>0</v>
      </c>
      <c r="J100" s="163">
        <f>IF(C100="","",COUNTIFS(Başvuru!$C:$C,C100,Başvuru!$L:$L,"ONAY",Başvuru!$A:$A,"&lt;&gt;"&amp;"",Başvuru!$F:$F,"&lt;&gt;"&amp;""))</f>
        <v>2</v>
      </c>
      <c r="K100" s="164">
        <f>IF(C100="","",COUNTIFS(Başvuru!$C:$C,C100,Başvuru!$L:$L,"DÜZELTME",Başvuru!$A:$A,"&lt;&gt;"&amp;"",Başvuru!$F:$F,"&lt;&gt;"&amp;""))</f>
        <v>0</v>
      </c>
      <c r="L100" s="165">
        <f>IF(C100="","",COUNTIFS(Başvuru!$C:$C,C100,Başvuru!$L:$L,"KAEK",Başvuru!$A:$A,"&lt;&gt;"&amp;"",Başvuru!$F:$F,"&lt;&gt;"&amp;""))</f>
        <v>0</v>
      </c>
      <c r="M100" s="166">
        <f>IF(C100="","",COUNTIFS(Başvuru!$C:$C,C100,Başvuru!$L:$L,"GÖRÜŞ",Başvuru!$A:$A,"&lt;&gt;"&amp;"",Başvuru!$F:$F,"&lt;&gt;"&amp;""))</f>
        <v>0</v>
      </c>
      <c r="N100" s="167">
        <f>IF(C100="","",COUNTIFS(Başvuru!$C:$C,C100,Başvuru!$L:$L,"RET",Başvuru!$A:$A,"&lt;&gt;"&amp;"",Başvuru!$F:$F,"&lt;&gt;"&amp;""))</f>
        <v>0</v>
      </c>
      <c r="O100" s="168">
        <f>IF(C100="","",COUNTIFS(Başvuru!$C:$C,C100,Başvuru!$L:$L,"KAPSAM DIŞI",Başvuru!$A:$A,"&lt;&gt;"&amp;"",Başvuru!$F:$F,"&lt;&gt;"&amp;""))</f>
        <v>0</v>
      </c>
      <c r="P100" s="169">
        <f>IF(C100="","",COUNTIFS(Başvuru!$C:$C,C100,Başvuru!$L:$L,"GERİ ÇEKİLDİ",Başvuru!$A:$A,"&lt;&gt;"&amp;"",Başvuru!$F:$F,"&lt;&gt;"&amp;""))</f>
        <v>0</v>
      </c>
      <c r="Q100" s="170" t="str">
        <f>IFERROR(INDEX(Başvuru!$C$2:$C$1851,MATCH(95,Başvuru!$AB$2:$AB$1851,0)),"")</f>
        <v>Dr. Öğr. Üyesi Hilal AKDEMİR AKTAŞ</v>
      </c>
      <c r="R100" s="171">
        <f>IF(Q100="","",COUNTIFS(Başvuru!$C:$C,Q100,Başvuru!$A:$A,"&lt;&gt;"&amp;"",Başvuru!$F:$F,"&lt;&gt;"&amp;""))</f>
        <v>1</v>
      </c>
      <c r="S100" s="171">
        <f>IF(R100="","",RANK(R100,$R$6:$R$505,0)+COUNTIF($R$6:R100,R100)-1)</f>
        <v>191</v>
      </c>
    </row>
    <row r="101" spans="2:19" ht="23.25" customHeight="1" x14ac:dyDescent="0.25">
      <c r="B101" s="159">
        <v>96</v>
      </c>
      <c r="C101" s="160" t="str">
        <f>IFERROR(INDEX($Q$6:$Q$505,MATCH(96,$S$6:$S$505,0)),"")</f>
        <v>Doç. Dr. Burcu ERSÖZ ALAN</v>
      </c>
      <c r="D101" s="161">
        <f>IF(C101="","",COUNTIFS(Başvuru!$C:$C,C101,Başvuru!$A:$A,"&lt;&gt;"&amp;"",Başvuru!$F:$F,"&lt;&gt;"&amp;""))</f>
        <v>2</v>
      </c>
      <c r="E101" s="159" t="str">
        <f>IF(C101="","-",IF(D101&gt;0,TEXT(D101/(COUNTIFS(Başvuru!$A:$A,"&lt;&gt;",Başvuru!$F:$F,"&lt;&gt;")-1)*100,"0.0")&amp;"%","-"))</f>
        <v>00%</v>
      </c>
      <c r="F101" s="162">
        <f>IF(C101="","",COUNTIFS(Başvuru!$C:$C,C101,Başvuru!$G:$G,"Bireysel Araştırma",Başvuru!$A:$A,"&lt;&gt;"&amp;"",Başvuru!$F:$F,"&lt;&gt;"&amp;""))</f>
        <v>0</v>
      </c>
      <c r="G101" s="162">
        <f>IF(C101="","",COUNTIFS(Başvuru!$C:$C,C101,Başvuru!$G:$G,"Uzmanlık Tezi",Başvuru!$A:$A,"&lt;&gt;"&amp;"",Başvuru!$F:$F,"&lt;&gt;"&amp;""))</f>
        <v>2</v>
      </c>
      <c r="H101" s="162">
        <f>IF(C101="","",COUNTIFS(Başvuru!$C:$C,C101,Başvuru!$G:$G,"Doktora Tezi",Başvuru!$A:$A,"&lt;&gt;"&amp;"",Başvuru!$F:$F,"&lt;&gt;"&amp;""))</f>
        <v>0</v>
      </c>
      <c r="I101" s="162">
        <f>IF(C101="","",COUNTIFS(Başvuru!$C:$C,C101,Başvuru!$G:$G,"Yüksek Lisans Tezi",Başvuru!$A:$A,"&lt;&gt;"&amp;"",Başvuru!$F:$F,"&lt;&gt;"&amp;""))</f>
        <v>0</v>
      </c>
      <c r="J101" s="163">
        <f>IF(C101="","",COUNTIFS(Başvuru!$C:$C,C101,Başvuru!$L:$L,"ONAY",Başvuru!$A:$A,"&lt;&gt;"&amp;"",Başvuru!$F:$F,"&lt;&gt;"&amp;""))</f>
        <v>2</v>
      </c>
      <c r="K101" s="164">
        <f>IF(C101="","",COUNTIFS(Başvuru!$C:$C,C101,Başvuru!$L:$L,"DÜZELTME",Başvuru!$A:$A,"&lt;&gt;"&amp;"",Başvuru!$F:$F,"&lt;&gt;"&amp;""))</f>
        <v>0</v>
      </c>
      <c r="L101" s="165">
        <f>IF(C101="","",COUNTIFS(Başvuru!$C:$C,C101,Başvuru!$L:$L,"KAEK",Başvuru!$A:$A,"&lt;&gt;"&amp;"",Başvuru!$F:$F,"&lt;&gt;"&amp;""))</f>
        <v>0</v>
      </c>
      <c r="M101" s="166">
        <f>IF(C101="","",COUNTIFS(Başvuru!$C:$C,C101,Başvuru!$L:$L,"GÖRÜŞ",Başvuru!$A:$A,"&lt;&gt;"&amp;"",Başvuru!$F:$F,"&lt;&gt;"&amp;""))</f>
        <v>0</v>
      </c>
      <c r="N101" s="167">
        <f>IF(C101="","",COUNTIFS(Başvuru!$C:$C,C101,Başvuru!$L:$L,"RET",Başvuru!$A:$A,"&lt;&gt;"&amp;"",Başvuru!$F:$F,"&lt;&gt;"&amp;""))</f>
        <v>0</v>
      </c>
      <c r="O101" s="168">
        <f>IF(C101="","",COUNTIFS(Başvuru!$C:$C,C101,Başvuru!$L:$L,"KAPSAM DIŞI",Başvuru!$A:$A,"&lt;&gt;"&amp;"",Başvuru!$F:$F,"&lt;&gt;"&amp;""))</f>
        <v>0</v>
      </c>
      <c r="P101" s="169">
        <f>IF(C101="","",COUNTIFS(Başvuru!$C:$C,C101,Başvuru!$L:$L,"GERİ ÇEKİLDİ",Başvuru!$A:$A,"&lt;&gt;"&amp;"",Başvuru!$F:$F,"&lt;&gt;"&amp;""))</f>
        <v>0</v>
      </c>
      <c r="Q101" s="170" t="str">
        <f>IFERROR(INDEX(Başvuru!$C$2:$C$1851,MATCH(96,Başvuru!$AB$2:$AB$1851,0)),"")</f>
        <v>Prof. Dr. Rıza Köksal ÖZGÜL</v>
      </c>
      <c r="R101" s="171">
        <f>IF(Q101="","",COUNTIFS(Başvuru!$C:$C,Q101,Başvuru!$A:$A,"&lt;&gt;"&amp;"",Başvuru!$F:$F,"&lt;&gt;"&amp;""))</f>
        <v>2</v>
      </c>
      <c r="S101" s="171">
        <f>IF(R101="","",RANK(R101,$R$6:$R$505,0)+COUNTIF($R$6:R101,R101)-1)</f>
        <v>100</v>
      </c>
    </row>
    <row r="102" spans="2:19" ht="23.25" customHeight="1" x14ac:dyDescent="0.25">
      <c r="B102" s="159">
        <v>97</v>
      </c>
      <c r="C102" s="160" t="str">
        <f>IFERROR(INDEX($Q$6:$Q$505,MATCH(97,$S$6:$S$505,0)),"")</f>
        <v>Öğr. Gör. Dr. Aytekin İDİKUT</v>
      </c>
      <c r="D102" s="161">
        <f>IF(C102="","",COUNTIFS(Başvuru!$C:$C,C102,Başvuru!$A:$A,"&lt;&gt;"&amp;"",Başvuru!$F:$F,"&lt;&gt;"&amp;""))</f>
        <v>2</v>
      </c>
      <c r="E102" s="159" t="str">
        <f>IF(C102="","-",IF(D102&gt;0,TEXT(D102/(COUNTIFS(Başvuru!$A:$A,"&lt;&gt;",Başvuru!$F:$F,"&lt;&gt;")-1)*100,"0.0")&amp;"%","-"))</f>
        <v>00%</v>
      </c>
      <c r="F102" s="162">
        <f>IF(C102="","",COUNTIFS(Başvuru!$C:$C,C102,Başvuru!$G:$G,"Bireysel Araştırma",Başvuru!$A:$A,"&lt;&gt;"&amp;"",Başvuru!$F:$F,"&lt;&gt;"&amp;""))</f>
        <v>2</v>
      </c>
      <c r="G102" s="162">
        <f>IF(C102="","",COUNTIFS(Başvuru!$C:$C,C102,Başvuru!$G:$G,"Uzmanlık Tezi",Başvuru!$A:$A,"&lt;&gt;"&amp;"",Başvuru!$F:$F,"&lt;&gt;"&amp;""))</f>
        <v>0</v>
      </c>
      <c r="H102" s="162">
        <f>IF(C102="","",COUNTIFS(Başvuru!$C:$C,C102,Başvuru!$G:$G,"Doktora Tezi",Başvuru!$A:$A,"&lt;&gt;"&amp;"",Başvuru!$F:$F,"&lt;&gt;"&amp;""))</f>
        <v>0</v>
      </c>
      <c r="I102" s="162">
        <f>IF(C102="","",COUNTIFS(Başvuru!$C:$C,C102,Başvuru!$G:$G,"Yüksek Lisans Tezi",Başvuru!$A:$A,"&lt;&gt;"&amp;"",Başvuru!$F:$F,"&lt;&gt;"&amp;""))</f>
        <v>0</v>
      </c>
      <c r="J102" s="163">
        <f>IF(C102="","",COUNTIFS(Başvuru!$C:$C,C102,Başvuru!$L:$L,"ONAY",Başvuru!$A:$A,"&lt;&gt;"&amp;"",Başvuru!$F:$F,"&lt;&gt;"&amp;""))</f>
        <v>1</v>
      </c>
      <c r="K102" s="164">
        <f>IF(C102="","",COUNTIFS(Başvuru!$C:$C,C102,Başvuru!$L:$L,"DÜZELTME",Başvuru!$A:$A,"&lt;&gt;"&amp;"",Başvuru!$F:$F,"&lt;&gt;"&amp;""))</f>
        <v>1</v>
      </c>
      <c r="L102" s="165">
        <f>IF(C102="","",COUNTIFS(Başvuru!$C:$C,C102,Başvuru!$L:$L,"KAEK",Başvuru!$A:$A,"&lt;&gt;"&amp;"",Başvuru!$F:$F,"&lt;&gt;"&amp;""))</f>
        <v>0</v>
      </c>
      <c r="M102" s="166">
        <f>IF(C102="","",COUNTIFS(Başvuru!$C:$C,C102,Başvuru!$L:$L,"GÖRÜŞ",Başvuru!$A:$A,"&lt;&gt;"&amp;"",Başvuru!$F:$F,"&lt;&gt;"&amp;""))</f>
        <v>0</v>
      </c>
      <c r="N102" s="167">
        <f>IF(C102="","",COUNTIFS(Başvuru!$C:$C,C102,Başvuru!$L:$L,"RET",Başvuru!$A:$A,"&lt;&gt;"&amp;"",Başvuru!$F:$F,"&lt;&gt;"&amp;""))</f>
        <v>0</v>
      </c>
      <c r="O102" s="168">
        <f>IF(C102="","",COUNTIFS(Başvuru!$C:$C,C102,Başvuru!$L:$L,"KAPSAM DIŞI",Başvuru!$A:$A,"&lt;&gt;"&amp;"",Başvuru!$F:$F,"&lt;&gt;"&amp;""))</f>
        <v>0</v>
      </c>
      <c r="P102" s="169">
        <f>IF(C102="","",COUNTIFS(Başvuru!$C:$C,C102,Başvuru!$L:$L,"GERİ ÇEKİLDİ",Başvuru!$A:$A,"&lt;&gt;"&amp;"",Başvuru!$F:$F,"&lt;&gt;"&amp;""))</f>
        <v>0</v>
      </c>
      <c r="Q102" s="170" t="str">
        <f>IFERROR(INDEX(Başvuru!$C$2:$C$1851,MATCH(97,Başvuru!$AB$2:$AB$1851,0)),"")</f>
        <v>Doç. Dr. Süleyman Nahit ŞENDUR</v>
      </c>
      <c r="R102" s="171">
        <f>IF(Q102="","",COUNTIFS(Başvuru!$C:$C,Q102,Başvuru!$A:$A,"&lt;&gt;"&amp;"",Başvuru!$F:$F,"&lt;&gt;"&amp;""))</f>
        <v>6</v>
      </c>
      <c r="S102" s="171">
        <f>IF(R102="","",RANK(R102,$R$6:$R$505,0)+COUNTIF($R$6:R102,R102)-1)</f>
        <v>18</v>
      </c>
    </row>
    <row r="103" spans="2:19" ht="23.25" customHeight="1" x14ac:dyDescent="0.25">
      <c r="B103" s="159">
        <v>98</v>
      </c>
      <c r="C103" s="160" t="str">
        <f>IFERROR(INDEX($Q$6:$Q$505,MATCH(98,$S$6:$S$505,0)),"")</f>
        <v>Arş. Gör. Dr. Sebiha Şükran GÜNDEŞLİ</v>
      </c>
      <c r="D103" s="161">
        <f>IF(C103="","",COUNTIFS(Başvuru!$C:$C,C103,Başvuru!$A:$A,"&lt;&gt;"&amp;"",Başvuru!$F:$F,"&lt;&gt;"&amp;""))</f>
        <v>2</v>
      </c>
      <c r="E103" s="159" t="str">
        <f>IF(C103="","-",IF(D103&gt;0,TEXT(D103/(COUNTIFS(Başvuru!$A:$A,"&lt;&gt;",Başvuru!$F:$F,"&lt;&gt;")-1)*100,"0.0")&amp;"%","-"))</f>
        <v>00%</v>
      </c>
      <c r="F103" s="162">
        <f>IF(C103="","",COUNTIFS(Başvuru!$C:$C,C103,Başvuru!$G:$G,"Bireysel Araştırma",Başvuru!$A:$A,"&lt;&gt;"&amp;"",Başvuru!$F:$F,"&lt;&gt;"&amp;""))</f>
        <v>2</v>
      </c>
      <c r="G103" s="162">
        <f>IF(C103="","",COUNTIFS(Başvuru!$C:$C,C103,Başvuru!$G:$G,"Uzmanlık Tezi",Başvuru!$A:$A,"&lt;&gt;"&amp;"",Başvuru!$F:$F,"&lt;&gt;"&amp;""))</f>
        <v>0</v>
      </c>
      <c r="H103" s="162">
        <f>IF(C103="","",COUNTIFS(Başvuru!$C:$C,C103,Başvuru!$G:$G,"Doktora Tezi",Başvuru!$A:$A,"&lt;&gt;"&amp;"",Başvuru!$F:$F,"&lt;&gt;"&amp;""))</f>
        <v>0</v>
      </c>
      <c r="I103" s="162">
        <f>IF(C103="","",COUNTIFS(Başvuru!$C:$C,C103,Başvuru!$G:$G,"Yüksek Lisans Tezi",Başvuru!$A:$A,"&lt;&gt;"&amp;"",Başvuru!$F:$F,"&lt;&gt;"&amp;""))</f>
        <v>0</v>
      </c>
      <c r="J103" s="163">
        <f>IF(C103="","",COUNTIFS(Başvuru!$C:$C,C103,Başvuru!$L:$L,"ONAY",Başvuru!$A:$A,"&lt;&gt;"&amp;"",Başvuru!$F:$F,"&lt;&gt;"&amp;""))</f>
        <v>1</v>
      </c>
      <c r="K103" s="164">
        <f>IF(C103="","",COUNTIFS(Başvuru!$C:$C,C103,Başvuru!$L:$L,"DÜZELTME",Başvuru!$A:$A,"&lt;&gt;"&amp;"",Başvuru!$F:$F,"&lt;&gt;"&amp;""))</f>
        <v>1</v>
      </c>
      <c r="L103" s="165">
        <f>IF(C103="","",COUNTIFS(Başvuru!$C:$C,C103,Başvuru!$L:$L,"KAEK",Başvuru!$A:$A,"&lt;&gt;"&amp;"",Başvuru!$F:$F,"&lt;&gt;"&amp;""))</f>
        <v>0</v>
      </c>
      <c r="M103" s="166">
        <f>IF(C103="","",COUNTIFS(Başvuru!$C:$C,C103,Başvuru!$L:$L,"GÖRÜŞ",Başvuru!$A:$A,"&lt;&gt;"&amp;"",Başvuru!$F:$F,"&lt;&gt;"&amp;""))</f>
        <v>0</v>
      </c>
      <c r="N103" s="167">
        <f>IF(C103="","",COUNTIFS(Başvuru!$C:$C,C103,Başvuru!$L:$L,"RET",Başvuru!$A:$A,"&lt;&gt;"&amp;"",Başvuru!$F:$F,"&lt;&gt;"&amp;""))</f>
        <v>0</v>
      </c>
      <c r="O103" s="168">
        <f>IF(C103="","",COUNTIFS(Başvuru!$C:$C,C103,Başvuru!$L:$L,"KAPSAM DIŞI",Başvuru!$A:$A,"&lt;&gt;"&amp;"",Başvuru!$F:$F,"&lt;&gt;"&amp;""))</f>
        <v>0</v>
      </c>
      <c r="P103" s="169">
        <f>IF(C103="","",COUNTIFS(Başvuru!$C:$C,C103,Başvuru!$L:$L,"GERİ ÇEKİLDİ",Başvuru!$A:$A,"&lt;&gt;"&amp;"",Başvuru!$F:$F,"&lt;&gt;"&amp;""))</f>
        <v>0</v>
      </c>
      <c r="Q103" s="170" t="str">
        <f>IFERROR(INDEX(Başvuru!$C$2:$C$1851,MATCH(98,Başvuru!$AB$2:$AB$1851,0)),"")</f>
        <v>Prof. Dr. Yavuz AYHAN</v>
      </c>
      <c r="R103" s="171">
        <f>IF(Q103="","",COUNTIFS(Başvuru!$C:$C,Q103,Başvuru!$A:$A,"&lt;&gt;"&amp;"",Başvuru!$F:$F,"&lt;&gt;"&amp;""))</f>
        <v>1</v>
      </c>
      <c r="S103" s="171">
        <f>IF(R103="","",RANK(R103,$R$6:$R$505,0)+COUNTIF($R$6:R103,R103)-1)</f>
        <v>192</v>
      </c>
    </row>
    <row r="104" spans="2:19" ht="23.25" customHeight="1" x14ac:dyDescent="0.25">
      <c r="B104" s="159">
        <v>99</v>
      </c>
      <c r="C104" s="160" t="str">
        <f>IFERROR(INDEX($Q$6:$Q$505,MATCH(99,$S$6:$S$505,0)),"")</f>
        <v>Doç. Dr. Ceren GÜNENÇ BEŞER</v>
      </c>
      <c r="D104" s="161">
        <f>IF(C104="","",COUNTIFS(Başvuru!$C:$C,C104,Başvuru!$A:$A,"&lt;&gt;"&amp;"",Başvuru!$F:$F,"&lt;&gt;"&amp;""))</f>
        <v>2</v>
      </c>
      <c r="E104" s="159" t="str">
        <f>IF(C104="","-",IF(D104&gt;0,TEXT(D104/(COUNTIFS(Başvuru!$A:$A,"&lt;&gt;",Başvuru!$F:$F,"&lt;&gt;")-1)*100,"0.0")&amp;"%","-"))</f>
        <v>00%</v>
      </c>
      <c r="F104" s="162">
        <f>IF(C104="","",COUNTIFS(Başvuru!$C:$C,C104,Başvuru!$G:$G,"Bireysel Araştırma",Başvuru!$A:$A,"&lt;&gt;"&amp;"",Başvuru!$F:$F,"&lt;&gt;"&amp;""))</f>
        <v>0</v>
      </c>
      <c r="G104" s="162">
        <f>IF(C104="","",COUNTIFS(Başvuru!$C:$C,C104,Başvuru!$G:$G,"Uzmanlık Tezi",Başvuru!$A:$A,"&lt;&gt;"&amp;"",Başvuru!$F:$F,"&lt;&gt;"&amp;""))</f>
        <v>0</v>
      </c>
      <c r="H104" s="162">
        <f>IF(C104="","",COUNTIFS(Başvuru!$C:$C,C104,Başvuru!$G:$G,"Doktora Tezi",Başvuru!$A:$A,"&lt;&gt;"&amp;"",Başvuru!$F:$F,"&lt;&gt;"&amp;""))</f>
        <v>1</v>
      </c>
      <c r="I104" s="162">
        <f>IF(C104="","",COUNTIFS(Başvuru!$C:$C,C104,Başvuru!$G:$G,"Yüksek Lisans Tezi",Başvuru!$A:$A,"&lt;&gt;"&amp;"",Başvuru!$F:$F,"&lt;&gt;"&amp;""))</f>
        <v>1</v>
      </c>
      <c r="J104" s="163">
        <f>IF(C104="","",COUNTIFS(Başvuru!$C:$C,C104,Başvuru!$L:$L,"ONAY",Başvuru!$A:$A,"&lt;&gt;"&amp;"",Başvuru!$F:$F,"&lt;&gt;"&amp;""))</f>
        <v>2</v>
      </c>
      <c r="K104" s="164">
        <f>IF(C104="","",COUNTIFS(Başvuru!$C:$C,C104,Başvuru!$L:$L,"DÜZELTME",Başvuru!$A:$A,"&lt;&gt;"&amp;"",Başvuru!$F:$F,"&lt;&gt;"&amp;""))</f>
        <v>0</v>
      </c>
      <c r="L104" s="165">
        <f>IF(C104="","",COUNTIFS(Başvuru!$C:$C,C104,Başvuru!$L:$L,"KAEK",Başvuru!$A:$A,"&lt;&gt;"&amp;"",Başvuru!$F:$F,"&lt;&gt;"&amp;""))</f>
        <v>0</v>
      </c>
      <c r="M104" s="166">
        <f>IF(C104="","",COUNTIFS(Başvuru!$C:$C,C104,Başvuru!$L:$L,"GÖRÜŞ",Başvuru!$A:$A,"&lt;&gt;"&amp;"",Başvuru!$F:$F,"&lt;&gt;"&amp;""))</f>
        <v>0</v>
      </c>
      <c r="N104" s="167">
        <f>IF(C104="","",COUNTIFS(Başvuru!$C:$C,C104,Başvuru!$L:$L,"RET",Başvuru!$A:$A,"&lt;&gt;"&amp;"",Başvuru!$F:$F,"&lt;&gt;"&amp;""))</f>
        <v>0</v>
      </c>
      <c r="O104" s="168">
        <f>IF(C104="","",COUNTIFS(Başvuru!$C:$C,C104,Başvuru!$L:$L,"KAPSAM DIŞI",Başvuru!$A:$A,"&lt;&gt;"&amp;"",Başvuru!$F:$F,"&lt;&gt;"&amp;""))</f>
        <v>0</v>
      </c>
      <c r="P104" s="169">
        <f>IF(C104="","",COUNTIFS(Başvuru!$C:$C,C104,Başvuru!$L:$L,"GERİ ÇEKİLDİ",Başvuru!$A:$A,"&lt;&gt;"&amp;"",Başvuru!$F:$F,"&lt;&gt;"&amp;""))</f>
        <v>0</v>
      </c>
      <c r="Q104" s="170" t="str">
        <f>IFERROR(INDEX(Başvuru!$C$2:$C$1851,MATCH(99,Başvuru!$AB$2:$AB$1851,0)),"")</f>
        <v>Doç. Dr. Ceren ÖZKUL KOÇAK</v>
      </c>
      <c r="R104" s="171">
        <f>IF(Q104="","",COUNTIFS(Başvuru!$C:$C,Q104,Başvuru!$A:$A,"&lt;&gt;"&amp;"",Başvuru!$F:$F,"&lt;&gt;"&amp;""))</f>
        <v>2</v>
      </c>
      <c r="S104" s="171">
        <f>IF(R104="","",RANK(R104,$R$6:$R$505,0)+COUNTIF($R$6:R104,R104)-1)</f>
        <v>101</v>
      </c>
    </row>
    <row r="105" spans="2:19" ht="23.25" customHeight="1" x14ac:dyDescent="0.25">
      <c r="B105" s="159">
        <v>100</v>
      </c>
      <c r="C105" s="160" t="str">
        <f>IFERROR(INDEX($Q$6:$Q$505,MATCH(100,$S$6:$S$505,0)),"")</f>
        <v>Prof. Dr. Rıza Köksal ÖZGÜL</v>
      </c>
      <c r="D105" s="161">
        <f>IF(C105="","",COUNTIFS(Başvuru!$C:$C,C105,Başvuru!$A:$A,"&lt;&gt;"&amp;"",Başvuru!$F:$F,"&lt;&gt;"&amp;""))</f>
        <v>2</v>
      </c>
      <c r="E105" s="159" t="str">
        <f>IF(C105="","-",IF(D105&gt;0,TEXT(D105/(COUNTIFS(Başvuru!$A:$A,"&lt;&gt;",Başvuru!$F:$F,"&lt;&gt;")-1)*100,"0.0")&amp;"%","-"))</f>
        <v>00%</v>
      </c>
      <c r="F105" s="162">
        <f>IF(C105="","",COUNTIFS(Başvuru!$C:$C,C105,Başvuru!$G:$G,"Bireysel Araştırma",Başvuru!$A:$A,"&lt;&gt;"&amp;"",Başvuru!$F:$F,"&lt;&gt;"&amp;""))</f>
        <v>1</v>
      </c>
      <c r="G105" s="162">
        <f>IF(C105="","",COUNTIFS(Başvuru!$C:$C,C105,Başvuru!$G:$G,"Uzmanlık Tezi",Başvuru!$A:$A,"&lt;&gt;"&amp;"",Başvuru!$F:$F,"&lt;&gt;"&amp;""))</f>
        <v>0</v>
      </c>
      <c r="H105" s="162">
        <f>IF(C105="","",COUNTIFS(Başvuru!$C:$C,C105,Başvuru!$G:$G,"Doktora Tezi",Başvuru!$A:$A,"&lt;&gt;"&amp;"",Başvuru!$F:$F,"&lt;&gt;"&amp;""))</f>
        <v>0</v>
      </c>
      <c r="I105" s="162">
        <f>IF(C105="","",COUNTIFS(Başvuru!$C:$C,C105,Başvuru!$G:$G,"Yüksek Lisans Tezi",Başvuru!$A:$A,"&lt;&gt;"&amp;"",Başvuru!$F:$F,"&lt;&gt;"&amp;""))</f>
        <v>1</v>
      </c>
      <c r="J105" s="163">
        <f>IF(C105="","",COUNTIFS(Başvuru!$C:$C,C105,Başvuru!$L:$L,"ONAY",Başvuru!$A:$A,"&lt;&gt;"&amp;"",Başvuru!$F:$F,"&lt;&gt;"&amp;""))</f>
        <v>0</v>
      </c>
      <c r="K105" s="164">
        <f>IF(C105="","",COUNTIFS(Başvuru!$C:$C,C105,Başvuru!$L:$L,"DÜZELTME",Başvuru!$A:$A,"&lt;&gt;"&amp;"",Başvuru!$F:$F,"&lt;&gt;"&amp;""))</f>
        <v>2</v>
      </c>
      <c r="L105" s="165">
        <f>IF(C105="","",COUNTIFS(Başvuru!$C:$C,C105,Başvuru!$L:$L,"KAEK",Başvuru!$A:$A,"&lt;&gt;"&amp;"",Başvuru!$F:$F,"&lt;&gt;"&amp;""))</f>
        <v>0</v>
      </c>
      <c r="M105" s="166">
        <f>IF(C105="","",COUNTIFS(Başvuru!$C:$C,C105,Başvuru!$L:$L,"GÖRÜŞ",Başvuru!$A:$A,"&lt;&gt;"&amp;"",Başvuru!$F:$F,"&lt;&gt;"&amp;""))</f>
        <v>0</v>
      </c>
      <c r="N105" s="167">
        <f>IF(C105="","",COUNTIFS(Başvuru!$C:$C,C105,Başvuru!$L:$L,"RET",Başvuru!$A:$A,"&lt;&gt;"&amp;"",Başvuru!$F:$F,"&lt;&gt;"&amp;""))</f>
        <v>0</v>
      </c>
      <c r="O105" s="168">
        <f>IF(C105="","",COUNTIFS(Başvuru!$C:$C,C105,Başvuru!$L:$L,"KAPSAM DIŞI",Başvuru!$A:$A,"&lt;&gt;"&amp;"",Başvuru!$F:$F,"&lt;&gt;"&amp;""))</f>
        <v>0</v>
      </c>
      <c r="P105" s="169">
        <f>IF(C105="","",COUNTIFS(Başvuru!$C:$C,C105,Başvuru!$L:$L,"GERİ ÇEKİLDİ",Başvuru!$A:$A,"&lt;&gt;"&amp;"",Başvuru!$F:$F,"&lt;&gt;"&amp;""))</f>
        <v>0</v>
      </c>
      <c r="Q105" s="170" t="str">
        <f>IFERROR(INDEX(Başvuru!$C$2:$C$1851,MATCH(100,Başvuru!$AB$2:$AB$1851,0)),"")</f>
        <v>Dr. Öğr. Üyesi Ayşe METE YEŞİL</v>
      </c>
      <c r="R105" s="171">
        <f>IF(Q105="","",COUNTIFS(Başvuru!$C:$C,Q105,Başvuru!$A:$A,"&lt;&gt;"&amp;"",Başvuru!$F:$F,"&lt;&gt;"&amp;""))</f>
        <v>2</v>
      </c>
      <c r="S105" s="171">
        <f>IF(R105="","",RANK(R105,$R$6:$R$505,0)+COUNTIF($R$6:R105,R105)-1)</f>
        <v>102</v>
      </c>
    </row>
    <row r="106" spans="2:19" ht="23.25" customHeight="1" x14ac:dyDescent="0.25">
      <c r="B106" s="159">
        <v>101</v>
      </c>
      <c r="C106" s="160" t="str">
        <f>IFERROR(INDEX($Q$6:$Q$505,MATCH(101,$S$6:$S$505,0)),"")</f>
        <v>Doç. Dr. Ceren ÖZKUL KOÇAK</v>
      </c>
      <c r="D106" s="161">
        <f>IF(C106="","",COUNTIFS(Başvuru!$C:$C,C106,Başvuru!$A:$A,"&lt;&gt;"&amp;"",Başvuru!$F:$F,"&lt;&gt;"&amp;""))</f>
        <v>2</v>
      </c>
      <c r="E106" s="159" t="str">
        <f>IF(C106="","-",IF(D106&gt;0,TEXT(D106/(COUNTIFS(Başvuru!$A:$A,"&lt;&gt;",Başvuru!$F:$F,"&lt;&gt;")-1)*100,"0.0")&amp;"%","-"))</f>
        <v>00%</v>
      </c>
      <c r="F106" s="162">
        <f>IF(C106="","",COUNTIFS(Başvuru!$C:$C,C106,Başvuru!$G:$G,"Bireysel Araştırma",Başvuru!$A:$A,"&lt;&gt;"&amp;"",Başvuru!$F:$F,"&lt;&gt;"&amp;""))</f>
        <v>1</v>
      </c>
      <c r="G106" s="162">
        <f>IF(C106="","",COUNTIFS(Başvuru!$C:$C,C106,Başvuru!$G:$G,"Uzmanlık Tezi",Başvuru!$A:$A,"&lt;&gt;"&amp;"",Başvuru!$F:$F,"&lt;&gt;"&amp;""))</f>
        <v>0</v>
      </c>
      <c r="H106" s="162">
        <f>IF(C106="","",COUNTIFS(Başvuru!$C:$C,C106,Başvuru!$G:$G,"Doktora Tezi",Başvuru!$A:$A,"&lt;&gt;"&amp;"",Başvuru!$F:$F,"&lt;&gt;"&amp;""))</f>
        <v>1</v>
      </c>
      <c r="I106" s="162">
        <f>IF(C106="","",COUNTIFS(Başvuru!$C:$C,C106,Başvuru!$G:$G,"Yüksek Lisans Tezi",Başvuru!$A:$A,"&lt;&gt;"&amp;"",Başvuru!$F:$F,"&lt;&gt;"&amp;""))</f>
        <v>0</v>
      </c>
      <c r="J106" s="163">
        <f>IF(C106="","",COUNTIFS(Başvuru!$C:$C,C106,Başvuru!$L:$L,"ONAY",Başvuru!$A:$A,"&lt;&gt;"&amp;"",Başvuru!$F:$F,"&lt;&gt;"&amp;""))</f>
        <v>0</v>
      </c>
      <c r="K106" s="164">
        <f>IF(C106="","",COUNTIFS(Başvuru!$C:$C,C106,Başvuru!$L:$L,"DÜZELTME",Başvuru!$A:$A,"&lt;&gt;"&amp;"",Başvuru!$F:$F,"&lt;&gt;"&amp;""))</f>
        <v>2</v>
      </c>
      <c r="L106" s="165">
        <f>IF(C106="","",COUNTIFS(Başvuru!$C:$C,C106,Başvuru!$L:$L,"KAEK",Başvuru!$A:$A,"&lt;&gt;"&amp;"",Başvuru!$F:$F,"&lt;&gt;"&amp;""))</f>
        <v>0</v>
      </c>
      <c r="M106" s="166">
        <f>IF(C106="","",COUNTIFS(Başvuru!$C:$C,C106,Başvuru!$L:$L,"GÖRÜŞ",Başvuru!$A:$A,"&lt;&gt;"&amp;"",Başvuru!$F:$F,"&lt;&gt;"&amp;""))</f>
        <v>0</v>
      </c>
      <c r="N106" s="167">
        <f>IF(C106="","",COUNTIFS(Başvuru!$C:$C,C106,Başvuru!$L:$L,"RET",Başvuru!$A:$A,"&lt;&gt;"&amp;"",Başvuru!$F:$F,"&lt;&gt;"&amp;""))</f>
        <v>0</v>
      </c>
      <c r="O106" s="168">
        <f>IF(C106="","",COUNTIFS(Başvuru!$C:$C,C106,Başvuru!$L:$L,"KAPSAM DIŞI",Başvuru!$A:$A,"&lt;&gt;"&amp;"",Başvuru!$F:$F,"&lt;&gt;"&amp;""))</f>
        <v>0</v>
      </c>
      <c r="P106" s="169">
        <f>IF(C106="","",COUNTIFS(Başvuru!$C:$C,C106,Başvuru!$L:$L,"GERİ ÇEKİLDİ",Başvuru!$A:$A,"&lt;&gt;"&amp;"",Başvuru!$F:$F,"&lt;&gt;"&amp;""))</f>
        <v>0</v>
      </c>
      <c r="Q106" s="170" t="str">
        <f>IFERROR(INDEX(Başvuru!$C$2:$C$1851,MATCH(101,Başvuru!$AB$2:$AB$1851,0)),"")</f>
        <v>Prof. Dr. Dilşad FOTO ÖZDEMİR</v>
      </c>
      <c r="R106" s="171">
        <f>IF(Q106="","",COUNTIFS(Başvuru!$C:$C,Q106,Başvuru!$A:$A,"&lt;&gt;"&amp;"",Başvuru!$F:$F,"&lt;&gt;"&amp;""))</f>
        <v>1</v>
      </c>
      <c r="S106" s="171">
        <f>IF(R106="","",RANK(R106,$R$6:$R$505,0)+COUNTIF($R$6:R106,R106)-1)</f>
        <v>193</v>
      </c>
    </row>
    <row r="107" spans="2:19" ht="23.25" customHeight="1" x14ac:dyDescent="0.25">
      <c r="B107" s="159">
        <v>102</v>
      </c>
      <c r="C107" s="160" t="str">
        <f>IFERROR(INDEX($Q$6:$Q$505,MATCH(102,$S$6:$S$505,0)),"")</f>
        <v>Dr. Öğr. Üyesi Ayşe METE YEŞİL</v>
      </c>
      <c r="D107" s="161">
        <f>IF(C107="","",COUNTIFS(Başvuru!$C:$C,C107,Başvuru!$A:$A,"&lt;&gt;"&amp;"",Başvuru!$F:$F,"&lt;&gt;"&amp;""))</f>
        <v>2</v>
      </c>
      <c r="E107" s="159" t="str">
        <f>IF(C107="","-",IF(D107&gt;0,TEXT(D107/(COUNTIFS(Başvuru!$A:$A,"&lt;&gt;",Başvuru!$F:$F,"&lt;&gt;")-1)*100,"0.0")&amp;"%","-"))</f>
        <v>00%</v>
      </c>
      <c r="F107" s="162">
        <f>IF(C107="","",COUNTIFS(Başvuru!$C:$C,C107,Başvuru!$G:$G,"Bireysel Araştırma",Başvuru!$A:$A,"&lt;&gt;"&amp;"",Başvuru!$F:$F,"&lt;&gt;"&amp;""))</f>
        <v>1</v>
      </c>
      <c r="G107" s="162">
        <f>IF(C107="","",COUNTIFS(Başvuru!$C:$C,C107,Başvuru!$G:$G,"Uzmanlık Tezi",Başvuru!$A:$A,"&lt;&gt;"&amp;"",Başvuru!$F:$F,"&lt;&gt;"&amp;""))</f>
        <v>1</v>
      </c>
      <c r="H107" s="162">
        <f>IF(C107="","",COUNTIFS(Başvuru!$C:$C,C107,Başvuru!$G:$G,"Doktora Tezi",Başvuru!$A:$A,"&lt;&gt;"&amp;"",Başvuru!$F:$F,"&lt;&gt;"&amp;""))</f>
        <v>0</v>
      </c>
      <c r="I107" s="162">
        <f>IF(C107="","",COUNTIFS(Başvuru!$C:$C,C107,Başvuru!$G:$G,"Yüksek Lisans Tezi",Başvuru!$A:$A,"&lt;&gt;"&amp;"",Başvuru!$F:$F,"&lt;&gt;"&amp;""))</f>
        <v>0</v>
      </c>
      <c r="J107" s="163">
        <f>IF(C107="","",COUNTIFS(Başvuru!$C:$C,C107,Başvuru!$L:$L,"ONAY",Başvuru!$A:$A,"&lt;&gt;"&amp;"",Başvuru!$F:$F,"&lt;&gt;"&amp;""))</f>
        <v>0</v>
      </c>
      <c r="K107" s="164">
        <f>IF(C107="","",COUNTIFS(Başvuru!$C:$C,C107,Başvuru!$L:$L,"DÜZELTME",Başvuru!$A:$A,"&lt;&gt;"&amp;"",Başvuru!$F:$F,"&lt;&gt;"&amp;""))</f>
        <v>2</v>
      </c>
      <c r="L107" s="165">
        <f>IF(C107="","",COUNTIFS(Başvuru!$C:$C,C107,Başvuru!$L:$L,"KAEK",Başvuru!$A:$A,"&lt;&gt;"&amp;"",Başvuru!$F:$F,"&lt;&gt;"&amp;""))</f>
        <v>0</v>
      </c>
      <c r="M107" s="166">
        <f>IF(C107="","",COUNTIFS(Başvuru!$C:$C,C107,Başvuru!$L:$L,"GÖRÜŞ",Başvuru!$A:$A,"&lt;&gt;"&amp;"",Başvuru!$F:$F,"&lt;&gt;"&amp;""))</f>
        <v>0</v>
      </c>
      <c r="N107" s="167">
        <f>IF(C107="","",COUNTIFS(Başvuru!$C:$C,C107,Başvuru!$L:$L,"RET",Başvuru!$A:$A,"&lt;&gt;"&amp;"",Başvuru!$F:$F,"&lt;&gt;"&amp;""))</f>
        <v>0</v>
      </c>
      <c r="O107" s="168">
        <f>IF(C107="","",COUNTIFS(Başvuru!$C:$C,C107,Başvuru!$L:$L,"KAPSAM DIŞI",Başvuru!$A:$A,"&lt;&gt;"&amp;"",Başvuru!$F:$F,"&lt;&gt;"&amp;""))</f>
        <v>0</v>
      </c>
      <c r="P107" s="169">
        <f>IF(C107="","",COUNTIFS(Başvuru!$C:$C,C107,Başvuru!$L:$L,"GERİ ÇEKİLDİ",Başvuru!$A:$A,"&lt;&gt;"&amp;"",Başvuru!$F:$F,"&lt;&gt;"&amp;""))</f>
        <v>0</v>
      </c>
      <c r="Q107" s="170" t="str">
        <f>IFERROR(INDEX(Başvuru!$C$2:$C$1851,MATCH(102,Başvuru!$AB$2:$AB$1851,0)),"")</f>
        <v>Prof. Dr. Serdar ÖZER</v>
      </c>
      <c r="R107" s="171">
        <f>IF(Q107="","",COUNTIFS(Başvuru!$C:$C,Q107,Başvuru!$A:$A,"&lt;&gt;"&amp;"",Başvuru!$F:$F,"&lt;&gt;"&amp;""))</f>
        <v>2</v>
      </c>
      <c r="S107" s="171">
        <f>IF(R107="","",RANK(R107,$R$6:$R$505,0)+COUNTIF($R$6:R107,R107)-1)</f>
        <v>103</v>
      </c>
    </row>
    <row r="108" spans="2:19" ht="23.25" customHeight="1" x14ac:dyDescent="0.25">
      <c r="B108" s="159">
        <v>103</v>
      </c>
      <c r="C108" s="160" t="str">
        <f>IFERROR(INDEX($Q$6:$Q$505,MATCH(103,$S$6:$S$505,0)),"")</f>
        <v>Prof. Dr. Serdar ÖZER</v>
      </c>
      <c r="D108" s="161">
        <f>IF(C108="","",COUNTIFS(Başvuru!$C:$C,C108,Başvuru!$A:$A,"&lt;&gt;"&amp;"",Başvuru!$F:$F,"&lt;&gt;"&amp;""))</f>
        <v>2</v>
      </c>
      <c r="E108" s="159" t="str">
        <f>IF(C108="","-",IF(D108&gt;0,TEXT(D108/(COUNTIFS(Başvuru!$A:$A,"&lt;&gt;",Başvuru!$F:$F,"&lt;&gt;")-1)*100,"0.0")&amp;"%","-"))</f>
        <v>00%</v>
      </c>
      <c r="F108" s="162">
        <f>IF(C108="","",COUNTIFS(Başvuru!$C:$C,C108,Başvuru!$G:$G,"Bireysel Araştırma",Başvuru!$A:$A,"&lt;&gt;"&amp;"",Başvuru!$F:$F,"&lt;&gt;"&amp;""))</f>
        <v>1</v>
      </c>
      <c r="G108" s="162">
        <f>IF(C108="","",COUNTIFS(Başvuru!$C:$C,C108,Başvuru!$G:$G,"Uzmanlık Tezi",Başvuru!$A:$A,"&lt;&gt;"&amp;"",Başvuru!$F:$F,"&lt;&gt;"&amp;""))</f>
        <v>1</v>
      </c>
      <c r="H108" s="162">
        <f>IF(C108="","",COUNTIFS(Başvuru!$C:$C,C108,Başvuru!$G:$G,"Doktora Tezi",Başvuru!$A:$A,"&lt;&gt;"&amp;"",Başvuru!$F:$F,"&lt;&gt;"&amp;""))</f>
        <v>0</v>
      </c>
      <c r="I108" s="162">
        <f>IF(C108="","",COUNTIFS(Başvuru!$C:$C,C108,Başvuru!$G:$G,"Yüksek Lisans Tezi",Başvuru!$A:$A,"&lt;&gt;"&amp;"",Başvuru!$F:$F,"&lt;&gt;"&amp;""))</f>
        <v>0</v>
      </c>
      <c r="J108" s="163">
        <f>IF(C108="","",COUNTIFS(Başvuru!$C:$C,C108,Başvuru!$L:$L,"ONAY",Başvuru!$A:$A,"&lt;&gt;"&amp;"",Başvuru!$F:$F,"&lt;&gt;"&amp;""))</f>
        <v>1</v>
      </c>
      <c r="K108" s="164">
        <f>IF(C108="","",COUNTIFS(Başvuru!$C:$C,C108,Başvuru!$L:$L,"DÜZELTME",Başvuru!$A:$A,"&lt;&gt;"&amp;"",Başvuru!$F:$F,"&lt;&gt;"&amp;""))</f>
        <v>0</v>
      </c>
      <c r="L108" s="165">
        <f>IF(C108="","",COUNTIFS(Başvuru!$C:$C,C108,Başvuru!$L:$L,"KAEK",Başvuru!$A:$A,"&lt;&gt;"&amp;"",Başvuru!$F:$F,"&lt;&gt;"&amp;""))</f>
        <v>0</v>
      </c>
      <c r="M108" s="166">
        <f>IF(C108="","",COUNTIFS(Başvuru!$C:$C,C108,Başvuru!$L:$L,"GÖRÜŞ",Başvuru!$A:$A,"&lt;&gt;"&amp;"",Başvuru!$F:$F,"&lt;&gt;"&amp;""))</f>
        <v>0</v>
      </c>
      <c r="N108" s="167">
        <f>IF(C108="","",COUNTIFS(Başvuru!$C:$C,C108,Başvuru!$L:$L,"RET",Başvuru!$A:$A,"&lt;&gt;"&amp;"",Başvuru!$F:$F,"&lt;&gt;"&amp;""))</f>
        <v>1</v>
      </c>
      <c r="O108" s="168">
        <f>IF(C108="","",COUNTIFS(Başvuru!$C:$C,C108,Başvuru!$L:$L,"KAPSAM DIŞI",Başvuru!$A:$A,"&lt;&gt;"&amp;"",Başvuru!$F:$F,"&lt;&gt;"&amp;""))</f>
        <v>0</v>
      </c>
      <c r="P108" s="169">
        <f>IF(C108="","",COUNTIFS(Başvuru!$C:$C,C108,Başvuru!$L:$L,"GERİ ÇEKİLDİ",Başvuru!$A:$A,"&lt;&gt;"&amp;"",Başvuru!$F:$F,"&lt;&gt;"&amp;""))</f>
        <v>0</v>
      </c>
      <c r="Q108" s="170" t="str">
        <f>IFERROR(INDEX(Başvuru!$C$2:$C$1851,MATCH(103,Başvuru!$AB$2:$AB$1851,0)),"")</f>
        <v>Prof. Dr. Yahya BÜYÜKAŞIK</v>
      </c>
      <c r="R108" s="171">
        <f>IF(Q108="","",COUNTIFS(Başvuru!$C:$C,Q108,Başvuru!$A:$A,"&lt;&gt;"&amp;"",Başvuru!$F:$F,"&lt;&gt;"&amp;""))</f>
        <v>2</v>
      </c>
      <c r="S108" s="171">
        <f>IF(R108="","",RANK(R108,$R$6:$R$505,0)+COUNTIF($R$6:R108,R108)-1)</f>
        <v>104</v>
      </c>
    </row>
    <row r="109" spans="2:19" ht="23.25" customHeight="1" x14ac:dyDescent="0.25">
      <c r="B109" s="159">
        <v>104</v>
      </c>
      <c r="C109" s="160" t="str">
        <f>IFERROR(INDEX($Q$6:$Q$505,MATCH(104,$S$6:$S$505,0)),"")</f>
        <v>Prof. Dr. Yahya BÜYÜKAŞIK</v>
      </c>
      <c r="D109" s="161">
        <f>IF(C109="","",COUNTIFS(Başvuru!$C:$C,C109,Başvuru!$A:$A,"&lt;&gt;"&amp;"",Başvuru!$F:$F,"&lt;&gt;"&amp;""))</f>
        <v>2</v>
      </c>
      <c r="E109" s="159" t="str">
        <f>IF(C109="","-",IF(D109&gt;0,TEXT(D109/(COUNTIFS(Başvuru!$A:$A,"&lt;&gt;",Başvuru!$F:$F,"&lt;&gt;")-1)*100,"0.0")&amp;"%","-"))</f>
        <v>00%</v>
      </c>
      <c r="F109" s="162">
        <f>IF(C109="","",COUNTIFS(Başvuru!$C:$C,C109,Başvuru!$G:$G,"Bireysel Araştırma",Başvuru!$A:$A,"&lt;&gt;"&amp;"",Başvuru!$F:$F,"&lt;&gt;"&amp;""))</f>
        <v>1</v>
      </c>
      <c r="G109" s="162">
        <f>IF(C109="","",COUNTIFS(Başvuru!$C:$C,C109,Başvuru!$G:$G,"Uzmanlık Tezi",Başvuru!$A:$A,"&lt;&gt;"&amp;"",Başvuru!$F:$F,"&lt;&gt;"&amp;""))</f>
        <v>1</v>
      </c>
      <c r="H109" s="162">
        <f>IF(C109="","",COUNTIFS(Başvuru!$C:$C,C109,Başvuru!$G:$G,"Doktora Tezi",Başvuru!$A:$A,"&lt;&gt;"&amp;"",Başvuru!$F:$F,"&lt;&gt;"&amp;""))</f>
        <v>0</v>
      </c>
      <c r="I109" s="162">
        <f>IF(C109="","",COUNTIFS(Başvuru!$C:$C,C109,Başvuru!$G:$G,"Yüksek Lisans Tezi",Başvuru!$A:$A,"&lt;&gt;"&amp;"",Başvuru!$F:$F,"&lt;&gt;"&amp;""))</f>
        <v>0</v>
      </c>
      <c r="J109" s="163">
        <f>IF(C109="","",COUNTIFS(Başvuru!$C:$C,C109,Başvuru!$L:$L,"ONAY",Başvuru!$A:$A,"&lt;&gt;"&amp;"",Başvuru!$F:$F,"&lt;&gt;"&amp;""))</f>
        <v>2</v>
      </c>
      <c r="K109" s="164">
        <f>IF(C109="","",COUNTIFS(Başvuru!$C:$C,C109,Başvuru!$L:$L,"DÜZELTME",Başvuru!$A:$A,"&lt;&gt;"&amp;"",Başvuru!$F:$F,"&lt;&gt;"&amp;""))</f>
        <v>0</v>
      </c>
      <c r="L109" s="165">
        <f>IF(C109="","",COUNTIFS(Başvuru!$C:$C,C109,Başvuru!$L:$L,"KAEK",Başvuru!$A:$A,"&lt;&gt;"&amp;"",Başvuru!$F:$F,"&lt;&gt;"&amp;""))</f>
        <v>0</v>
      </c>
      <c r="M109" s="166">
        <f>IF(C109="","",COUNTIFS(Başvuru!$C:$C,C109,Başvuru!$L:$L,"GÖRÜŞ",Başvuru!$A:$A,"&lt;&gt;"&amp;"",Başvuru!$F:$F,"&lt;&gt;"&amp;""))</f>
        <v>0</v>
      </c>
      <c r="N109" s="167">
        <f>IF(C109="","",COUNTIFS(Başvuru!$C:$C,C109,Başvuru!$L:$L,"RET",Başvuru!$A:$A,"&lt;&gt;"&amp;"",Başvuru!$F:$F,"&lt;&gt;"&amp;""))</f>
        <v>0</v>
      </c>
      <c r="O109" s="168">
        <f>IF(C109="","",COUNTIFS(Başvuru!$C:$C,C109,Başvuru!$L:$L,"KAPSAM DIŞI",Başvuru!$A:$A,"&lt;&gt;"&amp;"",Başvuru!$F:$F,"&lt;&gt;"&amp;""))</f>
        <v>0</v>
      </c>
      <c r="P109" s="169">
        <f>IF(C109="","",COUNTIFS(Başvuru!$C:$C,C109,Başvuru!$L:$L,"GERİ ÇEKİLDİ",Başvuru!$A:$A,"&lt;&gt;"&amp;"",Başvuru!$F:$F,"&lt;&gt;"&amp;""))</f>
        <v>0</v>
      </c>
      <c r="Q109" s="170" t="str">
        <f>IFERROR(INDEX(Başvuru!$C$2:$C$1851,MATCH(104,Başvuru!$AB$2:$AB$1851,0)),"")</f>
        <v>Prof. Dr. Aygin EKİNCİOĞLU</v>
      </c>
      <c r="R109" s="171">
        <f>IF(Q109="","",COUNTIFS(Başvuru!$C:$C,Q109,Başvuru!$A:$A,"&lt;&gt;"&amp;"",Başvuru!$F:$F,"&lt;&gt;"&amp;""))</f>
        <v>2</v>
      </c>
      <c r="S109" s="171">
        <f>IF(R109="","",RANK(R109,$R$6:$R$505,0)+COUNTIF($R$6:R109,R109)-1)</f>
        <v>105</v>
      </c>
    </row>
    <row r="110" spans="2:19" ht="23.25" customHeight="1" x14ac:dyDescent="0.25">
      <c r="B110" s="159">
        <v>105</v>
      </c>
      <c r="C110" s="160" t="str">
        <f>IFERROR(INDEX($Q$6:$Q$505,MATCH(105,$S$6:$S$505,0)),"")</f>
        <v>Prof. Dr. Aygin EKİNCİOĞLU</v>
      </c>
      <c r="D110" s="161">
        <f>IF(C110="","",COUNTIFS(Başvuru!$C:$C,C110,Başvuru!$A:$A,"&lt;&gt;"&amp;"",Başvuru!$F:$F,"&lt;&gt;"&amp;""))</f>
        <v>2</v>
      </c>
      <c r="E110" s="159" t="str">
        <f>IF(C110="","-",IF(D110&gt;0,TEXT(D110/(COUNTIFS(Başvuru!$A:$A,"&lt;&gt;",Başvuru!$F:$F,"&lt;&gt;")-1)*100,"0.0")&amp;"%","-"))</f>
        <v>00%</v>
      </c>
      <c r="F110" s="162">
        <f>IF(C110="","",COUNTIFS(Başvuru!$C:$C,C110,Başvuru!$G:$G,"Bireysel Araştırma",Başvuru!$A:$A,"&lt;&gt;"&amp;"",Başvuru!$F:$F,"&lt;&gt;"&amp;""))</f>
        <v>1</v>
      </c>
      <c r="G110" s="162">
        <f>IF(C110="","",COUNTIFS(Başvuru!$C:$C,C110,Başvuru!$G:$G,"Uzmanlık Tezi",Başvuru!$A:$A,"&lt;&gt;"&amp;"",Başvuru!$F:$F,"&lt;&gt;"&amp;""))</f>
        <v>1</v>
      </c>
      <c r="H110" s="162">
        <f>IF(C110="","",COUNTIFS(Başvuru!$C:$C,C110,Başvuru!$G:$G,"Doktora Tezi",Başvuru!$A:$A,"&lt;&gt;"&amp;"",Başvuru!$F:$F,"&lt;&gt;"&amp;""))</f>
        <v>0</v>
      </c>
      <c r="I110" s="162">
        <f>IF(C110="","",COUNTIFS(Başvuru!$C:$C,C110,Başvuru!$G:$G,"Yüksek Lisans Tezi",Başvuru!$A:$A,"&lt;&gt;"&amp;"",Başvuru!$F:$F,"&lt;&gt;"&amp;""))</f>
        <v>0</v>
      </c>
      <c r="J110" s="163">
        <f>IF(C110="","",COUNTIFS(Başvuru!$C:$C,C110,Başvuru!$L:$L,"ONAY",Başvuru!$A:$A,"&lt;&gt;"&amp;"",Başvuru!$F:$F,"&lt;&gt;"&amp;""))</f>
        <v>0</v>
      </c>
      <c r="K110" s="164">
        <f>IF(C110="","",COUNTIFS(Başvuru!$C:$C,C110,Başvuru!$L:$L,"DÜZELTME",Başvuru!$A:$A,"&lt;&gt;"&amp;"",Başvuru!$F:$F,"&lt;&gt;"&amp;""))</f>
        <v>1</v>
      </c>
      <c r="L110" s="165">
        <f>IF(C110="","",COUNTIFS(Başvuru!$C:$C,C110,Başvuru!$L:$L,"KAEK",Başvuru!$A:$A,"&lt;&gt;"&amp;"",Başvuru!$F:$F,"&lt;&gt;"&amp;""))</f>
        <v>0</v>
      </c>
      <c r="M110" s="166">
        <f>IF(C110="","",COUNTIFS(Başvuru!$C:$C,C110,Başvuru!$L:$L,"GÖRÜŞ",Başvuru!$A:$A,"&lt;&gt;"&amp;"",Başvuru!$F:$F,"&lt;&gt;"&amp;""))</f>
        <v>1</v>
      </c>
      <c r="N110" s="167">
        <f>IF(C110="","",COUNTIFS(Başvuru!$C:$C,C110,Başvuru!$L:$L,"RET",Başvuru!$A:$A,"&lt;&gt;"&amp;"",Başvuru!$F:$F,"&lt;&gt;"&amp;""))</f>
        <v>0</v>
      </c>
      <c r="O110" s="168">
        <f>IF(C110="","",COUNTIFS(Başvuru!$C:$C,C110,Başvuru!$L:$L,"KAPSAM DIŞI",Başvuru!$A:$A,"&lt;&gt;"&amp;"",Başvuru!$F:$F,"&lt;&gt;"&amp;""))</f>
        <v>0</v>
      </c>
      <c r="P110" s="169">
        <f>IF(C110="","",COUNTIFS(Başvuru!$C:$C,C110,Başvuru!$L:$L,"GERİ ÇEKİLDİ",Başvuru!$A:$A,"&lt;&gt;"&amp;"",Başvuru!$F:$F,"&lt;&gt;"&amp;""))</f>
        <v>0</v>
      </c>
      <c r="Q110" s="170" t="str">
        <f>IFERROR(INDEX(Başvuru!$C$2:$C$1851,MATCH(105,Başvuru!$AB$2:$AB$1851,0)),"")</f>
        <v>Dr. Öğr. Üyesi Arda ÇETİNKAYA</v>
      </c>
      <c r="R110" s="171">
        <f>IF(Q110="","",COUNTIFS(Başvuru!$C:$C,Q110,Başvuru!$A:$A,"&lt;&gt;"&amp;"",Başvuru!$F:$F,"&lt;&gt;"&amp;""))</f>
        <v>2</v>
      </c>
      <c r="S110" s="171">
        <f>IF(R110="","",RANK(R110,$R$6:$R$505,0)+COUNTIF($R$6:R110,R110)-1)</f>
        <v>106</v>
      </c>
    </row>
    <row r="111" spans="2:19" ht="23.25" customHeight="1" x14ac:dyDescent="0.25">
      <c r="B111" s="159">
        <v>106</v>
      </c>
      <c r="C111" s="160" t="str">
        <f>IFERROR(INDEX($Q$6:$Q$505,MATCH(106,$S$6:$S$505,0)),"")</f>
        <v>Dr. Öğr. Üyesi Arda ÇETİNKAYA</v>
      </c>
      <c r="D111" s="161">
        <f>IF(C111="","",COUNTIFS(Başvuru!$C:$C,C111,Başvuru!$A:$A,"&lt;&gt;"&amp;"",Başvuru!$F:$F,"&lt;&gt;"&amp;""))</f>
        <v>2</v>
      </c>
      <c r="E111" s="159" t="str">
        <f>IF(C111="","-",IF(D111&gt;0,TEXT(D111/(COUNTIFS(Başvuru!$A:$A,"&lt;&gt;",Başvuru!$F:$F,"&lt;&gt;")-1)*100,"0.0")&amp;"%","-"))</f>
        <v>00%</v>
      </c>
      <c r="F111" s="162">
        <f>IF(C111="","",COUNTIFS(Başvuru!$C:$C,C111,Başvuru!$G:$G,"Bireysel Araştırma",Başvuru!$A:$A,"&lt;&gt;"&amp;"",Başvuru!$F:$F,"&lt;&gt;"&amp;""))</f>
        <v>0</v>
      </c>
      <c r="G111" s="162">
        <f>IF(C111="","",COUNTIFS(Başvuru!$C:$C,C111,Başvuru!$G:$G,"Uzmanlık Tezi",Başvuru!$A:$A,"&lt;&gt;"&amp;"",Başvuru!$F:$F,"&lt;&gt;"&amp;""))</f>
        <v>1</v>
      </c>
      <c r="H111" s="162">
        <f>IF(C111="","",COUNTIFS(Başvuru!$C:$C,C111,Başvuru!$G:$G,"Doktora Tezi",Başvuru!$A:$A,"&lt;&gt;"&amp;"",Başvuru!$F:$F,"&lt;&gt;"&amp;""))</f>
        <v>0</v>
      </c>
      <c r="I111" s="162">
        <f>IF(C111="","",COUNTIFS(Başvuru!$C:$C,C111,Başvuru!$G:$G,"Yüksek Lisans Tezi",Başvuru!$A:$A,"&lt;&gt;"&amp;"",Başvuru!$F:$F,"&lt;&gt;"&amp;""))</f>
        <v>1</v>
      </c>
      <c r="J111" s="163">
        <f>IF(C111="","",COUNTIFS(Başvuru!$C:$C,C111,Başvuru!$L:$L,"ONAY",Başvuru!$A:$A,"&lt;&gt;"&amp;"",Başvuru!$F:$F,"&lt;&gt;"&amp;""))</f>
        <v>2</v>
      </c>
      <c r="K111" s="164">
        <f>IF(C111="","",COUNTIFS(Başvuru!$C:$C,C111,Başvuru!$L:$L,"DÜZELTME",Başvuru!$A:$A,"&lt;&gt;"&amp;"",Başvuru!$F:$F,"&lt;&gt;"&amp;""))</f>
        <v>0</v>
      </c>
      <c r="L111" s="165">
        <f>IF(C111="","",COUNTIFS(Başvuru!$C:$C,C111,Başvuru!$L:$L,"KAEK",Başvuru!$A:$A,"&lt;&gt;"&amp;"",Başvuru!$F:$F,"&lt;&gt;"&amp;""))</f>
        <v>0</v>
      </c>
      <c r="M111" s="166">
        <f>IF(C111="","",COUNTIFS(Başvuru!$C:$C,C111,Başvuru!$L:$L,"GÖRÜŞ",Başvuru!$A:$A,"&lt;&gt;"&amp;"",Başvuru!$F:$F,"&lt;&gt;"&amp;""))</f>
        <v>0</v>
      </c>
      <c r="N111" s="167">
        <f>IF(C111="","",COUNTIFS(Başvuru!$C:$C,C111,Başvuru!$L:$L,"RET",Başvuru!$A:$A,"&lt;&gt;"&amp;"",Başvuru!$F:$F,"&lt;&gt;"&amp;""))</f>
        <v>0</v>
      </c>
      <c r="O111" s="168">
        <f>IF(C111="","",COUNTIFS(Başvuru!$C:$C,C111,Başvuru!$L:$L,"KAPSAM DIŞI",Başvuru!$A:$A,"&lt;&gt;"&amp;"",Başvuru!$F:$F,"&lt;&gt;"&amp;""))</f>
        <v>0</v>
      </c>
      <c r="P111" s="169">
        <f>IF(C111="","",COUNTIFS(Başvuru!$C:$C,C111,Başvuru!$L:$L,"GERİ ÇEKİLDİ",Başvuru!$A:$A,"&lt;&gt;"&amp;"",Başvuru!$F:$F,"&lt;&gt;"&amp;""))</f>
        <v>0</v>
      </c>
      <c r="Q111" s="170" t="str">
        <f>IFERROR(INDEX(Başvuru!$C$2:$C$1851,MATCH(106,Başvuru!$AB$2:$AB$1851,0)),"")</f>
        <v>Dr. Öğr. Üyesi Ergin EROĞLU</v>
      </c>
      <c r="R111" s="171">
        <f>IF(Q111="","",COUNTIFS(Başvuru!$C:$C,Q111,Başvuru!$A:$A,"&lt;&gt;"&amp;"",Başvuru!$F:$F,"&lt;&gt;"&amp;""))</f>
        <v>2</v>
      </c>
      <c r="S111" s="171">
        <f>IF(R111="","",RANK(R111,$R$6:$R$505,0)+COUNTIF($R$6:R111,R111)-1)</f>
        <v>107</v>
      </c>
    </row>
    <row r="112" spans="2:19" ht="23.25" customHeight="1" x14ac:dyDescent="0.25">
      <c r="B112" s="159">
        <v>107</v>
      </c>
      <c r="C112" s="160" t="str">
        <f>IFERROR(INDEX($Q$6:$Q$505,MATCH(107,$S$6:$S$505,0)),"")</f>
        <v>Dr. Öğr. Üyesi Ergin EROĞLU</v>
      </c>
      <c r="D112" s="161">
        <f>IF(C112="","",COUNTIFS(Başvuru!$C:$C,C112,Başvuru!$A:$A,"&lt;&gt;"&amp;"",Başvuru!$F:$F,"&lt;&gt;"&amp;""))</f>
        <v>2</v>
      </c>
      <c r="E112" s="159" t="str">
        <f>IF(C112="","-",IF(D112&gt;0,TEXT(D112/(COUNTIFS(Başvuru!$A:$A,"&lt;&gt;",Başvuru!$F:$F,"&lt;&gt;")-1)*100,"0.0")&amp;"%","-"))</f>
        <v>00%</v>
      </c>
      <c r="F112" s="162">
        <f>IF(C112="","",COUNTIFS(Başvuru!$C:$C,C112,Başvuru!$G:$G,"Bireysel Araştırma",Başvuru!$A:$A,"&lt;&gt;"&amp;"",Başvuru!$F:$F,"&lt;&gt;"&amp;""))</f>
        <v>2</v>
      </c>
      <c r="G112" s="162">
        <f>IF(C112="","",COUNTIFS(Başvuru!$C:$C,C112,Başvuru!$G:$G,"Uzmanlık Tezi",Başvuru!$A:$A,"&lt;&gt;"&amp;"",Başvuru!$F:$F,"&lt;&gt;"&amp;""))</f>
        <v>0</v>
      </c>
      <c r="H112" s="162">
        <f>IF(C112="","",COUNTIFS(Başvuru!$C:$C,C112,Başvuru!$G:$G,"Doktora Tezi",Başvuru!$A:$A,"&lt;&gt;"&amp;"",Başvuru!$F:$F,"&lt;&gt;"&amp;""))</f>
        <v>0</v>
      </c>
      <c r="I112" s="162">
        <f>IF(C112="","",COUNTIFS(Başvuru!$C:$C,C112,Başvuru!$G:$G,"Yüksek Lisans Tezi",Başvuru!$A:$A,"&lt;&gt;"&amp;"",Başvuru!$F:$F,"&lt;&gt;"&amp;""))</f>
        <v>0</v>
      </c>
      <c r="J112" s="163">
        <f>IF(C112="","",COUNTIFS(Başvuru!$C:$C,C112,Başvuru!$L:$L,"ONAY",Başvuru!$A:$A,"&lt;&gt;"&amp;"",Başvuru!$F:$F,"&lt;&gt;"&amp;""))</f>
        <v>1</v>
      </c>
      <c r="K112" s="164">
        <f>IF(C112="","",COUNTIFS(Başvuru!$C:$C,C112,Başvuru!$L:$L,"DÜZELTME",Başvuru!$A:$A,"&lt;&gt;"&amp;"",Başvuru!$F:$F,"&lt;&gt;"&amp;""))</f>
        <v>1</v>
      </c>
      <c r="L112" s="165">
        <f>IF(C112="","",COUNTIFS(Başvuru!$C:$C,C112,Başvuru!$L:$L,"KAEK",Başvuru!$A:$A,"&lt;&gt;"&amp;"",Başvuru!$F:$F,"&lt;&gt;"&amp;""))</f>
        <v>0</v>
      </c>
      <c r="M112" s="166">
        <f>IF(C112="","",COUNTIFS(Başvuru!$C:$C,C112,Başvuru!$L:$L,"GÖRÜŞ",Başvuru!$A:$A,"&lt;&gt;"&amp;"",Başvuru!$F:$F,"&lt;&gt;"&amp;""))</f>
        <v>0</v>
      </c>
      <c r="N112" s="167">
        <f>IF(C112="","",COUNTIFS(Başvuru!$C:$C,C112,Başvuru!$L:$L,"RET",Başvuru!$A:$A,"&lt;&gt;"&amp;"",Başvuru!$F:$F,"&lt;&gt;"&amp;""))</f>
        <v>0</v>
      </c>
      <c r="O112" s="168">
        <f>IF(C112="","",COUNTIFS(Başvuru!$C:$C,C112,Başvuru!$L:$L,"KAPSAM DIŞI",Başvuru!$A:$A,"&lt;&gt;"&amp;"",Başvuru!$F:$F,"&lt;&gt;"&amp;""))</f>
        <v>0</v>
      </c>
      <c r="P112" s="169">
        <f>IF(C112="","",COUNTIFS(Başvuru!$C:$C,C112,Başvuru!$L:$L,"GERİ ÇEKİLDİ",Başvuru!$A:$A,"&lt;&gt;"&amp;"",Başvuru!$F:$F,"&lt;&gt;"&amp;""))</f>
        <v>0</v>
      </c>
      <c r="Q112" s="170" t="str">
        <f>IFERROR(INDEX(Başvuru!$C$2:$C$1851,MATCH(107,Başvuru!$AB$2:$AB$1851,0)),"")</f>
        <v>Prof. Dr. Hülya DEMİR</v>
      </c>
      <c r="R112" s="171">
        <f>IF(Q112="","",COUNTIFS(Başvuru!$C:$C,Q112,Başvuru!$A:$A,"&lt;&gt;"&amp;"",Başvuru!$F:$F,"&lt;&gt;"&amp;""))</f>
        <v>3</v>
      </c>
      <c r="S112" s="171">
        <f>IF(R112="","",RANK(R112,$R$6:$R$505,0)+COUNTIF($R$6:R112,R112)-1)</f>
        <v>66</v>
      </c>
    </row>
    <row r="113" spans="2:19" ht="23.25" customHeight="1" x14ac:dyDescent="0.25">
      <c r="B113" s="159">
        <v>108</v>
      </c>
      <c r="C113" s="160" t="str">
        <f>IFERROR(INDEX($Q$6:$Q$505,MATCH(108,$S$6:$S$505,0)),"")</f>
        <v>Dr. Öğr. Üyesi Barış KAFA</v>
      </c>
      <c r="D113" s="161">
        <f>IF(C113="","",COUNTIFS(Başvuru!$C:$C,C113,Başvuru!$A:$A,"&lt;&gt;"&amp;"",Başvuru!$F:$F,"&lt;&gt;"&amp;""))</f>
        <v>2</v>
      </c>
      <c r="E113" s="159" t="str">
        <f>IF(C113="","-",IF(D113&gt;0,TEXT(D113/(COUNTIFS(Başvuru!$A:$A,"&lt;&gt;",Başvuru!$F:$F,"&lt;&gt;")-1)*100,"0.0")&amp;"%","-"))</f>
        <v>00%</v>
      </c>
      <c r="F113" s="162">
        <f>IF(C113="","",COUNTIFS(Başvuru!$C:$C,C113,Başvuru!$G:$G,"Bireysel Araştırma",Başvuru!$A:$A,"&lt;&gt;"&amp;"",Başvuru!$F:$F,"&lt;&gt;"&amp;""))</f>
        <v>2</v>
      </c>
      <c r="G113" s="162">
        <f>IF(C113="","",COUNTIFS(Başvuru!$C:$C,C113,Başvuru!$G:$G,"Uzmanlık Tezi",Başvuru!$A:$A,"&lt;&gt;"&amp;"",Başvuru!$F:$F,"&lt;&gt;"&amp;""))</f>
        <v>0</v>
      </c>
      <c r="H113" s="162">
        <f>IF(C113="","",COUNTIFS(Başvuru!$C:$C,C113,Başvuru!$G:$G,"Doktora Tezi",Başvuru!$A:$A,"&lt;&gt;"&amp;"",Başvuru!$F:$F,"&lt;&gt;"&amp;""))</f>
        <v>0</v>
      </c>
      <c r="I113" s="162">
        <f>IF(C113="","",COUNTIFS(Başvuru!$C:$C,C113,Başvuru!$G:$G,"Yüksek Lisans Tezi",Başvuru!$A:$A,"&lt;&gt;"&amp;"",Başvuru!$F:$F,"&lt;&gt;"&amp;""))</f>
        <v>0</v>
      </c>
      <c r="J113" s="163">
        <f>IF(C113="","",COUNTIFS(Başvuru!$C:$C,C113,Başvuru!$L:$L,"ONAY",Başvuru!$A:$A,"&lt;&gt;"&amp;"",Başvuru!$F:$F,"&lt;&gt;"&amp;""))</f>
        <v>1</v>
      </c>
      <c r="K113" s="164">
        <f>IF(C113="","",COUNTIFS(Başvuru!$C:$C,C113,Başvuru!$L:$L,"DÜZELTME",Başvuru!$A:$A,"&lt;&gt;"&amp;"",Başvuru!$F:$F,"&lt;&gt;"&amp;""))</f>
        <v>1</v>
      </c>
      <c r="L113" s="165">
        <f>IF(C113="","",COUNTIFS(Başvuru!$C:$C,C113,Başvuru!$L:$L,"KAEK",Başvuru!$A:$A,"&lt;&gt;"&amp;"",Başvuru!$F:$F,"&lt;&gt;"&amp;""))</f>
        <v>0</v>
      </c>
      <c r="M113" s="166">
        <f>IF(C113="","",COUNTIFS(Başvuru!$C:$C,C113,Başvuru!$L:$L,"GÖRÜŞ",Başvuru!$A:$A,"&lt;&gt;"&amp;"",Başvuru!$F:$F,"&lt;&gt;"&amp;""))</f>
        <v>0</v>
      </c>
      <c r="N113" s="167">
        <f>IF(C113="","",COUNTIFS(Başvuru!$C:$C,C113,Başvuru!$L:$L,"RET",Başvuru!$A:$A,"&lt;&gt;"&amp;"",Başvuru!$F:$F,"&lt;&gt;"&amp;""))</f>
        <v>0</v>
      </c>
      <c r="O113" s="168">
        <f>IF(C113="","",COUNTIFS(Başvuru!$C:$C,C113,Başvuru!$L:$L,"KAPSAM DIŞI",Başvuru!$A:$A,"&lt;&gt;"&amp;"",Başvuru!$F:$F,"&lt;&gt;"&amp;""))</f>
        <v>0</v>
      </c>
      <c r="P113" s="169">
        <f>IF(C113="","",COUNTIFS(Başvuru!$C:$C,C113,Başvuru!$L:$L,"GERİ ÇEKİLDİ",Başvuru!$A:$A,"&lt;&gt;"&amp;"",Başvuru!$F:$F,"&lt;&gt;"&amp;""))</f>
        <v>0</v>
      </c>
      <c r="Q113" s="170" t="str">
        <f>IFERROR(INDEX(Başvuru!$C$2:$C$1851,MATCH(108,Başvuru!$AB$2:$AB$1851,0)),"")</f>
        <v>Doç. Dr. Seda Hanife OĞUZ BAYKAL</v>
      </c>
      <c r="R113" s="171">
        <f>IF(Q113="","",COUNTIFS(Başvuru!$C:$C,Q113,Başvuru!$A:$A,"&lt;&gt;"&amp;"",Başvuru!$F:$F,"&lt;&gt;"&amp;""))</f>
        <v>1</v>
      </c>
      <c r="S113" s="171">
        <f>IF(R113="","",RANK(R113,$R$6:$R$505,0)+COUNTIF($R$6:R113,R113)-1)</f>
        <v>194</v>
      </c>
    </row>
    <row r="114" spans="2:19" ht="23.25" customHeight="1" x14ac:dyDescent="0.25">
      <c r="B114" s="159">
        <v>109</v>
      </c>
      <c r="C114" s="160" t="str">
        <f>IFERROR(INDEX($Q$6:$Q$505,MATCH(109,$S$6:$S$505,0)),"")</f>
        <v>Doç. Dr. Burcu HATİBOĞLU</v>
      </c>
      <c r="D114" s="161">
        <f>IF(C114="","",COUNTIFS(Başvuru!$C:$C,C114,Başvuru!$A:$A,"&lt;&gt;"&amp;"",Başvuru!$F:$F,"&lt;&gt;"&amp;""))</f>
        <v>2</v>
      </c>
      <c r="E114" s="159" t="str">
        <f>IF(C114="","-",IF(D114&gt;0,TEXT(D114/(COUNTIFS(Başvuru!$A:$A,"&lt;&gt;",Başvuru!$F:$F,"&lt;&gt;")-1)*100,"0.0")&amp;"%","-"))</f>
        <v>00%</v>
      </c>
      <c r="F114" s="162">
        <f>IF(C114="","",COUNTIFS(Başvuru!$C:$C,C114,Başvuru!$G:$G,"Bireysel Araştırma",Başvuru!$A:$A,"&lt;&gt;"&amp;"",Başvuru!$F:$F,"&lt;&gt;"&amp;""))</f>
        <v>0</v>
      </c>
      <c r="G114" s="162">
        <f>IF(C114="","",COUNTIFS(Başvuru!$C:$C,C114,Başvuru!$G:$G,"Uzmanlık Tezi",Başvuru!$A:$A,"&lt;&gt;"&amp;"",Başvuru!$F:$F,"&lt;&gt;"&amp;""))</f>
        <v>0</v>
      </c>
      <c r="H114" s="162">
        <f>IF(C114="","",COUNTIFS(Başvuru!$C:$C,C114,Başvuru!$G:$G,"Doktora Tezi",Başvuru!$A:$A,"&lt;&gt;"&amp;"",Başvuru!$F:$F,"&lt;&gt;"&amp;""))</f>
        <v>2</v>
      </c>
      <c r="I114" s="162">
        <f>IF(C114="","",COUNTIFS(Başvuru!$C:$C,C114,Başvuru!$G:$G,"Yüksek Lisans Tezi",Başvuru!$A:$A,"&lt;&gt;"&amp;"",Başvuru!$F:$F,"&lt;&gt;"&amp;""))</f>
        <v>0</v>
      </c>
      <c r="J114" s="163">
        <f>IF(C114="","",COUNTIFS(Başvuru!$C:$C,C114,Başvuru!$L:$L,"ONAY",Başvuru!$A:$A,"&lt;&gt;"&amp;"",Başvuru!$F:$F,"&lt;&gt;"&amp;""))</f>
        <v>2</v>
      </c>
      <c r="K114" s="164">
        <f>IF(C114="","",COUNTIFS(Başvuru!$C:$C,C114,Başvuru!$L:$L,"DÜZELTME",Başvuru!$A:$A,"&lt;&gt;"&amp;"",Başvuru!$F:$F,"&lt;&gt;"&amp;""))</f>
        <v>0</v>
      </c>
      <c r="L114" s="165">
        <f>IF(C114="","",COUNTIFS(Başvuru!$C:$C,C114,Başvuru!$L:$L,"KAEK",Başvuru!$A:$A,"&lt;&gt;"&amp;"",Başvuru!$F:$F,"&lt;&gt;"&amp;""))</f>
        <v>0</v>
      </c>
      <c r="M114" s="166">
        <f>IF(C114="","",COUNTIFS(Başvuru!$C:$C,C114,Başvuru!$L:$L,"GÖRÜŞ",Başvuru!$A:$A,"&lt;&gt;"&amp;"",Başvuru!$F:$F,"&lt;&gt;"&amp;""))</f>
        <v>0</v>
      </c>
      <c r="N114" s="167">
        <f>IF(C114="","",COUNTIFS(Başvuru!$C:$C,C114,Başvuru!$L:$L,"RET",Başvuru!$A:$A,"&lt;&gt;"&amp;"",Başvuru!$F:$F,"&lt;&gt;"&amp;""))</f>
        <v>0</v>
      </c>
      <c r="O114" s="168">
        <f>IF(C114="","",COUNTIFS(Başvuru!$C:$C,C114,Başvuru!$L:$L,"KAPSAM DIŞI",Başvuru!$A:$A,"&lt;&gt;"&amp;"",Başvuru!$F:$F,"&lt;&gt;"&amp;""))</f>
        <v>0</v>
      </c>
      <c r="P114" s="169">
        <f>IF(C114="","",COUNTIFS(Başvuru!$C:$C,C114,Başvuru!$L:$L,"GERİ ÇEKİLDİ",Başvuru!$A:$A,"&lt;&gt;"&amp;"",Başvuru!$F:$F,"&lt;&gt;"&amp;""))</f>
        <v>0</v>
      </c>
      <c r="Q114" s="170" t="str">
        <f>IFERROR(INDEX(Başvuru!$C$2:$C$1851,MATCH(109,Başvuru!$AB$2:$AB$1851,0)),"")</f>
        <v>Prof. Dr. Deniz DOĞRU ERSÖZ</v>
      </c>
      <c r="R114" s="171">
        <f>IF(Q114="","",COUNTIFS(Başvuru!$C:$C,Q114,Başvuru!$A:$A,"&lt;&gt;"&amp;"",Başvuru!$F:$F,"&lt;&gt;"&amp;""))</f>
        <v>4</v>
      </c>
      <c r="S114" s="171">
        <f>IF(R114="","",RANK(R114,$R$6:$R$505,0)+COUNTIF($R$6:R114,R114)-1)</f>
        <v>44</v>
      </c>
    </row>
    <row r="115" spans="2:19" ht="23.25" customHeight="1" x14ac:dyDescent="0.25">
      <c r="B115" s="159">
        <v>110</v>
      </c>
      <c r="C115" s="160" t="str">
        <f>IFERROR(INDEX($Q$6:$Q$505,MATCH(110,$S$6:$S$505,0)),"")</f>
        <v>Doç. Dr. Duygu GÜLSEREN</v>
      </c>
      <c r="D115" s="161">
        <f>IF(C115="","",COUNTIFS(Başvuru!$C:$C,C115,Başvuru!$A:$A,"&lt;&gt;"&amp;"",Başvuru!$F:$F,"&lt;&gt;"&amp;""))</f>
        <v>2</v>
      </c>
      <c r="E115" s="159" t="str">
        <f>IF(C115="","-",IF(D115&gt;0,TEXT(D115/(COUNTIFS(Başvuru!$A:$A,"&lt;&gt;",Başvuru!$F:$F,"&lt;&gt;")-1)*100,"0.0")&amp;"%","-"))</f>
        <v>00%</v>
      </c>
      <c r="F115" s="162">
        <f>IF(C115="","",COUNTIFS(Başvuru!$C:$C,C115,Başvuru!$G:$G,"Bireysel Araştırma",Başvuru!$A:$A,"&lt;&gt;"&amp;"",Başvuru!$F:$F,"&lt;&gt;"&amp;""))</f>
        <v>2</v>
      </c>
      <c r="G115" s="162">
        <f>IF(C115="","",COUNTIFS(Başvuru!$C:$C,C115,Başvuru!$G:$G,"Uzmanlık Tezi",Başvuru!$A:$A,"&lt;&gt;"&amp;"",Başvuru!$F:$F,"&lt;&gt;"&amp;""))</f>
        <v>0</v>
      </c>
      <c r="H115" s="162">
        <f>IF(C115="","",COUNTIFS(Başvuru!$C:$C,C115,Başvuru!$G:$G,"Doktora Tezi",Başvuru!$A:$A,"&lt;&gt;"&amp;"",Başvuru!$F:$F,"&lt;&gt;"&amp;""))</f>
        <v>0</v>
      </c>
      <c r="I115" s="162">
        <f>IF(C115="","",COUNTIFS(Başvuru!$C:$C,C115,Başvuru!$G:$G,"Yüksek Lisans Tezi",Başvuru!$A:$A,"&lt;&gt;"&amp;"",Başvuru!$F:$F,"&lt;&gt;"&amp;""))</f>
        <v>0</v>
      </c>
      <c r="J115" s="163">
        <f>IF(C115="","",COUNTIFS(Başvuru!$C:$C,C115,Başvuru!$L:$L,"ONAY",Başvuru!$A:$A,"&lt;&gt;"&amp;"",Başvuru!$F:$F,"&lt;&gt;"&amp;""))</f>
        <v>2</v>
      </c>
      <c r="K115" s="164">
        <f>IF(C115="","",COUNTIFS(Başvuru!$C:$C,C115,Başvuru!$L:$L,"DÜZELTME",Başvuru!$A:$A,"&lt;&gt;"&amp;"",Başvuru!$F:$F,"&lt;&gt;"&amp;""))</f>
        <v>0</v>
      </c>
      <c r="L115" s="165">
        <f>IF(C115="","",COUNTIFS(Başvuru!$C:$C,C115,Başvuru!$L:$L,"KAEK",Başvuru!$A:$A,"&lt;&gt;"&amp;"",Başvuru!$F:$F,"&lt;&gt;"&amp;""))</f>
        <v>0</v>
      </c>
      <c r="M115" s="166">
        <f>IF(C115="","",COUNTIFS(Başvuru!$C:$C,C115,Başvuru!$L:$L,"GÖRÜŞ",Başvuru!$A:$A,"&lt;&gt;"&amp;"",Başvuru!$F:$F,"&lt;&gt;"&amp;""))</f>
        <v>0</v>
      </c>
      <c r="N115" s="167">
        <f>IF(C115="","",COUNTIFS(Başvuru!$C:$C,C115,Başvuru!$L:$L,"RET",Başvuru!$A:$A,"&lt;&gt;"&amp;"",Başvuru!$F:$F,"&lt;&gt;"&amp;""))</f>
        <v>0</v>
      </c>
      <c r="O115" s="168">
        <f>IF(C115="","",COUNTIFS(Başvuru!$C:$C,C115,Başvuru!$L:$L,"KAPSAM DIŞI",Başvuru!$A:$A,"&lt;&gt;"&amp;"",Başvuru!$F:$F,"&lt;&gt;"&amp;""))</f>
        <v>0</v>
      </c>
      <c r="P115" s="169">
        <f>IF(C115="","",COUNTIFS(Başvuru!$C:$C,C115,Başvuru!$L:$L,"GERİ ÇEKİLDİ",Başvuru!$A:$A,"&lt;&gt;"&amp;"",Başvuru!$F:$F,"&lt;&gt;"&amp;""))</f>
        <v>0</v>
      </c>
      <c r="Q115" s="170" t="str">
        <f>IFERROR(INDEX(Başvuru!$C$2:$C$1851,MATCH(110,Başvuru!$AB$2:$AB$1851,0)),"")</f>
        <v>Dr. Öğr. Üyesi Emre KARA</v>
      </c>
      <c r="R115" s="171">
        <f>IF(Q115="","",COUNTIFS(Başvuru!$C:$C,Q115,Başvuru!$A:$A,"&lt;&gt;"&amp;"",Başvuru!$F:$F,"&lt;&gt;"&amp;""))</f>
        <v>3</v>
      </c>
      <c r="S115" s="171">
        <f>IF(R115="","",RANK(R115,$R$6:$R$505,0)+COUNTIF($R$6:R115,R115)-1)</f>
        <v>67</v>
      </c>
    </row>
    <row r="116" spans="2:19" ht="23.25" customHeight="1" x14ac:dyDescent="0.25">
      <c r="B116" s="159">
        <v>111</v>
      </c>
      <c r="C116" s="160" t="str">
        <f>IFERROR(INDEX($Q$6:$Q$505,MATCH(111,$S$6:$S$505,0)),"")</f>
        <v>Prof. Dr. Serdar TEKGÜL</v>
      </c>
      <c r="D116" s="161">
        <f>IF(C116="","",COUNTIFS(Başvuru!$C:$C,C116,Başvuru!$A:$A,"&lt;&gt;"&amp;"",Başvuru!$F:$F,"&lt;&gt;"&amp;""))</f>
        <v>2</v>
      </c>
      <c r="E116" s="159" t="str">
        <f>IF(C116="","-",IF(D116&gt;0,TEXT(D116/(COUNTIFS(Başvuru!$A:$A,"&lt;&gt;",Başvuru!$F:$F,"&lt;&gt;")-1)*100,"0.0")&amp;"%","-"))</f>
        <v>00%</v>
      </c>
      <c r="F116" s="162">
        <f>IF(C116="","",COUNTIFS(Başvuru!$C:$C,C116,Başvuru!$G:$G,"Bireysel Araştırma",Başvuru!$A:$A,"&lt;&gt;"&amp;"",Başvuru!$F:$F,"&lt;&gt;"&amp;""))</f>
        <v>2</v>
      </c>
      <c r="G116" s="162">
        <f>IF(C116="","",COUNTIFS(Başvuru!$C:$C,C116,Başvuru!$G:$G,"Uzmanlık Tezi",Başvuru!$A:$A,"&lt;&gt;"&amp;"",Başvuru!$F:$F,"&lt;&gt;"&amp;""))</f>
        <v>0</v>
      </c>
      <c r="H116" s="162">
        <f>IF(C116="","",COUNTIFS(Başvuru!$C:$C,C116,Başvuru!$G:$G,"Doktora Tezi",Başvuru!$A:$A,"&lt;&gt;"&amp;"",Başvuru!$F:$F,"&lt;&gt;"&amp;""))</f>
        <v>0</v>
      </c>
      <c r="I116" s="162">
        <f>IF(C116="","",COUNTIFS(Başvuru!$C:$C,C116,Başvuru!$G:$G,"Yüksek Lisans Tezi",Başvuru!$A:$A,"&lt;&gt;"&amp;"",Başvuru!$F:$F,"&lt;&gt;"&amp;""))</f>
        <v>0</v>
      </c>
      <c r="J116" s="163">
        <f>IF(C116="","",COUNTIFS(Başvuru!$C:$C,C116,Başvuru!$L:$L,"ONAY",Başvuru!$A:$A,"&lt;&gt;"&amp;"",Başvuru!$F:$F,"&lt;&gt;"&amp;""))</f>
        <v>1</v>
      </c>
      <c r="K116" s="164">
        <f>IF(C116="","",COUNTIFS(Başvuru!$C:$C,C116,Başvuru!$L:$L,"DÜZELTME",Başvuru!$A:$A,"&lt;&gt;"&amp;"",Başvuru!$F:$F,"&lt;&gt;"&amp;""))</f>
        <v>1</v>
      </c>
      <c r="L116" s="165">
        <f>IF(C116="","",COUNTIFS(Başvuru!$C:$C,C116,Başvuru!$L:$L,"KAEK",Başvuru!$A:$A,"&lt;&gt;"&amp;"",Başvuru!$F:$F,"&lt;&gt;"&amp;""))</f>
        <v>0</v>
      </c>
      <c r="M116" s="166">
        <f>IF(C116="","",COUNTIFS(Başvuru!$C:$C,C116,Başvuru!$L:$L,"GÖRÜŞ",Başvuru!$A:$A,"&lt;&gt;"&amp;"",Başvuru!$F:$F,"&lt;&gt;"&amp;""))</f>
        <v>0</v>
      </c>
      <c r="N116" s="167">
        <f>IF(C116="","",COUNTIFS(Başvuru!$C:$C,C116,Başvuru!$L:$L,"RET",Başvuru!$A:$A,"&lt;&gt;"&amp;"",Başvuru!$F:$F,"&lt;&gt;"&amp;""))</f>
        <v>0</v>
      </c>
      <c r="O116" s="168">
        <f>IF(C116="","",COUNTIFS(Başvuru!$C:$C,C116,Başvuru!$L:$L,"KAPSAM DIŞI",Başvuru!$A:$A,"&lt;&gt;"&amp;"",Başvuru!$F:$F,"&lt;&gt;"&amp;""))</f>
        <v>0</v>
      </c>
      <c r="P116" s="169">
        <f>IF(C116="","",COUNTIFS(Başvuru!$C:$C,C116,Başvuru!$L:$L,"GERİ ÇEKİLDİ",Başvuru!$A:$A,"&lt;&gt;"&amp;"",Başvuru!$F:$F,"&lt;&gt;"&amp;""))</f>
        <v>0</v>
      </c>
      <c r="Q116" s="170" t="str">
        <f>IFERROR(INDEX(Başvuru!$C$2:$C$1851,MATCH(111,Başvuru!$AB$2:$AB$1851,0)),"")</f>
        <v>Prof. Dr. Nagehan EMİRALİOĞLU ORDUKAYA</v>
      </c>
      <c r="R116" s="171">
        <f>IF(Q116="","",COUNTIFS(Başvuru!$C:$C,Q116,Başvuru!$A:$A,"&lt;&gt;"&amp;"",Başvuru!$F:$F,"&lt;&gt;"&amp;""))</f>
        <v>3</v>
      </c>
      <c r="S116" s="171">
        <f>IF(R116="","",RANK(R116,$R$6:$R$505,0)+COUNTIF($R$6:R116,R116)-1)</f>
        <v>68</v>
      </c>
    </row>
    <row r="117" spans="2:19" ht="23.25" customHeight="1" x14ac:dyDescent="0.25">
      <c r="B117" s="159">
        <v>112</v>
      </c>
      <c r="C117" s="160" t="str">
        <f>IFERROR(INDEX($Q$6:$Q$505,MATCH(112,$S$6:$S$505,0)),"")</f>
        <v>Doç. Dr. İzzet FİDANCI</v>
      </c>
      <c r="D117" s="161">
        <f>IF(C117="","",COUNTIFS(Başvuru!$C:$C,C117,Başvuru!$A:$A,"&lt;&gt;"&amp;"",Başvuru!$F:$F,"&lt;&gt;"&amp;""))</f>
        <v>2</v>
      </c>
      <c r="E117" s="159" t="str">
        <f>IF(C117="","-",IF(D117&gt;0,TEXT(D117/(COUNTIFS(Başvuru!$A:$A,"&lt;&gt;",Başvuru!$F:$F,"&lt;&gt;")-1)*100,"0.0")&amp;"%","-"))</f>
        <v>00%</v>
      </c>
      <c r="F117" s="162">
        <f>IF(C117="","",COUNTIFS(Başvuru!$C:$C,C117,Başvuru!$G:$G,"Bireysel Araştırma",Başvuru!$A:$A,"&lt;&gt;"&amp;"",Başvuru!$F:$F,"&lt;&gt;"&amp;""))</f>
        <v>2</v>
      </c>
      <c r="G117" s="162">
        <f>IF(C117="","",COUNTIFS(Başvuru!$C:$C,C117,Başvuru!$G:$G,"Uzmanlık Tezi",Başvuru!$A:$A,"&lt;&gt;"&amp;"",Başvuru!$F:$F,"&lt;&gt;"&amp;""))</f>
        <v>0</v>
      </c>
      <c r="H117" s="162">
        <f>IF(C117="","",COUNTIFS(Başvuru!$C:$C,C117,Başvuru!$G:$G,"Doktora Tezi",Başvuru!$A:$A,"&lt;&gt;"&amp;"",Başvuru!$F:$F,"&lt;&gt;"&amp;""))</f>
        <v>0</v>
      </c>
      <c r="I117" s="162">
        <f>IF(C117="","",COUNTIFS(Başvuru!$C:$C,C117,Başvuru!$G:$G,"Yüksek Lisans Tezi",Başvuru!$A:$A,"&lt;&gt;"&amp;"",Başvuru!$F:$F,"&lt;&gt;"&amp;""))</f>
        <v>0</v>
      </c>
      <c r="J117" s="163">
        <f>IF(C117="","",COUNTIFS(Başvuru!$C:$C,C117,Başvuru!$L:$L,"ONAY",Başvuru!$A:$A,"&lt;&gt;"&amp;"",Başvuru!$F:$F,"&lt;&gt;"&amp;""))</f>
        <v>0</v>
      </c>
      <c r="K117" s="164">
        <f>IF(C117="","",COUNTIFS(Başvuru!$C:$C,C117,Başvuru!$L:$L,"DÜZELTME",Başvuru!$A:$A,"&lt;&gt;"&amp;"",Başvuru!$F:$F,"&lt;&gt;"&amp;""))</f>
        <v>2</v>
      </c>
      <c r="L117" s="165">
        <f>IF(C117="","",COUNTIFS(Başvuru!$C:$C,C117,Başvuru!$L:$L,"KAEK",Başvuru!$A:$A,"&lt;&gt;"&amp;"",Başvuru!$F:$F,"&lt;&gt;"&amp;""))</f>
        <v>0</v>
      </c>
      <c r="M117" s="166">
        <f>IF(C117="","",COUNTIFS(Başvuru!$C:$C,C117,Başvuru!$L:$L,"GÖRÜŞ",Başvuru!$A:$A,"&lt;&gt;"&amp;"",Başvuru!$F:$F,"&lt;&gt;"&amp;""))</f>
        <v>0</v>
      </c>
      <c r="N117" s="167">
        <f>IF(C117="","",COUNTIFS(Başvuru!$C:$C,C117,Başvuru!$L:$L,"RET",Başvuru!$A:$A,"&lt;&gt;"&amp;"",Başvuru!$F:$F,"&lt;&gt;"&amp;""))</f>
        <v>0</v>
      </c>
      <c r="O117" s="168">
        <f>IF(C117="","",COUNTIFS(Başvuru!$C:$C,C117,Başvuru!$L:$L,"KAPSAM DIŞI",Başvuru!$A:$A,"&lt;&gt;"&amp;"",Başvuru!$F:$F,"&lt;&gt;"&amp;""))</f>
        <v>0</v>
      </c>
      <c r="P117" s="169">
        <f>IF(C117="","",COUNTIFS(Başvuru!$C:$C,C117,Başvuru!$L:$L,"GERİ ÇEKİLDİ",Başvuru!$A:$A,"&lt;&gt;"&amp;"",Başvuru!$F:$F,"&lt;&gt;"&amp;""))</f>
        <v>0</v>
      </c>
      <c r="Q117" s="170" t="str">
        <f>IFERROR(INDEX(Başvuru!$C$2:$C$1851,MATCH(112,Başvuru!$AB$2:$AB$1851,0)),"")</f>
        <v>Doç. Dr. Gölşah KÖK</v>
      </c>
      <c r="R117" s="171">
        <f>IF(Q117="","",COUNTIFS(Başvuru!$C:$C,Q117,Başvuru!$A:$A,"&lt;&gt;"&amp;"",Başvuru!$F:$F,"&lt;&gt;"&amp;""))</f>
        <v>1</v>
      </c>
      <c r="S117" s="171">
        <f>IF(R117="","",RANK(R117,$R$6:$R$505,0)+COUNTIF($R$6:R117,R117)-1)</f>
        <v>195</v>
      </c>
    </row>
    <row r="118" spans="2:19" ht="23.25" customHeight="1" x14ac:dyDescent="0.25">
      <c r="B118" s="159">
        <v>113</v>
      </c>
      <c r="C118" s="160" t="str">
        <f>IFERROR(INDEX($Q$6:$Q$505,MATCH(113,$S$6:$S$505,0)),"")</f>
        <v>Dr. Öğr. Üyesi Aybüke USLU TEKCE</v>
      </c>
      <c r="D118" s="161">
        <f>IF(C118="","",COUNTIFS(Başvuru!$C:$C,C118,Başvuru!$A:$A,"&lt;&gt;"&amp;"",Başvuru!$F:$F,"&lt;&gt;"&amp;""))</f>
        <v>2</v>
      </c>
      <c r="E118" s="159" t="str">
        <f>IF(C118="","-",IF(D118&gt;0,TEXT(D118/(COUNTIFS(Başvuru!$A:$A,"&lt;&gt;",Başvuru!$F:$F,"&lt;&gt;")-1)*100,"0.0")&amp;"%","-"))</f>
        <v>00%</v>
      </c>
      <c r="F118" s="162">
        <f>IF(C118="","",COUNTIFS(Başvuru!$C:$C,C118,Başvuru!$G:$G,"Bireysel Araştırma",Başvuru!$A:$A,"&lt;&gt;"&amp;"",Başvuru!$F:$F,"&lt;&gt;"&amp;""))</f>
        <v>2</v>
      </c>
      <c r="G118" s="162">
        <f>IF(C118="","",COUNTIFS(Başvuru!$C:$C,C118,Başvuru!$G:$G,"Uzmanlık Tezi",Başvuru!$A:$A,"&lt;&gt;"&amp;"",Başvuru!$F:$F,"&lt;&gt;"&amp;""))</f>
        <v>0</v>
      </c>
      <c r="H118" s="162">
        <f>IF(C118="","",COUNTIFS(Başvuru!$C:$C,C118,Başvuru!$G:$G,"Doktora Tezi",Başvuru!$A:$A,"&lt;&gt;"&amp;"",Başvuru!$F:$F,"&lt;&gt;"&amp;""))</f>
        <v>0</v>
      </c>
      <c r="I118" s="162">
        <f>IF(C118="","",COUNTIFS(Başvuru!$C:$C,C118,Başvuru!$G:$G,"Yüksek Lisans Tezi",Başvuru!$A:$A,"&lt;&gt;"&amp;"",Başvuru!$F:$F,"&lt;&gt;"&amp;""))</f>
        <v>0</v>
      </c>
      <c r="J118" s="163">
        <f>IF(C118="","",COUNTIFS(Başvuru!$C:$C,C118,Başvuru!$L:$L,"ONAY",Başvuru!$A:$A,"&lt;&gt;"&amp;"",Başvuru!$F:$F,"&lt;&gt;"&amp;""))</f>
        <v>1</v>
      </c>
      <c r="K118" s="164">
        <f>IF(C118="","",COUNTIFS(Başvuru!$C:$C,C118,Başvuru!$L:$L,"DÜZELTME",Başvuru!$A:$A,"&lt;&gt;"&amp;"",Başvuru!$F:$F,"&lt;&gt;"&amp;""))</f>
        <v>0</v>
      </c>
      <c r="L118" s="165">
        <f>IF(C118="","",COUNTIFS(Başvuru!$C:$C,C118,Başvuru!$L:$L,"KAEK",Başvuru!$A:$A,"&lt;&gt;"&amp;"",Başvuru!$F:$F,"&lt;&gt;"&amp;""))</f>
        <v>0</v>
      </c>
      <c r="M118" s="166">
        <f>IF(C118="","",COUNTIFS(Başvuru!$C:$C,C118,Başvuru!$L:$L,"GÖRÜŞ",Başvuru!$A:$A,"&lt;&gt;"&amp;"",Başvuru!$F:$F,"&lt;&gt;"&amp;""))</f>
        <v>0</v>
      </c>
      <c r="N118" s="167">
        <f>IF(C118="","",COUNTIFS(Başvuru!$C:$C,C118,Başvuru!$L:$L,"RET",Başvuru!$A:$A,"&lt;&gt;"&amp;"",Başvuru!$F:$F,"&lt;&gt;"&amp;""))</f>
        <v>0</v>
      </c>
      <c r="O118" s="168">
        <f>IF(C118="","",COUNTIFS(Başvuru!$C:$C,C118,Başvuru!$L:$L,"KAPSAM DIŞI",Başvuru!$A:$A,"&lt;&gt;"&amp;"",Başvuru!$F:$F,"&lt;&gt;"&amp;""))</f>
        <v>0</v>
      </c>
      <c r="P118" s="169">
        <f>IF(C118="","",COUNTIFS(Başvuru!$C:$C,C118,Başvuru!$L:$L,"GERİ ÇEKİLDİ",Başvuru!$A:$A,"&lt;&gt;"&amp;"",Başvuru!$F:$F,"&lt;&gt;"&amp;""))</f>
        <v>0</v>
      </c>
      <c r="Q118" s="170" t="str">
        <f>IFERROR(INDEX(Başvuru!$C$2:$C$1851,MATCH(113,Başvuru!$AB$2:$AB$1851,0)),"")</f>
        <v>Öğr. Gör. Dr. Pınar ÖZDEMİR YAŞAR</v>
      </c>
      <c r="R118" s="171">
        <f>IF(Q118="","",COUNTIFS(Başvuru!$C:$C,Q118,Başvuru!$A:$A,"&lt;&gt;"&amp;"",Başvuru!$F:$F,"&lt;&gt;"&amp;""))</f>
        <v>1</v>
      </c>
      <c r="S118" s="171">
        <f>IF(R118="","",RANK(R118,$R$6:$R$505,0)+COUNTIF($R$6:R118,R118)-1)</f>
        <v>196</v>
      </c>
    </row>
    <row r="119" spans="2:19" ht="23.25" customHeight="1" x14ac:dyDescent="0.25">
      <c r="B119" s="159">
        <v>114</v>
      </c>
      <c r="C119" s="160" t="str">
        <f>IFERROR(INDEX($Q$6:$Q$505,MATCH(114,$S$6:$S$505,0)),"")</f>
        <v>Dr. Öğr. Üyesi Muhammed Çağrı KÜLEKCİ</v>
      </c>
      <c r="D119" s="161">
        <f>IF(C119="","",COUNTIFS(Başvuru!$C:$C,C119,Başvuru!$A:$A,"&lt;&gt;"&amp;"",Başvuru!$F:$F,"&lt;&gt;"&amp;""))</f>
        <v>2</v>
      </c>
      <c r="E119" s="159" t="str">
        <f>IF(C119="","-",IF(D119&gt;0,TEXT(D119/(COUNTIFS(Başvuru!$A:$A,"&lt;&gt;",Başvuru!$F:$F,"&lt;&gt;")-1)*100,"0.0")&amp;"%","-"))</f>
        <v>00%</v>
      </c>
      <c r="F119" s="162">
        <f>IF(C119="","",COUNTIFS(Başvuru!$C:$C,C119,Başvuru!$G:$G,"Bireysel Araştırma",Başvuru!$A:$A,"&lt;&gt;"&amp;"",Başvuru!$F:$F,"&lt;&gt;"&amp;""))</f>
        <v>2</v>
      </c>
      <c r="G119" s="162">
        <f>IF(C119="","",COUNTIFS(Başvuru!$C:$C,C119,Başvuru!$G:$G,"Uzmanlık Tezi",Başvuru!$A:$A,"&lt;&gt;"&amp;"",Başvuru!$F:$F,"&lt;&gt;"&amp;""))</f>
        <v>0</v>
      </c>
      <c r="H119" s="162">
        <f>IF(C119="","",COUNTIFS(Başvuru!$C:$C,C119,Başvuru!$G:$G,"Doktora Tezi",Başvuru!$A:$A,"&lt;&gt;"&amp;"",Başvuru!$F:$F,"&lt;&gt;"&amp;""))</f>
        <v>0</v>
      </c>
      <c r="I119" s="162">
        <f>IF(C119="","",COUNTIFS(Başvuru!$C:$C,C119,Başvuru!$G:$G,"Yüksek Lisans Tezi",Başvuru!$A:$A,"&lt;&gt;"&amp;"",Başvuru!$F:$F,"&lt;&gt;"&amp;""))</f>
        <v>0</v>
      </c>
      <c r="J119" s="163">
        <f>IF(C119="","",COUNTIFS(Başvuru!$C:$C,C119,Başvuru!$L:$L,"ONAY",Başvuru!$A:$A,"&lt;&gt;"&amp;"",Başvuru!$F:$F,"&lt;&gt;"&amp;""))</f>
        <v>0</v>
      </c>
      <c r="K119" s="164">
        <f>IF(C119="","",COUNTIFS(Başvuru!$C:$C,C119,Başvuru!$L:$L,"DÜZELTME",Başvuru!$A:$A,"&lt;&gt;"&amp;"",Başvuru!$F:$F,"&lt;&gt;"&amp;""))</f>
        <v>1</v>
      </c>
      <c r="L119" s="165">
        <f>IF(C119="","",COUNTIFS(Başvuru!$C:$C,C119,Başvuru!$L:$L,"KAEK",Başvuru!$A:$A,"&lt;&gt;"&amp;"",Başvuru!$F:$F,"&lt;&gt;"&amp;""))</f>
        <v>0</v>
      </c>
      <c r="M119" s="166">
        <f>IF(C119="","",COUNTIFS(Başvuru!$C:$C,C119,Başvuru!$L:$L,"GÖRÜŞ",Başvuru!$A:$A,"&lt;&gt;"&amp;"",Başvuru!$F:$F,"&lt;&gt;"&amp;""))</f>
        <v>0</v>
      </c>
      <c r="N119" s="167">
        <f>IF(C119="","",COUNTIFS(Başvuru!$C:$C,C119,Başvuru!$L:$L,"RET",Başvuru!$A:$A,"&lt;&gt;"&amp;"",Başvuru!$F:$F,"&lt;&gt;"&amp;""))</f>
        <v>1</v>
      </c>
      <c r="O119" s="168">
        <f>IF(C119="","",COUNTIFS(Başvuru!$C:$C,C119,Başvuru!$L:$L,"KAPSAM DIŞI",Başvuru!$A:$A,"&lt;&gt;"&amp;"",Başvuru!$F:$F,"&lt;&gt;"&amp;""))</f>
        <v>0</v>
      </c>
      <c r="P119" s="169">
        <f>IF(C119="","",COUNTIFS(Başvuru!$C:$C,C119,Başvuru!$L:$L,"GERİ ÇEKİLDİ",Başvuru!$A:$A,"&lt;&gt;"&amp;"",Başvuru!$F:$F,"&lt;&gt;"&amp;""))</f>
        <v>0</v>
      </c>
      <c r="Q119" s="170" t="str">
        <f>IFERROR(INDEX(Başvuru!$C$2:$C$1851,MATCH(114,Başvuru!$AB$2:$AB$1851,0)),"")</f>
        <v>Dr. Öğr. Üyesi Barış KAFA</v>
      </c>
      <c r="R119" s="171">
        <f>IF(Q119="","",COUNTIFS(Başvuru!$C:$C,Q119,Başvuru!$A:$A,"&lt;&gt;"&amp;"",Başvuru!$F:$F,"&lt;&gt;"&amp;""))</f>
        <v>2</v>
      </c>
      <c r="S119" s="171">
        <f>IF(R119="","",RANK(R119,$R$6:$R$505,0)+COUNTIF($R$6:R119,R119)-1)</f>
        <v>108</v>
      </c>
    </row>
    <row r="120" spans="2:19" ht="23.25" customHeight="1" x14ac:dyDescent="0.25">
      <c r="B120" s="159">
        <v>115</v>
      </c>
      <c r="C120" s="160" t="str">
        <f>IFERROR(INDEX($Q$6:$Q$505,MATCH(115,$S$6:$S$505,0)),"")</f>
        <v>Arş. Gör. Dr. Şükran BAYRAK</v>
      </c>
      <c r="D120" s="161">
        <f>IF(C120="","",COUNTIFS(Başvuru!$C:$C,C120,Başvuru!$A:$A,"&lt;&gt;"&amp;"",Başvuru!$F:$F,"&lt;&gt;"&amp;""))</f>
        <v>2</v>
      </c>
      <c r="E120" s="159" t="str">
        <f>IF(C120="","-",IF(D120&gt;0,TEXT(D120/(COUNTIFS(Başvuru!$A:$A,"&lt;&gt;",Başvuru!$F:$F,"&lt;&gt;")-1)*100,"0.0")&amp;"%","-"))</f>
        <v>00%</v>
      </c>
      <c r="F120" s="162">
        <f>IF(C120="","",COUNTIFS(Başvuru!$C:$C,C120,Başvuru!$G:$G,"Bireysel Araştırma",Başvuru!$A:$A,"&lt;&gt;"&amp;"",Başvuru!$F:$F,"&lt;&gt;"&amp;""))</f>
        <v>2</v>
      </c>
      <c r="G120" s="162">
        <f>IF(C120="","",COUNTIFS(Başvuru!$C:$C,C120,Başvuru!$G:$G,"Uzmanlık Tezi",Başvuru!$A:$A,"&lt;&gt;"&amp;"",Başvuru!$F:$F,"&lt;&gt;"&amp;""))</f>
        <v>0</v>
      </c>
      <c r="H120" s="162">
        <f>IF(C120="","",COUNTIFS(Başvuru!$C:$C,C120,Başvuru!$G:$G,"Doktora Tezi",Başvuru!$A:$A,"&lt;&gt;"&amp;"",Başvuru!$F:$F,"&lt;&gt;"&amp;""))</f>
        <v>0</v>
      </c>
      <c r="I120" s="162">
        <f>IF(C120="","",COUNTIFS(Başvuru!$C:$C,C120,Başvuru!$G:$G,"Yüksek Lisans Tezi",Başvuru!$A:$A,"&lt;&gt;"&amp;"",Başvuru!$F:$F,"&lt;&gt;"&amp;""))</f>
        <v>0</v>
      </c>
      <c r="J120" s="163">
        <f>IF(C120="","",COUNTIFS(Başvuru!$C:$C,C120,Başvuru!$L:$L,"ONAY",Başvuru!$A:$A,"&lt;&gt;"&amp;"",Başvuru!$F:$F,"&lt;&gt;"&amp;""))</f>
        <v>1</v>
      </c>
      <c r="K120" s="164">
        <f>IF(C120="","",COUNTIFS(Başvuru!$C:$C,C120,Başvuru!$L:$L,"DÜZELTME",Başvuru!$A:$A,"&lt;&gt;"&amp;"",Başvuru!$F:$F,"&lt;&gt;"&amp;""))</f>
        <v>1</v>
      </c>
      <c r="L120" s="165">
        <f>IF(C120="","",COUNTIFS(Başvuru!$C:$C,C120,Başvuru!$L:$L,"KAEK",Başvuru!$A:$A,"&lt;&gt;"&amp;"",Başvuru!$F:$F,"&lt;&gt;"&amp;""))</f>
        <v>0</v>
      </c>
      <c r="M120" s="166">
        <f>IF(C120="","",COUNTIFS(Başvuru!$C:$C,C120,Başvuru!$L:$L,"GÖRÜŞ",Başvuru!$A:$A,"&lt;&gt;"&amp;"",Başvuru!$F:$F,"&lt;&gt;"&amp;""))</f>
        <v>0</v>
      </c>
      <c r="N120" s="167">
        <f>IF(C120="","",COUNTIFS(Başvuru!$C:$C,C120,Başvuru!$L:$L,"RET",Başvuru!$A:$A,"&lt;&gt;"&amp;"",Başvuru!$F:$F,"&lt;&gt;"&amp;""))</f>
        <v>0</v>
      </c>
      <c r="O120" s="168">
        <f>IF(C120="","",COUNTIFS(Başvuru!$C:$C,C120,Başvuru!$L:$L,"KAPSAM DIŞI",Başvuru!$A:$A,"&lt;&gt;"&amp;"",Başvuru!$F:$F,"&lt;&gt;"&amp;""))</f>
        <v>0</v>
      </c>
      <c r="P120" s="169">
        <f>IF(C120="","",COUNTIFS(Başvuru!$C:$C,C120,Başvuru!$L:$L,"GERİ ÇEKİLDİ",Başvuru!$A:$A,"&lt;&gt;"&amp;"",Başvuru!$F:$F,"&lt;&gt;"&amp;""))</f>
        <v>0</v>
      </c>
      <c r="Q120" s="170" t="str">
        <f>IFERROR(INDEX(Başvuru!$C$2:$C$1851,MATCH(115,Başvuru!$AB$2:$AB$1851,0)),"")</f>
        <v>Doç. Dr. Burcu HATİBOĞLU</v>
      </c>
      <c r="R120" s="171">
        <f>IF(Q120="","",COUNTIFS(Başvuru!$C:$C,Q120,Başvuru!$A:$A,"&lt;&gt;"&amp;"",Başvuru!$F:$F,"&lt;&gt;"&amp;""))</f>
        <v>2</v>
      </c>
      <c r="S120" s="171">
        <f>IF(R120="","",RANK(R120,$R$6:$R$505,0)+COUNTIF($R$6:R120,R120)-1)</f>
        <v>109</v>
      </c>
    </row>
    <row r="121" spans="2:19" ht="23.25" customHeight="1" x14ac:dyDescent="0.25">
      <c r="B121" s="159">
        <v>116</v>
      </c>
      <c r="C121" s="160" t="str">
        <f>IFERROR(INDEX($Q$6:$Q$505,MATCH(116,$S$6:$S$505,0)),"")</f>
        <v>Dr. Öğr. Üyesi Hatice BOYACIOĞLU ERDEN</v>
      </c>
      <c r="D121" s="161">
        <f>IF(C121="","",COUNTIFS(Başvuru!$C:$C,C121,Başvuru!$A:$A,"&lt;&gt;"&amp;"",Başvuru!$F:$F,"&lt;&gt;"&amp;""))</f>
        <v>2</v>
      </c>
      <c r="E121" s="159" t="str">
        <f>IF(C121="","-",IF(D121&gt;0,TEXT(D121/(COUNTIFS(Başvuru!$A:$A,"&lt;&gt;",Başvuru!$F:$F,"&lt;&gt;")-1)*100,"0.0")&amp;"%","-"))</f>
        <v>00%</v>
      </c>
      <c r="F121" s="162">
        <f>IF(C121="","",COUNTIFS(Başvuru!$C:$C,C121,Başvuru!$G:$G,"Bireysel Araştırma",Başvuru!$A:$A,"&lt;&gt;"&amp;"",Başvuru!$F:$F,"&lt;&gt;"&amp;""))</f>
        <v>1</v>
      </c>
      <c r="G121" s="162">
        <f>IF(C121="","",COUNTIFS(Başvuru!$C:$C,C121,Başvuru!$G:$G,"Uzmanlık Tezi",Başvuru!$A:$A,"&lt;&gt;"&amp;"",Başvuru!$F:$F,"&lt;&gt;"&amp;""))</f>
        <v>1</v>
      </c>
      <c r="H121" s="162">
        <f>IF(C121="","",COUNTIFS(Başvuru!$C:$C,C121,Başvuru!$G:$G,"Doktora Tezi",Başvuru!$A:$A,"&lt;&gt;"&amp;"",Başvuru!$F:$F,"&lt;&gt;"&amp;""))</f>
        <v>0</v>
      </c>
      <c r="I121" s="162">
        <f>IF(C121="","",COUNTIFS(Başvuru!$C:$C,C121,Başvuru!$G:$G,"Yüksek Lisans Tezi",Başvuru!$A:$A,"&lt;&gt;"&amp;"",Başvuru!$F:$F,"&lt;&gt;"&amp;""))</f>
        <v>0</v>
      </c>
      <c r="J121" s="163">
        <f>IF(C121="","",COUNTIFS(Başvuru!$C:$C,C121,Başvuru!$L:$L,"ONAY",Başvuru!$A:$A,"&lt;&gt;"&amp;"",Başvuru!$F:$F,"&lt;&gt;"&amp;""))</f>
        <v>1</v>
      </c>
      <c r="K121" s="164">
        <f>IF(C121="","",COUNTIFS(Başvuru!$C:$C,C121,Başvuru!$L:$L,"DÜZELTME",Başvuru!$A:$A,"&lt;&gt;"&amp;"",Başvuru!$F:$F,"&lt;&gt;"&amp;""))</f>
        <v>0</v>
      </c>
      <c r="L121" s="165">
        <f>IF(C121="","",COUNTIFS(Başvuru!$C:$C,C121,Başvuru!$L:$L,"KAEK",Başvuru!$A:$A,"&lt;&gt;"&amp;"",Başvuru!$F:$F,"&lt;&gt;"&amp;""))</f>
        <v>0</v>
      </c>
      <c r="M121" s="166">
        <f>IF(C121="","",COUNTIFS(Başvuru!$C:$C,C121,Başvuru!$L:$L,"GÖRÜŞ",Başvuru!$A:$A,"&lt;&gt;"&amp;"",Başvuru!$F:$F,"&lt;&gt;"&amp;""))</f>
        <v>0</v>
      </c>
      <c r="N121" s="167">
        <f>IF(C121="","",COUNTIFS(Başvuru!$C:$C,C121,Başvuru!$L:$L,"RET",Başvuru!$A:$A,"&lt;&gt;"&amp;"",Başvuru!$F:$F,"&lt;&gt;"&amp;""))</f>
        <v>0</v>
      </c>
      <c r="O121" s="168">
        <f>IF(C121="","",COUNTIFS(Başvuru!$C:$C,C121,Başvuru!$L:$L,"KAPSAM DIŞI",Başvuru!$A:$A,"&lt;&gt;"&amp;"",Başvuru!$F:$F,"&lt;&gt;"&amp;""))</f>
        <v>0</v>
      </c>
      <c r="P121" s="169">
        <f>IF(C121="","",COUNTIFS(Başvuru!$C:$C,C121,Başvuru!$L:$L,"GERİ ÇEKİLDİ",Başvuru!$A:$A,"&lt;&gt;"&amp;"",Başvuru!$F:$F,"&lt;&gt;"&amp;""))</f>
        <v>0</v>
      </c>
      <c r="Q121" s="170" t="str">
        <f>IFERROR(INDEX(Başvuru!$C$2:$C$1851,MATCH(116,Başvuru!$AB$2:$AB$1851,0)),"")</f>
        <v>Dr. Öğr. Üyesi Hanife Merva PARLAK</v>
      </c>
      <c r="R121" s="171">
        <f>IF(Q121="","",COUNTIFS(Başvuru!$C:$C,Q121,Başvuru!$A:$A,"&lt;&gt;"&amp;"",Başvuru!$F:$F,"&lt;&gt;"&amp;""))</f>
        <v>1</v>
      </c>
      <c r="S121" s="171">
        <f>IF(R121="","",RANK(R121,$R$6:$R$505,0)+COUNTIF($R$6:R121,R121)-1)</f>
        <v>197</v>
      </c>
    </row>
    <row r="122" spans="2:19" ht="23.25" customHeight="1" x14ac:dyDescent="0.25">
      <c r="B122" s="159">
        <v>117</v>
      </c>
      <c r="C122" s="160" t="str">
        <f>IFERROR(INDEX($Q$6:$Q$505,MATCH(117,$S$6:$S$505,0)),"")</f>
        <v>Doç. Dr. Adalet Elçin YILDIZ</v>
      </c>
      <c r="D122" s="161">
        <f>IF(C122="","",COUNTIFS(Başvuru!$C:$C,C122,Başvuru!$A:$A,"&lt;&gt;"&amp;"",Başvuru!$F:$F,"&lt;&gt;"&amp;""))</f>
        <v>2</v>
      </c>
      <c r="E122" s="159" t="str">
        <f>IF(C122="","-",IF(D122&gt;0,TEXT(D122/(COUNTIFS(Başvuru!$A:$A,"&lt;&gt;",Başvuru!$F:$F,"&lt;&gt;")-1)*100,"0.0")&amp;"%","-"))</f>
        <v>00%</v>
      </c>
      <c r="F122" s="162">
        <f>IF(C122="","",COUNTIFS(Başvuru!$C:$C,C122,Başvuru!$G:$G,"Bireysel Araştırma",Başvuru!$A:$A,"&lt;&gt;"&amp;"",Başvuru!$F:$F,"&lt;&gt;"&amp;""))</f>
        <v>1</v>
      </c>
      <c r="G122" s="162">
        <f>IF(C122="","",COUNTIFS(Başvuru!$C:$C,C122,Başvuru!$G:$G,"Uzmanlık Tezi",Başvuru!$A:$A,"&lt;&gt;"&amp;"",Başvuru!$F:$F,"&lt;&gt;"&amp;""))</f>
        <v>1</v>
      </c>
      <c r="H122" s="162">
        <f>IF(C122="","",COUNTIFS(Başvuru!$C:$C,C122,Başvuru!$G:$G,"Doktora Tezi",Başvuru!$A:$A,"&lt;&gt;"&amp;"",Başvuru!$F:$F,"&lt;&gt;"&amp;""))</f>
        <v>0</v>
      </c>
      <c r="I122" s="162">
        <f>IF(C122="","",COUNTIFS(Başvuru!$C:$C,C122,Başvuru!$G:$G,"Yüksek Lisans Tezi",Başvuru!$A:$A,"&lt;&gt;"&amp;"",Başvuru!$F:$F,"&lt;&gt;"&amp;""))</f>
        <v>0</v>
      </c>
      <c r="J122" s="163">
        <f>IF(C122="","",COUNTIFS(Başvuru!$C:$C,C122,Başvuru!$L:$L,"ONAY",Başvuru!$A:$A,"&lt;&gt;"&amp;"",Başvuru!$F:$F,"&lt;&gt;"&amp;""))</f>
        <v>0</v>
      </c>
      <c r="K122" s="164">
        <f>IF(C122="","",COUNTIFS(Başvuru!$C:$C,C122,Başvuru!$L:$L,"DÜZELTME",Başvuru!$A:$A,"&lt;&gt;"&amp;"",Başvuru!$F:$F,"&lt;&gt;"&amp;""))</f>
        <v>2</v>
      </c>
      <c r="L122" s="165">
        <f>IF(C122="","",COUNTIFS(Başvuru!$C:$C,C122,Başvuru!$L:$L,"KAEK",Başvuru!$A:$A,"&lt;&gt;"&amp;"",Başvuru!$F:$F,"&lt;&gt;"&amp;""))</f>
        <v>0</v>
      </c>
      <c r="M122" s="166">
        <f>IF(C122="","",COUNTIFS(Başvuru!$C:$C,C122,Başvuru!$L:$L,"GÖRÜŞ",Başvuru!$A:$A,"&lt;&gt;"&amp;"",Başvuru!$F:$F,"&lt;&gt;"&amp;""))</f>
        <v>0</v>
      </c>
      <c r="N122" s="167">
        <f>IF(C122="","",COUNTIFS(Başvuru!$C:$C,C122,Başvuru!$L:$L,"RET",Başvuru!$A:$A,"&lt;&gt;"&amp;"",Başvuru!$F:$F,"&lt;&gt;"&amp;""))</f>
        <v>0</v>
      </c>
      <c r="O122" s="168">
        <f>IF(C122="","",COUNTIFS(Başvuru!$C:$C,C122,Başvuru!$L:$L,"KAPSAM DIŞI",Başvuru!$A:$A,"&lt;&gt;"&amp;"",Başvuru!$F:$F,"&lt;&gt;"&amp;""))</f>
        <v>0</v>
      </c>
      <c r="P122" s="169">
        <f>IF(C122="","",COUNTIFS(Başvuru!$C:$C,C122,Başvuru!$L:$L,"GERİ ÇEKİLDİ",Başvuru!$A:$A,"&lt;&gt;"&amp;"",Başvuru!$F:$F,"&lt;&gt;"&amp;""))</f>
        <v>0</v>
      </c>
      <c r="Q122" s="170" t="str">
        <f>IFERROR(INDEX(Başvuru!$C$2:$C$1851,MATCH(117,Başvuru!$AB$2:$AB$1851,0)),"")</f>
        <v>Prof. Dr. Hatice DOĞAN BUZOĞLU</v>
      </c>
      <c r="R122" s="171">
        <f>IF(Q122="","",COUNTIFS(Başvuru!$C:$C,Q122,Başvuru!$A:$A,"&lt;&gt;"&amp;"",Başvuru!$F:$F,"&lt;&gt;"&amp;""))</f>
        <v>1</v>
      </c>
      <c r="S122" s="171">
        <f>IF(R122="","",RANK(R122,$R$6:$R$505,0)+COUNTIF($R$6:R122,R122)-1)</f>
        <v>198</v>
      </c>
    </row>
    <row r="123" spans="2:19" ht="23.25" customHeight="1" x14ac:dyDescent="0.25">
      <c r="B123" s="159">
        <v>118</v>
      </c>
      <c r="C123" s="160" t="str">
        <f>IFERROR(INDEX($Q$6:$Q$505,MATCH(118,$S$6:$S$505,0)),"")</f>
        <v>Doç. Dr. İdil Rana USER KILIÇ</v>
      </c>
      <c r="D123" s="161">
        <f>IF(C123="","",COUNTIFS(Başvuru!$C:$C,C123,Başvuru!$A:$A,"&lt;&gt;"&amp;"",Başvuru!$F:$F,"&lt;&gt;"&amp;""))</f>
        <v>2</v>
      </c>
      <c r="E123" s="159" t="str">
        <f>IF(C123="","-",IF(D123&gt;0,TEXT(D123/(COUNTIFS(Başvuru!$A:$A,"&lt;&gt;",Başvuru!$F:$F,"&lt;&gt;")-1)*100,"0.0")&amp;"%","-"))</f>
        <v>00%</v>
      </c>
      <c r="F123" s="162">
        <f>IF(C123="","",COUNTIFS(Başvuru!$C:$C,C123,Başvuru!$G:$G,"Bireysel Araştırma",Başvuru!$A:$A,"&lt;&gt;"&amp;"",Başvuru!$F:$F,"&lt;&gt;"&amp;""))</f>
        <v>2</v>
      </c>
      <c r="G123" s="162">
        <f>IF(C123="","",COUNTIFS(Başvuru!$C:$C,C123,Başvuru!$G:$G,"Uzmanlık Tezi",Başvuru!$A:$A,"&lt;&gt;"&amp;"",Başvuru!$F:$F,"&lt;&gt;"&amp;""))</f>
        <v>0</v>
      </c>
      <c r="H123" s="162">
        <f>IF(C123="","",COUNTIFS(Başvuru!$C:$C,C123,Başvuru!$G:$G,"Doktora Tezi",Başvuru!$A:$A,"&lt;&gt;"&amp;"",Başvuru!$F:$F,"&lt;&gt;"&amp;""))</f>
        <v>0</v>
      </c>
      <c r="I123" s="162">
        <f>IF(C123="","",COUNTIFS(Başvuru!$C:$C,C123,Başvuru!$G:$G,"Yüksek Lisans Tezi",Başvuru!$A:$A,"&lt;&gt;"&amp;"",Başvuru!$F:$F,"&lt;&gt;"&amp;""))</f>
        <v>0</v>
      </c>
      <c r="J123" s="163">
        <f>IF(C123="","",COUNTIFS(Başvuru!$C:$C,C123,Başvuru!$L:$L,"ONAY",Başvuru!$A:$A,"&lt;&gt;"&amp;"",Başvuru!$F:$F,"&lt;&gt;"&amp;""))</f>
        <v>2</v>
      </c>
      <c r="K123" s="164">
        <f>IF(C123="","",COUNTIFS(Başvuru!$C:$C,C123,Başvuru!$L:$L,"DÜZELTME",Başvuru!$A:$A,"&lt;&gt;"&amp;"",Başvuru!$F:$F,"&lt;&gt;"&amp;""))</f>
        <v>0</v>
      </c>
      <c r="L123" s="165">
        <f>IF(C123="","",COUNTIFS(Başvuru!$C:$C,C123,Başvuru!$L:$L,"KAEK",Başvuru!$A:$A,"&lt;&gt;"&amp;"",Başvuru!$F:$F,"&lt;&gt;"&amp;""))</f>
        <v>0</v>
      </c>
      <c r="M123" s="166">
        <f>IF(C123="","",COUNTIFS(Başvuru!$C:$C,C123,Başvuru!$L:$L,"GÖRÜŞ",Başvuru!$A:$A,"&lt;&gt;"&amp;"",Başvuru!$F:$F,"&lt;&gt;"&amp;""))</f>
        <v>0</v>
      </c>
      <c r="N123" s="167">
        <f>IF(C123="","",COUNTIFS(Başvuru!$C:$C,C123,Başvuru!$L:$L,"RET",Başvuru!$A:$A,"&lt;&gt;"&amp;"",Başvuru!$F:$F,"&lt;&gt;"&amp;""))</f>
        <v>0</v>
      </c>
      <c r="O123" s="168">
        <f>IF(C123="","",COUNTIFS(Başvuru!$C:$C,C123,Başvuru!$L:$L,"KAPSAM DIŞI",Başvuru!$A:$A,"&lt;&gt;"&amp;"",Başvuru!$F:$F,"&lt;&gt;"&amp;""))</f>
        <v>0</v>
      </c>
      <c r="P123" s="169">
        <f>IF(C123="","",COUNTIFS(Başvuru!$C:$C,C123,Başvuru!$L:$L,"GERİ ÇEKİLDİ",Başvuru!$A:$A,"&lt;&gt;"&amp;"",Başvuru!$F:$F,"&lt;&gt;"&amp;""))</f>
        <v>0</v>
      </c>
      <c r="Q123" s="170" t="str">
        <f>IFERROR(INDEX(Başvuru!$C$2:$C$1851,MATCH(118,Başvuru!$AB$2:$AB$1851,0)),"")</f>
        <v>Doç. Dr. Almıla Gülsün PAMUK</v>
      </c>
      <c r="R123" s="171">
        <f>IF(Q123="","",COUNTIFS(Başvuru!$C:$C,Q123,Başvuru!$A:$A,"&lt;&gt;"&amp;"",Başvuru!$F:$F,"&lt;&gt;"&amp;""))</f>
        <v>1</v>
      </c>
      <c r="S123" s="171">
        <f>IF(R123="","",RANK(R123,$R$6:$R$505,0)+COUNTIF($R$6:R123,R123)-1)</f>
        <v>199</v>
      </c>
    </row>
    <row r="124" spans="2:19" ht="23.25" customHeight="1" x14ac:dyDescent="0.25">
      <c r="B124" s="159">
        <v>119</v>
      </c>
      <c r="C124" s="160" t="str">
        <f>IFERROR(INDEX($Q$6:$Q$505,MATCH(119,$S$6:$S$505,0)),"")</f>
        <v>Prof. Dr. Mert ÇALIŞ</v>
      </c>
      <c r="D124" s="161">
        <f>IF(C124="","",COUNTIFS(Başvuru!$C:$C,C124,Başvuru!$A:$A,"&lt;&gt;"&amp;"",Başvuru!$F:$F,"&lt;&gt;"&amp;""))</f>
        <v>2</v>
      </c>
      <c r="E124" s="159" t="str">
        <f>IF(C124="","-",IF(D124&gt;0,TEXT(D124/(COUNTIFS(Başvuru!$A:$A,"&lt;&gt;",Başvuru!$F:$F,"&lt;&gt;")-1)*100,"0.0")&amp;"%","-"))</f>
        <v>00%</v>
      </c>
      <c r="F124" s="162">
        <f>IF(C124="","",COUNTIFS(Başvuru!$C:$C,C124,Başvuru!$G:$G,"Bireysel Araştırma",Başvuru!$A:$A,"&lt;&gt;"&amp;"",Başvuru!$F:$F,"&lt;&gt;"&amp;""))</f>
        <v>1</v>
      </c>
      <c r="G124" s="162">
        <f>IF(C124="","",COUNTIFS(Başvuru!$C:$C,C124,Başvuru!$G:$G,"Uzmanlık Tezi",Başvuru!$A:$A,"&lt;&gt;"&amp;"",Başvuru!$F:$F,"&lt;&gt;"&amp;""))</f>
        <v>1</v>
      </c>
      <c r="H124" s="162">
        <f>IF(C124="","",COUNTIFS(Başvuru!$C:$C,C124,Başvuru!$G:$G,"Doktora Tezi",Başvuru!$A:$A,"&lt;&gt;"&amp;"",Başvuru!$F:$F,"&lt;&gt;"&amp;""))</f>
        <v>0</v>
      </c>
      <c r="I124" s="162">
        <f>IF(C124="","",COUNTIFS(Başvuru!$C:$C,C124,Başvuru!$G:$G,"Yüksek Lisans Tezi",Başvuru!$A:$A,"&lt;&gt;"&amp;"",Başvuru!$F:$F,"&lt;&gt;"&amp;""))</f>
        <v>0</v>
      </c>
      <c r="J124" s="163">
        <f>IF(C124="","",COUNTIFS(Başvuru!$C:$C,C124,Başvuru!$L:$L,"ONAY",Başvuru!$A:$A,"&lt;&gt;"&amp;"",Başvuru!$F:$F,"&lt;&gt;"&amp;""))</f>
        <v>1</v>
      </c>
      <c r="K124" s="164">
        <f>IF(C124="","",COUNTIFS(Başvuru!$C:$C,C124,Başvuru!$L:$L,"DÜZELTME",Başvuru!$A:$A,"&lt;&gt;"&amp;"",Başvuru!$F:$F,"&lt;&gt;"&amp;""))</f>
        <v>0</v>
      </c>
      <c r="L124" s="165">
        <f>IF(C124="","",COUNTIFS(Başvuru!$C:$C,C124,Başvuru!$L:$L,"KAEK",Başvuru!$A:$A,"&lt;&gt;"&amp;"",Başvuru!$F:$F,"&lt;&gt;"&amp;""))</f>
        <v>0</v>
      </c>
      <c r="M124" s="166">
        <f>IF(C124="","",COUNTIFS(Başvuru!$C:$C,C124,Başvuru!$L:$L,"GÖRÜŞ",Başvuru!$A:$A,"&lt;&gt;"&amp;"",Başvuru!$F:$F,"&lt;&gt;"&amp;""))</f>
        <v>0</v>
      </c>
      <c r="N124" s="167">
        <f>IF(C124="","",COUNTIFS(Başvuru!$C:$C,C124,Başvuru!$L:$L,"RET",Başvuru!$A:$A,"&lt;&gt;"&amp;"",Başvuru!$F:$F,"&lt;&gt;"&amp;""))</f>
        <v>0</v>
      </c>
      <c r="O124" s="168">
        <f>IF(C124="","",COUNTIFS(Başvuru!$C:$C,C124,Başvuru!$L:$L,"KAPSAM DIŞI",Başvuru!$A:$A,"&lt;&gt;"&amp;"",Başvuru!$F:$F,"&lt;&gt;"&amp;""))</f>
        <v>0</v>
      </c>
      <c r="P124" s="169">
        <f>IF(C124="","",COUNTIFS(Başvuru!$C:$C,C124,Başvuru!$L:$L,"GERİ ÇEKİLDİ",Başvuru!$A:$A,"&lt;&gt;"&amp;"",Başvuru!$F:$F,"&lt;&gt;"&amp;""))</f>
        <v>0</v>
      </c>
      <c r="Q124" s="170" t="str">
        <f>IFERROR(INDEX(Başvuru!$C$2:$C$1851,MATCH(119,Başvuru!$AB$2:$AB$1851,0)),"")</f>
        <v>Doç. Dr. Gamze ATAY</v>
      </c>
      <c r="R124" s="171">
        <f>IF(Q124="","",COUNTIFS(Başvuru!$C:$C,Q124,Başvuru!$A:$A,"&lt;&gt;"&amp;"",Başvuru!$F:$F,"&lt;&gt;"&amp;""))</f>
        <v>1</v>
      </c>
      <c r="S124" s="171">
        <f>IF(R124="","",RANK(R124,$R$6:$R$505,0)+COUNTIF($R$6:R124,R124)-1)</f>
        <v>200</v>
      </c>
    </row>
    <row r="125" spans="2:19" ht="23.25" customHeight="1" x14ac:dyDescent="0.25">
      <c r="B125" s="159">
        <v>120</v>
      </c>
      <c r="C125" s="160" t="str">
        <f>IFERROR(INDEX($Q$6:$Q$505,MATCH(120,$S$6:$S$505,0)),"")</f>
        <v>Prof. Dr. Betül ÇELEBİ SALTIK</v>
      </c>
      <c r="D125" s="161">
        <f>IF(C125="","",COUNTIFS(Başvuru!$C:$C,C125,Başvuru!$A:$A,"&lt;&gt;"&amp;"",Başvuru!$F:$F,"&lt;&gt;"&amp;""))</f>
        <v>2</v>
      </c>
      <c r="E125" s="159" t="str">
        <f>IF(C125="","-",IF(D125&gt;0,TEXT(D125/(COUNTIFS(Başvuru!$A:$A,"&lt;&gt;",Başvuru!$F:$F,"&lt;&gt;")-1)*100,"0.0")&amp;"%","-"))</f>
        <v>00%</v>
      </c>
      <c r="F125" s="162">
        <f>IF(C125="","",COUNTIFS(Başvuru!$C:$C,C125,Başvuru!$G:$G,"Bireysel Araştırma",Başvuru!$A:$A,"&lt;&gt;"&amp;"",Başvuru!$F:$F,"&lt;&gt;"&amp;""))</f>
        <v>2</v>
      </c>
      <c r="G125" s="162">
        <f>IF(C125="","",COUNTIFS(Başvuru!$C:$C,C125,Başvuru!$G:$G,"Uzmanlık Tezi",Başvuru!$A:$A,"&lt;&gt;"&amp;"",Başvuru!$F:$F,"&lt;&gt;"&amp;""))</f>
        <v>0</v>
      </c>
      <c r="H125" s="162">
        <f>IF(C125="","",COUNTIFS(Başvuru!$C:$C,C125,Başvuru!$G:$G,"Doktora Tezi",Başvuru!$A:$A,"&lt;&gt;"&amp;"",Başvuru!$F:$F,"&lt;&gt;"&amp;""))</f>
        <v>0</v>
      </c>
      <c r="I125" s="162">
        <f>IF(C125="","",COUNTIFS(Başvuru!$C:$C,C125,Başvuru!$G:$G,"Yüksek Lisans Tezi",Başvuru!$A:$A,"&lt;&gt;"&amp;"",Başvuru!$F:$F,"&lt;&gt;"&amp;""))</f>
        <v>0</v>
      </c>
      <c r="J125" s="163">
        <f>IF(C125="","",COUNTIFS(Başvuru!$C:$C,C125,Başvuru!$L:$L,"ONAY",Başvuru!$A:$A,"&lt;&gt;"&amp;"",Başvuru!$F:$F,"&lt;&gt;"&amp;""))</f>
        <v>2</v>
      </c>
      <c r="K125" s="164">
        <f>IF(C125="","",COUNTIFS(Başvuru!$C:$C,C125,Başvuru!$L:$L,"DÜZELTME",Başvuru!$A:$A,"&lt;&gt;"&amp;"",Başvuru!$F:$F,"&lt;&gt;"&amp;""))</f>
        <v>0</v>
      </c>
      <c r="L125" s="165">
        <f>IF(C125="","",COUNTIFS(Başvuru!$C:$C,C125,Başvuru!$L:$L,"KAEK",Başvuru!$A:$A,"&lt;&gt;"&amp;"",Başvuru!$F:$F,"&lt;&gt;"&amp;""))</f>
        <v>0</v>
      </c>
      <c r="M125" s="166">
        <f>IF(C125="","",COUNTIFS(Başvuru!$C:$C,C125,Başvuru!$L:$L,"GÖRÜŞ",Başvuru!$A:$A,"&lt;&gt;"&amp;"",Başvuru!$F:$F,"&lt;&gt;"&amp;""))</f>
        <v>0</v>
      </c>
      <c r="N125" s="167">
        <f>IF(C125="","",COUNTIFS(Başvuru!$C:$C,C125,Başvuru!$L:$L,"RET",Başvuru!$A:$A,"&lt;&gt;"&amp;"",Başvuru!$F:$F,"&lt;&gt;"&amp;""))</f>
        <v>0</v>
      </c>
      <c r="O125" s="168">
        <f>IF(C125="","",COUNTIFS(Başvuru!$C:$C,C125,Başvuru!$L:$L,"KAPSAM DIŞI",Başvuru!$A:$A,"&lt;&gt;"&amp;"",Başvuru!$F:$F,"&lt;&gt;"&amp;""))</f>
        <v>0</v>
      </c>
      <c r="P125" s="169">
        <f>IF(C125="","",COUNTIFS(Başvuru!$C:$C,C125,Başvuru!$L:$L,"GERİ ÇEKİLDİ",Başvuru!$A:$A,"&lt;&gt;"&amp;"",Başvuru!$F:$F,"&lt;&gt;"&amp;""))</f>
        <v>0</v>
      </c>
      <c r="Q125" s="170" t="str">
        <f>IFERROR(INDEX(Başvuru!$C$2:$C$1851,MATCH(120,Başvuru!$AB$2:$AB$1851,0)),"")</f>
        <v>Doç. Dr. Hilal KORKMAZ</v>
      </c>
      <c r="R125" s="171">
        <f>IF(Q125="","",COUNTIFS(Başvuru!$C:$C,Q125,Başvuru!$A:$A,"&lt;&gt;"&amp;"",Başvuru!$F:$F,"&lt;&gt;"&amp;""))</f>
        <v>1</v>
      </c>
      <c r="S125" s="171">
        <f>IF(R125="","",RANK(R125,$R$6:$R$505,0)+COUNTIF($R$6:R125,R125)-1)</f>
        <v>201</v>
      </c>
    </row>
    <row r="126" spans="2:19" ht="23.25" customHeight="1" x14ac:dyDescent="0.25">
      <c r="B126" s="159">
        <v>121</v>
      </c>
      <c r="C126" s="160" t="str">
        <f>IFERROR(INDEX($Q$6:$Q$505,MATCH(121,$S$6:$S$505,0)),"")</f>
        <v>Prof. Dr. Bora GÜLHAN</v>
      </c>
      <c r="D126" s="161">
        <f>IF(C126="","",COUNTIFS(Başvuru!$C:$C,C126,Başvuru!$A:$A,"&lt;&gt;"&amp;"",Başvuru!$F:$F,"&lt;&gt;"&amp;""))</f>
        <v>2</v>
      </c>
      <c r="E126" s="159" t="str">
        <f>IF(C126="","-",IF(D126&gt;0,TEXT(D126/(COUNTIFS(Başvuru!$A:$A,"&lt;&gt;",Başvuru!$F:$F,"&lt;&gt;")-1)*100,"0.0")&amp;"%","-"))</f>
        <v>00%</v>
      </c>
      <c r="F126" s="162">
        <f>IF(C126="","",COUNTIFS(Başvuru!$C:$C,C126,Başvuru!$G:$G,"Bireysel Araştırma",Başvuru!$A:$A,"&lt;&gt;"&amp;"",Başvuru!$F:$F,"&lt;&gt;"&amp;""))</f>
        <v>1</v>
      </c>
      <c r="G126" s="162">
        <f>IF(C126="","",COUNTIFS(Başvuru!$C:$C,C126,Başvuru!$G:$G,"Uzmanlık Tezi",Başvuru!$A:$A,"&lt;&gt;"&amp;"",Başvuru!$F:$F,"&lt;&gt;"&amp;""))</f>
        <v>1</v>
      </c>
      <c r="H126" s="162">
        <f>IF(C126="","",COUNTIFS(Başvuru!$C:$C,C126,Başvuru!$G:$G,"Doktora Tezi",Başvuru!$A:$A,"&lt;&gt;"&amp;"",Başvuru!$F:$F,"&lt;&gt;"&amp;""))</f>
        <v>0</v>
      </c>
      <c r="I126" s="162">
        <f>IF(C126="","",COUNTIFS(Başvuru!$C:$C,C126,Başvuru!$G:$G,"Yüksek Lisans Tezi",Başvuru!$A:$A,"&lt;&gt;"&amp;"",Başvuru!$F:$F,"&lt;&gt;"&amp;""))</f>
        <v>0</v>
      </c>
      <c r="J126" s="163">
        <f>IF(C126="","",COUNTIFS(Başvuru!$C:$C,C126,Başvuru!$L:$L,"ONAY",Başvuru!$A:$A,"&lt;&gt;"&amp;"",Başvuru!$F:$F,"&lt;&gt;"&amp;""))</f>
        <v>1</v>
      </c>
      <c r="K126" s="164">
        <f>IF(C126="","",COUNTIFS(Başvuru!$C:$C,C126,Başvuru!$L:$L,"DÜZELTME",Başvuru!$A:$A,"&lt;&gt;"&amp;"",Başvuru!$F:$F,"&lt;&gt;"&amp;""))</f>
        <v>0</v>
      </c>
      <c r="L126" s="165">
        <f>IF(C126="","",COUNTIFS(Başvuru!$C:$C,C126,Başvuru!$L:$L,"KAEK",Başvuru!$A:$A,"&lt;&gt;"&amp;"",Başvuru!$F:$F,"&lt;&gt;"&amp;""))</f>
        <v>0</v>
      </c>
      <c r="M126" s="166">
        <f>IF(C126="","",COUNTIFS(Başvuru!$C:$C,C126,Başvuru!$L:$L,"GÖRÜŞ",Başvuru!$A:$A,"&lt;&gt;"&amp;"",Başvuru!$F:$F,"&lt;&gt;"&amp;""))</f>
        <v>0</v>
      </c>
      <c r="N126" s="167">
        <f>IF(C126="","",COUNTIFS(Başvuru!$C:$C,C126,Başvuru!$L:$L,"RET",Başvuru!$A:$A,"&lt;&gt;"&amp;"",Başvuru!$F:$F,"&lt;&gt;"&amp;""))</f>
        <v>0</v>
      </c>
      <c r="O126" s="168">
        <f>IF(C126="","",COUNTIFS(Başvuru!$C:$C,C126,Başvuru!$L:$L,"KAPSAM DIŞI",Başvuru!$A:$A,"&lt;&gt;"&amp;"",Başvuru!$F:$F,"&lt;&gt;"&amp;""))</f>
        <v>0</v>
      </c>
      <c r="P126" s="169">
        <f>IF(C126="","",COUNTIFS(Başvuru!$C:$C,C126,Başvuru!$L:$L,"GERİ ÇEKİLDİ",Başvuru!$A:$A,"&lt;&gt;"&amp;"",Başvuru!$F:$F,"&lt;&gt;"&amp;""))</f>
        <v>0</v>
      </c>
      <c r="Q126" s="170" t="str">
        <f>IFERROR(INDEX(Başvuru!$C$2:$C$1851,MATCH(121,Başvuru!$AB$2:$AB$1851,0)),"")</f>
        <v>Doç. Dr. Derman BAŞARAN</v>
      </c>
      <c r="R126" s="171">
        <f>IF(Q126="","",COUNTIFS(Başvuru!$C:$C,Q126,Başvuru!$A:$A,"&lt;&gt;"&amp;"",Başvuru!$F:$F,"&lt;&gt;"&amp;""))</f>
        <v>1</v>
      </c>
      <c r="S126" s="171">
        <f>IF(R126="","",RANK(R126,$R$6:$R$505,0)+COUNTIF($R$6:R126,R126)-1)</f>
        <v>202</v>
      </c>
    </row>
    <row r="127" spans="2:19" ht="23.25" customHeight="1" x14ac:dyDescent="0.25">
      <c r="B127" s="159">
        <v>122</v>
      </c>
      <c r="C127" s="160" t="str">
        <f>IFERROR(INDEX($Q$6:$Q$505,MATCH(122,$S$6:$S$505,0)),"")</f>
        <v>Dr. Öğr. Üyesi Gökhan AYIK</v>
      </c>
      <c r="D127" s="161">
        <f>IF(C127="","",COUNTIFS(Başvuru!$C:$C,C127,Başvuru!$A:$A,"&lt;&gt;"&amp;"",Başvuru!$F:$F,"&lt;&gt;"&amp;""))</f>
        <v>2</v>
      </c>
      <c r="E127" s="159" t="str">
        <f>IF(C127="","-",IF(D127&gt;0,TEXT(D127/(COUNTIFS(Başvuru!$A:$A,"&lt;&gt;",Başvuru!$F:$F,"&lt;&gt;")-1)*100,"0.0")&amp;"%","-"))</f>
        <v>00%</v>
      </c>
      <c r="F127" s="162">
        <f>IF(C127="","",COUNTIFS(Başvuru!$C:$C,C127,Başvuru!$G:$G,"Bireysel Araştırma",Başvuru!$A:$A,"&lt;&gt;"&amp;"",Başvuru!$F:$F,"&lt;&gt;"&amp;""))</f>
        <v>2</v>
      </c>
      <c r="G127" s="162">
        <f>IF(C127="","",COUNTIFS(Başvuru!$C:$C,C127,Başvuru!$G:$G,"Uzmanlık Tezi",Başvuru!$A:$A,"&lt;&gt;"&amp;"",Başvuru!$F:$F,"&lt;&gt;"&amp;""))</f>
        <v>0</v>
      </c>
      <c r="H127" s="162">
        <f>IF(C127="","",COUNTIFS(Başvuru!$C:$C,C127,Başvuru!$G:$G,"Doktora Tezi",Başvuru!$A:$A,"&lt;&gt;"&amp;"",Başvuru!$F:$F,"&lt;&gt;"&amp;""))</f>
        <v>0</v>
      </c>
      <c r="I127" s="162">
        <f>IF(C127="","",COUNTIFS(Başvuru!$C:$C,C127,Başvuru!$G:$G,"Yüksek Lisans Tezi",Başvuru!$A:$A,"&lt;&gt;"&amp;"",Başvuru!$F:$F,"&lt;&gt;"&amp;""))</f>
        <v>0</v>
      </c>
      <c r="J127" s="163">
        <f>IF(C127="","",COUNTIFS(Başvuru!$C:$C,C127,Başvuru!$L:$L,"ONAY",Başvuru!$A:$A,"&lt;&gt;"&amp;"",Başvuru!$F:$F,"&lt;&gt;"&amp;""))</f>
        <v>1</v>
      </c>
      <c r="K127" s="164">
        <f>IF(C127="","",COUNTIFS(Başvuru!$C:$C,C127,Başvuru!$L:$L,"DÜZELTME",Başvuru!$A:$A,"&lt;&gt;"&amp;"",Başvuru!$F:$F,"&lt;&gt;"&amp;""))</f>
        <v>0</v>
      </c>
      <c r="L127" s="165">
        <f>IF(C127="","",COUNTIFS(Başvuru!$C:$C,C127,Başvuru!$L:$L,"KAEK",Başvuru!$A:$A,"&lt;&gt;"&amp;"",Başvuru!$F:$F,"&lt;&gt;"&amp;""))</f>
        <v>1</v>
      </c>
      <c r="M127" s="166">
        <f>IF(C127="","",COUNTIFS(Başvuru!$C:$C,C127,Başvuru!$L:$L,"GÖRÜŞ",Başvuru!$A:$A,"&lt;&gt;"&amp;"",Başvuru!$F:$F,"&lt;&gt;"&amp;""))</f>
        <v>0</v>
      </c>
      <c r="N127" s="167">
        <f>IF(C127="","",COUNTIFS(Başvuru!$C:$C,C127,Başvuru!$L:$L,"RET",Başvuru!$A:$A,"&lt;&gt;"&amp;"",Başvuru!$F:$F,"&lt;&gt;"&amp;""))</f>
        <v>0</v>
      </c>
      <c r="O127" s="168">
        <f>IF(C127="","",COUNTIFS(Başvuru!$C:$C,C127,Başvuru!$L:$L,"KAPSAM DIŞI",Başvuru!$A:$A,"&lt;&gt;"&amp;"",Başvuru!$F:$F,"&lt;&gt;"&amp;""))</f>
        <v>0</v>
      </c>
      <c r="P127" s="169">
        <f>IF(C127="","",COUNTIFS(Başvuru!$C:$C,C127,Başvuru!$L:$L,"GERİ ÇEKİLDİ",Başvuru!$A:$A,"&lt;&gt;"&amp;"",Başvuru!$F:$F,"&lt;&gt;"&amp;""))</f>
        <v>0</v>
      </c>
      <c r="Q127" s="170" t="str">
        <f>IFERROR(INDEX(Başvuru!$C$2:$C$1851,MATCH(122,Başvuru!$AB$2:$AB$1851,0)),"")</f>
        <v>Doç. Dr. Duygu GÜLSEREN</v>
      </c>
      <c r="R127" s="171">
        <f>IF(Q127="","",COUNTIFS(Başvuru!$C:$C,Q127,Başvuru!$A:$A,"&lt;&gt;"&amp;"",Başvuru!$F:$F,"&lt;&gt;"&amp;""))</f>
        <v>2</v>
      </c>
      <c r="S127" s="171">
        <f>IF(R127="","",RANK(R127,$R$6:$R$505,0)+COUNTIF($R$6:R127,R127)-1)</f>
        <v>110</v>
      </c>
    </row>
    <row r="128" spans="2:19" ht="23.25" customHeight="1" x14ac:dyDescent="0.25">
      <c r="B128" s="159">
        <v>123</v>
      </c>
      <c r="C128" s="160" t="str">
        <f>IFERROR(INDEX($Q$6:$Q$505,MATCH(123,$S$6:$S$505,0)),"")</f>
        <v>Prof. Dr. Güliz AKTAŞ</v>
      </c>
      <c r="D128" s="161">
        <f>IF(C128="","",COUNTIFS(Başvuru!$C:$C,C128,Başvuru!$A:$A,"&lt;&gt;"&amp;"",Başvuru!$F:$F,"&lt;&gt;"&amp;""))</f>
        <v>2</v>
      </c>
      <c r="E128" s="159" t="str">
        <f>IF(C128="","-",IF(D128&gt;0,TEXT(D128/(COUNTIFS(Başvuru!$A:$A,"&lt;&gt;",Başvuru!$F:$F,"&lt;&gt;")-1)*100,"0.0")&amp;"%","-"))</f>
        <v>00%</v>
      </c>
      <c r="F128" s="162">
        <f>IF(C128="","",COUNTIFS(Başvuru!$C:$C,C128,Başvuru!$G:$G,"Bireysel Araştırma",Başvuru!$A:$A,"&lt;&gt;"&amp;"",Başvuru!$F:$F,"&lt;&gt;"&amp;""))</f>
        <v>0</v>
      </c>
      <c r="G128" s="162">
        <f>IF(C128="","",COUNTIFS(Başvuru!$C:$C,C128,Başvuru!$G:$G,"Uzmanlık Tezi",Başvuru!$A:$A,"&lt;&gt;"&amp;"",Başvuru!$F:$F,"&lt;&gt;"&amp;""))</f>
        <v>2</v>
      </c>
      <c r="H128" s="162">
        <f>IF(C128="","",COUNTIFS(Başvuru!$C:$C,C128,Başvuru!$G:$G,"Doktora Tezi",Başvuru!$A:$A,"&lt;&gt;"&amp;"",Başvuru!$F:$F,"&lt;&gt;"&amp;""))</f>
        <v>0</v>
      </c>
      <c r="I128" s="162">
        <f>IF(C128="","",COUNTIFS(Başvuru!$C:$C,C128,Başvuru!$G:$G,"Yüksek Lisans Tezi",Başvuru!$A:$A,"&lt;&gt;"&amp;"",Başvuru!$F:$F,"&lt;&gt;"&amp;""))</f>
        <v>0</v>
      </c>
      <c r="J128" s="163">
        <f>IF(C128="","",COUNTIFS(Başvuru!$C:$C,C128,Başvuru!$L:$L,"ONAY",Başvuru!$A:$A,"&lt;&gt;"&amp;"",Başvuru!$F:$F,"&lt;&gt;"&amp;""))</f>
        <v>2</v>
      </c>
      <c r="K128" s="164">
        <f>IF(C128="","",COUNTIFS(Başvuru!$C:$C,C128,Başvuru!$L:$L,"DÜZELTME",Başvuru!$A:$A,"&lt;&gt;"&amp;"",Başvuru!$F:$F,"&lt;&gt;"&amp;""))</f>
        <v>0</v>
      </c>
      <c r="L128" s="165">
        <f>IF(C128="","",COUNTIFS(Başvuru!$C:$C,C128,Başvuru!$L:$L,"KAEK",Başvuru!$A:$A,"&lt;&gt;"&amp;"",Başvuru!$F:$F,"&lt;&gt;"&amp;""))</f>
        <v>0</v>
      </c>
      <c r="M128" s="166">
        <f>IF(C128="","",COUNTIFS(Başvuru!$C:$C,C128,Başvuru!$L:$L,"GÖRÜŞ",Başvuru!$A:$A,"&lt;&gt;"&amp;"",Başvuru!$F:$F,"&lt;&gt;"&amp;""))</f>
        <v>0</v>
      </c>
      <c r="N128" s="167">
        <f>IF(C128="","",COUNTIFS(Başvuru!$C:$C,C128,Başvuru!$L:$L,"RET",Başvuru!$A:$A,"&lt;&gt;"&amp;"",Başvuru!$F:$F,"&lt;&gt;"&amp;""))</f>
        <v>0</v>
      </c>
      <c r="O128" s="168">
        <f>IF(C128="","",COUNTIFS(Başvuru!$C:$C,C128,Başvuru!$L:$L,"KAPSAM DIŞI",Başvuru!$A:$A,"&lt;&gt;"&amp;"",Başvuru!$F:$F,"&lt;&gt;"&amp;""))</f>
        <v>0</v>
      </c>
      <c r="P128" s="169">
        <f>IF(C128="","",COUNTIFS(Başvuru!$C:$C,C128,Başvuru!$L:$L,"GERİ ÇEKİLDİ",Başvuru!$A:$A,"&lt;&gt;"&amp;"",Başvuru!$F:$F,"&lt;&gt;"&amp;""))</f>
        <v>0</v>
      </c>
      <c r="Q128" s="170" t="str">
        <f>IFERROR(INDEX(Başvuru!$C$2:$C$1851,MATCH(123,Başvuru!$AB$2:$AB$1851,0)),"")</f>
        <v>Prof. Dr. Egemen TURHAN</v>
      </c>
      <c r="R128" s="171">
        <f>IF(Q128="","",COUNTIFS(Başvuru!$C:$C,Q128,Başvuru!$A:$A,"&lt;&gt;"&amp;"",Başvuru!$F:$F,"&lt;&gt;"&amp;""))</f>
        <v>1</v>
      </c>
      <c r="S128" s="171">
        <f>IF(R128="","",RANK(R128,$R$6:$R$505,0)+COUNTIF($R$6:R128,R128)-1)</f>
        <v>203</v>
      </c>
    </row>
    <row r="129" spans="2:19" ht="23.25" customHeight="1" x14ac:dyDescent="0.25">
      <c r="B129" s="159">
        <v>124</v>
      </c>
      <c r="C129" s="160" t="str">
        <f>IFERROR(INDEX($Q$6:$Q$505,MATCH(124,$S$6:$S$505,0)),"")</f>
        <v>Prof. Dr. Bülent Enis ŞEKEREL</v>
      </c>
      <c r="D129" s="161">
        <f>IF(C129="","",COUNTIFS(Başvuru!$C:$C,C129,Başvuru!$A:$A,"&lt;&gt;"&amp;"",Başvuru!$F:$F,"&lt;&gt;"&amp;""))</f>
        <v>2</v>
      </c>
      <c r="E129" s="159" t="str">
        <f>IF(C129="","-",IF(D129&gt;0,TEXT(D129/(COUNTIFS(Başvuru!$A:$A,"&lt;&gt;",Başvuru!$F:$F,"&lt;&gt;")-1)*100,"0.0")&amp;"%","-"))</f>
        <v>00%</v>
      </c>
      <c r="F129" s="162">
        <f>IF(C129="","",COUNTIFS(Başvuru!$C:$C,C129,Başvuru!$G:$G,"Bireysel Araştırma",Başvuru!$A:$A,"&lt;&gt;"&amp;"",Başvuru!$F:$F,"&lt;&gt;"&amp;""))</f>
        <v>2</v>
      </c>
      <c r="G129" s="162">
        <f>IF(C129="","",COUNTIFS(Başvuru!$C:$C,C129,Başvuru!$G:$G,"Uzmanlık Tezi",Başvuru!$A:$A,"&lt;&gt;"&amp;"",Başvuru!$F:$F,"&lt;&gt;"&amp;""))</f>
        <v>0</v>
      </c>
      <c r="H129" s="162">
        <f>IF(C129="","",COUNTIFS(Başvuru!$C:$C,C129,Başvuru!$G:$G,"Doktora Tezi",Başvuru!$A:$A,"&lt;&gt;"&amp;"",Başvuru!$F:$F,"&lt;&gt;"&amp;""))</f>
        <v>0</v>
      </c>
      <c r="I129" s="162">
        <f>IF(C129="","",COUNTIFS(Başvuru!$C:$C,C129,Başvuru!$G:$G,"Yüksek Lisans Tezi",Başvuru!$A:$A,"&lt;&gt;"&amp;"",Başvuru!$F:$F,"&lt;&gt;"&amp;""))</f>
        <v>0</v>
      </c>
      <c r="J129" s="163">
        <f>IF(C129="","",COUNTIFS(Başvuru!$C:$C,C129,Başvuru!$L:$L,"ONAY",Başvuru!$A:$A,"&lt;&gt;"&amp;"",Başvuru!$F:$F,"&lt;&gt;"&amp;""))</f>
        <v>2</v>
      </c>
      <c r="K129" s="164">
        <f>IF(C129="","",COUNTIFS(Başvuru!$C:$C,C129,Başvuru!$L:$L,"DÜZELTME",Başvuru!$A:$A,"&lt;&gt;"&amp;"",Başvuru!$F:$F,"&lt;&gt;"&amp;""))</f>
        <v>0</v>
      </c>
      <c r="L129" s="165">
        <f>IF(C129="","",COUNTIFS(Başvuru!$C:$C,C129,Başvuru!$L:$L,"KAEK",Başvuru!$A:$A,"&lt;&gt;"&amp;"",Başvuru!$F:$F,"&lt;&gt;"&amp;""))</f>
        <v>0</v>
      </c>
      <c r="M129" s="166">
        <f>IF(C129="","",COUNTIFS(Başvuru!$C:$C,C129,Başvuru!$L:$L,"GÖRÜŞ",Başvuru!$A:$A,"&lt;&gt;"&amp;"",Başvuru!$F:$F,"&lt;&gt;"&amp;""))</f>
        <v>0</v>
      </c>
      <c r="N129" s="167">
        <f>IF(C129="","",COUNTIFS(Başvuru!$C:$C,C129,Başvuru!$L:$L,"RET",Başvuru!$A:$A,"&lt;&gt;"&amp;"",Başvuru!$F:$F,"&lt;&gt;"&amp;""))</f>
        <v>0</v>
      </c>
      <c r="O129" s="168">
        <f>IF(C129="","",COUNTIFS(Başvuru!$C:$C,C129,Başvuru!$L:$L,"KAPSAM DIŞI",Başvuru!$A:$A,"&lt;&gt;"&amp;"",Başvuru!$F:$F,"&lt;&gt;"&amp;""))</f>
        <v>0</v>
      </c>
      <c r="P129" s="169">
        <f>IF(C129="","",COUNTIFS(Başvuru!$C:$C,C129,Başvuru!$L:$L,"GERİ ÇEKİLDİ",Başvuru!$A:$A,"&lt;&gt;"&amp;"",Başvuru!$F:$F,"&lt;&gt;"&amp;""))</f>
        <v>0</v>
      </c>
      <c r="Q129" s="170" t="str">
        <f>IFERROR(INDEX(Başvuru!$C$2:$C$1851,MATCH(124,Başvuru!$AB$2:$AB$1851,0)),"")</f>
        <v>Prof. Dr. Sevinç SARINÇ</v>
      </c>
      <c r="R129" s="171">
        <f>IF(Q129="","",COUNTIFS(Başvuru!$C:$C,Q129,Başvuru!$A:$A,"&lt;&gt;"&amp;"",Başvuru!$F:$F,"&lt;&gt;"&amp;""))</f>
        <v>1</v>
      </c>
      <c r="S129" s="171">
        <f>IF(R129="","",RANK(R129,$R$6:$R$505,0)+COUNTIF($R$6:R129,R129)-1)</f>
        <v>204</v>
      </c>
    </row>
    <row r="130" spans="2:19" ht="23.25" customHeight="1" x14ac:dyDescent="0.25">
      <c r="B130" s="159">
        <v>125</v>
      </c>
      <c r="C130" s="160" t="str">
        <f>IFERROR(INDEX($Q$6:$Q$505,MATCH(125,$S$6:$S$505,0)),"")</f>
        <v>Doç. Dr. Leman AKCAN YILDIZ</v>
      </c>
      <c r="D130" s="161">
        <f>IF(C130="","",COUNTIFS(Başvuru!$C:$C,C130,Başvuru!$A:$A,"&lt;&gt;"&amp;"",Başvuru!$F:$F,"&lt;&gt;"&amp;""))</f>
        <v>2</v>
      </c>
      <c r="E130" s="159" t="str">
        <f>IF(C130="","-",IF(D130&gt;0,TEXT(D130/(COUNTIFS(Başvuru!$A:$A,"&lt;&gt;",Başvuru!$F:$F,"&lt;&gt;")-1)*100,"0.0")&amp;"%","-"))</f>
        <v>00%</v>
      </c>
      <c r="F130" s="162">
        <f>IF(C130="","",COUNTIFS(Başvuru!$C:$C,C130,Başvuru!$G:$G,"Bireysel Araştırma",Başvuru!$A:$A,"&lt;&gt;"&amp;"",Başvuru!$F:$F,"&lt;&gt;"&amp;""))</f>
        <v>2</v>
      </c>
      <c r="G130" s="162">
        <f>IF(C130="","",COUNTIFS(Başvuru!$C:$C,C130,Başvuru!$G:$G,"Uzmanlık Tezi",Başvuru!$A:$A,"&lt;&gt;"&amp;"",Başvuru!$F:$F,"&lt;&gt;"&amp;""))</f>
        <v>0</v>
      </c>
      <c r="H130" s="162">
        <f>IF(C130="","",COUNTIFS(Başvuru!$C:$C,C130,Başvuru!$G:$G,"Doktora Tezi",Başvuru!$A:$A,"&lt;&gt;"&amp;"",Başvuru!$F:$F,"&lt;&gt;"&amp;""))</f>
        <v>0</v>
      </c>
      <c r="I130" s="162">
        <f>IF(C130="","",COUNTIFS(Başvuru!$C:$C,C130,Başvuru!$G:$G,"Yüksek Lisans Tezi",Başvuru!$A:$A,"&lt;&gt;"&amp;"",Başvuru!$F:$F,"&lt;&gt;"&amp;""))</f>
        <v>0</v>
      </c>
      <c r="J130" s="163">
        <f>IF(C130="","",COUNTIFS(Başvuru!$C:$C,C130,Başvuru!$L:$L,"ONAY",Başvuru!$A:$A,"&lt;&gt;"&amp;"",Başvuru!$F:$F,"&lt;&gt;"&amp;""))</f>
        <v>2</v>
      </c>
      <c r="K130" s="164">
        <f>IF(C130="","",COUNTIFS(Başvuru!$C:$C,C130,Başvuru!$L:$L,"DÜZELTME",Başvuru!$A:$A,"&lt;&gt;"&amp;"",Başvuru!$F:$F,"&lt;&gt;"&amp;""))</f>
        <v>0</v>
      </c>
      <c r="L130" s="165">
        <f>IF(C130="","",COUNTIFS(Başvuru!$C:$C,C130,Başvuru!$L:$L,"KAEK",Başvuru!$A:$A,"&lt;&gt;"&amp;"",Başvuru!$F:$F,"&lt;&gt;"&amp;""))</f>
        <v>0</v>
      </c>
      <c r="M130" s="166">
        <f>IF(C130="","",COUNTIFS(Başvuru!$C:$C,C130,Başvuru!$L:$L,"GÖRÜŞ",Başvuru!$A:$A,"&lt;&gt;"&amp;"",Başvuru!$F:$F,"&lt;&gt;"&amp;""))</f>
        <v>0</v>
      </c>
      <c r="N130" s="167">
        <f>IF(C130="","",COUNTIFS(Başvuru!$C:$C,C130,Başvuru!$L:$L,"RET",Başvuru!$A:$A,"&lt;&gt;"&amp;"",Başvuru!$F:$F,"&lt;&gt;"&amp;""))</f>
        <v>0</v>
      </c>
      <c r="O130" s="168">
        <f>IF(C130="","",COUNTIFS(Başvuru!$C:$C,C130,Başvuru!$L:$L,"KAPSAM DIŞI",Başvuru!$A:$A,"&lt;&gt;"&amp;"",Başvuru!$F:$F,"&lt;&gt;"&amp;""))</f>
        <v>0</v>
      </c>
      <c r="P130" s="169">
        <f>IF(C130="","",COUNTIFS(Başvuru!$C:$C,C130,Başvuru!$L:$L,"GERİ ÇEKİLDİ",Başvuru!$A:$A,"&lt;&gt;"&amp;"",Başvuru!$F:$F,"&lt;&gt;"&amp;""))</f>
        <v>0</v>
      </c>
      <c r="Q130" s="170" t="str">
        <f>IFERROR(INDEX(Başvuru!$C$2:$C$1851,MATCH(125,Başvuru!$AB$2:$AB$1851,0)),"")</f>
        <v>Prof. Dr. Serdar TEKGÜL</v>
      </c>
      <c r="R130" s="171">
        <f>IF(Q130="","",COUNTIFS(Başvuru!$C:$C,Q130,Başvuru!$A:$A,"&lt;&gt;"&amp;"",Başvuru!$F:$F,"&lt;&gt;"&amp;""))</f>
        <v>2</v>
      </c>
      <c r="S130" s="171">
        <f>IF(R130="","",RANK(R130,$R$6:$R$505,0)+COUNTIF($R$6:R130,R130)-1)</f>
        <v>111</v>
      </c>
    </row>
    <row r="131" spans="2:19" ht="23.25" customHeight="1" x14ac:dyDescent="0.25">
      <c r="B131" s="159">
        <v>126</v>
      </c>
      <c r="C131" s="160" t="str">
        <f>IFERROR(INDEX($Q$6:$Q$505,MATCH(126,$S$6:$S$505,0)),"")</f>
        <v>Prof. Dr. Ali Rıza TÜMER</v>
      </c>
      <c r="D131" s="161">
        <f>IF(C131="","",COUNTIFS(Başvuru!$C:$C,C131,Başvuru!$A:$A,"&lt;&gt;"&amp;"",Başvuru!$F:$F,"&lt;&gt;"&amp;""))</f>
        <v>2</v>
      </c>
      <c r="E131" s="159" t="str">
        <f>IF(C131="","-",IF(D131&gt;0,TEXT(D131/(COUNTIFS(Başvuru!$A:$A,"&lt;&gt;",Başvuru!$F:$F,"&lt;&gt;")-1)*100,"0.0")&amp;"%","-"))</f>
        <v>00%</v>
      </c>
      <c r="F131" s="162">
        <f>IF(C131="","",COUNTIFS(Başvuru!$C:$C,C131,Başvuru!$G:$G,"Bireysel Araştırma",Başvuru!$A:$A,"&lt;&gt;"&amp;"",Başvuru!$F:$F,"&lt;&gt;"&amp;""))</f>
        <v>1</v>
      </c>
      <c r="G131" s="162">
        <f>IF(C131="","",COUNTIFS(Başvuru!$C:$C,C131,Başvuru!$G:$G,"Uzmanlık Tezi",Başvuru!$A:$A,"&lt;&gt;"&amp;"",Başvuru!$F:$F,"&lt;&gt;"&amp;""))</f>
        <v>1</v>
      </c>
      <c r="H131" s="162">
        <f>IF(C131="","",COUNTIFS(Başvuru!$C:$C,C131,Başvuru!$G:$G,"Doktora Tezi",Başvuru!$A:$A,"&lt;&gt;"&amp;"",Başvuru!$F:$F,"&lt;&gt;"&amp;""))</f>
        <v>0</v>
      </c>
      <c r="I131" s="162">
        <f>IF(C131="","",COUNTIFS(Başvuru!$C:$C,C131,Başvuru!$G:$G,"Yüksek Lisans Tezi",Başvuru!$A:$A,"&lt;&gt;"&amp;"",Başvuru!$F:$F,"&lt;&gt;"&amp;""))</f>
        <v>0</v>
      </c>
      <c r="J131" s="163">
        <f>IF(C131="","",COUNTIFS(Başvuru!$C:$C,C131,Başvuru!$L:$L,"ONAY",Başvuru!$A:$A,"&lt;&gt;"&amp;"",Başvuru!$F:$F,"&lt;&gt;"&amp;""))</f>
        <v>2</v>
      </c>
      <c r="K131" s="164">
        <f>IF(C131="","",COUNTIFS(Başvuru!$C:$C,C131,Başvuru!$L:$L,"DÜZELTME",Başvuru!$A:$A,"&lt;&gt;"&amp;"",Başvuru!$F:$F,"&lt;&gt;"&amp;""))</f>
        <v>0</v>
      </c>
      <c r="L131" s="165">
        <f>IF(C131="","",COUNTIFS(Başvuru!$C:$C,C131,Başvuru!$L:$L,"KAEK",Başvuru!$A:$A,"&lt;&gt;"&amp;"",Başvuru!$F:$F,"&lt;&gt;"&amp;""))</f>
        <v>0</v>
      </c>
      <c r="M131" s="166">
        <f>IF(C131="","",COUNTIFS(Başvuru!$C:$C,C131,Başvuru!$L:$L,"GÖRÜŞ",Başvuru!$A:$A,"&lt;&gt;"&amp;"",Başvuru!$F:$F,"&lt;&gt;"&amp;""))</f>
        <v>0</v>
      </c>
      <c r="N131" s="167">
        <f>IF(C131="","",COUNTIFS(Başvuru!$C:$C,C131,Başvuru!$L:$L,"RET",Başvuru!$A:$A,"&lt;&gt;"&amp;"",Başvuru!$F:$F,"&lt;&gt;"&amp;""))</f>
        <v>0</v>
      </c>
      <c r="O131" s="168">
        <f>IF(C131="","",COUNTIFS(Başvuru!$C:$C,C131,Başvuru!$L:$L,"KAPSAM DIŞI",Başvuru!$A:$A,"&lt;&gt;"&amp;"",Başvuru!$F:$F,"&lt;&gt;"&amp;""))</f>
        <v>0</v>
      </c>
      <c r="P131" s="169">
        <f>IF(C131="","",COUNTIFS(Başvuru!$C:$C,C131,Başvuru!$L:$L,"GERİ ÇEKİLDİ",Başvuru!$A:$A,"&lt;&gt;"&amp;"",Başvuru!$F:$F,"&lt;&gt;"&amp;""))</f>
        <v>0</v>
      </c>
      <c r="Q131" s="170" t="str">
        <f>IFERROR(INDEX(Başvuru!$C$2:$C$1851,MATCH(126,Başvuru!$AB$2:$AB$1851,0)),"")</f>
        <v>Doç. Dr. Mesut ALTAN</v>
      </c>
      <c r="R131" s="171">
        <f>IF(Q131="","",COUNTIFS(Başvuru!$C:$C,Q131,Başvuru!$A:$A,"&lt;&gt;"&amp;"",Başvuru!$F:$F,"&lt;&gt;"&amp;""))</f>
        <v>4</v>
      </c>
      <c r="S131" s="171">
        <f>IF(R131="","",RANK(R131,$R$6:$R$505,0)+COUNTIF($R$6:R131,R131)-1)</f>
        <v>45</v>
      </c>
    </row>
    <row r="132" spans="2:19" ht="23.25" customHeight="1" x14ac:dyDescent="0.25">
      <c r="B132" s="159">
        <v>127</v>
      </c>
      <c r="C132" s="160" t="str">
        <f>IFERROR(INDEX($Q$6:$Q$505,MATCH(127,$S$6:$S$505,0)),"")</f>
        <v>Prof. Dr. İnci Nur SALTIK</v>
      </c>
      <c r="D132" s="161">
        <f>IF(C132="","",COUNTIFS(Başvuru!$C:$C,C132,Başvuru!$A:$A,"&lt;&gt;"&amp;"",Başvuru!$F:$F,"&lt;&gt;"&amp;""))</f>
        <v>2</v>
      </c>
      <c r="E132" s="159" t="str">
        <f>IF(C132="","-",IF(D132&gt;0,TEXT(D132/(COUNTIFS(Başvuru!$A:$A,"&lt;&gt;",Başvuru!$F:$F,"&lt;&gt;")-1)*100,"0.0")&amp;"%","-"))</f>
        <v>00%</v>
      </c>
      <c r="F132" s="162">
        <f>IF(C132="","",COUNTIFS(Başvuru!$C:$C,C132,Başvuru!$G:$G,"Bireysel Araştırma",Başvuru!$A:$A,"&lt;&gt;"&amp;"",Başvuru!$F:$F,"&lt;&gt;"&amp;""))</f>
        <v>2</v>
      </c>
      <c r="G132" s="162">
        <f>IF(C132="","",COUNTIFS(Başvuru!$C:$C,C132,Başvuru!$G:$G,"Uzmanlık Tezi",Başvuru!$A:$A,"&lt;&gt;"&amp;"",Başvuru!$F:$F,"&lt;&gt;"&amp;""))</f>
        <v>0</v>
      </c>
      <c r="H132" s="162">
        <f>IF(C132="","",COUNTIFS(Başvuru!$C:$C,C132,Başvuru!$G:$G,"Doktora Tezi",Başvuru!$A:$A,"&lt;&gt;"&amp;"",Başvuru!$F:$F,"&lt;&gt;"&amp;""))</f>
        <v>0</v>
      </c>
      <c r="I132" s="162">
        <f>IF(C132="","",COUNTIFS(Başvuru!$C:$C,C132,Başvuru!$G:$G,"Yüksek Lisans Tezi",Başvuru!$A:$A,"&lt;&gt;"&amp;"",Başvuru!$F:$F,"&lt;&gt;"&amp;""))</f>
        <v>0</v>
      </c>
      <c r="J132" s="163">
        <f>IF(C132="","",COUNTIFS(Başvuru!$C:$C,C132,Başvuru!$L:$L,"ONAY",Başvuru!$A:$A,"&lt;&gt;"&amp;"",Başvuru!$F:$F,"&lt;&gt;"&amp;""))</f>
        <v>1</v>
      </c>
      <c r="K132" s="164">
        <f>IF(C132="","",COUNTIFS(Başvuru!$C:$C,C132,Başvuru!$L:$L,"DÜZELTME",Başvuru!$A:$A,"&lt;&gt;"&amp;"",Başvuru!$F:$F,"&lt;&gt;"&amp;""))</f>
        <v>1</v>
      </c>
      <c r="L132" s="165">
        <f>IF(C132="","",COUNTIFS(Başvuru!$C:$C,C132,Başvuru!$L:$L,"KAEK",Başvuru!$A:$A,"&lt;&gt;"&amp;"",Başvuru!$F:$F,"&lt;&gt;"&amp;""))</f>
        <v>0</v>
      </c>
      <c r="M132" s="166">
        <f>IF(C132="","",COUNTIFS(Başvuru!$C:$C,C132,Başvuru!$L:$L,"GÖRÜŞ",Başvuru!$A:$A,"&lt;&gt;"&amp;"",Başvuru!$F:$F,"&lt;&gt;"&amp;""))</f>
        <v>0</v>
      </c>
      <c r="N132" s="167">
        <f>IF(C132="","",COUNTIFS(Başvuru!$C:$C,C132,Başvuru!$L:$L,"RET",Başvuru!$A:$A,"&lt;&gt;"&amp;"",Başvuru!$F:$F,"&lt;&gt;"&amp;""))</f>
        <v>0</v>
      </c>
      <c r="O132" s="168">
        <f>IF(C132="","",COUNTIFS(Başvuru!$C:$C,C132,Başvuru!$L:$L,"KAPSAM DIŞI",Başvuru!$A:$A,"&lt;&gt;"&amp;"",Başvuru!$F:$F,"&lt;&gt;"&amp;""))</f>
        <v>0</v>
      </c>
      <c r="P132" s="169">
        <f>IF(C132="","",COUNTIFS(Başvuru!$C:$C,C132,Başvuru!$L:$L,"GERİ ÇEKİLDİ",Başvuru!$A:$A,"&lt;&gt;"&amp;"",Başvuru!$F:$F,"&lt;&gt;"&amp;""))</f>
        <v>0</v>
      </c>
      <c r="Q132" s="170" t="str">
        <f>IFERROR(INDEX(Başvuru!$C$2:$C$1851,MATCH(127,Başvuru!$AB$2:$AB$1851,0)),"")</f>
        <v>Doç. Dr. İzzet FİDANCI</v>
      </c>
      <c r="R132" s="171">
        <f>IF(Q132="","",COUNTIFS(Başvuru!$C:$C,Q132,Başvuru!$A:$A,"&lt;&gt;"&amp;"",Başvuru!$F:$F,"&lt;&gt;"&amp;""))</f>
        <v>2</v>
      </c>
      <c r="S132" s="171">
        <f>IF(R132="","",RANK(R132,$R$6:$R$505,0)+COUNTIF($R$6:R132,R132)-1)</f>
        <v>112</v>
      </c>
    </row>
    <row r="133" spans="2:19" ht="23.25" customHeight="1" x14ac:dyDescent="0.25">
      <c r="B133" s="159">
        <v>128</v>
      </c>
      <c r="C133" s="160" t="str">
        <f>IFERROR(INDEX($Q$6:$Q$505,MATCH(128,$S$6:$S$505,0)),"")</f>
        <v>Doç. Dr. Oğuz Abdullah UYAROĞLU</v>
      </c>
      <c r="D133" s="161">
        <f>IF(C133="","",COUNTIFS(Başvuru!$C:$C,C133,Başvuru!$A:$A,"&lt;&gt;"&amp;"",Başvuru!$F:$F,"&lt;&gt;"&amp;""))</f>
        <v>2</v>
      </c>
      <c r="E133" s="159" t="str">
        <f>IF(C133="","-",IF(D133&gt;0,TEXT(D133/(COUNTIFS(Başvuru!$A:$A,"&lt;&gt;",Başvuru!$F:$F,"&lt;&gt;")-1)*100,"0.0")&amp;"%","-"))</f>
        <v>00%</v>
      </c>
      <c r="F133" s="162">
        <f>IF(C133="","",COUNTIFS(Başvuru!$C:$C,C133,Başvuru!$G:$G,"Bireysel Araştırma",Başvuru!$A:$A,"&lt;&gt;"&amp;"",Başvuru!$F:$F,"&lt;&gt;"&amp;""))</f>
        <v>2</v>
      </c>
      <c r="G133" s="162">
        <f>IF(C133="","",COUNTIFS(Başvuru!$C:$C,C133,Başvuru!$G:$G,"Uzmanlık Tezi",Başvuru!$A:$A,"&lt;&gt;"&amp;"",Başvuru!$F:$F,"&lt;&gt;"&amp;""))</f>
        <v>0</v>
      </c>
      <c r="H133" s="162">
        <f>IF(C133="","",COUNTIFS(Başvuru!$C:$C,C133,Başvuru!$G:$G,"Doktora Tezi",Başvuru!$A:$A,"&lt;&gt;"&amp;"",Başvuru!$F:$F,"&lt;&gt;"&amp;""))</f>
        <v>0</v>
      </c>
      <c r="I133" s="162">
        <f>IF(C133="","",COUNTIFS(Başvuru!$C:$C,C133,Başvuru!$G:$G,"Yüksek Lisans Tezi",Başvuru!$A:$A,"&lt;&gt;"&amp;"",Başvuru!$F:$F,"&lt;&gt;"&amp;""))</f>
        <v>0</v>
      </c>
      <c r="J133" s="163">
        <f>IF(C133="","",COUNTIFS(Başvuru!$C:$C,C133,Başvuru!$L:$L,"ONAY",Başvuru!$A:$A,"&lt;&gt;"&amp;"",Başvuru!$F:$F,"&lt;&gt;"&amp;""))</f>
        <v>1</v>
      </c>
      <c r="K133" s="164">
        <f>IF(C133="","",COUNTIFS(Başvuru!$C:$C,C133,Başvuru!$L:$L,"DÜZELTME",Başvuru!$A:$A,"&lt;&gt;"&amp;"",Başvuru!$F:$F,"&lt;&gt;"&amp;""))</f>
        <v>1</v>
      </c>
      <c r="L133" s="165">
        <f>IF(C133="","",COUNTIFS(Başvuru!$C:$C,C133,Başvuru!$L:$L,"KAEK",Başvuru!$A:$A,"&lt;&gt;"&amp;"",Başvuru!$F:$F,"&lt;&gt;"&amp;""))</f>
        <v>0</v>
      </c>
      <c r="M133" s="166">
        <f>IF(C133="","",COUNTIFS(Başvuru!$C:$C,C133,Başvuru!$L:$L,"GÖRÜŞ",Başvuru!$A:$A,"&lt;&gt;"&amp;"",Başvuru!$F:$F,"&lt;&gt;"&amp;""))</f>
        <v>0</v>
      </c>
      <c r="N133" s="167">
        <f>IF(C133="","",COUNTIFS(Başvuru!$C:$C,C133,Başvuru!$L:$L,"RET",Başvuru!$A:$A,"&lt;&gt;"&amp;"",Başvuru!$F:$F,"&lt;&gt;"&amp;""))</f>
        <v>0</v>
      </c>
      <c r="O133" s="168">
        <f>IF(C133="","",COUNTIFS(Başvuru!$C:$C,C133,Başvuru!$L:$L,"KAPSAM DIŞI",Başvuru!$A:$A,"&lt;&gt;"&amp;"",Başvuru!$F:$F,"&lt;&gt;"&amp;""))</f>
        <v>0</v>
      </c>
      <c r="P133" s="169">
        <f>IF(C133="","",COUNTIFS(Başvuru!$C:$C,C133,Başvuru!$L:$L,"GERİ ÇEKİLDİ",Başvuru!$A:$A,"&lt;&gt;"&amp;"",Başvuru!$F:$F,"&lt;&gt;"&amp;""))</f>
        <v>0</v>
      </c>
      <c r="Q133" s="170" t="str">
        <f>IFERROR(INDEX(Başvuru!$C$2:$C$1851,MATCH(128,Başvuru!$AB$2:$AB$1851,0)),"")</f>
        <v>Doç. Dr. Basri GÜLBAKAN</v>
      </c>
      <c r="R133" s="171">
        <f>IF(Q133="","",COUNTIFS(Başvuru!$C:$C,Q133,Başvuru!$A:$A,"&lt;&gt;"&amp;"",Başvuru!$F:$F,"&lt;&gt;"&amp;""))</f>
        <v>1</v>
      </c>
      <c r="S133" s="171">
        <f>IF(R133="","",RANK(R133,$R$6:$R$505,0)+COUNTIF($R$6:R133,R133)-1)</f>
        <v>205</v>
      </c>
    </row>
    <row r="134" spans="2:19" ht="23.25" customHeight="1" x14ac:dyDescent="0.25">
      <c r="B134" s="159">
        <v>129</v>
      </c>
      <c r="C134" s="160" t="str">
        <f>IFERROR(INDEX($Q$6:$Q$505,MATCH(129,$S$6:$S$505,0)),"")</f>
        <v>Prof. Dr. Bilge VOLKAN SALANCI</v>
      </c>
      <c r="D134" s="161">
        <f>IF(C134="","",COUNTIFS(Başvuru!$C:$C,C134,Başvuru!$A:$A,"&lt;&gt;"&amp;"",Başvuru!$F:$F,"&lt;&gt;"&amp;""))</f>
        <v>2</v>
      </c>
      <c r="E134" s="159" t="str">
        <f>IF(C134="","-",IF(D134&gt;0,TEXT(D134/(COUNTIFS(Başvuru!$A:$A,"&lt;&gt;",Başvuru!$F:$F,"&lt;&gt;")-1)*100,"0.0")&amp;"%","-"))</f>
        <v>00%</v>
      </c>
      <c r="F134" s="162">
        <f>IF(C134="","",COUNTIFS(Başvuru!$C:$C,C134,Başvuru!$G:$G,"Bireysel Araştırma",Başvuru!$A:$A,"&lt;&gt;"&amp;"",Başvuru!$F:$F,"&lt;&gt;"&amp;""))</f>
        <v>1</v>
      </c>
      <c r="G134" s="162">
        <f>IF(C134="","",COUNTIFS(Başvuru!$C:$C,C134,Başvuru!$G:$G,"Uzmanlık Tezi",Başvuru!$A:$A,"&lt;&gt;"&amp;"",Başvuru!$F:$F,"&lt;&gt;"&amp;""))</f>
        <v>1</v>
      </c>
      <c r="H134" s="162">
        <f>IF(C134="","",COUNTIFS(Başvuru!$C:$C,C134,Başvuru!$G:$G,"Doktora Tezi",Başvuru!$A:$A,"&lt;&gt;"&amp;"",Başvuru!$F:$F,"&lt;&gt;"&amp;""))</f>
        <v>0</v>
      </c>
      <c r="I134" s="162">
        <f>IF(C134="","",COUNTIFS(Başvuru!$C:$C,C134,Başvuru!$G:$G,"Yüksek Lisans Tezi",Başvuru!$A:$A,"&lt;&gt;"&amp;"",Başvuru!$F:$F,"&lt;&gt;"&amp;""))</f>
        <v>0</v>
      </c>
      <c r="J134" s="163">
        <f>IF(C134="","",COUNTIFS(Başvuru!$C:$C,C134,Başvuru!$L:$L,"ONAY",Başvuru!$A:$A,"&lt;&gt;"&amp;"",Başvuru!$F:$F,"&lt;&gt;"&amp;""))</f>
        <v>2</v>
      </c>
      <c r="K134" s="164">
        <f>IF(C134="","",COUNTIFS(Başvuru!$C:$C,C134,Başvuru!$L:$L,"DÜZELTME",Başvuru!$A:$A,"&lt;&gt;"&amp;"",Başvuru!$F:$F,"&lt;&gt;"&amp;""))</f>
        <v>0</v>
      </c>
      <c r="L134" s="165">
        <f>IF(C134="","",COUNTIFS(Başvuru!$C:$C,C134,Başvuru!$L:$L,"KAEK",Başvuru!$A:$A,"&lt;&gt;"&amp;"",Başvuru!$F:$F,"&lt;&gt;"&amp;""))</f>
        <v>0</v>
      </c>
      <c r="M134" s="166">
        <f>IF(C134="","",COUNTIFS(Başvuru!$C:$C,C134,Başvuru!$L:$L,"GÖRÜŞ",Başvuru!$A:$A,"&lt;&gt;"&amp;"",Başvuru!$F:$F,"&lt;&gt;"&amp;""))</f>
        <v>0</v>
      </c>
      <c r="N134" s="167">
        <f>IF(C134="","",COUNTIFS(Başvuru!$C:$C,C134,Başvuru!$L:$L,"RET",Başvuru!$A:$A,"&lt;&gt;"&amp;"",Başvuru!$F:$F,"&lt;&gt;"&amp;""))</f>
        <v>0</v>
      </c>
      <c r="O134" s="168">
        <f>IF(C134="","",COUNTIFS(Başvuru!$C:$C,C134,Başvuru!$L:$L,"KAPSAM DIŞI",Başvuru!$A:$A,"&lt;&gt;"&amp;"",Başvuru!$F:$F,"&lt;&gt;"&amp;""))</f>
        <v>0</v>
      </c>
      <c r="P134" s="169">
        <f>IF(C134="","",COUNTIFS(Başvuru!$C:$C,C134,Başvuru!$L:$L,"GERİ ÇEKİLDİ",Başvuru!$A:$A,"&lt;&gt;"&amp;"",Başvuru!$F:$F,"&lt;&gt;"&amp;""))</f>
        <v>0</v>
      </c>
      <c r="Q134" s="170" t="str">
        <f>IFERROR(INDEX(Başvuru!$C$2:$C$1851,MATCH(129,Başvuru!$AB$2:$AB$1851,0)),"")</f>
        <v>Dr. Öğr. Üyesi Merva PARLAK</v>
      </c>
      <c r="R134" s="171">
        <f>IF(Q134="","",COUNTIFS(Başvuru!$C:$C,Q134,Başvuru!$A:$A,"&lt;&gt;"&amp;"",Başvuru!$F:$F,"&lt;&gt;"&amp;""))</f>
        <v>1</v>
      </c>
      <c r="S134" s="171">
        <f>IF(R134="","",RANK(R134,$R$6:$R$505,0)+COUNTIF($R$6:R134,R134)-1)</f>
        <v>206</v>
      </c>
    </row>
    <row r="135" spans="2:19" ht="23.25" customHeight="1" x14ac:dyDescent="0.25">
      <c r="B135" s="159">
        <v>130</v>
      </c>
      <c r="C135" s="160" t="str">
        <f>IFERROR(INDEX($Q$6:$Q$505,MATCH(130,$S$6:$S$505,0)),"")</f>
        <v>Doç. Dr. Oytun PORTAKAL AKÇİN</v>
      </c>
      <c r="D135" s="161">
        <f>IF(C135="","",COUNTIFS(Başvuru!$C:$C,C135,Başvuru!$A:$A,"&lt;&gt;"&amp;"",Başvuru!$F:$F,"&lt;&gt;"&amp;""))</f>
        <v>2</v>
      </c>
      <c r="E135" s="159" t="str">
        <f>IF(C135="","-",IF(D135&gt;0,TEXT(D135/(COUNTIFS(Başvuru!$A:$A,"&lt;&gt;",Başvuru!$F:$F,"&lt;&gt;")-1)*100,"0.0")&amp;"%","-"))</f>
        <v>00%</v>
      </c>
      <c r="F135" s="162">
        <f>IF(C135="","",COUNTIFS(Başvuru!$C:$C,C135,Başvuru!$G:$G,"Bireysel Araştırma",Başvuru!$A:$A,"&lt;&gt;"&amp;"",Başvuru!$F:$F,"&lt;&gt;"&amp;""))</f>
        <v>1</v>
      </c>
      <c r="G135" s="162">
        <f>IF(C135="","",COUNTIFS(Başvuru!$C:$C,C135,Başvuru!$G:$G,"Uzmanlık Tezi",Başvuru!$A:$A,"&lt;&gt;"&amp;"",Başvuru!$F:$F,"&lt;&gt;"&amp;""))</f>
        <v>1</v>
      </c>
      <c r="H135" s="162">
        <f>IF(C135="","",COUNTIFS(Başvuru!$C:$C,C135,Başvuru!$G:$G,"Doktora Tezi",Başvuru!$A:$A,"&lt;&gt;"&amp;"",Başvuru!$F:$F,"&lt;&gt;"&amp;""))</f>
        <v>0</v>
      </c>
      <c r="I135" s="162">
        <f>IF(C135="","",COUNTIFS(Başvuru!$C:$C,C135,Başvuru!$G:$G,"Yüksek Lisans Tezi",Başvuru!$A:$A,"&lt;&gt;"&amp;"",Başvuru!$F:$F,"&lt;&gt;"&amp;""))</f>
        <v>0</v>
      </c>
      <c r="J135" s="163">
        <f>IF(C135="","",COUNTIFS(Başvuru!$C:$C,C135,Başvuru!$L:$L,"ONAY",Başvuru!$A:$A,"&lt;&gt;"&amp;"",Başvuru!$F:$F,"&lt;&gt;"&amp;""))</f>
        <v>0</v>
      </c>
      <c r="K135" s="164">
        <f>IF(C135="","",COUNTIFS(Başvuru!$C:$C,C135,Başvuru!$L:$L,"DÜZELTME",Başvuru!$A:$A,"&lt;&gt;"&amp;"",Başvuru!$F:$F,"&lt;&gt;"&amp;""))</f>
        <v>1</v>
      </c>
      <c r="L135" s="165">
        <f>IF(C135="","",COUNTIFS(Başvuru!$C:$C,C135,Başvuru!$L:$L,"KAEK",Başvuru!$A:$A,"&lt;&gt;"&amp;"",Başvuru!$F:$F,"&lt;&gt;"&amp;""))</f>
        <v>0</v>
      </c>
      <c r="M135" s="166">
        <f>IF(C135="","",COUNTIFS(Başvuru!$C:$C,C135,Başvuru!$L:$L,"GÖRÜŞ",Başvuru!$A:$A,"&lt;&gt;"&amp;"",Başvuru!$F:$F,"&lt;&gt;"&amp;""))</f>
        <v>0</v>
      </c>
      <c r="N135" s="167">
        <f>IF(C135="","",COUNTIFS(Başvuru!$C:$C,C135,Başvuru!$L:$L,"RET",Başvuru!$A:$A,"&lt;&gt;"&amp;"",Başvuru!$F:$F,"&lt;&gt;"&amp;""))</f>
        <v>1</v>
      </c>
      <c r="O135" s="168">
        <f>IF(C135="","",COUNTIFS(Başvuru!$C:$C,C135,Başvuru!$L:$L,"KAPSAM DIŞI",Başvuru!$A:$A,"&lt;&gt;"&amp;"",Başvuru!$F:$F,"&lt;&gt;"&amp;""))</f>
        <v>0</v>
      </c>
      <c r="P135" s="169">
        <f>IF(C135="","",COUNTIFS(Başvuru!$C:$C,C135,Başvuru!$L:$L,"GERİ ÇEKİLDİ",Başvuru!$A:$A,"&lt;&gt;"&amp;"",Başvuru!$F:$F,"&lt;&gt;"&amp;""))</f>
        <v>0</v>
      </c>
      <c r="Q135" s="170" t="str">
        <f>IFERROR(INDEX(Başvuru!$C$2:$C$1851,MATCH(130,Başvuru!$AB$2:$AB$1851,0)),"")</f>
        <v>Prof. Dr. Mustafa Barış GÜNCÜ</v>
      </c>
      <c r="R135" s="171">
        <f>IF(Q135="","",COUNTIFS(Başvuru!$C:$C,Q135,Başvuru!$A:$A,"&lt;&gt;"&amp;"",Başvuru!$F:$F,"&lt;&gt;"&amp;""))</f>
        <v>1</v>
      </c>
      <c r="S135" s="171">
        <f>IF(R135="","",RANK(R135,$R$6:$R$505,0)+COUNTIF($R$6:R135,R135)-1)</f>
        <v>207</v>
      </c>
    </row>
    <row r="136" spans="2:19" ht="23.25" customHeight="1" x14ac:dyDescent="0.25">
      <c r="B136" s="159">
        <v>131</v>
      </c>
      <c r="C136" s="160" t="str">
        <f>IFERROR(INDEX($Q$6:$Q$505,MATCH(131,$S$6:$S$505,0)),"")</f>
        <v>Prof. Dr. Hüseyin Gencay KEÇELİ</v>
      </c>
      <c r="D136" s="161">
        <f>IF(C136="","",COUNTIFS(Başvuru!$C:$C,C136,Başvuru!$A:$A,"&lt;&gt;"&amp;"",Başvuru!$F:$F,"&lt;&gt;"&amp;""))</f>
        <v>2</v>
      </c>
      <c r="E136" s="159" t="str">
        <f>IF(C136="","-",IF(D136&gt;0,TEXT(D136/(COUNTIFS(Başvuru!$A:$A,"&lt;&gt;",Başvuru!$F:$F,"&lt;&gt;")-1)*100,"0.0")&amp;"%","-"))</f>
        <v>00%</v>
      </c>
      <c r="F136" s="162">
        <f>IF(C136="","",COUNTIFS(Başvuru!$C:$C,C136,Başvuru!$G:$G,"Bireysel Araştırma",Başvuru!$A:$A,"&lt;&gt;"&amp;"",Başvuru!$F:$F,"&lt;&gt;"&amp;""))</f>
        <v>1</v>
      </c>
      <c r="G136" s="162">
        <f>IF(C136="","",COUNTIFS(Başvuru!$C:$C,C136,Başvuru!$G:$G,"Uzmanlık Tezi",Başvuru!$A:$A,"&lt;&gt;"&amp;"",Başvuru!$F:$F,"&lt;&gt;"&amp;""))</f>
        <v>1</v>
      </c>
      <c r="H136" s="162">
        <f>IF(C136="","",COUNTIFS(Başvuru!$C:$C,C136,Başvuru!$G:$G,"Doktora Tezi",Başvuru!$A:$A,"&lt;&gt;"&amp;"",Başvuru!$F:$F,"&lt;&gt;"&amp;""))</f>
        <v>0</v>
      </c>
      <c r="I136" s="162">
        <f>IF(C136="","",COUNTIFS(Başvuru!$C:$C,C136,Başvuru!$G:$G,"Yüksek Lisans Tezi",Başvuru!$A:$A,"&lt;&gt;"&amp;"",Başvuru!$F:$F,"&lt;&gt;"&amp;""))</f>
        <v>0</v>
      </c>
      <c r="J136" s="163">
        <f>IF(C136="","",COUNTIFS(Başvuru!$C:$C,C136,Başvuru!$L:$L,"ONAY",Başvuru!$A:$A,"&lt;&gt;"&amp;"",Başvuru!$F:$F,"&lt;&gt;"&amp;""))</f>
        <v>1</v>
      </c>
      <c r="K136" s="164">
        <f>IF(C136="","",COUNTIFS(Başvuru!$C:$C,C136,Başvuru!$L:$L,"DÜZELTME",Başvuru!$A:$A,"&lt;&gt;"&amp;"",Başvuru!$F:$F,"&lt;&gt;"&amp;""))</f>
        <v>1</v>
      </c>
      <c r="L136" s="165">
        <f>IF(C136="","",COUNTIFS(Başvuru!$C:$C,C136,Başvuru!$L:$L,"KAEK",Başvuru!$A:$A,"&lt;&gt;"&amp;"",Başvuru!$F:$F,"&lt;&gt;"&amp;""))</f>
        <v>0</v>
      </c>
      <c r="M136" s="166">
        <f>IF(C136="","",COUNTIFS(Başvuru!$C:$C,C136,Başvuru!$L:$L,"GÖRÜŞ",Başvuru!$A:$A,"&lt;&gt;"&amp;"",Başvuru!$F:$F,"&lt;&gt;"&amp;""))</f>
        <v>0</v>
      </c>
      <c r="N136" s="167">
        <f>IF(C136="","",COUNTIFS(Başvuru!$C:$C,C136,Başvuru!$L:$L,"RET",Başvuru!$A:$A,"&lt;&gt;"&amp;"",Başvuru!$F:$F,"&lt;&gt;"&amp;""))</f>
        <v>0</v>
      </c>
      <c r="O136" s="168">
        <f>IF(C136="","",COUNTIFS(Başvuru!$C:$C,C136,Başvuru!$L:$L,"KAPSAM DIŞI",Başvuru!$A:$A,"&lt;&gt;"&amp;"",Başvuru!$F:$F,"&lt;&gt;"&amp;""))</f>
        <v>0</v>
      </c>
      <c r="P136" s="169">
        <f>IF(C136="","",COUNTIFS(Başvuru!$C:$C,C136,Başvuru!$L:$L,"GERİ ÇEKİLDİ",Başvuru!$A:$A,"&lt;&gt;"&amp;"",Başvuru!$F:$F,"&lt;&gt;"&amp;""))</f>
        <v>0</v>
      </c>
      <c r="Q136" s="170" t="str">
        <f>IFERROR(INDEX(Başvuru!$C$2:$C$1851,MATCH(131,Başvuru!$AB$2:$AB$1851,0)),"")</f>
        <v>Dr. Öğr. Üyesi Aybüke USLU TEKCE</v>
      </c>
      <c r="R136" s="171">
        <f>IF(Q136="","",COUNTIFS(Başvuru!$C:$C,Q136,Başvuru!$A:$A,"&lt;&gt;"&amp;"",Başvuru!$F:$F,"&lt;&gt;"&amp;""))</f>
        <v>2</v>
      </c>
      <c r="S136" s="171">
        <f>IF(R136="","",RANK(R136,$R$6:$R$505,0)+COUNTIF($R$6:R136,R136)-1)</f>
        <v>113</v>
      </c>
    </row>
    <row r="137" spans="2:19" ht="23.25" customHeight="1" x14ac:dyDescent="0.25">
      <c r="B137" s="159">
        <v>132</v>
      </c>
      <c r="C137" s="160" t="str">
        <f>IFERROR(INDEX($Q$6:$Q$505,MATCH(132,$S$6:$S$505,0)),"")</f>
        <v>Doç. Dr. Galip Gencay ÜSTÜN</v>
      </c>
      <c r="D137" s="161">
        <f>IF(C137="","",COUNTIFS(Başvuru!$C:$C,C137,Başvuru!$A:$A,"&lt;&gt;"&amp;"",Başvuru!$F:$F,"&lt;&gt;"&amp;""))</f>
        <v>2</v>
      </c>
      <c r="E137" s="159" t="str">
        <f>IF(C137="","-",IF(D137&gt;0,TEXT(D137/(COUNTIFS(Başvuru!$A:$A,"&lt;&gt;",Başvuru!$F:$F,"&lt;&gt;")-1)*100,"0.0")&amp;"%","-"))</f>
        <v>00%</v>
      </c>
      <c r="F137" s="162">
        <f>IF(C137="","",COUNTIFS(Başvuru!$C:$C,C137,Başvuru!$G:$G,"Bireysel Araştırma",Başvuru!$A:$A,"&lt;&gt;"&amp;"",Başvuru!$F:$F,"&lt;&gt;"&amp;""))</f>
        <v>2</v>
      </c>
      <c r="G137" s="162">
        <f>IF(C137="","",COUNTIFS(Başvuru!$C:$C,C137,Başvuru!$G:$G,"Uzmanlık Tezi",Başvuru!$A:$A,"&lt;&gt;"&amp;"",Başvuru!$F:$F,"&lt;&gt;"&amp;""))</f>
        <v>0</v>
      </c>
      <c r="H137" s="162">
        <f>IF(C137="","",COUNTIFS(Başvuru!$C:$C,C137,Başvuru!$G:$G,"Doktora Tezi",Başvuru!$A:$A,"&lt;&gt;"&amp;"",Başvuru!$F:$F,"&lt;&gt;"&amp;""))</f>
        <v>0</v>
      </c>
      <c r="I137" s="162">
        <f>IF(C137="","",COUNTIFS(Başvuru!$C:$C,C137,Başvuru!$G:$G,"Yüksek Lisans Tezi",Başvuru!$A:$A,"&lt;&gt;"&amp;"",Başvuru!$F:$F,"&lt;&gt;"&amp;""))</f>
        <v>0</v>
      </c>
      <c r="J137" s="163">
        <f>IF(C137="","",COUNTIFS(Başvuru!$C:$C,C137,Başvuru!$L:$L,"ONAY",Başvuru!$A:$A,"&lt;&gt;"&amp;"",Başvuru!$F:$F,"&lt;&gt;"&amp;""))</f>
        <v>1</v>
      </c>
      <c r="K137" s="164">
        <f>IF(C137="","",COUNTIFS(Başvuru!$C:$C,C137,Başvuru!$L:$L,"DÜZELTME",Başvuru!$A:$A,"&lt;&gt;"&amp;"",Başvuru!$F:$F,"&lt;&gt;"&amp;""))</f>
        <v>0</v>
      </c>
      <c r="L137" s="165">
        <f>IF(C137="","",COUNTIFS(Başvuru!$C:$C,C137,Başvuru!$L:$L,"KAEK",Başvuru!$A:$A,"&lt;&gt;"&amp;"",Başvuru!$F:$F,"&lt;&gt;"&amp;""))</f>
        <v>1</v>
      </c>
      <c r="M137" s="166">
        <f>IF(C137="","",COUNTIFS(Başvuru!$C:$C,C137,Başvuru!$L:$L,"GÖRÜŞ",Başvuru!$A:$A,"&lt;&gt;"&amp;"",Başvuru!$F:$F,"&lt;&gt;"&amp;""))</f>
        <v>0</v>
      </c>
      <c r="N137" s="167">
        <f>IF(C137="","",COUNTIFS(Başvuru!$C:$C,C137,Başvuru!$L:$L,"RET",Başvuru!$A:$A,"&lt;&gt;"&amp;"",Başvuru!$F:$F,"&lt;&gt;"&amp;""))</f>
        <v>0</v>
      </c>
      <c r="O137" s="168">
        <f>IF(C137="","",COUNTIFS(Başvuru!$C:$C,C137,Başvuru!$L:$L,"KAPSAM DIŞI",Başvuru!$A:$A,"&lt;&gt;"&amp;"",Başvuru!$F:$F,"&lt;&gt;"&amp;""))</f>
        <v>0</v>
      </c>
      <c r="P137" s="169">
        <f>IF(C137="","",COUNTIFS(Başvuru!$C:$C,C137,Başvuru!$L:$L,"GERİ ÇEKİLDİ",Başvuru!$A:$A,"&lt;&gt;"&amp;"",Başvuru!$F:$F,"&lt;&gt;"&amp;""))</f>
        <v>0</v>
      </c>
      <c r="Q137" s="170" t="str">
        <f>IFERROR(INDEX(Başvuru!$C$2:$C$1851,MATCH(132,Başvuru!$AB$2:$AB$1851,0)),"")</f>
        <v>Dr. Öğr. Üyesi Muhammed Çağrı KÜLEKCİ</v>
      </c>
      <c r="R137" s="171">
        <f>IF(Q137="","",COUNTIFS(Başvuru!$C:$C,Q137,Başvuru!$A:$A,"&lt;&gt;"&amp;"",Başvuru!$F:$F,"&lt;&gt;"&amp;""))</f>
        <v>2</v>
      </c>
      <c r="S137" s="171">
        <f>IF(R137="","",RANK(R137,$R$6:$R$505,0)+COUNTIF($R$6:R137,R137)-1)</f>
        <v>114</v>
      </c>
    </row>
    <row r="138" spans="2:19" ht="23.25" customHeight="1" x14ac:dyDescent="0.25">
      <c r="B138" s="159">
        <v>133</v>
      </c>
      <c r="C138" s="160" t="str">
        <f>IFERROR(INDEX($Q$6:$Q$505,MATCH(133,$S$6:$S$505,0)),"")</f>
        <v>Doç. Dr. Cem ŞİMŞEK</v>
      </c>
      <c r="D138" s="161">
        <f>IF(C138="","",COUNTIFS(Başvuru!$C:$C,C138,Başvuru!$A:$A,"&lt;&gt;"&amp;"",Başvuru!$F:$F,"&lt;&gt;"&amp;""))</f>
        <v>2</v>
      </c>
      <c r="E138" s="159" t="str">
        <f>IF(C138="","-",IF(D138&gt;0,TEXT(D138/(COUNTIFS(Başvuru!$A:$A,"&lt;&gt;",Başvuru!$F:$F,"&lt;&gt;")-1)*100,"0.0")&amp;"%","-"))</f>
        <v>00%</v>
      </c>
      <c r="F138" s="162">
        <f>IF(C138="","",COUNTIFS(Başvuru!$C:$C,C138,Başvuru!$G:$G,"Bireysel Araştırma",Başvuru!$A:$A,"&lt;&gt;"&amp;"",Başvuru!$F:$F,"&lt;&gt;"&amp;""))</f>
        <v>2</v>
      </c>
      <c r="G138" s="162">
        <f>IF(C138="","",COUNTIFS(Başvuru!$C:$C,C138,Başvuru!$G:$G,"Uzmanlık Tezi",Başvuru!$A:$A,"&lt;&gt;"&amp;"",Başvuru!$F:$F,"&lt;&gt;"&amp;""))</f>
        <v>0</v>
      </c>
      <c r="H138" s="162">
        <f>IF(C138="","",COUNTIFS(Başvuru!$C:$C,C138,Başvuru!$G:$G,"Doktora Tezi",Başvuru!$A:$A,"&lt;&gt;"&amp;"",Başvuru!$F:$F,"&lt;&gt;"&amp;""))</f>
        <v>0</v>
      </c>
      <c r="I138" s="162">
        <f>IF(C138="","",COUNTIFS(Başvuru!$C:$C,C138,Başvuru!$G:$G,"Yüksek Lisans Tezi",Başvuru!$A:$A,"&lt;&gt;"&amp;"",Başvuru!$F:$F,"&lt;&gt;"&amp;""))</f>
        <v>0</v>
      </c>
      <c r="J138" s="163">
        <f>IF(C138="","",COUNTIFS(Başvuru!$C:$C,C138,Başvuru!$L:$L,"ONAY",Başvuru!$A:$A,"&lt;&gt;"&amp;"",Başvuru!$F:$F,"&lt;&gt;"&amp;""))</f>
        <v>0</v>
      </c>
      <c r="K138" s="164">
        <f>IF(C138="","",COUNTIFS(Başvuru!$C:$C,C138,Başvuru!$L:$L,"DÜZELTME",Başvuru!$A:$A,"&lt;&gt;"&amp;"",Başvuru!$F:$F,"&lt;&gt;"&amp;""))</f>
        <v>2</v>
      </c>
      <c r="L138" s="165">
        <f>IF(C138="","",COUNTIFS(Başvuru!$C:$C,C138,Başvuru!$L:$L,"KAEK",Başvuru!$A:$A,"&lt;&gt;"&amp;"",Başvuru!$F:$F,"&lt;&gt;"&amp;""))</f>
        <v>0</v>
      </c>
      <c r="M138" s="166">
        <f>IF(C138="","",COUNTIFS(Başvuru!$C:$C,C138,Başvuru!$L:$L,"GÖRÜŞ",Başvuru!$A:$A,"&lt;&gt;"&amp;"",Başvuru!$F:$F,"&lt;&gt;"&amp;""))</f>
        <v>0</v>
      </c>
      <c r="N138" s="167">
        <f>IF(C138="","",COUNTIFS(Başvuru!$C:$C,C138,Başvuru!$L:$L,"RET",Başvuru!$A:$A,"&lt;&gt;"&amp;"",Başvuru!$F:$F,"&lt;&gt;"&amp;""))</f>
        <v>0</v>
      </c>
      <c r="O138" s="168">
        <f>IF(C138="","",COUNTIFS(Başvuru!$C:$C,C138,Başvuru!$L:$L,"KAPSAM DIŞI",Başvuru!$A:$A,"&lt;&gt;"&amp;"",Başvuru!$F:$F,"&lt;&gt;"&amp;""))</f>
        <v>0</v>
      </c>
      <c r="P138" s="169">
        <f>IF(C138="","",COUNTIFS(Başvuru!$C:$C,C138,Başvuru!$L:$L,"GERİ ÇEKİLDİ",Başvuru!$A:$A,"&lt;&gt;"&amp;"",Başvuru!$F:$F,"&lt;&gt;"&amp;""))</f>
        <v>0</v>
      </c>
      <c r="Q138" s="170" t="str">
        <f>IFERROR(INDEX(Başvuru!$C$2:$C$1851,MATCH(133,Başvuru!$AB$2:$AB$1851,0)),"")</f>
        <v>Doç. Dr. Tekin AKSU</v>
      </c>
      <c r="R138" s="171">
        <f>IF(Q138="","",COUNTIFS(Başvuru!$C:$C,Q138,Başvuru!$A:$A,"&lt;&gt;"&amp;"",Başvuru!$F:$F,"&lt;&gt;"&amp;""))</f>
        <v>3</v>
      </c>
      <c r="S138" s="171">
        <f>IF(R138="","",RANK(R138,$R$6:$R$505,0)+COUNTIF($R$6:R138,R138)-1)</f>
        <v>69</v>
      </c>
    </row>
    <row r="139" spans="2:19" ht="23.25" customHeight="1" x14ac:dyDescent="0.25">
      <c r="B139" s="159">
        <v>134</v>
      </c>
      <c r="C139" s="160" t="str">
        <f>IFERROR(INDEX($Q$6:$Q$505,MATCH(134,$S$6:$S$505,0)),"")</f>
        <v>Prof. Dr. Hakan UZUN</v>
      </c>
      <c r="D139" s="161">
        <f>IF(C139="","",COUNTIFS(Başvuru!$C:$C,C139,Başvuru!$A:$A,"&lt;&gt;"&amp;"",Başvuru!$F:$F,"&lt;&gt;"&amp;""))</f>
        <v>2</v>
      </c>
      <c r="E139" s="159" t="str">
        <f>IF(C139="","-",IF(D139&gt;0,TEXT(D139/(COUNTIFS(Başvuru!$A:$A,"&lt;&gt;",Başvuru!$F:$F,"&lt;&gt;")-1)*100,"0.0")&amp;"%","-"))</f>
        <v>00%</v>
      </c>
      <c r="F139" s="162">
        <f>IF(C139="","",COUNTIFS(Başvuru!$C:$C,C139,Başvuru!$G:$G,"Bireysel Araştırma",Başvuru!$A:$A,"&lt;&gt;"&amp;"",Başvuru!$F:$F,"&lt;&gt;"&amp;""))</f>
        <v>2</v>
      </c>
      <c r="G139" s="162">
        <f>IF(C139="","",COUNTIFS(Başvuru!$C:$C,C139,Başvuru!$G:$G,"Uzmanlık Tezi",Başvuru!$A:$A,"&lt;&gt;"&amp;"",Başvuru!$F:$F,"&lt;&gt;"&amp;""))</f>
        <v>0</v>
      </c>
      <c r="H139" s="162">
        <f>IF(C139="","",COUNTIFS(Başvuru!$C:$C,C139,Başvuru!$G:$G,"Doktora Tezi",Başvuru!$A:$A,"&lt;&gt;"&amp;"",Başvuru!$F:$F,"&lt;&gt;"&amp;""))</f>
        <v>0</v>
      </c>
      <c r="I139" s="162">
        <f>IF(C139="","",COUNTIFS(Başvuru!$C:$C,C139,Başvuru!$G:$G,"Yüksek Lisans Tezi",Başvuru!$A:$A,"&lt;&gt;"&amp;"",Başvuru!$F:$F,"&lt;&gt;"&amp;""))</f>
        <v>0</v>
      </c>
      <c r="J139" s="163">
        <f>IF(C139="","",COUNTIFS(Başvuru!$C:$C,C139,Başvuru!$L:$L,"ONAY",Başvuru!$A:$A,"&lt;&gt;"&amp;"",Başvuru!$F:$F,"&lt;&gt;"&amp;""))</f>
        <v>1</v>
      </c>
      <c r="K139" s="164">
        <f>IF(C139="","",COUNTIFS(Başvuru!$C:$C,C139,Başvuru!$L:$L,"DÜZELTME",Başvuru!$A:$A,"&lt;&gt;"&amp;"",Başvuru!$F:$F,"&lt;&gt;"&amp;""))</f>
        <v>1</v>
      </c>
      <c r="L139" s="165">
        <f>IF(C139="","",COUNTIFS(Başvuru!$C:$C,C139,Başvuru!$L:$L,"KAEK",Başvuru!$A:$A,"&lt;&gt;"&amp;"",Başvuru!$F:$F,"&lt;&gt;"&amp;""))</f>
        <v>0</v>
      </c>
      <c r="M139" s="166">
        <f>IF(C139="","",COUNTIFS(Başvuru!$C:$C,C139,Başvuru!$L:$L,"GÖRÜŞ",Başvuru!$A:$A,"&lt;&gt;"&amp;"",Başvuru!$F:$F,"&lt;&gt;"&amp;""))</f>
        <v>0</v>
      </c>
      <c r="N139" s="167">
        <f>IF(C139="","",COUNTIFS(Başvuru!$C:$C,C139,Başvuru!$L:$L,"RET",Başvuru!$A:$A,"&lt;&gt;"&amp;"",Başvuru!$F:$F,"&lt;&gt;"&amp;""))</f>
        <v>0</v>
      </c>
      <c r="O139" s="168">
        <f>IF(C139="","",COUNTIFS(Başvuru!$C:$C,C139,Başvuru!$L:$L,"KAPSAM DIŞI",Başvuru!$A:$A,"&lt;&gt;"&amp;"",Başvuru!$F:$F,"&lt;&gt;"&amp;""))</f>
        <v>0</v>
      </c>
      <c r="P139" s="169">
        <f>IF(C139="","",COUNTIFS(Başvuru!$C:$C,C139,Başvuru!$L:$L,"GERİ ÇEKİLDİ",Başvuru!$A:$A,"&lt;&gt;"&amp;"",Başvuru!$F:$F,"&lt;&gt;"&amp;""))</f>
        <v>0</v>
      </c>
      <c r="Q139" s="170" t="str">
        <f>IFERROR(INDEX(Başvuru!$C$2:$C$1851,MATCH(134,Başvuru!$AB$2:$AB$1851,0)),"")</f>
        <v>Öğr. Gör. Dr. Helin YÜCEDAĞ GÜNDOĞDU</v>
      </c>
      <c r="R139" s="171">
        <f>IF(Q139="","",COUNTIFS(Başvuru!$C:$C,Q139,Başvuru!$A:$A,"&lt;&gt;"&amp;"",Başvuru!$F:$F,"&lt;&gt;"&amp;""))</f>
        <v>1</v>
      </c>
      <c r="S139" s="171">
        <f>IF(R139="","",RANK(R139,$R$6:$R$505,0)+COUNTIF($R$6:R139,R139)-1)</f>
        <v>208</v>
      </c>
    </row>
    <row r="140" spans="2:19" ht="23.25" customHeight="1" x14ac:dyDescent="0.25">
      <c r="B140" s="159">
        <v>135</v>
      </c>
      <c r="C140" s="160" t="str">
        <f>IFERROR(INDEX($Q$6:$Q$505,MATCH(135,$S$6:$S$505,0)),"")</f>
        <v>Doç. Dr. Eda Ezgi ASLANTAŞ</v>
      </c>
      <c r="D140" s="161">
        <f>IF(C140="","",COUNTIFS(Başvuru!$C:$C,C140,Başvuru!$A:$A,"&lt;&gt;"&amp;"",Başvuru!$F:$F,"&lt;&gt;"&amp;""))</f>
        <v>2</v>
      </c>
      <c r="E140" s="159" t="str">
        <f>IF(C140="","-",IF(D140&gt;0,TEXT(D140/(COUNTIFS(Başvuru!$A:$A,"&lt;&gt;",Başvuru!$F:$F,"&lt;&gt;")-1)*100,"0.0")&amp;"%","-"))</f>
        <v>00%</v>
      </c>
      <c r="F140" s="162">
        <f>IF(C140="","",COUNTIFS(Başvuru!$C:$C,C140,Başvuru!$G:$G,"Bireysel Araştırma",Başvuru!$A:$A,"&lt;&gt;"&amp;"",Başvuru!$F:$F,"&lt;&gt;"&amp;""))</f>
        <v>2</v>
      </c>
      <c r="G140" s="162">
        <f>IF(C140="","",COUNTIFS(Başvuru!$C:$C,C140,Başvuru!$G:$G,"Uzmanlık Tezi",Başvuru!$A:$A,"&lt;&gt;"&amp;"",Başvuru!$F:$F,"&lt;&gt;"&amp;""))</f>
        <v>0</v>
      </c>
      <c r="H140" s="162">
        <f>IF(C140="","",COUNTIFS(Başvuru!$C:$C,C140,Başvuru!$G:$G,"Doktora Tezi",Başvuru!$A:$A,"&lt;&gt;"&amp;"",Başvuru!$F:$F,"&lt;&gt;"&amp;""))</f>
        <v>0</v>
      </c>
      <c r="I140" s="162">
        <f>IF(C140="","",COUNTIFS(Başvuru!$C:$C,C140,Başvuru!$G:$G,"Yüksek Lisans Tezi",Başvuru!$A:$A,"&lt;&gt;"&amp;"",Başvuru!$F:$F,"&lt;&gt;"&amp;""))</f>
        <v>0</v>
      </c>
      <c r="J140" s="163">
        <f>IF(C140="","",COUNTIFS(Başvuru!$C:$C,C140,Başvuru!$L:$L,"ONAY",Başvuru!$A:$A,"&lt;&gt;"&amp;"",Başvuru!$F:$F,"&lt;&gt;"&amp;""))</f>
        <v>2</v>
      </c>
      <c r="K140" s="164">
        <f>IF(C140="","",COUNTIFS(Başvuru!$C:$C,C140,Başvuru!$L:$L,"DÜZELTME",Başvuru!$A:$A,"&lt;&gt;"&amp;"",Başvuru!$F:$F,"&lt;&gt;"&amp;""))</f>
        <v>0</v>
      </c>
      <c r="L140" s="165">
        <f>IF(C140="","",COUNTIFS(Başvuru!$C:$C,C140,Başvuru!$L:$L,"KAEK",Başvuru!$A:$A,"&lt;&gt;"&amp;"",Başvuru!$F:$F,"&lt;&gt;"&amp;""))</f>
        <v>0</v>
      </c>
      <c r="M140" s="166">
        <f>IF(C140="","",COUNTIFS(Başvuru!$C:$C,C140,Başvuru!$L:$L,"GÖRÜŞ",Başvuru!$A:$A,"&lt;&gt;"&amp;"",Başvuru!$F:$F,"&lt;&gt;"&amp;""))</f>
        <v>0</v>
      </c>
      <c r="N140" s="167">
        <f>IF(C140="","",COUNTIFS(Başvuru!$C:$C,C140,Başvuru!$L:$L,"RET",Başvuru!$A:$A,"&lt;&gt;"&amp;"",Başvuru!$F:$F,"&lt;&gt;"&amp;""))</f>
        <v>0</v>
      </c>
      <c r="O140" s="168">
        <f>IF(C140="","",COUNTIFS(Başvuru!$C:$C,C140,Başvuru!$L:$L,"KAPSAM DIŞI",Başvuru!$A:$A,"&lt;&gt;"&amp;"",Başvuru!$F:$F,"&lt;&gt;"&amp;""))</f>
        <v>0</v>
      </c>
      <c r="P140" s="169">
        <f>IF(C140="","",COUNTIFS(Başvuru!$C:$C,C140,Başvuru!$L:$L,"GERİ ÇEKİLDİ",Başvuru!$A:$A,"&lt;&gt;"&amp;"",Başvuru!$F:$F,"&lt;&gt;"&amp;""))</f>
        <v>0</v>
      </c>
      <c r="Q140" s="170" t="str">
        <f>IFERROR(INDEX(Başvuru!$C$2:$C$1851,MATCH(135,Başvuru!$AB$2:$AB$1851,0)),"")</f>
        <v>Dr. Öğr. Üyesi Özge YAVUZ SARI</v>
      </c>
      <c r="R140" s="171">
        <f>IF(Q140="","",COUNTIFS(Başvuru!$C:$C,Q140,Başvuru!$A:$A,"&lt;&gt;"&amp;"",Başvuru!$F:$F,"&lt;&gt;"&amp;""))</f>
        <v>1</v>
      </c>
      <c r="S140" s="171">
        <f>IF(R140="","",RANK(R140,$R$6:$R$505,0)+COUNTIF($R$6:R140,R140)-1)</f>
        <v>209</v>
      </c>
    </row>
    <row r="141" spans="2:19" ht="23.25" customHeight="1" x14ac:dyDescent="0.25">
      <c r="B141" s="159">
        <v>136</v>
      </c>
      <c r="C141" s="160" t="str">
        <f>IFERROR(INDEX($Q$6:$Q$505,MATCH(136,$S$6:$S$505,0)),"")</f>
        <v>Doç. Dr. Gülçin TELLİ DİZMAN</v>
      </c>
      <c r="D141" s="161">
        <f>IF(C141="","",COUNTIFS(Başvuru!$C:$C,C141,Başvuru!$A:$A,"&lt;&gt;"&amp;"",Başvuru!$F:$F,"&lt;&gt;"&amp;""))</f>
        <v>2</v>
      </c>
      <c r="E141" s="159" t="str">
        <f>IF(C141="","-",IF(D141&gt;0,TEXT(D141/(COUNTIFS(Başvuru!$A:$A,"&lt;&gt;",Başvuru!$F:$F,"&lt;&gt;")-1)*100,"0.0")&amp;"%","-"))</f>
        <v>00%</v>
      </c>
      <c r="F141" s="162">
        <f>IF(C141="","",COUNTIFS(Başvuru!$C:$C,C141,Başvuru!$G:$G,"Bireysel Araştırma",Başvuru!$A:$A,"&lt;&gt;"&amp;"",Başvuru!$F:$F,"&lt;&gt;"&amp;""))</f>
        <v>1</v>
      </c>
      <c r="G141" s="162">
        <f>IF(C141="","",COUNTIFS(Başvuru!$C:$C,C141,Başvuru!$G:$G,"Uzmanlık Tezi",Başvuru!$A:$A,"&lt;&gt;"&amp;"",Başvuru!$F:$F,"&lt;&gt;"&amp;""))</f>
        <v>1</v>
      </c>
      <c r="H141" s="162">
        <f>IF(C141="","",COUNTIFS(Başvuru!$C:$C,C141,Başvuru!$G:$G,"Doktora Tezi",Başvuru!$A:$A,"&lt;&gt;"&amp;"",Başvuru!$F:$F,"&lt;&gt;"&amp;""))</f>
        <v>0</v>
      </c>
      <c r="I141" s="162">
        <f>IF(C141="","",COUNTIFS(Başvuru!$C:$C,C141,Başvuru!$G:$G,"Yüksek Lisans Tezi",Başvuru!$A:$A,"&lt;&gt;"&amp;"",Başvuru!$F:$F,"&lt;&gt;"&amp;""))</f>
        <v>0</v>
      </c>
      <c r="J141" s="163">
        <f>IF(C141="","",COUNTIFS(Başvuru!$C:$C,C141,Başvuru!$L:$L,"ONAY",Başvuru!$A:$A,"&lt;&gt;"&amp;"",Başvuru!$F:$F,"&lt;&gt;"&amp;""))</f>
        <v>2</v>
      </c>
      <c r="K141" s="164">
        <f>IF(C141="","",COUNTIFS(Başvuru!$C:$C,C141,Başvuru!$L:$L,"DÜZELTME",Başvuru!$A:$A,"&lt;&gt;"&amp;"",Başvuru!$F:$F,"&lt;&gt;"&amp;""))</f>
        <v>0</v>
      </c>
      <c r="L141" s="165">
        <f>IF(C141="","",COUNTIFS(Başvuru!$C:$C,C141,Başvuru!$L:$L,"KAEK",Başvuru!$A:$A,"&lt;&gt;"&amp;"",Başvuru!$F:$F,"&lt;&gt;"&amp;""))</f>
        <v>0</v>
      </c>
      <c r="M141" s="166">
        <f>IF(C141="","",COUNTIFS(Başvuru!$C:$C,C141,Başvuru!$L:$L,"GÖRÜŞ",Başvuru!$A:$A,"&lt;&gt;"&amp;"",Başvuru!$F:$F,"&lt;&gt;"&amp;""))</f>
        <v>0</v>
      </c>
      <c r="N141" s="167">
        <f>IF(C141="","",COUNTIFS(Başvuru!$C:$C,C141,Başvuru!$L:$L,"RET",Başvuru!$A:$A,"&lt;&gt;"&amp;"",Başvuru!$F:$F,"&lt;&gt;"&amp;""))</f>
        <v>0</v>
      </c>
      <c r="O141" s="168">
        <f>IF(C141="","",COUNTIFS(Başvuru!$C:$C,C141,Başvuru!$L:$L,"KAPSAM DIŞI",Başvuru!$A:$A,"&lt;&gt;"&amp;"",Başvuru!$F:$F,"&lt;&gt;"&amp;""))</f>
        <v>0</v>
      </c>
      <c r="P141" s="169">
        <f>IF(C141="","",COUNTIFS(Başvuru!$C:$C,C141,Başvuru!$L:$L,"GERİ ÇEKİLDİ",Başvuru!$A:$A,"&lt;&gt;"&amp;"",Başvuru!$F:$F,"&lt;&gt;"&amp;""))</f>
        <v>0</v>
      </c>
      <c r="Q141" s="170" t="str">
        <f>IFERROR(INDEX(Başvuru!$C$2:$C$1851,MATCH(136,Başvuru!$AB$2:$AB$1851,0)),"")</f>
        <v>Arş. Gör. Dr. Şükran BAYRAK</v>
      </c>
      <c r="R141" s="171">
        <f>IF(Q141="","",COUNTIFS(Başvuru!$C:$C,Q141,Başvuru!$A:$A,"&lt;&gt;"&amp;"",Başvuru!$F:$F,"&lt;&gt;"&amp;""))</f>
        <v>2</v>
      </c>
      <c r="S141" s="171">
        <f>IF(R141="","",RANK(R141,$R$6:$R$505,0)+COUNTIF($R$6:R141,R141)-1)</f>
        <v>115</v>
      </c>
    </row>
    <row r="142" spans="2:19" ht="23.25" customHeight="1" x14ac:dyDescent="0.25">
      <c r="B142" s="159">
        <v>137</v>
      </c>
      <c r="C142" s="160" t="str">
        <f>IFERROR(INDEX($Q$6:$Q$505,MATCH(137,$S$6:$S$505,0)),"")</f>
        <v>Doç. Dr. Barış SEZER</v>
      </c>
      <c r="D142" s="161">
        <f>IF(C142="","",COUNTIFS(Başvuru!$C:$C,C142,Başvuru!$A:$A,"&lt;&gt;"&amp;"",Başvuru!$F:$F,"&lt;&gt;"&amp;""))</f>
        <v>2</v>
      </c>
      <c r="E142" s="159" t="str">
        <f>IF(C142="","-",IF(D142&gt;0,TEXT(D142/(COUNTIFS(Başvuru!$A:$A,"&lt;&gt;",Başvuru!$F:$F,"&lt;&gt;")-1)*100,"0.0")&amp;"%","-"))</f>
        <v>00%</v>
      </c>
      <c r="F142" s="162">
        <f>IF(C142="","",COUNTIFS(Başvuru!$C:$C,C142,Başvuru!$G:$G,"Bireysel Araştırma",Başvuru!$A:$A,"&lt;&gt;"&amp;"",Başvuru!$F:$F,"&lt;&gt;"&amp;""))</f>
        <v>1</v>
      </c>
      <c r="G142" s="162">
        <f>IF(C142="","",COUNTIFS(Başvuru!$C:$C,C142,Başvuru!$G:$G,"Uzmanlık Tezi",Başvuru!$A:$A,"&lt;&gt;"&amp;"",Başvuru!$F:$F,"&lt;&gt;"&amp;""))</f>
        <v>0</v>
      </c>
      <c r="H142" s="162">
        <f>IF(C142="","",COUNTIFS(Başvuru!$C:$C,C142,Başvuru!$G:$G,"Doktora Tezi",Başvuru!$A:$A,"&lt;&gt;"&amp;"",Başvuru!$F:$F,"&lt;&gt;"&amp;""))</f>
        <v>1</v>
      </c>
      <c r="I142" s="162">
        <f>IF(C142="","",COUNTIFS(Başvuru!$C:$C,C142,Başvuru!$G:$G,"Yüksek Lisans Tezi",Başvuru!$A:$A,"&lt;&gt;"&amp;"",Başvuru!$F:$F,"&lt;&gt;"&amp;""))</f>
        <v>0</v>
      </c>
      <c r="J142" s="163">
        <f>IF(C142="","",COUNTIFS(Başvuru!$C:$C,C142,Başvuru!$L:$L,"ONAY",Başvuru!$A:$A,"&lt;&gt;"&amp;"",Başvuru!$F:$F,"&lt;&gt;"&amp;""))</f>
        <v>2</v>
      </c>
      <c r="K142" s="164">
        <f>IF(C142="","",COUNTIFS(Başvuru!$C:$C,C142,Başvuru!$L:$L,"DÜZELTME",Başvuru!$A:$A,"&lt;&gt;"&amp;"",Başvuru!$F:$F,"&lt;&gt;"&amp;""))</f>
        <v>0</v>
      </c>
      <c r="L142" s="165">
        <f>IF(C142="","",COUNTIFS(Başvuru!$C:$C,C142,Başvuru!$L:$L,"KAEK",Başvuru!$A:$A,"&lt;&gt;"&amp;"",Başvuru!$F:$F,"&lt;&gt;"&amp;""))</f>
        <v>0</v>
      </c>
      <c r="M142" s="166">
        <f>IF(C142="","",COUNTIFS(Başvuru!$C:$C,C142,Başvuru!$L:$L,"GÖRÜŞ",Başvuru!$A:$A,"&lt;&gt;"&amp;"",Başvuru!$F:$F,"&lt;&gt;"&amp;""))</f>
        <v>0</v>
      </c>
      <c r="N142" s="167">
        <f>IF(C142="","",COUNTIFS(Başvuru!$C:$C,C142,Başvuru!$L:$L,"RET",Başvuru!$A:$A,"&lt;&gt;"&amp;"",Başvuru!$F:$F,"&lt;&gt;"&amp;""))</f>
        <v>0</v>
      </c>
      <c r="O142" s="168">
        <f>IF(C142="","",COUNTIFS(Başvuru!$C:$C,C142,Başvuru!$L:$L,"KAPSAM DIŞI",Başvuru!$A:$A,"&lt;&gt;"&amp;"",Başvuru!$F:$F,"&lt;&gt;"&amp;""))</f>
        <v>0</v>
      </c>
      <c r="P142" s="169">
        <f>IF(C142="","",COUNTIFS(Başvuru!$C:$C,C142,Başvuru!$L:$L,"GERİ ÇEKİLDİ",Başvuru!$A:$A,"&lt;&gt;"&amp;"",Başvuru!$F:$F,"&lt;&gt;"&amp;""))</f>
        <v>0</v>
      </c>
      <c r="Q142" s="170" t="str">
        <f>IFERROR(INDEX(Başvuru!$C$2:$C$1851,MATCH(137,Başvuru!$AB$2:$AB$1851,0)),"")</f>
        <v>Prof. Dr. Jale KARAKAYA</v>
      </c>
      <c r="R142" s="171">
        <f>IF(Q142="","",COUNTIFS(Başvuru!$C:$C,Q142,Başvuru!$A:$A,"&lt;&gt;"&amp;"",Başvuru!$F:$F,"&lt;&gt;"&amp;""))</f>
        <v>1</v>
      </c>
      <c r="S142" s="171">
        <f>IF(R142="","",RANK(R142,$R$6:$R$505,0)+COUNTIF($R$6:R142,R142)-1)</f>
        <v>210</v>
      </c>
    </row>
    <row r="143" spans="2:19" ht="23.25" customHeight="1" x14ac:dyDescent="0.25">
      <c r="B143" s="159">
        <v>138</v>
      </c>
      <c r="C143" s="160" t="str">
        <f>IFERROR(INDEX($Q$6:$Q$505,MATCH(138,$S$6:$S$505,0)),"")</f>
        <v>Dr. Öğr. Üyesi Emre MUTLU</v>
      </c>
      <c r="D143" s="161">
        <f>IF(C143="","",COUNTIFS(Başvuru!$C:$C,C143,Başvuru!$A:$A,"&lt;&gt;"&amp;"",Başvuru!$F:$F,"&lt;&gt;"&amp;""))</f>
        <v>2</v>
      </c>
      <c r="E143" s="159" t="str">
        <f>IF(C143="","-",IF(D143&gt;0,TEXT(D143/(COUNTIFS(Başvuru!$A:$A,"&lt;&gt;",Başvuru!$F:$F,"&lt;&gt;")-1)*100,"0.0")&amp;"%","-"))</f>
        <v>00%</v>
      </c>
      <c r="F143" s="162">
        <f>IF(C143="","",COUNTIFS(Başvuru!$C:$C,C143,Başvuru!$G:$G,"Bireysel Araştırma",Başvuru!$A:$A,"&lt;&gt;"&amp;"",Başvuru!$F:$F,"&lt;&gt;"&amp;""))</f>
        <v>1</v>
      </c>
      <c r="G143" s="162">
        <f>IF(C143="","",COUNTIFS(Başvuru!$C:$C,C143,Başvuru!$G:$G,"Uzmanlık Tezi",Başvuru!$A:$A,"&lt;&gt;"&amp;"",Başvuru!$F:$F,"&lt;&gt;"&amp;""))</f>
        <v>1</v>
      </c>
      <c r="H143" s="162">
        <f>IF(C143="","",COUNTIFS(Başvuru!$C:$C,C143,Başvuru!$G:$G,"Doktora Tezi",Başvuru!$A:$A,"&lt;&gt;"&amp;"",Başvuru!$F:$F,"&lt;&gt;"&amp;""))</f>
        <v>0</v>
      </c>
      <c r="I143" s="162">
        <f>IF(C143="","",COUNTIFS(Başvuru!$C:$C,C143,Başvuru!$G:$G,"Yüksek Lisans Tezi",Başvuru!$A:$A,"&lt;&gt;"&amp;"",Başvuru!$F:$F,"&lt;&gt;"&amp;""))</f>
        <v>0</v>
      </c>
      <c r="J143" s="163">
        <f>IF(C143="","",COUNTIFS(Başvuru!$C:$C,C143,Başvuru!$L:$L,"ONAY",Başvuru!$A:$A,"&lt;&gt;"&amp;"",Başvuru!$F:$F,"&lt;&gt;"&amp;""))</f>
        <v>1</v>
      </c>
      <c r="K143" s="164">
        <f>IF(C143="","",COUNTIFS(Başvuru!$C:$C,C143,Başvuru!$L:$L,"DÜZELTME",Başvuru!$A:$A,"&lt;&gt;"&amp;"",Başvuru!$F:$F,"&lt;&gt;"&amp;""))</f>
        <v>0</v>
      </c>
      <c r="L143" s="165">
        <f>IF(C143="","",COUNTIFS(Başvuru!$C:$C,C143,Başvuru!$L:$L,"KAEK",Başvuru!$A:$A,"&lt;&gt;"&amp;"",Başvuru!$F:$F,"&lt;&gt;"&amp;""))</f>
        <v>0</v>
      </c>
      <c r="M143" s="166">
        <f>IF(C143="","",COUNTIFS(Başvuru!$C:$C,C143,Başvuru!$L:$L,"GÖRÜŞ",Başvuru!$A:$A,"&lt;&gt;"&amp;"",Başvuru!$F:$F,"&lt;&gt;"&amp;""))</f>
        <v>0</v>
      </c>
      <c r="N143" s="167">
        <f>IF(C143="","",COUNTIFS(Başvuru!$C:$C,C143,Başvuru!$L:$L,"RET",Başvuru!$A:$A,"&lt;&gt;"&amp;"",Başvuru!$F:$F,"&lt;&gt;"&amp;""))</f>
        <v>0</v>
      </c>
      <c r="O143" s="168">
        <f>IF(C143="","",COUNTIFS(Başvuru!$C:$C,C143,Başvuru!$L:$L,"KAPSAM DIŞI",Başvuru!$A:$A,"&lt;&gt;"&amp;"",Başvuru!$F:$F,"&lt;&gt;"&amp;""))</f>
        <v>0</v>
      </c>
      <c r="P143" s="169">
        <f>IF(C143="","",COUNTIFS(Başvuru!$C:$C,C143,Başvuru!$L:$L,"GERİ ÇEKİLDİ",Başvuru!$A:$A,"&lt;&gt;"&amp;"",Başvuru!$F:$F,"&lt;&gt;"&amp;""))</f>
        <v>0</v>
      </c>
      <c r="Q143" s="170" t="str">
        <f>IFERROR(INDEX(Başvuru!$C$2:$C$1851,MATCH(138,Başvuru!$AB$2:$AB$1851,0)),"")</f>
        <v>Dr. Öğr. Üyesi Aycan UYSAL</v>
      </c>
      <c r="R143" s="171">
        <f>IF(Q143="","",COUNTIFS(Başvuru!$C:$C,Q143,Başvuru!$A:$A,"&lt;&gt;"&amp;"",Başvuru!$F:$F,"&lt;&gt;"&amp;""))</f>
        <v>4</v>
      </c>
      <c r="S143" s="171">
        <f>IF(R143="","",RANK(R143,$R$6:$R$505,0)+COUNTIF($R$6:R143,R143)-1)</f>
        <v>46</v>
      </c>
    </row>
    <row r="144" spans="2:19" ht="23.25" customHeight="1" x14ac:dyDescent="0.25">
      <c r="B144" s="159">
        <v>139</v>
      </c>
      <c r="C144" s="160" t="str">
        <f>IFERROR(INDEX($Q$6:$Q$505,MATCH(139,$S$6:$S$505,0)),"")</f>
        <v>Prof. Dr. Şevket Murat ÖZBEK</v>
      </c>
      <c r="D144" s="161">
        <f>IF(C144="","",COUNTIFS(Başvuru!$C:$C,C144,Başvuru!$A:$A,"&lt;&gt;"&amp;"",Başvuru!$F:$F,"&lt;&gt;"&amp;""))</f>
        <v>2</v>
      </c>
      <c r="E144" s="159" t="str">
        <f>IF(C144="","-",IF(D144&gt;0,TEXT(D144/(COUNTIFS(Başvuru!$A:$A,"&lt;&gt;",Başvuru!$F:$F,"&lt;&gt;")-1)*100,"0.0")&amp;"%","-"))</f>
        <v>00%</v>
      </c>
      <c r="F144" s="162">
        <f>IF(C144="","",COUNTIFS(Başvuru!$C:$C,C144,Başvuru!$G:$G,"Bireysel Araştırma",Başvuru!$A:$A,"&lt;&gt;"&amp;"",Başvuru!$F:$F,"&lt;&gt;"&amp;""))</f>
        <v>1</v>
      </c>
      <c r="G144" s="162">
        <f>IF(C144="","",COUNTIFS(Başvuru!$C:$C,C144,Başvuru!$G:$G,"Uzmanlık Tezi",Başvuru!$A:$A,"&lt;&gt;"&amp;"",Başvuru!$F:$F,"&lt;&gt;"&amp;""))</f>
        <v>1</v>
      </c>
      <c r="H144" s="162">
        <f>IF(C144="","",COUNTIFS(Başvuru!$C:$C,C144,Başvuru!$G:$G,"Doktora Tezi",Başvuru!$A:$A,"&lt;&gt;"&amp;"",Başvuru!$F:$F,"&lt;&gt;"&amp;""))</f>
        <v>0</v>
      </c>
      <c r="I144" s="162">
        <f>IF(C144="","",COUNTIFS(Başvuru!$C:$C,C144,Başvuru!$G:$G,"Yüksek Lisans Tezi",Başvuru!$A:$A,"&lt;&gt;"&amp;"",Başvuru!$F:$F,"&lt;&gt;"&amp;""))</f>
        <v>0</v>
      </c>
      <c r="J144" s="163">
        <f>IF(C144="","",COUNTIFS(Başvuru!$C:$C,C144,Başvuru!$L:$L,"ONAY",Başvuru!$A:$A,"&lt;&gt;"&amp;"",Başvuru!$F:$F,"&lt;&gt;"&amp;""))</f>
        <v>1</v>
      </c>
      <c r="K144" s="164">
        <f>IF(C144="","",COUNTIFS(Başvuru!$C:$C,C144,Başvuru!$L:$L,"DÜZELTME",Başvuru!$A:$A,"&lt;&gt;"&amp;"",Başvuru!$F:$F,"&lt;&gt;"&amp;""))</f>
        <v>1</v>
      </c>
      <c r="L144" s="165">
        <f>IF(C144="","",COUNTIFS(Başvuru!$C:$C,C144,Başvuru!$L:$L,"KAEK",Başvuru!$A:$A,"&lt;&gt;"&amp;"",Başvuru!$F:$F,"&lt;&gt;"&amp;""))</f>
        <v>0</v>
      </c>
      <c r="M144" s="166">
        <f>IF(C144="","",COUNTIFS(Başvuru!$C:$C,C144,Başvuru!$L:$L,"GÖRÜŞ",Başvuru!$A:$A,"&lt;&gt;"&amp;"",Başvuru!$F:$F,"&lt;&gt;"&amp;""))</f>
        <v>0</v>
      </c>
      <c r="N144" s="167">
        <f>IF(C144="","",COUNTIFS(Başvuru!$C:$C,C144,Başvuru!$L:$L,"RET",Başvuru!$A:$A,"&lt;&gt;"&amp;"",Başvuru!$F:$F,"&lt;&gt;"&amp;""))</f>
        <v>0</v>
      </c>
      <c r="O144" s="168">
        <f>IF(C144="","",COUNTIFS(Başvuru!$C:$C,C144,Başvuru!$L:$L,"KAPSAM DIŞI",Başvuru!$A:$A,"&lt;&gt;"&amp;"",Başvuru!$F:$F,"&lt;&gt;"&amp;""))</f>
        <v>0</v>
      </c>
      <c r="P144" s="169">
        <f>IF(C144="","",COUNTIFS(Başvuru!$C:$C,C144,Başvuru!$L:$L,"GERİ ÇEKİLDİ",Başvuru!$A:$A,"&lt;&gt;"&amp;"",Başvuru!$F:$F,"&lt;&gt;"&amp;""))</f>
        <v>0</v>
      </c>
      <c r="Q144" s="170" t="str">
        <f>IFERROR(INDEX(Başvuru!$C$2:$C$1851,MATCH(139,Başvuru!$AB$2:$AB$1851,0)),"")</f>
        <v>Prof. Dr. Mustafa CANKURTARAN</v>
      </c>
      <c r="R144" s="171">
        <f>IF(Q144="","",COUNTIFS(Başvuru!$C:$C,Q144,Başvuru!$A:$A,"&lt;&gt;"&amp;"",Başvuru!$F:$F,"&lt;&gt;"&amp;""))</f>
        <v>8</v>
      </c>
      <c r="S144" s="171">
        <f>IF(R144="","",RANK(R144,$R$6:$R$505,0)+COUNTIF($R$6:R144,R144)-1)</f>
        <v>11</v>
      </c>
    </row>
    <row r="145" spans="2:19" ht="23.25" customHeight="1" x14ac:dyDescent="0.25">
      <c r="B145" s="159">
        <v>140</v>
      </c>
      <c r="C145" s="160" t="str">
        <f>IFERROR(INDEX($Q$6:$Q$505,MATCH(140,$S$6:$S$505,0)),"")</f>
        <v>Prof. Dr. Filiz ÜZÜMCÜGİL</v>
      </c>
      <c r="D145" s="161">
        <f>IF(C145="","",COUNTIFS(Başvuru!$C:$C,C145,Başvuru!$A:$A,"&lt;&gt;"&amp;"",Başvuru!$F:$F,"&lt;&gt;"&amp;""))</f>
        <v>2</v>
      </c>
      <c r="E145" s="159" t="str">
        <f>IF(C145="","-",IF(D145&gt;0,TEXT(D145/(COUNTIFS(Başvuru!$A:$A,"&lt;&gt;",Başvuru!$F:$F,"&lt;&gt;")-1)*100,"0.0")&amp;"%","-"))</f>
        <v>00%</v>
      </c>
      <c r="F145" s="162">
        <f>IF(C145="","",COUNTIFS(Başvuru!$C:$C,C145,Başvuru!$G:$G,"Bireysel Araştırma",Başvuru!$A:$A,"&lt;&gt;"&amp;"",Başvuru!$F:$F,"&lt;&gt;"&amp;""))</f>
        <v>0</v>
      </c>
      <c r="G145" s="162">
        <f>IF(C145="","",COUNTIFS(Başvuru!$C:$C,C145,Başvuru!$G:$G,"Uzmanlık Tezi",Başvuru!$A:$A,"&lt;&gt;"&amp;"",Başvuru!$F:$F,"&lt;&gt;"&amp;""))</f>
        <v>2</v>
      </c>
      <c r="H145" s="162">
        <f>IF(C145="","",COUNTIFS(Başvuru!$C:$C,C145,Başvuru!$G:$G,"Doktora Tezi",Başvuru!$A:$A,"&lt;&gt;"&amp;"",Başvuru!$F:$F,"&lt;&gt;"&amp;""))</f>
        <v>0</v>
      </c>
      <c r="I145" s="162">
        <f>IF(C145="","",COUNTIFS(Başvuru!$C:$C,C145,Başvuru!$G:$G,"Yüksek Lisans Tezi",Başvuru!$A:$A,"&lt;&gt;"&amp;"",Başvuru!$F:$F,"&lt;&gt;"&amp;""))</f>
        <v>0</v>
      </c>
      <c r="J145" s="163">
        <f>IF(C145="","",COUNTIFS(Başvuru!$C:$C,C145,Başvuru!$L:$L,"ONAY",Başvuru!$A:$A,"&lt;&gt;"&amp;"",Başvuru!$F:$F,"&lt;&gt;"&amp;""))</f>
        <v>2</v>
      </c>
      <c r="K145" s="164">
        <f>IF(C145="","",COUNTIFS(Başvuru!$C:$C,C145,Başvuru!$L:$L,"DÜZELTME",Başvuru!$A:$A,"&lt;&gt;"&amp;"",Başvuru!$F:$F,"&lt;&gt;"&amp;""))</f>
        <v>0</v>
      </c>
      <c r="L145" s="165">
        <f>IF(C145="","",COUNTIFS(Başvuru!$C:$C,C145,Başvuru!$L:$L,"KAEK",Başvuru!$A:$A,"&lt;&gt;"&amp;"",Başvuru!$F:$F,"&lt;&gt;"&amp;""))</f>
        <v>0</v>
      </c>
      <c r="M145" s="166">
        <f>IF(C145="","",COUNTIFS(Başvuru!$C:$C,C145,Başvuru!$L:$L,"GÖRÜŞ",Başvuru!$A:$A,"&lt;&gt;"&amp;"",Başvuru!$F:$F,"&lt;&gt;"&amp;""))</f>
        <v>0</v>
      </c>
      <c r="N145" s="167">
        <f>IF(C145="","",COUNTIFS(Başvuru!$C:$C,C145,Başvuru!$L:$L,"RET",Başvuru!$A:$A,"&lt;&gt;"&amp;"",Başvuru!$F:$F,"&lt;&gt;"&amp;""))</f>
        <v>0</v>
      </c>
      <c r="O145" s="168">
        <f>IF(C145="","",COUNTIFS(Başvuru!$C:$C,C145,Başvuru!$L:$L,"KAPSAM DIŞI",Başvuru!$A:$A,"&lt;&gt;"&amp;"",Başvuru!$F:$F,"&lt;&gt;"&amp;""))</f>
        <v>0</v>
      </c>
      <c r="P145" s="169">
        <f>IF(C145="","",COUNTIFS(Başvuru!$C:$C,C145,Başvuru!$L:$L,"GERİ ÇEKİLDİ",Başvuru!$A:$A,"&lt;&gt;"&amp;"",Başvuru!$F:$F,"&lt;&gt;"&amp;""))</f>
        <v>0</v>
      </c>
      <c r="Q145" s="170" t="str">
        <f>IFERROR(INDEX(Başvuru!$C$2:$C$1851,MATCH(140,Başvuru!$AB$2:$AB$1851,0)),"")</f>
        <v>Dr. Öğr. Üyesi Hatice BOYACIOĞLU ERDEN</v>
      </c>
      <c r="R145" s="171">
        <f>IF(Q145="","",COUNTIFS(Başvuru!$C:$C,Q145,Başvuru!$A:$A,"&lt;&gt;"&amp;"",Başvuru!$F:$F,"&lt;&gt;"&amp;""))</f>
        <v>2</v>
      </c>
      <c r="S145" s="171">
        <f>IF(R145="","",RANK(R145,$R$6:$R$505,0)+COUNTIF($R$6:R145,R145)-1)</f>
        <v>116</v>
      </c>
    </row>
    <row r="146" spans="2:19" ht="23.25" customHeight="1" x14ac:dyDescent="0.25">
      <c r="B146" s="159">
        <v>141</v>
      </c>
      <c r="C146" s="160" t="str">
        <f>IFERROR(INDEX($Q$6:$Q$505,MATCH(141,$S$6:$S$505,0)),"")</f>
        <v>Dr. Öğr. Üyesi Sehend DEBBAĞ</v>
      </c>
      <c r="D146" s="161">
        <f>IF(C146="","",COUNTIFS(Başvuru!$C:$C,C146,Başvuru!$A:$A,"&lt;&gt;"&amp;"",Başvuru!$F:$F,"&lt;&gt;"&amp;""))</f>
        <v>2</v>
      </c>
      <c r="E146" s="159" t="str">
        <f>IF(C146="","-",IF(D146&gt;0,TEXT(D146/(COUNTIFS(Başvuru!$A:$A,"&lt;&gt;",Başvuru!$F:$F,"&lt;&gt;")-1)*100,"0.0")&amp;"%","-"))</f>
        <v>00%</v>
      </c>
      <c r="F146" s="162">
        <f>IF(C146="","",COUNTIFS(Başvuru!$C:$C,C146,Başvuru!$G:$G,"Bireysel Araştırma",Başvuru!$A:$A,"&lt;&gt;"&amp;"",Başvuru!$F:$F,"&lt;&gt;"&amp;""))</f>
        <v>2</v>
      </c>
      <c r="G146" s="162">
        <f>IF(C146="","",COUNTIFS(Başvuru!$C:$C,C146,Başvuru!$G:$G,"Uzmanlık Tezi",Başvuru!$A:$A,"&lt;&gt;"&amp;"",Başvuru!$F:$F,"&lt;&gt;"&amp;""))</f>
        <v>0</v>
      </c>
      <c r="H146" s="162">
        <f>IF(C146="","",COUNTIFS(Başvuru!$C:$C,C146,Başvuru!$G:$G,"Doktora Tezi",Başvuru!$A:$A,"&lt;&gt;"&amp;"",Başvuru!$F:$F,"&lt;&gt;"&amp;""))</f>
        <v>0</v>
      </c>
      <c r="I146" s="162">
        <f>IF(C146="","",COUNTIFS(Başvuru!$C:$C,C146,Başvuru!$G:$G,"Yüksek Lisans Tezi",Başvuru!$A:$A,"&lt;&gt;"&amp;"",Başvuru!$F:$F,"&lt;&gt;"&amp;""))</f>
        <v>0</v>
      </c>
      <c r="J146" s="163">
        <f>IF(C146="","",COUNTIFS(Başvuru!$C:$C,C146,Başvuru!$L:$L,"ONAY",Başvuru!$A:$A,"&lt;&gt;"&amp;"",Başvuru!$F:$F,"&lt;&gt;"&amp;""))</f>
        <v>0</v>
      </c>
      <c r="K146" s="164">
        <f>IF(C146="","",COUNTIFS(Başvuru!$C:$C,C146,Başvuru!$L:$L,"DÜZELTME",Başvuru!$A:$A,"&lt;&gt;"&amp;"",Başvuru!$F:$F,"&lt;&gt;"&amp;""))</f>
        <v>2</v>
      </c>
      <c r="L146" s="165">
        <f>IF(C146="","",COUNTIFS(Başvuru!$C:$C,C146,Başvuru!$L:$L,"KAEK",Başvuru!$A:$A,"&lt;&gt;"&amp;"",Başvuru!$F:$F,"&lt;&gt;"&amp;""))</f>
        <v>0</v>
      </c>
      <c r="M146" s="166">
        <f>IF(C146="","",COUNTIFS(Başvuru!$C:$C,C146,Başvuru!$L:$L,"GÖRÜŞ",Başvuru!$A:$A,"&lt;&gt;"&amp;"",Başvuru!$F:$F,"&lt;&gt;"&amp;""))</f>
        <v>0</v>
      </c>
      <c r="N146" s="167">
        <f>IF(C146="","",COUNTIFS(Başvuru!$C:$C,C146,Başvuru!$L:$L,"RET",Başvuru!$A:$A,"&lt;&gt;"&amp;"",Başvuru!$F:$F,"&lt;&gt;"&amp;""))</f>
        <v>0</v>
      </c>
      <c r="O146" s="168">
        <f>IF(C146="","",COUNTIFS(Başvuru!$C:$C,C146,Başvuru!$L:$L,"KAPSAM DIŞI",Başvuru!$A:$A,"&lt;&gt;"&amp;"",Başvuru!$F:$F,"&lt;&gt;"&amp;""))</f>
        <v>0</v>
      </c>
      <c r="P146" s="169">
        <f>IF(C146="","",COUNTIFS(Başvuru!$C:$C,C146,Başvuru!$L:$L,"GERİ ÇEKİLDİ",Başvuru!$A:$A,"&lt;&gt;"&amp;"",Başvuru!$F:$F,"&lt;&gt;"&amp;""))</f>
        <v>0</v>
      </c>
      <c r="Q146" s="170" t="str">
        <f>IFERROR(INDEX(Başvuru!$C$2:$C$1851,MATCH(141,Başvuru!$AB$2:$AB$1851,0)),"")</f>
        <v>Dr. Öğr. Üyesi Ezgi DOĞAN CÖMERT</v>
      </c>
      <c r="R146" s="171">
        <f>IF(Q146="","",COUNTIFS(Başvuru!$C:$C,Q146,Başvuru!$A:$A,"&lt;&gt;"&amp;"",Başvuru!$F:$F,"&lt;&gt;"&amp;""))</f>
        <v>1</v>
      </c>
      <c r="S146" s="171">
        <f>IF(R146="","",RANK(R146,$R$6:$R$505,0)+COUNTIF($R$6:R146,R146)-1)</f>
        <v>211</v>
      </c>
    </row>
    <row r="147" spans="2:19" ht="23.25" customHeight="1" x14ac:dyDescent="0.25">
      <c r="B147" s="159">
        <v>142</v>
      </c>
      <c r="C147" s="160" t="str">
        <f>IFERROR(INDEX($Q$6:$Q$505,MATCH(142,$S$6:$S$505,0)),"")</f>
        <v>Prof. Dr. Bülent ATİLLA</v>
      </c>
      <c r="D147" s="161">
        <f>IF(C147="","",COUNTIFS(Başvuru!$C:$C,C147,Başvuru!$A:$A,"&lt;&gt;"&amp;"",Başvuru!$F:$F,"&lt;&gt;"&amp;""))</f>
        <v>2</v>
      </c>
      <c r="E147" s="159" t="str">
        <f>IF(C147="","-",IF(D147&gt;0,TEXT(D147/(COUNTIFS(Başvuru!$A:$A,"&lt;&gt;",Başvuru!$F:$F,"&lt;&gt;")-1)*100,"0.0")&amp;"%","-"))</f>
        <v>00%</v>
      </c>
      <c r="F147" s="162">
        <f>IF(C147="","",COUNTIFS(Başvuru!$C:$C,C147,Başvuru!$G:$G,"Bireysel Araştırma",Başvuru!$A:$A,"&lt;&gt;"&amp;"",Başvuru!$F:$F,"&lt;&gt;"&amp;""))</f>
        <v>1</v>
      </c>
      <c r="G147" s="162">
        <f>IF(C147="","",COUNTIFS(Başvuru!$C:$C,C147,Başvuru!$G:$G,"Uzmanlık Tezi",Başvuru!$A:$A,"&lt;&gt;"&amp;"",Başvuru!$F:$F,"&lt;&gt;"&amp;""))</f>
        <v>1</v>
      </c>
      <c r="H147" s="162">
        <f>IF(C147="","",COUNTIFS(Başvuru!$C:$C,C147,Başvuru!$G:$G,"Doktora Tezi",Başvuru!$A:$A,"&lt;&gt;"&amp;"",Başvuru!$F:$F,"&lt;&gt;"&amp;""))</f>
        <v>0</v>
      </c>
      <c r="I147" s="162">
        <f>IF(C147="","",COUNTIFS(Başvuru!$C:$C,C147,Başvuru!$G:$G,"Yüksek Lisans Tezi",Başvuru!$A:$A,"&lt;&gt;"&amp;"",Başvuru!$F:$F,"&lt;&gt;"&amp;""))</f>
        <v>0</v>
      </c>
      <c r="J147" s="163">
        <f>IF(C147="","",COUNTIFS(Başvuru!$C:$C,C147,Başvuru!$L:$L,"ONAY",Başvuru!$A:$A,"&lt;&gt;"&amp;"",Başvuru!$F:$F,"&lt;&gt;"&amp;""))</f>
        <v>0</v>
      </c>
      <c r="K147" s="164">
        <f>IF(C147="","",COUNTIFS(Başvuru!$C:$C,C147,Başvuru!$L:$L,"DÜZELTME",Başvuru!$A:$A,"&lt;&gt;"&amp;"",Başvuru!$F:$F,"&lt;&gt;"&amp;""))</f>
        <v>1</v>
      </c>
      <c r="L147" s="165">
        <f>IF(C147="","",COUNTIFS(Başvuru!$C:$C,C147,Başvuru!$L:$L,"KAEK",Başvuru!$A:$A,"&lt;&gt;"&amp;"",Başvuru!$F:$F,"&lt;&gt;"&amp;""))</f>
        <v>0</v>
      </c>
      <c r="M147" s="166">
        <f>IF(C147="","",COUNTIFS(Başvuru!$C:$C,C147,Başvuru!$L:$L,"GÖRÜŞ",Başvuru!$A:$A,"&lt;&gt;"&amp;"",Başvuru!$F:$F,"&lt;&gt;"&amp;""))</f>
        <v>0</v>
      </c>
      <c r="N147" s="167">
        <f>IF(C147="","",COUNTIFS(Başvuru!$C:$C,C147,Başvuru!$L:$L,"RET",Başvuru!$A:$A,"&lt;&gt;"&amp;"",Başvuru!$F:$F,"&lt;&gt;"&amp;""))</f>
        <v>0</v>
      </c>
      <c r="O147" s="168">
        <f>IF(C147="","",COUNTIFS(Başvuru!$C:$C,C147,Başvuru!$L:$L,"KAPSAM DIŞI",Başvuru!$A:$A,"&lt;&gt;"&amp;"",Başvuru!$F:$F,"&lt;&gt;"&amp;""))</f>
        <v>0</v>
      </c>
      <c r="P147" s="169">
        <f>IF(C147="","",COUNTIFS(Başvuru!$C:$C,C147,Başvuru!$L:$L,"GERİ ÇEKİLDİ",Başvuru!$A:$A,"&lt;&gt;"&amp;"",Başvuru!$F:$F,"&lt;&gt;"&amp;""))</f>
        <v>0</v>
      </c>
      <c r="Q147" s="170" t="str">
        <f>IFERROR(INDEX(Başvuru!$C$2:$C$1851,MATCH(142,Başvuru!$AB$2:$AB$1851,0)),"")</f>
        <v>Dr. Öğr. Üyesi Salih Eren MERAL</v>
      </c>
      <c r="R147" s="171">
        <f>IF(Q147="","",COUNTIFS(Başvuru!$C:$C,Q147,Başvuru!$A:$A,"&lt;&gt;"&amp;"",Başvuru!$F:$F,"&lt;&gt;"&amp;""))</f>
        <v>1</v>
      </c>
      <c r="S147" s="171">
        <f>IF(R147="","",RANK(R147,$R$6:$R$505,0)+COUNTIF($R$6:R147,R147)-1)</f>
        <v>212</v>
      </c>
    </row>
    <row r="148" spans="2:19" ht="23.25" customHeight="1" x14ac:dyDescent="0.25">
      <c r="B148" s="159">
        <v>143</v>
      </c>
      <c r="C148" s="160" t="str">
        <f>IFERROR(INDEX($Q$6:$Q$505,MATCH(143,$S$6:$S$505,0)),"")</f>
        <v>Prof. Dr. Okan Bülent YILDIZ</v>
      </c>
      <c r="D148" s="161">
        <f>IF(C148="","",COUNTIFS(Başvuru!$C:$C,C148,Başvuru!$A:$A,"&lt;&gt;"&amp;"",Başvuru!$F:$F,"&lt;&gt;"&amp;""))</f>
        <v>2</v>
      </c>
      <c r="E148" s="159" t="str">
        <f>IF(C148="","-",IF(D148&gt;0,TEXT(D148/(COUNTIFS(Başvuru!$A:$A,"&lt;&gt;",Başvuru!$F:$F,"&lt;&gt;")-1)*100,"0.0")&amp;"%","-"))</f>
        <v>00%</v>
      </c>
      <c r="F148" s="162">
        <f>IF(C148="","",COUNTIFS(Başvuru!$C:$C,C148,Başvuru!$G:$G,"Bireysel Araştırma",Başvuru!$A:$A,"&lt;&gt;"&amp;"",Başvuru!$F:$F,"&lt;&gt;"&amp;""))</f>
        <v>2</v>
      </c>
      <c r="G148" s="162">
        <f>IF(C148="","",COUNTIFS(Başvuru!$C:$C,C148,Başvuru!$G:$G,"Uzmanlık Tezi",Başvuru!$A:$A,"&lt;&gt;"&amp;"",Başvuru!$F:$F,"&lt;&gt;"&amp;""))</f>
        <v>0</v>
      </c>
      <c r="H148" s="162">
        <f>IF(C148="","",COUNTIFS(Başvuru!$C:$C,C148,Başvuru!$G:$G,"Doktora Tezi",Başvuru!$A:$A,"&lt;&gt;"&amp;"",Başvuru!$F:$F,"&lt;&gt;"&amp;""))</f>
        <v>0</v>
      </c>
      <c r="I148" s="162">
        <f>IF(C148="","",COUNTIFS(Başvuru!$C:$C,C148,Başvuru!$G:$G,"Yüksek Lisans Tezi",Başvuru!$A:$A,"&lt;&gt;"&amp;"",Başvuru!$F:$F,"&lt;&gt;"&amp;""))</f>
        <v>0</v>
      </c>
      <c r="J148" s="163">
        <f>IF(C148="","",COUNTIFS(Başvuru!$C:$C,C148,Başvuru!$L:$L,"ONAY",Başvuru!$A:$A,"&lt;&gt;"&amp;"",Başvuru!$F:$F,"&lt;&gt;"&amp;""))</f>
        <v>0</v>
      </c>
      <c r="K148" s="164">
        <f>IF(C148="","",COUNTIFS(Başvuru!$C:$C,C148,Başvuru!$L:$L,"DÜZELTME",Başvuru!$A:$A,"&lt;&gt;"&amp;"",Başvuru!$F:$F,"&lt;&gt;"&amp;""))</f>
        <v>2</v>
      </c>
      <c r="L148" s="165">
        <f>IF(C148="","",COUNTIFS(Başvuru!$C:$C,C148,Başvuru!$L:$L,"KAEK",Başvuru!$A:$A,"&lt;&gt;"&amp;"",Başvuru!$F:$F,"&lt;&gt;"&amp;""))</f>
        <v>0</v>
      </c>
      <c r="M148" s="166">
        <f>IF(C148="","",COUNTIFS(Başvuru!$C:$C,C148,Başvuru!$L:$L,"GÖRÜŞ",Başvuru!$A:$A,"&lt;&gt;"&amp;"",Başvuru!$F:$F,"&lt;&gt;"&amp;""))</f>
        <v>0</v>
      </c>
      <c r="N148" s="167">
        <f>IF(C148="","",COUNTIFS(Başvuru!$C:$C,C148,Başvuru!$L:$L,"RET",Başvuru!$A:$A,"&lt;&gt;"&amp;"",Başvuru!$F:$F,"&lt;&gt;"&amp;""))</f>
        <v>0</v>
      </c>
      <c r="O148" s="168">
        <f>IF(C148="","",COUNTIFS(Başvuru!$C:$C,C148,Başvuru!$L:$L,"KAPSAM DIŞI",Başvuru!$A:$A,"&lt;&gt;"&amp;"",Başvuru!$F:$F,"&lt;&gt;"&amp;""))</f>
        <v>0</v>
      </c>
      <c r="P148" s="169">
        <f>IF(C148="","",COUNTIFS(Başvuru!$C:$C,C148,Başvuru!$L:$L,"GERİ ÇEKİLDİ",Başvuru!$A:$A,"&lt;&gt;"&amp;"",Başvuru!$F:$F,"&lt;&gt;"&amp;""))</f>
        <v>0</v>
      </c>
      <c r="Q148" s="170" t="str">
        <f>IFERROR(INDEX(Başvuru!$C$2:$C$1851,MATCH(143,Başvuru!$AB$2:$AB$1851,0)),"")</f>
        <v>Prof. Dr. Murat TUNCEL</v>
      </c>
      <c r="R148" s="171">
        <f>IF(Q148="","",COUNTIFS(Başvuru!$C:$C,Q148,Başvuru!$A:$A,"&lt;&gt;"&amp;"",Başvuru!$F:$F,"&lt;&gt;"&amp;""))</f>
        <v>4</v>
      </c>
      <c r="S148" s="171">
        <f>IF(R148="","",RANK(R148,$R$6:$R$505,0)+COUNTIF($R$6:R148,R148)-1)</f>
        <v>47</v>
      </c>
    </row>
    <row r="149" spans="2:19" ht="23.25" customHeight="1" x14ac:dyDescent="0.25">
      <c r="B149" s="159">
        <v>144</v>
      </c>
      <c r="C149" s="160" t="str">
        <f>IFERROR(INDEX($Q$6:$Q$505,MATCH(144,$S$6:$S$505,0)),"")</f>
        <v>Prof. Dr. Saniye EKİNCİ</v>
      </c>
      <c r="D149" s="161">
        <f>IF(C149="","",COUNTIFS(Başvuru!$C:$C,C149,Başvuru!$A:$A,"&lt;&gt;"&amp;"",Başvuru!$F:$F,"&lt;&gt;"&amp;""))</f>
        <v>2</v>
      </c>
      <c r="E149" s="159" t="str">
        <f>IF(C149="","-",IF(D149&gt;0,TEXT(D149/(COUNTIFS(Başvuru!$A:$A,"&lt;&gt;",Başvuru!$F:$F,"&lt;&gt;")-1)*100,"0.0")&amp;"%","-"))</f>
        <v>00%</v>
      </c>
      <c r="F149" s="162">
        <f>IF(C149="","",COUNTIFS(Başvuru!$C:$C,C149,Başvuru!$G:$G,"Bireysel Araştırma",Başvuru!$A:$A,"&lt;&gt;"&amp;"",Başvuru!$F:$F,"&lt;&gt;"&amp;""))</f>
        <v>2</v>
      </c>
      <c r="G149" s="162">
        <f>IF(C149="","",COUNTIFS(Başvuru!$C:$C,C149,Başvuru!$G:$G,"Uzmanlık Tezi",Başvuru!$A:$A,"&lt;&gt;"&amp;"",Başvuru!$F:$F,"&lt;&gt;"&amp;""))</f>
        <v>0</v>
      </c>
      <c r="H149" s="162">
        <f>IF(C149="","",COUNTIFS(Başvuru!$C:$C,C149,Başvuru!$G:$G,"Doktora Tezi",Başvuru!$A:$A,"&lt;&gt;"&amp;"",Başvuru!$F:$F,"&lt;&gt;"&amp;""))</f>
        <v>0</v>
      </c>
      <c r="I149" s="162">
        <f>IF(C149="","",COUNTIFS(Başvuru!$C:$C,C149,Başvuru!$G:$G,"Yüksek Lisans Tezi",Başvuru!$A:$A,"&lt;&gt;"&amp;"",Başvuru!$F:$F,"&lt;&gt;"&amp;""))</f>
        <v>0</v>
      </c>
      <c r="J149" s="163">
        <f>IF(C149="","",COUNTIFS(Başvuru!$C:$C,C149,Başvuru!$L:$L,"ONAY",Başvuru!$A:$A,"&lt;&gt;"&amp;"",Başvuru!$F:$F,"&lt;&gt;"&amp;""))</f>
        <v>1</v>
      </c>
      <c r="K149" s="164">
        <f>IF(C149="","",COUNTIFS(Başvuru!$C:$C,C149,Başvuru!$L:$L,"DÜZELTME",Başvuru!$A:$A,"&lt;&gt;"&amp;"",Başvuru!$F:$F,"&lt;&gt;"&amp;""))</f>
        <v>1</v>
      </c>
      <c r="L149" s="165">
        <f>IF(C149="","",COUNTIFS(Başvuru!$C:$C,C149,Başvuru!$L:$L,"KAEK",Başvuru!$A:$A,"&lt;&gt;"&amp;"",Başvuru!$F:$F,"&lt;&gt;"&amp;""))</f>
        <v>0</v>
      </c>
      <c r="M149" s="166">
        <f>IF(C149="","",COUNTIFS(Başvuru!$C:$C,C149,Başvuru!$L:$L,"GÖRÜŞ",Başvuru!$A:$A,"&lt;&gt;"&amp;"",Başvuru!$F:$F,"&lt;&gt;"&amp;""))</f>
        <v>0</v>
      </c>
      <c r="N149" s="167">
        <f>IF(C149="","",COUNTIFS(Başvuru!$C:$C,C149,Başvuru!$L:$L,"RET",Başvuru!$A:$A,"&lt;&gt;"&amp;"",Başvuru!$F:$F,"&lt;&gt;"&amp;""))</f>
        <v>0</v>
      </c>
      <c r="O149" s="168">
        <f>IF(C149="","",COUNTIFS(Başvuru!$C:$C,C149,Başvuru!$L:$L,"KAPSAM DIŞI",Başvuru!$A:$A,"&lt;&gt;"&amp;"",Başvuru!$F:$F,"&lt;&gt;"&amp;""))</f>
        <v>0</v>
      </c>
      <c r="P149" s="169">
        <f>IF(C149="","",COUNTIFS(Başvuru!$C:$C,C149,Başvuru!$L:$L,"GERİ ÇEKİLDİ",Başvuru!$A:$A,"&lt;&gt;"&amp;"",Başvuru!$F:$F,"&lt;&gt;"&amp;""))</f>
        <v>0</v>
      </c>
      <c r="Q149" s="170" t="str">
        <f>IFERROR(INDEX(Başvuru!$C$2:$C$1851,MATCH(144,Başvuru!$AB$2:$AB$1851,0)),"")</f>
        <v>Prof. Dr. Özgür UĞURLUOĞLU</v>
      </c>
      <c r="R149" s="171">
        <f>IF(Q149="","",COUNTIFS(Başvuru!$C:$C,Q149,Başvuru!$A:$A,"&lt;&gt;"&amp;"",Başvuru!$F:$F,"&lt;&gt;"&amp;""))</f>
        <v>3</v>
      </c>
      <c r="S149" s="171">
        <f>IF(R149="","",RANK(R149,$R$6:$R$505,0)+COUNTIF($R$6:R149,R149)-1)</f>
        <v>70</v>
      </c>
    </row>
    <row r="150" spans="2:19" ht="23.25" customHeight="1" x14ac:dyDescent="0.25">
      <c r="B150" s="159">
        <v>145</v>
      </c>
      <c r="C150" s="160" t="str">
        <f>IFERROR(INDEX($Q$6:$Q$505,MATCH(145,$S$6:$S$505,0)),"")</f>
        <v>Prof. Dr. Levent SENNAROĞLU</v>
      </c>
      <c r="D150" s="161">
        <f>IF(C150="","",COUNTIFS(Başvuru!$C:$C,C150,Başvuru!$A:$A,"&lt;&gt;"&amp;"",Başvuru!$F:$F,"&lt;&gt;"&amp;""))</f>
        <v>2</v>
      </c>
      <c r="E150" s="159" t="str">
        <f>IF(C150="","-",IF(D150&gt;0,TEXT(D150/(COUNTIFS(Başvuru!$A:$A,"&lt;&gt;",Başvuru!$F:$F,"&lt;&gt;")-1)*100,"0.0")&amp;"%","-"))</f>
        <v>00%</v>
      </c>
      <c r="F150" s="162">
        <f>IF(C150="","",COUNTIFS(Başvuru!$C:$C,C150,Başvuru!$G:$G,"Bireysel Araştırma",Başvuru!$A:$A,"&lt;&gt;"&amp;"",Başvuru!$F:$F,"&lt;&gt;"&amp;""))</f>
        <v>2</v>
      </c>
      <c r="G150" s="162">
        <f>IF(C150="","",COUNTIFS(Başvuru!$C:$C,C150,Başvuru!$G:$G,"Uzmanlık Tezi",Başvuru!$A:$A,"&lt;&gt;"&amp;"",Başvuru!$F:$F,"&lt;&gt;"&amp;""))</f>
        <v>0</v>
      </c>
      <c r="H150" s="162">
        <f>IF(C150="","",COUNTIFS(Başvuru!$C:$C,C150,Başvuru!$G:$G,"Doktora Tezi",Başvuru!$A:$A,"&lt;&gt;"&amp;"",Başvuru!$F:$F,"&lt;&gt;"&amp;""))</f>
        <v>0</v>
      </c>
      <c r="I150" s="162">
        <f>IF(C150="","",COUNTIFS(Başvuru!$C:$C,C150,Başvuru!$G:$G,"Yüksek Lisans Tezi",Başvuru!$A:$A,"&lt;&gt;"&amp;"",Başvuru!$F:$F,"&lt;&gt;"&amp;""))</f>
        <v>0</v>
      </c>
      <c r="J150" s="163">
        <f>IF(C150="","",COUNTIFS(Başvuru!$C:$C,C150,Başvuru!$L:$L,"ONAY",Başvuru!$A:$A,"&lt;&gt;"&amp;"",Başvuru!$F:$F,"&lt;&gt;"&amp;""))</f>
        <v>2</v>
      </c>
      <c r="K150" s="164">
        <f>IF(C150="","",COUNTIFS(Başvuru!$C:$C,C150,Başvuru!$L:$L,"DÜZELTME",Başvuru!$A:$A,"&lt;&gt;"&amp;"",Başvuru!$F:$F,"&lt;&gt;"&amp;""))</f>
        <v>0</v>
      </c>
      <c r="L150" s="165">
        <f>IF(C150="","",COUNTIFS(Başvuru!$C:$C,C150,Başvuru!$L:$L,"KAEK",Başvuru!$A:$A,"&lt;&gt;"&amp;"",Başvuru!$F:$F,"&lt;&gt;"&amp;""))</f>
        <v>0</v>
      </c>
      <c r="M150" s="166">
        <f>IF(C150="","",COUNTIFS(Başvuru!$C:$C,C150,Başvuru!$L:$L,"GÖRÜŞ",Başvuru!$A:$A,"&lt;&gt;"&amp;"",Başvuru!$F:$F,"&lt;&gt;"&amp;""))</f>
        <v>0</v>
      </c>
      <c r="N150" s="167">
        <f>IF(C150="","",COUNTIFS(Başvuru!$C:$C,C150,Başvuru!$L:$L,"RET",Başvuru!$A:$A,"&lt;&gt;"&amp;"",Başvuru!$F:$F,"&lt;&gt;"&amp;""))</f>
        <v>0</v>
      </c>
      <c r="O150" s="168">
        <f>IF(C150="","",COUNTIFS(Başvuru!$C:$C,C150,Başvuru!$L:$L,"KAPSAM DIŞI",Başvuru!$A:$A,"&lt;&gt;"&amp;"",Başvuru!$F:$F,"&lt;&gt;"&amp;""))</f>
        <v>0</v>
      </c>
      <c r="P150" s="169">
        <f>IF(C150="","",COUNTIFS(Başvuru!$C:$C,C150,Başvuru!$L:$L,"GERİ ÇEKİLDİ",Başvuru!$A:$A,"&lt;&gt;"&amp;"",Başvuru!$F:$F,"&lt;&gt;"&amp;""))</f>
        <v>0</v>
      </c>
      <c r="Q150" s="170" t="str">
        <f>IFERROR(INDEX(Başvuru!$C$2:$C$1851,MATCH(145,Başvuru!$AB$2:$AB$1851,0)),"")</f>
        <v>Doç. Dr. Adalet Elçin YILDIZ</v>
      </c>
      <c r="R150" s="171">
        <f>IF(Q150="","",COUNTIFS(Başvuru!$C:$C,Q150,Başvuru!$A:$A,"&lt;&gt;"&amp;"",Başvuru!$F:$F,"&lt;&gt;"&amp;""))</f>
        <v>2</v>
      </c>
      <c r="S150" s="171">
        <f>IF(R150="","",RANK(R150,$R$6:$R$505,0)+COUNTIF($R$6:R150,R150)-1)</f>
        <v>117</v>
      </c>
    </row>
    <row r="151" spans="2:19" ht="23.25" customHeight="1" x14ac:dyDescent="0.25">
      <c r="B151" s="159">
        <v>146</v>
      </c>
      <c r="C151" s="160" t="str">
        <f>IFERROR(INDEX($Q$6:$Q$505,MATCH(146,$S$6:$S$505,0)),"")</f>
        <v>Prof. Dr. Uğur ÜNLÜTÜRK</v>
      </c>
      <c r="D151" s="161">
        <f>IF(C151="","",COUNTIFS(Başvuru!$C:$C,C151,Başvuru!$A:$A,"&lt;&gt;"&amp;"",Başvuru!$F:$F,"&lt;&gt;"&amp;""))</f>
        <v>2</v>
      </c>
      <c r="E151" s="159" t="str">
        <f>IF(C151="","-",IF(D151&gt;0,TEXT(D151/(COUNTIFS(Başvuru!$A:$A,"&lt;&gt;",Başvuru!$F:$F,"&lt;&gt;")-1)*100,"0.0")&amp;"%","-"))</f>
        <v>00%</v>
      </c>
      <c r="F151" s="162">
        <f>IF(C151="","",COUNTIFS(Başvuru!$C:$C,C151,Başvuru!$G:$G,"Bireysel Araştırma",Başvuru!$A:$A,"&lt;&gt;"&amp;"",Başvuru!$F:$F,"&lt;&gt;"&amp;""))</f>
        <v>2</v>
      </c>
      <c r="G151" s="162">
        <f>IF(C151="","",COUNTIFS(Başvuru!$C:$C,C151,Başvuru!$G:$G,"Uzmanlık Tezi",Başvuru!$A:$A,"&lt;&gt;"&amp;"",Başvuru!$F:$F,"&lt;&gt;"&amp;""))</f>
        <v>0</v>
      </c>
      <c r="H151" s="162">
        <f>IF(C151="","",COUNTIFS(Başvuru!$C:$C,C151,Başvuru!$G:$G,"Doktora Tezi",Başvuru!$A:$A,"&lt;&gt;"&amp;"",Başvuru!$F:$F,"&lt;&gt;"&amp;""))</f>
        <v>0</v>
      </c>
      <c r="I151" s="162">
        <f>IF(C151="","",COUNTIFS(Başvuru!$C:$C,C151,Başvuru!$G:$G,"Yüksek Lisans Tezi",Başvuru!$A:$A,"&lt;&gt;"&amp;"",Başvuru!$F:$F,"&lt;&gt;"&amp;""))</f>
        <v>0</v>
      </c>
      <c r="J151" s="163">
        <f>IF(C151="","",COUNTIFS(Başvuru!$C:$C,C151,Başvuru!$L:$L,"ONAY",Başvuru!$A:$A,"&lt;&gt;"&amp;"",Başvuru!$F:$F,"&lt;&gt;"&amp;""))</f>
        <v>1</v>
      </c>
      <c r="K151" s="164">
        <f>IF(C151="","",COUNTIFS(Başvuru!$C:$C,C151,Başvuru!$L:$L,"DÜZELTME",Başvuru!$A:$A,"&lt;&gt;"&amp;"",Başvuru!$F:$F,"&lt;&gt;"&amp;""))</f>
        <v>1</v>
      </c>
      <c r="L151" s="165">
        <f>IF(C151="","",COUNTIFS(Başvuru!$C:$C,C151,Başvuru!$L:$L,"KAEK",Başvuru!$A:$A,"&lt;&gt;"&amp;"",Başvuru!$F:$F,"&lt;&gt;"&amp;""))</f>
        <v>0</v>
      </c>
      <c r="M151" s="166">
        <f>IF(C151="","",COUNTIFS(Başvuru!$C:$C,C151,Başvuru!$L:$L,"GÖRÜŞ",Başvuru!$A:$A,"&lt;&gt;"&amp;"",Başvuru!$F:$F,"&lt;&gt;"&amp;""))</f>
        <v>0</v>
      </c>
      <c r="N151" s="167">
        <f>IF(C151="","",COUNTIFS(Başvuru!$C:$C,C151,Başvuru!$L:$L,"RET",Başvuru!$A:$A,"&lt;&gt;"&amp;"",Başvuru!$F:$F,"&lt;&gt;"&amp;""))</f>
        <v>0</v>
      </c>
      <c r="O151" s="168">
        <f>IF(C151="","",COUNTIFS(Başvuru!$C:$C,C151,Başvuru!$L:$L,"KAPSAM DIŞI",Başvuru!$A:$A,"&lt;&gt;"&amp;"",Başvuru!$F:$F,"&lt;&gt;"&amp;""))</f>
        <v>0</v>
      </c>
      <c r="P151" s="169">
        <f>IF(C151="","",COUNTIFS(Başvuru!$C:$C,C151,Başvuru!$L:$L,"GERİ ÇEKİLDİ",Başvuru!$A:$A,"&lt;&gt;"&amp;"",Başvuru!$F:$F,"&lt;&gt;"&amp;""))</f>
        <v>0</v>
      </c>
      <c r="Q151" s="170" t="str">
        <f>IFERROR(INDEX(Başvuru!$C$2:$C$1851,MATCH(146,Başvuru!$AB$2:$AB$1851,0)),"")</f>
        <v>Doç. Dr. Duygu AYHAN BAŞER</v>
      </c>
      <c r="R151" s="171">
        <f>IF(Q151="","",COUNTIFS(Başvuru!$C:$C,Q151,Başvuru!$A:$A,"&lt;&gt;"&amp;"",Başvuru!$F:$F,"&lt;&gt;"&amp;""))</f>
        <v>5</v>
      </c>
      <c r="S151" s="171">
        <f>IF(R151="","",RANK(R151,$R$6:$R$505,0)+COUNTIF($R$6:R151,R151)-1)</f>
        <v>26</v>
      </c>
    </row>
    <row r="152" spans="2:19" ht="23.25" customHeight="1" x14ac:dyDescent="0.25">
      <c r="B152" s="159">
        <v>147</v>
      </c>
      <c r="C152" s="160" t="str">
        <f>IFERROR(INDEX($Q$6:$Q$505,MATCH(147,$S$6:$S$505,0)),"")</f>
        <v>Doç. Dr. Şahin HANALİOĞLU</v>
      </c>
      <c r="D152" s="161">
        <f>IF(C152="","",COUNTIFS(Başvuru!$C:$C,C152,Başvuru!$A:$A,"&lt;&gt;"&amp;"",Başvuru!$F:$F,"&lt;&gt;"&amp;""))</f>
        <v>2</v>
      </c>
      <c r="E152" s="159" t="str">
        <f>IF(C152="","-",IF(D152&gt;0,TEXT(D152/(COUNTIFS(Başvuru!$A:$A,"&lt;&gt;",Başvuru!$F:$F,"&lt;&gt;")-1)*100,"0.0")&amp;"%","-"))</f>
        <v>00%</v>
      </c>
      <c r="F152" s="162">
        <f>IF(C152="","",COUNTIFS(Başvuru!$C:$C,C152,Başvuru!$G:$G,"Bireysel Araştırma",Başvuru!$A:$A,"&lt;&gt;"&amp;"",Başvuru!$F:$F,"&lt;&gt;"&amp;""))</f>
        <v>1</v>
      </c>
      <c r="G152" s="162">
        <f>IF(C152="","",COUNTIFS(Başvuru!$C:$C,C152,Başvuru!$G:$G,"Uzmanlık Tezi",Başvuru!$A:$A,"&lt;&gt;"&amp;"",Başvuru!$F:$F,"&lt;&gt;"&amp;""))</f>
        <v>1</v>
      </c>
      <c r="H152" s="162">
        <f>IF(C152="","",COUNTIFS(Başvuru!$C:$C,C152,Başvuru!$G:$G,"Doktora Tezi",Başvuru!$A:$A,"&lt;&gt;"&amp;"",Başvuru!$F:$F,"&lt;&gt;"&amp;""))</f>
        <v>0</v>
      </c>
      <c r="I152" s="162">
        <f>IF(C152="","",COUNTIFS(Başvuru!$C:$C,C152,Başvuru!$G:$G,"Yüksek Lisans Tezi",Başvuru!$A:$A,"&lt;&gt;"&amp;"",Başvuru!$F:$F,"&lt;&gt;"&amp;""))</f>
        <v>0</v>
      </c>
      <c r="J152" s="163">
        <f>IF(C152="","",COUNTIFS(Başvuru!$C:$C,C152,Başvuru!$L:$L,"ONAY",Başvuru!$A:$A,"&lt;&gt;"&amp;"",Başvuru!$F:$F,"&lt;&gt;"&amp;""))</f>
        <v>1</v>
      </c>
      <c r="K152" s="164">
        <f>IF(C152="","",COUNTIFS(Başvuru!$C:$C,C152,Başvuru!$L:$L,"DÜZELTME",Başvuru!$A:$A,"&lt;&gt;"&amp;"",Başvuru!$F:$F,"&lt;&gt;"&amp;""))</f>
        <v>1</v>
      </c>
      <c r="L152" s="165">
        <f>IF(C152="","",COUNTIFS(Başvuru!$C:$C,C152,Başvuru!$L:$L,"KAEK",Başvuru!$A:$A,"&lt;&gt;"&amp;"",Başvuru!$F:$F,"&lt;&gt;"&amp;""))</f>
        <v>0</v>
      </c>
      <c r="M152" s="166">
        <f>IF(C152="","",COUNTIFS(Başvuru!$C:$C,C152,Başvuru!$L:$L,"GÖRÜŞ",Başvuru!$A:$A,"&lt;&gt;"&amp;"",Başvuru!$F:$F,"&lt;&gt;"&amp;""))</f>
        <v>0</v>
      </c>
      <c r="N152" s="167">
        <f>IF(C152="","",COUNTIFS(Başvuru!$C:$C,C152,Başvuru!$L:$L,"RET",Başvuru!$A:$A,"&lt;&gt;"&amp;"",Başvuru!$F:$F,"&lt;&gt;"&amp;""))</f>
        <v>0</v>
      </c>
      <c r="O152" s="168">
        <f>IF(C152="","",COUNTIFS(Başvuru!$C:$C,C152,Başvuru!$L:$L,"KAPSAM DIŞI",Başvuru!$A:$A,"&lt;&gt;"&amp;"",Başvuru!$F:$F,"&lt;&gt;"&amp;""))</f>
        <v>0</v>
      </c>
      <c r="P152" s="169">
        <f>IF(C152="","",COUNTIFS(Başvuru!$C:$C,C152,Başvuru!$L:$L,"GERİ ÇEKİLDİ",Başvuru!$A:$A,"&lt;&gt;"&amp;"",Başvuru!$F:$F,"&lt;&gt;"&amp;""))</f>
        <v>0</v>
      </c>
      <c r="Q152" s="170" t="str">
        <f>IFERROR(INDEX(Başvuru!$C$2:$C$1851,MATCH(147,Başvuru!$AB$2:$AB$1851,0)),"")</f>
        <v>Doç. Dr. İdil Rana USER KILIÇ</v>
      </c>
      <c r="R152" s="171">
        <f>IF(Q152="","",COUNTIFS(Başvuru!$C:$C,Q152,Başvuru!$A:$A,"&lt;&gt;"&amp;"",Başvuru!$F:$F,"&lt;&gt;"&amp;""))</f>
        <v>2</v>
      </c>
      <c r="S152" s="171">
        <f>IF(R152="","",RANK(R152,$R$6:$R$505,0)+COUNTIF($R$6:R152,R152)-1)</f>
        <v>118</v>
      </c>
    </row>
    <row r="153" spans="2:19" ht="23.25" customHeight="1" x14ac:dyDescent="0.25">
      <c r="B153" s="159">
        <v>148</v>
      </c>
      <c r="C153" s="160" t="str">
        <f>IFERROR(INDEX($Q$6:$Q$505,MATCH(148,$S$6:$S$505,0)),"")</f>
        <v>Arş. Gör. Dr. Eymen YILMAZ</v>
      </c>
      <c r="D153" s="161">
        <f>IF(C153="","",COUNTIFS(Başvuru!$C:$C,C153,Başvuru!$A:$A,"&lt;&gt;"&amp;"",Başvuru!$F:$F,"&lt;&gt;"&amp;""))</f>
        <v>2</v>
      </c>
      <c r="E153" s="159" t="str">
        <f>IF(C153="","-",IF(D153&gt;0,TEXT(D153/(COUNTIFS(Başvuru!$A:$A,"&lt;&gt;",Başvuru!$F:$F,"&lt;&gt;")-1)*100,"0.0")&amp;"%","-"))</f>
        <v>00%</v>
      </c>
      <c r="F153" s="162">
        <f>IF(C153="","",COUNTIFS(Başvuru!$C:$C,C153,Başvuru!$G:$G,"Bireysel Araştırma",Başvuru!$A:$A,"&lt;&gt;"&amp;"",Başvuru!$F:$F,"&lt;&gt;"&amp;""))</f>
        <v>2</v>
      </c>
      <c r="G153" s="162">
        <f>IF(C153="","",COUNTIFS(Başvuru!$C:$C,C153,Başvuru!$G:$G,"Uzmanlık Tezi",Başvuru!$A:$A,"&lt;&gt;"&amp;"",Başvuru!$F:$F,"&lt;&gt;"&amp;""))</f>
        <v>0</v>
      </c>
      <c r="H153" s="162">
        <f>IF(C153="","",COUNTIFS(Başvuru!$C:$C,C153,Başvuru!$G:$G,"Doktora Tezi",Başvuru!$A:$A,"&lt;&gt;"&amp;"",Başvuru!$F:$F,"&lt;&gt;"&amp;""))</f>
        <v>0</v>
      </c>
      <c r="I153" s="162">
        <f>IF(C153="","",COUNTIFS(Başvuru!$C:$C,C153,Başvuru!$G:$G,"Yüksek Lisans Tezi",Başvuru!$A:$A,"&lt;&gt;"&amp;"",Başvuru!$F:$F,"&lt;&gt;"&amp;""))</f>
        <v>0</v>
      </c>
      <c r="J153" s="163">
        <f>IF(C153="","",COUNTIFS(Başvuru!$C:$C,C153,Başvuru!$L:$L,"ONAY",Başvuru!$A:$A,"&lt;&gt;"&amp;"",Başvuru!$F:$F,"&lt;&gt;"&amp;""))</f>
        <v>2</v>
      </c>
      <c r="K153" s="164">
        <f>IF(C153="","",COUNTIFS(Başvuru!$C:$C,C153,Başvuru!$L:$L,"DÜZELTME",Başvuru!$A:$A,"&lt;&gt;"&amp;"",Başvuru!$F:$F,"&lt;&gt;"&amp;""))</f>
        <v>0</v>
      </c>
      <c r="L153" s="165">
        <f>IF(C153="","",COUNTIFS(Başvuru!$C:$C,C153,Başvuru!$L:$L,"KAEK",Başvuru!$A:$A,"&lt;&gt;"&amp;"",Başvuru!$F:$F,"&lt;&gt;"&amp;""))</f>
        <v>0</v>
      </c>
      <c r="M153" s="166">
        <f>IF(C153="","",COUNTIFS(Başvuru!$C:$C,C153,Başvuru!$L:$L,"GÖRÜŞ",Başvuru!$A:$A,"&lt;&gt;"&amp;"",Başvuru!$F:$F,"&lt;&gt;"&amp;""))</f>
        <v>0</v>
      </c>
      <c r="N153" s="167">
        <f>IF(C153="","",COUNTIFS(Başvuru!$C:$C,C153,Başvuru!$L:$L,"RET",Başvuru!$A:$A,"&lt;&gt;"&amp;"",Başvuru!$F:$F,"&lt;&gt;"&amp;""))</f>
        <v>0</v>
      </c>
      <c r="O153" s="168">
        <f>IF(C153="","",COUNTIFS(Başvuru!$C:$C,C153,Başvuru!$L:$L,"KAPSAM DIŞI",Başvuru!$A:$A,"&lt;&gt;"&amp;"",Başvuru!$F:$F,"&lt;&gt;"&amp;""))</f>
        <v>0</v>
      </c>
      <c r="P153" s="169">
        <f>IF(C153="","",COUNTIFS(Başvuru!$C:$C,C153,Başvuru!$L:$L,"GERİ ÇEKİLDİ",Başvuru!$A:$A,"&lt;&gt;"&amp;"",Başvuru!$F:$F,"&lt;&gt;"&amp;""))</f>
        <v>0</v>
      </c>
      <c r="Q153" s="170" t="str">
        <f>IFERROR(INDEX(Başvuru!$C$2:$C$1851,MATCH(148,Başvuru!$AB$2:$AB$1851,0)),"")</f>
        <v>Doç. Dr. Bengisu AKARSU GÜVEN</v>
      </c>
      <c r="R153" s="171">
        <f>IF(Q153="","",COUNTIFS(Başvuru!$C:$C,Q153,Başvuru!$A:$A,"&lt;&gt;"&amp;"",Başvuru!$F:$F,"&lt;&gt;"&amp;""))</f>
        <v>1</v>
      </c>
      <c r="S153" s="171">
        <f>IF(R153="","",RANK(R153,$R$6:$R$505,0)+COUNTIF($R$6:R153,R153)-1)</f>
        <v>213</v>
      </c>
    </row>
    <row r="154" spans="2:19" ht="23.25" customHeight="1" x14ac:dyDescent="0.25">
      <c r="B154" s="159">
        <v>149</v>
      </c>
      <c r="C154" s="160" t="str">
        <f>IFERROR(INDEX($Q$6:$Q$505,MATCH(149,$S$6:$S$505,0)),"")</f>
        <v>Prof. Dr. Ahmet SERPER</v>
      </c>
      <c r="D154" s="161">
        <f>IF(C154="","",COUNTIFS(Başvuru!$C:$C,C154,Başvuru!$A:$A,"&lt;&gt;"&amp;"",Başvuru!$F:$F,"&lt;&gt;"&amp;""))</f>
        <v>2</v>
      </c>
      <c r="E154" s="159" t="str">
        <f>IF(C154="","-",IF(D154&gt;0,TEXT(D154/(COUNTIFS(Başvuru!$A:$A,"&lt;&gt;",Başvuru!$F:$F,"&lt;&gt;")-1)*100,"0.0")&amp;"%","-"))</f>
        <v>00%</v>
      </c>
      <c r="F154" s="162">
        <f>IF(C154="","",COUNTIFS(Başvuru!$C:$C,C154,Başvuru!$G:$G,"Bireysel Araştırma",Başvuru!$A:$A,"&lt;&gt;"&amp;"",Başvuru!$F:$F,"&lt;&gt;"&amp;""))</f>
        <v>0</v>
      </c>
      <c r="G154" s="162">
        <f>IF(C154="","",COUNTIFS(Başvuru!$C:$C,C154,Başvuru!$G:$G,"Uzmanlık Tezi",Başvuru!$A:$A,"&lt;&gt;"&amp;"",Başvuru!$F:$F,"&lt;&gt;"&amp;""))</f>
        <v>2</v>
      </c>
      <c r="H154" s="162">
        <f>IF(C154="","",COUNTIFS(Başvuru!$C:$C,C154,Başvuru!$G:$G,"Doktora Tezi",Başvuru!$A:$A,"&lt;&gt;"&amp;"",Başvuru!$F:$F,"&lt;&gt;"&amp;""))</f>
        <v>0</v>
      </c>
      <c r="I154" s="162">
        <f>IF(C154="","",COUNTIFS(Başvuru!$C:$C,C154,Başvuru!$G:$G,"Yüksek Lisans Tezi",Başvuru!$A:$A,"&lt;&gt;"&amp;"",Başvuru!$F:$F,"&lt;&gt;"&amp;""))</f>
        <v>0</v>
      </c>
      <c r="J154" s="163">
        <f>IF(C154="","",COUNTIFS(Başvuru!$C:$C,C154,Başvuru!$L:$L,"ONAY",Başvuru!$A:$A,"&lt;&gt;"&amp;"",Başvuru!$F:$F,"&lt;&gt;"&amp;""))</f>
        <v>0</v>
      </c>
      <c r="K154" s="164">
        <f>IF(C154="","",COUNTIFS(Başvuru!$C:$C,C154,Başvuru!$L:$L,"DÜZELTME",Başvuru!$A:$A,"&lt;&gt;"&amp;"",Başvuru!$F:$F,"&lt;&gt;"&amp;""))</f>
        <v>0</v>
      </c>
      <c r="L154" s="165">
        <f>IF(C154="","",COUNTIFS(Başvuru!$C:$C,C154,Başvuru!$L:$L,"KAEK",Başvuru!$A:$A,"&lt;&gt;"&amp;"",Başvuru!$F:$F,"&lt;&gt;"&amp;""))</f>
        <v>0</v>
      </c>
      <c r="M154" s="166">
        <f>IF(C154="","",COUNTIFS(Başvuru!$C:$C,C154,Başvuru!$L:$L,"GÖRÜŞ",Başvuru!$A:$A,"&lt;&gt;"&amp;"",Başvuru!$F:$F,"&lt;&gt;"&amp;""))</f>
        <v>0</v>
      </c>
      <c r="N154" s="167">
        <f>IF(C154="","",COUNTIFS(Başvuru!$C:$C,C154,Başvuru!$L:$L,"RET",Başvuru!$A:$A,"&lt;&gt;"&amp;"",Başvuru!$F:$F,"&lt;&gt;"&amp;""))</f>
        <v>1</v>
      </c>
      <c r="O154" s="168">
        <f>IF(C154="","",COUNTIFS(Başvuru!$C:$C,C154,Başvuru!$L:$L,"KAPSAM DIŞI",Başvuru!$A:$A,"&lt;&gt;"&amp;"",Başvuru!$F:$F,"&lt;&gt;"&amp;""))</f>
        <v>1</v>
      </c>
      <c r="P154" s="169">
        <f>IF(C154="","",COUNTIFS(Başvuru!$C:$C,C154,Başvuru!$L:$L,"GERİ ÇEKİLDİ",Başvuru!$A:$A,"&lt;&gt;"&amp;"",Başvuru!$F:$F,"&lt;&gt;"&amp;""))</f>
        <v>0</v>
      </c>
      <c r="Q154" s="170" t="str">
        <f>IFERROR(INDEX(Başvuru!$C$2:$C$1851,MATCH(149,Başvuru!$AB$2:$AB$1851,0)),"")</f>
        <v>Prof. Dr. Ali DURSUN</v>
      </c>
      <c r="R154" s="171">
        <f>IF(Q154="","",COUNTIFS(Başvuru!$C:$C,Q154,Başvuru!$A:$A,"&lt;&gt;"&amp;"",Başvuru!$F:$F,"&lt;&gt;"&amp;""))</f>
        <v>1</v>
      </c>
      <c r="S154" s="171">
        <f>IF(R154="","",RANK(R154,$R$6:$R$505,0)+COUNTIF($R$6:R154,R154)-1)</f>
        <v>214</v>
      </c>
    </row>
    <row r="155" spans="2:19" ht="23.25" customHeight="1" x14ac:dyDescent="0.25">
      <c r="B155" s="159">
        <v>150</v>
      </c>
      <c r="C155" s="160" t="str">
        <f>IFERROR(INDEX($Q$6:$Q$505,MATCH(150,$S$6:$S$505,0)),"")</f>
        <v>Doç. Dr. Fatima AERTS KAYA</v>
      </c>
      <c r="D155" s="161">
        <f>IF(C155="","",COUNTIFS(Başvuru!$C:$C,C155,Başvuru!$A:$A,"&lt;&gt;"&amp;"",Başvuru!$F:$F,"&lt;&gt;"&amp;""))</f>
        <v>2</v>
      </c>
      <c r="E155" s="159" t="str">
        <f>IF(C155="","-",IF(D155&gt;0,TEXT(D155/(COUNTIFS(Başvuru!$A:$A,"&lt;&gt;",Başvuru!$F:$F,"&lt;&gt;")-1)*100,"0.0")&amp;"%","-"))</f>
        <v>00%</v>
      </c>
      <c r="F155" s="162">
        <f>IF(C155="","",COUNTIFS(Başvuru!$C:$C,C155,Başvuru!$G:$G,"Bireysel Araştırma",Başvuru!$A:$A,"&lt;&gt;"&amp;"",Başvuru!$F:$F,"&lt;&gt;"&amp;""))</f>
        <v>0</v>
      </c>
      <c r="G155" s="162">
        <f>IF(C155="","",COUNTIFS(Başvuru!$C:$C,C155,Başvuru!$G:$G,"Uzmanlık Tezi",Başvuru!$A:$A,"&lt;&gt;"&amp;"",Başvuru!$F:$F,"&lt;&gt;"&amp;""))</f>
        <v>0</v>
      </c>
      <c r="H155" s="162">
        <f>IF(C155="","",COUNTIFS(Başvuru!$C:$C,C155,Başvuru!$G:$G,"Doktora Tezi",Başvuru!$A:$A,"&lt;&gt;"&amp;"",Başvuru!$F:$F,"&lt;&gt;"&amp;""))</f>
        <v>0</v>
      </c>
      <c r="I155" s="162">
        <f>IF(C155="","",COUNTIFS(Başvuru!$C:$C,C155,Başvuru!$G:$G,"Yüksek Lisans Tezi",Başvuru!$A:$A,"&lt;&gt;"&amp;"",Başvuru!$F:$F,"&lt;&gt;"&amp;""))</f>
        <v>2</v>
      </c>
      <c r="J155" s="163">
        <f>IF(C155="","",COUNTIFS(Başvuru!$C:$C,C155,Başvuru!$L:$L,"ONAY",Başvuru!$A:$A,"&lt;&gt;"&amp;"",Başvuru!$F:$F,"&lt;&gt;"&amp;""))</f>
        <v>2</v>
      </c>
      <c r="K155" s="164">
        <f>IF(C155="","",COUNTIFS(Başvuru!$C:$C,C155,Başvuru!$L:$L,"DÜZELTME",Başvuru!$A:$A,"&lt;&gt;"&amp;"",Başvuru!$F:$F,"&lt;&gt;"&amp;""))</f>
        <v>0</v>
      </c>
      <c r="L155" s="165">
        <f>IF(C155="","",COUNTIFS(Başvuru!$C:$C,C155,Başvuru!$L:$L,"KAEK",Başvuru!$A:$A,"&lt;&gt;"&amp;"",Başvuru!$F:$F,"&lt;&gt;"&amp;""))</f>
        <v>0</v>
      </c>
      <c r="M155" s="166">
        <f>IF(C155="","",COUNTIFS(Başvuru!$C:$C,C155,Başvuru!$L:$L,"GÖRÜŞ",Başvuru!$A:$A,"&lt;&gt;"&amp;"",Başvuru!$F:$F,"&lt;&gt;"&amp;""))</f>
        <v>0</v>
      </c>
      <c r="N155" s="167">
        <f>IF(C155="","",COUNTIFS(Başvuru!$C:$C,C155,Başvuru!$L:$L,"RET",Başvuru!$A:$A,"&lt;&gt;"&amp;"",Başvuru!$F:$F,"&lt;&gt;"&amp;""))</f>
        <v>0</v>
      </c>
      <c r="O155" s="168">
        <f>IF(C155="","",COUNTIFS(Başvuru!$C:$C,C155,Başvuru!$L:$L,"KAPSAM DIŞI",Başvuru!$A:$A,"&lt;&gt;"&amp;"",Başvuru!$F:$F,"&lt;&gt;"&amp;""))</f>
        <v>0</v>
      </c>
      <c r="P155" s="169">
        <f>IF(C155="","",COUNTIFS(Başvuru!$C:$C,C155,Başvuru!$L:$L,"GERİ ÇEKİLDİ",Başvuru!$A:$A,"&lt;&gt;"&amp;"",Başvuru!$F:$F,"&lt;&gt;"&amp;""))</f>
        <v>0</v>
      </c>
      <c r="Q155" s="170" t="str">
        <f>IFERROR(INDEX(Başvuru!$C$2:$C$1851,MATCH(150,Başvuru!$AB$2:$AB$1851,0)),"")</f>
        <v>Prof. Dr. Mert ÇALIŞ</v>
      </c>
      <c r="R155" s="171">
        <f>IF(Q155="","",COUNTIFS(Başvuru!$C:$C,Q155,Başvuru!$A:$A,"&lt;&gt;"&amp;"",Başvuru!$F:$F,"&lt;&gt;"&amp;""))</f>
        <v>2</v>
      </c>
      <c r="S155" s="171">
        <f>IF(R155="","",RANK(R155,$R$6:$R$505,0)+COUNTIF($R$6:R155,R155)-1)</f>
        <v>119</v>
      </c>
    </row>
    <row r="156" spans="2:19" ht="23.25" customHeight="1" x14ac:dyDescent="0.25">
      <c r="B156" s="159">
        <v>151</v>
      </c>
      <c r="C156" s="160" t="str">
        <f>IFERROR(INDEX($Q$6:$Q$505,MATCH(151,$S$6:$S$505,0)),"")</f>
        <v>Arş. Gör. Dr. Kadir İNTAŞ</v>
      </c>
      <c r="D156" s="161">
        <f>IF(C156="","",COUNTIFS(Başvuru!$C:$C,C156,Başvuru!$A:$A,"&lt;&gt;"&amp;"",Başvuru!$F:$F,"&lt;&gt;"&amp;""))</f>
        <v>2</v>
      </c>
      <c r="E156" s="159" t="str">
        <f>IF(C156="","-",IF(D156&gt;0,TEXT(D156/(COUNTIFS(Başvuru!$A:$A,"&lt;&gt;",Başvuru!$F:$F,"&lt;&gt;")-1)*100,"0.0")&amp;"%","-"))</f>
        <v>00%</v>
      </c>
      <c r="F156" s="162">
        <f>IF(C156="","",COUNTIFS(Başvuru!$C:$C,C156,Başvuru!$G:$G,"Bireysel Araştırma",Başvuru!$A:$A,"&lt;&gt;"&amp;"",Başvuru!$F:$F,"&lt;&gt;"&amp;""))</f>
        <v>2</v>
      </c>
      <c r="G156" s="162">
        <f>IF(C156="","",COUNTIFS(Başvuru!$C:$C,C156,Başvuru!$G:$G,"Uzmanlık Tezi",Başvuru!$A:$A,"&lt;&gt;"&amp;"",Başvuru!$F:$F,"&lt;&gt;"&amp;""))</f>
        <v>0</v>
      </c>
      <c r="H156" s="162">
        <f>IF(C156="","",COUNTIFS(Başvuru!$C:$C,C156,Başvuru!$G:$G,"Doktora Tezi",Başvuru!$A:$A,"&lt;&gt;"&amp;"",Başvuru!$F:$F,"&lt;&gt;"&amp;""))</f>
        <v>0</v>
      </c>
      <c r="I156" s="162">
        <f>IF(C156="","",COUNTIFS(Başvuru!$C:$C,C156,Başvuru!$G:$G,"Yüksek Lisans Tezi",Başvuru!$A:$A,"&lt;&gt;"&amp;"",Başvuru!$F:$F,"&lt;&gt;"&amp;""))</f>
        <v>0</v>
      </c>
      <c r="J156" s="163">
        <f>IF(C156="","",COUNTIFS(Başvuru!$C:$C,C156,Başvuru!$L:$L,"ONAY",Başvuru!$A:$A,"&lt;&gt;"&amp;"",Başvuru!$F:$F,"&lt;&gt;"&amp;""))</f>
        <v>2</v>
      </c>
      <c r="K156" s="164">
        <f>IF(C156="","",COUNTIFS(Başvuru!$C:$C,C156,Başvuru!$L:$L,"DÜZELTME",Başvuru!$A:$A,"&lt;&gt;"&amp;"",Başvuru!$F:$F,"&lt;&gt;"&amp;""))</f>
        <v>0</v>
      </c>
      <c r="L156" s="165">
        <f>IF(C156="","",COUNTIFS(Başvuru!$C:$C,C156,Başvuru!$L:$L,"KAEK",Başvuru!$A:$A,"&lt;&gt;"&amp;"",Başvuru!$F:$F,"&lt;&gt;"&amp;""))</f>
        <v>0</v>
      </c>
      <c r="M156" s="166">
        <f>IF(C156="","",COUNTIFS(Başvuru!$C:$C,C156,Başvuru!$L:$L,"GÖRÜŞ",Başvuru!$A:$A,"&lt;&gt;"&amp;"",Başvuru!$F:$F,"&lt;&gt;"&amp;""))</f>
        <v>0</v>
      </c>
      <c r="N156" s="167">
        <f>IF(C156="","",COUNTIFS(Başvuru!$C:$C,C156,Başvuru!$L:$L,"RET",Başvuru!$A:$A,"&lt;&gt;"&amp;"",Başvuru!$F:$F,"&lt;&gt;"&amp;""))</f>
        <v>0</v>
      </c>
      <c r="O156" s="168">
        <f>IF(C156="","",COUNTIFS(Başvuru!$C:$C,C156,Başvuru!$L:$L,"KAPSAM DIŞI",Başvuru!$A:$A,"&lt;&gt;"&amp;"",Başvuru!$F:$F,"&lt;&gt;"&amp;""))</f>
        <v>0</v>
      </c>
      <c r="P156" s="169">
        <f>IF(C156="","",COUNTIFS(Başvuru!$C:$C,C156,Başvuru!$L:$L,"GERİ ÇEKİLDİ",Başvuru!$A:$A,"&lt;&gt;"&amp;"",Başvuru!$F:$F,"&lt;&gt;"&amp;""))</f>
        <v>0</v>
      </c>
      <c r="Q156" s="170" t="str">
        <f>IFERROR(INDEX(Başvuru!$C$2:$C$1851,MATCH(151,Başvuru!$AB$2:$AB$1851,0)),"")</f>
        <v>Dr. Öğr. Üyesi Gözde ÖZER</v>
      </c>
      <c r="R156" s="171">
        <f>IF(Q156="","",COUNTIFS(Başvuru!$C:$C,Q156,Başvuru!$A:$A,"&lt;&gt;"&amp;"",Başvuru!$F:$F,"&lt;&gt;"&amp;""))</f>
        <v>1</v>
      </c>
      <c r="S156" s="171">
        <f>IF(R156="","",RANK(R156,$R$6:$R$505,0)+COUNTIF($R$6:R156,R156)-1)</f>
        <v>215</v>
      </c>
    </row>
    <row r="157" spans="2:19" ht="23.25" customHeight="1" x14ac:dyDescent="0.25">
      <c r="B157" s="159">
        <v>152</v>
      </c>
      <c r="C157" s="160" t="str">
        <f>IFERROR(INDEX($Q$6:$Q$505,MATCH(152,$S$6:$S$505,0)),"")</f>
        <v>Dr. Öğr. Üyesi Sinan BALCI</v>
      </c>
      <c r="D157" s="161">
        <f>IF(C157="","",COUNTIFS(Başvuru!$C:$C,C157,Başvuru!$A:$A,"&lt;&gt;"&amp;"",Başvuru!$F:$F,"&lt;&gt;"&amp;""))</f>
        <v>2</v>
      </c>
      <c r="E157" s="159" t="str">
        <f>IF(C157="","-",IF(D157&gt;0,TEXT(D157/(COUNTIFS(Başvuru!$A:$A,"&lt;&gt;",Başvuru!$F:$F,"&lt;&gt;")-1)*100,"0.0")&amp;"%","-"))</f>
        <v>00%</v>
      </c>
      <c r="F157" s="162">
        <f>IF(C157="","",COUNTIFS(Başvuru!$C:$C,C157,Başvuru!$G:$G,"Bireysel Araştırma",Başvuru!$A:$A,"&lt;&gt;"&amp;"",Başvuru!$F:$F,"&lt;&gt;"&amp;""))</f>
        <v>2</v>
      </c>
      <c r="G157" s="162">
        <f>IF(C157="","",COUNTIFS(Başvuru!$C:$C,C157,Başvuru!$G:$G,"Uzmanlık Tezi",Başvuru!$A:$A,"&lt;&gt;"&amp;"",Başvuru!$F:$F,"&lt;&gt;"&amp;""))</f>
        <v>0</v>
      </c>
      <c r="H157" s="162">
        <f>IF(C157="","",COUNTIFS(Başvuru!$C:$C,C157,Başvuru!$G:$G,"Doktora Tezi",Başvuru!$A:$A,"&lt;&gt;"&amp;"",Başvuru!$F:$F,"&lt;&gt;"&amp;""))</f>
        <v>0</v>
      </c>
      <c r="I157" s="162">
        <f>IF(C157="","",COUNTIFS(Başvuru!$C:$C,C157,Başvuru!$G:$G,"Yüksek Lisans Tezi",Başvuru!$A:$A,"&lt;&gt;"&amp;"",Başvuru!$F:$F,"&lt;&gt;"&amp;""))</f>
        <v>0</v>
      </c>
      <c r="J157" s="163">
        <f>IF(C157="","",COUNTIFS(Başvuru!$C:$C,C157,Başvuru!$L:$L,"ONAY",Başvuru!$A:$A,"&lt;&gt;"&amp;"",Başvuru!$F:$F,"&lt;&gt;"&amp;""))</f>
        <v>1</v>
      </c>
      <c r="K157" s="164">
        <f>IF(C157="","",COUNTIFS(Başvuru!$C:$C,C157,Başvuru!$L:$L,"DÜZELTME",Başvuru!$A:$A,"&lt;&gt;"&amp;"",Başvuru!$F:$F,"&lt;&gt;"&amp;""))</f>
        <v>0</v>
      </c>
      <c r="L157" s="165">
        <f>IF(C157="","",COUNTIFS(Başvuru!$C:$C,C157,Başvuru!$L:$L,"KAEK",Başvuru!$A:$A,"&lt;&gt;"&amp;"",Başvuru!$F:$F,"&lt;&gt;"&amp;""))</f>
        <v>0</v>
      </c>
      <c r="M157" s="166">
        <f>IF(C157="","",COUNTIFS(Başvuru!$C:$C,C157,Başvuru!$L:$L,"GÖRÜŞ",Başvuru!$A:$A,"&lt;&gt;"&amp;"",Başvuru!$F:$F,"&lt;&gt;"&amp;""))</f>
        <v>0</v>
      </c>
      <c r="N157" s="167">
        <f>IF(C157="","",COUNTIFS(Başvuru!$C:$C,C157,Başvuru!$L:$L,"RET",Başvuru!$A:$A,"&lt;&gt;"&amp;"",Başvuru!$F:$F,"&lt;&gt;"&amp;""))</f>
        <v>0</v>
      </c>
      <c r="O157" s="168">
        <f>IF(C157="","",COUNTIFS(Başvuru!$C:$C,C157,Başvuru!$L:$L,"KAPSAM DIŞI",Başvuru!$A:$A,"&lt;&gt;"&amp;"",Başvuru!$F:$F,"&lt;&gt;"&amp;""))</f>
        <v>0</v>
      </c>
      <c r="P157" s="169">
        <f>IF(C157="","",COUNTIFS(Başvuru!$C:$C,C157,Başvuru!$L:$L,"GERİ ÇEKİLDİ",Başvuru!$A:$A,"&lt;&gt;"&amp;"",Başvuru!$F:$F,"&lt;&gt;"&amp;""))</f>
        <v>0</v>
      </c>
      <c r="Q157" s="170" t="str">
        <f>IFERROR(INDEX(Başvuru!$C$2:$C$1851,MATCH(152,Başvuru!$AB$2:$AB$1851,0)),"")</f>
        <v>Prof. Dr. Betül ÇELEBİ SALTIK</v>
      </c>
      <c r="R157" s="171">
        <f>IF(Q157="","",COUNTIFS(Başvuru!$C:$C,Q157,Başvuru!$A:$A,"&lt;&gt;"&amp;"",Başvuru!$F:$F,"&lt;&gt;"&amp;""))</f>
        <v>2</v>
      </c>
      <c r="S157" s="171">
        <f>IF(R157="","",RANK(R157,$R$6:$R$505,0)+COUNTIF($R$6:R157,R157)-1)</f>
        <v>120</v>
      </c>
    </row>
    <row r="158" spans="2:19" ht="23.25" customHeight="1" x14ac:dyDescent="0.25">
      <c r="B158" s="159">
        <v>153</v>
      </c>
      <c r="C158" s="160" t="str">
        <f>IFERROR(INDEX($Q$6:$Q$505,MATCH(153,$S$6:$S$505,0)),"")</f>
        <v>Prof. Dr. Serap AYDIN</v>
      </c>
      <c r="D158" s="161">
        <f>IF(C158="","",COUNTIFS(Başvuru!$C:$C,C158,Başvuru!$A:$A,"&lt;&gt;"&amp;"",Başvuru!$F:$F,"&lt;&gt;"&amp;""))</f>
        <v>2</v>
      </c>
      <c r="E158" s="159" t="str">
        <f>IF(C158="","-",IF(D158&gt;0,TEXT(D158/(COUNTIFS(Başvuru!$A:$A,"&lt;&gt;",Başvuru!$F:$F,"&lt;&gt;")-1)*100,"0.0")&amp;"%","-"))</f>
        <v>00%</v>
      </c>
      <c r="F158" s="162">
        <f>IF(C158="","",COUNTIFS(Başvuru!$C:$C,C158,Başvuru!$G:$G,"Bireysel Araştırma",Başvuru!$A:$A,"&lt;&gt;"&amp;"",Başvuru!$F:$F,"&lt;&gt;"&amp;""))</f>
        <v>2</v>
      </c>
      <c r="G158" s="162">
        <f>IF(C158="","",COUNTIFS(Başvuru!$C:$C,C158,Başvuru!$G:$G,"Uzmanlık Tezi",Başvuru!$A:$A,"&lt;&gt;"&amp;"",Başvuru!$F:$F,"&lt;&gt;"&amp;""))</f>
        <v>0</v>
      </c>
      <c r="H158" s="162">
        <f>IF(C158="","",COUNTIFS(Başvuru!$C:$C,C158,Başvuru!$G:$G,"Doktora Tezi",Başvuru!$A:$A,"&lt;&gt;"&amp;"",Başvuru!$F:$F,"&lt;&gt;"&amp;""))</f>
        <v>0</v>
      </c>
      <c r="I158" s="162">
        <f>IF(C158="","",COUNTIFS(Başvuru!$C:$C,C158,Başvuru!$G:$G,"Yüksek Lisans Tezi",Başvuru!$A:$A,"&lt;&gt;"&amp;"",Başvuru!$F:$F,"&lt;&gt;"&amp;""))</f>
        <v>0</v>
      </c>
      <c r="J158" s="163">
        <f>IF(C158="","",COUNTIFS(Başvuru!$C:$C,C158,Başvuru!$L:$L,"ONAY",Başvuru!$A:$A,"&lt;&gt;"&amp;"",Başvuru!$F:$F,"&lt;&gt;"&amp;""))</f>
        <v>1</v>
      </c>
      <c r="K158" s="164">
        <f>IF(C158="","",COUNTIFS(Başvuru!$C:$C,C158,Başvuru!$L:$L,"DÜZELTME",Başvuru!$A:$A,"&lt;&gt;"&amp;"",Başvuru!$F:$F,"&lt;&gt;"&amp;""))</f>
        <v>0</v>
      </c>
      <c r="L158" s="165">
        <f>IF(C158="","",COUNTIFS(Başvuru!$C:$C,C158,Başvuru!$L:$L,"KAEK",Başvuru!$A:$A,"&lt;&gt;"&amp;"",Başvuru!$F:$F,"&lt;&gt;"&amp;""))</f>
        <v>0</v>
      </c>
      <c r="M158" s="166">
        <f>IF(C158="","",COUNTIFS(Başvuru!$C:$C,C158,Başvuru!$L:$L,"GÖRÜŞ",Başvuru!$A:$A,"&lt;&gt;"&amp;"",Başvuru!$F:$F,"&lt;&gt;"&amp;""))</f>
        <v>0</v>
      </c>
      <c r="N158" s="167">
        <f>IF(C158="","",COUNTIFS(Başvuru!$C:$C,C158,Başvuru!$L:$L,"RET",Başvuru!$A:$A,"&lt;&gt;"&amp;"",Başvuru!$F:$F,"&lt;&gt;"&amp;""))</f>
        <v>0</v>
      </c>
      <c r="O158" s="168">
        <f>IF(C158="","",COUNTIFS(Başvuru!$C:$C,C158,Başvuru!$L:$L,"KAPSAM DIŞI",Başvuru!$A:$A,"&lt;&gt;"&amp;"",Başvuru!$F:$F,"&lt;&gt;"&amp;""))</f>
        <v>0</v>
      </c>
      <c r="P158" s="169">
        <f>IF(C158="","",COUNTIFS(Başvuru!$C:$C,C158,Başvuru!$L:$L,"GERİ ÇEKİLDİ",Başvuru!$A:$A,"&lt;&gt;"&amp;"",Başvuru!$F:$F,"&lt;&gt;"&amp;""))</f>
        <v>0</v>
      </c>
      <c r="Q158" s="170" t="str">
        <f>IFERROR(INDEX(Başvuru!$C$2:$C$1851,MATCH(153,Başvuru!$AB$2:$AB$1851,0)),"")</f>
        <v>Prof. Dr. Şehnaz ALP</v>
      </c>
      <c r="R158" s="171">
        <f>IF(Q158="","",COUNTIFS(Başvuru!$C:$C,Q158,Başvuru!$A:$A,"&lt;&gt;"&amp;"",Başvuru!$F:$F,"&lt;&gt;"&amp;""))</f>
        <v>1</v>
      </c>
      <c r="S158" s="171">
        <f>IF(R158="","",RANK(R158,$R$6:$R$505,0)+COUNTIF($R$6:R158,R158)-1)</f>
        <v>216</v>
      </c>
    </row>
    <row r="159" spans="2:19" ht="23.25" customHeight="1" x14ac:dyDescent="0.25">
      <c r="B159" s="159">
        <v>154</v>
      </c>
      <c r="C159" s="160" t="str">
        <f>IFERROR(INDEX($Q$6:$Q$505,MATCH(154,$S$6:$S$505,0)),"")</f>
        <v>Prof. Dr. Ali AKDOĞAN</v>
      </c>
      <c r="D159" s="161">
        <f>IF(C159="","",COUNTIFS(Başvuru!$C:$C,C159,Başvuru!$A:$A,"&lt;&gt;"&amp;"",Başvuru!$F:$F,"&lt;&gt;"&amp;""))</f>
        <v>2</v>
      </c>
      <c r="E159" s="159" t="str">
        <f>IF(C159="","-",IF(D159&gt;0,TEXT(D159/(COUNTIFS(Başvuru!$A:$A,"&lt;&gt;",Başvuru!$F:$F,"&lt;&gt;")-1)*100,"0.0")&amp;"%","-"))</f>
        <v>00%</v>
      </c>
      <c r="F159" s="162">
        <f>IF(C159="","",COUNTIFS(Başvuru!$C:$C,C159,Başvuru!$G:$G,"Bireysel Araştırma",Başvuru!$A:$A,"&lt;&gt;"&amp;"",Başvuru!$F:$F,"&lt;&gt;"&amp;""))</f>
        <v>2</v>
      </c>
      <c r="G159" s="162">
        <f>IF(C159="","",COUNTIFS(Başvuru!$C:$C,C159,Başvuru!$G:$G,"Uzmanlık Tezi",Başvuru!$A:$A,"&lt;&gt;"&amp;"",Başvuru!$F:$F,"&lt;&gt;"&amp;""))</f>
        <v>0</v>
      </c>
      <c r="H159" s="162">
        <f>IF(C159="","",COUNTIFS(Başvuru!$C:$C,C159,Başvuru!$G:$G,"Doktora Tezi",Başvuru!$A:$A,"&lt;&gt;"&amp;"",Başvuru!$F:$F,"&lt;&gt;"&amp;""))</f>
        <v>0</v>
      </c>
      <c r="I159" s="162">
        <f>IF(C159="","",COUNTIFS(Başvuru!$C:$C,C159,Başvuru!$G:$G,"Yüksek Lisans Tezi",Başvuru!$A:$A,"&lt;&gt;"&amp;"",Başvuru!$F:$F,"&lt;&gt;"&amp;""))</f>
        <v>0</v>
      </c>
      <c r="J159" s="163">
        <f>IF(C159="","",COUNTIFS(Başvuru!$C:$C,C159,Başvuru!$L:$L,"ONAY",Başvuru!$A:$A,"&lt;&gt;"&amp;"",Başvuru!$F:$F,"&lt;&gt;"&amp;""))</f>
        <v>0</v>
      </c>
      <c r="K159" s="164">
        <f>IF(C159="","",COUNTIFS(Başvuru!$C:$C,C159,Başvuru!$L:$L,"DÜZELTME",Başvuru!$A:$A,"&lt;&gt;"&amp;"",Başvuru!$F:$F,"&lt;&gt;"&amp;""))</f>
        <v>0</v>
      </c>
      <c r="L159" s="165">
        <f>IF(C159="","",COUNTIFS(Başvuru!$C:$C,C159,Başvuru!$L:$L,"KAEK",Başvuru!$A:$A,"&lt;&gt;"&amp;"",Başvuru!$F:$F,"&lt;&gt;"&amp;""))</f>
        <v>0</v>
      </c>
      <c r="M159" s="166">
        <f>IF(C159="","",COUNTIFS(Başvuru!$C:$C,C159,Başvuru!$L:$L,"GÖRÜŞ",Başvuru!$A:$A,"&lt;&gt;"&amp;"",Başvuru!$F:$F,"&lt;&gt;"&amp;""))</f>
        <v>0</v>
      </c>
      <c r="N159" s="167">
        <f>IF(C159="","",COUNTIFS(Başvuru!$C:$C,C159,Başvuru!$L:$L,"RET",Başvuru!$A:$A,"&lt;&gt;"&amp;"",Başvuru!$F:$F,"&lt;&gt;"&amp;""))</f>
        <v>0</v>
      </c>
      <c r="O159" s="168">
        <f>IF(C159="","",COUNTIFS(Başvuru!$C:$C,C159,Başvuru!$L:$L,"KAPSAM DIŞI",Başvuru!$A:$A,"&lt;&gt;"&amp;"",Başvuru!$F:$F,"&lt;&gt;"&amp;""))</f>
        <v>0</v>
      </c>
      <c r="P159" s="169">
        <f>IF(C159="","",COUNTIFS(Başvuru!$C:$C,C159,Başvuru!$L:$L,"GERİ ÇEKİLDİ",Başvuru!$A:$A,"&lt;&gt;"&amp;"",Başvuru!$F:$F,"&lt;&gt;"&amp;""))</f>
        <v>0</v>
      </c>
      <c r="Q159" s="170" t="str">
        <f>IFERROR(INDEX(Başvuru!$C$2:$C$1851,MATCH(154,Başvuru!$AB$2:$AB$1851,0)),"")</f>
        <v>Prof. Dr. Bora GÜLHAN</v>
      </c>
      <c r="R159" s="171">
        <f>IF(Q159="","",COUNTIFS(Başvuru!$C:$C,Q159,Başvuru!$A:$A,"&lt;&gt;"&amp;"",Başvuru!$F:$F,"&lt;&gt;"&amp;""))</f>
        <v>2</v>
      </c>
      <c r="S159" s="171">
        <f>IF(R159="","",RANK(R159,$R$6:$R$505,0)+COUNTIF($R$6:R159,R159)-1)</f>
        <v>121</v>
      </c>
    </row>
    <row r="160" spans="2:19" ht="23.25" customHeight="1" x14ac:dyDescent="0.25">
      <c r="B160" s="159">
        <v>155</v>
      </c>
      <c r="C160" s="160" t="str">
        <f>IFERROR(INDEX($Q$6:$Q$505,MATCH(155,$S$6:$S$505,0)),"")</f>
        <v>Doç. Dr. Ahmet GÜDELOĞLU</v>
      </c>
      <c r="D160" s="161">
        <f>IF(C160="","",COUNTIFS(Başvuru!$C:$C,C160,Başvuru!$A:$A,"&lt;&gt;"&amp;"",Başvuru!$F:$F,"&lt;&gt;"&amp;""))</f>
        <v>2</v>
      </c>
      <c r="E160" s="159" t="str">
        <f>IF(C160="","-",IF(D160&gt;0,TEXT(D160/(COUNTIFS(Başvuru!$A:$A,"&lt;&gt;",Başvuru!$F:$F,"&lt;&gt;")-1)*100,"0.0")&amp;"%","-"))</f>
        <v>00%</v>
      </c>
      <c r="F160" s="162">
        <f>IF(C160="","",COUNTIFS(Başvuru!$C:$C,C160,Başvuru!$G:$G,"Bireysel Araştırma",Başvuru!$A:$A,"&lt;&gt;"&amp;"",Başvuru!$F:$F,"&lt;&gt;"&amp;""))</f>
        <v>2</v>
      </c>
      <c r="G160" s="162">
        <f>IF(C160="","",COUNTIFS(Başvuru!$C:$C,C160,Başvuru!$G:$G,"Uzmanlık Tezi",Başvuru!$A:$A,"&lt;&gt;"&amp;"",Başvuru!$F:$F,"&lt;&gt;"&amp;""))</f>
        <v>0</v>
      </c>
      <c r="H160" s="162">
        <f>IF(C160="","",COUNTIFS(Başvuru!$C:$C,C160,Başvuru!$G:$G,"Doktora Tezi",Başvuru!$A:$A,"&lt;&gt;"&amp;"",Başvuru!$F:$F,"&lt;&gt;"&amp;""))</f>
        <v>0</v>
      </c>
      <c r="I160" s="162">
        <f>IF(C160="","",COUNTIFS(Başvuru!$C:$C,C160,Başvuru!$G:$G,"Yüksek Lisans Tezi",Başvuru!$A:$A,"&lt;&gt;"&amp;"",Başvuru!$F:$F,"&lt;&gt;"&amp;""))</f>
        <v>0</v>
      </c>
      <c r="J160" s="163">
        <f>IF(C160="","",COUNTIFS(Başvuru!$C:$C,C160,Başvuru!$L:$L,"ONAY",Başvuru!$A:$A,"&lt;&gt;"&amp;"",Başvuru!$F:$F,"&lt;&gt;"&amp;""))</f>
        <v>0</v>
      </c>
      <c r="K160" s="164">
        <f>IF(C160="","",COUNTIFS(Başvuru!$C:$C,C160,Başvuru!$L:$L,"DÜZELTME",Başvuru!$A:$A,"&lt;&gt;"&amp;"",Başvuru!$F:$F,"&lt;&gt;"&amp;""))</f>
        <v>0</v>
      </c>
      <c r="L160" s="165">
        <f>IF(C160="","",COUNTIFS(Başvuru!$C:$C,C160,Başvuru!$L:$L,"KAEK",Başvuru!$A:$A,"&lt;&gt;"&amp;"",Başvuru!$F:$F,"&lt;&gt;"&amp;""))</f>
        <v>0</v>
      </c>
      <c r="M160" s="166">
        <f>IF(C160="","",COUNTIFS(Başvuru!$C:$C,C160,Başvuru!$L:$L,"GÖRÜŞ",Başvuru!$A:$A,"&lt;&gt;"&amp;"",Başvuru!$F:$F,"&lt;&gt;"&amp;""))</f>
        <v>0</v>
      </c>
      <c r="N160" s="167">
        <f>IF(C160="","",COUNTIFS(Başvuru!$C:$C,C160,Başvuru!$L:$L,"RET",Başvuru!$A:$A,"&lt;&gt;"&amp;"",Başvuru!$F:$F,"&lt;&gt;"&amp;""))</f>
        <v>0</v>
      </c>
      <c r="O160" s="168">
        <f>IF(C160="","",COUNTIFS(Başvuru!$C:$C,C160,Başvuru!$L:$L,"KAPSAM DIŞI",Başvuru!$A:$A,"&lt;&gt;"&amp;"",Başvuru!$F:$F,"&lt;&gt;"&amp;""))</f>
        <v>0</v>
      </c>
      <c r="P160" s="169">
        <f>IF(C160="","",COUNTIFS(Başvuru!$C:$C,C160,Başvuru!$L:$L,"GERİ ÇEKİLDİ",Başvuru!$A:$A,"&lt;&gt;"&amp;"",Başvuru!$F:$F,"&lt;&gt;"&amp;""))</f>
        <v>0</v>
      </c>
      <c r="Q160" s="170" t="str">
        <f>IFERROR(INDEX(Başvuru!$C$2:$C$1851,MATCH(155,Başvuru!$AB$2:$AB$1851,0)),"")</f>
        <v>Doç. Dr. Sevtap ARSLAN SARIKAYA</v>
      </c>
      <c r="R160" s="171">
        <f>IF(Q160="","",COUNTIFS(Başvuru!$C:$C,Q160,Başvuru!$A:$A,"&lt;&gt;"&amp;"",Başvuru!$F:$F,"&lt;&gt;"&amp;""))</f>
        <v>1</v>
      </c>
      <c r="S160" s="171">
        <f>IF(R160="","",RANK(R160,$R$6:$R$505,0)+COUNTIF($R$6:R160,R160)-1)</f>
        <v>217</v>
      </c>
    </row>
    <row r="161" spans="2:19" ht="23.25" customHeight="1" x14ac:dyDescent="0.25">
      <c r="B161" s="159">
        <v>156</v>
      </c>
      <c r="C161" s="160" t="str">
        <f>IFERROR(INDEX($Q$6:$Q$505,MATCH(156,$S$6:$S$505,0)),"")</f>
        <v>Prof. Dr. Mustafa Sertaç YAZICI</v>
      </c>
      <c r="D161" s="161">
        <f>IF(C161="","",COUNTIFS(Başvuru!$C:$C,C161,Başvuru!$A:$A,"&lt;&gt;"&amp;"",Başvuru!$F:$F,"&lt;&gt;"&amp;""))</f>
        <v>2</v>
      </c>
      <c r="E161" s="159" t="str">
        <f>IF(C161="","-",IF(D161&gt;0,TEXT(D161/(COUNTIFS(Başvuru!$A:$A,"&lt;&gt;",Başvuru!$F:$F,"&lt;&gt;")-1)*100,"0.0")&amp;"%","-"))</f>
        <v>00%</v>
      </c>
      <c r="F161" s="162">
        <f>IF(C161="","",COUNTIFS(Başvuru!$C:$C,C161,Başvuru!$G:$G,"Bireysel Araştırma",Başvuru!$A:$A,"&lt;&gt;"&amp;"",Başvuru!$F:$F,"&lt;&gt;"&amp;""))</f>
        <v>2</v>
      </c>
      <c r="G161" s="162">
        <f>IF(C161="","",COUNTIFS(Başvuru!$C:$C,C161,Başvuru!$G:$G,"Uzmanlık Tezi",Başvuru!$A:$A,"&lt;&gt;"&amp;"",Başvuru!$F:$F,"&lt;&gt;"&amp;""))</f>
        <v>0</v>
      </c>
      <c r="H161" s="162">
        <f>IF(C161="","",COUNTIFS(Başvuru!$C:$C,C161,Başvuru!$G:$G,"Doktora Tezi",Başvuru!$A:$A,"&lt;&gt;"&amp;"",Başvuru!$F:$F,"&lt;&gt;"&amp;""))</f>
        <v>0</v>
      </c>
      <c r="I161" s="162">
        <f>IF(C161="","",COUNTIFS(Başvuru!$C:$C,C161,Başvuru!$G:$G,"Yüksek Lisans Tezi",Başvuru!$A:$A,"&lt;&gt;"&amp;"",Başvuru!$F:$F,"&lt;&gt;"&amp;""))</f>
        <v>0</v>
      </c>
      <c r="J161" s="163">
        <f>IF(C161="","",COUNTIFS(Başvuru!$C:$C,C161,Başvuru!$L:$L,"ONAY",Başvuru!$A:$A,"&lt;&gt;"&amp;"",Başvuru!$F:$F,"&lt;&gt;"&amp;""))</f>
        <v>0</v>
      </c>
      <c r="K161" s="164">
        <f>IF(C161="","",COUNTIFS(Başvuru!$C:$C,C161,Başvuru!$L:$L,"DÜZELTME",Başvuru!$A:$A,"&lt;&gt;"&amp;"",Başvuru!$F:$F,"&lt;&gt;"&amp;""))</f>
        <v>0</v>
      </c>
      <c r="L161" s="165">
        <f>IF(C161="","",COUNTIFS(Başvuru!$C:$C,C161,Başvuru!$L:$L,"KAEK",Başvuru!$A:$A,"&lt;&gt;"&amp;"",Başvuru!$F:$F,"&lt;&gt;"&amp;""))</f>
        <v>0</v>
      </c>
      <c r="M161" s="166">
        <f>IF(C161="","",COUNTIFS(Başvuru!$C:$C,C161,Başvuru!$L:$L,"GÖRÜŞ",Başvuru!$A:$A,"&lt;&gt;"&amp;"",Başvuru!$F:$F,"&lt;&gt;"&amp;""))</f>
        <v>0</v>
      </c>
      <c r="N161" s="167">
        <f>IF(C161="","",COUNTIFS(Başvuru!$C:$C,C161,Başvuru!$L:$L,"RET",Başvuru!$A:$A,"&lt;&gt;"&amp;"",Başvuru!$F:$F,"&lt;&gt;"&amp;""))</f>
        <v>0</v>
      </c>
      <c r="O161" s="168">
        <f>IF(C161="","",COUNTIFS(Başvuru!$C:$C,C161,Başvuru!$L:$L,"KAPSAM DIŞI",Başvuru!$A:$A,"&lt;&gt;"&amp;"",Başvuru!$F:$F,"&lt;&gt;"&amp;""))</f>
        <v>0</v>
      </c>
      <c r="P161" s="169">
        <f>IF(C161="","",COUNTIFS(Başvuru!$C:$C,C161,Başvuru!$L:$L,"GERİ ÇEKİLDİ",Başvuru!$A:$A,"&lt;&gt;"&amp;"",Başvuru!$F:$F,"&lt;&gt;"&amp;""))</f>
        <v>0</v>
      </c>
      <c r="Q161" s="170" t="str">
        <f>IFERROR(INDEX(Başvuru!$C$2:$C$1851,MATCH(156,Başvuru!$AB$2:$AB$1851,0)),"")</f>
        <v>Doç. Dr. Zeynep TÜZÜN GÜN</v>
      </c>
      <c r="R161" s="171">
        <f>IF(Q161="","",COUNTIFS(Başvuru!$C:$C,Q161,Başvuru!$A:$A,"&lt;&gt;"&amp;"",Başvuru!$F:$F,"&lt;&gt;"&amp;""))</f>
        <v>1</v>
      </c>
      <c r="S161" s="171">
        <f>IF(R161="","",RANK(R161,$R$6:$R$505,0)+COUNTIF($R$6:R161,R161)-1)</f>
        <v>218</v>
      </c>
    </row>
    <row r="162" spans="2:19" ht="23.25" customHeight="1" x14ac:dyDescent="0.25">
      <c r="B162" s="159">
        <v>157</v>
      </c>
      <c r="C162" s="160" t="str">
        <f>IFERROR(INDEX($Q$6:$Q$505,MATCH(157,$S$6:$S$505,0)),"")</f>
        <v>Dr. Vet. Hek. Özgür Doğuş EROL DUYAR</v>
      </c>
      <c r="D162" s="161">
        <f>IF(C162="","",COUNTIFS(Başvuru!$C:$C,C162,Başvuru!$A:$A,"&lt;&gt;"&amp;"",Başvuru!$F:$F,"&lt;&gt;"&amp;""))</f>
        <v>1</v>
      </c>
      <c r="E162" s="159" t="str">
        <f>IF(C162="","-",IF(D162&gt;0,TEXT(D162/(COUNTIFS(Başvuru!$A:$A,"&lt;&gt;",Başvuru!$F:$F,"&lt;&gt;")-1)*100,"0.0")&amp;"%","-"))</f>
        <v>00%</v>
      </c>
      <c r="F162" s="162">
        <f>IF(C162="","",COUNTIFS(Başvuru!$C:$C,C162,Başvuru!$G:$G,"Bireysel Araştırma",Başvuru!$A:$A,"&lt;&gt;"&amp;"",Başvuru!$F:$F,"&lt;&gt;"&amp;""))</f>
        <v>1</v>
      </c>
      <c r="G162" s="162">
        <f>IF(C162="","",COUNTIFS(Başvuru!$C:$C,C162,Başvuru!$G:$G,"Uzmanlık Tezi",Başvuru!$A:$A,"&lt;&gt;"&amp;"",Başvuru!$F:$F,"&lt;&gt;"&amp;""))</f>
        <v>0</v>
      </c>
      <c r="H162" s="162">
        <f>IF(C162="","",COUNTIFS(Başvuru!$C:$C,C162,Başvuru!$G:$G,"Doktora Tezi",Başvuru!$A:$A,"&lt;&gt;"&amp;"",Başvuru!$F:$F,"&lt;&gt;"&amp;""))</f>
        <v>0</v>
      </c>
      <c r="I162" s="162">
        <f>IF(C162="","",COUNTIFS(Başvuru!$C:$C,C162,Başvuru!$G:$G,"Yüksek Lisans Tezi",Başvuru!$A:$A,"&lt;&gt;"&amp;"",Başvuru!$F:$F,"&lt;&gt;"&amp;""))</f>
        <v>0</v>
      </c>
      <c r="J162" s="163">
        <f>IF(C162="","",COUNTIFS(Başvuru!$C:$C,C162,Başvuru!$L:$L,"ONAY",Başvuru!$A:$A,"&lt;&gt;"&amp;"",Başvuru!$F:$F,"&lt;&gt;"&amp;""))</f>
        <v>1</v>
      </c>
      <c r="K162" s="164">
        <f>IF(C162="","",COUNTIFS(Başvuru!$C:$C,C162,Başvuru!$L:$L,"DÜZELTME",Başvuru!$A:$A,"&lt;&gt;"&amp;"",Başvuru!$F:$F,"&lt;&gt;"&amp;""))</f>
        <v>0</v>
      </c>
      <c r="L162" s="165">
        <f>IF(C162="","",COUNTIFS(Başvuru!$C:$C,C162,Başvuru!$L:$L,"KAEK",Başvuru!$A:$A,"&lt;&gt;"&amp;"",Başvuru!$F:$F,"&lt;&gt;"&amp;""))</f>
        <v>0</v>
      </c>
      <c r="M162" s="166">
        <f>IF(C162="","",COUNTIFS(Başvuru!$C:$C,C162,Başvuru!$L:$L,"GÖRÜŞ",Başvuru!$A:$A,"&lt;&gt;"&amp;"",Başvuru!$F:$F,"&lt;&gt;"&amp;""))</f>
        <v>0</v>
      </c>
      <c r="N162" s="167">
        <f>IF(C162="","",COUNTIFS(Başvuru!$C:$C,C162,Başvuru!$L:$L,"RET",Başvuru!$A:$A,"&lt;&gt;"&amp;"",Başvuru!$F:$F,"&lt;&gt;"&amp;""))</f>
        <v>0</v>
      </c>
      <c r="O162" s="168">
        <f>IF(C162="","",COUNTIFS(Başvuru!$C:$C,C162,Başvuru!$L:$L,"KAPSAM DIŞI",Başvuru!$A:$A,"&lt;&gt;"&amp;"",Başvuru!$F:$F,"&lt;&gt;"&amp;""))</f>
        <v>0</v>
      </c>
      <c r="P162" s="169">
        <f>IF(C162="","",COUNTIFS(Başvuru!$C:$C,C162,Başvuru!$L:$L,"GERİ ÇEKİLDİ",Başvuru!$A:$A,"&lt;&gt;"&amp;"",Başvuru!$F:$F,"&lt;&gt;"&amp;""))</f>
        <v>0</v>
      </c>
      <c r="Q162" s="170" t="str">
        <f>IFERROR(INDEX(Başvuru!$C$2:$C$1851,MATCH(157,Başvuru!$AB$2:$AB$1851,0)),"")</f>
        <v>Prof. Dr. Fadime İrsel TEZER FİLİK</v>
      </c>
      <c r="R162" s="171">
        <f>IF(Q162="","",COUNTIFS(Başvuru!$C:$C,Q162,Başvuru!$A:$A,"&lt;&gt;"&amp;"",Başvuru!$F:$F,"&lt;&gt;"&amp;""))</f>
        <v>4</v>
      </c>
      <c r="S162" s="171">
        <f>IF(R162="","",RANK(R162,$R$6:$R$505,0)+COUNTIF($R$6:R162,R162)-1)</f>
        <v>48</v>
      </c>
    </row>
    <row r="163" spans="2:19" ht="23.25" customHeight="1" x14ac:dyDescent="0.25">
      <c r="B163" s="159">
        <v>158</v>
      </c>
      <c r="C163" s="160" t="str">
        <f>IFERROR(INDEX($Q$6:$Q$505,MATCH(158,$S$6:$S$505,0)),"")</f>
        <v>Prof. Dr. Esra BİRBEN</v>
      </c>
      <c r="D163" s="161">
        <f>IF(C163="","",COUNTIFS(Başvuru!$C:$C,C163,Başvuru!$A:$A,"&lt;&gt;"&amp;"",Başvuru!$F:$F,"&lt;&gt;"&amp;""))</f>
        <v>1</v>
      </c>
      <c r="E163" s="159" t="str">
        <f>IF(C163="","-",IF(D163&gt;0,TEXT(D163/(COUNTIFS(Başvuru!$A:$A,"&lt;&gt;",Başvuru!$F:$F,"&lt;&gt;")-1)*100,"0.0")&amp;"%","-"))</f>
        <v>00%</v>
      </c>
      <c r="F163" s="162">
        <f>IF(C163="","",COUNTIFS(Başvuru!$C:$C,C163,Başvuru!$G:$G,"Bireysel Araştırma",Başvuru!$A:$A,"&lt;&gt;"&amp;"",Başvuru!$F:$F,"&lt;&gt;"&amp;""))</f>
        <v>1</v>
      </c>
      <c r="G163" s="162">
        <f>IF(C163="","",COUNTIFS(Başvuru!$C:$C,C163,Başvuru!$G:$G,"Uzmanlık Tezi",Başvuru!$A:$A,"&lt;&gt;"&amp;"",Başvuru!$F:$F,"&lt;&gt;"&amp;""))</f>
        <v>0</v>
      </c>
      <c r="H163" s="162">
        <f>IF(C163="","",COUNTIFS(Başvuru!$C:$C,C163,Başvuru!$G:$G,"Doktora Tezi",Başvuru!$A:$A,"&lt;&gt;"&amp;"",Başvuru!$F:$F,"&lt;&gt;"&amp;""))</f>
        <v>0</v>
      </c>
      <c r="I163" s="162">
        <f>IF(C163="","",COUNTIFS(Başvuru!$C:$C,C163,Başvuru!$G:$G,"Yüksek Lisans Tezi",Başvuru!$A:$A,"&lt;&gt;"&amp;"",Başvuru!$F:$F,"&lt;&gt;"&amp;""))</f>
        <v>0</v>
      </c>
      <c r="J163" s="163">
        <f>IF(C163="","",COUNTIFS(Başvuru!$C:$C,C163,Başvuru!$L:$L,"ONAY",Başvuru!$A:$A,"&lt;&gt;"&amp;"",Başvuru!$F:$F,"&lt;&gt;"&amp;""))</f>
        <v>1</v>
      </c>
      <c r="K163" s="164">
        <f>IF(C163="","",COUNTIFS(Başvuru!$C:$C,C163,Başvuru!$L:$L,"DÜZELTME",Başvuru!$A:$A,"&lt;&gt;"&amp;"",Başvuru!$F:$F,"&lt;&gt;"&amp;""))</f>
        <v>0</v>
      </c>
      <c r="L163" s="165">
        <f>IF(C163="","",COUNTIFS(Başvuru!$C:$C,C163,Başvuru!$L:$L,"KAEK",Başvuru!$A:$A,"&lt;&gt;"&amp;"",Başvuru!$F:$F,"&lt;&gt;"&amp;""))</f>
        <v>0</v>
      </c>
      <c r="M163" s="166">
        <f>IF(C163="","",COUNTIFS(Başvuru!$C:$C,C163,Başvuru!$L:$L,"GÖRÜŞ",Başvuru!$A:$A,"&lt;&gt;"&amp;"",Başvuru!$F:$F,"&lt;&gt;"&amp;""))</f>
        <v>0</v>
      </c>
      <c r="N163" s="167">
        <f>IF(C163="","",COUNTIFS(Başvuru!$C:$C,C163,Başvuru!$L:$L,"RET",Başvuru!$A:$A,"&lt;&gt;"&amp;"",Başvuru!$F:$F,"&lt;&gt;"&amp;""))</f>
        <v>0</v>
      </c>
      <c r="O163" s="168">
        <f>IF(C163="","",COUNTIFS(Başvuru!$C:$C,C163,Başvuru!$L:$L,"KAPSAM DIŞI",Başvuru!$A:$A,"&lt;&gt;"&amp;"",Başvuru!$F:$F,"&lt;&gt;"&amp;""))</f>
        <v>0</v>
      </c>
      <c r="P163" s="169">
        <f>IF(C163="","",COUNTIFS(Başvuru!$C:$C,C163,Başvuru!$L:$L,"GERİ ÇEKİLDİ",Başvuru!$A:$A,"&lt;&gt;"&amp;"",Başvuru!$F:$F,"&lt;&gt;"&amp;""))</f>
        <v>0</v>
      </c>
      <c r="Q163" s="170" t="str">
        <f>IFERROR(INDEX(Başvuru!$C$2:$C$1851,MATCH(158,Başvuru!$AB$2:$AB$1851,0)),"")</f>
        <v>Doç. Dr. Kevser NALBANT</v>
      </c>
      <c r="R163" s="171">
        <f>IF(Q163="","",COUNTIFS(Başvuru!$C:$C,Q163,Başvuru!$A:$A,"&lt;&gt;"&amp;"",Başvuru!$F:$F,"&lt;&gt;"&amp;""))</f>
        <v>1</v>
      </c>
      <c r="S163" s="171">
        <f>IF(R163="","",RANK(R163,$R$6:$R$505,0)+COUNTIF($R$6:R163,R163)-1)</f>
        <v>219</v>
      </c>
    </row>
    <row r="164" spans="2:19" ht="23.25" customHeight="1" x14ac:dyDescent="0.25">
      <c r="B164" s="159">
        <v>159</v>
      </c>
      <c r="C164" s="160" t="str">
        <f>IFERROR(INDEX($Q$6:$Q$505,MATCH(159,$S$6:$S$505,0)),"")</f>
        <v>Prof. Dr. Ömür ÇELİKBIÇAK</v>
      </c>
      <c r="D164" s="161">
        <f>IF(C164="","",COUNTIFS(Başvuru!$C:$C,C164,Başvuru!$A:$A,"&lt;&gt;"&amp;"",Başvuru!$F:$F,"&lt;&gt;"&amp;""))</f>
        <v>1</v>
      </c>
      <c r="E164" s="159" t="str">
        <f>IF(C164="","-",IF(D164&gt;0,TEXT(D164/(COUNTIFS(Başvuru!$A:$A,"&lt;&gt;",Başvuru!$F:$F,"&lt;&gt;")-1)*100,"0.0")&amp;"%","-"))</f>
        <v>00%</v>
      </c>
      <c r="F164" s="162">
        <f>IF(C164="","",COUNTIFS(Başvuru!$C:$C,C164,Başvuru!$G:$G,"Bireysel Araştırma",Başvuru!$A:$A,"&lt;&gt;"&amp;"",Başvuru!$F:$F,"&lt;&gt;"&amp;""))</f>
        <v>0</v>
      </c>
      <c r="G164" s="162">
        <f>IF(C164="","",COUNTIFS(Başvuru!$C:$C,C164,Başvuru!$G:$G,"Uzmanlık Tezi",Başvuru!$A:$A,"&lt;&gt;"&amp;"",Başvuru!$F:$F,"&lt;&gt;"&amp;""))</f>
        <v>0</v>
      </c>
      <c r="H164" s="162">
        <f>IF(C164="","",COUNTIFS(Başvuru!$C:$C,C164,Başvuru!$G:$G,"Doktora Tezi",Başvuru!$A:$A,"&lt;&gt;"&amp;"",Başvuru!$F:$F,"&lt;&gt;"&amp;""))</f>
        <v>1</v>
      </c>
      <c r="I164" s="162">
        <f>IF(C164="","",COUNTIFS(Başvuru!$C:$C,C164,Başvuru!$G:$G,"Yüksek Lisans Tezi",Başvuru!$A:$A,"&lt;&gt;"&amp;"",Başvuru!$F:$F,"&lt;&gt;"&amp;""))</f>
        <v>0</v>
      </c>
      <c r="J164" s="163">
        <f>IF(C164="","",COUNTIFS(Başvuru!$C:$C,C164,Başvuru!$L:$L,"ONAY",Başvuru!$A:$A,"&lt;&gt;"&amp;"",Başvuru!$F:$F,"&lt;&gt;"&amp;""))</f>
        <v>0</v>
      </c>
      <c r="K164" s="164">
        <f>IF(C164="","",COUNTIFS(Başvuru!$C:$C,C164,Başvuru!$L:$L,"DÜZELTME",Başvuru!$A:$A,"&lt;&gt;"&amp;"",Başvuru!$F:$F,"&lt;&gt;"&amp;""))</f>
        <v>1</v>
      </c>
      <c r="L164" s="165">
        <f>IF(C164="","",COUNTIFS(Başvuru!$C:$C,C164,Başvuru!$L:$L,"KAEK",Başvuru!$A:$A,"&lt;&gt;"&amp;"",Başvuru!$F:$F,"&lt;&gt;"&amp;""))</f>
        <v>0</v>
      </c>
      <c r="M164" s="166">
        <f>IF(C164="","",COUNTIFS(Başvuru!$C:$C,C164,Başvuru!$L:$L,"GÖRÜŞ",Başvuru!$A:$A,"&lt;&gt;"&amp;"",Başvuru!$F:$F,"&lt;&gt;"&amp;""))</f>
        <v>0</v>
      </c>
      <c r="N164" s="167">
        <f>IF(C164="","",COUNTIFS(Başvuru!$C:$C,C164,Başvuru!$L:$L,"RET",Başvuru!$A:$A,"&lt;&gt;"&amp;"",Başvuru!$F:$F,"&lt;&gt;"&amp;""))</f>
        <v>0</v>
      </c>
      <c r="O164" s="168">
        <f>IF(C164="","",COUNTIFS(Başvuru!$C:$C,C164,Başvuru!$L:$L,"KAPSAM DIŞI",Başvuru!$A:$A,"&lt;&gt;"&amp;"",Başvuru!$F:$F,"&lt;&gt;"&amp;""))</f>
        <v>0</v>
      </c>
      <c r="P164" s="169">
        <f>IF(C164="","",COUNTIFS(Başvuru!$C:$C,C164,Başvuru!$L:$L,"GERİ ÇEKİLDİ",Başvuru!$A:$A,"&lt;&gt;"&amp;"",Başvuru!$F:$F,"&lt;&gt;"&amp;""))</f>
        <v>0</v>
      </c>
      <c r="Q164" s="170" t="str">
        <f>IFERROR(INDEX(Başvuru!$C$2:$C$1851,MATCH(159,Başvuru!$AB$2:$AB$1851,0)),"")</f>
        <v>Prof. Dr. Özlem TEKŞAM</v>
      </c>
      <c r="R164" s="171">
        <f>IF(Q164="","",COUNTIFS(Başvuru!$C:$C,Q164,Başvuru!$A:$A,"&lt;&gt;"&amp;"",Başvuru!$F:$F,"&lt;&gt;"&amp;""))</f>
        <v>6</v>
      </c>
      <c r="S164" s="171">
        <f>IF(R164="","",RANK(R164,$R$6:$R$505,0)+COUNTIF($R$6:R164,R164)-1)</f>
        <v>19</v>
      </c>
    </row>
    <row r="165" spans="2:19" ht="23.25" customHeight="1" x14ac:dyDescent="0.25">
      <c r="B165" s="159">
        <v>160</v>
      </c>
      <c r="C165" s="160" t="str">
        <f>IFERROR(INDEX($Q$6:$Q$505,MATCH(160,$S$6:$S$505,0)),"")</f>
        <v>Doç. Dr. Ayhan EYMİRLİ</v>
      </c>
      <c r="D165" s="161">
        <f>IF(C165="","",COUNTIFS(Başvuru!$C:$C,C165,Başvuru!$A:$A,"&lt;&gt;"&amp;"",Başvuru!$F:$F,"&lt;&gt;"&amp;""))</f>
        <v>1</v>
      </c>
      <c r="E165" s="159" t="str">
        <f>IF(C165="","-",IF(D165&gt;0,TEXT(D165/(COUNTIFS(Başvuru!$A:$A,"&lt;&gt;",Başvuru!$F:$F,"&lt;&gt;")-1)*100,"0.0")&amp;"%","-"))</f>
        <v>00%</v>
      </c>
      <c r="F165" s="162">
        <f>IF(C165="","",COUNTIFS(Başvuru!$C:$C,C165,Başvuru!$G:$G,"Bireysel Araştırma",Başvuru!$A:$A,"&lt;&gt;"&amp;"",Başvuru!$F:$F,"&lt;&gt;"&amp;""))</f>
        <v>0</v>
      </c>
      <c r="G165" s="162">
        <f>IF(C165="","",COUNTIFS(Başvuru!$C:$C,C165,Başvuru!$G:$G,"Uzmanlık Tezi",Başvuru!$A:$A,"&lt;&gt;"&amp;"",Başvuru!$F:$F,"&lt;&gt;"&amp;""))</f>
        <v>1</v>
      </c>
      <c r="H165" s="162">
        <f>IF(C165="","",COUNTIFS(Başvuru!$C:$C,C165,Başvuru!$G:$G,"Doktora Tezi",Başvuru!$A:$A,"&lt;&gt;"&amp;"",Başvuru!$F:$F,"&lt;&gt;"&amp;""))</f>
        <v>0</v>
      </c>
      <c r="I165" s="162">
        <f>IF(C165="","",COUNTIFS(Başvuru!$C:$C,C165,Başvuru!$G:$G,"Yüksek Lisans Tezi",Başvuru!$A:$A,"&lt;&gt;"&amp;"",Başvuru!$F:$F,"&lt;&gt;"&amp;""))</f>
        <v>0</v>
      </c>
      <c r="J165" s="163">
        <f>IF(C165="","",COUNTIFS(Başvuru!$C:$C,C165,Başvuru!$L:$L,"ONAY",Başvuru!$A:$A,"&lt;&gt;"&amp;"",Başvuru!$F:$F,"&lt;&gt;"&amp;""))</f>
        <v>1</v>
      </c>
      <c r="K165" s="164">
        <f>IF(C165="","",COUNTIFS(Başvuru!$C:$C,C165,Başvuru!$L:$L,"DÜZELTME",Başvuru!$A:$A,"&lt;&gt;"&amp;"",Başvuru!$F:$F,"&lt;&gt;"&amp;""))</f>
        <v>0</v>
      </c>
      <c r="L165" s="165">
        <f>IF(C165="","",COUNTIFS(Başvuru!$C:$C,C165,Başvuru!$L:$L,"KAEK",Başvuru!$A:$A,"&lt;&gt;"&amp;"",Başvuru!$F:$F,"&lt;&gt;"&amp;""))</f>
        <v>0</v>
      </c>
      <c r="M165" s="166">
        <f>IF(C165="","",COUNTIFS(Başvuru!$C:$C,C165,Başvuru!$L:$L,"GÖRÜŞ",Başvuru!$A:$A,"&lt;&gt;"&amp;"",Başvuru!$F:$F,"&lt;&gt;"&amp;""))</f>
        <v>0</v>
      </c>
      <c r="N165" s="167">
        <f>IF(C165="","",COUNTIFS(Başvuru!$C:$C,C165,Başvuru!$L:$L,"RET",Başvuru!$A:$A,"&lt;&gt;"&amp;"",Başvuru!$F:$F,"&lt;&gt;"&amp;""))</f>
        <v>0</v>
      </c>
      <c r="O165" s="168">
        <f>IF(C165="","",COUNTIFS(Başvuru!$C:$C,C165,Başvuru!$L:$L,"KAPSAM DIŞI",Başvuru!$A:$A,"&lt;&gt;"&amp;"",Başvuru!$F:$F,"&lt;&gt;"&amp;""))</f>
        <v>0</v>
      </c>
      <c r="P165" s="169">
        <f>IF(C165="","",COUNTIFS(Başvuru!$C:$C,C165,Başvuru!$L:$L,"GERİ ÇEKİLDİ",Başvuru!$A:$A,"&lt;&gt;"&amp;"",Başvuru!$F:$F,"&lt;&gt;"&amp;""))</f>
        <v>0</v>
      </c>
      <c r="Q165" s="170" t="str">
        <f>IFERROR(INDEX(Başvuru!$C$2:$C$1851,MATCH(160,Başvuru!$AB$2:$AB$1851,0)),"")</f>
        <v>Dr. Öğr. Üyesi Gökhan AYIK</v>
      </c>
      <c r="R165" s="171">
        <f>IF(Q165="","",COUNTIFS(Başvuru!$C:$C,Q165,Başvuru!$A:$A,"&lt;&gt;"&amp;"",Başvuru!$F:$F,"&lt;&gt;"&amp;""))</f>
        <v>2</v>
      </c>
      <c r="S165" s="171">
        <f>IF(R165="","",RANK(R165,$R$6:$R$505,0)+COUNTIF($R$6:R165,R165)-1)</f>
        <v>122</v>
      </c>
    </row>
    <row r="166" spans="2:19" ht="23.25" customHeight="1" x14ac:dyDescent="0.25">
      <c r="B166" s="159">
        <v>161</v>
      </c>
      <c r="C166" s="160" t="str">
        <f>IFERROR(INDEX($Q$6:$Q$505,MATCH(161,$S$6:$S$505,0)),"")</f>
        <v>Prof. Dr. Yakut AKYÖN YILMAZ</v>
      </c>
      <c r="D166" s="161">
        <f>IF(C166="","",COUNTIFS(Başvuru!$C:$C,C166,Başvuru!$A:$A,"&lt;&gt;"&amp;"",Başvuru!$F:$F,"&lt;&gt;"&amp;""))</f>
        <v>1</v>
      </c>
      <c r="E166" s="159" t="str">
        <f>IF(C166="","-",IF(D166&gt;0,TEXT(D166/(COUNTIFS(Başvuru!$A:$A,"&lt;&gt;",Başvuru!$F:$F,"&lt;&gt;")-1)*100,"0.0")&amp;"%","-"))</f>
        <v>00%</v>
      </c>
      <c r="F166" s="162">
        <f>IF(C166="","",COUNTIFS(Başvuru!$C:$C,C166,Başvuru!$G:$G,"Bireysel Araştırma",Başvuru!$A:$A,"&lt;&gt;"&amp;"",Başvuru!$F:$F,"&lt;&gt;"&amp;""))</f>
        <v>0</v>
      </c>
      <c r="G166" s="162">
        <f>IF(C166="","",COUNTIFS(Başvuru!$C:$C,C166,Başvuru!$G:$G,"Uzmanlık Tezi",Başvuru!$A:$A,"&lt;&gt;"&amp;"",Başvuru!$F:$F,"&lt;&gt;"&amp;""))</f>
        <v>0</v>
      </c>
      <c r="H166" s="162">
        <f>IF(C166="","",COUNTIFS(Başvuru!$C:$C,C166,Başvuru!$G:$G,"Doktora Tezi",Başvuru!$A:$A,"&lt;&gt;"&amp;"",Başvuru!$F:$F,"&lt;&gt;"&amp;""))</f>
        <v>1</v>
      </c>
      <c r="I166" s="162">
        <f>IF(C166="","",COUNTIFS(Başvuru!$C:$C,C166,Başvuru!$G:$G,"Yüksek Lisans Tezi",Başvuru!$A:$A,"&lt;&gt;"&amp;"",Başvuru!$F:$F,"&lt;&gt;"&amp;""))</f>
        <v>0</v>
      </c>
      <c r="J166" s="163">
        <f>IF(C166="","",COUNTIFS(Başvuru!$C:$C,C166,Başvuru!$L:$L,"ONAY",Başvuru!$A:$A,"&lt;&gt;"&amp;"",Başvuru!$F:$F,"&lt;&gt;"&amp;""))</f>
        <v>0</v>
      </c>
      <c r="K166" s="164">
        <f>IF(C166="","",COUNTIFS(Başvuru!$C:$C,C166,Başvuru!$L:$L,"DÜZELTME",Başvuru!$A:$A,"&lt;&gt;"&amp;"",Başvuru!$F:$F,"&lt;&gt;"&amp;""))</f>
        <v>1</v>
      </c>
      <c r="L166" s="165">
        <f>IF(C166="","",COUNTIFS(Başvuru!$C:$C,C166,Başvuru!$L:$L,"KAEK",Başvuru!$A:$A,"&lt;&gt;"&amp;"",Başvuru!$F:$F,"&lt;&gt;"&amp;""))</f>
        <v>0</v>
      </c>
      <c r="M166" s="166">
        <f>IF(C166="","",COUNTIFS(Başvuru!$C:$C,C166,Başvuru!$L:$L,"GÖRÜŞ",Başvuru!$A:$A,"&lt;&gt;"&amp;"",Başvuru!$F:$F,"&lt;&gt;"&amp;""))</f>
        <v>0</v>
      </c>
      <c r="N166" s="167">
        <f>IF(C166="","",COUNTIFS(Başvuru!$C:$C,C166,Başvuru!$L:$L,"RET",Başvuru!$A:$A,"&lt;&gt;"&amp;"",Başvuru!$F:$F,"&lt;&gt;"&amp;""))</f>
        <v>0</v>
      </c>
      <c r="O166" s="168">
        <f>IF(C166="","",COUNTIFS(Başvuru!$C:$C,C166,Başvuru!$L:$L,"KAPSAM DIŞI",Başvuru!$A:$A,"&lt;&gt;"&amp;"",Başvuru!$F:$F,"&lt;&gt;"&amp;""))</f>
        <v>0</v>
      </c>
      <c r="P166" s="169">
        <f>IF(C166="","",COUNTIFS(Başvuru!$C:$C,C166,Başvuru!$L:$L,"GERİ ÇEKİLDİ",Başvuru!$A:$A,"&lt;&gt;"&amp;"",Başvuru!$F:$F,"&lt;&gt;"&amp;""))</f>
        <v>0</v>
      </c>
      <c r="Q166" s="170" t="str">
        <f>IFERROR(INDEX(Başvuru!$C$2:$C$1851,MATCH(161,Başvuru!$AB$2:$AB$1851,0)),"")</f>
        <v>Öğr. Gör. Dr. Esin ALPDÜNDAR BULUT</v>
      </c>
      <c r="R166" s="171">
        <f>IF(Q166="","",COUNTIFS(Başvuru!$C:$C,Q166,Başvuru!$A:$A,"&lt;&gt;"&amp;"",Başvuru!$F:$F,"&lt;&gt;"&amp;""))</f>
        <v>1</v>
      </c>
      <c r="S166" s="171">
        <f>IF(R166="","",RANK(R166,$R$6:$R$505,0)+COUNTIF($R$6:R166,R166)-1)</f>
        <v>220</v>
      </c>
    </row>
    <row r="167" spans="2:19" ht="23.25" customHeight="1" x14ac:dyDescent="0.25">
      <c r="B167" s="159">
        <v>162</v>
      </c>
      <c r="C167" s="160" t="str">
        <f>IFERROR(INDEX($Q$6:$Q$505,MATCH(162,$S$6:$S$505,0)),"")</f>
        <v>Prof. Dr. N. Dilara ZEYBEK</v>
      </c>
      <c r="D167" s="161">
        <f>IF(C167="","",COUNTIFS(Başvuru!$C:$C,C167,Başvuru!$A:$A,"&lt;&gt;"&amp;"",Başvuru!$F:$F,"&lt;&gt;"&amp;""))</f>
        <v>1</v>
      </c>
      <c r="E167" s="159" t="str">
        <f>IF(C167="","-",IF(D167&gt;0,TEXT(D167/(COUNTIFS(Başvuru!$A:$A,"&lt;&gt;",Başvuru!$F:$F,"&lt;&gt;")-1)*100,"0.0")&amp;"%","-"))</f>
        <v>00%</v>
      </c>
      <c r="F167" s="162">
        <f>IF(C167="","",COUNTIFS(Başvuru!$C:$C,C167,Başvuru!$G:$G,"Bireysel Araştırma",Başvuru!$A:$A,"&lt;&gt;"&amp;"",Başvuru!$F:$F,"&lt;&gt;"&amp;""))</f>
        <v>0</v>
      </c>
      <c r="G167" s="162">
        <f>IF(C167="","",COUNTIFS(Başvuru!$C:$C,C167,Başvuru!$G:$G,"Uzmanlık Tezi",Başvuru!$A:$A,"&lt;&gt;"&amp;"",Başvuru!$F:$F,"&lt;&gt;"&amp;""))</f>
        <v>1</v>
      </c>
      <c r="H167" s="162">
        <f>IF(C167="","",COUNTIFS(Başvuru!$C:$C,C167,Başvuru!$G:$G,"Doktora Tezi",Başvuru!$A:$A,"&lt;&gt;"&amp;"",Başvuru!$F:$F,"&lt;&gt;"&amp;""))</f>
        <v>0</v>
      </c>
      <c r="I167" s="162">
        <f>IF(C167="","",COUNTIFS(Başvuru!$C:$C,C167,Başvuru!$G:$G,"Yüksek Lisans Tezi",Başvuru!$A:$A,"&lt;&gt;"&amp;"",Başvuru!$F:$F,"&lt;&gt;"&amp;""))</f>
        <v>0</v>
      </c>
      <c r="J167" s="163">
        <f>IF(C167="","",COUNTIFS(Başvuru!$C:$C,C167,Başvuru!$L:$L,"ONAY",Başvuru!$A:$A,"&lt;&gt;"&amp;"",Başvuru!$F:$F,"&lt;&gt;"&amp;""))</f>
        <v>0</v>
      </c>
      <c r="K167" s="164">
        <f>IF(C167="","",COUNTIFS(Başvuru!$C:$C,C167,Başvuru!$L:$L,"DÜZELTME",Başvuru!$A:$A,"&lt;&gt;"&amp;"",Başvuru!$F:$F,"&lt;&gt;"&amp;""))</f>
        <v>0</v>
      </c>
      <c r="L167" s="165">
        <f>IF(C167="","",COUNTIFS(Başvuru!$C:$C,C167,Başvuru!$L:$L,"KAEK",Başvuru!$A:$A,"&lt;&gt;"&amp;"",Başvuru!$F:$F,"&lt;&gt;"&amp;""))</f>
        <v>0</v>
      </c>
      <c r="M167" s="166">
        <f>IF(C167="","",COUNTIFS(Başvuru!$C:$C,C167,Başvuru!$L:$L,"GÖRÜŞ",Başvuru!$A:$A,"&lt;&gt;"&amp;"",Başvuru!$F:$F,"&lt;&gt;"&amp;""))</f>
        <v>0</v>
      </c>
      <c r="N167" s="167">
        <f>IF(C167="","",COUNTIFS(Başvuru!$C:$C,C167,Başvuru!$L:$L,"RET",Başvuru!$A:$A,"&lt;&gt;"&amp;"",Başvuru!$F:$F,"&lt;&gt;"&amp;""))</f>
        <v>0</v>
      </c>
      <c r="O167" s="168">
        <f>IF(C167="","",COUNTIFS(Başvuru!$C:$C,C167,Başvuru!$L:$L,"KAPSAM DIŞI",Başvuru!$A:$A,"&lt;&gt;"&amp;"",Başvuru!$F:$F,"&lt;&gt;"&amp;""))</f>
        <v>1</v>
      </c>
      <c r="P167" s="169">
        <f>IF(C167="","",COUNTIFS(Başvuru!$C:$C,C167,Başvuru!$L:$L,"GERİ ÇEKİLDİ",Başvuru!$A:$A,"&lt;&gt;"&amp;"",Başvuru!$F:$F,"&lt;&gt;"&amp;""))</f>
        <v>0</v>
      </c>
      <c r="Q167" s="170" t="str">
        <f>IFERROR(INDEX(Başvuru!$C$2:$C$1851,MATCH(162,Başvuru!$AB$2:$AB$1851,0)),"")</f>
        <v>Prof. Dr. Güliz AKTAŞ</v>
      </c>
      <c r="R167" s="171">
        <f>IF(Q167="","",COUNTIFS(Başvuru!$C:$C,Q167,Başvuru!$A:$A,"&lt;&gt;"&amp;"",Başvuru!$F:$F,"&lt;&gt;"&amp;""))</f>
        <v>2</v>
      </c>
      <c r="S167" s="171">
        <f>IF(R167="","",RANK(R167,$R$6:$R$505,0)+COUNTIF($R$6:R167,R167)-1)</f>
        <v>123</v>
      </c>
    </row>
    <row r="168" spans="2:19" ht="23.25" customHeight="1" x14ac:dyDescent="0.25">
      <c r="B168" s="159">
        <v>163</v>
      </c>
      <c r="C168" s="160" t="str">
        <f>IFERROR(INDEX($Q$6:$Q$505,MATCH(163,$S$6:$S$505,0)),"")</f>
        <v>Prof. Dr. Orhan ODABAŞI</v>
      </c>
      <c r="D168" s="161">
        <f>IF(C168="","",COUNTIFS(Başvuru!$C:$C,C168,Başvuru!$A:$A,"&lt;&gt;"&amp;"",Başvuru!$F:$F,"&lt;&gt;"&amp;""))</f>
        <v>1</v>
      </c>
      <c r="E168" s="159" t="str">
        <f>IF(C168="","-",IF(D168&gt;0,TEXT(D168/(COUNTIFS(Başvuru!$A:$A,"&lt;&gt;",Başvuru!$F:$F,"&lt;&gt;")-1)*100,"0.0")&amp;"%","-"))</f>
        <v>00%</v>
      </c>
      <c r="F168" s="162">
        <f>IF(C168="","",COUNTIFS(Başvuru!$C:$C,C168,Başvuru!$G:$G,"Bireysel Araştırma",Başvuru!$A:$A,"&lt;&gt;"&amp;"",Başvuru!$F:$F,"&lt;&gt;"&amp;""))</f>
        <v>0</v>
      </c>
      <c r="G168" s="162">
        <f>IF(C168="","",COUNTIFS(Başvuru!$C:$C,C168,Başvuru!$G:$G,"Uzmanlık Tezi",Başvuru!$A:$A,"&lt;&gt;"&amp;"",Başvuru!$F:$F,"&lt;&gt;"&amp;""))</f>
        <v>0</v>
      </c>
      <c r="H168" s="162">
        <f>IF(C168="","",COUNTIFS(Başvuru!$C:$C,C168,Başvuru!$G:$G,"Doktora Tezi",Başvuru!$A:$A,"&lt;&gt;"&amp;"",Başvuru!$F:$F,"&lt;&gt;"&amp;""))</f>
        <v>0</v>
      </c>
      <c r="I168" s="162">
        <f>IF(C168="","",COUNTIFS(Başvuru!$C:$C,C168,Başvuru!$G:$G,"Yüksek Lisans Tezi",Başvuru!$A:$A,"&lt;&gt;"&amp;"",Başvuru!$F:$F,"&lt;&gt;"&amp;""))</f>
        <v>1</v>
      </c>
      <c r="J168" s="163">
        <f>IF(C168="","",COUNTIFS(Başvuru!$C:$C,C168,Başvuru!$L:$L,"ONAY",Başvuru!$A:$A,"&lt;&gt;"&amp;"",Başvuru!$F:$F,"&lt;&gt;"&amp;""))</f>
        <v>0</v>
      </c>
      <c r="K168" s="164">
        <f>IF(C168="","",COUNTIFS(Başvuru!$C:$C,C168,Başvuru!$L:$L,"DÜZELTME",Başvuru!$A:$A,"&lt;&gt;"&amp;"",Başvuru!$F:$F,"&lt;&gt;"&amp;""))</f>
        <v>1</v>
      </c>
      <c r="L168" s="165">
        <f>IF(C168="","",COUNTIFS(Başvuru!$C:$C,C168,Başvuru!$L:$L,"KAEK",Başvuru!$A:$A,"&lt;&gt;"&amp;"",Başvuru!$F:$F,"&lt;&gt;"&amp;""))</f>
        <v>0</v>
      </c>
      <c r="M168" s="166">
        <f>IF(C168="","",COUNTIFS(Başvuru!$C:$C,C168,Başvuru!$L:$L,"GÖRÜŞ",Başvuru!$A:$A,"&lt;&gt;"&amp;"",Başvuru!$F:$F,"&lt;&gt;"&amp;""))</f>
        <v>0</v>
      </c>
      <c r="N168" s="167">
        <f>IF(C168="","",COUNTIFS(Başvuru!$C:$C,C168,Başvuru!$L:$L,"RET",Başvuru!$A:$A,"&lt;&gt;"&amp;"",Başvuru!$F:$F,"&lt;&gt;"&amp;""))</f>
        <v>0</v>
      </c>
      <c r="O168" s="168">
        <f>IF(C168="","",COUNTIFS(Başvuru!$C:$C,C168,Başvuru!$L:$L,"KAPSAM DIŞI",Başvuru!$A:$A,"&lt;&gt;"&amp;"",Başvuru!$F:$F,"&lt;&gt;"&amp;""))</f>
        <v>0</v>
      </c>
      <c r="P168" s="169">
        <f>IF(C168="","",COUNTIFS(Başvuru!$C:$C,C168,Başvuru!$L:$L,"GERİ ÇEKİLDİ",Başvuru!$A:$A,"&lt;&gt;"&amp;"",Başvuru!$F:$F,"&lt;&gt;"&amp;""))</f>
        <v>0</v>
      </c>
      <c r="Q168" s="170" t="str">
        <f>IFERROR(INDEX(Başvuru!$C$2:$C$1851,MATCH(163,Başvuru!$AB$2:$AB$1851,0)),"")</f>
        <v>Prof. Dr. Şule ÜNAL CANGÜL</v>
      </c>
      <c r="R168" s="171">
        <f>IF(Q168="","",COUNTIFS(Başvuru!$C:$C,Q168,Başvuru!$A:$A,"&lt;&gt;"&amp;"",Başvuru!$F:$F,"&lt;&gt;"&amp;""))</f>
        <v>5</v>
      </c>
      <c r="S168" s="171">
        <f>IF(R168="","",RANK(R168,$R$6:$R$505,0)+COUNTIF($R$6:R168,R168)-1)</f>
        <v>27</v>
      </c>
    </row>
    <row r="169" spans="2:19" ht="23.25" customHeight="1" x14ac:dyDescent="0.25">
      <c r="B169" s="159">
        <v>164</v>
      </c>
      <c r="C169" s="160" t="str">
        <f>IFERROR(INDEX($Q$6:$Q$505,MATCH(164,$S$6:$S$505,0)),"")</f>
        <v>Prof. Dr. Banu KILIÇASLAN</v>
      </c>
      <c r="D169" s="161">
        <f>IF(C169="","",COUNTIFS(Başvuru!$C:$C,C169,Başvuru!$A:$A,"&lt;&gt;"&amp;"",Başvuru!$F:$F,"&lt;&gt;"&amp;""))</f>
        <v>1</v>
      </c>
      <c r="E169" s="159" t="str">
        <f>IF(C169="","-",IF(D169&gt;0,TEXT(D169/(COUNTIFS(Başvuru!$A:$A,"&lt;&gt;",Başvuru!$F:$F,"&lt;&gt;")-1)*100,"0.0")&amp;"%","-"))</f>
        <v>00%</v>
      </c>
      <c r="F169" s="162">
        <f>IF(C169="","",COUNTIFS(Başvuru!$C:$C,C169,Başvuru!$G:$G,"Bireysel Araştırma",Başvuru!$A:$A,"&lt;&gt;"&amp;"",Başvuru!$F:$F,"&lt;&gt;"&amp;""))</f>
        <v>0</v>
      </c>
      <c r="G169" s="162">
        <f>IF(C169="","",COUNTIFS(Başvuru!$C:$C,C169,Başvuru!$G:$G,"Uzmanlık Tezi",Başvuru!$A:$A,"&lt;&gt;"&amp;"",Başvuru!$F:$F,"&lt;&gt;"&amp;""))</f>
        <v>1</v>
      </c>
      <c r="H169" s="162">
        <f>IF(C169="","",COUNTIFS(Başvuru!$C:$C,C169,Başvuru!$G:$G,"Doktora Tezi",Başvuru!$A:$A,"&lt;&gt;"&amp;"",Başvuru!$F:$F,"&lt;&gt;"&amp;""))</f>
        <v>0</v>
      </c>
      <c r="I169" s="162">
        <f>IF(C169="","",COUNTIFS(Başvuru!$C:$C,C169,Başvuru!$G:$G,"Yüksek Lisans Tezi",Başvuru!$A:$A,"&lt;&gt;"&amp;"",Başvuru!$F:$F,"&lt;&gt;"&amp;""))</f>
        <v>0</v>
      </c>
      <c r="J169" s="163">
        <f>IF(C169="","",COUNTIFS(Başvuru!$C:$C,C169,Başvuru!$L:$L,"ONAY",Başvuru!$A:$A,"&lt;&gt;"&amp;"",Başvuru!$F:$F,"&lt;&gt;"&amp;""))</f>
        <v>0</v>
      </c>
      <c r="K169" s="164">
        <f>IF(C169="","",COUNTIFS(Başvuru!$C:$C,C169,Başvuru!$L:$L,"DÜZELTME",Başvuru!$A:$A,"&lt;&gt;"&amp;"",Başvuru!$F:$F,"&lt;&gt;"&amp;""))</f>
        <v>1</v>
      </c>
      <c r="L169" s="165">
        <f>IF(C169="","",COUNTIFS(Başvuru!$C:$C,C169,Başvuru!$L:$L,"KAEK",Başvuru!$A:$A,"&lt;&gt;"&amp;"",Başvuru!$F:$F,"&lt;&gt;"&amp;""))</f>
        <v>0</v>
      </c>
      <c r="M169" s="166">
        <f>IF(C169="","",COUNTIFS(Başvuru!$C:$C,C169,Başvuru!$L:$L,"GÖRÜŞ",Başvuru!$A:$A,"&lt;&gt;"&amp;"",Başvuru!$F:$F,"&lt;&gt;"&amp;""))</f>
        <v>0</v>
      </c>
      <c r="N169" s="167">
        <f>IF(C169="","",COUNTIFS(Başvuru!$C:$C,C169,Başvuru!$L:$L,"RET",Başvuru!$A:$A,"&lt;&gt;"&amp;"",Başvuru!$F:$F,"&lt;&gt;"&amp;""))</f>
        <v>0</v>
      </c>
      <c r="O169" s="168">
        <f>IF(C169="","",COUNTIFS(Başvuru!$C:$C,C169,Başvuru!$L:$L,"KAPSAM DIŞI",Başvuru!$A:$A,"&lt;&gt;"&amp;"",Başvuru!$F:$F,"&lt;&gt;"&amp;""))</f>
        <v>0</v>
      </c>
      <c r="P169" s="169">
        <f>IF(C169="","",COUNTIFS(Başvuru!$C:$C,C169,Başvuru!$L:$L,"GERİ ÇEKİLDİ",Başvuru!$A:$A,"&lt;&gt;"&amp;"",Başvuru!$F:$F,"&lt;&gt;"&amp;""))</f>
        <v>0</v>
      </c>
      <c r="Q169" s="170" t="str">
        <f>IFERROR(INDEX(Başvuru!$C$2:$C$1851,MATCH(164,Başvuru!$AB$2:$AB$1851,0)),"")</f>
        <v>Prof. Dr. Seda Banu AKINCI</v>
      </c>
      <c r="R169" s="171">
        <f>IF(Q169="","",COUNTIFS(Başvuru!$C:$C,Q169,Başvuru!$A:$A,"&lt;&gt;"&amp;"",Başvuru!$F:$F,"&lt;&gt;"&amp;""))</f>
        <v>3</v>
      </c>
      <c r="S169" s="171">
        <f>IF(R169="","",RANK(R169,$R$6:$R$505,0)+COUNTIF($R$6:R169,R169)-1)</f>
        <v>71</v>
      </c>
    </row>
    <row r="170" spans="2:19" ht="23.25" customHeight="1" x14ac:dyDescent="0.25">
      <c r="B170" s="159">
        <v>165</v>
      </c>
      <c r="C170" s="160" t="str">
        <f>IFERROR(INDEX($Q$6:$Q$505,MATCH(165,$S$6:$S$505,0)),"")</f>
        <v>Doç. Dr. Ulaş KUMBASAR</v>
      </c>
      <c r="D170" s="161">
        <f>IF(C170="","",COUNTIFS(Başvuru!$C:$C,C170,Başvuru!$A:$A,"&lt;&gt;"&amp;"",Başvuru!$F:$F,"&lt;&gt;"&amp;""))</f>
        <v>1</v>
      </c>
      <c r="E170" s="159" t="str">
        <f>IF(C170="","-",IF(D170&gt;0,TEXT(D170/(COUNTIFS(Başvuru!$A:$A,"&lt;&gt;",Başvuru!$F:$F,"&lt;&gt;")-1)*100,"0.0")&amp;"%","-"))</f>
        <v>00%</v>
      </c>
      <c r="F170" s="162">
        <f>IF(C170="","",COUNTIFS(Başvuru!$C:$C,C170,Başvuru!$G:$G,"Bireysel Araştırma",Başvuru!$A:$A,"&lt;&gt;"&amp;"",Başvuru!$F:$F,"&lt;&gt;"&amp;""))</f>
        <v>1</v>
      </c>
      <c r="G170" s="162">
        <f>IF(C170="","",COUNTIFS(Başvuru!$C:$C,C170,Başvuru!$G:$G,"Uzmanlık Tezi",Başvuru!$A:$A,"&lt;&gt;"&amp;"",Başvuru!$F:$F,"&lt;&gt;"&amp;""))</f>
        <v>0</v>
      </c>
      <c r="H170" s="162">
        <f>IF(C170="","",COUNTIFS(Başvuru!$C:$C,C170,Başvuru!$G:$G,"Doktora Tezi",Başvuru!$A:$A,"&lt;&gt;"&amp;"",Başvuru!$F:$F,"&lt;&gt;"&amp;""))</f>
        <v>0</v>
      </c>
      <c r="I170" s="162">
        <f>IF(C170="","",COUNTIFS(Başvuru!$C:$C,C170,Başvuru!$G:$G,"Yüksek Lisans Tezi",Başvuru!$A:$A,"&lt;&gt;"&amp;"",Başvuru!$F:$F,"&lt;&gt;"&amp;""))</f>
        <v>0</v>
      </c>
      <c r="J170" s="163">
        <f>IF(C170="","",COUNTIFS(Başvuru!$C:$C,C170,Başvuru!$L:$L,"ONAY",Başvuru!$A:$A,"&lt;&gt;"&amp;"",Başvuru!$F:$F,"&lt;&gt;"&amp;""))</f>
        <v>1</v>
      </c>
      <c r="K170" s="164">
        <f>IF(C170="","",COUNTIFS(Başvuru!$C:$C,C170,Başvuru!$L:$L,"DÜZELTME",Başvuru!$A:$A,"&lt;&gt;"&amp;"",Başvuru!$F:$F,"&lt;&gt;"&amp;""))</f>
        <v>0</v>
      </c>
      <c r="L170" s="165">
        <f>IF(C170="","",COUNTIFS(Başvuru!$C:$C,C170,Başvuru!$L:$L,"KAEK",Başvuru!$A:$A,"&lt;&gt;"&amp;"",Başvuru!$F:$F,"&lt;&gt;"&amp;""))</f>
        <v>0</v>
      </c>
      <c r="M170" s="166">
        <f>IF(C170="","",COUNTIFS(Başvuru!$C:$C,C170,Başvuru!$L:$L,"GÖRÜŞ",Başvuru!$A:$A,"&lt;&gt;"&amp;"",Başvuru!$F:$F,"&lt;&gt;"&amp;""))</f>
        <v>0</v>
      </c>
      <c r="N170" s="167">
        <f>IF(C170="","",COUNTIFS(Başvuru!$C:$C,C170,Başvuru!$L:$L,"RET",Başvuru!$A:$A,"&lt;&gt;"&amp;"",Başvuru!$F:$F,"&lt;&gt;"&amp;""))</f>
        <v>0</v>
      </c>
      <c r="O170" s="168">
        <f>IF(C170="","",COUNTIFS(Başvuru!$C:$C,C170,Başvuru!$L:$L,"KAPSAM DIŞI",Başvuru!$A:$A,"&lt;&gt;"&amp;"",Başvuru!$F:$F,"&lt;&gt;"&amp;""))</f>
        <v>0</v>
      </c>
      <c r="P170" s="169">
        <f>IF(C170="","",COUNTIFS(Başvuru!$C:$C,C170,Başvuru!$L:$L,"GERİ ÇEKİLDİ",Başvuru!$A:$A,"&lt;&gt;"&amp;"",Başvuru!$F:$F,"&lt;&gt;"&amp;""))</f>
        <v>0</v>
      </c>
      <c r="Q170" s="170" t="str">
        <f>IFERROR(INDEX(Başvuru!$C$2:$C$1851,MATCH(165,Başvuru!$AB$2:$AB$1851,0)),"")</f>
        <v>Doç. Dr. Başak AKÇA</v>
      </c>
      <c r="R170" s="171">
        <f>IF(Q170="","",COUNTIFS(Başvuru!$C:$C,Q170,Başvuru!$A:$A,"&lt;&gt;"&amp;"",Başvuru!$F:$F,"&lt;&gt;"&amp;""))</f>
        <v>1</v>
      </c>
      <c r="S170" s="171">
        <f>IF(R170="","",RANK(R170,$R$6:$R$505,0)+COUNTIF($R$6:R170,R170)-1)</f>
        <v>221</v>
      </c>
    </row>
    <row r="171" spans="2:19" ht="23.25" customHeight="1" x14ac:dyDescent="0.25">
      <c r="B171" s="159">
        <v>166</v>
      </c>
      <c r="C171" s="160" t="str">
        <f>IFERROR(INDEX($Q$6:$Q$505,MATCH(166,$S$6:$S$505,0)),"")</f>
        <v>Prof. Dr. Emre TOSUN</v>
      </c>
      <c r="D171" s="161">
        <f>IF(C171="","",COUNTIFS(Başvuru!$C:$C,C171,Başvuru!$A:$A,"&lt;&gt;"&amp;"",Başvuru!$F:$F,"&lt;&gt;"&amp;""))</f>
        <v>1</v>
      </c>
      <c r="E171" s="159" t="str">
        <f>IF(C171="","-",IF(D171&gt;0,TEXT(D171/(COUNTIFS(Başvuru!$A:$A,"&lt;&gt;",Başvuru!$F:$F,"&lt;&gt;")-1)*100,"0.0")&amp;"%","-"))</f>
        <v>00%</v>
      </c>
      <c r="F171" s="162">
        <f>IF(C171="","",COUNTIFS(Başvuru!$C:$C,C171,Başvuru!$G:$G,"Bireysel Araştırma",Başvuru!$A:$A,"&lt;&gt;"&amp;"",Başvuru!$F:$F,"&lt;&gt;"&amp;""))</f>
        <v>1</v>
      </c>
      <c r="G171" s="162">
        <f>IF(C171="","",COUNTIFS(Başvuru!$C:$C,C171,Başvuru!$G:$G,"Uzmanlık Tezi",Başvuru!$A:$A,"&lt;&gt;"&amp;"",Başvuru!$F:$F,"&lt;&gt;"&amp;""))</f>
        <v>0</v>
      </c>
      <c r="H171" s="162">
        <f>IF(C171="","",COUNTIFS(Başvuru!$C:$C,C171,Başvuru!$G:$G,"Doktora Tezi",Başvuru!$A:$A,"&lt;&gt;"&amp;"",Başvuru!$F:$F,"&lt;&gt;"&amp;""))</f>
        <v>0</v>
      </c>
      <c r="I171" s="162">
        <f>IF(C171="","",COUNTIFS(Başvuru!$C:$C,C171,Başvuru!$G:$G,"Yüksek Lisans Tezi",Başvuru!$A:$A,"&lt;&gt;"&amp;"",Başvuru!$F:$F,"&lt;&gt;"&amp;""))</f>
        <v>0</v>
      </c>
      <c r="J171" s="163">
        <f>IF(C171="","",COUNTIFS(Başvuru!$C:$C,C171,Başvuru!$L:$L,"ONAY",Başvuru!$A:$A,"&lt;&gt;"&amp;"",Başvuru!$F:$F,"&lt;&gt;"&amp;""))</f>
        <v>0</v>
      </c>
      <c r="K171" s="164">
        <f>IF(C171="","",COUNTIFS(Başvuru!$C:$C,C171,Başvuru!$L:$L,"DÜZELTME",Başvuru!$A:$A,"&lt;&gt;"&amp;"",Başvuru!$F:$F,"&lt;&gt;"&amp;""))</f>
        <v>0</v>
      </c>
      <c r="L171" s="165">
        <f>IF(C171="","",COUNTIFS(Başvuru!$C:$C,C171,Başvuru!$L:$L,"KAEK",Başvuru!$A:$A,"&lt;&gt;"&amp;"",Başvuru!$F:$F,"&lt;&gt;"&amp;""))</f>
        <v>0</v>
      </c>
      <c r="M171" s="166">
        <f>IF(C171="","",COUNTIFS(Başvuru!$C:$C,C171,Başvuru!$L:$L,"GÖRÜŞ",Başvuru!$A:$A,"&lt;&gt;"&amp;"",Başvuru!$F:$F,"&lt;&gt;"&amp;""))</f>
        <v>1</v>
      </c>
      <c r="N171" s="167">
        <f>IF(C171="","",COUNTIFS(Başvuru!$C:$C,C171,Başvuru!$L:$L,"RET",Başvuru!$A:$A,"&lt;&gt;"&amp;"",Başvuru!$F:$F,"&lt;&gt;"&amp;""))</f>
        <v>0</v>
      </c>
      <c r="O171" s="168">
        <f>IF(C171="","",COUNTIFS(Başvuru!$C:$C,C171,Başvuru!$L:$L,"KAPSAM DIŞI",Başvuru!$A:$A,"&lt;&gt;"&amp;"",Başvuru!$F:$F,"&lt;&gt;"&amp;""))</f>
        <v>0</v>
      </c>
      <c r="P171" s="169">
        <f>IF(C171="","",COUNTIFS(Başvuru!$C:$C,C171,Başvuru!$L:$L,"GERİ ÇEKİLDİ",Başvuru!$A:$A,"&lt;&gt;"&amp;"",Başvuru!$F:$F,"&lt;&gt;"&amp;""))</f>
        <v>0</v>
      </c>
      <c r="Q171" s="170" t="str">
        <f>IFERROR(INDEX(Başvuru!$C$2:$C$1851,MATCH(166,Başvuru!$AB$2:$AB$1851,0)),"")</f>
        <v>Prof. Dr. Mehmet Cemalettin AKSOY</v>
      </c>
      <c r="R171" s="171">
        <f>IF(Q171="","",COUNTIFS(Başvuru!$C:$C,Q171,Başvuru!$A:$A,"&lt;&gt;"&amp;"",Başvuru!$F:$F,"&lt;&gt;"&amp;""))</f>
        <v>1</v>
      </c>
      <c r="S171" s="171">
        <f>IF(R171="","",RANK(R171,$R$6:$R$505,0)+COUNTIF($R$6:R171,R171)-1)</f>
        <v>222</v>
      </c>
    </row>
    <row r="172" spans="2:19" ht="23.25" customHeight="1" x14ac:dyDescent="0.25">
      <c r="B172" s="159">
        <v>167</v>
      </c>
      <c r="C172" s="160" t="str">
        <f>IFERROR(INDEX($Q$6:$Q$505,MATCH(167,$S$6:$S$505,0)),"")</f>
        <v>Prof. Dr. Müzeyyen Pınar ÖZGEN KIRATLI</v>
      </c>
      <c r="D172" s="161">
        <f>IF(C172="","",COUNTIFS(Başvuru!$C:$C,C172,Başvuru!$A:$A,"&lt;&gt;"&amp;"",Başvuru!$F:$F,"&lt;&gt;"&amp;""))</f>
        <v>1</v>
      </c>
      <c r="E172" s="159" t="str">
        <f>IF(C172="","-",IF(D172&gt;0,TEXT(D172/(COUNTIFS(Başvuru!$A:$A,"&lt;&gt;",Başvuru!$F:$F,"&lt;&gt;")-1)*100,"0.0")&amp;"%","-"))</f>
        <v>00%</v>
      </c>
      <c r="F172" s="162">
        <f>IF(C172="","",COUNTIFS(Başvuru!$C:$C,C172,Başvuru!$G:$G,"Bireysel Araştırma",Başvuru!$A:$A,"&lt;&gt;"&amp;"",Başvuru!$F:$F,"&lt;&gt;"&amp;""))</f>
        <v>1</v>
      </c>
      <c r="G172" s="162">
        <f>IF(C172="","",COUNTIFS(Başvuru!$C:$C,C172,Başvuru!$G:$G,"Uzmanlık Tezi",Başvuru!$A:$A,"&lt;&gt;"&amp;"",Başvuru!$F:$F,"&lt;&gt;"&amp;""))</f>
        <v>0</v>
      </c>
      <c r="H172" s="162">
        <f>IF(C172="","",COUNTIFS(Başvuru!$C:$C,C172,Başvuru!$G:$G,"Doktora Tezi",Başvuru!$A:$A,"&lt;&gt;"&amp;"",Başvuru!$F:$F,"&lt;&gt;"&amp;""))</f>
        <v>0</v>
      </c>
      <c r="I172" s="162">
        <f>IF(C172="","",COUNTIFS(Başvuru!$C:$C,C172,Başvuru!$G:$G,"Yüksek Lisans Tezi",Başvuru!$A:$A,"&lt;&gt;"&amp;"",Başvuru!$F:$F,"&lt;&gt;"&amp;""))</f>
        <v>0</v>
      </c>
      <c r="J172" s="163">
        <f>IF(C172="","",COUNTIFS(Başvuru!$C:$C,C172,Başvuru!$L:$L,"ONAY",Başvuru!$A:$A,"&lt;&gt;"&amp;"",Başvuru!$F:$F,"&lt;&gt;"&amp;""))</f>
        <v>1</v>
      </c>
      <c r="K172" s="164">
        <f>IF(C172="","",COUNTIFS(Başvuru!$C:$C,C172,Başvuru!$L:$L,"DÜZELTME",Başvuru!$A:$A,"&lt;&gt;"&amp;"",Başvuru!$F:$F,"&lt;&gt;"&amp;""))</f>
        <v>0</v>
      </c>
      <c r="L172" s="165">
        <f>IF(C172="","",COUNTIFS(Başvuru!$C:$C,C172,Başvuru!$L:$L,"KAEK",Başvuru!$A:$A,"&lt;&gt;"&amp;"",Başvuru!$F:$F,"&lt;&gt;"&amp;""))</f>
        <v>0</v>
      </c>
      <c r="M172" s="166">
        <f>IF(C172="","",COUNTIFS(Başvuru!$C:$C,C172,Başvuru!$L:$L,"GÖRÜŞ",Başvuru!$A:$A,"&lt;&gt;"&amp;"",Başvuru!$F:$F,"&lt;&gt;"&amp;""))</f>
        <v>0</v>
      </c>
      <c r="N172" s="167">
        <f>IF(C172="","",COUNTIFS(Başvuru!$C:$C,C172,Başvuru!$L:$L,"RET",Başvuru!$A:$A,"&lt;&gt;"&amp;"",Başvuru!$F:$F,"&lt;&gt;"&amp;""))</f>
        <v>0</v>
      </c>
      <c r="O172" s="168">
        <f>IF(C172="","",COUNTIFS(Başvuru!$C:$C,C172,Başvuru!$L:$L,"KAPSAM DIŞI",Başvuru!$A:$A,"&lt;&gt;"&amp;"",Başvuru!$F:$F,"&lt;&gt;"&amp;""))</f>
        <v>0</v>
      </c>
      <c r="P172" s="169">
        <f>IF(C172="","",COUNTIFS(Başvuru!$C:$C,C172,Başvuru!$L:$L,"GERİ ÇEKİLDİ",Başvuru!$A:$A,"&lt;&gt;"&amp;"",Başvuru!$F:$F,"&lt;&gt;"&amp;""))</f>
        <v>0</v>
      </c>
      <c r="Q172" s="170" t="str">
        <f>IFERROR(INDEX(Başvuru!$C$2:$C$1851,MATCH(167,Başvuru!$AB$2:$AB$1851,0)),"")</f>
        <v>Prof. Dr. Murat GÜLTEKİN</v>
      </c>
      <c r="R172" s="171">
        <f>IF(Q172="","",COUNTIFS(Başvuru!$C:$C,Q172,Başvuru!$A:$A,"&lt;&gt;"&amp;"",Başvuru!$F:$F,"&lt;&gt;"&amp;""))</f>
        <v>5</v>
      </c>
      <c r="S172" s="171">
        <f>IF(R172="","",RANK(R172,$R$6:$R$505,0)+COUNTIF($R$6:R172,R172)-1)</f>
        <v>28</v>
      </c>
    </row>
    <row r="173" spans="2:19" ht="23.25" customHeight="1" x14ac:dyDescent="0.25">
      <c r="B173" s="159">
        <v>168</v>
      </c>
      <c r="C173" s="160" t="str">
        <f>IFERROR(INDEX($Q$6:$Q$505,MATCH(168,$S$6:$S$505,0)),"")</f>
        <v>Öğr. Gör. Dr. Burçay TELLİOĞLU</v>
      </c>
      <c r="D173" s="161">
        <f>IF(C173="","",COUNTIFS(Başvuru!$C:$C,C173,Başvuru!$A:$A,"&lt;&gt;"&amp;"",Başvuru!$F:$F,"&lt;&gt;"&amp;""))</f>
        <v>1</v>
      </c>
      <c r="E173" s="159" t="str">
        <f>IF(C173="","-",IF(D173&gt;0,TEXT(D173/(COUNTIFS(Başvuru!$A:$A,"&lt;&gt;",Başvuru!$F:$F,"&lt;&gt;")-1)*100,"0.0")&amp;"%","-"))</f>
        <v>00%</v>
      </c>
      <c r="F173" s="162">
        <f>IF(C173="","",COUNTIFS(Başvuru!$C:$C,C173,Başvuru!$G:$G,"Bireysel Araştırma",Başvuru!$A:$A,"&lt;&gt;"&amp;"",Başvuru!$F:$F,"&lt;&gt;"&amp;""))</f>
        <v>1</v>
      </c>
      <c r="G173" s="162">
        <f>IF(C173="","",COUNTIFS(Başvuru!$C:$C,C173,Başvuru!$G:$G,"Uzmanlık Tezi",Başvuru!$A:$A,"&lt;&gt;"&amp;"",Başvuru!$F:$F,"&lt;&gt;"&amp;""))</f>
        <v>0</v>
      </c>
      <c r="H173" s="162">
        <f>IF(C173="","",COUNTIFS(Başvuru!$C:$C,C173,Başvuru!$G:$G,"Doktora Tezi",Başvuru!$A:$A,"&lt;&gt;"&amp;"",Başvuru!$F:$F,"&lt;&gt;"&amp;""))</f>
        <v>0</v>
      </c>
      <c r="I173" s="162">
        <f>IF(C173="","",COUNTIFS(Başvuru!$C:$C,C173,Başvuru!$G:$G,"Yüksek Lisans Tezi",Başvuru!$A:$A,"&lt;&gt;"&amp;"",Başvuru!$F:$F,"&lt;&gt;"&amp;""))</f>
        <v>0</v>
      </c>
      <c r="J173" s="163">
        <f>IF(C173="","",COUNTIFS(Başvuru!$C:$C,C173,Başvuru!$L:$L,"ONAY",Başvuru!$A:$A,"&lt;&gt;"&amp;"",Başvuru!$F:$F,"&lt;&gt;"&amp;""))</f>
        <v>0</v>
      </c>
      <c r="K173" s="164">
        <f>IF(C173="","",COUNTIFS(Başvuru!$C:$C,C173,Başvuru!$L:$L,"DÜZELTME",Başvuru!$A:$A,"&lt;&gt;"&amp;"",Başvuru!$F:$F,"&lt;&gt;"&amp;""))</f>
        <v>0</v>
      </c>
      <c r="L173" s="165">
        <f>IF(C173="","",COUNTIFS(Başvuru!$C:$C,C173,Başvuru!$L:$L,"KAEK",Başvuru!$A:$A,"&lt;&gt;"&amp;"",Başvuru!$F:$F,"&lt;&gt;"&amp;""))</f>
        <v>0</v>
      </c>
      <c r="M173" s="166">
        <f>IF(C173="","",COUNTIFS(Başvuru!$C:$C,C173,Başvuru!$L:$L,"GÖRÜŞ",Başvuru!$A:$A,"&lt;&gt;"&amp;"",Başvuru!$F:$F,"&lt;&gt;"&amp;""))</f>
        <v>1</v>
      </c>
      <c r="N173" s="167">
        <f>IF(C173="","",COUNTIFS(Başvuru!$C:$C,C173,Başvuru!$L:$L,"RET",Başvuru!$A:$A,"&lt;&gt;"&amp;"",Başvuru!$F:$F,"&lt;&gt;"&amp;""))</f>
        <v>0</v>
      </c>
      <c r="O173" s="168">
        <f>IF(C173="","",COUNTIFS(Başvuru!$C:$C,C173,Başvuru!$L:$L,"KAPSAM DIŞI",Başvuru!$A:$A,"&lt;&gt;"&amp;"",Başvuru!$F:$F,"&lt;&gt;"&amp;""))</f>
        <v>0</v>
      </c>
      <c r="P173" s="169">
        <f>IF(C173="","",COUNTIFS(Başvuru!$C:$C,C173,Başvuru!$L:$L,"GERİ ÇEKİLDİ",Başvuru!$A:$A,"&lt;&gt;"&amp;"",Başvuru!$F:$F,"&lt;&gt;"&amp;""))</f>
        <v>0</v>
      </c>
      <c r="Q173" s="170" t="str">
        <f>IFERROR(INDEX(Başvuru!$C$2:$C$1851,MATCH(168,Başvuru!$AB$2:$AB$1851,0)),"")</f>
        <v>Dr. Öğr. Üyesi Selen ADİLOĞLU</v>
      </c>
      <c r="R173" s="171">
        <f>IF(Q173="","",COUNTIFS(Başvuru!$C:$C,Q173,Başvuru!$A:$A,"&lt;&gt;"&amp;"",Başvuru!$F:$F,"&lt;&gt;"&amp;""))</f>
        <v>4</v>
      </c>
      <c r="S173" s="171">
        <f>IF(R173="","",RANK(R173,$R$6:$R$505,0)+COUNTIF($R$6:R173,R173)-1)</f>
        <v>49</v>
      </c>
    </row>
    <row r="174" spans="2:19" ht="23.25" customHeight="1" x14ac:dyDescent="0.25">
      <c r="B174" s="159">
        <v>169</v>
      </c>
      <c r="C174" s="160" t="str">
        <f>IFERROR(INDEX($Q$6:$Q$505,MATCH(169,$S$6:$S$505,0)),"")</f>
        <v>Prof. Dr. Bülent ALTUN</v>
      </c>
      <c r="D174" s="161">
        <f>IF(C174="","",COUNTIFS(Başvuru!$C:$C,C174,Başvuru!$A:$A,"&lt;&gt;"&amp;"",Başvuru!$F:$F,"&lt;&gt;"&amp;""))</f>
        <v>1</v>
      </c>
      <c r="E174" s="159" t="str">
        <f>IF(C174="","-",IF(D174&gt;0,TEXT(D174/(COUNTIFS(Başvuru!$A:$A,"&lt;&gt;",Başvuru!$F:$F,"&lt;&gt;")-1)*100,"0.0")&amp;"%","-"))</f>
        <v>00%</v>
      </c>
      <c r="F174" s="162">
        <f>IF(C174="","",COUNTIFS(Başvuru!$C:$C,C174,Başvuru!$G:$G,"Bireysel Araştırma",Başvuru!$A:$A,"&lt;&gt;"&amp;"",Başvuru!$F:$F,"&lt;&gt;"&amp;""))</f>
        <v>1</v>
      </c>
      <c r="G174" s="162">
        <f>IF(C174="","",COUNTIFS(Başvuru!$C:$C,C174,Başvuru!$G:$G,"Uzmanlık Tezi",Başvuru!$A:$A,"&lt;&gt;"&amp;"",Başvuru!$F:$F,"&lt;&gt;"&amp;""))</f>
        <v>0</v>
      </c>
      <c r="H174" s="162">
        <f>IF(C174="","",COUNTIFS(Başvuru!$C:$C,C174,Başvuru!$G:$G,"Doktora Tezi",Başvuru!$A:$A,"&lt;&gt;"&amp;"",Başvuru!$F:$F,"&lt;&gt;"&amp;""))</f>
        <v>0</v>
      </c>
      <c r="I174" s="162">
        <f>IF(C174="","",COUNTIFS(Başvuru!$C:$C,C174,Başvuru!$G:$G,"Yüksek Lisans Tezi",Başvuru!$A:$A,"&lt;&gt;"&amp;"",Başvuru!$F:$F,"&lt;&gt;"&amp;""))</f>
        <v>0</v>
      </c>
      <c r="J174" s="163">
        <f>IF(C174="","",COUNTIFS(Başvuru!$C:$C,C174,Başvuru!$L:$L,"ONAY",Başvuru!$A:$A,"&lt;&gt;"&amp;"",Başvuru!$F:$F,"&lt;&gt;"&amp;""))</f>
        <v>1</v>
      </c>
      <c r="K174" s="164">
        <f>IF(C174="","",COUNTIFS(Başvuru!$C:$C,C174,Başvuru!$L:$L,"DÜZELTME",Başvuru!$A:$A,"&lt;&gt;"&amp;"",Başvuru!$F:$F,"&lt;&gt;"&amp;""))</f>
        <v>0</v>
      </c>
      <c r="L174" s="165">
        <f>IF(C174="","",COUNTIFS(Başvuru!$C:$C,C174,Başvuru!$L:$L,"KAEK",Başvuru!$A:$A,"&lt;&gt;"&amp;"",Başvuru!$F:$F,"&lt;&gt;"&amp;""))</f>
        <v>0</v>
      </c>
      <c r="M174" s="166">
        <f>IF(C174="","",COUNTIFS(Başvuru!$C:$C,C174,Başvuru!$L:$L,"GÖRÜŞ",Başvuru!$A:$A,"&lt;&gt;"&amp;"",Başvuru!$F:$F,"&lt;&gt;"&amp;""))</f>
        <v>0</v>
      </c>
      <c r="N174" s="167">
        <f>IF(C174="","",COUNTIFS(Başvuru!$C:$C,C174,Başvuru!$L:$L,"RET",Başvuru!$A:$A,"&lt;&gt;"&amp;"",Başvuru!$F:$F,"&lt;&gt;"&amp;""))</f>
        <v>0</v>
      </c>
      <c r="O174" s="168">
        <f>IF(C174="","",COUNTIFS(Başvuru!$C:$C,C174,Başvuru!$L:$L,"KAPSAM DIŞI",Başvuru!$A:$A,"&lt;&gt;"&amp;"",Başvuru!$F:$F,"&lt;&gt;"&amp;""))</f>
        <v>0</v>
      </c>
      <c r="P174" s="169">
        <f>IF(C174="","",COUNTIFS(Başvuru!$C:$C,C174,Başvuru!$L:$L,"GERİ ÇEKİLDİ",Başvuru!$A:$A,"&lt;&gt;"&amp;"",Başvuru!$F:$F,"&lt;&gt;"&amp;""))</f>
        <v>0</v>
      </c>
      <c r="Q174" s="170" t="str">
        <f>IFERROR(INDEX(Başvuru!$C$2:$C$1851,MATCH(169,Başvuru!$AB$2:$AB$1851,0)),"")</f>
        <v>Prof. Dr. Bülent Enis ŞEKEREL</v>
      </c>
      <c r="R174" s="171">
        <f>IF(Q174="","",COUNTIFS(Başvuru!$C:$C,Q174,Başvuru!$A:$A,"&lt;&gt;"&amp;"",Başvuru!$F:$F,"&lt;&gt;"&amp;""))</f>
        <v>2</v>
      </c>
      <c r="S174" s="171">
        <f>IF(R174="","",RANK(R174,$R$6:$R$505,0)+COUNTIF($R$6:R174,R174)-1)</f>
        <v>124</v>
      </c>
    </row>
    <row r="175" spans="2:19" ht="23.25" customHeight="1" x14ac:dyDescent="0.25">
      <c r="B175" s="159">
        <v>170</v>
      </c>
      <c r="C175" s="160" t="str">
        <f>IFERROR(INDEX($Q$6:$Q$505,MATCH(170,$S$6:$S$505,0)),"")</f>
        <v>Prof. Dr. Ali DÜZOVA</v>
      </c>
      <c r="D175" s="161">
        <f>IF(C175="","",COUNTIFS(Başvuru!$C:$C,C175,Başvuru!$A:$A,"&lt;&gt;"&amp;"",Başvuru!$F:$F,"&lt;&gt;"&amp;""))</f>
        <v>1</v>
      </c>
      <c r="E175" s="159" t="str">
        <f>IF(C175="","-",IF(D175&gt;0,TEXT(D175/(COUNTIFS(Başvuru!$A:$A,"&lt;&gt;",Başvuru!$F:$F,"&lt;&gt;")-1)*100,"0.0")&amp;"%","-"))</f>
        <v>00%</v>
      </c>
      <c r="F175" s="162">
        <f>IF(C175="","",COUNTIFS(Başvuru!$C:$C,C175,Başvuru!$G:$G,"Bireysel Araştırma",Başvuru!$A:$A,"&lt;&gt;"&amp;"",Başvuru!$F:$F,"&lt;&gt;"&amp;""))</f>
        <v>1</v>
      </c>
      <c r="G175" s="162">
        <f>IF(C175="","",COUNTIFS(Başvuru!$C:$C,C175,Başvuru!$G:$G,"Uzmanlık Tezi",Başvuru!$A:$A,"&lt;&gt;"&amp;"",Başvuru!$F:$F,"&lt;&gt;"&amp;""))</f>
        <v>0</v>
      </c>
      <c r="H175" s="162">
        <f>IF(C175="","",COUNTIFS(Başvuru!$C:$C,C175,Başvuru!$G:$G,"Doktora Tezi",Başvuru!$A:$A,"&lt;&gt;"&amp;"",Başvuru!$F:$F,"&lt;&gt;"&amp;""))</f>
        <v>0</v>
      </c>
      <c r="I175" s="162">
        <f>IF(C175="","",COUNTIFS(Başvuru!$C:$C,C175,Başvuru!$G:$G,"Yüksek Lisans Tezi",Başvuru!$A:$A,"&lt;&gt;"&amp;"",Başvuru!$F:$F,"&lt;&gt;"&amp;""))</f>
        <v>0</v>
      </c>
      <c r="J175" s="163">
        <f>IF(C175="","",COUNTIFS(Başvuru!$C:$C,C175,Başvuru!$L:$L,"ONAY",Başvuru!$A:$A,"&lt;&gt;"&amp;"",Başvuru!$F:$F,"&lt;&gt;"&amp;""))</f>
        <v>1</v>
      </c>
      <c r="K175" s="164">
        <f>IF(C175="","",COUNTIFS(Başvuru!$C:$C,C175,Başvuru!$L:$L,"DÜZELTME",Başvuru!$A:$A,"&lt;&gt;"&amp;"",Başvuru!$F:$F,"&lt;&gt;"&amp;""))</f>
        <v>0</v>
      </c>
      <c r="L175" s="165">
        <f>IF(C175="","",COUNTIFS(Başvuru!$C:$C,C175,Başvuru!$L:$L,"KAEK",Başvuru!$A:$A,"&lt;&gt;"&amp;"",Başvuru!$F:$F,"&lt;&gt;"&amp;""))</f>
        <v>0</v>
      </c>
      <c r="M175" s="166">
        <f>IF(C175="","",COUNTIFS(Başvuru!$C:$C,C175,Başvuru!$L:$L,"GÖRÜŞ",Başvuru!$A:$A,"&lt;&gt;"&amp;"",Başvuru!$F:$F,"&lt;&gt;"&amp;""))</f>
        <v>0</v>
      </c>
      <c r="N175" s="167">
        <f>IF(C175="","",COUNTIFS(Başvuru!$C:$C,C175,Başvuru!$L:$L,"RET",Başvuru!$A:$A,"&lt;&gt;"&amp;"",Başvuru!$F:$F,"&lt;&gt;"&amp;""))</f>
        <v>0</v>
      </c>
      <c r="O175" s="168">
        <f>IF(C175="","",COUNTIFS(Başvuru!$C:$C,C175,Başvuru!$L:$L,"KAPSAM DIŞI",Başvuru!$A:$A,"&lt;&gt;"&amp;"",Başvuru!$F:$F,"&lt;&gt;"&amp;""))</f>
        <v>0</v>
      </c>
      <c r="P175" s="169">
        <f>IF(C175="","",COUNTIFS(Başvuru!$C:$C,C175,Başvuru!$L:$L,"GERİ ÇEKİLDİ",Başvuru!$A:$A,"&lt;&gt;"&amp;"",Başvuru!$F:$F,"&lt;&gt;"&amp;""))</f>
        <v>0</v>
      </c>
      <c r="Q175" s="170" t="str">
        <f>IFERROR(INDEX(Başvuru!$C$2:$C$1851,MATCH(170,Başvuru!$AB$2:$AB$1851,0)),"")</f>
        <v>Doç. Dr. Leman AKCAN YILDIZ</v>
      </c>
      <c r="R175" s="171">
        <f>IF(Q175="","",COUNTIFS(Başvuru!$C:$C,Q175,Başvuru!$A:$A,"&lt;&gt;"&amp;"",Başvuru!$F:$F,"&lt;&gt;"&amp;""))</f>
        <v>2</v>
      </c>
      <c r="S175" s="171">
        <f>IF(R175="","",RANK(R175,$R$6:$R$505,0)+COUNTIF($R$6:R175,R175)-1)</f>
        <v>125</v>
      </c>
    </row>
    <row r="176" spans="2:19" ht="23.25" customHeight="1" x14ac:dyDescent="0.25">
      <c r="B176" s="159">
        <v>171</v>
      </c>
      <c r="C176" s="160" t="str">
        <f>IFERROR(INDEX($Q$6:$Q$505,MATCH(171,$S$6:$S$505,0)),"")</f>
        <v>Prof. Dr. Petek KORKUSUZ</v>
      </c>
      <c r="D176" s="161">
        <f>IF(C176="","",COUNTIFS(Başvuru!$C:$C,C176,Başvuru!$A:$A,"&lt;&gt;"&amp;"",Başvuru!$F:$F,"&lt;&gt;"&amp;""))</f>
        <v>1</v>
      </c>
      <c r="E176" s="159" t="str">
        <f>IF(C176="","-",IF(D176&gt;0,TEXT(D176/(COUNTIFS(Başvuru!$A:$A,"&lt;&gt;",Başvuru!$F:$F,"&lt;&gt;")-1)*100,"0.0")&amp;"%","-"))</f>
        <v>00%</v>
      </c>
      <c r="F176" s="162">
        <f>IF(C176="","",COUNTIFS(Başvuru!$C:$C,C176,Başvuru!$G:$G,"Bireysel Araştırma",Başvuru!$A:$A,"&lt;&gt;"&amp;"",Başvuru!$F:$F,"&lt;&gt;"&amp;""))</f>
        <v>1</v>
      </c>
      <c r="G176" s="162">
        <f>IF(C176="","",COUNTIFS(Başvuru!$C:$C,C176,Başvuru!$G:$G,"Uzmanlık Tezi",Başvuru!$A:$A,"&lt;&gt;"&amp;"",Başvuru!$F:$F,"&lt;&gt;"&amp;""))</f>
        <v>0</v>
      </c>
      <c r="H176" s="162">
        <f>IF(C176="","",COUNTIFS(Başvuru!$C:$C,C176,Başvuru!$G:$G,"Doktora Tezi",Başvuru!$A:$A,"&lt;&gt;"&amp;"",Başvuru!$F:$F,"&lt;&gt;"&amp;""))</f>
        <v>0</v>
      </c>
      <c r="I176" s="162">
        <f>IF(C176="","",COUNTIFS(Başvuru!$C:$C,C176,Başvuru!$G:$G,"Yüksek Lisans Tezi",Başvuru!$A:$A,"&lt;&gt;"&amp;"",Başvuru!$F:$F,"&lt;&gt;"&amp;""))</f>
        <v>0</v>
      </c>
      <c r="J176" s="163">
        <f>IF(C176="","",COUNTIFS(Başvuru!$C:$C,C176,Başvuru!$L:$L,"ONAY",Başvuru!$A:$A,"&lt;&gt;"&amp;"",Başvuru!$F:$F,"&lt;&gt;"&amp;""))</f>
        <v>0</v>
      </c>
      <c r="K176" s="164">
        <f>IF(C176="","",COUNTIFS(Başvuru!$C:$C,C176,Başvuru!$L:$L,"DÜZELTME",Başvuru!$A:$A,"&lt;&gt;"&amp;"",Başvuru!$F:$F,"&lt;&gt;"&amp;""))</f>
        <v>1</v>
      </c>
      <c r="L176" s="165">
        <f>IF(C176="","",COUNTIFS(Başvuru!$C:$C,C176,Başvuru!$L:$L,"KAEK",Başvuru!$A:$A,"&lt;&gt;"&amp;"",Başvuru!$F:$F,"&lt;&gt;"&amp;""))</f>
        <v>0</v>
      </c>
      <c r="M176" s="166">
        <f>IF(C176="","",COUNTIFS(Başvuru!$C:$C,C176,Başvuru!$L:$L,"GÖRÜŞ",Başvuru!$A:$A,"&lt;&gt;"&amp;"",Başvuru!$F:$F,"&lt;&gt;"&amp;""))</f>
        <v>0</v>
      </c>
      <c r="N176" s="167">
        <f>IF(C176="","",COUNTIFS(Başvuru!$C:$C,C176,Başvuru!$L:$L,"RET",Başvuru!$A:$A,"&lt;&gt;"&amp;"",Başvuru!$F:$F,"&lt;&gt;"&amp;""))</f>
        <v>0</v>
      </c>
      <c r="O176" s="168">
        <f>IF(C176="","",COUNTIFS(Başvuru!$C:$C,C176,Başvuru!$L:$L,"KAPSAM DIŞI",Başvuru!$A:$A,"&lt;&gt;"&amp;"",Başvuru!$F:$F,"&lt;&gt;"&amp;""))</f>
        <v>0</v>
      </c>
      <c r="P176" s="169">
        <f>IF(C176="","",COUNTIFS(Başvuru!$C:$C,C176,Başvuru!$L:$L,"GERİ ÇEKİLDİ",Başvuru!$A:$A,"&lt;&gt;"&amp;"",Başvuru!$F:$F,"&lt;&gt;"&amp;""))</f>
        <v>0</v>
      </c>
      <c r="Q176" s="170" t="str">
        <f>IFERROR(INDEX(Başvuru!$C$2:$C$1851,MATCH(171,Başvuru!$AB$2:$AB$1851,0)),"")</f>
        <v>Prof. Dr. Ali Rıza TÜMER</v>
      </c>
      <c r="R176" s="171">
        <f>IF(Q176="","",COUNTIFS(Başvuru!$C:$C,Q176,Başvuru!$A:$A,"&lt;&gt;"&amp;"",Başvuru!$F:$F,"&lt;&gt;"&amp;""))</f>
        <v>2</v>
      </c>
      <c r="S176" s="171">
        <f>IF(R176="","",RANK(R176,$R$6:$R$505,0)+COUNTIF($R$6:R176,R176)-1)</f>
        <v>126</v>
      </c>
    </row>
    <row r="177" spans="2:19" ht="23.25" customHeight="1" x14ac:dyDescent="0.25">
      <c r="B177" s="159">
        <v>172</v>
      </c>
      <c r="C177" s="160" t="str">
        <f>IFERROR(INDEX($Q$6:$Q$505,MATCH(172,$S$6:$S$505,0)),"")</f>
        <v>Prof. Dr. Sibel ERSOY EVANS</v>
      </c>
      <c r="D177" s="161">
        <f>IF(C177="","",COUNTIFS(Başvuru!$C:$C,C177,Başvuru!$A:$A,"&lt;&gt;"&amp;"",Başvuru!$F:$F,"&lt;&gt;"&amp;""))</f>
        <v>1</v>
      </c>
      <c r="E177" s="159" t="str">
        <f>IF(C177="","-",IF(D177&gt;0,TEXT(D177/(COUNTIFS(Başvuru!$A:$A,"&lt;&gt;",Başvuru!$F:$F,"&lt;&gt;")-1)*100,"0.0")&amp;"%","-"))</f>
        <v>00%</v>
      </c>
      <c r="F177" s="162">
        <f>IF(C177="","",COUNTIFS(Başvuru!$C:$C,C177,Başvuru!$G:$G,"Bireysel Araştırma",Başvuru!$A:$A,"&lt;&gt;"&amp;"",Başvuru!$F:$F,"&lt;&gt;"&amp;""))</f>
        <v>1</v>
      </c>
      <c r="G177" s="162">
        <f>IF(C177="","",COUNTIFS(Başvuru!$C:$C,C177,Başvuru!$G:$G,"Uzmanlık Tezi",Başvuru!$A:$A,"&lt;&gt;"&amp;"",Başvuru!$F:$F,"&lt;&gt;"&amp;""))</f>
        <v>0</v>
      </c>
      <c r="H177" s="162">
        <f>IF(C177="","",COUNTIFS(Başvuru!$C:$C,C177,Başvuru!$G:$G,"Doktora Tezi",Başvuru!$A:$A,"&lt;&gt;"&amp;"",Başvuru!$F:$F,"&lt;&gt;"&amp;""))</f>
        <v>0</v>
      </c>
      <c r="I177" s="162">
        <f>IF(C177="","",COUNTIFS(Başvuru!$C:$C,C177,Başvuru!$G:$G,"Yüksek Lisans Tezi",Başvuru!$A:$A,"&lt;&gt;"&amp;"",Başvuru!$F:$F,"&lt;&gt;"&amp;""))</f>
        <v>0</v>
      </c>
      <c r="J177" s="163">
        <f>IF(C177="","",COUNTIFS(Başvuru!$C:$C,C177,Başvuru!$L:$L,"ONAY",Başvuru!$A:$A,"&lt;&gt;"&amp;"",Başvuru!$F:$F,"&lt;&gt;"&amp;""))</f>
        <v>0</v>
      </c>
      <c r="K177" s="164">
        <f>IF(C177="","",COUNTIFS(Başvuru!$C:$C,C177,Başvuru!$L:$L,"DÜZELTME",Başvuru!$A:$A,"&lt;&gt;"&amp;"",Başvuru!$F:$F,"&lt;&gt;"&amp;""))</f>
        <v>0</v>
      </c>
      <c r="L177" s="165">
        <f>IF(C177="","",COUNTIFS(Başvuru!$C:$C,C177,Başvuru!$L:$L,"KAEK",Başvuru!$A:$A,"&lt;&gt;"&amp;"",Başvuru!$F:$F,"&lt;&gt;"&amp;""))</f>
        <v>0</v>
      </c>
      <c r="M177" s="166">
        <f>IF(C177="","",COUNTIFS(Başvuru!$C:$C,C177,Başvuru!$L:$L,"GÖRÜŞ",Başvuru!$A:$A,"&lt;&gt;"&amp;"",Başvuru!$F:$F,"&lt;&gt;"&amp;""))</f>
        <v>1</v>
      </c>
      <c r="N177" s="167">
        <f>IF(C177="","",COUNTIFS(Başvuru!$C:$C,C177,Başvuru!$L:$L,"RET",Başvuru!$A:$A,"&lt;&gt;"&amp;"",Başvuru!$F:$F,"&lt;&gt;"&amp;""))</f>
        <v>0</v>
      </c>
      <c r="O177" s="168">
        <f>IF(C177="","",COUNTIFS(Başvuru!$C:$C,C177,Başvuru!$L:$L,"KAPSAM DIŞI",Başvuru!$A:$A,"&lt;&gt;"&amp;"",Başvuru!$F:$F,"&lt;&gt;"&amp;""))</f>
        <v>0</v>
      </c>
      <c r="P177" s="169">
        <f>IF(C177="","",COUNTIFS(Başvuru!$C:$C,C177,Başvuru!$L:$L,"GERİ ÇEKİLDİ",Başvuru!$A:$A,"&lt;&gt;"&amp;"",Başvuru!$F:$F,"&lt;&gt;"&amp;""))</f>
        <v>0</v>
      </c>
      <c r="Q177" s="170" t="str">
        <f>IFERROR(INDEX(Başvuru!$C$2:$C$1851,MATCH(172,Başvuru!$AB$2:$AB$1851,0)),"")</f>
        <v>Prof. Dr. Burcu Balam DOĞU</v>
      </c>
      <c r="R177" s="171">
        <f>IF(Q177="","",COUNTIFS(Başvuru!$C:$C,Q177,Başvuru!$A:$A,"&lt;&gt;"&amp;"",Başvuru!$F:$F,"&lt;&gt;"&amp;""))</f>
        <v>7</v>
      </c>
      <c r="S177" s="171">
        <f>IF(R177="","",RANK(R177,$R$6:$R$505,0)+COUNTIF($R$6:R177,R177)-1)</f>
        <v>14</v>
      </c>
    </row>
    <row r="178" spans="2:19" ht="23.25" customHeight="1" x14ac:dyDescent="0.25">
      <c r="B178" s="159">
        <v>173</v>
      </c>
      <c r="C178" s="160" t="str">
        <f>IFERROR(INDEX($Q$6:$Q$505,MATCH(173,$S$6:$S$505,0)),"")</f>
        <v>Prof. Dr. Oya ÖZDEMİR</v>
      </c>
      <c r="D178" s="161">
        <f>IF(C178="","",COUNTIFS(Başvuru!$C:$C,C178,Başvuru!$A:$A,"&lt;&gt;"&amp;"",Başvuru!$F:$F,"&lt;&gt;"&amp;""))</f>
        <v>1</v>
      </c>
      <c r="E178" s="159" t="str">
        <f>IF(C178="","-",IF(D178&gt;0,TEXT(D178/(COUNTIFS(Başvuru!$A:$A,"&lt;&gt;",Başvuru!$F:$F,"&lt;&gt;")-1)*100,"0.0")&amp;"%","-"))</f>
        <v>00%</v>
      </c>
      <c r="F178" s="162">
        <f>IF(C178="","",COUNTIFS(Başvuru!$C:$C,C178,Başvuru!$G:$G,"Bireysel Araştırma",Başvuru!$A:$A,"&lt;&gt;"&amp;"",Başvuru!$F:$F,"&lt;&gt;"&amp;""))</f>
        <v>0</v>
      </c>
      <c r="G178" s="162">
        <f>IF(C178="","",COUNTIFS(Başvuru!$C:$C,C178,Başvuru!$G:$G,"Uzmanlık Tezi",Başvuru!$A:$A,"&lt;&gt;"&amp;"",Başvuru!$F:$F,"&lt;&gt;"&amp;""))</f>
        <v>1</v>
      </c>
      <c r="H178" s="162">
        <f>IF(C178="","",COUNTIFS(Başvuru!$C:$C,C178,Başvuru!$G:$G,"Doktora Tezi",Başvuru!$A:$A,"&lt;&gt;"&amp;"",Başvuru!$F:$F,"&lt;&gt;"&amp;""))</f>
        <v>0</v>
      </c>
      <c r="I178" s="162">
        <f>IF(C178="","",COUNTIFS(Başvuru!$C:$C,C178,Başvuru!$G:$G,"Yüksek Lisans Tezi",Başvuru!$A:$A,"&lt;&gt;"&amp;"",Başvuru!$F:$F,"&lt;&gt;"&amp;""))</f>
        <v>0</v>
      </c>
      <c r="J178" s="163">
        <f>IF(C178="","",COUNTIFS(Başvuru!$C:$C,C178,Başvuru!$L:$L,"ONAY",Başvuru!$A:$A,"&lt;&gt;"&amp;"",Başvuru!$F:$F,"&lt;&gt;"&amp;""))</f>
        <v>1</v>
      </c>
      <c r="K178" s="164">
        <f>IF(C178="","",COUNTIFS(Başvuru!$C:$C,C178,Başvuru!$L:$L,"DÜZELTME",Başvuru!$A:$A,"&lt;&gt;"&amp;"",Başvuru!$F:$F,"&lt;&gt;"&amp;""))</f>
        <v>0</v>
      </c>
      <c r="L178" s="165">
        <f>IF(C178="","",COUNTIFS(Başvuru!$C:$C,C178,Başvuru!$L:$L,"KAEK",Başvuru!$A:$A,"&lt;&gt;"&amp;"",Başvuru!$F:$F,"&lt;&gt;"&amp;""))</f>
        <v>0</v>
      </c>
      <c r="M178" s="166">
        <f>IF(C178="","",COUNTIFS(Başvuru!$C:$C,C178,Başvuru!$L:$L,"GÖRÜŞ",Başvuru!$A:$A,"&lt;&gt;"&amp;"",Başvuru!$F:$F,"&lt;&gt;"&amp;""))</f>
        <v>0</v>
      </c>
      <c r="N178" s="167">
        <f>IF(C178="","",COUNTIFS(Başvuru!$C:$C,C178,Başvuru!$L:$L,"RET",Başvuru!$A:$A,"&lt;&gt;"&amp;"",Başvuru!$F:$F,"&lt;&gt;"&amp;""))</f>
        <v>0</v>
      </c>
      <c r="O178" s="168">
        <f>IF(C178="","",COUNTIFS(Başvuru!$C:$C,C178,Başvuru!$L:$L,"KAPSAM DIŞI",Başvuru!$A:$A,"&lt;&gt;"&amp;"",Başvuru!$F:$F,"&lt;&gt;"&amp;""))</f>
        <v>0</v>
      </c>
      <c r="P178" s="169">
        <f>IF(C178="","",COUNTIFS(Başvuru!$C:$C,C178,Başvuru!$L:$L,"GERİ ÇEKİLDİ",Başvuru!$A:$A,"&lt;&gt;"&amp;"",Başvuru!$F:$F,"&lt;&gt;"&amp;""))</f>
        <v>0</v>
      </c>
      <c r="Q178" s="170" t="str">
        <f>IFERROR(INDEX(Başvuru!$C$2:$C$1851,MATCH(173,Başvuru!$AB$2:$AB$1851,0)),"")</f>
        <v>Doç. Dr. Emel Tuğba ATAMAN DURUEL</v>
      </c>
      <c r="R178" s="171">
        <f>IF(Q178="","",COUNTIFS(Başvuru!$C:$C,Q178,Başvuru!$A:$A,"&lt;&gt;"&amp;"",Başvuru!$F:$F,"&lt;&gt;"&amp;""))</f>
        <v>1</v>
      </c>
      <c r="S178" s="171">
        <f>IF(R178="","",RANK(R178,$R$6:$R$505,0)+COUNTIF($R$6:R178,R178)-1)</f>
        <v>223</v>
      </c>
    </row>
    <row r="179" spans="2:19" ht="23.25" customHeight="1" x14ac:dyDescent="0.25">
      <c r="B179" s="159">
        <v>174</v>
      </c>
      <c r="C179" s="160" t="str">
        <f>IFERROR(INDEX($Q$6:$Q$505,MATCH(174,$S$6:$S$505,0)),"")</f>
        <v>Prof. Dr. Bahar GÜÇİZ DOĞAN</v>
      </c>
      <c r="D179" s="161">
        <f>IF(C179="","",COUNTIFS(Başvuru!$C:$C,C179,Başvuru!$A:$A,"&lt;&gt;"&amp;"",Başvuru!$F:$F,"&lt;&gt;"&amp;""))</f>
        <v>1</v>
      </c>
      <c r="E179" s="159" t="str">
        <f>IF(C179="","-",IF(D179&gt;0,TEXT(D179/(COUNTIFS(Başvuru!$A:$A,"&lt;&gt;",Başvuru!$F:$F,"&lt;&gt;")-1)*100,"0.0")&amp;"%","-"))</f>
        <v>00%</v>
      </c>
      <c r="F179" s="162">
        <f>IF(C179="","",COUNTIFS(Başvuru!$C:$C,C179,Başvuru!$G:$G,"Bireysel Araştırma",Başvuru!$A:$A,"&lt;&gt;"&amp;"",Başvuru!$F:$F,"&lt;&gt;"&amp;""))</f>
        <v>1</v>
      </c>
      <c r="G179" s="162">
        <f>IF(C179="","",COUNTIFS(Başvuru!$C:$C,C179,Başvuru!$G:$G,"Uzmanlık Tezi",Başvuru!$A:$A,"&lt;&gt;"&amp;"",Başvuru!$F:$F,"&lt;&gt;"&amp;""))</f>
        <v>0</v>
      </c>
      <c r="H179" s="162">
        <f>IF(C179="","",COUNTIFS(Başvuru!$C:$C,C179,Başvuru!$G:$G,"Doktora Tezi",Başvuru!$A:$A,"&lt;&gt;"&amp;"",Başvuru!$F:$F,"&lt;&gt;"&amp;""))</f>
        <v>0</v>
      </c>
      <c r="I179" s="162">
        <f>IF(C179="","",COUNTIFS(Başvuru!$C:$C,C179,Başvuru!$G:$G,"Yüksek Lisans Tezi",Başvuru!$A:$A,"&lt;&gt;"&amp;"",Başvuru!$F:$F,"&lt;&gt;"&amp;""))</f>
        <v>0</v>
      </c>
      <c r="J179" s="163">
        <f>IF(C179="","",COUNTIFS(Başvuru!$C:$C,C179,Başvuru!$L:$L,"ONAY",Başvuru!$A:$A,"&lt;&gt;"&amp;"",Başvuru!$F:$F,"&lt;&gt;"&amp;""))</f>
        <v>0</v>
      </c>
      <c r="K179" s="164">
        <f>IF(C179="","",COUNTIFS(Başvuru!$C:$C,C179,Başvuru!$L:$L,"DÜZELTME",Başvuru!$A:$A,"&lt;&gt;"&amp;"",Başvuru!$F:$F,"&lt;&gt;"&amp;""))</f>
        <v>1</v>
      </c>
      <c r="L179" s="165">
        <f>IF(C179="","",COUNTIFS(Başvuru!$C:$C,C179,Başvuru!$L:$L,"KAEK",Başvuru!$A:$A,"&lt;&gt;"&amp;"",Başvuru!$F:$F,"&lt;&gt;"&amp;""))</f>
        <v>0</v>
      </c>
      <c r="M179" s="166">
        <f>IF(C179="","",COUNTIFS(Başvuru!$C:$C,C179,Başvuru!$L:$L,"GÖRÜŞ",Başvuru!$A:$A,"&lt;&gt;"&amp;"",Başvuru!$F:$F,"&lt;&gt;"&amp;""))</f>
        <v>0</v>
      </c>
      <c r="N179" s="167">
        <f>IF(C179="","",COUNTIFS(Başvuru!$C:$C,C179,Başvuru!$L:$L,"RET",Başvuru!$A:$A,"&lt;&gt;"&amp;"",Başvuru!$F:$F,"&lt;&gt;"&amp;""))</f>
        <v>0</v>
      </c>
      <c r="O179" s="168">
        <f>IF(C179="","",COUNTIFS(Başvuru!$C:$C,C179,Başvuru!$L:$L,"KAPSAM DIŞI",Başvuru!$A:$A,"&lt;&gt;"&amp;"",Başvuru!$F:$F,"&lt;&gt;"&amp;""))</f>
        <v>0</v>
      </c>
      <c r="P179" s="169">
        <f>IF(C179="","",COUNTIFS(Başvuru!$C:$C,C179,Başvuru!$L:$L,"GERİ ÇEKİLDİ",Başvuru!$A:$A,"&lt;&gt;"&amp;"",Başvuru!$F:$F,"&lt;&gt;"&amp;""))</f>
        <v>0</v>
      </c>
      <c r="Q179" s="170" t="str">
        <f>IFERROR(INDEX(Başvuru!$C$2:$C$1851,MATCH(174,Başvuru!$AB$2:$AB$1851,0)),"")</f>
        <v>Doç. Dr. Hayriye HIZARCIOĞLU GÜLŞEN</v>
      </c>
      <c r="R179" s="171">
        <f>IF(Q179="","",COUNTIFS(Başvuru!$C:$C,Q179,Başvuru!$A:$A,"&lt;&gt;"&amp;"",Başvuru!$F:$F,"&lt;&gt;"&amp;""))</f>
        <v>3</v>
      </c>
      <c r="S179" s="171">
        <f>IF(R179="","",RANK(R179,$R$6:$R$505,0)+COUNTIF($R$6:R179,R179)-1)</f>
        <v>72</v>
      </c>
    </row>
    <row r="180" spans="2:19" ht="23.25" customHeight="1" x14ac:dyDescent="0.25">
      <c r="B180" s="159">
        <v>175</v>
      </c>
      <c r="C180" s="160" t="str">
        <f>IFERROR(INDEX($Q$6:$Q$505,MATCH(175,$S$6:$S$505,0)),"")</f>
        <v>Prof. Dr. Mehmet Akif TOPÇUOĞLU</v>
      </c>
      <c r="D180" s="161">
        <f>IF(C180="","",COUNTIFS(Başvuru!$C:$C,C180,Başvuru!$A:$A,"&lt;&gt;"&amp;"",Başvuru!$F:$F,"&lt;&gt;"&amp;""))</f>
        <v>1</v>
      </c>
      <c r="E180" s="159" t="str">
        <f>IF(C180="","-",IF(D180&gt;0,TEXT(D180/(COUNTIFS(Başvuru!$A:$A,"&lt;&gt;",Başvuru!$F:$F,"&lt;&gt;")-1)*100,"0.0")&amp;"%","-"))</f>
        <v>00%</v>
      </c>
      <c r="F180" s="162">
        <f>IF(C180="","",COUNTIFS(Başvuru!$C:$C,C180,Başvuru!$G:$G,"Bireysel Araştırma",Başvuru!$A:$A,"&lt;&gt;"&amp;"",Başvuru!$F:$F,"&lt;&gt;"&amp;""))</f>
        <v>1</v>
      </c>
      <c r="G180" s="162">
        <f>IF(C180="","",COUNTIFS(Başvuru!$C:$C,C180,Başvuru!$G:$G,"Uzmanlık Tezi",Başvuru!$A:$A,"&lt;&gt;"&amp;"",Başvuru!$F:$F,"&lt;&gt;"&amp;""))</f>
        <v>0</v>
      </c>
      <c r="H180" s="162">
        <f>IF(C180="","",COUNTIFS(Başvuru!$C:$C,C180,Başvuru!$G:$G,"Doktora Tezi",Başvuru!$A:$A,"&lt;&gt;"&amp;"",Başvuru!$F:$F,"&lt;&gt;"&amp;""))</f>
        <v>0</v>
      </c>
      <c r="I180" s="162">
        <f>IF(C180="","",COUNTIFS(Başvuru!$C:$C,C180,Başvuru!$G:$G,"Yüksek Lisans Tezi",Başvuru!$A:$A,"&lt;&gt;"&amp;"",Başvuru!$F:$F,"&lt;&gt;"&amp;""))</f>
        <v>0</v>
      </c>
      <c r="J180" s="163">
        <f>IF(C180="","",COUNTIFS(Başvuru!$C:$C,C180,Başvuru!$L:$L,"ONAY",Başvuru!$A:$A,"&lt;&gt;"&amp;"",Başvuru!$F:$F,"&lt;&gt;"&amp;""))</f>
        <v>1</v>
      </c>
      <c r="K180" s="164">
        <f>IF(C180="","",COUNTIFS(Başvuru!$C:$C,C180,Başvuru!$L:$L,"DÜZELTME",Başvuru!$A:$A,"&lt;&gt;"&amp;"",Başvuru!$F:$F,"&lt;&gt;"&amp;""))</f>
        <v>0</v>
      </c>
      <c r="L180" s="165">
        <f>IF(C180="","",COUNTIFS(Başvuru!$C:$C,C180,Başvuru!$L:$L,"KAEK",Başvuru!$A:$A,"&lt;&gt;"&amp;"",Başvuru!$F:$F,"&lt;&gt;"&amp;""))</f>
        <v>0</v>
      </c>
      <c r="M180" s="166">
        <f>IF(C180="","",COUNTIFS(Başvuru!$C:$C,C180,Başvuru!$L:$L,"GÖRÜŞ",Başvuru!$A:$A,"&lt;&gt;"&amp;"",Başvuru!$F:$F,"&lt;&gt;"&amp;""))</f>
        <v>0</v>
      </c>
      <c r="N180" s="167">
        <f>IF(C180="","",COUNTIFS(Başvuru!$C:$C,C180,Başvuru!$L:$L,"RET",Başvuru!$A:$A,"&lt;&gt;"&amp;"",Başvuru!$F:$F,"&lt;&gt;"&amp;""))</f>
        <v>0</v>
      </c>
      <c r="O180" s="168">
        <f>IF(C180="","",COUNTIFS(Başvuru!$C:$C,C180,Başvuru!$L:$L,"KAPSAM DIŞI",Başvuru!$A:$A,"&lt;&gt;"&amp;"",Başvuru!$F:$F,"&lt;&gt;"&amp;""))</f>
        <v>0</v>
      </c>
      <c r="P180" s="169">
        <f>IF(C180="","",COUNTIFS(Başvuru!$C:$C,C180,Başvuru!$L:$L,"GERİ ÇEKİLDİ",Başvuru!$A:$A,"&lt;&gt;"&amp;"",Başvuru!$F:$F,"&lt;&gt;"&amp;""))</f>
        <v>0</v>
      </c>
      <c r="Q180" s="170" t="str">
        <f>IFERROR(INDEX(Başvuru!$C$2:$C$1851,MATCH(175,Başvuru!$AB$2:$AB$1851,0)),"")</f>
        <v>Dr. Öğr. Üyesi Gizem ÜREL DEMİR</v>
      </c>
      <c r="R180" s="171">
        <f>IF(Q180="","",COUNTIFS(Başvuru!$C:$C,Q180,Başvuru!$A:$A,"&lt;&gt;"&amp;"",Başvuru!$F:$F,"&lt;&gt;"&amp;""))</f>
        <v>3</v>
      </c>
      <c r="S180" s="171">
        <f>IF(R180="","",RANK(R180,$R$6:$R$505,0)+COUNTIF($R$6:R180,R180)-1)</f>
        <v>73</v>
      </c>
    </row>
    <row r="181" spans="2:19" ht="23.25" customHeight="1" x14ac:dyDescent="0.25">
      <c r="B181" s="159">
        <v>176</v>
      </c>
      <c r="C181" s="160" t="str">
        <f>IFERROR(INDEX($Q$6:$Q$505,MATCH(176,$S$6:$S$505,0)),"")</f>
        <v>Arş. Gör. Dr. Aycan UYSAL</v>
      </c>
      <c r="D181" s="161">
        <f>IF(C181="","",COUNTIFS(Başvuru!$C:$C,C181,Başvuru!$A:$A,"&lt;&gt;"&amp;"",Başvuru!$F:$F,"&lt;&gt;"&amp;""))</f>
        <v>1</v>
      </c>
      <c r="E181" s="159" t="str">
        <f>IF(C181="","-",IF(D181&gt;0,TEXT(D181/(COUNTIFS(Başvuru!$A:$A,"&lt;&gt;",Başvuru!$F:$F,"&lt;&gt;")-1)*100,"0.0")&amp;"%","-"))</f>
        <v>00%</v>
      </c>
      <c r="F181" s="162">
        <f>IF(C181="","",COUNTIFS(Başvuru!$C:$C,C181,Başvuru!$G:$G,"Bireysel Araştırma",Başvuru!$A:$A,"&lt;&gt;"&amp;"",Başvuru!$F:$F,"&lt;&gt;"&amp;""))</f>
        <v>1</v>
      </c>
      <c r="G181" s="162">
        <f>IF(C181="","",COUNTIFS(Başvuru!$C:$C,C181,Başvuru!$G:$G,"Uzmanlık Tezi",Başvuru!$A:$A,"&lt;&gt;"&amp;"",Başvuru!$F:$F,"&lt;&gt;"&amp;""))</f>
        <v>0</v>
      </c>
      <c r="H181" s="162">
        <f>IF(C181="","",COUNTIFS(Başvuru!$C:$C,C181,Başvuru!$G:$G,"Doktora Tezi",Başvuru!$A:$A,"&lt;&gt;"&amp;"",Başvuru!$F:$F,"&lt;&gt;"&amp;""))</f>
        <v>0</v>
      </c>
      <c r="I181" s="162">
        <f>IF(C181="","",COUNTIFS(Başvuru!$C:$C,C181,Başvuru!$G:$G,"Yüksek Lisans Tezi",Başvuru!$A:$A,"&lt;&gt;"&amp;"",Başvuru!$F:$F,"&lt;&gt;"&amp;""))</f>
        <v>0</v>
      </c>
      <c r="J181" s="163">
        <f>IF(C181="","",COUNTIFS(Başvuru!$C:$C,C181,Başvuru!$L:$L,"ONAY",Başvuru!$A:$A,"&lt;&gt;"&amp;"",Başvuru!$F:$F,"&lt;&gt;"&amp;""))</f>
        <v>0</v>
      </c>
      <c r="K181" s="164">
        <f>IF(C181="","",COUNTIFS(Başvuru!$C:$C,C181,Başvuru!$L:$L,"DÜZELTME",Başvuru!$A:$A,"&lt;&gt;"&amp;"",Başvuru!$F:$F,"&lt;&gt;"&amp;""))</f>
        <v>1</v>
      </c>
      <c r="L181" s="165">
        <f>IF(C181="","",COUNTIFS(Başvuru!$C:$C,C181,Başvuru!$L:$L,"KAEK",Başvuru!$A:$A,"&lt;&gt;"&amp;"",Başvuru!$F:$F,"&lt;&gt;"&amp;""))</f>
        <v>0</v>
      </c>
      <c r="M181" s="166">
        <f>IF(C181="","",COUNTIFS(Başvuru!$C:$C,C181,Başvuru!$L:$L,"GÖRÜŞ",Başvuru!$A:$A,"&lt;&gt;"&amp;"",Başvuru!$F:$F,"&lt;&gt;"&amp;""))</f>
        <v>0</v>
      </c>
      <c r="N181" s="167">
        <f>IF(C181="","",COUNTIFS(Başvuru!$C:$C,C181,Başvuru!$L:$L,"RET",Başvuru!$A:$A,"&lt;&gt;"&amp;"",Başvuru!$F:$F,"&lt;&gt;"&amp;""))</f>
        <v>0</v>
      </c>
      <c r="O181" s="168">
        <f>IF(C181="","",COUNTIFS(Başvuru!$C:$C,C181,Başvuru!$L:$L,"KAPSAM DIŞI",Başvuru!$A:$A,"&lt;&gt;"&amp;"",Başvuru!$F:$F,"&lt;&gt;"&amp;""))</f>
        <v>0</v>
      </c>
      <c r="P181" s="169">
        <f>IF(C181="","",COUNTIFS(Başvuru!$C:$C,C181,Başvuru!$L:$L,"GERİ ÇEKİLDİ",Başvuru!$A:$A,"&lt;&gt;"&amp;"",Başvuru!$F:$F,"&lt;&gt;"&amp;""))</f>
        <v>0</v>
      </c>
      <c r="Q181" s="170" t="str">
        <f>IFERROR(INDEX(Başvuru!$C$2:$C$1851,MATCH(176,Başvuru!$AB$2:$AB$1851,0)),"")</f>
        <v>Dr. Öğr. Üyesi Sefa Burak ÇAM</v>
      </c>
      <c r="R181" s="171">
        <f>IF(Q181="","",COUNTIFS(Başvuru!$C:$C,Q181,Başvuru!$A:$A,"&lt;&gt;"&amp;"",Başvuru!$F:$F,"&lt;&gt;"&amp;""))</f>
        <v>1</v>
      </c>
      <c r="S181" s="171">
        <f>IF(R181="","",RANK(R181,$R$6:$R$505,0)+COUNTIF($R$6:R181,R181)-1)</f>
        <v>224</v>
      </c>
    </row>
    <row r="182" spans="2:19" ht="23.25" customHeight="1" x14ac:dyDescent="0.25">
      <c r="B182" s="159">
        <v>177</v>
      </c>
      <c r="C182" s="160" t="str">
        <f>IFERROR(INDEX($Q$6:$Q$505,MATCH(177,$S$6:$S$505,0)),"")</f>
        <v>Doç. Dr. Ekim GÜMELER</v>
      </c>
      <c r="D182" s="161">
        <f>IF(C182="","",COUNTIFS(Başvuru!$C:$C,C182,Başvuru!$A:$A,"&lt;&gt;"&amp;"",Başvuru!$F:$F,"&lt;&gt;"&amp;""))</f>
        <v>1</v>
      </c>
      <c r="E182" s="159" t="str">
        <f>IF(C182="","-",IF(D182&gt;0,TEXT(D182/(COUNTIFS(Başvuru!$A:$A,"&lt;&gt;",Başvuru!$F:$F,"&lt;&gt;")-1)*100,"0.0")&amp;"%","-"))</f>
        <v>00%</v>
      </c>
      <c r="F182" s="162">
        <f>IF(C182="","",COUNTIFS(Başvuru!$C:$C,C182,Başvuru!$G:$G,"Bireysel Araştırma",Başvuru!$A:$A,"&lt;&gt;"&amp;"",Başvuru!$F:$F,"&lt;&gt;"&amp;""))</f>
        <v>0</v>
      </c>
      <c r="G182" s="162">
        <f>IF(C182="","",COUNTIFS(Başvuru!$C:$C,C182,Başvuru!$G:$G,"Uzmanlık Tezi",Başvuru!$A:$A,"&lt;&gt;"&amp;"",Başvuru!$F:$F,"&lt;&gt;"&amp;""))</f>
        <v>1</v>
      </c>
      <c r="H182" s="162">
        <f>IF(C182="","",COUNTIFS(Başvuru!$C:$C,C182,Başvuru!$G:$G,"Doktora Tezi",Başvuru!$A:$A,"&lt;&gt;"&amp;"",Başvuru!$F:$F,"&lt;&gt;"&amp;""))</f>
        <v>0</v>
      </c>
      <c r="I182" s="162">
        <f>IF(C182="","",COUNTIFS(Başvuru!$C:$C,C182,Başvuru!$G:$G,"Yüksek Lisans Tezi",Başvuru!$A:$A,"&lt;&gt;"&amp;"",Başvuru!$F:$F,"&lt;&gt;"&amp;""))</f>
        <v>0</v>
      </c>
      <c r="J182" s="163">
        <f>IF(C182="","",COUNTIFS(Başvuru!$C:$C,C182,Başvuru!$L:$L,"ONAY",Başvuru!$A:$A,"&lt;&gt;"&amp;"",Başvuru!$F:$F,"&lt;&gt;"&amp;""))</f>
        <v>1</v>
      </c>
      <c r="K182" s="164">
        <f>IF(C182="","",COUNTIFS(Başvuru!$C:$C,C182,Başvuru!$L:$L,"DÜZELTME",Başvuru!$A:$A,"&lt;&gt;"&amp;"",Başvuru!$F:$F,"&lt;&gt;"&amp;""))</f>
        <v>0</v>
      </c>
      <c r="L182" s="165">
        <f>IF(C182="","",COUNTIFS(Başvuru!$C:$C,C182,Başvuru!$L:$L,"KAEK",Başvuru!$A:$A,"&lt;&gt;"&amp;"",Başvuru!$F:$F,"&lt;&gt;"&amp;""))</f>
        <v>0</v>
      </c>
      <c r="M182" s="166">
        <f>IF(C182="","",COUNTIFS(Başvuru!$C:$C,C182,Başvuru!$L:$L,"GÖRÜŞ",Başvuru!$A:$A,"&lt;&gt;"&amp;"",Başvuru!$F:$F,"&lt;&gt;"&amp;""))</f>
        <v>0</v>
      </c>
      <c r="N182" s="167">
        <f>IF(C182="","",COUNTIFS(Başvuru!$C:$C,C182,Başvuru!$L:$L,"RET",Başvuru!$A:$A,"&lt;&gt;"&amp;"",Başvuru!$F:$F,"&lt;&gt;"&amp;""))</f>
        <v>0</v>
      </c>
      <c r="O182" s="168">
        <f>IF(C182="","",COUNTIFS(Başvuru!$C:$C,C182,Başvuru!$L:$L,"KAPSAM DIŞI",Başvuru!$A:$A,"&lt;&gt;"&amp;"",Başvuru!$F:$F,"&lt;&gt;"&amp;""))</f>
        <v>0</v>
      </c>
      <c r="P182" s="169">
        <f>IF(C182="","",COUNTIFS(Başvuru!$C:$C,C182,Başvuru!$L:$L,"GERİ ÇEKİLDİ",Başvuru!$A:$A,"&lt;&gt;"&amp;"",Başvuru!$F:$F,"&lt;&gt;"&amp;""))</f>
        <v>0</v>
      </c>
      <c r="Q182" s="170" t="str">
        <f>IFERROR(INDEX(Başvuru!$C$2:$C$1851,MATCH(177,Başvuru!$AB$2:$AB$1851,0)),"")</f>
        <v>Doç. Dr. Fatma Gonca ELDEM</v>
      </c>
      <c r="R182" s="171">
        <f>IF(Q182="","",COUNTIFS(Başvuru!$C:$C,Q182,Başvuru!$A:$A,"&lt;&gt;"&amp;"",Başvuru!$F:$F,"&lt;&gt;"&amp;""))</f>
        <v>1</v>
      </c>
      <c r="S182" s="171">
        <f>IF(R182="","",RANK(R182,$R$6:$R$505,0)+COUNTIF($R$6:R182,R182)-1)</f>
        <v>225</v>
      </c>
    </row>
    <row r="183" spans="2:19" ht="23.25" customHeight="1" x14ac:dyDescent="0.25">
      <c r="B183" s="159">
        <v>178</v>
      </c>
      <c r="C183" s="160" t="str">
        <f>IFERROR(INDEX($Q$6:$Q$505,MATCH(178,$S$6:$S$505,0)),"")</f>
        <v>Prof. Dr. Ömer UĞUR</v>
      </c>
      <c r="D183" s="161">
        <f>IF(C183="","",COUNTIFS(Başvuru!$C:$C,C183,Başvuru!$A:$A,"&lt;&gt;"&amp;"",Başvuru!$F:$F,"&lt;&gt;"&amp;""))</f>
        <v>1</v>
      </c>
      <c r="E183" s="159" t="str">
        <f>IF(C183="","-",IF(D183&gt;0,TEXT(D183/(COUNTIFS(Başvuru!$A:$A,"&lt;&gt;",Başvuru!$F:$F,"&lt;&gt;")-1)*100,"0.0")&amp;"%","-"))</f>
        <v>00%</v>
      </c>
      <c r="F183" s="162">
        <f>IF(C183="","",COUNTIFS(Başvuru!$C:$C,C183,Başvuru!$G:$G,"Bireysel Araştırma",Başvuru!$A:$A,"&lt;&gt;"&amp;"",Başvuru!$F:$F,"&lt;&gt;"&amp;""))</f>
        <v>1</v>
      </c>
      <c r="G183" s="162">
        <f>IF(C183="","",COUNTIFS(Başvuru!$C:$C,C183,Başvuru!$G:$G,"Uzmanlık Tezi",Başvuru!$A:$A,"&lt;&gt;"&amp;"",Başvuru!$F:$F,"&lt;&gt;"&amp;""))</f>
        <v>0</v>
      </c>
      <c r="H183" s="162">
        <f>IF(C183="","",COUNTIFS(Başvuru!$C:$C,C183,Başvuru!$G:$G,"Doktora Tezi",Başvuru!$A:$A,"&lt;&gt;"&amp;"",Başvuru!$F:$F,"&lt;&gt;"&amp;""))</f>
        <v>0</v>
      </c>
      <c r="I183" s="162">
        <f>IF(C183="","",COUNTIFS(Başvuru!$C:$C,C183,Başvuru!$G:$G,"Yüksek Lisans Tezi",Başvuru!$A:$A,"&lt;&gt;"&amp;"",Başvuru!$F:$F,"&lt;&gt;"&amp;""))</f>
        <v>0</v>
      </c>
      <c r="J183" s="163">
        <f>IF(C183="","",COUNTIFS(Başvuru!$C:$C,C183,Başvuru!$L:$L,"ONAY",Başvuru!$A:$A,"&lt;&gt;"&amp;"",Başvuru!$F:$F,"&lt;&gt;"&amp;""))</f>
        <v>1</v>
      </c>
      <c r="K183" s="164">
        <f>IF(C183="","",COUNTIFS(Başvuru!$C:$C,C183,Başvuru!$L:$L,"DÜZELTME",Başvuru!$A:$A,"&lt;&gt;"&amp;"",Başvuru!$F:$F,"&lt;&gt;"&amp;""))</f>
        <v>0</v>
      </c>
      <c r="L183" s="165">
        <f>IF(C183="","",COUNTIFS(Başvuru!$C:$C,C183,Başvuru!$L:$L,"KAEK",Başvuru!$A:$A,"&lt;&gt;"&amp;"",Başvuru!$F:$F,"&lt;&gt;"&amp;""))</f>
        <v>0</v>
      </c>
      <c r="M183" s="166">
        <f>IF(C183="","",COUNTIFS(Başvuru!$C:$C,C183,Başvuru!$L:$L,"GÖRÜŞ",Başvuru!$A:$A,"&lt;&gt;"&amp;"",Başvuru!$F:$F,"&lt;&gt;"&amp;""))</f>
        <v>0</v>
      </c>
      <c r="N183" s="167">
        <f>IF(C183="","",COUNTIFS(Başvuru!$C:$C,C183,Başvuru!$L:$L,"RET",Başvuru!$A:$A,"&lt;&gt;"&amp;"",Başvuru!$F:$F,"&lt;&gt;"&amp;""))</f>
        <v>0</v>
      </c>
      <c r="O183" s="168">
        <f>IF(C183="","",COUNTIFS(Başvuru!$C:$C,C183,Başvuru!$L:$L,"KAPSAM DIŞI",Başvuru!$A:$A,"&lt;&gt;"&amp;"",Başvuru!$F:$F,"&lt;&gt;"&amp;""))</f>
        <v>0</v>
      </c>
      <c r="P183" s="169">
        <f>IF(C183="","",COUNTIFS(Başvuru!$C:$C,C183,Başvuru!$L:$L,"GERİ ÇEKİLDİ",Başvuru!$A:$A,"&lt;&gt;"&amp;"",Başvuru!$F:$F,"&lt;&gt;"&amp;""))</f>
        <v>0</v>
      </c>
      <c r="Q183" s="170" t="str">
        <f>IFERROR(INDEX(Başvuru!$C$2:$C$1851,MATCH(178,Başvuru!$AB$2:$AB$1851,0)),"")</f>
        <v>Prof. Dr. İnci Nur SALTIK</v>
      </c>
      <c r="R183" s="171">
        <f>IF(Q183="","",COUNTIFS(Başvuru!$C:$C,Q183,Başvuru!$A:$A,"&lt;&gt;"&amp;"",Başvuru!$F:$F,"&lt;&gt;"&amp;""))</f>
        <v>2</v>
      </c>
      <c r="S183" s="171">
        <f>IF(R183="","",RANK(R183,$R$6:$R$505,0)+COUNTIF($R$6:R183,R183)-1)</f>
        <v>127</v>
      </c>
    </row>
    <row r="184" spans="2:19" ht="23.25" customHeight="1" x14ac:dyDescent="0.25">
      <c r="B184" s="159">
        <v>179</v>
      </c>
      <c r="C184" s="160" t="str">
        <f>IFERROR(INDEX($Q$6:$Q$505,MATCH(179,$S$6:$S$505,0)),"")</f>
        <v>Dr. Natalia RAKİSLOVA</v>
      </c>
      <c r="D184" s="161">
        <f>IF(C184="","",COUNTIFS(Başvuru!$C:$C,C184,Başvuru!$A:$A,"&lt;&gt;"&amp;"",Başvuru!$F:$F,"&lt;&gt;"&amp;""))</f>
        <v>1</v>
      </c>
      <c r="E184" s="159" t="str">
        <f>IF(C184="","-",IF(D184&gt;0,TEXT(D184/(COUNTIFS(Başvuru!$A:$A,"&lt;&gt;",Başvuru!$F:$F,"&lt;&gt;")-1)*100,"0.0")&amp;"%","-"))</f>
        <v>00%</v>
      </c>
      <c r="F184" s="162">
        <f>IF(C184="","",COUNTIFS(Başvuru!$C:$C,C184,Başvuru!$G:$G,"Bireysel Araştırma",Başvuru!$A:$A,"&lt;&gt;"&amp;"",Başvuru!$F:$F,"&lt;&gt;"&amp;""))</f>
        <v>1</v>
      </c>
      <c r="G184" s="162">
        <f>IF(C184="","",COUNTIFS(Başvuru!$C:$C,C184,Başvuru!$G:$G,"Uzmanlık Tezi",Başvuru!$A:$A,"&lt;&gt;"&amp;"",Başvuru!$F:$F,"&lt;&gt;"&amp;""))</f>
        <v>0</v>
      </c>
      <c r="H184" s="162">
        <f>IF(C184="","",COUNTIFS(Başvuru!$C:$C,C184,Başvuru!$G:$G,"Doktora Tezi",Başvuru!$A:$A,"&lt;&gt;"&amp;"",Başvuru!$F:$F,"&lt;&gt;"&amp;""))</f>
        <v>0</v>
      </c>
      <c r="I184" s="162">
        <f>IF(C184="","",COUNTIFS(Başvuru!$C:$C,C184,Başvuru!$G:$G,"Yüksek Lisans Tezi",Başvuru!$A:$A,"&lt;&gt;"&amp;"",Başvuru!$F:$F,"&lt;&gt;"&amp;""))</f>
        <v>0</v>
      </c>
      <c r="J184" s="163">
        <f>IF(C184="","",COUNTIFS(Başvuru!$C:$C,C184,Başvuru!$L:$L,"ONAY",Başvuru!$A:$A,"&lt;&gt;"&amp;"",Başvuru!$F:$F,"&lt;&gt;"&amp;""))</f>
        <v>0</v>
      </c>
      <c r="K184" s="164">
        <f>IF(C184="","",COUNTIFS(Başvuru!$C:$C,C184,Başvuru!$L:$L,"DÜZELTME",Başvuru!$A:$A,"&lt;&gt;"&amp;"",Başvuru!$F:$F,"&lt;&gt;"&amp;""))</f>
        <v>1</v>
      </c>
      <c r="L184" s="165">
        <f>IF(C184="","",COUNTIFS(Başvuru!$C:$C,C184,Başvuru!$L:$L,"KAEK",Başvuru!$A:$A,"&lt;&gt;"&amp;"",Başvuru!$F:$F,"&lt;&gt;"&amp;""))</f>
        <v>0</v>
      </c>
      <c r="M184" s="166">
        <f>IF(C184="","",COUNTIFS(Başvuru!$C:$C,C184,Başvuru!$L:$L,"GÖRÜŞ",Başvuru!$A:$A,"&lt;&gt;"&amp;"",Başvuru!$F:$F,"&lt;&gt;"&amp;""))</f>
        <v>0</v>
      </c>
      <c r="N184" s="167">
        <f>IF(C184="","",COUNTIFS(Başvuru!$C:$C,C184,Başvuru!$L:$L,"RET",Başvuru!$A:$A,"&lt;&gt;"&amp;"",Başvuru!$F:$F,"&lt;&gt;"&amp;""))</f>
        <v>0</v>
      </c>
      <c r="O184" s="168">
        <f>IF(C184="","",COUNTIFS(Başvuru!$C:$C,C184,Başvuru!$L:$L,"KAPSAM DIŞI",Başvuru!$A:$A,"&lt;&gt;"&amp;"",Başvuru!$F:$F,"&lt;&gt;"&amp;""))</f>
        <v>0</v>
      </c>
      <c r="P184" s="169">
        <f>IF(C184="","",COUNTIFS(Başvuru!$C:$C,C184,Başvuru!$L:$L,"GERİ ÇEKİLDİ",Başvuru!$A:$A,"&lt;&gt;"&amp;"",Başvuru!$F:$F,"&lt;&gt;"&amp;""))</f>
        <v>0</v>
      </c>
      <c r="Q184" s="170" t="str">
        <f>IFERROR(INDEX(Başvuru!$C$2:$C$1851,MATCH(179,Başvuru!$AB$2:$AB$1851,0)),"")</f>
        <v>Doç. Dr. Hilal AKSOY</v>
      </c>
      <c r="R184" s="171">
        <f>IF(Q184="","",COUNTIFS(Başvuru!$C:$C,Q184,Başvuru!$A:$A,"&lt;&gt;"&amp;"",Başvuru!$F:$F,"&lt;&gt;"&amp;""))</f>
        <v>4</v>
      </c>
      <c r="S184" s="171">
        <f>IF(R184="","",RANK(R184,$R$6:$R$505,0)+COUNTIF($R$6:R184,R184)-1)</f>
        <v>50</v>
      </c>
    </row>
    <row r="185" spans="2:19" ht="23.25" customHeight="1" x14ac:dyDescent="0.25">
      <c r="B185" s="159">
        <v>180</v>
      </c>
      <c r="C185" s="160" t="str">
        <f>IFERROR(INDEX($Q$6:$Q$505,MATCH(180,$S$6:$S$505,0)),"")</f>
        <v>Doç. Dr. İlker ERTUĞRUL</v>
      </c>
      <c r="D185" s="161">
        <f>IF(C185="","",COUNTIFS(Başvuru!$C:$C,C185,Başvuru!$A:$A,"&lt;&gt;"&amp;"",Başvuru!$F:$F,"&lt;&gt;"&amp;""))</f>
        <v>1</v>
      </c>
      <c r="E185" s="159" t="str">
        <f>IF(C185="","-",IF(D185&gt;0,TEXT(D185/(COUNTIFS(Başvuru!$A:$A,"&lt;&gt;",Başvuru!$F:$F,"&lt;&gt;")-1)*100,"0.0")&amp;"%","-"))</f>
        <v>00%</v>
      </c>
      <c r="F185" s="162">
        <f>IF(C185="","",COUNTIFS(Başvuru!$C:$C,C185,Başvuru!$G:$G,"Bireysel Araştırma",Başvuru!$A:$A,"&lt;&gt;"&amp;"",Başvuru!$F:$F,"&lt;&gt;"&amp;""))</f>
        <v>1</v>
      </c>
      <c r="G185" s="162">
        <f>IF(C185="","",COUNTIFS(Başvuru!$C:$C,C185,Başvuru!$G:$G,"Uzmanlık Tezi",Başvuru!$A:$A,"&lt;&gt;"&amp;"",Başvuru!$F:$F,"&lt;&gt;"&amp;""))</f>
        <v>0</v>
      </c>
      <c r="H185" s="162">
        <f>IF(C185="","",COUNTIFS(Başvuru!$C:$C,C185,Başvuru!$G:$G,"Doktora Tezi",Başvuru!$A:$A,"&lt;&gt;"&amp;"",Başvuru!$F:$F,"&lt;&gt;"&amp;""))</f>
        <v>0</v>
      </c>
      <c r="I185" s="162">
        <f>IF(C185="","",COUNTIFS(Başvuru!$C:$C,C185,Başvuru!$G:$G,"Yüksek Lisans Tezi",Başvuru!$A:$A,"&lt;&gt;"&amp;"",Başvuru!$F:$F,"&lt;&gt;"&amp;""))</f>
        <v>0</v>
      </c>
      <c r="J185" s="163">
        <f>IF(C185="","",COUNTIFS(Başvuru!$C:$C,C185,Başvuru!$L:$L,"ONAY",Başvuru!$A:$A,"&lt;&gt;"&amp;"",Başvuru!$F:$F,"&lt;&gt;"&amp;""))</f>
        <v>0</v>
      </c>
      <c r="K185" s="164">
        <f>IF(C185="","",COUNTIFS(Başvuru!$C:$C,C185,Başvuru!$L:$L,"DÜZELTME",Başvuru!$A:$A,"&lt;&gt;"&amp;"",Başvuru!$F:$F,"&lt;&gt;"&amp;""))</f>
        <v>1</v>
      </c>
      <c r="L185" s="165">
        <f>IF(C185="","",COUNTIFS(Başvuru!$C:$C,C185,Başvuru!$L:$L,"KAEK",Başvuru!$A:$A,"&lt;&gt;"&amp;"",Başvuru!$F:$F,"&lt;&gt;"&amp;""))</f>
        <v>0</v>
      </c>
      <c r="M185" s="166">
        <f>IF(C185="","",COUNTIFS(Başvuru!$C:$C,C185,Başvuru!$L:$L,"GÖRÜŞ",Başvuru!$A:$A,"&lt;&gt;"&amp;"",Başvuru!$F:$F,"&lt;&gt;"&amp;""))</f>
        <v>0</v>
      </c>
      <c r="N185" s="167">
        <f>IF(C185="","",COUNTIFS(Başvuru!$C:$C,C185,Başvuru!$L:$L,"RET",Başvuru!$A:$A,"&lt;&gt;"&amp;"",Başvuru!$F:$F,"&lt;&gt;"&amp;""))</f>
        <v>0</v>
      </c>
      <c r="O185" s="168">
        <f>IF(C185="","",COUNTIFS(Başvuru!$C:$C,C185,Başvuru!$L:$L,"KAPSAM DIŞI",Başvuru!$A:$A,"&lt;&gt;"&amp;"",Başvuru!$F:$F,"&lt;&gt;"&amp;""))</f>
        <v>0</v>
      </c>
      <c r="P185" s="169">
        <f>IF(C185="","",COUNTIFS(Başvuru!$C:$C,C185,Başvuru!$L:$L,"GERİ ÇEKİLDİ",Başvuru!$A:$A,"&lt;&gt;"&amp;"",Başvuru!$F:$F,"&lt;&gt;"&amp;""))</f>
        <v>0</v>
      </c>
      <c r="Q185" s="170" t="str">
        <f>IFERROR(INDEX(Başvuru!$C$2:$C$1851,MATCH(180,Başvuru!$AB$2:$AB$1851,0)),"")</f>
        <v>Prof. Dr. Taylan KAV</v>
      </c>
      <c r="R185" s="171">
        <f>IF(Q185="","",COUNTIFS(Başvuru!$C:$C,Q185,Başvuru!$A:$A,"&lt;&gt;"&amp;"",Başvuru!$F:$F,"&lt;&gt;"&amp;""))</f>
        <v>13</v>
      </c>
      <c r="S185" s="171">
        <f>IF(R185="","",RANK(R185,$R$6:$R$505,0)+COUNTIF($R$6:R185,R185)-1)</f>
        <v>3</v>
      </c>
    </row>
    <row r="186" spans="2:19" ht="23.25" customHeight="1" x14ac:dyDescent="0.25">
      <c r="B186" s="159">
        <v>181</v>
      </c>
      <c r="C186" s="160" t="str">
        <f>IFERROR(INDEX($Q$6:$Q$505,MATCH(181,$S$6:$S$505,0)),"")</f>
        <v>Dr. Öğr. Üyesi Gökçen AKÇİÇEK</v>
      </c>
      <c r="D186" s="161">
        <f>IF(C186="","",COUNTIFS(Başvuru!$C:$C,C186,Başvuru!$A:$A,"&lt;&gt;"&amp;"",Başvuru!$F:$F,"&lt;&gt;"&amp;""))</f>
        <v>1</v>
      </c>
      <c r="E186" s="159" t="str">
        <f>IF(C186="","-",IF(D186&gt;0,TEXT(D186/(COUNTIFS(Başvuru!$A:$A,"&lt;&gt;",Başvuru!$F:$F,"&lt;&gt;")-1)*100,"0.0")&amp;"%","-"))</f>
        <v>00%</v>
      </c>
      <c r="F186" s="162">
        <f>IF(C186="","",COUNTIFS(Başvuru!$C:$C,C186,Başvuru!$G:$G,"Bireysel Araştırma",Başvuru!$A:$A,"&lt;&gt;"&amp;"",Başvuru!$F:$F,"&lt;&gt;"&amp;""))</f>
        <v>0</v>
      </c>
      <c r="G186" s="162">
        <f>IF(C186="","",COUNTIFS(Başvuru!$C:$C,C186,Başvuru!$G:$G,"Uzmanlık Tezi",Başvuru!$A:$A,"&lt;&gt;"&amp;"",Başvuru!$F:$F,"&lt;&gt;"&amp;""))</f>
        <v>1</v>
      </c>
      <c r="H186" s="162">
        <f>IF(C186="","",COUNTIFS(Başvuru!$C:$C,C186,Başvuru!$G:$G,"Doktora Tezi",Başvuru!$A:$A,"&lt;&gt;"&amp;"",Başvuru!$F:$F,"&lt;&gt;"&amp;""))</f>
        <v>0</v>
      </c>
      <c r="I186" s="162">
        <f>IF(C186="","",COUNTIFS(Başvuru!$C:$C,C186,Başvuru!$G:$G,"Yüksek Lisans Tezi",Başvuru!$A:$A,"&lt;&gt;"&amp;"",Başvuru!$F:$F,"&lt;&gt;"&amp;""))</f>
        <v>0</v>
      </c>
      <c r="J186" s="163">
        <f>IF(C186="","",COUNTIFS(Başvuru!$C:$C,C186,Başvuru!$L:$L,"ONAY",Başvuru!$A:$A,"&lt;&gt;"&amp;"",Başvuru!$F:$F,"&lt;&gt;"&amp;""))</f>
        <v>1</v>
      </c>
      <c r="K186" s="164">
        <f>IF(C186="","",COUNTIFS(Başvuru!$C:$C,C186,Başvuru!$L:$L,"DÜZELTME",Başvuru!$A:$A,"&lt;&gt;"&amp;"",Başvuru!$F:$F,"&lt;&gt;"&amp;""))</f>
        <v>0</v>
      </c>
      <c r="L186" s="165">
        <f>IF(C186="","",COUNTIFS(Başvuru!$C:$C,C186,Başvuru!$L:$L,"KAEK",Başvuru!$A:$A,"&lt;&gt;"&amp;"",Başvuru!$F:$F,"&lt;&gt;"&amp;""))</f>
        <v>0</v>
      </c>
      <c r="M186" s="166">
        <f>IF(C186="","",COUNTIFS(Başvuru!$C:$C,C186,Başvuru!$L:$L,"GÖRÜŞ",Başvuru!$A:$A,"&lt;&gt;"&amp;"",Başvuru!$F:$F,"&lt;&gt;"&amp;""))</f>
        <v>0</v>
      </c>
      <c r="N186" s="167">
        <f>IF(C186="","",COUNTIFS(Başvuru!$C:$C,C186,Başvuru!$L:$L,"RET",Başvuru!$A:$A,"&lt;&gt;"&amp;"",Başvuru!$F:$F,"&lt;&gt;"&amp;""))</f>
        <v>0</v>
      </c>
      <c r="O186" s="168">
        <f>IF(C186="","",COUNTIFS(Başvuru!$C:$C,C186,Başvuru!$L:$L,"KAPSAM DIŞI",Başvuru!$A:$A,"&lt;&gt;"&amp;"",Başvuru!$F:$F,"&lt;&gt;"&amp;""))</f>
        <v>0</v>
      </c>
      <c r="P186" s="169">
        <f>IF(C186="","",COUNTIFS(Başvuru!$C:$C,C186,Başvuru!$L:$L,"GERİ ÇEKİLDİ",Başvuru!$A:$A,"&lt;&gt;"&amp;"",Başvuru!$F:$F,"&lt;&gt;"&amp;""))</f>
        <v>0</v>
      </c>
      <c r="Q186" s="170" t="str">
        <f>IFERROR(INDEX(Başvuru!$C$2:$C$1851,MATCH(181,Başvuru!$AB$2:$AB$1851,0)),"")</f>
        <v>Prof. Dr. Zafer Selçuk TUNCER</v>
      </c>
      <c r="R186" s="171">
        <f>IF(Q186="","",COUNTIFS(Başvuru!$C:$C,Q186,Başvuru!$A:$A,"&lt;&gt;"&amp;"",Başvuru!$F:$F,"&lt;&gt;"&amp;""))</f>
        <v>1</v>
      </c>
      <c r="S186" s="171">
        <f>IF(R186="","",RANK(R186,$R$6:$R$505,0)+COUNTIF($R$6:R186,R186)-1)</f>
        <v>226</v>
      </c>
    </row>
    <row r="187" spans="2:19" ht="23.25" customHeight="1" x14ac:dyDescent="0.25">
      <c r="B187" s="159">
        <v>182</v>
      </c>
      <c r="C187" s="160" t="str">
        <f>IFERROR(INDEX($Q$6:$Q$505,MATCH(182,$S$6:$S$505,0)),"")</f>
        <v>Prof. Dr. Özlem BOYBEYİ</v>
      </c>
      <c r="D187" s="161">
        <f>IF(C187="","",COUNTIFS(Başvuru!$C:$C,C187,Başvuru!$A:$A,"&lt;&gt;"&amp;"",Başvuru!$F:$F,"&lt;&gt;"&amp;""))</f>
        <v>1</v>
      </c>
      <c r="E187" s="159" t="str">
        <f>IF(C187="","-",IF(D187&gt;0,TEXT(D187/(COUNTIFS(Başvuru!$A:$A,"&lt;&gt;",Başvuru!$F:$F,"&lt;&gt;")-1)*100,"0.0")&amp;"%","-"))</f>
        <v>00%</v>
      </c>
      <c r="F187" s="162">
        <f>IF(C187="","",COUNTIFS(Başvuru!$C:$C,C187,Başvuru!$G:$G,"Bireysel Araştırma",Başvuru!$A:$A,"&lt;&gt;"&amp;"",Başvuru!$F:$F,"&lt;&gt;"&amp;""))</f>
        <v>1</v>
      </c>
      <c r="G187" s="162">
        <f>IF(C187="","",COUNTIFS(Başvuru!$C:$C,C187,Başvuru!$G:$G,"Uzmanlık Tezi",Başvuru!$A:$A,"&lt;&gt;"&amp;"",Başvuru!$F:$F,"&lt;&gt;"&amp;""))</f>
        <v>0</v>
      </c>
      <c r="H187" s="162">
        <f>IF(C187="","",COUNTIFS(Başvuru!$C:$C,C187,Başvuru!$G:$G,"Doktora Tezi",Başvuru!$A:$A,"&lt;&gt;"&amp;"",Başvuru!$F:$F,"&lt;&gt;"&amp;""))</f>
        <v>0</v>
      </c>
      <c r="I187" s="162">
        <f>IF(C187="","",COUNTIFS(Başvuru!$C:$C,C187,Başvuru!$G:$G,"Yüksek Lisans Tezi",Başvuru!$A:$A,"&lt;&gt;"&amp;"",Başvuru!$F:$F,"&lt;&gt;"&amp;""))</f>
        <v>0</v>
      </c>
      <c r="J187" s="163">
        <f>IF(C187="","",COUNTIFS(Başvuru!$C:$C,C187,Başvuru!$L:$L,"ONAY",Başvuru!$A:$A,"&lt;&gt;"&amp;"",Başvuru!$F:$F,"&lt;&gt;"&amp;""))</f>
        <v>0</v>
      </c>
      <c r="K187" s="164">
        <f>IF(C187="","",COUNTIFS(Başvuru!$C:$C,C187,Başvuru!$L:$L,"DÜZELTME",Başvuru!$A:$A,"&lt;&gt;"&amp;"",Başvuru!$F:$F,"&lt;&gt;"&amp;""))</f>
        <v>1</v>
      </c>
      <c r="L187" s="165">
        <f>IF(C187="","",COUNTIFS(Başvuru!$C:$C,C187,Başvuru!$L:$L,"KAEK",Başvuru!$A:$A,"&lt;&gt;"&amp;"",Başvuru!$F:$F,"&lt;&gt;"&amp;""))</f>
        <v>0</v>
      </c>
      <c r="M187" s="166">
        <f>IF(C187="","",COUNTIFS(Başvuru!$C:$C,C187,Başvuru!$L:$L,"GÖRÜŞ",Başvuru!$A:$A,"&lt;&gt;"&amp;"",Başvuru!$F:$F,"&lt;&gt;"&amp;""))</f>
        <v>0</v>
      </c>
      <c r="N187" s="167">
        <f>IF(C187="","",COUNTIFS(Başvuru!$C:$C,C187,Başvuru!$L:$L,"RET",Başvuru!$A:$A,"&lt;&gt;"&amp;"",Başvuru!$F:$F,"&lt;&gt;"&amp;""))</f>
        <v>0</v>
      </c>
      <c r="O187" s="168">
        <f>IF(C187="","",COUNTIFS(Başvuru!$C:$C,C187,Başvuru!$L:$L,"KAPSAM DIŞI",Başvuru!$A:$A,"&lt;&gt;"&amp;"",Başvuru!$F:$F,"&lt;&gt;"&amp;""))</f>
        <v>0</v>
      </c>
      <c r="P187" s="169">
        <f>IF(C187="","",COUNTIFS(Başvuru!$C:$C,C187,Başvuru!$L:$L,"GERİ ÇEKİLDİ",Başvuru!$A:$A,"&lt;&gt;"&amp;"",Başvuru!$F:$F,"&lt;&gt;"&amp;""))</f>
        <v>0</v>
      </c>
      <c r="Q187" s="170" t="str">
        <f>IFERROR(INDEX(Başvuru!$C$2:$C$1851,MATCH(182,Başvuru!$AB$2:$AB$1851,0)),"")</f>
        <v>Prof. Dr. Fatma Visal OKUR</v>
      </c>
      <c r="R187" s="171">
        <f>IF(Q187="","",COUNTIFS(Başvuru!$C:$C,Q187,Başvuru!$A:$A,"&lt;&gt;"&amp;"",Başvuru!$F:$F,"&lt;&gt;"&amp;""))</f>
        <v>1</v>
      </c>
      <c r="S187" s="171">
        <f>IF(R187="","",RANK(R187,$R$6:$R$505,0)+COUNTIF($R$6:R187,R187)-1)</f>
        <v>227</v>
      </c>
    </row>
    <row r="188" spans="2:19" ht="23.25" customHeight="1" x14ac:dyDescent="0.25">
      <c r="B188" s="159">
        <v>183</v>
      </c>
      <c r="C188" s="160" t="str">
        <f>IFERROR(INDEX($Q$6:$Q$505,MATCH(183,$S$6:$S$505,0)),"")</f>
        <v>Prof. Dr. Ülkü ÜNDEĞER BUCURGAT</v>
      </c>
      <c r="D188" s="161">
        <f>IF(C188="","",COUNTIFS(Başvuru!$C:$C,C188,Başvuru!$A:$A,"&lt;&gt;"&amp;"",Başvuru!$F:$F,"&lt;&gt;"&amp;""))</f>
        <v>1</v>
      </c>
      <c r="E188" s="159" t="str">
        <f>IF(C188="","-",IF(D188&gt;0,TEXT(D188/(COUNTIFS(Başvuru!$A:$A,"&lt;&gt;",Başvuru!$F:$F,"&lt;&gt;")-1)*100,"0.0")&amp;"%","-"))</f>
        <v>00%</v>
      </c>
      <c r="F188" s="162">
        <f>IF(C188="","",COUNTIFS(Başvuru!$C:$C,C188,Başvuru!$G:$G,"Bireysel Araştırma",Başvuru!$A:$A,"&lt;&gt;"&amp;"",Başvuru!$F:$F,"&lt;&gt;"&amp;""))</f>
        <v>0</v>
      </c>
      <c r="G188" s="162">
        <f>IF(C188="","",COUNTIFS(Başvuru!$C:$C,C188,Başvuru!$G:$G,"Uzmanlık Tezi",Başvuru!$A:$A,"&lt;&gt;"&amp;"",Başvuru!$F:$F,"&lt;&gt;"&amp;""))</f>
        <v>0</v>
      </c>
      <c r="H188" s="162">
        <f>IF(C188="","",COUNTIFS(Başvuru!$C:$C,C188,Başvuru!$G:$G,"Doktora Tezi",Başvuru!$A:$A,"&lt;&gt;"&amp;"",Başvuru!$F:$F,"&lt;&gt;"&amp;""))</f>
        <v>1</v>
      </c>
      <c r="I188" s="162">
        <f>IF(C188="","",COUNTIFS(Başvuru!$C:$C,C188,Başvuru!$G:$G,"Yüksek Lisans Tezi",Başvuru!$A:$A,"&lt;&gt;"&amp;"",Başvuru!$F:$F,"&lt;&gt;"&amp;""))</f>
        <v>0</v>
      </c>
      <c r="J188" s="163">
        <f>IF(C188="","",COUNTIFS(Başvuru!$C:$C,C188,Başvuru!$L:$L,"ONAY",Başvuru!$A:$A,"&lt;&gt;"&amp;"",Başvuru!$F:$F,"&lt;&gt;"&amp;""))</f>
        <v>0</v>
      </c>
      <c r="K188" s="164">
        <f>IF(C188="","",COUNTIFS(Başvuru!$C:$C,C188,Başvuru!$L:$L,"DÜZELTME",Başvuru!$A:$A,"&lt;&gt;"&amp;"",Başvuru!$F:$F,"&lt;&gt;"&amp;""))</f>
        <v>1</v>
      </c>
      <c r="L188" s="165">
        <f>IF(C188="","",COUNTIFS(Başvuru!$C:$C,C188,Başvuru!$L:$L,"KAEK",Başvuru!$A:$A,"&lt;&gt;"&amp;"",Başvuru!$F:$F,"&lt;&gt;"&amp;""))</f>
        <v>0</v>
      </c>
      <c r="M188" s="166">
        <f>IF(C188="","",COUNTIFS(Başvuru!$C:$C,C188,Başvuru!$L:$L,"GÖRÜŞ",Başvuru!$A:$A,"&lt;&gt;"&amp;"",Başvuru!$F:$F,"&lt;&gt;"&amp;""))</f>
        <v>0</v>
      </c>
      <c r="N188" s="167">
        <f>IF(C188="","",COUNTIFS(Başvuru!$C:$C,C188,Başvuru!$L:$L,"RET",Başvuru!$A:$A,"&lt;&gt;"&amp;"",Başvuru!$F:$F,"&lt;&gt;"&amp;""))</f>
        <v>0</v>
      </c>
      <c r="O188" s="168">
        <f>IF(C188="","",COUNTIFS(Başvuru!$C:$C,C188,Başvuru!$L:$L,"KAPSAM DIŞI",Başvuru!$A:$A,"&lt;&gt;"&amp;"",Başvuru!$F:$F,"&lt;&gt;"&amp;""))</f>
        <v>0</v>
      </c>
      <c r="P188" s="169">
        <f>IF(C188="","",COUNTIFS(Başvuru!$C:$C,C188,Başvuru!$L:$L,"GERİ ÇEKİLDİ",Başvuru!$A:$A,"&lt;&gt;"&amp;"",Başvuru!$F:$F,"&lt;&gt;"&amp;""))</f>
        <v>0</v>
      </c>
      <c r="Q188" s="170" t="str">
        <f>IFERROR(INDEX(Başvuru!$C$2:$C$1851,MATCH(183,Başvuru!$AB$2:$AB$1851,0)),"")</f>
        <v>Arş. Gör. Dr. Tuğçe TAŞKINDERE ABBASOĞLU</v>
      </c>
      <c r="R188" s="171">
        <f>IF(Q188="","",COUNTIFS(Başvuru!$C:$C,Q188,Başvuru!$A:$A,"&lt;&gt;"&amp;"",Başvuru!$F:$F,"&lt;&gt;"&amp;""))</f>
        <v>1</v>
      </c>
      <c r="S188" s="171">
        <f>IF(R188="","",RANK(R188,$R$6:$R$505,0)+COUNTIF($R$6:R188,R188)-1)</f>
        <v>228</v>
      </c>
    </row>
    <row r="189" spans="2:19" ht="23.25" customHeight="1" x14ac:dyDescent="0.25">
      <c r="B189" s="159">
        <v>184</v>
      </c>
      <c r="C189" s="160" t="str">
        <f>IFERROR(INDEX($Q$6:$Q$505,MATCH(184,$S$6:$S$505,0)),"")</f>
        <v>Prof. Dr. Güliz Nigar GÜNCÜ</v>
      </c>
      <c r="D189" s="161">
        <f>IF(C189="","",COUNTIFS(Başvuru!$C:$C,C189,Başvuru!$A:$A,"&lt;&gt;"&amp;"",Başvuru!$F:$F,"&lt;&gt;"&amp;""))</f>
        <v>1</v>
      </c>
      <c r="E189" s="159" t="str">
        <f>IF(C189="","-",IF(D189&gt;0,TEXT(D189/(COUNTIFS(Başvuru!$A:$A,"&lt;&gt;",Başvuru!$F:$F,"&lt;&gt;")-1)*100,"0.0")&amp;"%","-"))</f>
        <v>00%</v>
      </c>
      <c r="F189" s="162">
        <f>IF(C189="","",COUNTIFS(Başvuru!$C:$C,C189,Başvuru!$G:$G,"Bireysel Araştırma",Başvuru!$A:$A,"&lt;&gt;"&amp;"",Başvuru!$F:$F,"&lt;&gt;"&amp;""))</f>
        <v>0</v>
      </c>
      <c r="G189" s="162">
        <f>IF(C189="","",COUNTIFS(Başvuru!$C:$C,C189,Başvuru!$G:$G,"Uzmanlık Tezi",Başvuru!$A:$A,"&lt;&gt;"&amp;"",Başvuru!$F:$F,"&lt;&gt;"&amp;""))</f>
        <v>1</v>
      </c>
      <c r="H189" s="162">
        <f>IF(C189="","",COUNTIFS(Başvuru!$C:$C,C189,Başvuru!$G:$G,"Doktora Tezi",Başvuru!$A:$A,"&lt;&gt;"&amp;"",Başvuru!$F:$F,"&lt;&gt;"&amp;""))</f>
        <v>0</v>
      </c>
      <c r="I189" s="162">
        <f>IF(C189="","",COUNTIFS(Başvuru!$C:$C,C189,Başvuru!$G:$G,"Yüksek Lisans Tezi",Başvuru!$A:$A,"&lt;&gt;"&amp;"",Başvuru!$F:$F,"&lt;&gt;"&amp;""))</f>
        <v>0</v>
      </c>
      <c r="J189" s="163">
        <f>IF(C189="","",COUNTIFS(Başvuru!$C:$C,C189,Başvuru!$L:$L,"ONAY",Başvuru!$A:$A,"&lt;&gt;"&amp;"",Başvuru!$F:$F,"&lt;&gt;"&amp;""))</f>
        <v>0</v>
      </c>
      <c r="K189" s="164">
        <f>IF(C189="","",COUNTIFS(Başvuru!$C:$C,C189,Başvuru!$L:$L,"DÜZELTME",Başvuru!$A:$A,"&lt;&gt;"&amp;"",Başvuru!$F:$F,"&lt;&gt;"&amp;""))</f>
        <v>1</v>
      </c>
      <c r="L189" s="165">
        <f>IF(C189="","",COUNTIFS(Başvuru!$C:$C,C189,Başvuru!$L:$L,"KAEK",Başvuru!$A:$A,"&lt;&gt;"&amp;"",Başvuru!$F:$F,"&lt;&gt;"&amp;""))</f>
        <v>0</v>
      </c>
      <c r="M189" s="166">
        <f>IF(C189="","",COUNTIFS(Başvuru!$C:$C,C189,Başvuru!$L:$L,"GÖRÜŞ",Başvuru!$A:$A,"&lt;&gt;"&amp;"",Başvuru!$F:$F,"&lt;&gt;"&amp;""))</f>
        <v>0</v>
      </c>
      <c r="N189" s="167">
        <f>IF(C189="","",COUNTIFS(Başvuru!$C:$C,C189,Başvuru!$L:$L,"RET",Başvuru!$A:$A,"&lt;&gt;"&amp;"",Başvuru!$F:$F,"&lt;&gt;"&amp;""))</f>
        <v>0</v>
      </c>
      <c r="O189" s="168">
        <f>IF(C189="","",COUNTIFS(Başvuru!$C:$C,C189,Başvuru!$L:$L,"KAPSAM DIŞI",Başvuru!$A:$A,"&lt;&gt;"&amp;"",Başvuru!$F:$F,"&lt;&gt;"&amp;""))</f>
        <v>0</v>
      </c>
      <c r="P189" s="169">
        <f>IF(C189="","",COUNTIFS(Başvuru!$C:$C,C189,Başvuru!$L:$L,"GERİ ÇEKİLDİ",Başvuru!$A:$A,"&lt;&gt;"&amp;"",Başvuru!$F:$F,"&lt;&gt;"&amp;""))</f>
        <v>0</v>
      </c>
      <c r="Q189" s="170" t="str">
        <f>IFERROR(INDEX(Başvuru!$C$2:$C$1851,MATCH(184,Başvuru!$AB$2:$AB$1851,0)),"")</f>
        <v>Prof. Dr. Emel UZUNOĞLU ÖZYÜREK</v>
      </c>
      <c r="R189" s="171">
        <f>IF(Q189="","",COUNTIFS(Başvuru!$C:$C,Q189,Başvuru!$A:$A,"&lt;&gt;"&amp;"",Başvuru!$F:$F,"&lt;&gt;"&amp;""))</f>
        <v>1</v>
      </c>
      <c r="S189" s="171">
        <f>IF(R189="","",RANK(R189,$R$6:$R$505,0)+COUNTIF($R$6:R189,R189)-1)</f>
        <v>229</v>
      </c>
    </row>
    <row r="190" spans="2:19" ht="23.25" customHeight="1" x14ac:dyDescent="0.25">
      <c r="B190" s="159">
        <v>185</v>
      </c>
      <c r="C190" s="160" t="str">
        <f>IFERROR(INDEX($Q$6:$Q$505,MATCH(185,$S$6:$S$505,0)),"")</f>
        <v>Doç. Dr. Emel ISIYEL</v>
      </c>
      <c r="D190" s="161">
        <f>IF(C190="","",COUNTIFS(Başvuru!$C:$C,C190,Başvuru!$A:$A,"&lt;&gt;"&amp;"",Başvuru!$F:$F,"&lt;&gt;"&amp;""))</f>
        <v>1</v>
      </c>
      <c r="E190" s="159" t="str">
        <f>IF(C190="","-",IF(D190&gt;0,TEXT(D190/(COUNTIFS(Başvuru!$A:$A,"&lt;&gt;",Başvuru!$F:$F,"&lt;&gt;")-1)*100,"0.0")&amp;"%","-"))</f>
        <v>00%</v>
      </c>
      <c r="F190" s="162">
        <f>IF(C190="","",COUNTIFS(Başvuru!$C:$C,C190,Başvuru!$G:$G,"Bireysel Araştırma",Başvuru!$A:$A,"&lt;&gt;"&amp;"",Başvuru!$F:$F,"&lt;&gt;"&amp;""))</f>
        <v>0</v>
      </c>
      <c r="G190" s="162">
        <f>IF(C190="","",COUNTIFS(Başvuru!$C:$C,C190,Başvuru!$G:$G,"Uzmanlık Tezi",Başvuru!$A:$A,"&lt;&gt;"&amp;"",Başvuru!$F:$F,"&lt;&gt;"&amp;""))</f>
        <v>1</v>
      </c>
      <c r="H190" s="162">
        <f>IF(C190="","",COUNTIFS(Başvuru!$C:$C,C190,Başvuru!$G:$G,"Doktora Tezi",Başvuru!$A:$A,"&lt;&gt;"&amp;"",Başvuru!$F:$F,"&lt;&gt;"&amp;""))</f>
        <v>0</v>
      </c>
      <c r="I190" s="162">
        <f>IF(C190="","",COUNTIFS(Başvuru!$C:$C,C190,Başvuru!$G:$G,"Yüksek Lisans Tezi",Başvuru!$A:$A,"&lt;&gt;"&amp;"",Başvuru!$F:$F,"&lt;&gt;"&amp;""))</f>
        <v>0</v>
      </c>
      <c r="J190" s="163">
        <f>IF(C190="","",COUNTIFS(Başvuru!$C:$C,C190,Başvuru!$L:$L,"ONAY",Başvuru!$A:$A,"&lt;&gt;"&amp;"",Başvuru!$F:$F,"&lt;&gt;"&amp;""))</f>
        <v>0</v>
      </c>
      <c r="K190" s="164">
        <f>IF(C190="","",COUNTIFS(Başvuru!$C:$C,C190,Başvuru!$L:$L,"DÜZELTME",Başvuru!$A:$A,"&lt;&gt;"&amp;"",Başvuru!$F:$F,"&lt;&gt;"&amp;""))</f>
        <v>1</v>
      </c>
      <c r="L190" s="165">
        <f>IF(C190="","",COUNTIFS(Başvuru!$C:$C,C190,Başvuru!$L:$L,"KAEK",Başvuru!$A:$A,"&lt;&gt;"&amp;"",Başvuru!$F:$F,"&lt;&gt;"&amp;""))</f>
        <v>0</v>
      </c>
      <c r="M190" s="166">
        <f>IF(C190="","",COUNTIFS(Başvuru!$C:$C,C190,Başvuru!$L:$L,"GÖRÜŞ",Başvuru!$A:$A,"&lt;&gt;"&amp;"",Başvuru!$F:$F,"&lt;&gt;"&amp;""))</f>
        <v>0</v>
      </c>
      <c r="N190" s="167">
        <f>IF(C190="","",COUNTIFS(Başvuru!$C:$C,C190,Başvuru!$L:$L,"RET",Başvuru!$A:$A,"&lt;&gt;"&amp;"",Başvuru!$F:$F,"&lt;&gt;"&amp;""))</f>
        <v>0</v>
      </c>
      <c r="O190" s="168">
        <f>IF(C190="","",COUNTIFS(Başvuru!$C:$C,C190,Başvuru!$L:$L,"KAPSAM DIŞI",Başvuru!$A:$A,"&lt;&gt;"&amp;"",Başvuru!$F:$F,"&lt;&gt;"&amp;""))</f>
        <v>0</v>
      </c>
      <c r="P190" s="169">
        <f>IF(C190="","",COUNTIFS(Başvuru!$C:$C,C190,Başvuru!$L:$L,"GERİ ÇEKİLDİ",Başvuru!$A:$A,"&lt;&gt;"&amp;"",Başvuru!$F:$F,"&lt;&gt;"&amp;""))</f>
        <v>0</v>
      </c>
      <c r="Q190" s="170" t="str">
        <f>IFERROR(INDEX(Başvuru!$C$2:$C$1851,MATCH(185,Başvuru!$AB$2:$AB$1851,0)),"")</f>
        <v>Prof. Dr. Devrim AKDEMİR</v>
      </c>
      <c r="R190" s="171">
        <f>IF(Q190="","",COUNTIFS(Başvuru!$C:$C,Q190,Başvuru!$A:$A,"&lt;&gt;"&amp;"",Başvuru!$F:$F,"&lt;&gt;"&amp;""))</f>
        <v>1</v>
      </c>
      <c r="S190" s="171">
        <f>IF(R190="","",RANK(R190,$R$6:$R$505,0)+COUNTIF($R$6:R190,R190)-1)</f>
        <v>230</v>
      </c>
    </row>
    <row r="191" spans="2:19" ht="23.25" customHeight="1" x14ac:dyDescent="0.25">
      <c r="B191" s="159">
        <v>186</v>
      </c>
      <c r="C191" s="160" t="str">
        <f>IFERROR(INDEX($Q$6:$Q$505,MATCH(186,$S$6:$S$505,0)),"")</f>
        <v>Dr. Öğr. Üyesi Burkay UTKU</v>
      </c>
      <c r="D191" s="161">
        <f>IF(C191="","",COUNTIFS(Başvuru!$C:$C,C191,Başvuru!$A:$A,"&lt;&gt;"&amp;"",Başvuru!$F:$F,"&lt;&gt;"&amp;""))</f>
        <v>1</v>
      </c>
      <c r="E191" s="159" t="str">
        <f>IF(C191="","-",IF(D191&gt;0,TEXT(D191/(COUNTIFS(Başvuru!$A:$A,"&lt;&gt;",Başvuru!$F:$F,"&lt;&gt;")-1)*100,"0.0")&amp;"%","-"))</f>
        <v>00%</v>
      </c>
      <c r="F191" s="162">
        <f>IF(C191="","",COUNTIFS(Başvuru!$C:$C,C191,Başvuru!$G:$G,"Bireysel Araştırma",Başvuru!$A:$A,"&lt;&gt;"&amp;"",Başvuru!$F:$F,"&lt;&gt;"&amp;""))</f>
        <v>1</v>
      </c>
      <c r="G191" s="162">
        <f>IF(C191="","",COUNTIFS(Başvuru!$C:$C,C191,Başvuru!$G:$G,"Uzmanlık Tezi",Başvuru!$A:$A,"&lt;&gt;"&amp;"",Başvuru!$F:$F,"&lt;&gt;"&amp;""))</f>
        <v>0</v>
      </c>
      <c r="H191" s="162">
        <f>IF(C191="","",COUNTIFS(Başvuru!$C:$C,C191,Başvuru!$G:$G,"Doktora Tezi",Başvuru!$A:$A,"&lt;&gt;"&amp;"",Başvuru!$F:$F,"&lt;&gt;"&amp;""))</f>
        <v>0</v>
      </c>
      <c r="I191" s="162">
        <f>IF(C191="","",COUNTIFS(Başvuru!$C:$C,C191,Başvuru!$G:$G,"Yüksek Lisans Tezi",Başvuru!$A:$A,"&lt;&gt;"&amp;"",Başvuru!$F:$F,"&lt;&gt;"&amp;""))</f>
        <v>0</v>
      </c>
      <c r="J191" s="163">
        <f>IF(C191="","",COUNTIFS(Başvuru!$C:$C,C191,Başvuru!$L:$L,"ONAY",Başvuru!$A:$A,"&lt;&gt;"&amp;"",Başvuru!$F:$F,"&lt;&gt;"&amp;""))</f>
        <v>0</v>
      </c>
      <c r="K191" s="164">
        <f>IF(C191="","",COUNTIFS(Başvuru!$C:$C,C191,Başvuru!$L:$L,"DÜZELTME",Başvuru!$A:$A,"&lt;&gt;"&amp;"",Başvuru!$F:$F,"&lt;&gt;"&amp;""))</f>
        <v>1</v>
      </c>
      <c r="L191" s="165">
        <f>IF(C191="","",COUNTIFS(Başvuru!$C:$C,C191,Başvuru!$L:$L,"KAEK",Başvuru!$A:$A,"&lt;&gt;"&amp;"",Başvuru!$F:$F,"&lt;&gt;"&amp;""))</f>
        <v>0</v>
      </c>
      <c r="M191" s="166">
        <f>IF(C191="","",COUNTIFS(Başvuru!$C:$C,C191,Başvuru!$L:$L,"GÖRÜŞ",Başvuru!$A:$A,"&lt;&gt;"&amp;"",Başvuru!$F:$F,"&lt;&gt;"&amp;""))</f>
        <v>0</v>
      </c>
      <c r="N191" s="167">
        <f>IF(C191="","",COUNTIFS(Başvuru!$C:$C,C191,Başvuru!$L:$L,"RET",Başvuru!$A:$A,"&lt;&gt;"&amp;"",Başvuru!$F:$F,"&lt;&gt;"&amp;""))</f>
        <v>0</v>
      </c>
      <c r="O191" s="168">
        <f>IF(C191="","",COUNTIFS(Başvuru!$C:$C,C191,Başvuru!$L:$L,"KAPSAM DIŞI",Başvuru!$A:$A,"&lt;&gt;"&amp;"",Başvuru!$F:$F,"&lt;&gt;"&amp;""))</f>
        <v>0</v>
      </c>
      <c r="P191" s="169">
        <f>IF(C191="","",COUNTIFS(Başvuru!$C:$C,C191,Başvuru!$L:$L,"GERİ ÇEKİLDİ",Başvuru!$A:$A,"&lt;&gt;"&amp;"",Başvuru!$F:$F,"&lt;&gt;"&amp;""))</f>
        <v>0</v>
      </c>
      <c r="Q191" s="170" t="str">
        <f>IFERROR(INDEX(Başvuru!$C$2:$C$1851,MATCH(186,Başvuru!$AB$2:$AB$1851,0)),"")</f>
        <v>Dr. Öğr. Üyesi Onur İNCE</v>
      </c>
      <c r="R191" s="171">
        <f>IF(Q191="","",COUNTIFS(Başvuru!$C:$C,Q191,Başvuru!$A:$A,"&lt;&gt;"&amp;"",Başvuru!$F:$F,"&lt;&gt;"&amp;""))</f>
        <v>1</v>
      </c>
      <c r="S191" s="171">
        <f>IF(R191="","",RANK(R191,$R$6:$R$505,0)+COUNTIF($R$6:R191,R191)-1)</f>
        <v>231</v>
      </c>
    </row>
    <row r="192" spans="2:19" ht="23.25" customHeight="1" x14ac:dyDescent="0.25">
      <c r="B192" s="159">
        <v>187</v>
      </c>
      <c r="C192" s="160" t="str">
        <f>IFERROR(INDEX($Q$6:$Q$505,MATCH(187,$S$6:$S$505,0)),"")</f>
        <v>Prof. Dr. Selçuk DAĞDELEN</v>
      </c>
      <c r="D192" s="161">
        <f>IF(C192="","",COUNTIFS(Başvuru!$C:$C,C192,Başvuru!$A:$A,"&lt;&gt;"&amp;"",Başvuru!$F:$F,"&lt;&gt;"&amp;""))</f>
        <v>1</v>
      </c>
      <c r="E192" s="159" t="str">
        <f>IF(C192="","-",IF(D192&gt;0,TEXT(D192/(COUNTIFS(Başvuru!$A:$A,"&lt;&gt;",Başvuru!$F:$F,"&lt;&gt;")-1)*100,"0.0")&amp;"%","-"))</f>
        <v>00%</v>
      </c>
      <c r="F192" s="162">
        <f>IF(C192="","",COUNTIFS(Başvuru!$C:$C,C192,Başvuru!$G:$G,"Bireysel Araştırma",Başvuru!$A:$A,"&lt;&gt;"&amp;"",Başvuru!$F:$F,"&lt;&gt;"&amp;""))</f>
        <v>1</v>
      </c>
      <c r="G192" s="162">
        <f>IF(C192="","",COUNTIFS(Başvuru!$C:$C,C192,Başvuru!$G:$G,"Uzmanlık Tezi",Başvuru!$A:$A,"&lt;&gt;"&amp;"",Başvuru!$F:$F,"&lt;&gt;"&amp;""))</f>
        <v>0</v>
      </c>
      <c r="H192" s="162">
        <f>IF(C192="","",COUNTIFS(Başvuru!$C:$C,C192,Başvuru!$G:$G,"Doktora Tezi",Başvuru!$A:$A,"&lt;&gt;"&amp;"",Başvuru!$F:$F,"&lt;&gt;"&amp;""))</f>
        <v>0</v>
      </c>
      <c r="I192" s="162">
        <f>IF(C192="","",COUNTIFS(Başvuru!$C:$C,C192,Başvuru!$G:$G,"Yüksek Lisans Tezi",Başvuru!$A:$A,"&lt;&gt;"&amp;"",Başvuru!$F:$F,"&lt;&gt;"&amp;""))</f>
        <v>0</v>
      </c>
      <c r="J192" s="163">
        <f>IF(C192="","",COUNTIFS(Başvuru!$C:$C,C192,Başvuru!$L:$L,"ONAY",Başvuru!$A:$A,"&lt;&gt;"&amp;"",Başvuru!$F:$F,"&lt;&gt;"&amp;""))</f>
        <v>1</v>
      </c>
      <c r="K192" s="164">
        <f>IF(C192="","",COUNTIFS(Başvuru!$C:$C,C192,Başvuru!$L:$L,"DÜZELTME",Başvuru!$A:$A,"&lt;&gt;"&amp;"",Başvuru!$F:$F,"&lt;&gt;"&amp;""))</f>
        <v>0</v>
      </c>
      <c r="L192" s="165">
        <f>IF(C192="","",COUNTIFS(Başvuru!$C:$C,C192,Başvuru!$L:$L,"KAEK",Başvuru!$A:$A,"&lt;&gt;"&amp;"",Başvuru!$F:$F,"&lt;&gt;"&amp;""))</f>
        <v>0</v>
      </c>
      <c r="M192" s="166">
        <f>IF(C192="","",COUNTIFS(Başvuru!$C:$C,C192,Başvuru!$L:$L,"GÖRÜŞ",Başvuru!$A:$A,"&lt;&gt;"&amp;"",Başvuru!$F:$F,"&lt;&gt;"&amp;""))</f>
        <v>0</v>
      </c>
      <c r="N192" s="167">
        <f>IF(C192="","",COUNTIFS(Başvuru!$C:$C,C192,Başvuru!$L:$L,"RET",Başvuru!$A:$A,"&lt;&gt;"&amp;"",Başvuru!$F:$F,"&lt;&gt;"&amp;""))</f>
        <v>0</v>
      </c>
      <c r="O192" s="168">
        <f>IF(C192="","",COUNTIFS(Başvuru!$C:$C,C192,Başvuru!$L:$L,"KAPSAM DIŞI",Başvuru!$A:$A,"&lt;&gt;"&amp;"",Başvuru!$F:$F,"&lt;&gt;"&amp;""))</f>
        <v>0</v>
      </c>
      <c r="P192" s="169">
        <f>IF(C192="","",COUNTIFS(Başvuru!$C:$C,C192,Başvuru!$L:$L,"GERİ ÇEKİLDİ",Başvuru!$A:$A,"&lt;&gt;"&amp;"",Başvuru!$F:$F,"&lt;&gt;"&amp;""))</f>
        <v>0</v>
      </c>
      <c r="Q192" s="170" t="str">
        <f>IFERROR(INDEX(Başvuru!$C$2:$C$1851,MATCH(187,Başvuru!$AB$2:$AB$1851,0)),"")</f>
        <v>Öğr. Gör. Dr. Berrin BABAOĞLU</v>
      </c>
      <c r="R192" s="171">
        <f>IF(Q192="","",COUNTIFS(Başvuru!$C:$C,Q192,Başvuru!$A:$A,"&lt;&gt;"&amp;"",Başvuru!$F:$F,"&lt;&gt;"&amp;""))</f>
        <v>1</v>
      </c>
      <c r="S192" s="171">
        <f>IF(R192="","",RANK(R192,$R$6:$R$505,0)+COUNTIF($R$6:R192,R192)-1)</f>
        <v>232</v>
      </c>
    </row>
    <row r="193" spans="2:19" ht="23.25" customHeight="1" x14ac:dyDescent="0.25">
      <c r="B193" s="159">
        <v>188</v>
      </c>
      <c r="C193" s="160" t="str">
        <f>IFERROR(INDEX($Q$6:$Q$505,MATCH(188,$S$6:$S$505,0)),"")</f>
        <v>Arş. Gör. Dt. Dilara KARA</v>
      </c>
      <c r="D193" s="161">
        <f>IF(C193="","",COUNTIFS(Başvuru!$C:$C,C193,Başvuru!$A:$A,"&lt;&gt;"&amp;"",Başvuru!$F:$F,"&lt;&gt;"&amp;""))</f>
        <v>1</v>
      </c>
      <c r="E193" s="159" t="str">
        <f>IF(C193="","-",IF(D193&gt;0,TEXT(D193/(COUNTIFS(Başvuru!$A:$A,"&lt;&gt;",Başvuru!$F:$F,"&lt;&gt;")-1)*100,"0.0")&amp;"%","-"))</f>
        <v>00%</v>
      </c>
      <c r="F193" s="162">
        <f>IF(C193="","",COUNTIFS(Başvuru!$C:$C,C193,Başvuru!$G:$G,"Bireysel Araştırma",Başvuru!$A:$A,"&lt;&gt;"&amp;"",Başvuru!$F:$F,"&lt;&gt;"&amp;""))</f>
        <v>1</v>
      </c>
      <c r="G193" s="162">
        <f>IF(C193="","",COUNTIFS(Başvuru!$C:$C,C193,Başvuru!$G:$G,"Uzmanlık Tezi",Başvuru!$A:$A,"&lt;&gt;"&amp;"",Başvuru!$F:$F,"&lt;&gt;"&amp;""))</f>
        <v>0</v>
      </c>
      <c r="H193" s="162">
        <f>IF(C193="","",COUNTIFS(Başvuru!$C:$C,C193,Başvuru!$G:$G,"Doktora Tezi",Başvuru!$A:$A,"&lt;&gt;"&amp;"",Başvuru!$F:$F,"&lt;&gt;"&amp;""))</f>
        <v>0</v>
      </c>
      <c r="I193" s="162">
        <f>IF(C193="","",COUNTIFS(Başvuru!$C:$C,C193,Başvuru!$G:$G,"Yüksek Lisans Tezi",Başvuru!$A:$A,"&lt;&gt;"&amp;"",Başvuru!$F:$F,"&lt;&gt;"&amp;""))</f>
        <v>0</v>
      </c>
      <c r="J193" s="163">
        <f>IF(C193="","",COUNTIFS(Başvuru!$C:$C,C193,Başvuru!$L:$L,"ONAY",Başvuru!$A:$A,"&lt;&gt;"&amp;"",Başvuru!$F:$F,"&lt;&gt;"&amp;""))</f>
        <v>1</v>
      </c>
      <c r="K193" s="164">
        <f>IF(C193="","",COUNTIFS(Başvuru!$C:$C,C193,Başvuru!$L:$L,"DÜZELTME",Başvuru!$A:$A,"&lt;&gt;"&amp;"",Başvuru!$F:$F,"&lt;&gt;"&amp;""))</f>
        <v>0</v>
      </c>
      <c r="L193" s="165">
        <f>IF(C193="","",COUNTIFS(Başvuru!$C:$C,C193,Başvuru!$L:$L,"KAEK",Başvuru!$A:$A,"&lt;&gt;"&amp;"",Başvuru!$F:$F,"&lt;&gt;"&amp;""))</f>
        <v>0</v>
      </c>
      <c r="M193" s="166">
        <f>IF(C193="","",COUNTIFS(Başvuru!$C:$C,C193,Başvuru!$L:$L,"GÖRÜŞ",Başvuru!$A:$A,"&lt;&gt;"&amp;"",Başvuru!$F:$F,"&lt;&gt;"&amp;""))</f>
        <v>0</v>
      </c>
      <c r="N193" s="167">
        <f>IF(C193="","",COUNTIFS(Başvuru!$C:$C,C193,Başvuru!$L:$L,"RET",Başvuru!$A:$A,"&lt;&gt;"&amp;"",Başvuru!$F:$F,"&lt;&gt;"&amp;""))</f>
        <v>0</v>
      </c>
      <c r="O193" s="168">
        <f>IF(C193="","",COUNTIFS(Başvuru!$C:$C,C193,Başvuru!$L:$L,"KAPSAM DIŞI",Başvuru!$A:$A,"&lt;&gt;"&amp;"",Başvuru!$F:$F,"&lt;&gt;"&amp;""))</f>
        <v>0</v>
      </c>
      <c r="P193" s="169">
        <f>IF(C193="","",COUNTIFS(Başvuru!$C:$C,C193,Başvuru!$L:$L,"GERİ ÇEKİLDİ",Başvuru!$A:$A,"&lt;&gt;"&amp;"",Başvuru!$F:$F,"&lt;&gt;"&amp;""))</f>
        <v>0</v>
      </c>
      <c r="Q193" s="170" t="str">
        <f>IFERROR(INDEX(Başvuru!$C$2:$C$1851,MATCH(188,Başvuru!$AB$2:$AB$1851,0)),"")</f>
        <v>Prof. Dr. Hakan GÖKER</v>
      </c>
      <c r="R193" s="171">
        <f>IF(Q193="","",COUNTIFS(Başvuru!$C:$C,Q193,Başvuru!$A:$A,"&lt;&gt;"&amp;"",Başvuru!$F:$F,"&lt;&gt;"&amp;""))</f>
        <v>3</v>
      </c>
      <c r="S193" s="171">
        <f>IF(R193="","",RANK(R193,$R$6:$R$505,0)+COUNTIF($R$6:R193,R193)-1)</f>
        <v>74</v>
      </c>
    </row>
    <row r="194" spans="2:19" ht="23.25" customHeight="1" x14ac:dyDescent="0.25">
      <c r="B194" s="159">
        <v>189</v>
      </c>
      <c r="C194" s="160" t="str">
        <f>IFERROR(INDEX($Q$6:$Q$505,MATCH(189,$S$6:$S$505,0)),"")</f>
        <v>Dr. Öğr. Üyesi Irmak OCAK</v>
      </c>
      <c r="D194" s="161">
        <f>IF(C194="","",COUNTIFS(Başvuru!$C:$C,C194,Başvuru!$A:$A,"&lt;&gt;"&amp;"",Başvuru!$F:$F,"&lt;&gt;"&amp;""))</f>
        <v>1</v>
      </c>
      <c r="E194" s="159" t="str">
        <f>IF(C194="","-",IF(D194&gt;0,TEXT(D194/(COUNTIFS(Başvuru!$A:$A,"&lt;&gt;",Başvuru!$F:$F,"&lt;&gt;")-1)*100,"0.0")&amp;"%","-"))</f>
        <v>00%</v>
      </c>
      <c r="F194" s="162">
        <f>IF(C194="","",COUNTIFS(Başvuru!$C:$C,C194,Başvuru!$G:$G,"Bireysel Araştırma",Başvuru!$A:$A,"&lt;&gt;"&amp;"",Başvuru!$F:$F,"&lt;&gt;"&amp;""))</f>
        <v>1</v>
      </c>
      <c r="G194" s="162">
        <f>IF(C194="","",COUNTIFS(Başvuru!$C:$C,C194,Başvuru!$G:$G,"Uzmanlık Tezi",Başvuru!$A:$A,"&lt;&gt;"&amp;"",Başvuru!$F:$F,"&lt;&gt;"&amp;""))</f>
        <v>0</v>
      </c>
      <c r="H194" s="162">
        <f>IF(C194="","",COUNTIFS(Başvuru!$C:$C,C194,Başvuru!$G:$G,"Doktora Tezi",Başvuru!$A:$A,"&lt;&gt;"&amp;"",Başvuru!$F:$F,"&lt;&gt;"&amp;""))</f>
        <v>0</v>
      </c>
      <c r="I194" s="162">
        <f>IF(C194="","",COUNTIFS(Başvuru!$C:$C,C194,Başvuru!$G:$G,"Yüksek Lisans Tezi",Başvuru!$A:$A,"&lt;&gt;"&amp;"",Başvuru!$F:$F,"&lt;&gt;"&amp;""))</f>
        <v>0</v>
      </c>
      <c r="J194" s="163">
        <f>IF(C194="","",COUNTIFS(Başvuru!$C:$C,C194,Başvuru!$L:$L,"ONAY",Başvuru!$A:$A,"&lt;&gt;"&amp;"",Başvuru!$F:$F,"&lt;&gt;"&amp;""))</f>
        <v>1</v>
      </c>
      <c r="K194" s="164">
        <f>IF(C194="","",COUNTIFS(Başvuru!$C:$C,C194,Başvuru!$L:$L,"DÜZELTME",Başvuru!$A:$A,"&lt;&gt;"&amp;"",Başvuru!$F:$F,"&lt;&gt;"&amp;""))</f>
        <v>0</v>
      </c>
      <c r="L194" s="165">
        <f>IF(C194="","",COUNTIFS(Başvuru!$C:$C,C194,Başvuru!$L:$L,"KAEK",Başvuru!$A:$A,"&lt;&gt;"&amp;"",Başvuru!$F:$F,"&lt;&gt;"&amp;""))</f>
        <v>0</v>
      </c>
      <c r="M194" s="166">
        <f>IF(C194="","",COUNTIFS(Başvuru!$C:$C,C194,Başvuru!$L:$L,"GÖRÜŞ",Başvuru!$A:$A,"&lt;&gt;"&amp;"",Başvuru!$F:$F,"&lt;&gt;"&amp;""))</f>
        <v>0</v>
      </c>
      <c r="N194" s="167">
        <f>IF(C194="","",COUNTIFS(Başvuru!$C:$C,C194,Başvuru!$L:$L,"RET",Başvuru!$A:$A,"&lt;&gt;"&amp;"",Başvuru!$F:$F,"&lt;&gt;"&amp;""))</f>
        <v>0</v>
      </c>
      <c r="O194" s="168">
        <f>IF(C194="","",COUNTIFS(Başvuru!$C:$C,C194,Başvuru!$L:$L,"KAPSAM DIŞI",Başvuru!$A:$A,"&lt;&gt;"&amp;"",Başvuru!$F:$F,"&lt;&gt;"&amp;""))</f>
        <v>0</v>
      </c>
      <c r="P194" s="169">
        <f>IF(C194="","",COUNTIFS(Başvuru!$C:$C,C194,Başvuru!$L:$L,"GERİ ÇEKİLDİ",Başvuru!$A:$A,"&lt;&gt;"&amp;"",Başvuru!$F:$F,"&lt;&gt;"&amp;""))</f>
        <v>0</v>
      </c>
      <c r="Q194" s="170" t="str">
        <f>IFERROR(INDEX(Başvuru!$C$2:$C$1851,MATCH(189,Başvuru!$AB$2:$AB$1851,0)),"")</f>
        <v>Prof. Dr. Sinem AKGÜL</v>
      </c>
      <c r="R194" s="171">
        <f>IF(Q194="","",COUNTIFS(Başvuru!$C:$C,Q194,Başvuru!$A:$A,"&lt;&gt;"&amp;"",Başvuru!$F:$F,"&lt;&gt;"&amp;""))</f>
        <v>3</v>
      </c>
      <c r="S194" s="171">
        <f>IF(R194="","",RANK(R194,$R$6:$R$505,0)+COUNTIF($R$6:R194,R194)-1)</f>
        <v>75</v>
      </c>
    </row>
    <row r="195" spans="2:19" ht="23.25" customHeight="1" x14ac:dyDescent="0.25">
      <c r="B195" s="159">
        <v>190</v>
      </c>
      <c r="C195" s="160" t="str">
        <f>IFERROR(INDEX($Q$6:$Q$505,MATCH(190,$S$6:$S$505,0)),"")</f>
        <v>Doç. Dr. Serra ÖRSTEN</v>
      </c>
      <c r="D195" s="161">
        <f>IF(C195="","",COUNTIFS(Başvuru!$C:$C,C195,Başvuru!$A:$A,"&lt;&gt;"&amp;"",Başvuru!$F:$F,"&lt;&gt;"&amp;""))</f>
        <v>1</v>
      </c>
      <c r="E195" s="159" t="str">
        <f>IF(C195="","-",IF(D195&gt;0,TEXT(D195/(COUNTIFS(Başvuru!$A:$A,"&lt;&gt;",Başvuru!$F:$F,"&lt;&gt;")-1)*100,"0.0")&amp;"%","-"))</f>
        <v>00%</v>
      </c>
      <c r="F195" s="162">
        <f>IF(C195="","",COUNTIFS(Başvuru!$C:$C,C195,Başvuru!$G:$G,"Bireysel Araştırma",Başvuru!$A:$A,"&lt;&gt;"&amp;"",Başvuru!$F:$F,"&lt;&gt;"&amp;""))</f>
        <v>1</v>
      </c>
      <c r="G195" s="162">
        <f>IF(C195="","",COUNTIFS(Başvuru!$C:$C,C195,Başvuru!$G:$G,"Uzmanlık Tezi",Başvuru!$A:$A,"&lt;&gt;"&amp;"",Başvuru!$F:$F,"&lt;&gt;"&amp;""))</f>
        <v>0</v>
      </c>
      <c r="H195" s="162">
        <f>IF(C195="","",COUNTIFS(Başvuru!$C:$C,C195,Başvuru!$G:$G,"Doktora Tezi",Başvuru!$A:$A,"&lt;&gt;"&amp;"",Başvuru!$F:$F,"&lt;&gt;"&amp;""))</f>
        <v>0</v>
      </c>
      <c r="I195" s="162">
        <f>IF(C195="","",COUNTIFS(Başvuru!$C:$C,C195,Başvuru!$G:$G,"Yüksek Lisans Tezi",Başvuru!$A:$A,"&lt;&gt;"&amp;"",Başvuru!$F:$F,"&lt;&gt;"&amp;""))</f>
        <v>0</v>
      </c>
      <c r="J195" s="163">
        <f>IF(C195="","",COUNTIFS(Başvuru!$C:$C,C195,Başvuru!$L:$L,"ONAY",Başvuru!$A:$A,"&lt;&gt;"&amp;"",Başvuru!$F:$F,"&lt;&gt;"&amp;""))</f>
        <v>0</v>
      </c>
      <c r="K195" s="164">
        <f>IF(C195="","",COUNTIFS(Başvuru!$C:$C,C195,Başvuru!$L:$L,"DÜZELTME",Başvuru!$A:$A,"&lt;&gt;"&amp;"",Başvuru!$F:$F,"&lt;&gt;"&amp;""))</f>
        <v>1</v>
      </c>
      <c r="L195" s="165">
        <f>IF(C195="","",COUNTIFS(Başvuru!$C:$C,C195,Başvuru!$L:$L,"KAEK",Başvuru!$A:$A,"&lt;&gt;"&amp;"",Başvuru!$F:$F,"&lt;&gt;"&amp;""))</f>
        <v>0</v>
      </c>
      <c r="M195" s="166">
        <f>IF(C195="","",COUNTIFS(Başvuru!$C:$C,C195,Başvuru!$L:$L,"GÖRÜŞ",Başvuru!$A:$A,"&lt;&gt;"&amp;"",Başvuru!$F:$F,"&lt;&gt;"&amp;""))</f>
        <v>0</v>
      </c>
      <c r="N195" s="167">
        <f>IF(C195="","",COUNTIFS(Başvuru!$C:$C,C195,Başvuru!$L:$L,"RET",Başvuru!$A:$A,"&lt;&gt;"&amp;"",Başvuru!$F:$F,"&lt;&gt;"&amp;""))</f>
        <v>0</v>
      </c>
      <c r="O195" s="168">
        <f>IF(C195="","",COUNTIFS(Başvuru!$C:$C,C195,Başvuru!$L:$L,"KAPSAM DIŞI",Başvuru!$A:$A,"&lt;&gt;"&amp;"",Başvuru!$F:$F,"&lt;&gt;"&amp;""))</f>
        <v>0</v>
      </c>
      <c r="P195" s="169">
        <f>IF(C195="","",COUNTIFS(Başvuru!$C:$C,C195,Başvuru!$L:$L,"GERİ ÇEKİLDİ",Başvuru!$A:$A,"&lt;&gt;"&amp;"",Başvuru!$F:$F,"&lt;&gt;"&amp;""))</f>
        <v>0</v>
      </c>
      <c r="Q195" s="170" t="str">
        <f>IFERROR(INDEX(Başvuru!$C$2:$C$1851,MATCH(190,Başvuru!$AB$2:$AB$1851,0)),"")</f>
        <v>Doç. Dr. Cem ÇÖTELİ</v>
      </c>
      <c r="R195" s="171">
        <f>IF(Q195="","",COUNTIFS(Başvuru!$C:$C,Q195,Başvuru!$A:$A,"&lt;&gt;"&amp;"",Başvuru!$F:$F,"&lt;&gt;"&amp;""))</f>
        <v>7</v>
      </c>
      <c r="S195" s="171">
        <f>IF(R195="","",RANK(R195,$R$6:$R$505,0)+COUNTIF($R$6:R195,R195)-1)</f>
        <v>15</v>
      </c>
    </row>
    <row r="196" spans="2:19" ht="23.25" customHeight="1" x14ac:dyDescent="0.25">
      <c r="B196" s="159">
        <v>191</v>
      </c>
      <c r="C196" s="160" t="str">
        <f>IFERROR(INDEX($Q$6:$Q$505,MATCH(191,$S$6:$S$505,0)),"")</f>
        <v>Dr. Öğr. Üyesi Hilal AKDEMİR AKTAŞ</v>
      </c>
      <c r="D196" s="161">
        <f>IF(C196="","",COUNTIFS(Başvuru!$C:$C,C196,Başvuru!$A:$A,"&lt;&gt;"&amp;"",Başvuru!$F:$F,"&lt;&gt;"&amp;""))</f>
        <v>1</v>
      </c>
      <c r="E196" s="159" t="str">
        <f>IF(C196="","-",IF(D196&gt;0,TEXT(D196/(COUNTIFS(Başvuru!$A:$A,"&lt;&gt;",Başvuru!$F:$F,"&lt;&gt;")-1)*100,"0.0")&amp;"%","-"))</f>
        <v>00%</v>
      </c>
      <c r="F196" s="162">
        <f>IF(C196="","",COUNTIFS(Başvuru!$C:$C,C196,Başvuru!$G:$G,"Bireysel Araştırma",Başvuru!$A:$A,"&lt;&gt;"&amp;"",Başvuru!$F:$F,"&lt;&gt;"&amp;""))</f>
        <v>1</v>
      </c>
      <c r="G196" s="162">
        <f>IF(C196="","",COUNTIFS(Başvuru!$C:$C,C196,Başvuru!$G:$G,"Uzmanlık Tezi",Başvuru!$A:$A,"&lt;&gt;"&amp;"",Başvuru!$F:$F,"&lt;&gt;"&amp;""))</f>
        <v>0</v>
      </c>
      <c r="H196" s="162">
        <f>IF(C196="","",COUNTIFS(Başvuru!$C:$C,C196,Başvuru!$G:$G,"Doktora Tezi",Başvuru!$A:$A,"&lt;&gt;"&amp;"",Başvuru!$F:$F,"&lt;&gt;"&amp;""))</f>
        <v>0</v>
      </c>
      <c r="I196" s="162">
        <f>IF(C196="","",COUNTIFS(Başvuru!$C:$C,C196,Başvuru!$G:$G,"Yüksek Lisans Tezi",Başvuru!$A:$A,"&lt;&gt;"&amp;"",Başvuru!$F:$F,"&lt;&gt;"&amp;""))</f>
        <v>0</v>
      </c>
      <c r="J196" s="163">
        <f>IF(C196="","",COUNTIFS(Başvuru!$C:$C,C196,Başvuru!$L:$L,"ONAY",Başvuru!$A:$A,"&lt;&gt;"&amp;"",Başvuru!$F:$F,"&lt;&gt;"&amp;""))</f>
        <v>0</v>
      </c>
      <c r="K196" s="164">
        <f>IF(C196="","",COUNTIFS(Başvuru!$C:$C,C196,Başvuru!$L:$L,"DÜZELTME",Başvuru!$A:$A,"&lt;&gt;"&amp;"",Başvuru!$F:$F,"&lt;&gt;"&amp;""))</f>
        <v>1</v>
      </c>
      <c r="L196" s="165">
        <f>IF(C196="","",COUNTIFS(Başvuru!$C:$C,C196,Başvuru!$L:$L,"KAEK",Başvuru!$A:$A,"&lt;&gt;"&amp;"",Başvuru!$F:$F,"&lt;&gt;"&amp;""))</f>
        <v>0</v>
      </c>
      <c r="M196" s="166">
        <f>IF(C196="","",COUNTIFS(Başvuru!$C:$C,C196,Başvuru!$L:$L,"GÖRÜŞ",Başvuru!$A:$A,"&lt;&gt;"&amp;"",Başvuru!$F:$F,"&lt;&gt;"&amp;""))</f>
        <v>0</v>
      </c>
      <c r="N196" s="167">
        <f>IF(C196="","",COUNTIFS(Başvuru!$C:$C,C196,Başvuru!$L:$L,"RET",Başvuru!$A:$A,"&lt;&gt;"&amp;"",Başvuru!$F:$F,"&lt;&gt;"&amp;""))</f>
        <v>0</v>
      </c>
      <c r="O196" s="168">
        <f>IF(C196="","",COUNTIFS(Başvuru!$C:$C,C196,Başvuru!$L:$L,"KAPSAM DIŞI",Başvuru!$A:$A,"&lt;&gt;"&amp;"",Başvuru!$F:$F,"&lt;&gt;"&amp;""))</f>
        <v>0</v>
      </c>
      <c r="P196" s="169">
        <f>IF(C196="","",COUNTIFS(Başvuru!$C:$C,C196,Başvuru!$L:$L,"GERİ ÇEKİLDİ",Başvuru!$A:$A,"&lt;&gt;"&amp;"",Başvuru!$F:$F,"&lt;&gt;"&amp;""))</f>
        <v>0</v>
      </c>
      <c r="Q196" s="170" t="str">
        <f>IFERROR(INDEX(Başvuru!$C$2:$C$1851,MATCH(191,Başvuru!$AB$2:$AB$1851,0)),"")</f>
        <v>Doç. Dr. Oğuz Abdullah UYAROĞLU</v>
      </c>
      <c r="R196" s="171">
        <f>IF(Q196="","",COUNTIFS(Başvuru!$C:$C,Q196,Başvuru!$A:$A,"&lt;&gt;"&amp;"",Başvuru!$F:$F,"&lt;&gt;"&amp;""))</f>
        <v>2</v>
      </c>
      <c r="S196" s="171">
        <f>IF(R196="","",RANK(R196,$R$6:$R$505,0)+COUNTIF($R$6:R196,R196)-1)</f>
        <v>128</v>
      </c>
    </row>
    <row r="197" spans="2:19" ht="23.25" customHeight="1" x14ac:dyDescent="0.25">
      <c r="B197" s="159">
        <v>192</v>
      </c>
      <c r="C197" s="160" t="str">
        <f>IFERROR(INDEX($Q$6:$Q$505,MATCH(192,$S$6:$S$505,0)),"")</f>
        <v>Prof. Dr. Yavuz AYHAN</v>
      </c>
      <c r="D197" s="161">
        <f>IF(C197="","",COUNTIFS(Başvuru!$C:$C,C197,Başvuru!$A:$A,"&lt;&gt;"&amp;"",Başvuru!$F:$F,"&lt;&gt;"&amp;""))</f>
        <v>1</v>
      </c>
      <c r="E197" s="159" t="str">
        <f>IF(C197="","-",IF(D197&gt;0,TEXT(D197/(COUNTIFS(Başvuru!$A:$A,"&lt;&gt;",Başvuru!$F:$F,"&lt;&gt;")-1)*100,"0.0")&amp;"%","-"))</f>
        <v>00%</v>
      </c>
      <c r="F197" s="162">
        <f>IF(C197="","",COUNTIFS(Başvuru!$C:$C,C197,Başvuru!$G:$G,"Bireysel Araştırma",Başvuru!$A:$A,"&lt;&gt;"&amp;"",Başvuru!$F:$F,"&lt;&gt;"&amp;""))</f>
        <v>1</v>
      </c>
      <c r="G197" s="162">
        <f>IF(C197="","",COUNTIFS(Başvuru!$C:$C,C197,Başvuru!$G:$G,"Uzmanlık Tezi",Başvuru!$A:$A,"&lt;&gt;"&amp;"",Başvuru!$F:$F,"&lt;&gt;"&amp;""))</f>
        <v>0</v>
      </c>
      <c r="H197" s="162">
        <f>IF(C197="","",COUNTIFS(Başvuru!$C:$C,C197,Başvuru!$G:$G,"Doktora Tezi",Başvuru!$A:$A,"&lt;&gt;"&amp;"",Başvuru!$F:$F,"&lt;&gt;"&amp;""))</f>
        <v>0</v>
      </c>
      <c r="I197" s="162">
        <f>IF(C197="","",COUNTIFS(Başvuru!$C:$C,C197,Başvuru!$G:$G,"Yüksek Lisans Tezi",Başvuru!$A:$A,"&lt;&gt;"&amp;"",Başvuru!$F:$F,"&lt;&gt;"&amp;""))</f>
        <v>0</v>
      </c>
      <c r="J197" s="163">
        <f>IF(C197="","",COUNTIFS(Başvuru!$C:$C,C197,Başvuru!$L:$L,"ONAY",Başvuru!$A:$A,"&lt;&gt;"&amp;"",Başvuru!$F:$F,"&lt;&gt;"&amp;""))</f>
        <v>0</v>
      </c>
      <c r="K197" s="164">
        <f>IF(C197="","",COUNTIFS(Başvuru!$C:$C,C197,Başvuru!$L:$L,"DÜZELTME",Başvuru!$A:$A,"&lt;&gt;"&amp;"",Başvuru!$F:$F,"&lt;&gt;"&amp;""))</f>
        <v>1</v>
      </c>
      <c r="L197" s="165">
        <f>IF(C197="","",COUNTIFS(Başvuru!$C:$C,C197,Başvuru!$L:$L,"KAEK",Başvuru!$A:$A,"&lt;&gt;"&amp;"",Başvuru!$F:$F,"&lt;&gt;"&amp;""))</f>
        <v>0</v>
      </c>
      <c r="M197" s="166">
        <f>IF(C197="","",COUNTIFS(Başvuru!$C:$C,C197,Başvuru!$L:$L,"GÖRÜŞ",Başvuru!$A:$A,"&lt;&gt;"&amp;"",Başvuru!$F:$F,"&lt;&gt;"&amp;""))</f>
        <v>0</v>
      </c>
      <c r="N197" s="167">
        <f>IF(C197="","",COUNTIFS(Başvuru!$C:$C,C197,Başvuru!$L:$L,"RET",Başvuru!$A:$A,"&lt;&gt;"&amp;"",Başvuru!$F:$F,"&lt;&gt;"&amp;""))</f>
        <v>0</v>
      </c>
      <c r="O197" s="168">
        <f>IF(C197="","",COUNTIFS(Başvuru!$C:$C,C197,Başvuru!$L:$L,"KAPSAM DIŞI",Başvuru!$A:$A,"&lt;&gt;"&amp;"",Başvuru!$F:$F,"&lt;&gt;"&amp;""))</f>
        <v>0</v>
      </c>
      <c r="P197" s="169">
        <f>IF(C197="","",COUNTIFS(Başvuru!$C:$C,C197,Başvuru!$L:$L,"GERİ ÇEKİLDİ",Başvuru!$A:$A,"&lt;&gt;"&amp;"",Başvuru!$F:$F,"&lt;&gt;"&amp;""))</f>
        <v>0</v>
      </c>
      <c r="Q197" s="170" t="str">
        <f>IFERROR(INDEX(Başvuru!$C$2:$C$1851,MATCH(192,Başvuru!$AB$2:$AB$1851,0)),"")</f>
        <v>Prof. Dr. Bilge VOLKAN SALANCI</v>
      </c>
      <c r="R197" s="171">
        <f>IF(Q197="","",COUNTIFS(Başvuru!$C:$C,Q197,Başvuru!$A:$A,"&lt;&gt;"&amp;"",Başvuru!$F:$F,"&lt;&gt;"&amp;""))</f>
        <v>2</v>
      </c>
      <c r="S197" s="171">
        <f>IF(R197="","",RANK(R197,$R$6:$R$505,0)+COUNTIF($R$6:R197,R197)-1)</f>
        <v>129</v>
      </c>
    </row>
    <row r="198" spans="2:19" ht="23.25" customHeight="1" x14ac:dyDescent="0.25">
      <c r="B198" s="159">
        <v>193</v>
      </c>
      <c r="C198" s="160" t="str">
        <f>IFERROR(INDEX($Q$6:$Q$505,MATCH(193,$S$6:$S$505,0)),"")</f>
        <v>Prof. Dr. Dilşad FOTO ÖZDEMİR</v>
      </c>
      <c r="D198" s="161">
        <f>IF(C198="","",COUNTIFS(Başvuru!$C:$C,C198,Başvuru!$A:$A,"&lt;&gt;"&amp;"",Başvuru!$F:$F,"&lt;&gt;"&amp;""))</f>
        <v>1</v>
      </c>
      <c r="E198" s="159" t="str">
        <f>IF(C198="","-",IF(D198&gt;0,TEXT(D198/(COUNTIFS(Başvuru!$A:$A,"&lt;&gt;",Başvuru!$F:$F,"&lt;&gt;")-1)*100,"0.0")&amp;"%","-"))</f>
        <v>00%</v>
      </c>
      <c r="F198" s="162">
        <f>IF(C198="","",COUNTIFS(Başvuru!$C:$C,C198,Başvuru!$G:$G,"Bireysel Araştırma",Başvuru!$A:$A,"&lt;&gt;"&amp;"",Başvuru!$F:$F,"&lt;&gt;"&amp;""))</f>
        <v>0</v>
      </c>
      <c r="G198" s="162">
        <f>IF(C198="","",COUNTIFS(Başvuru!$C:$C,C198,Başvuru!$G:$G,"Uzmanlık Tezi",Başvuru!$A:$A,"&lt;&gt;"&amp;"",Başvuru!$F:$F,"&lt;&gt;"&amp;""))</f>
        <v>1</v>
      </c>
      <c r="H198" s="162">
        <f>IF(C198="","",COUNTIFS(Başvuru!$C:$C,C198,Başvuru!$G:$G,"Doktora Tezi",Başvuru!$A:$A,"&lt;&gt;"&amp;"",Başvuru!$F:$F,"&lt;&gt;"&amp;""))</f>
        <v>0</v>
      </c>
      <c r="I198" s="162">
        <f>IF(C198="","",COUNTIFS(Başvuru!$C:$C,C198,Başvuru!$G:$G,"Yüksek Lisans Tezi",Başvuru!$A:$A,"&lt;&gt;"&amp;"",Başvuru!$F:$F,"&lt;&gt;"&amp;""))</f>
        <v>0</v>
      </c>
      <c r="J198" s="163">
        <f>IF(C198="","",COUNTIFS(Başvuru!$C:$C,C198,Başvuru!$L:$L,"ONAY",Başvuru!$A:$A,"&lt;&gt;"&amp;"",Başvuru!$F:$F,"&lt;&gt;"&amp;""))</f>
        <v>1</v>
      </c>
      <c r="K198" s="164">
        <f>IF(C198="","",COUNTIFS(Başvuru!$C:$C,C198,Başvuru!$L:$L,"DÜZELTME",Başvuru!$A:$A,"&lt;&gt;"&amp;"",Başvuru!$F:$F,"&lt;&gt;"&amp;""))</f>
        <v>0</v>
      </c>
      <c r="L198" s="165">
        <f>IF(C198="","",COUNTIFS(Başvuru!$C:$C,C198,Başvuru!$L:$L,"KAEK",Başvuru!$A:$A,"&lt;&gt;"&amp;"",Başvuru!$F:$F,"&lt;&gt;"&amp;""))</f>
        <v>0</v>
      </c>
      <c r="M198" s="166">
        <f>IF(C198="","",COUNTIFS(Başvuru!$C:$C,C198,Başvuru!$L:$L,"GÖRÜŞ",Başvuru!$A:$A,"&lt;&gt;"&amp;"",Başvuru!$F:$F,"&lt;&gt;"&amp;""))</f>
        <v>0</v>
      </c>
      <c r="N198" s="167">
        <f>IF(C198="","",COUNTIFS(Başvuru!$C:$C,C198,Başvuru!$L:$L,"RET",Başvuru!$A:$A,"&lt;&gt;"&amp;"",Başvuru!$F:$F,"&lt;&gt;"&amp;""))</f>
        <v>0</v>
      </c>
      <c r="O198" s="168">
        <f>IF(C198="","",COUNTIFS(Başvuru!$C:$C,C198,Başvuru!$L:$L,"KAPSAM DIŞI",Başvuru!$A:$A,"&lt;&gt;"&amp;"",Başvuru!$F:$F,"&lt;&gt;"&amp;""))</f>
        <v>0</v>
      </c>
      <c r="P198" s="169">
        <f>IF(C198="","",COUNTIFS(Başvuru!$C:$C,C198,Başvuru!$L:$L,"GERİ ÇEKİLDİ",Başvuru!$A:$A,"&lt;&gt;"&amp;"",Başvuru!$F:$F,"&lt;&gt;"&amp;""))</f>
        <v>0</v>
      </c>
      <c r="Q198" s="170" t="str">
        <f>IFERROR(INDEX(Başvuru!$C$2:$C$1851,MATCH(193,Başvuru!$AB$2:$AB$1851,0)),"")</f>
        <v>Prof. Dr. Filiz YALÇIN ÇAKIR</v>
      </c>
      <c r="R198" s="171">
        <f>IF(Q198="","",COUNTIFS(Başvuru!$C:$C,Q198,Başvuru!$A:$A,"&lt;&gt;"&amp;"",Başvuru!$F:$F,"&lt;&gt;"&amp;""))</f>
        <v>3</v>
      </c>
      <c r="S198" s="171">
        <f>IF(R198="","",RANK(R198,$R$6:$R$505,0)+COUNTIF($R$6:R198,R198)-1)</f>
        <v>76</v>
      </c>
    </row>
    <row r="199" spans="2:19" ht="23.25" customHeight="1" x14ac:dyDescent="0.25">
      <c r="B199" s="159">
        <v>194</v>
      </c>
      <c r="C199" s="160" t="str">
        <f>IFERROR(INDEX($Q$6:$Q$505,MATCH(194,$S$6:$S$505,0)),"")</f>
        <v>Doç. Dr. Seda Hanife OĞUZ BAYKAL</v>
      </c>
      <c r="D199" s="161">
        <f>IF(C199="","",COUNTIFS(Başvuru!$C:$C,C199,Başvuru!$A:$A,"&lt;&gt;"&amp;"",Başvuru!$F:$F,"&lt;&gt;"&amp;""))</f>
        <v>1</v>
      </c>
      <c r="E199" s="159" t="str">
        <f>IF(C199="","-",IF(D199&gt;0,TEXT(D199/(COUNTIFS(Başvuru!$A:$A,"&lt;&gt;",Başvuru!$F:$F,"&lt;&gt;")-1)*100,"0.0")&amp;"%","-"))</f>
        <v>00%</v>
      </c>
      <c r="F199" s="162">
        <f>IF(C199="","",COUNTIFS(Başvuru!$C:$C,C199,Başvuru!$G:$G,"Bireysel Araştırma",Başvuru!$A:$A,"&lt;&gt;"&amp;"",Başvuru!$F:$F,"&lt;&gt;"&amp;""))</f>
        <v>1</v>
      </c>
      <c r="G199" s="162">
        <f>IF(C199="","",COUNTIFS(Başvuru!$C:$C,C199,Başvuru!$G:$G,"Uzmanlık Tezi",Başvuru!$A:$A,"&lt;&gt;"&amp;"",Başvuru!$F:$F,"&lt;&gt;"&amp;""))</f>
        <v>0</v>
      </c>
      <c r="H199" s="162">
        <f>IF(C199="","",COUNTIFS(Başvuru!$C:$C,C199,Başvuru!$G:$G,"Doktora Tezi",Başvuru!$A:$A,"&lt;&gt;"&amp;"",Başvuru!$F:$F,"&lt;&gt;"&amp;""))</f>
        <v>0</v>
      </c>
      <c r="I199" s="162">
        <f>IF(C199="","",COUNTIFS(Başvuru!$C:$C,C199,Başvuru!$G:$G,"Yüksek Lisans Tezi",Başvuru!$A:$A,"&lt;&gt;"&amp;"",Başvuru!$F:$F,"&lt;&gt;"&amp;""))</f>
        <v>0</v>
      </c>
      <c r="J199" s="163">
        <f>IF(C199="","",COUNTIFS(Başvuru!$C:$C,C199,Başvuru!$L:$L,"ONAY",Başvuru!$A:$A,"&lt;&gt;"&amp;"",Başvuru!$F:$F,"&lt;&gt;"&amp;""))</f>
        <v>1</v>
      </c>
      <c r="K199" s="164">
        <f>IF(C199="","",COUNTIFS(Başvuru!$C:$C,C199,Başvuru!$L:$L,"DÜZELTME",Başvuru!$A:$A,"&lt;&gt;"&amp;"",Başvuru!$F:$F,"&lt;&gt;"&amp;""))</f>
        <v>0</v>
      </c>
      <c r="L199" s="165">
        <f>IF(C199="","",COUNTIFS(Başvuru!$C:$C,C199,Başvuru!$L:$L,"KAEK",Başvuru!$A:$A,"&lt;&gt;"&amp;"",Başvuru!$F:$F,"&lt;&gt;"&amp;""))</f>
        <v>0</v>
      </c>
      <c r="M199" s="166">
        <f>IF(C199="","",COUNTIFS(Başvuru!$C:$C,C199,Başvuru!$L:$L,"GÖRÜŞ",Başvuru!$A:$A,"&lt;&gt;"&amp;"",Başvuru!$F:$F,"&lt;&gt;"&amp;""))</f>
        <v>0</v>
      </c>
      <c r="N199" s="167">
        <f>IF(C199="","",COUNTIFS(Başvuru!$C:$C,C199,Başvuru!$L:$L,"RET",Başvuru!$A:$A,"&lt;&gt;"&amp;"",Başvuru!$F:$F,"&lt;&gt;"&amp;""))</f>
        <v>0</v>
      </c>
      <c r="O199" s="168">
        <f>IF(C199="","",COUNTIFS(Başvuru!$C:$C,C199,Başvuru!$L:$L,"KAPSAM DIŞI",Başvuru!$A:$A,"&lt;&gt;"&amp;"",Başvuru!$F:$F,"&lt;&gt;"&amp;""))</f>
        <v>0</v>
      </c>
      <c r="P199" s="169">
        <f>IF(C199="","",COUNTIFS(Başvuru!$C:$C,C199,Başvuru!$L:$L,"GERİ ÇEKİLDİ",Başvuru!$A:$A,"&lt;&gt;"&amp;"",Başvuru!$F:$F,"&lt;&gt;"&amp;""))</f>
        <v>0</v>
      </c>
      <c r="Q199" s="170" t="str">
        <f>IFERROR(INDEX(Başvuru!$C$2:$C$1851,MATCH(194,Başvuru!$AB$2:$AB$1851,0)),"")</f>
        <v>Prof. Dr. Cavit Işık YAVUZ</v>
      </c>
      <c r="R199" s="171">
        <f>IF(Q199="","",COUNTIFS(Başvuru!$C:$C,Q199,Başvuru!$A:$A,"&lt;&gt;"&amp;"",Başvuru!$F:$F,"&lt;&gt;"&amp;""))</f>
        <v>1</v>
      </c>
      <c r="S199" s="171">
        <f>IF(R199="","",RANK(R199,$R$6:$R$505,0)+COUNTIF($R$6:R199,R199)-1)</f>
        <v>233</v>
      </c>
    </row>
    <row r="200" spans="2:19" ht="23.25" customHeight="1" x14ac:dyDescent="0.25">
      <c r="B200" s="159">
        <v>195</v>
      </c>
      <c r="C200" s="160" t="str">
        <f>IFERROR(INDEX($Q$6:$Q$505,MATCH(195,$S$6:$S$505,0)),"")</f>
        <v>Doç. Dr. Gölşah KÖK</v>
      </c>
      <c r="D200" s="161">
        <f>IF(C200="","",COUNTIFS(Başvuru!$C:$C,C200,Başvuru!$A:$A,"&lt;&gt;"&amp;"",Başvuru!$F:$F,"&lt;&gt;"&amp;""))</f>
        <v>1</v>
      </c>
      <c r="E200" s="159" t="str">
        <f>IF(C200="","-",IF(D200&gt;0,TEXT(D200/(COUNTIFS(Başvuru!$A:$A,"&lt;&gt;",Başvuru!$F:$F,"&lt;&gt;")-1)*100,"0.0")&amp;"%","-"))</f>
        <v>00%</v>
      </c>
      <c r="F200" s="162">
        <f>IF(C200="","",COUNTIFS(Başvuru!$C:$C,C200,Başvuru!$G:$G,"Bireysel Araştırma",Başvuru!$A:$A,"&lt;&gt;"&amp;"",Başvuru!$F:$F,"&lt;&gt;"&amp;""))</f>
        <v>1</v>
      </c>
      <c r="G200" s="162">
        <f>IF(C200="","",COUNTIFS(Başvuru!$C:$C,C200,Başvuru!$G:$G,"Uzmanlık Tezi",Başvuru!$A:$A,"&lt;&gt;"&amp;"",Başvuru!$F:$F,"&lt;&gt;"&amp;""))</f>
        <v>0</v>
      </c>
      <c r="H200" s="162">
        <f>IF(C200="","",COUNTIFS(Başvuru!$C:$C,C200,Başvuru!$G:$G,"Doktora Tezi",Başvuru!$A:$A,"&lt;&gt;"&amp;"",Başvuru!$F:$F,"&lt;&gt;"&amp;""))</f>
        <v>0</v>
      </c>
      <c r="I200" s="162">
        <f>IF(C200="","",COUNTIFS(Başvuru!$C:$C,C200,Başvuru!$G:$G,"Yüksek Lisans Tezi",Başvuru!$A:$A,"&lt;&gt;"&amp;"",Başvuru!$F:$F,"&lt;&gt;"&amp;""))</f>
        <v>0</v>
      </c>
      <c r="J200" s="163">
        <f>IF(C200="","",COUNTIFS(Başvuru!$C:$C,C200,Başvuru!$L:$L,"ONAY",Başvuru!$A:$A,"&lt;&gt;"&amp;"",Başvuru!$F:$F,"&lt;&gt;"&amp;""))</f>
        <v>1</v>
      </c>
      <c r="K200" s="164">
        <f>IF(C200="","",COUNTIFS(Başvuru!$C:$C,C200,Başvuru!$L:$L,"DÜZELTME",Başvuru!$A:$A,"&lt;&gt;"&amp;"",Başvuru!$F:$F,"&lt;&gt;"&amp;""))</f>
        <v>0</v>
      </c>
      <c r="L200" s="165">
        <f>IF(C200="","",COUNTIFS(Başvuru!$C:$C,C200,Başvuru!$L:$L,"KAEK",Başvuru!$A:$A,"&lt;&gt;"&amp;"",Başvuru!$F:$F,"&lt;&gt;"&amp;""))</f>
        <v>0</v>
      </c>
      <c r="M200" s="166">
        <f>IF(C200="","",COUNTIFS(Başvuru!$C:$C,C200,Başvuru!$L:$L,"GÖRÜŞ",Başvuru!$A:$A,"&lt;&gt;"&amp;"",Başvuru!$F:$F,"&lt;&gt;"&amp;""))</f>
        <v>0</v>
      </c>
      <c r="N200" s="167">
        <f>IF(C200="","",COUNTIFS(Başvuru!$C:$C,C200,Başvuru!$L:$L,"RET",Başvuru!$A:$A,"&lt;&gt;"&amp;"",Başvuru!$F:$F,"&lt;&gt;"&amp;""))</f>
        <v>0</v>
      </c>
      <c r="O200" s="168">
        <f>IF(C200="","",COUNTIFS(Başvuru!$C:$C,C200,Başvuru!$L:$L,"KAPSAM DIŞI",Başvuru!$A:$A,"&lt;&gt;"&amp;"",Başvuru!$F:$F,"&lt;&gt;"&amp;""))</f>
        <v>0</v>
      </c>
      <c r="P200" s="169">
        <f>IF(C200="","",COUNTIFS(Başvuru!$C:$C,C200,Başvuru!$L:$L,"GERİ ÇEKİLDİ",Başvuru!$A:$A,"&lt;&gt;"&amp;"",Başvuru!$F:$F,"&lt;&gt;"&amp;""))</f>
        <v>0</v>
      </c>
      <c r="Q200" s="170" t="str">
        <f>IFERROR(INDEX(Başvuru!$C$2:$C$1851,MATCH(195,Başvuru!$AB$2:$AB$1851,0)),"")</f>
        <v>Dr. Öğr. Üyesi Burçe ATAÇ MOGOL</v>
      </c>
      <c r="R200" s="171">
        <f>IF(Q200="","",COUNTIFS(Başvuru!$C:$C,Q200,Başvuru!$A:$A,"&lt;&gt;"&amp;"",Başvuru!$F:$F,"&lt;&gt;"&amp;""))</f>
        <v>1</v>
      </c>
      <c r="S200" s="171">
        <f>IF(R200="","",RANK(R200,$R$6:$R$505,0)+COUNTIF($R$6:R200,R200)-1)</f>
        <v>234</v>
      </c>
    </row>
    <row r="201" spans="2:19" ht="23.25" customHeight="1" x14ac:dyDescent="0.25">
      <c r="B201" s="159">
        <v>196</v>
      </c>
      <c r="C201" s="160" t="str">
        <f>IFERROR(INDEX($Q$6:$Q$505,MATCH(196,$S$6:$S$505,0)),"")</f>
        <v>Öğr. Gör. Dr. Pınar ÖZDEMİR YAŞAR</v>
      </c>
      <c r="D201" s="161">
        <f>IF(C201="","",COUNTIFS(Başvuru!$C:$C,C201,Başvuru!$A:$A,"&lt;&gt;"&amp;"",Başvuru!$F:$F,"&lt;&gt;"&amp;""))</f>
        <v>1</v>
      </c>
      <c r="E201" s="159" t="str">
        <f>IF(C201="","-",IF(D201&gt;0,TEXT(D201/(COUNTIFS(Başvuru!$A:$A,"&lt;&gt;",Başvuru!$F:$F,"&lt;&gt;")-1)*100,"0.0")&amp;"%","-"))</f>
        <v>00%</v>
      </c>
      <c r="F201" s="162">
        <f>IF(C201="","",COUNTIFS(Başvuru!$C:$C,C201,Başvuru!$G:$G,"Bireysel Araştırma",Başvuru!$A:$A,"&lt;&gt;"&amp;"",Başvuru!$F:$F,"&lt;&gt;"&amp;""))</f>
        <v>1</v>
      </c>
      <c r="G201" s="162">
        <f>IF(C201="","",COUNTIFS(Başvuru!$C:$C,C201,Başvuru!$G:$G,"Uzmanlık Tezi",Başvuru!$A:$A,"&lt;&gt;"&amp;"",Başvuru!$F:$F,"&lt;&gt;"&amp;""))</f>
        <v>0</v>
      </c>
      <c r="H201" s="162">
        <f>IF(C201="","",COUNTIFS(Başvuru!$C:$C,C201,Başvuru!$G:$G,"Doktora Tezi",Başvuru!$A:$A,"&lt;&gt;"&amp;"",Başvuru!$F:$F,"&lt;&gt;"&amp;""))</f>
        <v>0</v>
      </c>
      <c r="I201" s="162">
        <f>IF(C201="","",COUNTIFS(Başvuru!$C:$C,C201,Başvuru!$G:$G,"Yüksek Lisans Tezi",Başvuru!$A:$A,"&lt;&gt;"&amp;"",Başvuru!$F:$F,"&lt;&gt;"&amp;""))</f>
        <v>0</v>
      </c>
      <c r="J201" s="163">
        <f>IF(C201="","",COUNTIFS(Başvuru!$C:$C,C201,Başvuru!$L:$L,"ONAY",Başvuru!$A:$A,"&lt;&gt;"&amp;"",Başvuru!$F:$F,"&lt;&gt;"&amp;""))</f>
        <v>0</v>
      </c>
      <c r="K201" s="164">
        <f>IF(C201="","",COUNTIFS(Başvuru!$C:$C,C201,Başvuru!$L:$L,"DÜZELTME",Başvuru!$A:$A,"&lt;&gt;"&amp;"",Başvuru!$F:$F,"&lt;&gt;"&amp;""))</f>
        <v>0</v>
      </c>
      <c r="L201" s="165">
        <f>IF(C201="","",COUNTIFS(Başvuru!$C:$C,C201,Başvuru!$L:$L,"KAEK",Başvuru!$A:$A,"&lt;&gt;"&amp;"",Başvuru!$F:$F,"&lt;&gt;"&amp;""))</f>
        <v>1</v>
      </c>
      <c r="M201" s="166">
        <f>IF(C201="","",COUNTIFS(Başvuru!$C:$C,C201,Başvuru!$L:$L,"GÖRÜŞ",Başvuru!$A:$A,"&lt;&gt;"&amp;"",Başvuru!$F:$F,"&lt;&gt;"&amp;""))</f>
        <v>0</v>
      </c>
      <c r="N201" s="167">
        <f>IF(C201="","",COUNTIFS(Başvuru!$C:$C,C201,Başvuru!$L:$L,"RET",Başvuru!$A:$A,"&lt;&gt;"&amp;"",Başvuru!$F:$F,"&lt;&gt;"&amp;""))</f>
        <v>0</v>
      </c>
      <c r="O201" s="168">
        <f>IF(C201="","",COUNTIFS(Başvuru!$C:$C,C201,Başvuru!$L:$L,"KAPSAM DIŞI",Başvuru!$A:$A,"&lt;&gt;"&amp;"",Başvuru!$F:$F,"&lt;&gt;"&amp;""))</f>
        <v>0</v>
      </c>
      <c r="P201" s="169">
        <f>IF(C201="","",COUNTIFS(Başvuru!$C:$C,C201,Başvuru!$L:$L,"GERİ ÇEKİLDİ",Başvuru!$A:$A,"&lt;&gt;"&amp;"",Başvuru!$F:$F,"&lt;&gt;"&amp;""))</f>
        <v>0</v>
      </c>
      <c r="Q201" s="170" t="str">
        <f>IFERROR(INDEX(Başvuru!$C$2:$C$1851,MATCH(196,Başvuru!$AB$2:$AB$1851,0)),"")</f>
        <v>Doç. Dr. Cafer BALCI</v>
      </c>
      <c r="R201" s="171">
        <f>IF(Q201="","",COUNTIFS(Başvuru!$C:$C,Q201,Başvuru!$A:$A,"&lt;&gt;"&amp;"",Başvuru!$F:$F,"&lt;&gt;"&amp;""))</f>
        <v>8</v>
      </c>
      <c r="S201" s="171">
        <f>IF(R201="","",RANK(R201,$R$6:$R$505,0)+COUNTIF($R$6:R201,R201)-1)</f>
        <v>12</v>
      </c>
    </row>
    <row r="202" spans="2:19" ht="23.25" customHeight="1" x14ac:dyDescent="0.25">
      <c r="B202" s="159">
        <v>197</v>
      </c>
      <c r="C202" s="160" t="str">
        <f>IFERROR(INDEX($Q$6:$Q$505,MATCH(197,$S$6:$S$505,0)),"")</f>
        <v>Dr. Öğr. Üyesi Hanife Merva PARLAK</v>
      </c>
      <c r="D202" s="161">
        <f>IF(C202="","",COUNTIFS(Başvuru!$C:$C,C202,Başvuru!$A:$A,"&lt;&gt;"&amp;"",Başvuru!$F:$F,"&lt;&gt;"&amp;""))</f>
        <v>1</v>
      </c>
      <c r="E202" s="159" t="str">
        <f>IF(C202="","-",IF(D202&gt;0,TEXT(D202/(COUNTIFS(Başvuru!$A:$A,"&lt;&gt;",Başvuru!$F:$F,"&lt;&gt;")-1)*100,"0.0")&amp;"%","-"))</f>
        <v>00%</v>
      </c>
      <c r="F202" s="162">
        <f>IF(C202="","",COUNTIFS(Başvuru!$C:$C,C202,Başvuru!$G:$G,"Bireysel Araştırma",Başvuru!$A:$A,"&lt;&gt;"&amp;"",Başvuru!$F:$F,"&lt;&gt;"&amp;""))</f>
        <v>1</v>
      </c>
      <c r="G202" s="162">
        <f>IF(C202="","",COUNTIFS(Başvuru!$C:$C,C202,Başvuru!$G:$G,"Uzmanlık Tezi",Başvuru!$A:$A,"&lt;&gt;"&amp;"",Başvuru!$F:$F,"&lt;&gt;"&amp;""))</f>
        <v>0</v>
      </c>
      <c r="H202" s="162">
        <f>IF(C202="","",COUNTIFS(Başvuru!$C:$C,C202,Başvuru!$G:$G,"Doktora Tezi",Başvuru!$A:$A,"&lt;&gt;"&amp;"",Başvuru!$F:$F,"&lt;&gt;"&amp;""))</f>
        <v>0</v>
      </c>
      <c r="I202" s="162">
        <f>IF(C202="","",COUNTIFS(Başvuru!$C:$C,C202,Başvuru!$G:$G,"Yüksek Lisans Tezi",Başvuru!$A:$A,"&lt;&gt;"&amp;"",Başvuru!$F:$F,"&lt;&gt;"&amp;""))</f>
        <v>0</v>
      </c>
      <c r="J202" s="163">
        <f>IF(C202="","",COUNTIFS(Başvuru!$C:$C,C202,Başvuru!$L:$L,"ONAY",Başvuru!$A:$A,"&lt;&gt;"&amp;"",Başvuru!$F:$F,"&lt;&gt;"&amp;""))</f>
        <v>1</v>
      </c>
      <c r="K202" s="164">
        <f>IF(C202="","",COUNTIFS(Başvuru!$C:$C,C202,Başvuru!$L:$L,"DÜZELTME",Başvuru!$A:$A,"&lt;&gt;"&amp;"",Başvuru!$F:$F,"&lt;&gt;"&amp;""))</f>
        <v>0</v>
      </c>
      <c r="L202" s="165">
        <f>IF(C202="","",COUNTIFS(Başvuru!$C:$C,C202,Başvuru!$L:$L,"KAEK",Başvuru!$A:$A,"&lt;&gt;"&amp;"",Başvuru!$F:$F,"&lt;&gt;"&amp;""))</f>
        <v>0</v>
      </c>
      <c r="M202" s="166">
        <f>IF(C202="","",COUNTIFS(Başvuru!$C:$C,C202,Başvuru!$L:$L,"GÖRÜŞ",Başvuru!$A:$A,"&lt;&gt;"&amp;"",Başvuru!$F:$F,"&lt;&gt;"&amp;""))</f>
        <v>0</v>
      </c>
      <c r="N202" s="167">
        <f>IF(C202="","",COUNTIFS(Başvuru!$C:$C,C202,Başvuru!$L:$L,"RET",Başvuru!$A:$A,"&lt;&gt;"&amp;"",Başvuru!$F:$F,"&lt;&gt;"&amp;""))</f>
        <v>0</v>
      </c>
      <c r="O202" s="168">
        <f>IF(C202="","",COUNTIFS(Başvuru!$C:$C,C202,Başvuru!$L:$L,"KAPSAM DIŞI",Başvuru!$A:$A,"&lt;&gt;"&amp;"",Başvuru!$F:$F,"&lt;&gt;"&amp;""))</f>
        <v>0</v>
      </c>
      <c r="P202" s="169">
        <f>IF(C202="","",COUNTIFS(Başvuru!$C:$C,C202,Başvuru!$L:$L,"GERİ ÇEKİLDİ",Başvuru!$A:$A,"&lt;&gt;"&amp;"",Başvuru!$F:$F,"&lt;&gt;"&amp;""))</f>
        <v>0</v>
      </c>
      <c r="Q202" s="170" t="str">
        <f>IFERROR(INDEX(Başvuru!$C$2:$C$1851,MATCH(197,Başvuru!$AB$2:$AB$1851,0)),"")</f>
        <v>Prof. Dr. Sibel DOĞAN GÜNAYDIN</v>
      </c>
      <c r="R202" s="171">
        <f>IF(Q202="","",COUNTIFS(Başvuru!$C:$C,Q202,Başvuru!$A:$A,"&lt;&gt;"&amp;"",Başvuru!$F:$F,"&lt;&gt;"&amp;""))</f>
        <v>3</v>
      </c>
      <c r="S202" s="171">
        <f>IF(R202="","",RANK(R202,$R$6:$R$505,0)+COUNTIF($R$6:R202,R202)-1)</f>
        <v>77</v>
      </c>
    </row>
    <row r="203" spans="2:19" ht="23.25" customHeight="1" x14ac:dyDescent="0.25">
      <c r="B203" s="159">
        <v>198</v>
      </c>
      <c r="C203" s="160" t="str">
        <f>IFERROR(INDEX($Q$6:$Q$505,MATCH(198,$S$6:$S$505,0)),"")</f>
        <v>Prof. Dr. Hatice DOĞAN BUZOĞLU</v>
      </c>
      <c r="D203" s="161">
        <f>IF(C203="","",COUNTIFS(Başvuru!$C:$C,C203,Başvuru!$A:$A,"&lt;&gt;"&amp;"",Başvuru!$F:$F,"&lt;&gt;"&amp;""))</f>
        <v>1</v>
      </c>
      <c r="E203" s="159" t="str">
        <f>IF(C203="","-",IF(D203&gt;0,TEXT(D203/(COUNTIFS(Başvuru!$A:$A,"&lt;&gt;",Başvuru!$F:$F,"&lt;&gt;")-1)*100,"0.0")&amp;"%","-"))</f>
        <v>00%</v>
      </c>
      <c r="F203" s="162">
        <f>IF(C203="","",COUNTIFS(Başvuru!$C:$C,C203,Başvuru!$G:$G,"Bireysel Araştırma",Başvuru!$A:$A,"&lt;&gt;"&amp;"",Başvuru!$F:$F,"&lt;&gt;"&amp;""))</f>
        <v>0</v>
      </c>
      <c r="G203" s="162">
        <f>IF(C203="","",COUNTIFS(Başvuru!$C:$C,C203,Başvuru!$G:$G,"Uzmanlık Tezi",Başvuru!$A:$A,"&lt;&gt;"&amp;"",Başvuru!$F:$F,"&lt;&gt;"&amp;""))</f>
        <v>0</v>
      </c>
      <c r="H203" s="162">
        <f>IF(C203="","",COUNTIFS(Başvuru!$C:$C,C203,Başvuru!$G:$G,"Doktora Tezi",Başvuru!$A:$A,"&lt;&gt;"&amp;"",Başvuru!$F:$F,"&lt;&gt;"&amp;""))</f>
        <v>1</v>
      </c>
      <c r="I203" s="162">
        <f>IF(C203="","",COUNTIFS(Başvuru!$C:$C,C203,Başvuru!$G:$G,"Yüksek Lisans Tezi",Başvuru!$A:$A,"&lt;&gt;"&amp;"",Başvuru!$F:$F,"&lt;&gt;"&amp;""))</f>
        <v>0</v>
      </c>
      <c r="J203" s="163">
        <f>IF(C203="","",COUNTIFS(Başvuru!$C:$C,C203,Başvuru!$L:$L,"ONAY",Başvuru!$A:$A,"&lt;&gt;"&amp;"",Başvuru!$F:$F,"&lt;&gt;"&amp;""))</f>
        <v>1</v>
      </c>
      <c r="K203" s="164">
        <f>IF(C203="","",COUNTIFS(Başvuru!$C:$C,C203,Başvuru!$L:$L,"DÜZELTME",Başvuru!$A:$A,"&lt;&gt;"&amp;"",Başvuru!$F:$F,"&lt;&gt;"&amp;""))</f>
        <v>0</v>
      </c>
      <c r="L203" s="165">
        <f>IF(C203="","",COUNTIFS(Başvuru!$C:$C,C203,Başvuru!$L:$L,"KAEK",Başvuru!$A:$A,"&lt;&gt;"&amp;"",Başvuru!$F:$F,"&lt;&gt;"&amp;""))</f>
        <v>0</v>
      </c>
      <c r="M203" s="166">
        <f>IF(C203="","",COUNTIFS(Başvuru!$C:$C,C203,Başvuru!$L:$L,"GÖRÜŞ",Başvuru!$A:$A,"&lt;&gt;"&amp;"",Başvuru!$F:$F,"&lt;&gt;"&amp;""))</f>
        <v>0</v>
      </c>
      <c r="N203" s="167">
        <f>IF(C203="","",COUNTIFS(Başvuru!$C:$C,C203,Başvuru!$L:$L,"RET",Başvuru!$A:$A,"&lt;&gt;"&amp;"",Başvuru!$F:$F,"&lt;&gt;"&amp;""))</f>
        <v>0</v>
      </c>
      <c r="O203" s="168">
        <f>IF(C203="","",COUNTIFS(Başvuru!$C:$C,C203,Başvuru!$L:$L,"KAPSAM DIŞI",Başvuru!$A:$A,"&lt;&gt;"&amp;"",Başvuru!$F:$F,"&lt;&gt;"&amp;""))</f>
        <v>0</v>
      </c>
      <c r="P203" s="169">
        <f>IF(C203="","",COUNTIFS(Başvuru!$C:$C,C203,Başvuru!$L:$L,"GERİ ÇEKİLDİ",Başvuru!$A:$A,"&lt;&gt;"&amp;"",Başvuru!$F:$F,"&lt;&gt;"&amp;""))</f>
        <v>0</v>
      </c>
      <c r="Q203" s="170" t="str">
        <f>IFERROR(INDEX(Başvuru!$C$2:$C$1851,MATCH(198,Başvuru!$AB$2:$AB$1851,0)),"")</f>
        <v>Doç. Dr. Cansu ÖZŞİN ÖZLER</v>
      </c>
      <c r="R203" s="171">
        <f>IF(Q203="","",COUNTIFS(Başvuru!$C:$C,Q203,Başvuru!$A:$A,"&lt;&gt;"&amp;"",Başvuru!$F:$F,"&lt;&gt;"&amp;""))</f>
        <v>1</v>
      </c>
      <c r="S203" s="171">
        <f>IF(R203="","",RANK(R203,$R$6:$R$505,0)+COUNTIF($R$6:R203,R203)-1)</f>
        <v>235</v>
      </c>
    </row>
    <row r="204" spans="2:19" ht="23.25" customHeight="1" x14ac:dyDescent="0.25">
      <c r="B204" s="159">
        <v>199</v>
      </c>
      <c r="C204" s="160" t="str">
        <f>IFERROR(INDEX($Q$6:$Q$505,MATCH(199,$S$6:$S$505,0)),"")</f>
        <v>Doç. Dr. Almıla Gülsün PAMUK</v>
      </c>
      <c r="D204" s="161">
        <f>IF(C204="","",COUNTIFS(Başvuru!$C:$C,C204,Başvuru!$A:$A,"&lt;&gt;"&amp;"",Başvuru!$F:$F,"&lt;&gt;"&amp;""))</f>
        <v>1</v>
      </c>
      <c r="E204" s="159" t="str">
        <f>IF(C204="","-",IF(D204&gt;0,TEXT(D204/(COUNTIFS(Başvuru!$A:$A,"&lt;&gt;",Başvuru!$F:$F,"&lt;&gt;")-1)*100,"0.0")&amp;"%","-"))</f>
        <v>00%</v>
      </c>
      <c r="F204" s="162">
        <f>IF(C204="","",COUNTIFS(Başvuru!$C:$C,C204,Başvuru!$G:$G,"Bireysel Araştırma",Başvuru!$A:$A,"&lt;&gt;"&amp;"",Başvuru!$F:$F,"&lt;&gt;"&amp;""))</f>
        <v>0</v>
      </c>
      <c r="G204" s="162">
        <f>IF(C204="","",COUNTIFS(Başvuru!$C:$C,C204,Başvuru!$G:$G,"Uzmanlık Tezi",Başvuru!$A:$A,"&lt;&gt;"&amp;"",Başvuru!$F:$F,"&lt;&gt;"&amp;""))</f>
        <v>1</v>
      </c>
      <c r="H204" s="162">
        <f>IF(C204="","",COUNTIFS(Başvuru!$C:$C,C204,Başvuru!$G:$G,"Doktora Tezi",Başvuru!$A:$A,"&lt;&gt;"&amp;"",Başvuru!$F:$F,"&lt;&gt;"&amp;""))</f>
        <v>0</v>
      </c>
      <c r="I204" s="162">
        <f>IF(C204="","",COUNTIFS(Başvuru!$C:$C,C204,Başvuru!$G:$G,"Yüksek Lisans Tezi",Başvuru!$A:$A,"&lt;&gt;"&amp;"",Başvuru!$F:$F,"&lt;&gt;"&amp;""))</f>
        <v>0</v>
      </c>
      <c r="J204" s="163">
        <f>IF(C204="","",COUNTIFS(Başvuru!$C:$C,C204,Başvuru!$L:$L,"ONAY",Başvuru!$A:$A,"&lt;&gt;"&amp;"",Başvuru!$F:$F,"&lt;&gt;"&amp;""))</f>
        <v>0</v>
      </c>
      <c r="K204" s="164">
        <f>IF(C204="","",COUNTIFS(Başvuru!$C:$C,C204,Başvuru!$L:$L,"DÜZELTME",Başvuru!$A:$A,"&lt;&gt;"&amp;"",Başvuru!$F:$F,"&lt;&gt;"&amp;""))</f>
        <v>1</v>
      </c>
      <c r="L204" s="165">
        <f>IF(C204="","",COUNTIFS(Başvuru!$C:$C,C204,Başvuru!$L:$L,"KAEK",Başvuru!$A:$A,"&lt;&gt;"&amp;"",Başvuru!$F:$F,"&lt;&gt;"&amp;""))</f>
        <v>0</v>
      </c>
      <c r="M204" s="166">
        <f>IF(C204="","",COUNTIFS(Başvuru!$C:$C,C204,Başvuru!$L:$L,"GÖRÜŞ",Başvuru!$A:$A,"&lt;&gt;"&amp;"",Başvuru!$F:$F,"&lt;&gt;"&amp;""))</f>
        <v>0</v>
      </c>
      <c r="N204" s="167">
        <f>IF(C204="","",COUNTIFS(Başvuru!$C:$C,C204,Başvuru!$L:$L,"RET",Başvuru!$A:$A,"&lt;&gt;"&amp;"",Başvuru!$F:$F,"&lt;&gt;"&amp;""))</f>
        <v>0</v>
      </c>
      <c r="O204" s="168">
        <f>IF(C204="","",COUNTIFS(Başvuru!$C:$C,C204,Başvuru!$L:$L,"KAPSAM DIŞI",Başvuru!$A:$A,"&lt;&gt;"&amp;"",Başvuru!$F:$F,"&lt;&gt;"&amp;""))</f>
        <v>0</v>
      </c>
      <c r="P204" s="169">
        <f>IF(C204="","",COUNTIFS(Başvuru!$C:$C,C204,Başvuru!$L:$L,"GERİ ÇEKİLDİ",Başvuru!$A:$A,"&lt;&gt;"&amp;"",Başvuru!$F:$F,"&lt;&gt;"&amp;""))</f>
        <v>0</v>
      </c>
      <c r="Q204" s="170" t="str">
        <f>IFERROR(INDEX(Başvuru!$C$2:$C$1851,MATCH(199,Başvuru!$AB$2:$AB$1851,0)),"")</f>
        <v>Öğr. Gör. Dr. Tuğçe TAŞKINDERE ABBASOĞLU</v>
      </c>
      <c r="R204" s="171">
        <f>IF(Q204="","",COUNTIFS(Başvuru!$C:$C,Q204,Başvuru!$A:$A,"&lt;&gt;"&amp;"",Başvuru!$F:$F,"&lt;&gt;"&amp;""))</f>
        <v>1</v>
      </c>
      <c r="S204" s="171">
        <f>IF(R204="","",RANK(R204,$R$6:$R$505,0)+COUNTIF($R$6:R204,R204)-1)</f>
        <v>236</v>
      </c>
    </row>
    <row r="205" spans="2:19" ht="23.25" customHeight="1" x14ac:dyDescent="0.25">
      <c r="B205" s="159">
        <v>200</v>
      </c>
      <c r="C205" s="160" t="str">
        <f>IFERROR(INDEX($Q$6:$Q$505,MATCH(200,$S$6:$S$505,0)),"")</f>
        <v>Doç. Dr. Gamze ATAY</v>
      </c>
      <c r="D205" s="161">
        <f>IF(C205="","",COUNTIFS(Başvuru!$C:$C,C205,Başvuru!$A:$A,"&lt;&gt;"&amp;"",Başvuru!$F:$F,"&lt;&gt;"&amp;""))</f>
        <v>1</v>
      </c>
      <c r="E205" s="159" t="str">
        <f>IF(C205="","-",IF(D205&gt;0,TEXT(D205/(COUNTIFS(Başvuru!$A:$A,"&lt;&gt;",Başvuru!$F:$F,"&lt;&gt;")-1)*100,"0.0")&amp;"%","-"))</f>
        <v>00%</v>
      </c>
      <c r="F205" s="162">
        <f>IF(C205="","",COUNTIFS(Başvuru!$C:$C,C205,Başvuru!$G:$G,"Bireysel Araştırma",Başvuru!$A:$A,"&lt;&gt;"&amp;"",Başvuru!$F:$F,"&lt;&gt;"&amp;""))</f>
        <v>0</v>
      </c>
      <c r="G205" s="162">
        <f>IF(C205="","",COUNTIFS(Başvuru!$C:$C,C205,Başvuru!$G:$G,"Uzmanlık Tezi",Başvuru!$A:$A,"&lt;&gt;"&amp;"",Başvuru!$F:$F,"&lt;&gt;"&amp;""))</f>
        <v>1</v>
      </c>
      <c r="H205" s="162">
        <f>IF(C205="","",COUNTIFS(Başvuru!$C:$C,C205,Başvuru!$G:$G,"Doktora Tezi",Başvuru!$A:$A,"&lt;&gt;"&amp;"",Başvuru!$F:$F,"&lt;&gt;"&amp;""))</f>
        <v>0</v>
      </c>
      <c r="I205" s="162">
        <f>IF(C205="","",COUNTIFS(Başvuru!$C:$C,C205,Başvuru!$G:$G,"Yüksek Lisans Tezi",Başvuru!$A:$A,"&lt;&gt;"&amp;"",Başvuru!$F:$F,"&lt;&gt;"&amp;""))</f>
        <v>0</v>
      </c>
      <c r="J205" s="163">
        <f>IF(C205="","",COUNTIFS(Başvuru!$C:$C,C205,Başvuru!$L:$L,"ONAY",Başvuru!$A:$A,"&lt;&gt;"&amp;"",Başvuru!$F:$F,"&lt;&gt;"&amp;""))</f>
        <v>0</v>
      </c>
      <c r="K205" s="164">
        <f>IF(C205="","",COUNTIFS(Başvuru!$C:$C,C205,Başvuru!$L:$L,"DÜZELTME",Başvuru!$A:$A,"&lt;&gt;"&amp;"",Başvuru!$F:$F,"&lt;&gt;"&amp;""))</f>
        <v>1</v>
      </c>
      <c r="L205" s="165">
        <f>IF(C205="","",COUNTIFS(Başvuru!$C:$C,C205,Başvuru!$L:$L,"KAEK",Başvuru!$A:$A,"&lt;&gt;"&amp;"",Başvuru!$F:$F,"&lt;&gt;"&amp;""))</f>
        <v>0</v>
      </c>
      <c r="M205" s="166">
        <f>IF(C205="","",COUNTIFS(Başvuru!$C:$C,C205,Başvuru!$L:$L,"GÖRÜŞ",Başvuru!$A:$A,"&lt;&gt;"&amp;"",Başvuru!$F:$F,"&lt;&gt;"&amp;""))</f>
        <v>0</v>
      </c>
      <c r="N205" s="167">
        <f>IF(C205="","",COUNTIFS(Başvuru!$C:$C,C205,Başvuru!$L:$L,"RET",Başvuru!$A:$A,"&lt;&gt;"&amp;"",Başvuru!$F:$F,"&lt;&gt;"&amp;""))</f>
        <v>0</v>
      </c>
      <c r="O205" s="168">
        <f>IF(C205="","",COUNTIFS(Başvuru!$C:$C,C205,Başvuru!$L:$L,"KAPSAM DIŞI",Başvuru!$A:$A,"&lt;&gt;"&amp;"",Başvuru!$F:$F,"&lt;&gt;"&amp;""))</f>
        <v>0</v>
      </c>
      <c r="P205" s="169">
        <f>IF(C205="","",COUNTIFS(Başvuru!$C:$C,C205,Başvuru!$L:$L,"GERİ ÇEKİLDİ",Başvuru!$A:$A,"&lt;&gt;"&amp;"",Başvuru!$F:$F,"&lt;&gt;"&amp;""))</f>
        <v>0</v>
      </c>
      <c r="Q205" s="170" t="str">
        <f>IFERROR(INDEX(Başvuru!$C$2:$C$1851,MATCH(200,Başvuru!$AB$2:$AB$1851,0)),"")</f>
        <v>Dr. Öğr. Üyesi Selin ARDALI DÜZGÜN</v>
      </c>
      <c r="R205" s="171">
        <f>IF(Q205="","",COUNTIFS(Başvuru!$C:$C,Q205,Başvuru!$A:$A,"&lt;&gt;"&amp;"",Başvuru!$F:$F,"&lt;&gt;"&amp;""))</f>
        <v>1</v>
      </c>
      <c r="S205" s="171">
        <f>IF(R205="","",RANK(R205,$R$6:$R$505,0)+COUNTIF($R$6:R205,R205)-1)</f>
        <v>237</v>
      </c>
    </row>
    <row r="206" spans="2:19" ht="23.25" customHeight="1" x14ac:dyDescent="0.25">
      <c r="B206" s="159">
        <v>201</v>
      </c>
      <c r="C206" s="160" t="str">
        <f>IFERROR(INDEX($Q$6:$Q$505,MATCH(201,$S$6:$S$505,0)),"")</f>
        <v>Doç. Dr. Hilal KORKMAZ</v>
      </c>
      <c r="D206" s="161">
        <f>IF(C206="","",COUNTIFS(Başvuru!$C:$C,C206,Başvuru!$A:$A,"&lt;&gt;"&amp;"",Başvuru!$F:$F,"&lt;&gt;"&amp;""))</f>
        <v>1</v>
      </c>
      <c r="E206" s="159" t="str">
        <f>IF(C206="","-",IF(D206&gt;0,TEXT(D206/(COUNTIFS(Başvuru!$A:$A,"&lt;&gt;",Başvuru!$F:$F,"&lt;&gt;")-1)*100,"0.0")&amp;"%","-"))</f>
        <v>00%</v>
      </c>
      <c r="F206" s="162">
        <f>IF(C206="","",COUNTIFS(Başvuru!$C:$C,C206,Başvuru!$G:$G,"Bireysel Araştırma",Başvuru!$A:$A,"&lt;&gt;"&amp;"",Başvuru!$F:$F,"&lt;&gt;"&amp;""))</f>
        <v>1</v>
      </c>
      <c r="G206" s="162">
        <f>IF(C206="","",COUNTIFS(Başvuru!$C:$C,C206,Başvuru!$G:$G,"Uzmanlık Tezi",Başvuru!$A:$A,"&lt;&gt;"&amp;"",Başvuru!$F:$F,"&lt;&gt;"&amp;""))</f>
        <v>0</v>
      </c>
      <c r="H206" s="162">
        <f>IF(C206="","",COUNTIFS(Başvuru!$C:$C,C206,Başvuru!$G:$G,"Doktora Tezi",Başvuru!$A:$A,"&lt;&gt;"&amp;"",Başvuru!$F:$F,"&lt;&gt;"&amp;""))</f>
        <v>0</v>
      </c>
      <c r="I206" s="162">
        <f>IF(C206="","",COUNTIFS(Başvuru!$C:$C,C206,Başvuru!$G:$G,"Yüksek Lisans Tezi",Başvuru!$A:$A,"&lt;&gt;"&amp;"",Başvuru!$F:$F,"&lt;&gt;"&amp;""))</f>
        <v>0</v>
      </c>
      <c r="J206" s="163">
        <f>IF(C206="","",COUNTIFS(Başvuru!$C:$C,C206,Başvuru!$L:$L,"ONAY",Başvuru!$A:$A,"&lt;&gt;"&amp;"",Başvuru!$F:$F,"&lt;&gt;"&amp;""))</f>
        <v>0</v>
      </c>
      <c r="K206" s="164">
        <f>IF(C206="","",COUNTIFS(Başvuru!$C:$C,C206,Başvuru!$L:$L,"DÜZELTME",Başvuru!$A:$A,"&lt;&gt;"&amp;"",Başvuru!$F:$F,"&lt;&gt;"&amp;""))</f>
        <v>1</v>
      </c>
      <c r="L206" s="165">
        <f>IF(C206="","",COUNTIFS(Başvuru!$C:$C,C206,Başvuru!$L:$L,"KAEK",Başvuru!$A:$A,"&lt;&gt;"&amp;"",Başvuru!$F:$F,"&lt;&gt;"&amp;""))</f>
        <v>0</v>
      </c>
      <c r="M206" s="166">
        <f>IF(C206="","",COUNTIFS(Başvuru!$C:$C,C206,Başvuru!$L:$L,"GÖRÜŞ",Başvuru!$A:$A,"&lt;&gt;"&amp;"",Başvuru!$F:$F,"&lt;&gt;"&amp;""))</f>
        <v>0</v>
      </c>
      <c r="N206" s="167">
        <f>IF(C206="","",COUNTIFS(Başvuru!$C:$C,C206,Başvuru!$L:$L,"RET",Başvuru!$A:$A,"&lt;&gt;"&amp;"",Başvuru!$F:$F,"&lt;&gt;"&amp;""))</f>
        <v>0</v>
      </c>
      <c r="O206" s="168">
        <f>IF(C206="","",COUNTIFS(Başvuru!$C:$C,C206,Başvuru!$L:$L,"KAPSAM DIŞI",Başvuru!$A:$A,"&lt;&gt;"&amp;"",Başvuru!$F:$F,"&lt;&gt;"&amp;""))</f>
        <v>0</v>
      </c>
      <c r="P206" s="169">
        <f>IF(C206="","",COUNTIFS(Başvuru!$C:$C,C206,Başvuru!$L:$L,"GERİ ÇEKİLDİ",Başvuru!$A:$A,"&lt;&gt;"&amp;"",Başvuru!$F:$F,"&lt;&gt;"&amp;""))</f>
        <v>0</v>
      </c>
      <c r="Q206" s="170" t="str">
        <f>IFERROR(INDEX(Başvuru!$C$2:$C$1851,MATCH(201,Başvuru!$AB$2:$AB$1851,0)),"")</f>
        <v>Prof. Dr. Meryem Aslı TUNCER</v>
      </c>
      <c r="R206" s="171">
        <f>IF(Q206="","",COUNTIFS(Başvuru!$C:$C,Q206,Başvuru!$A:$A,"&lt;&gt;"&amp;"",Başvuru!$F:$F,"&lt;&gt;"&amp;""))</f>
        <v>3</v>
      </c>
      <c r="S206" s="171">
        <f>IF(R206="","",RANK(R206,$R$6:$R$505,0)+COUNTIF($R$6:R206,R206)-1)</f>
        <v>78</v>
      </c>
    </row>
    <row r="207" spans="2:19" ht="23.25" customHeight="1" x14ac:dyDescent="0.25">
      <c r="B207" s="159">
        <v>202</v>
      </c>
      <c r="C207" s="160" t="str">
        <f>IFERROR(INDEX($Q$6:$Q$505,MATCH(202,$S$6:$S$505,0)),"")</f>
        <v>Doç. Dr. Derman BAŞARAN</v>
      </c>
      <c r="D207" s="161">
        <f>IF(C207="","",COUNTIFS(Başvuru!$C:$C,C207,Başvuru!$A:$A,"&lt;&gt;"&amp;"",Başvuru!$F:$F,"&lt;&gt;"&amp;""))</f>
        <v>1</v>
      </c>
      <c r="E207" s="159" t="str">
        <f>IF(C207="","-",IF(D207&gt;0,TEXT(D207/(COUNTIFS(Başvuru!$A:$A,"&lt;&gt;",Başvuru!$F:$F,"&lt;&gt;")-1)*100,"0.0")&amp;"%","-"))</f>
        <v>00%</v>
      </c>
      <c r="F207" s="162">
        <f>IF(C207="","",COUNTIFS(Başvuru!$C:$C,C207,Başvuru!$G:$G,"Bireysel Araştırma",Başvuru!$A:$A,"&lt;&gt;"&amp;"",Başvuru!$F:$F,"&lt;&gt;"&amp;""))</f>
        <v>1</v>
      </c>
      <c r="G207" s="162">
        <f>IF(C207="","",COUNTIFS(Başvuru!$C:$C,C207,Başvuru!$G:$G,"Uzmanlık Tezi",Başvuru!$A:$A,"&lt;&gt;"&amp;"",Başvuru!$F:$F,"&lt;&gt;"&amp;""))</f>
        <v>0</v>
      </c>
      <c r="H207" s="162">
        <f>IF(C207="","",COUNTIFS(Başvuru!$C:$C,C207,Başvuru!$G:$G,"Doktora Tezi",Başvuru!$A:$A,"&lt;&gt;"&amp;"",Başvuru!$F:$F,"&lt;&gt;"&amp;""))</f>
        <v>0</v>
      </c>
      <c r="I207" s="162">
        <f>IF(C207="","",COUNTIFS(Başvuru!$C:$C,C207,Başvuru!$G:$G,"Yüksek Lisans Tezi",Başvuru!$A:$A,"&lt;&gt;"&amp;"",Başvuru!$F:$F,"&lt;&gt;"&amp;""))</f>
        <v>0</v>
      </c>
      <c r="J207" s="163">
        <f>IF(C207="","",COUNTIFS(Başvuru!$C:$C,C207,Başvuru!$L:$L,"ONAY",Başvuru!$A:$A,"&lt;&gt;"&amp;"",Başvuru!$F:$F,"&lt;&gt;"&amp;""))</f>
        <v>1</v>
      </c>
      <c r="K207" s="164">
        <f>IF(C207="","",COUNTIFS(Başvuru!$C:$C,C207,Başvuru!$L:$L,"DÜZELTME",Başvuru!$A:$A,"&lt;&gt;"&amp;"",Başvuru!$F:$F,"&lt;&gt;"&amp;""))</f>
        <v>0</v>
      </c>
      <c r="L207" s="165">
        <f>IF(C207="","",COUNTIFS(Başvuru!$C:$C,C207,Başvuru!$L:$L,"KAEK",Başvuru!$A:$A,"&lt;&gt;"&amp;"",Başvuru!$F:$F,"&lt;&gt;"&amp;""))</f>
        <v>0</v>
      </c>
      <c r="M207" s="166">
        <f>IF(C207="","",COUNTIFS(Başvuru!$C:$C,C207,Başvuru!$L:$L,"GÖRÜŞ",Başvuru!$A:$A,"&lt;&gt;"&amp;"",Başvuru!$F:$F,"&lt;&gt;"&amp;""))</f>
        <v>0</v>
      </c>
      <c r="N207" s="167">
        <f>IF(C207="","",COUNTIFS(Başvuru!$C:$C,C207,Başvuru!$L:$L,"RET",Başvuru!$A:$A,"&lt;&gt;"&amp;"",Başvuru!$F:$F,"&lt;&gt;"&amp;""))</f>
        <v>0</v>
      </c>
      <c r="O207" s="168">
        <f>IF(C207="","",COUNTIFS(Başvuru!$C:$C,C207,Başvuru!$L:$L,"KAPSAM DIŞI",Başvuru!$A:$A,"&lt;&gt;"&amp;"",Başvuru!$F:$F,"&lt;&gt;"&amp;""))</f>
        <v>0</v>
      </c>
      <c r="P207" s="169">
        <f>IF(C207="","",COUNTIFS(Başvuru!$C:$C,C207,Başvuru!$L:$L,"GERİ ÇEKİLDİ",Başvuru!$A:$A,"&lt;&gt;"&amp;"",Başvuru!$F:$F,"&lt;&gt;"&amp;""))</f>
        <v>0</v>
      </c>
      <c r="Q207" s="170" t="str">
        <f>IFERROR(INDEX(Başvuru!$C$2:$C$1851,MATCH(202,Başvuru!$AB$2:$AB$1851,0)),"")</f>
        <v>Doç. Dr. Oytun PORTAKAL AKÇİN</v>
      </c>
      <c r="R207" s="171">
        <f>IF(Q207="","",COUNTIFS(Başvuru!$C:$C,Q207,Başvuru!$A:$A,"&lt;&gt;"&amp;"",Başvuru!$F:$F,"&lt;&gt;"&amp;""))</f>
        <v>2</v>
      </c>
      <c r="S207" s="171">
        <f>IF(R207="","",RANK(R207,$R$6:$R$505,0)+COUNTIF($R$6:R207,R207)-1)</f>
        <v>130</v>
      </c>
    </row>
    <row r="208" spans="2:19" ht="23.25" customHeight="1" x14ac:dyDescent="0.25">
      <c r="B208" s="159">
        <v>203</v>
      </c>
      <c r="C208" s="160" t="str">
        <f>IFERROR(INDEX($Q$6:$Q$505,MATCH(203,$S$6:$S$505,0)),"")</f>
        <v>Prof. Dr. Egemen TURHAN</v>
      </c>
      <c r="D208" s="161">
        <f>IF(C208="","",COUNTIFS(Başvuru!$C:$C,C208,Başvuru!$A:$A,"&lt;&gt;"&amp;"",Başvuru!$F:$F,"&lt;&gt;"&amp;""))</f>
        <v>1</v>
      </c>
      <c r="E208" s="159" t="str">
        <f>IF(C208="","-",IF(D208&gt;0,TEXT(D208/(COUNTIFS(Başvuru!$A:$A,"&lt;&gt;",Başvuru!$F:$F,"&lt;&gt;")-1)*100,"0.0")&amp;"%","-"))</f>
        <v>00%</v>
      </c>
      <c r="F208" s="162">
        <f>IF(C208="","",COUNTIFS(Başvuru!$C:$C,C208,Başvuru!$G:$G,"Bireysel Araştırma",Başvuru!$A:$A,"&lt;&gt;"&amp;"",Başvuru!$F:$F,"&lt;&gt;"&amp;""))</f>
        <v>0</v>
      </c>
      <c r="G208" s="162">
        <f>IF(C208="","",COUNTIFS(Başvuru!$C:$C,C208,Başvuru!$G:$G,"Uzmanlık Tezi",Başvuru!$A:$A,"&lt;&gt;"&amp;"",Başvuru!$F:$F,"&lt;&gt;"&amp;""))</f>
        <v>0</v>
      </c>
      <c r="H208" s="162">
        <f>IF(C208="","",COUNTIFS(Başvuru!$C:$C,C208,Başvuru!$G:$G,"Doktora Tezi",Başvuru!$A:$A,"&lt;&gt;"&amp;"",Başvuru!$F:$F,"&lt;&gt;"&amp;""))</f>
        <v>0</v>
      </c>
      <c r="I208" s="162">
        <f>IF(C208="","",COUNTIFS(Başvuru!$C:$C,C208,Başvuru!$G:$G,"Yüksek Lisans Tezi",Başvuru!$A:$A,"&lt;&gt;"&amp;"",Başvuru!$F:$F,"&lt;&gt;"&amp;""))</f>
        <v>1</v>
      </c>
      <c r="J208" s="163">
        <f>IF(C208="","",COUNTIFS(Başvuru!$C:$C,C208,Başvuru!$L:$L,"ONAY",Başvuru!$A:$A,"&lt;&gt;"&amp;"",Başvuru!$F:$F,"&lt;&gt;"&amp;""))</f>
        <v>0</v>
      </c>
      <c r="K208" s="164">
        <f>IF(C208="","",COUNTIFS(Başvuru!$C:$C,C208,Başvuru!$L:$L,"DÜZELTME",Başvuru!$A:$A,"&lt;&gt;"&amp;"",Başvuru!$F:$F,"&lt;&gt;"&amp;""))</f>
        <v>1</v>
      </c>
      <c r="L208" s="165">
        <f>IF(C208="","",COUNTIFS(Başvuru!$C:$C,C208,Başvuru!$L:$L,"KAEK",Başvuru!$A:$A,"&lt;&gt;"&amp;"",Başvuru!$F:$F,"&lt;&gt;"&amp;""))</f>
        <v>0</v>
      </c>
      <c r="M208" s="166">
        <f>IF(C208="","",COUNTIFS(Başvuru!$C:$C,C208,Başvuru!$L:$L,"GÖRÜŞ",Başvuru!$A:$A,"&lt;&gt;"&amp;"",Başvuru!$F:$F,"&lt;&gt;"&amp;""))</f>
        <v>0</v>
      </c>
      <c r="N208" s="167">
        <f>IF(C208="","",COUNTIFS(Başvuru!$C:$C,C208,Başvuru!$L:$L,"RET",Başvuru!$A:$A,"&lt;&gt;"&amp;"",Başvuru!$F:$F,"&lt;&gt;"&amp;""))</f>
        <v>0</v>
      </c>
      <c r="O208" s="168">
        <f>IF(C208="","",COUNTIFS(Başvuru!$C:$C,C208,Başvuru!$L:$L,"KAPSAM DIŞI",Başvuru!$A:$A,"&lt;&gt;"&amp;"",Başvuru!$F:$F,"&lt;&gt;"&amp;""))</f>
        <v>0</v>
      </c>
      <c r="P208" s="169">
        <f>IF(C208="","",COUNTIFS(Başvuru!$C:$C,C208,Başvuru!$L:$L,"GERİ ÇEKİLDİ",Başvuru!$A:$A,"&lt;&gt;"&amp;"",Başvuru!$F:$F,"&lt;&gt;"&amp;""))</f>
        <v>0</v>
      </c>
      <c r="Q208" s="170" t="str">
        <f>IFERROR(INDEX(Başvuru!$C$2:$C$1851,MATCH(203,Başvuru!$AB$2:$AB$1851,0)),"")</f>
        <v>Prof. Dr. Hüseyin Gencay KEÇELİ</v>
      </c>
      <c r="R208" s="171">
        <f>IF(Q208="","",COUNTIFS(Başvuru!$C:$C,Q208,Başvuru!$A:$A,"&lt;&gt;"&amp;"",Başvuru!$F:$F,"&lt;&gt;"&amp;""))</f>
        <v>2</v>
      </c>
      <c r="S208" s="171">
        <f>IF(R208="","",RANK(R208,$R$6:$R$505,0)+COUNTIF($R$6:R208,R208)-1)</f>
        <v>131</v>
      </c>
    </row>
    <row r="209" spans="2:19" ht="23.25" customHeight="1" x14ac:dyDescent="0.25">
      <c r="B209" s="159">
        <v>204</v>
      </c>
      <c r="C209" s="160" t="str">
        <f>IFERROR(INDEX($Q$6:$Q$505,MATCH(204,$S$6:$S$505,0)),"")</f>
        <v>Prof. Dr. Sevinç SARINÇ</v>
      </c>
      <c r="D209" s="161">
        <f>IF(C209="","",COUNTIFS(Başvuru!$C:$C,C209,Başvuru!$A:$A,"&lt;&gt;"&amp;"",Başvuru!$F:$F,"&lt;&gt;"&amp;""))</f>
        <v>1</v>
      </c>
      <c r="E209" s="159" t="str">
        <f>IF(C209="","-",IF(D209&gt;0,TEXT(D209/(COUNTIFS(Başvuru!$A:$A,"&lt;&gt;",Başvuru!$F:$F,"&lt;&gt;")-1)*100,"0.0")&amp;"%","-"))</f>
        <v>00%</v>
      </c>
      <c r="F209" s="162">
        <f>IF(C209="","",COUNTIFS(Başvuru!$C:$C,C209,Başvuru!$G:$G,"Bireysel Araştırma",Başvuru!$A:$A,"&lt;&gt;"&amp;"",Başvuru!$F:$F,"&lt;&gt;"&amp;""))</f>
        <v>0</v>
      </c>
      <c r="G209" s="162">
        <f>IF(C209="","",COUNTIFS(Başvuru!$C:$C,C209,Başvuru!$G:$G,"Uzmanlık Tezi",Başvuru!$A:$A,"&lt;&gt;"&amp;"",Başvuru!$F:$F,"&lt;&gt;"&amp;""))</f>
        <v>1</v>
      </c>
      <c r="H209" s="162">
        <f>IF(C209="","",COUNTIFS(Başvuru!$C:$C,C209,Başvuru!$G:$G,"Doktora Tezi",Başvuru!$A:$A,"&lt;&gt;"&amp;"",Başvuru!$F:$F,"&lt;&gt;"&amp;""))</f>
        <v>0</v>
      </c>
      <c r="I209" s="162">
        <f>IF(C209="","",COUNTIFS(Başvuru!$C:$C,C209,Başvuru!$G:$G,"Yüksek Lisans Tezi",Başvuru!$A:$A,"&lt;&gt;"&amp;"",Başvuru!$F:$F,"&lt;&gt;"&amp;""))</f>
        <v>0</v>
      </c>
      <c r="J209" s="163">
        <f>IF(C209="","",COUNTIFS(Başvuru!$C:$C,C209,Başvuru!$L:$L,"ONAY",Başvuru!$A:$A,"&lt;&gt;"&amp;"",Başvuru!$F:$F,"&lt;&gt;"&amp;""))</f>
        <v>0</v>
      </c>
      <c r="K209" s="164">
        <f>IF(C209="","",COUNTIFS(Başvuru!$C:$C,C209,Başvuru!$L:$L,"DÜZELTME",Başvuru!$A:$A,"&lt;&gt;"&amp;"",Başvuru!$F:$F,"&lt;&gt;"&amp;""))</f>
        <v>1</v>
      </c>
      <c r="L209" s="165">
        <f>IF(C209="","",COUNTIFS(Başvuru!$C:$C,C209,Başvuru!$L:$L,"KAEK",Başvuru!$A:$A,"&lt;&gt;"&amp;"",Başvuru!$F:$F,"&lt;&gt;"&amp;""))</f>
        <v>0</v>
      </c>
      <c r="M209" s="166">
        <f>IF(C209="","",COUNTIFS(Başvuru!$C:$C,C209,Başvuru!$L:$L,"GÖRÜŞ",Başvuru!$A:$A,"&lt;&gt;"&amp;"",Başvuru!$F:$F,"&lt;&gt;"&amp;""))</f>
        <v>0</v>
      </c>
      <c r="N209" s="167">
        <f>IF(C209="","",COUNTIFS(Başvuru!$C:$C,C209,Başvuru!$L:$L,"RET",Başvuru!$A:$A,"&lt;&gt;"&amp;"",Başvuru!$F:$F,"&lt;&gt;"&amp;""))</f>
        <v>0</v>
      </c>
      <c r="O209" s="168">
        <f>IF(C209="","",COUNTIFS(Başvuru!$C:$C,C209,Başvuru!$L:$L,"KAPSAM DIŞI",Başvuru!$A:$A,"&lt;&gt;"&amp;"",Başvuru!$F:$F,"&lt;&gt;"&amp;""))</f>
        <v>0</v>
      </c>
      <c r="P209" s="169">
        <f>IF(C209="","",COUNTIFS(Başvuru!$C:$C,C209,Başvuru!$L:$L,"GERİ ÇEKİLDİ",Başvuru!$A:$A,"&lt;&gt;"&amp;"",Başvuru!$F:$F,"&lt;&gt;"&amp;""))</f>
        <v>0</v>
      </c>
      <c r="Q209" s="170" t="str">
        <f>IFERROR(INDEX(Başvuru!$C$2:$C$1851,MATCH(204,Başvuru!$AB$2:$AB$1851,0)),"")</f>
        <v>Prof. Dr. Kasım KARATAŞ</v>
      </c>
      <c r="R209" s="171">
        <f>IF(Q209="","",COUNTIFS(Başvuru!$C:$C,Q209,Başvuru!$A:$A,"&lt;&gt;"&amp;"",Başvuru!$F:$F,"&lt;&gt;"&amp;""))</f>
        <v>1</v>
      </c>
      <c r="S209" s="171">
        <f>IF(R209="","",RANK(R209,$R$6:$R$505,0)+COUNTIF($R$6:R209,R209)-1)</f>
        <v>238</v>
      </c>
    </row>
    <row r="210" spans="2:19" ht="23.25" customHeight="1" x14ac:dyDescent="0.25">
      <c r="B210" s="159">
        <v>205</v>
      </c>
      <c r="C210" s="160" t="str">
        <f>IFERROR(INDEX($Q$6:$Q$505,MATCH(205,$S$6:$S$505,0)),"")</f>
        <v>Doç. Dr. Basri GÜLBAKAN</v>
      </c>
      <c r="D210" s="161">
        <f>IF(C210="","",COUNTIFS(Başvuru!$C:$C,C210,Başvuru!$A:$A,"&lt;&gt;"&amp;"",Başvuru!$F:$F,"&lt;&gt;"&amp;""))</f>
        <v>1</v>
      </c>
      <c r="E210" s="159" t="str">
        <f>IF(C210="","-",IF(D210&gt;0,TEXT(D210/(COUNTIFS(Başvuru!$A:$A,"&lt;&gt;",Başvuru!$F:$F,"&lt;&gt;")-1)*100,"0.0")&amp;"%","-"))</f>
        <v>00%</v>
      </c>
      <c r="F210" s="162">
        <f>IF(C210="","",COUNTIFS(Başvuru!$C:$C,C210,Başvuru!$G:$G,"Bireysel Araştırma",Başvuru!$A:$A,"&lt;&gt;"&amp;"",Başvuru!$F:$F,"&lt;&gt;"&amp;""))</f>
        <v>0</v>
      </c>
      <c r="G210" s="162">
        <f>IF(C210="","",COUNTIFS(Başvuru!$C:$C,C210,Başvuru!$G:$G,"Uzmanlık Tezi",Başvuru!$A:$A,"&lt;&gt;"&amp;"",Başvuru!$F:$F,"&lt;&gt;"&amp;""))</f>
        <v>0</v>
      </c>
      <c r="H210" s="162">
        <f>IF(C210="","",COUNTIFS(Başvuru!$C:$C,C210,Başvuru!$G:$G,"Doktora Tezi",Başvuru!$A:$A,"&lt;&gt;"&amp;"",Başvuru!$F:$F,"&lt;&gt;"&amp;""))</f>
        <v>0</v>
      </c>
      <c r="I210" s="162">
        <f>IF(C210="","",COUNTIFS(Başvuru!$C:$C,C210,Başvuru!$G:$G,"Yüksek Lisans Tezi",Başvuru!$A:$A,"&lt;&gt;"&amp;"",Başvuru!$F:$F,"&lt;&gt;"&amp;""))</f>
        <v>1</v>
      </c>
      <c r="J210" s="163">
        <f>IF(C210="","",COUNTIFS(Başvuru!$C:$C,C210,Başvuru!$L:$L,"ONAY",Başvuru!$A:$A,"&lt;&gt;"&amp;"",Başvuru!$F:$F,"&lt;&gt;"&amp;""))</f>
        <v>0</v>
      </c>
      <c r="K210" s="164">
        <f>IF(C210="","",COUNTIFS(Başvuru!$C:$C,C210,Başvuru!$L:$L,"DÜZELTME",Başvuru!$A:$A,"&lt;&gt;"&amp;"",Başvuru!$F:$F,"&lt;&gt;"&amp;""))</f>
        <v>1</v>
      </c>
      <c r="L210" s="165">
        <f>IF(C210="","",COUNTIFS(Başvuru!$C:$C,C210,Başvuru!$L:$L,"KAEK",Başvuru!$A:$A,"&lt;&gt;"&amp;"",Başvuru!$F:$F,"&lt;&gt;"&amp;""))</f>
        <v>0</v>
      </c>
      <c r="M210" s="166">
        <f>IF(C210="","",COUNTIFS(Başvuru!$C:$C,C210,Başvuru!$L:$L,"GÖRÜŞ",Başvuru!$A:$A,"&lt;&gt;"&amp;"",Başvuru!$F:$F,"&lt;&gt;"&amp;""))</f>
        <v>0</v>
      </c>
      <c r="N210" s="167">
        <f>IF(C210="","",COUNTIFS(Başvuru!$C:$C,C210,Başvuru!$L:$L,"RET",Başvuru!$A:$A,"&lt;&gt;"&amp;"",Başvuru!$F:$F,"&lt;&gt;"&amp;""))</f>
        <v>0</v>
      </c>
      <c r="O210" s="168">
        <f>IF(C210="","",COUNTIFS(Başvuru!$C:$C,C210,Başvuru!$L:$L,"KAPSAM DIŞI",Başvuru!$A:$A,"&lt;&gt;"&amp;"",Başvuru!$F:$F,"&lt;&gt;"&amp;""))</f>
        <v>0</v>
      </c>
      <c r="P210" s="169">
        <f>IF(C210="","",COUNTIFS(Başvuru!$C:$C,C210,Başvuru!$L:$L,"GERİ ÇEKİLDİ",Başvuru!$A:$A,"&lt;&gt;"&amp;"",Başvuru!$F:$F,"&lt;&gt;"&amp;""))</f>
        <v>0</v>
      </c>
      <c r="Q210" s="170" t="str">
        <f>IFERROR(INDEX(Başvuru!$C$2:$C$1851,MATCH(205,Başvuru!$AB$2:$AB$1851,0)),"")</f>
        <v>Dr. Öğr. Üyesi Hayri Can ÖZDEN</v>
      </c>
      <c r="R210" s="171">
        <f>IF(Q210="","",COUNTIFS(Başvuru!$C:$C,Q210,Başvuru!$A:$A,"&lt;&gt;"&amp;"",Başvuru!$F:$F,"&lt;&gt;"&amp;""))</f>
        <v>3</v>
      </c>
      <c r="S210" s="171">
        <f>IF(R210="","",RANK(R210,$R$6:$R$505,0)+COUNTIF($R$6:R210,R210)-1)</f>
        <v>79</v>
      </c>
    </row>
    <row r="211" spans="2:19" ht="23.25" customHeight="1" x14ac:dyDescent="0.25">
      <c r="B211" s="159">
        <v>206</v>
      </c>
      <c r="C211" s="160" t="str">
        <f>IFERROR(INDEX($Q$6:$Q$505,MATCH(206,$S$6:$S$505,0)),"")</f>
        <v>Dr. Öğr. Üyesi Merva PARLAK</v>
      </c>
      <c r="D211" s="161">
        <f>IF(C211="","",COUNTIFS(Başvuru!$C:$C,C211,Başvuru!$A:$A,"&lt;&gt;"&amp;"",Başvuru!$F:$F,"&lt;&gt;"&amp;""))</f>
        <v>1</v>
      </c>
      <c r="E211" s="159" t="str">
        <f>IF(C211="","-",IF(D211&gt;0,TEXT(D211/(COUNTIFS(Başvuru!$A:$A,"&lt;&gt;",Başvuru!$F:$F,"&lt;&gt;")-1)*100,"0.0")&amp;"%","-"))</f>
        <v>00%</v>
      </c>
      <c r="F211" s="162">
        <f>IF(C211="","",COUNTIFS(Başvuru!$C:$C,C211,Başvuru!$G:$G,"Bireysel Araştırma",Başvuru!$A:$A,"&lt;&gt;"&amp;"",Başvuru!$F:$F,"&lt;&gt;"&amp;""))</f>
        <v>1</v>
      </c>
      <c r="G211" s="162">
        <f>IF(C211="","",COUNTIFS(Başvuru!$C:$C,C211,Başvuru!$G:$G,"Uzmanlık Tezi",Başvuru!$A:$A,"&lt;&gt;"&amp;"",Başvuru!$F:$F,"&lt;&gt;"&amp;""))</f>
        <v>0</v>
      </c>
      <c r="H211" s="162">
        <f>IF(C211="","",COUNTIFS(Başvuru!$C:$C,C211,Başvuru!$G:$G,"Doktora Tezi",Başvuru!$A:$A,"&lt;&gt;"&amp;"",Başvuru!$F:$F,"&lt;&gt;"&amp;""))</f>
        <v>0</v>
      </c>
      <c r="I211" s="162">
        <f>IF(C211="","",COUNTIFS(Başvuru!$C:$C,C211,Başvuru!$G:$G,"Yüksek Lisans Tezi",Başvuru!$A:$A,"&lt;&gt;"&amp;"",Başvuru!$F:$F,"&lt;&gt;"&amp;""))</f>
        <v>0</v>
      </c>
      <c r="J211" s="163">
        <f>IF(C211="","",COUNTIFS(Başvuru!$C:$C,C211,Başvuru!$L:$L,"ONAY",Başvuru!$A:$A,"&lt;&gt;"&amp;"",Başvuru!$F:$F,"&lt;&gt;"&amp;""))</f>
        <v>1</v>
      </c>
      <c r="K211" s="164">
        <f>IF(C211="","",COUNTIFS(Başvuru!$C:$C,C211,Başvuru!$L:$L,"DÜZELTME",Başvuru!$A:$A,"&lt;&gt;"&amp;"",Başvuru!$F:$F,"&lt;&gt;"&amp;""))</f>
        <v>0</v>
      </c>
      <c r="L211" s="165">
        <f>IF(C211="","",COUNTIFS(Başvuru!$C:$C,C211,Başvuru!$L:$L,"KAEK",Başvuru!$A:$A,"&lt;&gt;"&amp;"",Başvuru!$F:$F,"&lt;&gt;"&amp;""))</f>
        <v>0</v>
      </c>
      <c r="M211" s="166">
        <f>IF(C211="","",COUNTIFS(Başvuru!$C:$C,C211,Başvuru!$L:$L,"GÖRÜŞ",Başvuru!$A:$A,"&lt;&gt;"&amp;"",Başvuru!$F:$F,"&lt;&gt;"&amp;""))</f>
        <v>0</v>
      </c>
      <c r="N211" s="167">
        <f>IF(C211="","",COUNTIFS(Başvuru!$C:$C,C211,Başvuru!$L:$L,"RET",Başvuru!$A:$A,"&lt;&gt;"&amp;"",Başvuru!$F:$F,"&lt;&gt;"&amp;""))</f>
        <v>0</v>
      </c>
      <c r="O211" s="168">
        <f>IF(C211="","",COUNTIFS(Başvuru!$C:$C,C211,Başvuru!$L:$L,"KAPSAM DIŞI",Başvuru!$A:$A,"&lt;&gt;"&amp;"",Başvuru!$F:$F,"&lt;&gt;"&amp;""))</f>
        <v>0</v>
      </c>
      <c r="P211" s="169">
        <f>IF(C211="","",COUNTIFS(Başvuru!$C:$C,C211,Başvuru!$L:$L,"GERİ ÇEKİLDİ",Başvuru!$A:$A,"&lt;&gt;"&amp;"",Başvuru!$F:$F,"&lt;&gt;"&amp;""))</f>
        <v>0</v>
      </c>
      <c r="Q211" s="170" t="str">
        <f>IFERROR(INDEX(Başvuru!$C$2:$C$1851,MATCH(206,Başvuru!$AB$2:$AB$1851,0)),"")</f>
        <v>Dr. Öğr. Üyesi Ece ÖZOĞUL</v>
      </c>
      <c r="R211" s="171">
        <f>IF(Q211="","",COUNTIFS(Başvuru!$C:$C,Q211,Başvuru!$A:$A,"&lt;&gt;"&amp;"",Başvuru!$F:$F,"&lt;&gt;"&amp;""))</f>
        <v>4</v>
      </c>
      <c r="S211" s="171">
        <f>IF(R211="","",RANK(R211,$R$6:$R$505,0)+COUNTIF($R$6:R211,R211)-1)</f>
        <v>51</v>
      </c>
    </row>
    <row r="212" spans="2:19" ht="23.25" customHeight="1" x14ac:dyDescent="0.25">
      <c r="B212" s="159">
        <v>207</v>
      </c>
      <c r="C212" s="160" t="str">
        <f>IFERROR(INDEX($Q$6:$Q$505,MATCH(207,$S$6:$S$505,0)),"")</f>
        <v>Prof. Dr. Mustafa Barış GÜNCÜ</v>
      </c>
      <c r="D212" s="161">
        <f>IF(C212="","",COUNTIFS(Başvuru!$C:$C,C212,Başvuru!$A:$A,"&lt;&gt;"&amp;"",Başvuru!$F:$F,"&lt;&gt;"&amp;""))</f>
        <v>1</v>
      </c>
      <c r="E212" s="159" t="str">
        <f>IF(C212="","-",IF(D212&gt;0,TEXT(D212/(COUNTIFS(Başvuru!$A:$A,"&lt;&gt;",Başvuru!$F:$F,"&lt;&gt;")-1)*100,"0.0")&amp;"%","-"))</f>
        <v>00%</v>
      </c>
      <c r="F212" s="162">
        <f>IF(C212="","",COUNTIFS(Başvuru!$C:$C,C212,Başvuru!$G:$G,"Bireysel Araştırma",Başvuru!$A:$A,"&lt;&gt;"&amp;"",Başvuru!$F:$F,"&lt;&gt;"&amp;""))</f>
        <v>0</v>
      </c>
      <c r="G212" s="162">
        <f>IF(C212="","",COUNTIFS(Başvuru!$C:$C,C212,Başvuru!$G:$G,"Uzmanlık Tezi",Başvuru!$A:$A,"&lt;&gt;"&amp;"",Başvuru!$F:$F,"&lt;&gt;"&amp;""))</f>
        <v>1</v>
      </c>
      <c r="H212" s="162">
        <f>IF(C212="","",COUNTIFS(Başvuru!$C:$C,C212,Başvuru!$G:$G,"Doktora Tezi",Başvuru!$A:$A,"&lt;&gt;"&amp;"",Başvuru!$F:$F,"&lt;&gt;"&amp;""))</f>
        <v>0</v>
      </c>
      <c r="I212" s="162">
        <f>IF(C212="","",COUNTIFS(Başvuru!$C:$C,C212,Başvuru!$G:$G,"Yüksek Lisans Tezi",Başvuru!$A:$A,"&lt;&gt;"&amp;"",Başvuru!$F:$F,"&lt;&gt;"&amp;""))</f>
        <v>0</v>
      </c>
      <c r="J212" s="163">
        <f>IF(C212="","",COUNTIFS(Başvuru!$C:$C,C212,Başvuru!$L:$L,"ONAY",Başvuru!$A:$A,"&lt;&gt;"&amp;"",Başvuru!$F:$F,"&lt;&gt;"&amp;""))</f>
        <v>0</v>
      </c>
      <c r="K212" s="164">
        <f>IF(C212="","",COUNTIFS(Başvuru!$C:$C,C212,Başvuru!$L:$L,"DÜZELTME",Başvuru!$A:$A,"&lt;&gt;"&amp;"",Başvuru!$F:$F,"&lt;&gt;"&amp;""))</f>
        <v>0</v>
      </c>
      <c r="L212" s="165">
        <f>IF(C212="","",COUNTIFS(Başvuru!$C:$C,C212,Başvuru!$L:$L,"KAEK",Başvuru!$A:$A,"&lt;&gt;"&amp;"",Başvuru!$F:$F,"&lt;&gt;"&amp;""))</f>
        <v>0</v>
      </c>
      <c r="M212" s="166">
        <f>IF(C212="","",COUNTIFS(Başvuru!$C:$C,C212,Başvuru!$L:$L,"GÖRÜŞ",Başvuru!$A:$A,"&lt;&gt;"&amp;"",Başvuru!$F:$F,"&lt;&gt;"&amp;""))</f>
        <v>1</v>
      </c>
      <c r="N212" s="167">
        <f>IF(C212="","",COUNTIFS(Başvuru!$C:$C,C212,Başvuru!$L:$L,"RET",Başvuru!$A:$A,"&lt;&gt;"&amp;"",Başvuru!$F:$F,"&lt;&gt;"&amp;""))</f>
        <v>0</v>
      </c>
      <c r="O212" s="168">
        <f>IF(C212="","",COUNTIFS(Başvuru!$C:$C,C212,Başvuru!$L:$L,"KAPSAM DIŞI",Başvuru!$A:$A,"&lt;&gt;"&amp;"",Başvuru!$F:$F,"&lt;&gt;"&amp;""))</f>
        <v>0</v>
      </c>
      <c r="P212" s="169">
        <f>IF(C212="","",COUNTIFS(Başvuru!$C:$C,C212,Başvuru!$L:$L,"GERİ ÇEKİLDİ",Başvuru!$A:$A,"&lt;&gt;"&amp;"",Başvuru!$F:$F,"&lt;&gt;"&amp;""))</f>
        <v>0</v>
      </c>
      <c r="Q212" s="170" t="str">
        <f>IFERROR(INDEX(Başvuru!$C$2:$C$1851,MATCH(207,Başvuru!$AB$2:$AB$1851,0)),"")</f>
        <v>Doç. Dr. Galip Gencay ÜSTÜN</v>
      </c>
      <c r="R212" s="171">
        <f>IF(Q212="","",COUNTIFS(Başvuru!$C:$C,Q212,Başvuru!$A:$A,"&lt;&gt;"&amp;"",Başvuru!$F:$F,"&lt;&gt;"&amp;""))</f>
        <v>2</v>
      </c>
      <c r="S212" s="171">
        <f>IF(R212="","",RANK(R212,$R$6:$R$505,0)+COUNTIF($R$6:R212,R212)-1)</f>
        <v>132</v>
      </c>
    </row>
    <row r="213" spans="2:19" ht="23.25" customHeight="1" x14ac:dyDescent="0.25">
      <c r="B213" s="159">
        <v>208</v>
      </c>
      <c r="C213" s="160" t="str">
        <f>IFERROR(INDEX($Q$6:$Q$505,MATCH(208,$S$6:$S$505,0)),"")</f>
        <v>Öğr. Gör. Dr. Helin YÜCEDAĞ GÜNDOĞDU</v>
      </c>
      <c r="D213" s="161">
        <f>IF(C213="","",COUNTIFS(Başvuru!$C:$C,C213,Başvuru!$A:$A,"&lt;&gt;"&amp;"",Başvuru!$F:$F,"&lt;&gt;"&amp;""))</f>
        <v>1</v>
      </c>
      <c r="E213" s="159" t="str">
        <f>IF(C213="","-",IF(D213&gt;0,TEXT(D213/(COUNTIFS(Başvuru!$A:$A,"&lt;&gt;",Başvuru!$F:$F,"&lt;&gt;")-1)*100,"0.0")&amp;"%","-"))</f>
        <v>00%</v>
      </c>
      <c r="F213" s="162">
        <f>IF(C213="","",COUNTIFS(Başvuru!$C:$C,C213,Başvuru!$G:$G,"Bireysel Araştırma",Başvuru!$A:$A,"&lt;&gt;"&amp;"",Başvuru!$F:$F,"&lt;&gt;"&amp;""))</f>
        <v>1</v>
      </c>
      <c r="G213" s="162">
        <f>IF(C213="","",COUNTIFS(Başvuru!$C:$C,C213,Başvuru!$G:$G,"Uzmanlık Tezi",Başvuru!$A:$A,"&lt;&gt;"&amp;"",Başvuru!$F:$F,"&lt;&gt;"&amp;""))</f>
        <v>0</v>
      </c>
      <c r="H213" s="162">
        <f>IF(C213="","",COUNTIFS(Başvuru!$C:$C,C213,Başvuru!$G:$G,"Doktora Tezi",Başvuru!$A:$A,"&lt;&gt;"&amp;"",Başvuru!$F:$F,"&lt;&gt;"&amp;""))</f>
        <v>0</v>
      </c>
      <c r="I213" s="162">
        <f>IF(C213="","",COUNTIFS(Başvuru!$C:$C,C213,Başvuru!$G:$G,"Yüksek Lisans Tezi",Başvuru!$A:$A,"&lt;&gt;"&amp;"",Başvuru!$F:$F,"&lt;&gt;"&amp;""))</f>
        <v>0</v>
      </c>
      <c r="J213" s="163">
        <f>IF(C213="","",COUNTIFS(Başvuru!$C:$C,C213,Başvuru!$L:$L,"ONAY",Başvuru!$A:$A,"&lt;&gt;"&amp;"",Başvuru!$F:$F,"&lt;&gt;"&amp;""))</f>
        <v>1</v>
      </c>
      <c r="K213" s="164">
        <f>IF(C213="","",COUNTIFS(Başvuru!$C:$C,C213,Başvuru!$L:$L,"DÜZELTME",Başvuru!$A:$A,"&lt;&gt;"&amp;"",Başvuru!$F:$F,"&lt;&gt;"&amp;""))</f>
        <v>0</v>
      </c>
      <c r="L213" s="165">
        <f>IF(C213="","",COUNTIFS(Başvuru!$C:$C,C213,Başvuru!$L:$L,"KAEK",Başvuru!$A:$A,"&lt;&gt;"&amp;"",Başvuru!$F:$F,"&lt;&gt;"&amp;""))</f>
        <v>0</v>
      </c>
      <c r="M213" s="166">
        <f>IF(C213="","",COUNTIFS(Başvuru!$C:$C,C213,Başvuru!$L:$L,"GÖRÜŞ",Başvuru!$A:$A,"&lt;&gt;"&amp;"",Başvuru!$F:$F,"&lt;&gt;"&amp;""))</f>
        <v>0</v>
      </c>
      <c r="N213" s="167">
        <f>IF(C213="","",COUNTIFS(Başvuru!$C:$C,C213,Başvuru!$L:$L,"RET",Başvuru!$A:$A,"&lt;&gt;"&amp;"",Başvuru!$F:$F,"&lt;&gt;"&amp;""))</f>
        <v>0</v>
      </c>
      <c r="O213" s="168">
        <f>IF(C213="","",COUNTIFS(Başvuru!$C:$C,C213,Başvuru!$L:$L,"KAPSAM DIŞI",Başvuru!$A:$A,"&lt;&gt;"&amp;"",Başvuru!$F:$F,"&lt;&gt;"&amp;""))</f>
        <v>0</v>
      </c>
      <c r="P213" s="169">
        <f>IF(C213="","",COUNTIFS(Başvuru!$C:$C,C213,Başvuru!$L:$L,"GERİ ÇEKİLDİ",Başvuru!$A:$A,"&lt;&gt;"&amp;"",Başvuru!$F:$F,"&lt;&gt;"&amp;""))</f>
        <v>0</v>
      </c>
      <c r="Q213" s="170" t="str">
        <f>IFERROR(INDEX(Başvuru!$C$2:$C$1851,MATCH(208,Başvuru!$AB$2:$AB$1851,0)),"")</f>
        <v>Dr. Öğr. Üyesi Evrim ÜNVER</v>
      </c>
      <c r="R213" s="171">
        <f>IF(Q213="","",COUNTIFS(Başvuru!$C:$C,Q213,Başvuru!$A:$A,"&lt;&gt;"&amp;"",Başvuru!$F:$F,"&lt;&gt;"&amp;""))</f>
        <v>1</v>
      </c>
      <c r="S213" s="171">
        <f>IF(R213="","",RANK(R213,$R$6:$R$505,0)+COUNTIF($R$6:R213,R213)-1)</f>
        <v>239</v>
      </c>
    </row>
    <row r="214" spans="2:19" ht="23.25" customHeight="1" x14ac:dyDescent="0.25">
      <c r="B214" s="159">
        <v>209</v>
      </c>
      <c r="C214" s="160" t="str">
        <f>IFERROR(INDEX($Q$6:$Q$505,MATCH(209,$S$6:$S$505,0)),"")</f>
        <v>Dr. Öğr. Üyesi Özge YAVUZ SARI</v>
      </c>
      <c r="D214" s="161">
        <f>IF(C214="","",COUNTIFS(Başvuru!$C:$C,C214,Başvuru!$A:$A,"&lt;&gt;"&amp;"",Başvuru!$F:$F,"&lt;&gt;"&amp;""))</f>
        <v>1</v>
      </c>
      <c r="E214" s="159" t="str">
        <f>IF(C214="","-",IF(D214&gt;0,TEXT(D214/(COUNTIFS(Başvuru!$A:$A,"&lt;&gt;",Başvuru!$F:$F,"&lt;&gt;")-1)*100,"0.0")&amp;"%","-"))</f>
        <v>00%</v>
      </c>
      <c r="F214" s="162">
        <f>IF(C214="","",COUNTIFS(Başvuru!$C:$C,C214,Başvuru!$G:$G,"Bireysel Araştırma",Başvuru!$A:$A,"&lt;&gt;"&amp;"",Başvuru!$F:$F,"&lt;&gt;"&amp;""))</f>
        <v>1</v>
      </c>
      <c r="G214" s="162">
        <f>IF(C214="","",COUNTIFS(Başvuru!$C:$C,C214,Başvuru!$G:$G,"Uzmanlık Tezi",Başvuru!$A:$A,"&lt;&gt;"&amp;"",Başvuru!$F:$F,"&lt;&gt;"&amp;""))</f>
        <v>0</v>
      </c>
      <c r="H214" s="162">
        <f>IF(C214="","",COUNTIFS(Başvuru!$C:$C,C214,Başvuru!$G:$G,"Doktora Tezi",Başvuru!$A:$A,"&lt;&gt;"&amp;"",Başvuru!$F:$F,"&lt;&gt;"&amp;""))</f>
        <v>0</v>
      </c>
      <c r="I214" s="162">
        <f>IF(C214="","",COUNTIFS(Başvuru!$C:$C,C214,Başvuru!$G:$G,"Yüksek Lisans Tezi",Başvuru!$A:$A,"&lt;&gt;"&amp;"",Başvuru!$F:$F,"&lt;&gt;"&amp;""))</f>
        <v>0</v>
      </c>
      <c r="J214" s="163">
        <f>IF(C214="","",COUNTIFS(Başvuru!$C:$C,C214,Başvuru!$L:$L,"ONAY",Başvuru!$A:$A,"&lt;&gt;"&amp;"",Başvuru!$F:$F,"&lt;&gt;"&amp;""))</f>
        <v>1</v>
      </c>
      <c r="K214" s="164">
        <f>IF(C214="","",COUNTIFS(Başvuru!$C:$C,C214,Başvuru!$L:$L,"DÜZELTME",Başvuru!$A:$A,"&lt;&gt;"&amp;"",Başvuru!$F:$F,"&lt;&gt;"&amp;""))</f>
        <v>0</v>
      </c>
      <c r="L214" s="165">
        <f>IF(C214="","",COUNTIFS(Başvuru!$C:$C,C214,Başvuru!$L:$L,"KAEK",Başvuru!$A:$A,"&lt;&gt;"&amp;"",Başvuru!$F:$F,"&lt;&gt;"&amp;""))</f>
        <v>0</v>
      </c>
      <c r="M214" s="166">
        <f>IF(C214="","",COUNTIFS(Başvuru!$C:$C,C214,Başvuru!$L:$L,"GÖRÜŞ",Başvuru!$A:$A,"&lt;&gt;"&amp;"",Başvuru!$F:$F,"&lt;&gt;"&amp;""))</f>
        <v>0</v>
      </c>
      <c r="N214" s="167">
        <f>IF(C214="","",COUNTIFS(Başvuru!$C:$C,C214,Başvuru!$L:$L,"RET",Başvuru!$A:$A,"&lt;&gt;"&amp;"",Başvuru!$F:$F,"&lt;&gt;"&amp;""))</f>
        <v>0</v>
      </c>
      <c r="O214" s="168">
        <f>IF(C214="","",COUNTIFS(Başvuru!$C:$C,C214,Başvuru!$L:$L,"KAPSAM DIŞI",Başvuru!$A:$A,"&lt;&gt;"&amp;"",Başvuru!$F:$F,"&lt;&gt;"&amp;""))</f>
        <v>0</v>
      </c>
      <c r="P214" s="169">
        <f>IF(C214="","",COUNTIFS(Başvuru!$C:$C,C214,Başvuru!$L:$L,"GERİ ÇEKİLDİ",Başvuru!$A:$A,"&lt;&gt;"&amp;"",Başvuru!$F:$F,"&lt;&gt;"&amp;""))</f>
        <v>0</v>
      </c>
      <c r="Q214" s="170" t="str">
        <f>IFERROR(INDEX(Başvuru!$C$2:$C$1851,MATCH(209,Başvuru!$AB$2:$AB$1851,0)),"")</f>
        <v>Doç. Dr. Cem ŞİMŞEK</v>
      </c>
      <c r="R214" s="171">
        <f>IF(Q214="","",COUNTIFS(Başvuru!$C:$C,Q214,Başvuru!$A:$A,"&lt;&gt;"&amp;"",Başvuru!$F:$F,"&lt;&gt;"&amp;""))</f>
        <v>2</v>
      </c>
      <c r="S214" s="171">
        <f>IF(R214="","",RANK(R214,$R$6:$R$505,0)+COUNTIF($R$6:R214,R214)-1)</f>
        <v>133</v>
      </c>
    </row>
    <row r="215" spans="2:19" ht="23.25" customHeight="1" x14ac:dyDescent="0.25">
      <c r="B215" s="159">
        <v>210</v>
      </c>
      <c r="C215" s="160" t="str">
        <f>IFERROR(INDEX($Q$6:$Q$505,MATCH(210,$S$6:$S$505,0)),"")</f>
        <v>Prof. Dr. Jale KARAKAYA</v>
      </c>
      <c r="D215" s="161">
        <f>IF(C215="","",COUNTIFS(Başvuru!$C:$C,C215,Başvuru!$A:$A,"&lt;&gt;"&amp;"",Başvuru!$F:$F,"&lt;&gt;"&amp;""))</f>
        <v>1</v>
      </c>
      <c r="E215" s="159" t="str">
        <f>IF(C215="","-",IF(D215&gt;0,TEXT(D215/(COUNTIFS(Başvuru!$A:$A,"&lt;&gt;",Başvuru!$F:$F,"&lt;&gt;")-1)*100,"0.0")&amp;"%","-"))</f>
        <v>00%</v>
      </c>
      <c r="F215" s="162">
        <f>IF(C215="","",COUNTIFS(Başvuru!$C:$C,C215,Başvuru!$G:$G,"Bireysel Araştırma",Başvuru!$A:$A,"&lt;&gt;"&amp;"",Başvuru!$F:$F,"&lt;&gt;"&amp;""))</f>
        <v>1</v>
      </c>
      <c r="G215" s="162">
        <f>IF(C215="","",COUNTIFS(Başvuru!$C:$C,C215,Başvuru!$G:$G,"Uzmanlık Tezi",Başvuru!$A:$A,"&lt;&gt;"&amp;"",Başvuru!$F:$F,"&lt;&gt;"&amp;""))</f>
        <v>0</v>
      </c>
      <c r="H215" s="162">
        <f>IF(C215="","",COUNTIFS(Başvuru!$C:$C,C215,Başvuru!$G:$G,"Doktora Tezi",Başvuru!$A:$A,"&lt;&gt;"&amp;"",Başvuru!$F:$F,"&lt;&gt;"&amp;""))</f>
        <v>0</v>
      </c>
      <c r="I215" s="162">
        <f>IF(C215="","",COUNTIFS(Başvuru!$C:$C,C215,Başvuru!$G:$G,"Yüksek Lisans Tezi",Başvuru!$A:$A,"&lt;&gt;"&amp;"",Başvuru!$F:$F,"&lt;&gt;"&amp;""))</f>
        <v>0</v>
      </c>
      <c r="J215" s="163">
        <f>IF(C215="","",COUNTIFS(Başvuru!$C:$C,C215,Başvuru!$L:$L,"ONAY",Başvuru!$A:$A,"&lt;&gt;"&amp;"",Başvuru!$F:$F,"&lt;&gt;"&amp;""))</f>
        <v>0</v>
      </c>
      <c r="K215" s="164">
        <f>IF(C215="","",COUNTIFS(Başvuru!$C:$C,C215,Başvuru!$L:$L,"DÜZELTME",Başvuru!$A:$A,"&lt;&gt;"&amp;"",Başvuru!$F:$F,"&lt;&gt;"&amp;""))</f>
        <v>0</v>
      </c>
      <c r="L215" s="165">
        <f>IF(C215="","",COUNTIFS(Başvuru!$C:$C,C215,Başvuru!$L:$L,"KAEK",Başvuru!$A:$A,"&lt;&gt;"&amp;"",Başvuru!$F:$F,"&lt;&gt;"&amp;""))</f>
        <v>0</v>
      </c>
      <c r="M215" s="166">
        <f>IF(C215="","",COUNTIFS(Başvuru!$C:$C,C215,Başvuru!$L:$L,"GÖRÜŞ",Başvuru!$A:$A,"&lt;&gt;"&amp;"",Başvuru!$F:$F,"&lt;&gt;"&amp;""))</f>
        <v>1</v>
      </c>
      <c r="N215" s="167">
        <f>IF(C215="","",COUNTIFS(Başvuru!$C:$C,C215,Başvuru!$L:$L,"RET",Başvuru!$A:$A,"&lt;&gt;"&amp;"",Başvuru!$F:$F,"&lt;&gt;"&amp;""))</f>
        <v>0</v>
      </c>
      <c r="O215" s="168">
        <f>IF(C215="","",COUNTIFS(Başvuru!$C:$C,C215,Başvuru!$L:$L,"KAPSAM DIŞI",Başvuru!$A:$A,"&lt;&gt;"&amp;"",Başvuru!$F:$F,"&lt;&gt;"&amp;""))</f>
        <v>0</v>
      </c>
      <c r="P215" s="169">
        <f>IF(C215="","",COUNTIFS(Başvuru!$C:$C,C215,Başvuru!$L:$L,"GERİ ÇEKİLDİ",Başvuru!$A:$A,"&lt;&gt;"&amp;"",Başvuru!$F:$F,"&lt;&gt;"&amp;""))</f>
        <v>0</v>
      </c>
      <c r="Q215" s="170" t="str">
        <f>IFERROR(INDEX(Başvuru!$C$2:$C$1851,MATCH(210,Başvuru!$AB$2:$AB$1851,0)),"")</f>
        <v>Doç. Dr. Özlem DİKMETAŞ SANDIKÇI</v>
      </c>
      <c r="R215" s="171">
        <f>IF(Q215="","",COUNTIFS(Başvuru!$C:$C,Q215,Başvuru!$A:$A,"&lt;&gt;"&amp;"",Başvuru!$F:$F,"&lt;&gt;"&amp;""))</f>
        <v>1</v>
      </c>
      <c r="S215" s="171">
        <f>IF(R215="","",RANK(R215,$R$6:$R$505,0)+COUNTIF($R$6:R215,R215)-1)</f>
        <v>240</v>
      </c>
    </row>
    <row r="216" spans="2:19" ht="23.25" customHeight="1" x14ac:dyDescent="0.25">
      <c r="B216" s="159">
        <v>211</v>
      </c>
      <c r="C216" s="160" t="str">
        <f>IFERROR(INDEX($Q$6:$Q$505,MATCH(211,$S$6:$S$505,0)),"")</f>
        <v>Dr. Öğr. Üyesi Ezgi DOĞAN CÖMERT</v>
      </c>
      <c r="D216" s="161">
        <f>IF(C216="","",COUNTIFS(Başvuru!$C:$C,C216,Başvuru!$A:$A,"&lt;&gt;"&amp;"",Başvuru!$F:$F,"&lt;&gt;"&amp;""))</f>
        <v>1</v>
      </c>
      <c r="E216" s="159" t="str">
        <f>IF(C216="","-",IF(D216&gt;0,TEXT(D216/(COUNTIFS(Başvuru!$A:$A,"&lt;&gt;",Başvuru!$F:$F,"&lt;&gt;")-1)*100,"0.0")&amp;"%","-"))</f>
        <v>00%</v>
      </c>
      <c r="F216" s="162">
        <f>IF(C216="","",COUNTIFS(Başvuru!$C:$C,C216,Başvuru!$G:$G,"Bireysel Araştırma",Başvuru!$A:$A,"&lt;&gt;"&amp;"",Başvuru!$F:$F,"&lt;&gt;"&amp;""))</f>
        <v>1</v>
      </c>
      <c r="G216" s="162">
        <f>IF(C216="","",COUNTIFS(Başvuru!$C:$C,C216,Başvuru!$G:$G,"Uzmanlık Tezi",Başvuru!$A:$A,"&lt;&gt;"&amp;"",Başvuru!$F:$F,"&lt;&gt;"&amp;""))</f>
        <v>0</v>
      </c>
      <c r="H216" s="162">
        <f>IF(C216="","",COUNTIFS(Başvuru!$C:$C,C216,Başvuru!$G:$G,"Doktora Tezi",Başvuru!$A:$A,"&lt;&gt;"&amp;"",Başvuru!$F:$F,"&lt;&gt;"&amp;""))</f>
        <v>0</v>
      </c>
      <c r="I216" s="162">
        <f>IF(C216="","",COUNTIFS(Başvuru!$C:$C,C216,Başvuru!$G:$G,"Yüksek Lisans Tezi",Başvuru!$A:$A,"&lt;&gt;"&amp;"",Başvuru!$F:$F,"&lt;&gt;"&amp;""))</f>
        <v>0</v>
      </c>
      <c r="J216" s="163">
        <f>IF(C216="","",COUNTIFS(Başvuru!$C:$C,C216,Başvuru!$L:$L,"ONAY",Başvuru!$A:$A,"&lt;&gt;"&amp;"",Başvuru!$F:$F,"&lt;&gt;"&amp;""))</f>
        <v>1</v>
      </c>
      <c r="K216" s="164">
        <f>IF(C216="","",COUNTIFS(Başvuru!$C:$C,C216,Başvuru!$L:$L,"DÜZELTME",Başvuru!$A:$A,"&lt;&gt;"&amp;"",Başvuru!$F:$F,"&lt;&gt;"&amp;""))</f>
        <v>0</v>
      </c>
      <c r="L216" s="165">
        <f>IF(C216="","",COUNTIFS(Başvuru!$C:$C,C216,Başvuru!$L:$L,"KAEK",Başvuru!$A:$A,"&lt;&gt;"&amp;"",Başvuru!$F:$F,"&lt;&gt;"&amp;""))</f>
        <v>0</v>
      </c>
      <c r="M216" s="166">
        <f>IF(C216="","",COUNTIFS(Başvuru!$C:$C,C216,Başvuru!$L:$L,"GÖRÜŞ",Başvuru!$A:$A,"&lt;&gt;"&amp;"",Başvuru!$F:$F,"&lt;&gt;"&amp;""))</f>
        <v>0</v>
      </c>
      <c r="N216" s="167">
        <f>IF(C216="","",COUNTIFS(Başvuru!$C:$C,C216,Başvuru!$L:$L,"RET",Başvuru!$A:$A,"&lt;&gt;"&amp;"",Başvuru!$F:$F,"&lt;&gt;"&amp;""))</f>
        <v>0</v>
      </c>
      <c r="O216" s="168">
        <f>IF(C216="","",COUNTIFS(Başvuru!$C:$C,C216,Başvuru!$L:$L,"KAPSAM DIŞI",Başvuru!$A:$A,"&lt;&gt;"&amp;"",Başvuru!$F:$F,"&lt;&gt;"&amp;""))</f>
        <v>0</v>
      </c>
      <c r="P216" s="169">
        <f>IF(C216="","",COUNTIFS(Başvuru!$C:$C,C216,Başvuru!$L:$L,"GERİ ÇEKİLDİ",Başvuru!$A:$A,"&lt;&gt;"&amp;"",Başvuru!$F:$F,"&lt;&gt;"&amp;""))</f>
        <v>0</v>
      </c>
      <c r="Q216" s="170" t="str">
        <f>IFERROR(INDEX(Başvuru!$C$2:$C$1851,MATCH(211,Başvuru!$AB$2:$AB$1851,0)),"")</f>
        <v>Prof. Dr. Hakan UZUN</v>
      </c>
      <c r="R216" s="171">
        <f>IF(Q216="","",COUNTIFS(Başvuru!$C:$C,Q216,Başvuru!$A:$A,"&lt;&gt;"&amp;"",Başvuru!$F:$F,"&lt;&gt;"&amp;""))</f>
        <v>2</v>
      </c>
      <c r="S216" s="171">
        <f>IF(R216="","",RANK(R216,$R$6:$R$505,0)+COUNTIF($R$6:R216,R216)-1)</f>
        <v>134</v>
      </c>
    </row>
    <row r="217" spans="2:19" ht="23.25" customHeight="1" x14ac:dyDescent="0.25">
      <c r="B217" s="159">
        <v>212</v>
      </c>
      <c r="C217" s="160" t="str">
        <f>IFERROR(INDEX($Q$6:$Q$505,MATCH(212,$S$6:$S$505,0)),"")</f>
        <v>Dr. Öğr. Üyesi Salih Eren MERAL</v>
      </c>
      <c r="D217" s="161">
        <f>IF(C217="","",COUNTIFS(Başvuru!$C:$C,C217,Başvuru!$A:$A,"&lt;&gt;"&amp;"",Başvuru!$F:$F,"&lt;&gt;"&amp;""))</f>
        <v>1</v>
      </c>
      <c r="E217" s="159" t="str">
        <f>IF(C217="","-",IF(D217&gt;0,TEXT(D217/(COUNTIFS(Başvuru!$A:$A,"&lt;&gt;",Başvuru!$F:$F,"&lt;&gt;")-1)*100,"0.0")&amp;"%","-"))</f>
        <v>00%</v>
      </c>
      <c r="F217" s="162">
        <f>IF(C217="","",COUNTIFS(Başvuru!$C:$C,C217,Başvuru!$G:$G,"Bireysel Araştırma",Başvuru!$A:$A,"&lt;&gt;"&amp;"",Başvuru!$F:$F,"&lt;&gt;"&amp;""))</f>
        <v>1</v>
      </c>
      <c r="G217" s="162">
        <f>IF(C217="","",COUNTIFS(Başvuru!$C:$C,C217,Başvuru!$G:$G,"Uzmanlık Tezi",Başvuru!$A:$A,"&lt;&gt;"&amp;"",Başvuru!$F:$F,"&lt;&gt;"&amp;""))</f>
        <v>0</v>
      </c>
      <c r="H217" s="162">
        <f>IF(C217="","",COUNTIFS(Başvuru!$C:$C,C217,Başvuru!$G:$G,"Doktora Tezi",Başvuru!$A:$A,"&lt;&gt;"&amp;"",Başvuru!$F:$F,"&lt;&gt;"&amp;""))</f>
        <v>0</v>
      </c>
      <c r="I217" s="162">
        <f>IF(C217="","",COUNTIFS(Başvuru!$C:$C,C217,Başvuru!$G:$G,"Yüksek Lisans Tezi",Başvuru!$A:$A,"&lt;&gt;"&amp;"",Başvuru!$F:$F,"&lt;&gt;"&amp;""))</f>
        <v>0</v>
      </c>
      <c r="J217" s="163">
        <f>IF(C217="","",COUNTIFS(Başvuru!$C:$C,C217,Başvuru!$L:$L,"ONAY",Başvuru!$A:$A,"&lt;&gt;"&amp;"",Başvuru!$F:$F,"&lt;&gt;"&amp;""))</f>
        <v>1</v>
      </c>
      <c r="K217" s="164">
        <f>IF(C217="","",COUNTIFS(Başvuru!$C:$C,C217,Başvuru!$L:$L,"DÜZELTME",Başvuru!$A:$A,"&lt;&gt;"&amp;"",Başvuru!$F:$F,"&lt;&gt;"&amp;""))</f>
        <v>0</v>
      </c>
      <c r="L217" s="165">
        <f>IF(C217="","",COUNTIFS(Başvuru!$C:$C,C217,Başvuru!$L:$L,"KAEK",Başvuru!$A:$A,"&lt;&gt;"&amp;"",Başvuru!$F:$F,"&lt;&gt;"&amp;""))</f>
        <v>0</v>
      </c>
      <c r="M217" s="166">
        <f>IF(C217="","",COUNTIFS(Başvuru!$C:$C,C217,Başvuru!$L:$L,"GÖRÜŞ",Başvuru!$A:$A,"&lt;&gt;"&amp;"",Başvuru!$F:$F,"&lt;&gt;"&amp;""))</f>
        <v>0</v>
      </c>
      <c r="N217" s="167">
        <f>IF(C217="","",COUNTIFS(Başvuru!$C:$C,C217,Başvuru!$L:$L,"RET",Başvuru!$A:$A,"&lt;&gt;"&amp;"",Başvuru!$F:$F,"&lt;&gt;"&amp;""))</f>
        <v>0</v>
      </c>
      <c r="O217" s="168">
        <f>IF(C217="","",COUNTIFS(Başvuru!$C:$C,C217,Başvuru!$L:$L,"KAPSAM DIŞI",Başvuru!$A:$A,"&lt;&gt;"&amp;"",Başvuru!$F:$F,"&lt;&gt;"&amp;""))</f>
        <v>0</v>
      </c>
      <c r="P217" s="169">
        <f>IF(C217="","",COUNTIFS(Başvuru!$C:$C,C217,Başvuru!$L:$L,"GERİ ÇEKİLDİ",Başvuru!$A:$A,"&lt;&gt;"&amp;"",Başvuru!$F:$F,"&lt;&gt;"&amp;""))</f>
        <v>0</v>
      </c>
      <c r="Q217" s="172" t="str">
        <f>IFERROR(INDEX(Başvuru!$C$2:$C$1851,MATCH(212,Başvuru!$AB$2:$AB$1851,0)),"")</f>
        <v>Prof. Dr. Gülten GÜVENÇ
Doç. Dr. Gölşah KÖK</v>
      </c>
      <c r="R217" s="171">
        <f>IF(Q217="","",COUNTIFS(Başvuru!$C:$C,Q217,Başvuru!$A:$A,"&lt;&gt;"&amp;"",Başvuru!$F:$F,"&lt;&gt;"&amp;""))</f>
        <v>1</v>
      </c>
      <c r="S217" s="171">
        <f>IF(R217="","",RANK(R217,$R$6:$R$505,0)+COUNTIF($R$6:R217,R217)-1)</f>
        <v>241</v>
      </c>
    </row>
    <row r="218" spans="2:19" ht="23.25" customHeight="1" x14ac:dyDescent="0.25">
      <c r="B218" s="159">
        <v>213</v>
      </c>
      <c r="C218" s="160" t="str">
        <f>IFERROR(INDEX($Q$6:$Q$505,MATCH(213,$S$6:$S$505,0)),"")</f>
        <v>Doç. Dr. Bengisu AKARSU GÜVEN</v>
      </c>
      <c r="D218" s="161">
        <f>IF(C218="","",COUNTIFS(Başvuru!$C:$C,C218,Başvuru!$A:$A,"&lt;&gt;"&amp;"",Başvuru!$F:$F,"&lt;&gt;"&amp;""))</f>
        <v>1</v>
      </c>
      <c r="E218" s="159" t="str">
        <f>IF(C218="","-",IF(D218&gt;0,TEXT(D218/(COUNTIFS(Başvuru!$A:$A,"&lt;&gt;",Başvuru!$F:$F,"&lt;&gt;")-1)*100,"0.0")&amp;"%","-"))</f>
        <v>00%</v>
      </c>
      <c r="F218" s="162">
        <f>IF(C218="","",COUNTIFS(Başvuru!$C:$C,C218,Başvuru!$G:$G,"Bireysel Araştırma",Başvuru!$A:$A,"&lt;&gt;"&amp;"",Başvuru!$F:$F,"&lt;&gt;"&amp;""))</f>
        <v>1</v>
      </c>
      <c r="G218" s="162">
        <f>IF(C218="","",COUNTIFS(Başvuru!$C:$C,C218,Başvuru!$G:$G,"Uzmanlık Tezi",Başvuru!$A:$A,"&lt;&gt;"&amp;"",Başvuru!$F:$F,"&lt;&gt;"&amp;""))</f>
        <v>0</v>
      </c>
      <c r="H218" s="162">
        <f>IF(C218="","",COUNTIFS(Başvuru!$C:$C,C218,Başvuru!$G:$G,"Doktora Tezi",Başvuru!$A:$A,"&lt;&gt;"&amp;"",Başvuru!$F:$F,"&lt;&gt;"&amp;""))</f>
        <v>0</v>
      </c>
      <c r="I218" s="162">
        <f>IF(C218="","",COUNTIFS(Başvuru!$C:$C,C218,Başvuru!$G:$G,"Yüksek Lisans Tezi",Başvuru!$A:$A,"&lt;&gt;"&amp;"",Başvuru!$F:$F,"&lt;&gt;"&amp;""))</f>
        <v>0</v>
      </c>
      <c r="J218" s="163">
        <f>IF(C218="","",COUNTIFS(Başvuru!$C:$C,C218,Başvuru!$L:$L,"ONAY",Başvuru!$A:$A,"&lt;&gt;"&amp;"",Başvuru!$F:$F,"&lt;&gt;"&amp;""))</f>
        <v>0</v>
      </c>
      <c r="K218" s="164">
        <f>IF(C218="","",COUNTIFS(Başvuru!$C:$C,C218,Başvuru!$L:$L,"DÜZELTME",Başvuru!$A:$A,"&lt;&gt;"&amp;"",Başvuru!$F:$F,"&lt;&gt;"&amp;""))</f>
        <v>1</v>
      </c>
      <c r="L218" s="165">
        <f>IF(C218="","",COUNTIFS(Başvuru!$C:$C,C218,Başvuru!$L:$L,"KAEK",Başvuru!$A:$A,"&lt;&gt;"&amp;"",Başvuru!$F:$F,"&lt;&gt;"&amp;""))</f>
        <v>0</v>
      </c>
      <c r="M218" s="166">
        <f>IF(C218="","",COUNTIFS(Başvuru!$C:$C,C218,Başvuru!$L:$L,"GÖRÜŞ",Başvuru!$A:$A,"&lt;&gt;"&amp;"",Başvuru!$F:$F,"&lt;&gt;"&amp;""))</f>
        <v>0</v>
      </c>
      <c r="N218" s="167">
        <f>IF(C218="","",COUNTIFS(Başvuru!$C:$C,C218,Başvuru!$L:$L,"RET",Başvuru!$A:$A,"&lt;&gt;"&amp;"",Başvuru!$F:$F,"&lt;&gt;"&amp;""))</f>
        <v>0</v>
      </c>
      <c r="O218" s="168">
        <f>IF(C218="","",COUNTIFS(Başvuru!$C:$C,C218,Başvuru!$L:$L,"KAPSAM DIŞI",Başvuru!$A:$A,"&lt;&gt;"&amp;"",Başvuru!$F:$F,"&lt;&gt;"&amp;""))</f>
        <v>0</v>
      </c>
      <c r="P218" s="169">
        <f>IF(C218="","",COUNTIFS(Başvuru!$C:$C,C218,Başvuru!$L:$L,"GERİ ÇEKİLDİ",Başvuru!$A:$A,"&lt;&gt;"&amp;"",Başvuru!$F:$F,"&lt;&gt;"&amp;""))</f>
        <v>0</v>
      </c>
      <c r="Q218" s="170" t="str">
        <f>IFERROR(INDEX(Başvuru!$C$2:$C$1851,MATCH(213,Başvuru!$AB$2:$AB$1851,0)),"")</f>
        <v>Prof. Dr. Ebru AYPAR</v>
      </c>
      <c r="R218" s="171">
        <f>IF(Q218="","",COUNTIFS(Başvuru!$C:$C,Q218,Başvuru!$A:$A,"&lt;&gt;"&amp;"",Başvuru!$F:$F,"&lt;&gt;"&amp;""))</f>
        <v>1</v>
      </c>
      <c r="S218" s="171">
        <f>IF(R218="","",RANK(R218,$R$6:$R$505,0)+COUNTIF($R$6:R218,R218)-1)</f>
        <v>242</v>
      </c>
    </row>
    <row r="219" spans="2:19" ht="23.25" customHeight="1" x14ac:dyDescent="0.25">
      <c r="B219" s="159">
        <v>214</v>
      </c>
      <c r="C219" s="160" t="str">
        <f>IFERROR(INDEX($Q$6:$Q$505,MATCH(214,$S$6:$S$505,0)),"")</f>
        <v>Prof. Dr. Ali DURSUN</v>
      </c>
      <c r="D219" s="161">
        <f>IF(C219="","",COUNTIFS(Başvuru!$C:$C,C219,Başvuru!$A:$A,"&lt;&gt;"&amp;"",Başvuru!$F:$F,"&lt;&gt;"&amp;""))</f>
        <v>1</v>
      </c>
      <c r="E219" s="159" t="str">
        <f>IF(C219="","-",IF(D219&gt;0,TEXT(D219/(COUNTIFS(Başvuru!$A:$A,"&lt;&gt;",Başvuru!$F:$F,"&lt;&gt;")-1)*100,"0.0")&amp;"%","-"))</f>
        <v>00%</v>
      </c>
      <c r="F219" s="162">
        <f>IF(C219="","",COUNTIFS(Başvuru!$C:$C,C219,Başvuru!$G:$G,"Bireysel Araştırma",Başvuru!$A:$A,"&lt;&gt;"&amp;"",Başvuru!$F:$F,"&lt;&gt;"&amp;""))</f>
        <v>1</v>
      </c>
      <c r="G219" s="162">
        <f>IF(C219="","",COUNTIFS(Başvuru!$C:$C,C219,Başvuru!$G:$G,"Uzmanlık Tezi",Başvuru!$A:$A,"&lt;&gt;"&amp;"",Başvuru!$F:$F,"&lt;&gt;"&amp;""))</f>
        <v>0</v>
      </c>
      <c r="H219" s="162">
        <f>IF(C219="","",COUNTIFS(Başvuru!$C:$C,C219,Başvuru!$G:$G,"Doktora Tezi",Başvuru!$A:$A,"&lt;&gt;"&amp;"",Başvuru!$F:$F,"&lt;&gt;"&amp;""))</f>
        <v>0</v>
      </c>
      <c r="I219" s="162">
        <f>IF(C219="","",COUNTIFS(Başvuru!$C:$C,C219,Başvuru!$G:$G,"Yüksek Lisans Tezi",Başvuru!$A:$A,"&lt;&gt;"&amp;"",Başvuru!$F:$F,"&lt;&gt;"&amp;""))</f>
        <v>0</v>
      </c>
      <c r="J219" s="163">
        <f>IF(C219="","",COUNTIFS(Başvuru!$C:$C,C219,Başvuru!$L:$L,"ONAY",Başvuru!$A:$A,"&lt;&gt;"&amp;"",Başvuru!$F:$F,"&lt;&gt;"&amp;""))</f>
        <v>0</v>
      </c>
      <c r="K219" s="164">
        <f>IF(C219="","",COUNTIFS(Başvuru!$C:$C,C219,Başvuru!$L:$L,"DÜZELTME",Başvuru!$A:$A,"&lt;&gt;"&amp;"",Başvuru!$F:$F,"&lt;&gt;"&amp;""))</f>
        <v>1</v>
      </c>
      <c r="L219" s="165">
        <f>IF(C219="","",COUNTIFS(Başvuru!$C:$C,C219,Başvuru!$L:$L,"KAEK",Başvuru!$A:$A,"&lt;&gt;"&amp;"",Başvuru!$F:$F,"&lt;&gt;"&amp;""))</f>
        <v>0</v>
      </c>
      <c r="M219" s="166">
        <f>IF(C219="","",COUNTIFS(Başvuru!$C:$C,C219,Başvuru!$L:$L,"GÖRÜŞ",Başvuru!$A:$A,"&lt;&gt;"&amp;"",Başvuru!$F:$F,"&lt;&gt;"&amp;""))</f>
        <v>0</v>
      </c>
      <c r="N219" s="167">
        <f>IF(C219="","",COUNTIFS(Başvuru!$C:$C,C219,Başvuru!$L:$L,"RET",Başvuru!$A:$A,"&lt;&gt;"&amp;"",Başvuru!$F:$F,"&lt;&gt;"&amp;""))</f>
        <v>0</v>
      </c>
      <c r="O219" s="168">
        <f>IF(C219="","",COUNTIFS(Başvuru!$C:$C,C219,Başvuru!$L:$L,"KAPSAM DIŞI",Başvuru!$A:$A,"&lt;&gt;"&amp;"",Başvuru!$F:$F,"&lt;&gt;"&amp;""))</f>
        <v>0</v>
      </c>
      <c r="P219" s="169">
        <f>IF(C219="","",COUNTIFS(Başvuru!$C:$C,C219,Başvuru!$L:$L,"GERİ ÇEKİLDİ",Başvuru!$A:$A,"&lt;&gt;"&amp;"",Başvuru!$F:$F,"&lt;&gt;"&amp;""))</f>
        <v>0</v>
      </c>
      <c r="Q219" s="170" t="str">
        <f>IFERROR(INDEX(Başvuru!$C$2:$C$1851,MATCH(214,Başvuru!$AB$2:$AB$1851,0)),"")</f>
        <v>Prof. Dr. Umut KALYONCU</v>
      </c>
      <c r="R219" s="171">
        <f>IF(Q219="","",COUNTIFS(Başvuru!$C:$C,Q219,Başvuru!$A:$A,"&lt;&gt;"&amp;"",Başvuru!$F:$F,"&lt;&gt;"&amp;""))</f>
        <v>5</v>
      </c>
      <c r="S219" s="171">
        <f>IF(R219="","",RANK(R219,$R$6:$R$505,0)+COUNTIF($R$6:R219,R219)-1)</f>
        <v>29</v>
      </c>
    </row>
    <row r="220" spans="2:19" ht="23.25" customHeight="1" x14ac:dyDescent="0.25">
      <c r="B220" s="159">
        <v>215</v>
      </c>
      <c r="C220" s="160" t="str">
        <f>IFERROR(INDEX($Q$6:$Q$505,MATCH(215,$S$6:$S$505,0)),"")</f>
        <v>Dr. Öğr. Üyesi Gözde ÖZER</v>
      </c>
      <c r="D220" s="161">
        <f>IF(C220="","",COUNTIFS(Başvuru!$C:$C,C220,Başvuru!$A:$A,"&lt;&gt;"&amp;"",Başvuru!$F:$F,"&lt;&gt;"&amp;""))</f>
        <v>1</v>
      </c>
      <c r="E220" s="159" t="str">
        <f>IF(C220="","-",IF(D220&gt;0,TEXT(D220/(COUNTIFS(Başvuru!$A:$A,"&lt;&gt;",Başvuru!$F:$F,"&lt;&gt;")-1)*100,"0.0")&amp;"%","-"))</f>
        <v>00%</v>
      </c>
      <c r="F220" s="162">
        <f>IF(C220="","",COUNTIFS(Başvuru!$C:$C,C220,Başvuru!$G:$G,"Bireysel Araştırma",Başvuru!$A:$A,"&lt;&gt;"&amp;"",Başvuru!$F:$F,"&lt;&gt;"&amp;""))</f>
        <v>1</v>
      </c>
      <c r="G220" s="162">
        <f>IF(C220="","",COUNTIFS(Başvuru!$C:$C,C220,Başvuru!$G:$G,"Uzmanlık Tezi",Başvuru!$A:$A,"&lt;&gt;"&amp;"",Başvuru!$F:$F,"&lt;&gt;"&amp;""))</f>
        <v>0</v>
      </c>
      <c r="H220" s="162">
        <f>IF(C220="","",COUNTIFS(Başvuru!$C:$C,C220,Başvuru!$G:$G,"Doktora Tezi",Başvuru!$A:$A,"&lt;&gt;"&amp;"",Başvuru!$F:$F,"&lt;&gt;"&amp;""))</f>
        <v>0</v>
      </c>
      <c r="I220" s="162">
        <f>IF(C220="","",COUNTIFS(Başvuru!$C:$C,C220,Başvuru!$G:$G,"Yüksek Lisans Tezi",Başvuru!$A:$A,"&lt;&gt;"&amp;"",Başvuru!$F:$F,"&lt;&gt;"&amp;""))</f>
        <v>0</v>
      </c>
      <c r="J220" s="163">
        <f>IF(C220="","",COUNTIFS(Başvuru!$C:$C,C220,Başvuru!$L:$L,"ONAY",Başvuru!$A:$A,"&lt;&gt;"&amp;"",Başvuru!$F:$F,"&lt;&gt;"&amp;""))</f>
        <v>1</v>
      </c>
      <c r="K220" s="164">
        <f>IF(C220="","",COUNTIFS(Başvuru!$C:$C,C220,Başvuru!$L:$L,"DÜZELTME",Başvuru!$A:$A,"&lt;&gt;"&amp;"",Başvuru!$F:$F,"&lt;&gt;"&amp;""))</f>
        <v>0</v>
      </c>
      <c r="L220" s="165">
        <f>IF(C220="","",COUNTIFS(Başvuru!$C:$C,C220,Başvuru!$L:$L,"KAEK",Başvuru!$A:$A,"&lt;&gt;"&amp;"",Başvuru!$F:$F,"&lt;&gt;"&amp;""))</f>
        <v>0</v>
      </c>
      <c r="M220" s="166">
        <f>IF(C220="","",COUNTIFS(Başvuru!$C:$C,C220,Başvuru!$L:$L,"GÖRÜŞ",Başvuru!$A:$A,"&lt;&gt;"&amp;"",Başvuru!$F:$F,"&lt;&gt;"&amp;""))</f>
        <v>0</v>
      </c>
      <c r="N220" s="167">
        <f>IF(C220="","",COUNTIFS(Başvuru!$C:$C,C220,Başvuru!$L:$L,"RET",Başvuru!$A:$A,"&lt;&gt;"&amp;"",Başvuru!$F:$F,"&lt;&gt;"&amp;""))</f>
        <v>0</v>
      </c>
      <c r="O220" s="168">
        <f>IF(C220="","",COUNTIFS(Başvuru!$C:$C,C220,Başvuru!$L:$L,"KAPSAM DIŞI",Başvuru!$A:$A,"&lt;&gt;"&amp;"",Başvuru!$F:$F,"&lt;&gt;"&amp;""))</f>
        <v>0</v>
      </c>
      <c r="P220" s="169">
        <f>IF(C220="","",COUNTIFS(Başvuru!$C:$C,C220,Başvuru!$L:$L,"GERİ ÇEKİLDİ",Başvuru!$A:$A,"&lt;&gt;"&amp;"",Başvuru!$F:$F,"&lt;&gt;"&amp;""))</f>
        <v>0</v>
      </c>
      <c r="Q220" s="170" t="str">
        <f>IFERROR(INDEX(Başvuru!$C$2:$C$1851,MATCH(215,Başvuru!$AB$2:$AB$1851,0)),"")</f>
        <v>Prof. Dr. Erdem KARABULUT</v>
      </c>
      <c r="R220" s="171">
        <f>IF(Q220="","",COUNTIFS(Başvuru!$C:$C,Q220,Başvuru!$A:$A,"&lt;&gt;"&amp;"",Başvuru!$F:$F,"&lt;&gt;"&amp;""))</f>
        <v>1</v>
      </c>
      <c r="S220" s="171">
        <f>IF(R220="","",RANK(R220,$R$6:$R$505,0)+COUNTIF($R$6:R220,R220)-1)</f>
        <v>243</v>
      </c>
    </row>
    <row r="221" spans="2:19" ht="23.25" customHeight="1" x14ac:dyDescent="0.25">
      <c r="B221" s="159">
        <v>216</v>
      </c>
      <c r="C221" s="160" t="str">
        <f>IFERROR(INDEX($Q$6:$Q$505,MATCH(216,$S$6:$S$505,0)),"")</f>
        <v>Prof. Dr. Şehnaz ALP</v>
      </c>
      <c r="D221" s="161">
        <f>IF(C221="","",COUNTIFS(Başvuru!$C:$C,C221,Başvuru!$A:$A,"&lt;&gt;"&amp;"",Başvuru!$F:$F,"&lt;&gt;"&amp;""))</f>
        <v>1</v>
      </c>
      <c r="E221" s="159" t="str">
        <f>IF(C221="","-",IF(D221&gt;0,TEXT(D221/(COUNTIFS(Başvuru!$A:$A,"&lt;&gt;",Başvuru!$F:$F,"&lt;&gt;")-1)*100,"0.0")&amp;"%","-"))</f>
        <v>00%</v>
      </c>
      <c r="F221" s="162">
        <f>IF(C221="","",COUNTIFS(Başvuru!$C:$C,C221,Başvuru!$G:$G,"Bireysel Araştırma",Başvuru!$A:$A,"&lt;&gt;"&amp;"",Başvuru!$F:$F,"&lt;&gt;"&amp;""))</f>
        <v>0</v>
      </c>
      <c r="G221" s="162">
        <f>IF(C221="","",COUNTIFS(Başvuru!$C:$C,C221,Başvuru!$G:$G,"Uzmanlık Tezi",Başvuru!$A:$A,"&lt;&gt;"&amp;"",Başvuru!$F:$F,"&lt;&gt;"&amp;""))</f>
        <v>1</v>
      </c>
      <c r="H221" s="162">
        <f>IF(C221="","",COUNTIFS(Başvuru!$C:$C,C221,Başvuru!$G:$G,"Doktora Tezi",Başvuru!$A:$A,"&lt;&gt;"&amp;"",Başvuru!$F:$F,"&lt;&gt;"&amp;""))</f>
        <v>0</v>
      </c>
      <c r="I221" s="162">
        <f>IF(C221="","",COUNTIFS(Başvuru!$C:$C,C221,Başvuru!$G:$G,"Yüksek Lisans Tezi",Başvuru!$A:$A,"&lt;&gt;"&amp;"",Başvuru!$F:$F,"&lt;&gt;"&amp;""))</f>
        <v>0</v>
      </c>
      <c r="J221" s="163">
        <f>IF(C221="","",COUNTIFS(Başvuru!$C:$C,C221,Başvuru!$L:$L,"ONAY",Başvuru!$A:$A,"&lt;&gt;"&amp;"",Başvuru!$F:$F,"&lt;&gt;"&amp;""))</f>
        <v>1</v>
      </c>
      <c r="K221" s="164">
        <f>IF(C221="","",COUNTIFS(Başvuru!$C:$C,C221,Başvuru!$L:$L,"DÜZELTME",Başvuru!$A:$A,"&lt;&gt;"&amp;"",Başvuru!$F:$F,"&lt;&gt;"&amp;""))</f>
        <v>0</v>
      </c>
      <c r="L221" s="165">
        <f>IF(C221="","",COUNTIFS(Başvuru!$C:$C,C221,Başvuru!$L:$L,"KAEK",Başvuru!$A:$A,"&lt;&gt;"&amp;"",Başvuru!$F:$F,"&lt;&gt;"&amp;""))</f>
        <v>0</v>
      </c>
      <c r="M221" s="166">
        <f>IF(C221="","",COUNTIFS(Başvuru!$C:$C,C221,Başvuru!$L:$L,"GÖRÜŞ",Başvuru!$A:$A,"&lt;&gt;"&amp;"",Başvuru!$F:$F,"&lt;&gt;"&amp;""))</f>
        <v>0</v>
      </c>
      <c r="N221" s="167">
        <f>IF(C221="","",COUNTIFS(Başvuru!$C:$C,C221,Başvuru!$L:$L,"RET",Başvuru!$A:$A,"&lt;&gt;"&amp;"",Başvuru!$F:$F,"&lt;&gt;"&amp;""))</f>
        <v>0</v>
      </c>
      <c r="O221" s="168">
        <f>IF(C221="","",COUNTIFS(Başvuru!$C:$C,C221,Başvuru!$L:$L,"KAPSAM DIŞI",Başvuru!$A:$A,"&lt;&gt;"&amp;"",Başvuru!$F:$F,"&lt;&gt;"&amp;""))</f>
        <v>0</v>
      </c>
      <c r="P221" s="169">
        <f>IF(C221="","",COUNTIFS(Başvuru!$C:$C,C221,Başvuru!$L:$L,"GERİ ÇEKİLDİ",Başvuru!$A:$A,"&lt;&gt;"&amp;"",Başvuru!$F:$F,"&lt;&gt;"&amp;""))</f>
        <v>0</v>
      </c>
      <c r="Q221" s="170" t="str">
        <f>IFERROR(INDEX(Başvuru!$C$2:$C$1851,MATCH(216,Başvuru!$AB$2:$AB$1851,0)),"")</f>
        <v>Doç. Dr. Nezih AKKAPULU</v>
      </c>
      <c r="R221" s="171">
        <f>IF(Q221="","",COUNTIFS(Başvuru!$C:$C,Q221,Başvuru!$A:$A,"&lt;&gt;"&amp;"",Başvuru!$F:$F,"&lt;&gt;"&amp;""))</f>
        <v>1</v>
      </c>
      <c r="S221" s="171">
        <f>IF(R221="","",RANK(R221,$R$6:$R$505,0)+COUNTIF($R$6:R221,R221)-1)</f>
        <v>244</v>
      </c>
    </row>
    <row r="222" spans="2:19" ht="23.25" customHeight="1" x14ac:dyDescent="0.25">
      <c r="B222" s="159">
        <v>217</v>
      </c>
      <c r="C222" s="160" t="str">
        <f>IFERROR(INDEX($Q$6:$Q$505,MATCH(217,$S$6:$S$505,0)),"")</f>
        <v>Doç. Dr. Sevtap ARSLAN SARIKAYA</v>
      </c>
      <c r="D222" s="161">
        <f>IF(C222="","",COUNTIFS(Başvuru!$C:$C,C222,Başvuru!$A:$A,"&lt;&gt;"&amp;"",Başvuru!$F:$F,"&lt;&gt;"&amp;""))</f>
        <v>1</v>
      </c>
      <c r="E222" s="159" t="str">
        <f>IF(C222="","-",IF(D222&gt;0,TEXT(D222/(COUNTIFS(Başvuru!$A:$A,"&lt;&gt;",Başvuru!$F:$F,"&lt;&gt;")-1)*100,"0.0")&amp;"%","-"))</f>
        <v>00%</v>
      </c>
      <c r="F222" s="162">
        <f>IF(C222="","",COUNTIFS(Başvuru!$C:$C,C222,Başvuru!$G:$G,"Bireysel Araştırma",Başvuru!$A:$A,"&lt;&gt;"&amp;"",Başvuru!$F:$F,"&lt;&gt;"&amp;""))</f>
        <v>0</v>
      </c>
      <c r="G222" s="162">
        <f>IF(C222="","",COUNTIFS(Başvuru!$C:$C,C222,Başvuru!$G:$G,"Uzmanlık Tezi",Başvuru!$A:$A,"&lt;&gt;"&amp;"",Başvuru!$F:$F,"&lt;&gt;"&amp;""))</f>
        <v>1</v>
      </c>
      <c r="H222" s="162">
        <f>IF(C222="","",COUNTIFS(Başvuru!$C:$C,C222,Başvuru!$G:$G,"Doktora Tezi",Başvuru!$A:$A,"&lt;&gt;"&amp;"",Başvuru!$F:$F,"&lt;&gt;"&amp;""))</f>
        <v>0</v>
      </c>
      <c r="I222" s="162">
        <f>IF(C222="","",COUNTIFS(Başvuru!$C:$C,C222,Başvuru!$G:$G,"Yüksek Lisans Tezi",Başvuru!$A:$A,"&lt;&gt;"&amp;"",Başvuru!$F:$F,"&lt;&gt;"&amp;""))</f>
        <v>0</v>
      </c>
      <c r="J222" s="163">
        <f>IF(C222="","",COUNTIFS(Başvuru!$C:$C,C222,Başvuru!$L:$L,"ONAY",Başvuru!$A:$A,"&lt;&gt;"&amp;"",Başvuru!$F:$F,"&lt;&gt;"&amp;""))</f>
        <v>1</v>
      </c>
      <c r="K222" s="164">
        <f>IF(C222="","",COUNTIFS(Başvuru!$C:$C,C222,Başvuru!$L:$L,"DÜZELTME",Başvuru!$A:$A,"&lt;&gt;"&amp;"",Başvuru!$F:$F,"&lt;&gt;"&amp;""))</f>
        <v>0</v>
      </c>
      <c r="L222" s="165">
        <f>IF(C222="","",COUNTIFS(Başvuru!$C:$C,C222,Başvuru!$L:$L,"KAEK",Başvuru!$A:$A,"&lt;&gt;"&amp;"",Başvuru!$F:$F,"&lt;&gt;"&amp;""))</f>
        <v>0</v>
      </c>
      <c r="M222" s="166">
        <f>IF(C222="","",COUNTIFS(Başvuru!$C:$C,C222,Başvuru!$L:$L,"GÖRÜŞ",Başvuru!$A:$A,"&lt;&gt;"&amp;"",Başvuru!$F:$F,"&lt;&gt;"&amp;""))</f>
        <v>0</v>
      </c>
      <c r="N222" s="167">
        <f>IF(C222="","",COUNTIFS(Başvuru!$C:$C,C222,Başvuru!$L:$L,"RET",Başvuru!$A:$A,"&lt;&gt;"&amp;"",Başvuru!$F:$F,"&lt;&gt;"&amp;""))</f>
        <v>0</v>
      </c>
      <c r="O222" s="168">
        <f>IF(C222="","",COUNTIFS(Başvuru!$C:$C,C222,Başvuru!$L:$L,"KAPSAM DIŞI",Başvuru!$A:$A,"&lt;&gt;"&amp;"",Başvuru!$F:$F,"&lt;&gt;"&amp;""))</f>
        <v>0</v>
      </c>
      <c r="P222" s="169">
        <f>IF(C222="","",COUNTIFS(Başvuru!$C:$C,C222,Başvuru!$L:$L,"GERİ ÇEKİLDİ",Başvuru!$A:$A,"&lt;&gt;"&amp;"",Başvuru!$F:$F,"&lt;&gt;"&amp;""))</f>
        <v>0</v>
      </c>
      <c r="Q222" s="170" t="str">
        <f>IFERROR(INDEX(Başvuru!$C$2:$C$1851,MATCH(217,Başvuru!$AB$2:$AB$1851,0)),"")</f>
        <v>Prof. Dr. Gökçen ÇOBAN ÇİFÇİ</v>
      </c>
      <c r="R222" s="171">
        <f>IF(Q222="","",COUNTIFS(Başvuru!$C:$C,Q222,Başvuru!$A:$A,"&lt;&gt;"&amp;"",Başvuru!$F:$F,"&lt;&gt;"&amp;""))</f>
        <v>1</v>
      </c>
      <c r="S222" s="171">
        <f>IF(R222="","",RANK(R222,$R$6:$R$505,0)+COUNTIF($R$6:R222,R222)-1)</f>
        <v>245</v>
      </c>
    </row>
    <row r="223" spans="2:19" ht="23.25" customHeight="1" x14ac:dyDescent="0.25">
      <c r="B223" s="159">
        <v>218</v>
      </c>
      <c r="C223" s="160" t="str">
        <f>IFERROR(INDEX($Q$6:$Q$505,MATCH(218,$S$6:$S$505,0)),"")</f>
        <v>Doç. Dr. Zeynep TÜZÜN GÜN</v>
      </c>
      <c r="D223" s="161">
        <f>IF(C223="","",COUNTIFS(Başvuru!$C:$C,C223,Başvuru!$A:$A,"&lt;&gt;"&amp;"",Başvuru!$F:$F,"&lt;&gt;"&amp;""))</f>
        <v>1</v>
      </c>
      <c r="E223" s="159" t="str">
        <f>IF(C223="","-",IF(D223&gt;0,TEXT(D223/(COUNTIFS(Başvuru!$A:$A,"&lt;&gt;",Başvuru!$F:$F,"&lt;&gt;")-1)*100,"0.0")&amp;"%","-"))</f>
        <v>00%</v>
      </c>
      <c r="F223" s="162">
        <f>IF(C223="","",COUNTIFS(Başvuru!$C:$C,C223,Başvuru!$G:$G,"Bireysel Araştırma",Başvuru!$A:$A,"&lt;&gt;"&amp;"",Başvuru!$F:$F,"&lt;&gt;"&amp;""))</f>
        <v>1</v>
      </c>
      <c r="G223" s="162">
        <f>IF(C223="","",COUNTIFS(Başvuru!$C:$C,C223,Başvuru!$G:$G,"Uzmanlık Tezi",Başvuru!$A:$A,"&lt;&gt;"&amp;"",Başvuru!$F:$F,"&lt;&gt;"&amp;""))</f>
        <v>0</v>
      </c>
      <c r="H223" s="162">
        <f>IF(C223="","",COUNTIFS(Başvuru!$C:$C,C223,Başvuru!$G:$G,"Doktora Tezi",Başvuru!$A:$A,"&lt;&gt;"&amp;"",Başvuru!$F:$F,"&lt;&gt;"&amp;""))</f>
        <v>0</v>
      </c>
      <c r="I223" s="162">
        <f>IF(C223="","",COUNTIFS(Başvuru!$C:$C,C223,Başvuru!$G:$G,"Yüksek Lisans Tezi",Başvuru!$A:$A,"&lt;&gt;"&amp;"",Başvuru!$F:$F,"&lt;&gt;"&amp;""))</f>
        <v>0</v>
      </c>
      <c r="J223" s="163">
        <f>IF(C223="","",COUNTIFS(Başvuru!$C:$C,C223,Başvuru!$L:$L,"ONAY",Başvuru!$A:$A,"&lt;&gt;"&amp;"",Başvuru!$F:$F,"&lt;&gt;"&amp;""))</f>
        <v>0</v>
      </c>
      <c r="K223" s="164">
        <f>IF(C223="","",COUNTIFS(Başvuru!$C:$C,C223,Başvuru!$L:$L,"DÜZELTME",Başvuru!$A:$A,"&lt;&gt;"&amp;"",Başvuru!$F:$F,"&lt;&gt;"&amp;""))</f>
        <v>1</v>
      </c>
      <c r="L223" s="165">
        <f>IF(C223="","",COUNTIFS(Başvuru!$C:$C,C223,Başvuru!$L:$L,"KAEK",Başvuru!$A:$A,"&lt;&gt;"&amp;"",Başvuru!$F:$F,"&lt;&gt;"&amp;""))</f>
        <v>0</v>
      </c>
      <c r="M223" s="166">
        <f>IF(C223="","",COUNTIFS(Başvuru!$C:$C,C223,Başvuru!$L:$L,"GÖRÜŞ",Başvuru!$A:$A,"&lt;&gt;"&amp;"",Başvuru!$F:$F,"&lt;&gt;"&amp;""))</f>
        <v>0</v>
      </c>
      <c r="N223" s="167">
        <f>IF(C223="","",COUNTIFS(Başvuru!$C:$C,C223,Başvuru!$L:$L,"RET",Başvuru!$A:$A,"&lt;&gt;"&amp;"",Başvuru!$F:$F,"&lt;&gt;"&amp;""))</f>
        <v>0</v>
      </c>
      <c r="O223" s="168">
        <f>IF(C223="","",COUNTIFS(Başvuru!$C:$C,C223,Başvuru!$L:$L,"KAPSAM DIŞI",Başvuru!$A:$A,"&lt;&gt;"&amp;"",Başvuru!$F:$F,"&lt;&gt;"&amp;""))</f>
        <v>0</v>
      </c>
      <c r="P223" s="169">
        <f>IF(C223="","",COUNTIFS(Başvuru!$C:$C,C223,Başvuru!$L:$L,"GERİ ÇEKİLDİ",Başvuru!$A:$A,"&lt;&gt;"&amp;"",Başvuru!$F:$F,"&lt;&gt;"&amp;""))</f>
        <v>0</v>
      </c>
      <c r="Q223" s="170" t="str">
        <f>IFERROR(INDEX(Başvuru!$C$2:$C$1851,MATCH(218,Başvuru!$AB$2:$AB$1851,0)),"")</f>
        <v>Prof. Dr. Ömrüm UZUN</v>
      </c>
      <c r="R223" s="171">
        <f>IF(Q223="","",COUNTIFS(Başvuru!$C:$C,Q223,Başvuru!$A:$A,"&lt;&gt;"&amp;"",Başvuru!$F:$F,"&lt;&gt;"&amp;""))</f>
        <v>1</v>
      </c>
      <c r="S223" s="171">
        <f>IF(R223="","",RANK(R223,$R$6:$R$505,0)+COUNTIF($R$6:R223,R223)-1)</f>
        <v>246</v>
      </c>
    </row>
    <row r="224" spans="2:19" ht="23.25" customHeight="1" x14ac:dyDescent="0.25">
      <c r="B224" s="159">
        <v>219</v>
      </c>
      <c r="C224" s="160" t="str">
        <f>IFERROR(INDEX($Q$6:$Q$505,MATCH(219,$S$6:$S$505,0)),"")</f>
        <v>Doç. Dr. Kevser NALBANT</v>
      </c>
      <c r="D224" s="161">
        <f>IF(C224="","",COUNTIFS(Başvuru!$C:$C,C224,Başvuru!$A:$A,"&lt;&gt;"&amp;"",Başvuru!$F:$F,"&lt;&gt;"&amp;""))</f>
        <v>1</v>
      </c>
      <c r="E224" s="159" t="str">
        <f>IF(C224="","-",IF(D224&gt;0,TEXT(D224/(COUNTIFS(Başvuru!$A:$A,"&lt;&gt;",Başvuru!$F:$F,"&lt;&gt;")-1)*100,"0.0")&amp;"%","-"))</f>
        <v>00%</v>
      </c>
      <c r="F224" s="162">
        <f>IF(C224="","",COUNTIFS(Başvuru!$C:$C,C224,Başvuru!$G:$G,"Bireysel Araştırma",Başvuru!$A:$A,"&lt;&gt;"&amp;"",Başvuru!$F:$F,"&lt;&gt;"&amp;""))</f>
        <v>1</v>
      </c>
      <c r="G224" s="162">
        <f>IF(C224="","",COUNTIFS(Başvuru!$C:$C,C224,Başvuru!$G:$G,"Uzmanlık Tezi",Başvuru!$A:$A,"&lt;&gt;"&amp;"",Başvuru!$F:$F,"&lt;&gt;"&amp;""))</f>
        <v>0</v>
      </c>
      <c r="H224" s="162">
        <f>IF(C224="","",COUNTIFS(Başvuru!$C:$C,C224,Başvuru!$G:$G,"Doktora Tezi",Başvuru!$A:$A,"&lt;&gt;"&amp;"",Başvuru!$F:$F,"&lt;&gt;"&amp;""))</f>
        <v>0</v>
      </c>
      <c r="I224" s="162">
        <f>IF(C224="","",COUNTIFS(Başvuru!$C:$C,C224,Başvuru!$G:$G,"Yüksek Lisans Tezi",Başvuru!$A:$A,"&lt;&gt;"&amp;"",Başvuru!$F:$F,"&lt;&gt;"&amp;""))</f>
        <v>0</v>
      </c>
      <c r="J224" s="163">
        <f>IF(C224="","",COUNTIFS(Başvuru!$C:$C,C224,Başvuru!$L:$L,"ONAY",Başvuru!$A:$A,"&lt;&gt;"&amp;"",Başvuru!$F:$F,"&lt;&gt;"&amp;""))</f>
        <v>0</v>
      </c>
      <c r="K224" s="164">
        <f>IF(C224="","",COUNTIFS(Başvuru!$C:$C,C224,Başvuru!$L:$L,"DÜZELTME",Başvuru!$A:$A,"&lt;&gt;"&amp;"",Başvuru!$F:$F,"&lt;&gt;"&amp;""))</f>
        <v>1</v>
      </c>
      <c r="L224" s="165">
        <f>IF(C224="","",COUNTIFS(Başvuru!$C:$C,C224,Başvuru!$L:$L,"KAEK",Başvuru!$A:$A,"&lt;&gt;"&amp;"",Başvuru!$F:$F,"&lt;&gt;"&amp;""))</f>
        <v>0</v>
      </c>
      <c r="M224" s="166">
        <f>IF(C224="","",COUNTIFS(Başvuru!$C:$C,C224,Başvuru!$L:$L,"GÖRÜŞ",Başvuru!$A:$A,"&lt;&gt;"&amp;"",Başvuru!$F:$F,"&lt;&gt;"&amp;""))</f>
        <v>0</v>
      </c>
      <c r="N224" s="167">
        <f>IF(C224="","",COUNTIFS(Başvuru!$C:$C,C224,Başvuru!$L:$L,"RET",Başvuru!$A:$A,"&lt;&gt;"&amp;"",Başvuru!$F:$F,"&lt;&gt;"&amp;""))</f>
        <v>0</v>
      </c>
      <c r="O224" s="168">
        <f>IF(C224="","",COUNTIFS(Başvuru!$C:$C,C224,Başvuru!$L:$L,"KAPSAM DIŞI",Başvuru!$A:$A,"&lt;&gt;"&amp;"",Başvuru!$F:$F,"&lt;&gt;"&amp;""))</f>
        <v>0</v>
      </c>
      <c r="P224" s="169">
        <f>IF(C224="","",COUNTIFS(Başvuru!$C:$C,C224,Başvuru!$L:$L,"GERİ ÇEKİLDİ",Başvuru!$A:$A,"&lt;&gt;"&amp;"",Başvuru!$F:$F,"&lt;&gt;"&amp;""))</f>
        <v>0</v>
      </c>
      <c r="Q224" s="170" t="str">
        <f>IFERROR(INDEX(Başvuru!$C$2:$C$1851,MATCH(219,Başvuru!$AB$2:$AB$1851,0)),"")</f>
        <v>Doç. Dr. Nagihan KOÇ</v>
      </c>
      <c r="R224" s="171">
        <f>IF(Q224="","",COUNTIFS(Başvuru!$C:$C,Q224,Başvuru!$A:$A,"&lt;&gt;"&amp;"",Başvuru!$F:$F,"&lt;&gt;"&amp;""))</f>
        <v>1</v>
      </c>
      <c r="S224" s="171">
        <f>IF(R224="","",RANK(R224,$R$6:$R$505,0)+COUNTIF($R$6:R224,R224)-1)</f>
        <v>247</v>
      </c>
    </row>
    <row r="225" spans="2:19" ht="23.25" customHeight="1" x14ac:dyDescent="0.25">
      <c r="B225" s="159">
        <v>220</v>
      </c>
      <c r="C225" s="160" t="str">
        <f>IFERROR(INDEX($Q$6:$Q$505,MATCH(220,$S$6:$S$505,0)),"")</f>
        <v>Öğr. Gör. Dr. Esin ALPDÜNDAR BULUT</v>
      </c>
      <c r="D225" s="161">
        <f>IF(C225="","",COUNTIFS(Başvuru!$C:$C,C225,Başvuru!$A:$A,"&lt;&gt;"&amp;"",Başvuru!$F:$F,"&lt;&gt;"&amp;""))</f>
        <v>1</v>
      </c>
      <c r="E225" s="159" t="str">
        <f>IF(C225="","-",IF(D225&gt;0,TEXT(D225/(COUNTIFS(Başvuru!$A:$A,"&lt;&gt;",Başvuru!$F:$F,"&lt;&gt;")-1)*100,"0.0")&amp;"%","-"))</f>
        <v>00%</v>
      </c>
      <c r="F225" s="162">
        <f>IF(C225="","",COUNTIFS(Başvuru!$C:$C,C225,Başvuru!$G:$G,"Bireysel Araştırma",Başvuru!$A:$A,"&lt;&gt;"&amp;"",Başvuru!$F:$F,"&lt;&gt;"&amp;""))</f>
        <v>1</v>
      </c>
      <c r="G225" s="162">
        <f>IF(C225="","",COUNTIFS(Başvuru!$C:$C,C225,Başvuru!$G:$G,"Uzmanlık Tezi",Başvuru!$A:$A,"&lt;&gt;"&amp;"",Başvuru!$F:$F,"&lt;&gt;"&amp;""))</f>
        <v>0</v>
      </c>
      <c r="H225" s="162">
        <f>IF(C225="","",COUNTIFS(Başvuru!$C:$C,C225,Başvuru!$G:$G,"Doktora Tezi",Başvuru!$A:$A,"&lt;&gt;"&amp;"",Başvuru!$F:$F,"&lt;&gt;"&amp;""))</f>
        <v>0</v>
      </c>
      <c r="I225" s="162">
        <f>IF(C225="","",COUNTIFS(Başvuru!$C:$C,C225,Başvuru!$G:$G,"Yüksek Lisans Tezi",Başvuru!$A:$A,"&lt;&gt;"&amp;"",Başvuru!$F:$F,"&lt;&gt;"&amp;""))</f>
        <v>0</v>
      </c>
      <c r="J225" s="163">
        <f>IF(C225="","",COUNTIFS(Başvuru!$C:$C,C225,Başvuru!$L:$L,"ONAY",Başvuru!$A:$A,"&lt;&gt;"&amp;"",Başvuru!$F:$F,"&lt;&gt;"&amp;""))</f>
        <v>0</v>
      </c>
      <c r="K225" s="164">
        <f>IF(C225="","",COUNTIFS(Başvuru!$C:$C,C225,Başvuru!$L:$L,"DÜZELTME",Başvuru!$A:$A,"&lt;&gt;"&amp;"",Başvuru!$F:$F,"&lt;&gt;"&amp;""))</f>
        <v>1</v>
      </c>
      <c r="L225" s="165">
        <f>IF(C225="","",COUNTIFS(Başvuru!$C:$C,C225,Başvuru!$L:$L,"KAEK",Başvuru!$A:$A,"&lt;&gt;"&amp;"",Başvuru!$F:$F,"&lt;&gt;"&amp;""))</f>
        <v>0</v>
      </c>
      <c r="M225" s="166">
        <f>IF(C225="","",COUNTIFS(Başvuru!$C:$C,C225,Başvuru!$L:$L,"GÖRÜŞ",Başvuru!$A:$A,"&lt;&gt;"&amp;"",Başvuru!$F:$F,"&lt;&gt;"&amp;""))</f>
        <v>0</v>
      </c>
      <c r="N225" s="167">
        <f>IF(C225="","",COUNTIFS(Başvuru!$C:$C,C225,Başvuru!$L:$L,"RET",Başvuru!$A:$A,"&lt;&gt;"&amp;"",Başvuru!$F:$F,"&lt;&gt;"&amp;""))</f>
        <v>0</v>
      </c>
      <c r="O225" s="168">
        <f>IF(C225="","",COUNTIFS(Başvuru!$C:$C,C225,Başvuru!$L:$L,"KAPSAM DIŞI",Başvuru!$A:$A,"&lt;&gt;"&amp;"",Başvuru!$F:$F,"&lt;&gt;"&amp;""))</f>
        <v>0</v>
      </c>
      <c r="P225" s="169">
        <f>IF(C225="","",COUNTIFS(Başvuru!$C:$C,C225,Başvuru!$L:$L,"GERİ ÇEKİLDİ",Başvuru!$A:$A,"&lt;&gt;"&amp;"",Başvuru!$F:$F,"&lt;&gt;"&amp;""))</f>
        <v>0</v>
      </c>
      <c r="Q225" s="170" t="str">
        <f>IFERROR(INDEX(Başvuru!$C$2:$C$1851,MATCH(220,Başvuru!$AB$2:$AB$1851,0)),"")</f>
        <v>Dr. Öğr. Üyesi Süleyman BULUT</v>
      </c>
      <c r="R225" s="171">
        <f>IF(Q225="","",COUNTIFS(Başvuru!$C:$C,Q225,Başvuru!$A:$A,"&lt;&gt;"&amp;"",Başvuru!$F:$F,"&lt;&gt;"&amp;""))</f>
        <v>1</v>
      </c>
      <c r="S225" s="171">
        <f>IF(R225="","",RANK(R225,$R$6:$R$505,0)+COUNTIF($R$6:R225,R225)-1)</f>
        <v>248</v>
      </c>
    </row>
    <row r="226" spans="2:19" ht="23.25" customHeight="1" x14ac:dyDescent="0.25">
      <c r="B226" s="159">
        <v>221</v>
      </c>
      <c r="C226" s="160" t="str">
        <f>IFERROR(INDEX($Q$6:$Q$505,MATCH(221,$S$6:$S$505,0)),"")</f>
        <v>Doç. Dr. Başak AKÇA</v>
      </c>
      <c r="D226" s="161">
        <f>IF(C226="","",COUNTIFS(Başvuru!$C:$C,C226,Başvuru!$A:$A,"&lt;&gt;"&amp;"",Başvuru!$F:$F,"&lt;&gt;"&amp;""))</f>
        <v>1</v>
      </c>
      <c r="E226" s="159" t="str">
        <f>IF(C226="","-",IF(D226&gt;0,TEXT(D226/(COUNTIFS(Başvuru!$A:$A,"&lt;&gt;",Başvuru!$F:$F,"&lt;&gt;")-1)*100,"0.0")&amp;"%","-"))</f>
        <v>00%</v>
      </c>
      <c r="F226" s="162">
        <f>IF(C226="","",COUNTIFS(Başvuru!$C:$C,C226,Başvuru!$G:$G,"Bireysel Araştırma",Başvuru!$A:$A,"&lt;&gt;"&amp;"",Başvuru!$F:$F,"&lt;&gt;"&amp;""))</f>
        <v>0</v>
      </c>
      <c r="G226" s="162">
        <f>IF(C226="","",COUNTIFS(Başvuru!$C:$C,C226,Başvuru!$G:$G,"Uzmanlık Tezi",Başvuru!$A:$A,"&lt;&gt;"&amp;"",Başvuru!$F:$F,"&lt;&gt;"&amp;""))</f>
        <v>1</v>
      </c>
      <c r="H226" s="162">
        <f>IF(C226="","",COUNTIFS(Başvuru!$C:$C,C226,Başvuru!$G:$G,"Doktora Tezi",Başvuru!$A:$A,"&lt;&gt;"&amp;"",Başvuru!$F:$F,"&lt;&gt;"&amp;""))</f>
        <v>0</v>
      </c>
      <c r="I226" s="162">
        <f>IF(C226="","",COUNTIFS(Başvuru!$C:$C,C226,Başvuru!$G:$G,"Yüksek Lisans Tezi",Başvuru!$A:$A,"&lt;&gt;"&amp;"",Başvuru!$F:$F,"&lt;&gt;"&amp;""))</f>
        <v>0</v>
      </c>
      <c r="J226" s="163">
        <f>IF(C226="","",COUNTIFS(Başvuru!$C:$C,C226,Başvuru!$L:$L,"ONAY",Başvuru!$A:$A,"&lt;&gt;"&amp;"",Başvuru!$F:$F,"&lt;&gt;"&amp;""))</f>
        <v>0</v>
      </c>
      <c r="K226" s="164">
        <f>IF(C226="","",COUNTIFS(Başvuru!$C:$C,C226,Başvuru!$L:$L,"DÜZELTME",Başvuru!$A:$A,"&lt;&gt;"&amp;"",Başvuru!$F:$F,"&lt;&gt;"&amp;""))</f>
        <v>0</v>
      </c>
      <c r="L226" s="165">
        <f>IF(C226="","",COUNTIFS(Başvuru!$C:$C,C226,Başvuru!$L:$L,"KAEK",Başvuru!$A:$A,"&lt;&gt;"&amp;"",Başvuru!$F:$F,"&lt;&gt;"&amp;""))</f>
        <v>0</v>
      </c>
      <c r="M226" s="166">
        <f>IF(C226="","",COUNTIFS(Başvuru!$C:$C,C226,Başvuru!$L:$L,"GÖRÜŞ",Başvuru!$A:$A,"&lt;&gt;"&amp;"",Başvuru!$F:$F,"&lt;&gt;"&amp;""))</f>
        <v>1</v>
      </c>
      <c r="N226" s="167">
        <f>IF(C226="","",COUNTIFS(Başvuru!$C:$C,C226,Başvuru!$L:$L,"RET",Başvuru!$A:$A,"&lt;&gt;"&amp;"",Başvuru!$F:$F,"&lt;&gt;"&amp;""))</f>
        <v>0</v>
      </c>
      <c r="O226" s="168">
        <f>IF(C226="","",COUNTIFS(Başvuru!$C:$C,C226,Başvuru!$L:$L,"KAPSAM DIŞI",Başvuru!$A:$A,"&lt;&gt;"&amp;"",Başvuru!$F:$F,"&lt;&gt;"&amp;""))</f>
        <v>0</v>
      </c>
      <c r="P226" s="169">
        <f>IF(C226="","",COUNTIFS(Başvuru!$C:$C,C226,Başvuru!$L:$L,"GERİ ÇEKİLDİ",Başvuru!$A:$A,"&lt;&gt;"&amp;"",Başvuru!$F:$F,"&lt;&gt;"&amp;""))</f>
        <v>0</v>
      </c>
      <c r="Q226" s="170" t="str">
        <f>IFERROR(INDEX(Başvuru!$C$2:$C$1851,MATCH(221,Başvuru!$AB$2:$AB$1851,0)),"")</f>
        <v>Dr. Öğr. Üyesi Ahmet Gürkan ERDEMİR</v>
      </c>
      <c r="R226" s="171">
        <f>IF(Q226="","",COUNTIFS(Başvuru!$C:$C,Q226,Başvuru!$A:$A,"&lt;&gt;"&amp;"",Başvuru!$F:$F,"&lt;&gt;"&amp;""))</f>
        <v>1</v>
      </c>
      <c r="S226" s="171">
        <f>IF(R226="","",RANK(R226,$R$6:$R$505,0)+COUNTIF($R$6:R226,R226)-1)</f>
        <v>249</v>
      </c>
    </row>
    <row r="227" spans="2:19" ht="23.25" customHeight="1" x14ac:dyDescent="0.25">
      <c r="B227" s="159">
        <v>222</v>
      </c>
      <c r="C227" s="160" t="str">
        <f>IFERROR(INDEX($Q$6:$Q$505,MATCH(222,$S$6:$S$505,0)),"")</f>
        <v>Prof. Dr. Mehmet Cemalettin AKSOY</v>
      </c>
      <c r="D227" s="161">
        <f>IF(C227="","",COUNTIFS(Başvuru!$C:$C,C227,Başvuru!$A:$A,"&lt;&gt;"&amp;"",Başvuru!$F:$F,"&lt;&gt;"&amp;""))</f>
        <v>1</v>
      </c>
      <c r="E227" s="159" t="str">
        <f>IF(C227="","-",IF(D227&gt;0,TEXT(D227/(COUNTIFS(Başvuru!$A:$A,"&lt;&gt;",Başvuru!$F:$F,"&lt;&gt;")-1)*100,"0.0")&amp;"%","-"))</f>
        <v>00%</v>
      </c>
      <c r="F227" s="162">
        <f>IF(C227="","",COUNTIFS(Başvuru!$C:$C,C227,Başvuru!$G:$G,"Bireysel Araştırma",Başvuru!$A:$A,"&lt;&gt;"&amp;"",Başvuru!$F:$F,"&lt;&gt;"&amp;""))</f>
        <v>1</v>
      </c>
      <c r="G227" s="162">
        <f>IF(C227="","",COUNTIFS(Başvuru!$C:$C,C227,Başvuru!$G:$G,"Uzmanlık Tezi",Başvuru!$A:$A,"&lt;&gt;"&amp;"",Başvuru!$F:$F,"&lt;&gt;"&amp;""))</f>
        <v>0</v>
      </c>
      <c r="H227" s="162">
        <f>IF(C227="","",COUNTIFS(Başvuru!$C:$C,C227,Başvuru!$G:$G,"Doktora Tezi",Başvuru!$A:$A,"&lt;&gt;"&amp;"",Başvuru!$F:$F,"&lt;&gt;"&amp;""))</f>
        <v>0</v>
      </c>
      <c r="I227" s="162">
        <f>IF(C227="","",COUNTIFS(Başvuru!$C:$C,C227,Başvuru!$G:$G,"Yüksek Lisans Tezi",Başvuru!$A:$A,"&lt;&gt;"&amp;"",Başvuru!$F:$F,"&lt;&gt;"&amp;""))</f>
        <v>0</v>
      </c>
      <c r="J227" s="163">
        <f>IF(C227="","",COUNTIFS(Başvuru!$C:$C,C227,Başvuru!$L:$L,"ONAY",Başvuru!$A:$A,"&lt;&gt;"&amp;"",Başvuru!$F:$F,"&lt;&gt;"&amp;""))</f>
        <v>0</v>
      </c>
      <c r="K227" s="164">
        <f>IF(C227="","",COUNTIFS(Başvuru!$C:$C,C227,Başvuru!$L:$L,"DÜZELTME",Başvuru!$A:$A,"&lt;&gt;"&amp;"",Başvuru!$F:$F,"&lt;&gt;"&amp;""))</f>
        <v>1</v>
      </c>
      <c r="L227" s="165">
        <f>IF(C227="","",COUNTIFS(Başvuru!$C:$C,C227,Başvuru!$L:$L,"KAEK",Başvuru!$A:$A,"&lt;&gt;"&amp;"",Başvuru!$F:$F,"&lt;&gt;"&amp;""))</f>
        <v>0</v>
      </c>
      <c r="M227" s="166">
        <f>IF(C227="","",COUNTIFS(Başvuru!$C:$C,C227,Başvuru!$L:$L,"GÖRÜŞ",Başvuru!$A:$A,"&lt;&gt;"&amp;"",Başvuru!$F:$F,"&lt;&gt;"&amp;""))</f>
        <v>0</v>
      </c>
      <c r="N227" s="167">
        <f>IF(C227="","",COUNTIFS(Başvuru!$C:$C,C227,Başvuru!$L:$L,"RET",Başvuru!$A:$A,"&lt;&gt;"&amp;"",Başvuru!$F:$F,"&lt;&gt;"&amp;""))</f>
        <v>0</v>
      </c>
      <c r="O227" s="168">
        <f>IF(C227="","",COUNTIFS(Başvuru!$C:$C,C227,Başvuru!$L:$L,"KAPSAM DIŞI",Başvuru!$A:$A,"&lt;&gt;"&amp;"",Başvuru!$F:$F,"&lt;&gt;"&amp;""))</f>
        <v>0</v>
      </c>
      <c r="P227" s="169">
        <f>IF(C227="","",COUNTIFS(Başvuru!$C:$C,C227,Başvuru!$L:$L,"GERİ ÇEKİLDİ",Başvuru!$A:$A,"&lt;&gt;"&amp;"",Başvuru!$F:$F,"&lt;&gt;"&amp;""))</f>
        <v>0</v>
      </c>
      <c r="Q227" s="170" t="str">
        <f>IFERROR(INDEX(Başvuru!$C$2:$C$1851,MATCH(222,Başvuru!$AB$2:$AB$1851,0)),"")</f>
        <v>Doç. Dr. Rahşan GÖÇMEN</v>
      </c>
      <c r="R227" s="171">
        <f>IF(Q227="","",COUNTIFS(Başvuru!$C:$C,Q227,Başvuru!$A:$A,"&lt;&gt;"&amp;"",Başvuru!$F:$F,"&lt;&gt;"&amp;""))</f>
        <v>1</v>
      </c>
      <c r="S227" s="171">
        <f>IF(R227="","",RANK(R227,$R$6:$R$505,0)+COUNTIF($R$6:R227,R227)-1)</f>
        <v>250</v>
      </c>
    </row>
    <row r="228" spans="2:19" ht="23.25" customHeight="1" x14ac:dyDescent="0.25">
      <c r="B228" s="159">
        <v>223</v>
      </c>
      <c r="C228" s="160" t="str">
        <f>IFERROR(INDEX($Q$6:$Q$505,MATCH(223,$S$6:$S$505,0)),"")</f>
        <v>Doç. Dr. Emel Tuğba ATAMAN DURUEL</v>
      </c>
      <c r="D228" s="161">
        <f>IF(C228="","",COUNTIFS(Başvuru!$C:$C,C228,Başvuru!$A:$A,"&lt;&gt;"&amp;"",Başvuru!$F:$F,"&lt;&gt;"&amp;""))</f>
        <v>1</v>
      </c>
      <c r="E228" s="159" t="str">
        <f>IF(C228="","-",IF(D228&gt;0,TEXT(D228/(COUNTIFS(Başvuru!$A:$A,"&lt;&gt;",Başvuru!$F:$F,"&lt;&gt;")-1)*100,"0.0")&amp;"%","-"))</f>
        <v>00%</v>
      </c>
      <c r="F228" s="162">
        <f>IF(C228="","",COUNTIFS(Başvuru!$C:$C,C228,Başvuru!$G:$G,"Bireysel Araştırma",Başvuru!$A:$A,"&lt;&gt;"&amp;"",Başvuru!$F:$F,"&lt;&gt;"&amp;""))</f>
        <v>0</v>
      </c>
      <c r="G228" s="162">
        <f>IF(C228="","",COUNTIFS(Başvuru!$C:$C,C228,Başvuru!$G:$G,"Uzmanlık Tezi",Başvuru!$A:$A,"&lt;&gt;"&amp;"",Başvuru!$F:$F,"&lt;&gt;"&amp;""))</f>
        <v>1</v>
      </c>
      <c r="H228" s="162">
        <f>IF(C228="","",COUNTIFS(Başvuru!$C:$C,C228,Başvuru!$G:$G,"Doktora Tezi",Başvuru!$A:$A,"&lt;&gt;"&amp;"",Başvuru!$F:$F,"&lt;&gt;"&amp;""))</f>
        <v>0</v>
      </c>
      <c r="I228" s="162">
        <f>IF(C228="","",COUNTIFS(Başvuru!$C:$C,C228,Başvuru!$G:$G,"Yüksek Lisans Tezi",Başvuru!$A:$A,"&lt;&gt;"&amp;"",Başvuru!$F:$F,"&lt;&gt;"&amp;""))</f>
        <v>0</v>
      </c>
      <c r="J228" s="163">
        <f>IF(C228="","",COUNTIFS(Başvuru!$C:$C,C228,Başvuru!$L:$L,"ONAY",Başvuru!$A:$A,"&lt;&gt;"&amp;"",Başvuru!$F:$F,"&lt;&gt;"&amp;""))</f>
        <v>0</v>
      </c>
      <c r="K228" s="164">
        <f>IF(C228="","",COUNTIFS(Başvuru!$C:$C,C228,Başvuru!$L:$L,"DÜZELTME",Başvuru!$A:$A,"&lt;&gt;"&amp;"",Başvuru!$F:$F,"&lt;&gt;"&amp;""))</f>
        <v>1</v>
      </c>
      <c r="L228" s="165">
        <f>IF(C228="","",COUNTIFS(Başvuru!$C:$C,C228,Başvuru!$L:$L,"KAEK",Başvuru!$A:$A,"&lt;&gt;"&amp;"",Başvuru!$F:$F,"&lt;&gt;"&amp;""))</f>
        <v>0</v>
      </c>
      <c r="M228" s="166">
        <f>IF(C228="","",COUNTIFS(Başvuru!$C:$C,C228,Başvuru!$L:$L,"GÖRÜŞ",Başvuru!$A:$A,"&lt;&gt;"&amp;"",Başvuru!$F:$F,"&lt;&gt;"&amp;""))</f>
        <v>0</v>
      </c>
      <c r="N228" s="167">
        <f>IF(C228="","",COUNTIFS(Başvuru!$C:$C,C228,Başvuru!$L:$L,"RET",Başvuru!$A:$A,"&lt;&gt;"&amp;"",Başvuru!$F:$F,"&lt;&gt;"&amp;""))</f>
        <v>0</v>
      </c>
      <c r="O228" s="168">
        <f>IF(C228="","",COUNTIFS(Başvuru!$C:$C,C228,Başvuru!$L:$L,"KAPSAM DIŞI",Başvuru!$A:$A,"&lt;&gt;"&amp;"",Başvuru!$F:$F,"&lt;&gt;"&amp;""))</f>
        <v>0</v>
      </c>
      <c r="P228" s="169">
        <f>IF(C228="","",COUNTIFS(Başvuru!$C:$C,C228,Başvuru!$L:$L,"GERİ ÇEKİLDİ",Başvuru!$A:$A,"&lt;&gt;"&amp;"",Başvuru!$F:$F,"&lt;&gt;"&amp;""))</f>
        <v>0</v>
      </c>
      <c r="Q228" s="170" t="str">
        <f>IFERROR(INDEX(Başvuru!$C$2:$C$1851,MATCH(223,Başvuru!$AB$2:$AB$1851,0)),"")</f>
        <v>Prof. Dr. Pergin ATİLLA</v>
      </c>
      <c r="R228" s="171">
        <f>IF(Q228="","",COUNTIFS(Başvuru!$C:$C,Q228,Başvuru!$A:$A,"&lt;&gt;"&amp;"",Başvuru!$F:$F,"&lt;&gt;"&amp;""))</f>
        <v>1</v>
      </c>
      <c r="S228" s="171">
        <f>IF(R228="","",RANK(R228,$R$6:$R$505,0)+COUNTIF($R$6:R228,R228)-1)</f>
        <v>251</v>
      </c>
    </row>
    <row r="229" spans="2:19" ht="23.25" customHeight="1" x14ac:dyDescent="0.25">
      <c r="B229" s="159">
        <v>224</v>
      </c>
      <c r="C229" s="160" t="str">
        <f>IFERROR(INDEX($Q$6:$Q$505,MATCH(224,$S$6:$S$505,0)),"")</f>
        <v>Dr. Öğr. Üyesi Sefa Burak ÇAM</v>
      </c>
      <c r="D229" s="161">
        <f>IF(C229="","",COUNTIFS(Başvuru!$C:$C,C229,Başvuru!$A:$A,"&lt;&gt;"&amp;"",Başvuru!$F:$F,"&lt;&gt;"&amp;""))</f>
        <v>1</v>
      </c>
      <c r="E229" s="159" t="str">
        <f>IF(C229="","-",IF(D229&gt;0,TEXT(D229/(COUNTIFS(Başvuru!$A:$A,"&lt;&gt;",Başvuru!$F:$F,"&lt;&gt;")-1)*100,"0.0")&amp;"%","-"))</f>
        <v>00%</v>
      </c>
      <c r="F229" s="162">
        <f>IF(C229="","",COUNTIFS(Başvuru!$C:$C,C229,Başvuru!$G:$G,"Bireysel Araştırma",Başvuru!$A:$A,"&lt;&gt;"&amp;"",Başvuru!$F:$F,"&lt;&gt;"&amp;""))</f>
        <v>0</v>
      </c>
      <c r="G229" s="162">
        <f>IF(C229="","",COUNTIFS(Başvuru!$C:$C,C229,Başvuru!$G:$G,"Uzmanlık Tezi",Başvuru!$A:$A,"&lt;&gt;"&amp;"",Başvuru!$F:$F,"&lt;&gt;"&amp;""))</f>
        <v>1</v>
      </c>
      <c r="H229" s="162">
        <f>IF(C229="","",COUNTIFS(Başvuru!$C:$C,C229,Başvuru!$G:$G,"Doktora Tezi",Başvuru!$A:$A,"&lt;&gt;"&amp;"",Başvuru!$F:$F,"&lt;&gt;"&amp;""))</f>
        <v>0</v>
      </c>
      <c r="I229" s="162">
        <f>IF(C229="","",COUNTIFS(Başvuru!$C:$C,C229,Başvuru!$G:$G,"Yüksek Lisans Tezi",Başvuru!$A:$A,"&lt;&gt;"&amp;"",Başvuru!$F:$F,"&lt;&gt;"&amp;""))</f>
        <v>0</v>
      </c>
      <c r="J229" s="163">
        <f>IF(C229="","",COUNTIFS(Başvuru!$C:$C,C229,Başvuru!$L:$L,"ONAY",Başvuru!$A:$A,"&lt;&gt;"&amp;"",Başvuru!$F:$F,"&lt;&gt;"&amp;""))</f>
        <v>0</v>
      </c>
      <c r="K229" s="164">
        <f>IF(C229="","",COUNTIFS(Başvuru!$C:$C,C229,Başvuru!$L:$L,"DÜZELTME",Başvuru!$A:$A,"&lt;&gt;"&amp;"",Başvuru!$F:$F,"&lt;&gt;"&amp;""))</f>
        <v>0</v>
      </c>
      <c r="L229" s="165">
        <f>IF(C229="","",COUNTIFS(Başvuru!$C:$C,C229,Başvuru!$L:$L,"KAEK",Başvuru!$A:$A,"&lt;&gt;"&amp;"",Başvuru!$F:$F,"&lt;&gt;"&amp;""))</f>
        <v>0</v>
      </c>
      <c r="M229" s="166">
        <f>IF(C229="","",COUNTIFS(Başvuru!$C:$C,C229,Başvuru!$L:$L,"GÖRÜŞ",Başvuru!$A:$A,"&lt;&gt;"&amp;"",Başvuru!$F:$F,"&lt;&gt;"&amp;""))</f>
        <v>0</v>
      </c>
      <c r="N229" s="167">
        <f>IF(C229="","",COUNTIFS(Başvuru!$C:$C,C229,Başvuru!$L:$L,"RET",Başvuru!$A:$A,"&lt;&gt;"&amp;"",Başvuru!$F:$F,"&lt;&gt;"&amp;""))</f>
        <v>0</v>
      </c>
      <c r="O229" s="168">
        <f>IF(C229="","",COUNTIFS(Başvuru!$C:$C,C229,Başvuru!$L:$L,"KAPSAM DIŞI",Başvuru!$A:$A,"&lt;&gt;"&amp;"",Başvuru!$F:$F,"&lt;&gt;"&amp;""))</f>
        <v>1</v>
      </c>
      <c r="P229" s="169">
        <f>IF(C229="","",COUNTIFS(Başvuru!$C:$C,C229,Başvuru!$L:$L,"GERİ ÇEKİLDİ",Başvuru!$A:$A,"&lt;&gt;"&amp;"",Başvuru!$F:$F,"&lt;&gt;"&amp;""))</f>
        <v>0</v>
      </c>
      <c r="Q229" s="170" t="str">
        <f>IFERROR(INDEX(Başvuru!$C$2:$C$1851,MATCH(224,Başvuru!$AB$2:$AB$1851,0)),"")</f>
        <v>Prof. Dr. Abdullah Ruhi SOYLU</v>
      </c>
      <c r="R229" s="171">
        <f>IF(Q229="","",COUNTIFS(Başvuru!$C:$C,Q229,Başvuru!$A:$A,"&lt;&gt;"&amp;"",Başvuru!$F:$F,"&lt;&gt;"&amp;""))</f>
        <v>1</v>
      </c>
      <c r="S229" s="171">
        <f>IF(R229="","",RANK(R229,$R$6:$R$505,0)+COUNTIF($R$6:R229,R229)-1)</f>
        <v>252</v>
      </c>
    </row>
    <row r="230" spans="2:19" ht="23.25" customHeight="1" x14ac:dyDescent="0.25">
      <c r="B230" s="159">
        <v>225</v>
      </c>
      <c r="C230" s="160" t="str">
        <f>IFERROR(INDEX($Q$6:$Q$505,MATCH(225,$S$6:$S$505,0)),"")</f>
        <v>Doç. Dr. Fatma Gonca ELDEM</v>
      </c>
      <c r="D230" s="161">
        <f>IF(C230="","",COUNTIFS(Başvuru!$C:$C,C230,Başvuru!$A:$A,"&lt;&gt;"&amp;"",Başvuru!$F:$F,"&lt;&gt;"&amp;""))</f>
        <v>1</v>
      </c>
      <c r="E230" s="159" t="str">
        <f>IF(C230="","-",IF(D230&gt;0,TEXT(D230/(COUNTIFS(Başvuru!$A:$A,"&lt;&gt;",Başvuru!$F:$F,"&lt;&gt;")-1)*100,"0.0")&amp;"%","-"))</f>
        <v>00%</v>
      </c>
      <c r="F230" s="162">
        <f>IF(C230="","",COUNTIFS(Başvuru!$C:$C,C230,Başvuru!$G:$G,"Bireysel Araştırma",Başvuru!$A:$A,"&lt;&gt;"&amp;"",Başvuru!$F:$F,"&lt;&gt;"&amp;""))</f>
        <v>1</v>
      </c>
      <c r="G230" s="162">
        <f>IF(C230="","",COUNTIFS(Başvuru!$C:$C,C230,Başvuru!$G:$G,"Uzmanlık Tezi",Başvuru!$A:$A,"&lt;&gt;"&amp;"",Başvuru!$F:$F,"&lt;&gt;"&amp;""))</f>
        <v>0</v>
      </c>
      <c r="H230" s="162">
        <f>IF(C230="","",COUNTIFS(Başvuru!$C:$C,C230,Başvuru!$G:$G,"Doktora Tezi",Başvuru!$A:$A,"&lt;&gt;"&amp;"",Başvuru!$F:$F,"&lt;&gt;"&amp;""))</f>
        <v>0</v>
      </c>
      <c r="I230" s="162">
        <f>IF(C230="","",COUNTIFS(Başvuru!$C:$C,C230,Başvuru!$G:$G,"Yüksek Lisans Tezi",Başvuru!$A:$A,"&lt;&gt;"&amp;"",Başvuru!$F:$F,"&lt;&gt;"&amp;""))</f>
        <v>0</v>
      </c>
      <c r="J230" s="163">
        <f>IF(C230="","",COUNTIFS(Başvuru!$C:$C,C230,Başvuru!$L:$L,"ONAY",Başvuru!$A:$A,"&lt;&gt;"&amp;"",Başvuru!$F:$F,"&lt;&gt;"&amp;""))</f>
        <v>0</v>
      </c>
      <c r="K230" s="164">
        <f>IF(C230="","",COUNTIFS(Başvuru!$C:$C,C230,Başvuru!$L:$L,"DÜZELTME",Başvuru!$A:$A,"&lt;&gt;"&amp;"",Başvuru!$F:$F,"&lt;&gt;"&amp;""))</f>
        <v>1</v>
      </c>
      <c r="L230" s="165">
        <f>IF(C230="","",COUNTIFS(Başvuru!$C:$C,C230,Başvuru!$L:$L,"KAEK",Başvuru!$A:$A,"&lt;&gt;"&amp;"",Başvuru!$F:$F,"&lt;&gt;"&amp;""))</f>
        <v>0</v>
      </c>
      <c r="M230" s="166">
        <f>IF(C230="","",COUNTIFS(Başvuru!$C:$C,C230,Başvuru!$L:$L,"GÖRÜŞ",Başvuru!$A:$A,"&lt;&gt;"&amp;"",Başvuru!$F:$F,"&lt;&gt;"&amp;""))</f>
        <v>0</v>
      </c>
      <c r="N230" s="167">
        <f>IF(C230="","",COUNTIFS(Başvuru!$C:$C,C230,Başvuru!$L:$L,"RET",Başvuru!$A:$A,"&lt;&gt;"&amp;"",Başvuru!$F:$F,"&lt;&gt;"&amp;""))</f>
        <v>0</v>
      </c>
      <c r="O230" s="168">
        <f>IF(C230="","",COUNTIFS(Başvuru!$C:$C,C230,Başvuru!$L:$L,"KAPSAM DIŞI",Başvuru!$A:$A,"&lt;&gt;"&amp;"",Başvuru!$F:$F,"&lt;&gt;"&amp;""))</f>
        <v>0</v>
      </c>
      <c r="P230" s="169">
        <f>IF(C230="","",COUNTIFS(Başvuru!$C:$C,C230,Başvuru!$L:$L,"GERİ ÇEKİLDİ",Başvuru!$A:$A,"&lt;&gt;"&amp;"",Başvuru!$F:$F,"&lt;&gt;"&amp;""))</f>
        <v>0</v>
      </c>
      <c r="Q230" s="170" t="str">
        <f>IFERROR(INDEX(Başvuru!$C$2:$C$1851,MATCH(225,Başvuru!$AB$2:$AB$1851,0)),"")</f>
        <v>Doç. Dr. Eda Ezgi ASLANTAŞ</v>
      </c>
      <c r="R230" s="171">
        <f>IF(Q230="","",COUNTIFS(Başvuru!$C:$C,Q230,Başvuru!$A:$A,"&lt;&gt;"&amp;"",Başvuru!$F:$F,"&lt;&gt;"&amp;""))</f>
        <v>2</v>
      </c>
      <c r="S230" s="171">
        <f>IF(R230="","",RANK(R230,$R$6:$R$505,0)+COUNTIF($R$6:R230,R230)-1)</f>
        <v>135</v>
      </c>
    </row>
    <row r="231" spans="2:19" ht="23.25" customHeight="1" x14ac:dyDescent="0.25">
      <c r="B231" s="159">
        <v>226</v>
      </c>
      <c r="C231" s="160" t="str">
        <f>IFERROR(INDEX($Q$6:$Q$505,MATCH(226,$S$6:$S$505,0)),"")</f>
        <v>Prof. Dr. Zafer Selçuk TUNCER</v>
      </c>
      <c r="D231" s="161">
        <f>IF(C231="","",COUNTIFS(Başvuru!$C:$C,C231,Başvuru!$A:$A,"&lt;&gt;"&amp;"",Başvuru!$F:$F,"&lt;&gt;"&amp;""))</f>
        <v>1</v>
      </c>
      <c r="E231" s="159" t="str">
        <f>IF(C231="","-",IF(D231&gt;0,TEXT(D231/(COUNTIFS(Başvuru!$A:$A,"&lt;&gt;",Başvuru!$F:$F,"&lt;&gt;")-1)*100,"0.0")&amp;"%","-"))</f>
        <v>00%</v>
      </c>
      <c r="F231" s="162">
        <f>IF(C231="","",COUNTIFS(Başvuru!$C:$C,C231,Başvuru!$G:$G,"Bireysel Araştırma",Başvuru!$A:$A,"&lt;&gt;"&amp;"",Başvuru!$F:$F,"&lt;&gt;"&amp;""))</f>
        <v>1</v>
      </c>
      <c r="G231" s="162">
        <f>IF(C231="","",COUNTIFS(Başvuru!$C:$C,C231,Başvuru!$G:$G,"Uzmanlık Tezi",Başvuru!$A:$A,"&lt;&gt;"&amp;"",Başvuru!$F:$F,"&lt;&gt;"&amp;""))</f>
        <v>0</v>
      </c>
      <c r="H231" s="162">
        <f>IF(C231="","",COUNTIFS(Başvuru!$C:$C,C231,Başvuru!$G:$G,"Doktora Tezi",Başvuru!$A:$A,"&lt;&gt;"&amp;"",Başvuru!$F:$F,"&lt;&gt;"&amp;""))</f>
        <v>0</v>
      </c>
      <c r="I231" s="162">
        <f>IF(C231="","",COUNTIFS(Başvuru!$C:$C,C231,Başvuru!$G:$G,"Yüksek Lisans Tezi",Başvuru!$A:$A,"&lt;&gt;"&amp;"",Başvuru!$F:$F,"&lt;&gt;"&amp;""))</f>
        <v>0</v>
      </c>
      <c r="J231" s="163">
        <f>IF(C231="","",COUNTIFS(Başvuru!$C:$C,C231,Başvuru!$L:$L,"ONAY",Başvuru!$A:$A,"&lt;&gt;"&amp;"",Başvuru!$F:$F,"&lt;&gt;"&amp;""))</f>
        <v>0</v>
      </c>
      <c r="K231" s="164">
        <f>IF(C231="","",COUNTIFS(Başvuru!$C:$C,C231,Başvuru!$L:$L,"DÜZELTME",Başvuru!$A:$A,"&lt;&gt;"&amp;"",Başvuru!$F:$F,"&lt;&gt;"&amp;""))</f>
        <v>0</v>
      </c>
      <c r="L231" s="165">
        <f>IF(C231="","",COUNTIFS(Başvuru!$C:$C,C231,Başvuru!$L:$L,"KAEK",Başvuru!$A:$A,"&lt;&gt;"&amp;"",Başvuru!$F:$F,"&lt;&gt;"&amp;""))</f>
        <v>0</v>
      </c>
      <c r="M231" s="166">
        <f>IF(C231="","",COUNTIFS(Başvuru!$C:$C,C231,Başvuru!$L:$L,"GÖRÜŞ",Başvuru!$A:$A,"&lt;&gt;"&amp;"",Başvuru!$F:$F,"&lt;&gt;"&amp;""))</f>
        <v>0</v>
      </c>
      <c r="N231" s="167">
        <f>IF(C231="","",COUNTIFS(Başvuru!$C:$C,C231,Başvuru!$L:$L,"RET",Başvuru!$A:$A,"&lt;&gt;"&amp;"",Başvuru!$F:$F,"&lt;&gt;"&amp;""))</f>
        <v>1</v>
      </c>
      <c r="O231" s="168">
        <f>IF(C231="","",COUNTIFS(Başvuru!$C:$C,C231,Başvuru!$L:$L,"KAPSAM DIŞI",Başvuru!$A:$A,"&lt;&gt;"&amp;"",Başvuru!$F:$F,"&lt;&gt;"&amp;""))</f>
        <v>0</v>
      </c>
      <c r="P231" s="169">
        <f>IF(C231="","",COUNTIFS(Başvuru!$C:$C,C231,Başvuru!$L:$L,"GERİ ÇEKİLDİ",Başvuru!$A:$A,"&lt;&gt;"&amp;"",Başvuru!$F:$F,"&lt;&gt;"&amp;""))</f>
        <v>0</v>
      </c>
      <c r="Q231" s="170" t="str">
        <f>IFERROR(INDEX(Başvuru!$C$2:$C$1851,MATCH(226,Başvuru!$AB$2:$AB$1851,0)),"")</f>
        <v>Öğr. Gör. Dt. Diler DENİZ</v>
      </c>
      <c r="R231" s="171">
        <f>IF(Q231="","",COUNTIFS(Başvuru!$C:$C,Q231,Başvuru!$A:$A,"&lt;&gt;"&amp;"",Başvuru!$F:$F,"&lt;&gt;"&amp;""))</f>
        <v>1</v>
      </c>
      <c r="S231" s="171">
        <f>IF(R231="","",RANK(R231,$R$6:$R$505,0)+COUNTIF($R$6:R231,R231)-1)</f>
        <v>253</v>
      </c>
    </row>
    <row r="232" spans="2:19" ht="23.25" customHeight="1" x14ac:dyDescent="0.25">
      <c r="B232" s="159">
        <v>227</v>
      </c>
      <c r="C232" s="160" t="str">
        <f>IFERROR(INDEX($Q$6:$Q$505,MATCH(227,$S$6:$S$505,0)),"")</f>
        <v>Prof. Dr. Fatma Visal OKUR</v>
      </c>
      <c r="D232" s="161">
        <f>IF(C232="","",COUNTIFS(Başvuru!$C:$C,C232,Başvuru!$A:$A,"&lt;&gt;"&amp;"",Başvuru!$F:$F,"&lt;&gt;"&amp;""))</f>
        <v>1</v>
      </c>
      <c r="E232" s="159" t="str">
        <f>IF(C232="","-",IF(D232&gt;0,TEXT(D232/(COUNTIFS(Başvuru!$A:$A,"&lt;&gt;",Başvuru!$F:$F,"&lt;&gt;")-1)*100,"0.0")&amp;"%","-"))</f>
        <v>00%</v>
      </c>
      <c r="F232" s="162">
        <f>IF(C232="","",COUNTIFS(Başvuru!$C:$C,C232,Başvuru!$G:$G,"Bireysel Araştırma",Başvuru!$A:$A,"&lt;&gt;"&amp;"",Başvuru!$F:$F,"&lt;&gt;"&amp;""))</f>
        <v>1</v>
      </c>
      <c r="G232" s="162">
        <f>IF(C232="","",COUNTIFS(Başvuru!$C:$C,C232,Başvuru!$G:$G,"Uzmanlık Tezi",Başvuru!$A:$A,"&lt;&gt;"&amp;"",Başvuru!$F:$F,"&lt;&gt;"&amp;""))</f>
        <v>0</v>
      </c>
      <c r="H232" s="162">
        <f>IF(C232="","",COUNTIFS(Başvuru!$C:$C,C232,Başvuru!$G:$G,"Doktora Tezi",Başvuru!$A:$A,"&lt;&gt;"&amp;"",Başvuru!$F:$F,"&lt;&gt;"&amp;""))</f>
        <v>0</v>
      </c>
      <c r="I232" s="162">
        <f>IF(C232="","",COUNTIFS(Başvuru!$C:$C,C232,Başvuru!$G:$G,"Yüksek Lisans Tezi",Başvuru!$A:$A,"&lt;&gt;"&amp;"",Başvuru!$F:$F,"&lt;&gt;"&amp;""))</f>
        <v>0</v>
      </c>
      <c r="J232" s="163">
        <f>IF(C232="","",COUNTIFS(Başvuru!$C:$C,C232,Başvuru!$L:$L,"ONAY",Başvuru!$A:$A,"&lt;&gt;"&amp;"",Başvuru!$F:$F,"&lt;&gt;"&amp;""))</f>
        <v>0</v>
      </c>
      <c r="K232" s="164">
        <f>IF(C232="","",COUNTIFS(Başvuru!$C:$C,C232,Başvuru!$L:$L,"DÜZELTME",Başvuru!$A:$A,"&lt;&gt;"&amp;"",Başvuru!$F:$F,"&lt;&gt;"&amp;""))</f>
        <v>1</v>
      </c>
      <c r="L232" s="165">
        <f>IF(C232="","",COUNTIFS(Başvuru!$C:$C,C232,Başvuru!$L:$L,"KAEK",Başvuru!$A:$A,"&lt;&gt;"&amp;"",Başvuru!$F:$F,"&lt;&gt;"&amp;""))</f>
        <v>0</v>
      </c>
      <c r="M232" s="166">
        <f>IF(C232="","",COUNTIFS(Başvuru!$C:$C,C232,Başvuru!$L:$L,"GÖRÜŞ",Başvuru!$A:$A,"&lt;&gt;"&amp;"",Başvuru!$F:$F,"&lt;&gt;"&amp;""))</f>
        <v>0</v>
      </c>
      <c r="N232" s="167">
        <f>IF(C232="","",COUNTIFS(Başvuru!$C:$C,C232,Başvuru!$L:$L,"RET",Başvuru!$A:$A,"&lt;&gt;"&amp;"",Başvuru!$F:$F,"&lt;&gt;"&amp;""))</f>
        <v>0</v>
      </c>
      <c r="O232" s="168">
        <f>IF(C232="","",COUNTIFS(Başvuru!$C:$C,C232,Başvuru!$L:$L,"KAPSAM DIŞI",Başvuru!$A:$A,"&lt;&gt;"&amp;"",Başvuru!$F:$F,"&lt;&gt;"&amp;""))</f>
        <v>0</v>
      </c>
      <c r="P232" s="169">
        <f>IF(C232="","",COUNTIFS(Başvuru!$C:$C,C232,Başvuru!$L:$L,"GERİ ÇEKİLDİ",Başvuru!$A:$A,"&lt;&gt;"&amp;"",Başvuru!$F:$F,"&lt;&gt;"&amp;""))</f>
        <v>0</v>
      </c>
      <c r="Q232" s="170" t="str">
        <f>IFERROR(INDEX(Başvuru!$C$2:$C$1851,MATCH(227,Başvuru!$AB$2:$AB$1851,0)),"")</f>
        <v>Prof. Dr. İncilay LAY</v>
      </c>
      <c r="R232" s="171">
        <f>IF(Q232="","",COUNTIFS(Başvuru!$C:$C,Q232,Başvuru!$A:$A,"&lt;&gt;"&amp;"",Başvuru!$F:$F,"&lt;&gt;"&amp;""))</f>
        <v>1</v>
      </c>
      <c r="S232" s="171">
        <f>IF(R232="","",RANK(R232,$R$6:$R$505,0)+COUNTIF($R$6:R232,R232)-1)</f>
        <v>254</v>
      </c>
    </row>
    <row r="233" spans="2:19" ht="23.25" customHeight="1" x14ac:dyDescent="0.25">
      <c r="B233" s="159">
        <v>228</v>
      </c>
      <c r="C233" s="160" t="str">
        <f>IFERROR(INDEX($Q$6:$Q$505,MATCH(228,$S$6:$S$505,0)),"")</f>
        <v>Arş. Gör. Dr. Tuğçe TAŞKINDERE ABBASOĞLU</v>
      </c>
      <c r="D233" s="161">
        <f>IF(C233="","",COUNTIFS(Başvuru!$C:$C,C233,Başvuru!$A:$A,"&lt;&gt;"&amp;"",Başvuru!$F:$F,"&lt;&gt;"&amp;""))</f>
        <v>1</v>
      </c>
      <c r="E233" s="159" t="str">
        <f>IF(C233="","-",IF(D233&gt;0,TEXT(D233/(COUNTIFS(Başvuru!$A:$A,"&lt;&gt;",Başvuru!$F:$F,"&lt;&gt;")-1)*100,"0.0")&amp;"%","-"))</f>
        <v>00%</v>
      </c>
      <c r="F233" s="162">
        <f>IF(C233="","",COUNTIFS(Başvuru!$C:$C,C233,Başvuru!$G:$G,"Bireysel Araştırma",Başvuru!$A:$A,"&lt;&gt;"&amp;"",Başvuru!$F:$F,"&lt;&gt;"&amp;""))</f>
        <v>1</v>
      </c>
      <c r="G233" s="162">
        <f>IF(C233="","",COUNTIFS(Başvuru!$C:$C,C233,Başvuru!$G:$G,"Uzmanlık Tezi",Başvuru!$A:$A,"&lt;&gt;"&amp;"",Başvuru!$F:$F,"&lt;&gt;"&amp;""))</f>
        <v>0</v>
      </c>
      <c r="H233" s="162">
        <f>IF(C233="","",COUNTIFS(Başvuru!$C:$C,C233,Başvuru!$G:$G,"Doktora Tezi",Başvuru!$A:$A,"&lt;&gt;"&amp;"",Başvuru!$F:$F,"&lt;&gt;"&amp;""))</f>
        <v>0</v>
      </c>
      <c r="I233" s="162">
        <f>IF(C233="","",COUNTIFS(Başvuru!$C:$C,C233,Başvuru!$G:$G,"Yüksek Lisans Tezi",Başvuru!$A:$A,"&lt;&gt;"&amp;"",Başvuru!$F:$F,"&lt;&gt;"&amp;""))</f>
        <v>0</v>
      </c>
      <c r="J233" s="163">
        <f>IF(C233="","",COUNTIFS(Başvuru!$C:$C,C233,Başvuru!$L:$L,"ONAY",Başvuru!$A:$A,"&lt;&gt;"&amp;"",Başvuru!$F:$F,"&lt;&gt;"&amp;""))</f>
        <v>0</v>
      </c>
      <c r="K233" s="164">
        <f>IF(C233="","",COUNTIFS(Başvuru!$C:$C,C233,Başvuru!$L:$L,"DÜZELTME",Başvuru!$A:$A,"&lt;&gt;"&amp;"",Başvuru!$F:$F,"&lt;&gt;"&amp;""))</f>
        <v>1</v>
      </c>
      <c r="L233" s="165">
        <f>IF(C233="","",COUNTIFS(Başvuru!$C:$C,C233,Başvuru!$L:$L,"KAEK",Başvuru!$A:$A,"&lt;&gt;"&amp;"",Başvuru!$F:$F,"&lt;&gt;"&amp;""))</f>
        <v>0</v>
      </c>
      <c r="M233" s="166">
        <f>IF(C233="","",COUNTIFS(Başvuru!$C:$C,C233,Başvuru!$L:$L,"GÖRÜŞ",Başvuru!$A:$A,"&lt;&gt;"&amp;"",Başvuru!$F:$F,"&lt;&gt;"&amp;""))</f>
        <v>0</v>
      </c>
      <c r="N233" s="167">
        <f>IF(C233="","",COUNTIFS(Başvuru!$C:$C,C233,Başvuru!$L:$L,"RET",Başvuru!$A:$A,"&lt;&gt;"&amp;"",Başvuru!$F:$F,"&lt;&gt;"&amp;""))</f>
        <v>0</v>
      </c>
      <c r="O233" s="168">
        <f>IF(C233="","",COUNTIFS(Başvuru!$C:$C,C233,Başvuru!$L:$L,"KAPSAM DIŞI",Başvuru!$A:$A,"&lt;&gt;"&amp;"",Başvuru!$F:$F,"&lt;&gt;"&amp;""))</f>
        <v>0</v>
      </c>
      <c r="P233" s="169">
        <f>IF(C233="","",COUNTIFS(Başvuru!$C:$C,C233,Başvuru!$L:$L,"GERİ ÇEKİLDİ",Başvuru!$A:$A,"&lt;&gt;"&amp;"",Başvuru!$F:$F,"&lt;&gt;"&amp;""))</f>
        <v>0</v>
      </c>
      <c r="Q233" s="170" t="str">
        <f>IFERROR(INDEX(Başvuru!$C$2:$C$1851,MATCH(228,Başvuru!$AB$2:$AB$1851,0)),"")</f>
        <v>Doç. Dr. Şükran Gülin EVİNÇ</v>
      </c>
      <c r="R233" s="171">
        <f>IF(Q233="","",COUNTIFS(Başvuru!$C:$C,Q233,Başvuru!$A:$A,"&lt;&gt;"&amp;"",Başvuru!$F:$F,"&lt;&gt;"&amp;""))</f>
        <v>1</v>
      </c>
      <c r="S233" s="171">
        <f>IF(R233="","",RANK(R233,$R$6:$R$505,0)+COUNTIF($R$6:R233,R233)-1)</f>
        <v>255</v>
      </c>
    </row>
    <row r="234" spans="2:19" ht="23.25" customHeight="1" x14ac:dyDescent="0.25">
      <c r="B234" s="159">
        <v>229</v>
      </c>
      <c r="C234" s="160" t="str">
        <f>IFERROR(INDEX($Q$6:$Q$505,MATCH(229,$S$6:$S$505,0)),"")</f>
        <v>Prof. Dr. Emel UZUNOĞLU ÖZYÜREK</v>
      </c>
      <c r="D234" s="161">
        <f>IF(C234="","",COUNTIFS(Başvuru!$C:$C,C234,Başvuru!$A:$A,"&lt;&gt;"&amp;"",Başvuru!$F:$F,"&lt;&gt;"&amp;""))</f>
        <v>1</v>
      </c>
      <c r="E234" s="159" t="str">
        <f>IF(C234="","-",IF(D234&gt;0,TEXT(D234/(COUNTIFS(Başvuru!$A:$A,"&lt;&gt;",Başvuru!$F:$F,"&lt;&gt;")-1)*100,"0.0")&amp;"%","-"))</f>
        <v>00%</v>
      </c>
      <c r="F234" s="162">
        <f>IF(C234="","",COUNTIFS(Başvuru!$C:$C,C234,Başvuru!$G:$G,"Bireysel Araştırma",Başvuru!$A:$A,"&lt;&gt;"&amp;"",Başvuru!$F:$F,"&lt;&gt;"&amp;""))</f>
        <v>1</v>
      </c>
      <c r="G234" s="162">
        <f>IF(C234="","",COUNTIFS(Başvuru!$C:$C,C234,Başvuru!$G:$G,"Uzmanlık Tezi",Başvuru!$A:$A,"&lt;&gt;"&amp;"",Başvuru!$F:$F,"&lt;&gt;"&amp;""))</f>
        <v>0</v>
      </c>
      <c r="H234" s="162">
        <f>IF(C234="","",COUNTIFS(Başvuru!$C:$C,C234,Başvuru!$G:$G,"Doktora Tezi",Başvuru!$A:$A,"&lt;&gt;"&amp;"",Başvuru!$F:$F,"&lt;&gt;"&amp;""))</f>
        <v>0</v>
      </c>
      <c r="I234" s="162">
        <f>IF(C234="","",COUNTIFS(Başvuru!$C:$C,C234,Başvuru!$G:$G,"Yüksek Lisans Tezi",Başvuru!$A:$A,"&lt;&gt;"&amp;"",Başvuru!$F:$F,"&lt;&gt;"&amp;""))</f>
        <v>0</v>
      </c>
      <c r="J234" s="163">
        <f>IF(C234="","",COUNTIFS(Başvuru!$C:$C,C234,Başvuru!$L:$L,"ONAY",Başvuru!$A:$A,"&lt;&gt;"&amp;"",Başvuru!$F:$F,"&lt;&gt;"&amp;""))</f>
        <v>1</v>
      </c>
      <c r="K234" s="164">
        <f>IF(C234="","",COUNTIFS(Başvuru!$C:$C,C234,Başvuru!$L:$L,"DÜZELTME",Başvuru!$A:$A,"&lt;&gt;"&amp;"",Başvuru!$F:$F,"&lt;&gt;"&amp;""))</f>
        <v>0</v>
      </c>
      <c r="L234" s="165">
        <f>IF(C234="","",COUNTIFS(Başvuru!$C:$C,C234,Başvuru!$L:$L,"KAEK",Başvuru!$A:$A,"&lt;&gt;"&amp;"",Başvuru!$F:$F,"&lt;&gt;"&amp;""))</f>
        <v>0</v>
      </c>
      <c r="M234" s="166">
        <f>IF(C234="","",COUNTIFS(Başvuru!$C:$C,C234,Başvuru!$L:$L,"GÖRÜŞ",Başvuru!$A:$A,"&lt;&gt;"&amp;"",Başvuru!$F:$F,"&lt;&gt;"&amp;""))</f>
        <v>0</v>
      </c>
      <c r="N234" s="167">
        <f>IF(C234="","",COUNTIFS(Başvuru!$C:$C,C234,Başvuru!$L:$L,"RET",Başvuru!$A:$A,"&lt;&gt;"&amp;"",Başvuru!$F:$F,"&lt;&gt;"&amp;""))</f>
        <v>0</v>
      </c>
      <c r="O234" s="168">
        <f>IF(C234="","",COUNTIFS(Başvuru!$C:$C,C234,Başvuru!$L:$L,"KAPSAM DIŞI",Başvuru!$A:$A,"&lt;&gt;"&amp;"",Başvuru!$F:$F,"&lt;&gt;"&amp;""))</f>
        <v>0</v>
      </c>
      <c r="P234" s="169">
        <f>IF(C234="","",COUNTIFS(Başvuru!$C:$C,C234,Başvuru!$L:$L,"GERİ ÇEKİLDİ",Başvuru!$A:$A,"&lt;&gt;"&amp;"",Başvuru!$F:$F,"&lt;&gt;"&amp;""))</f>
        <v>0</v>
      </c>
      <c r="Q234" s="170" t="str">
        <f>IFERROR(INDEX(Başvuru!$C$2:$C$1851,MATCH(229,Başvuru!$AB$2:$AB$1851,0)),"")</f>
        <v>Prof. Dr. Melek Dilek TURGUT</v>
      </c>
      <c r="R234" s="171">
        <f>IF(Q234="","",COUNTIFS(Başvuru!$C:$C,Q234,Başvuru!$A:$A,"&lt;&gt;"&amp;"",Başvuru!$F:$F,"&lt;&gt;"&amp;""))</f>
        <v>1</v>
      </c>
      <c r="S234" s="171">
        <f>IF(R234="","",RANK(R234,$R$6:$R$505,0)+COUNTIF($R$6:R234,R234)-1)</f>
        <v>256</v>
      </c>
    </row>
    <row r="235" spans="2:19" ht="23.25" customHeight="1" x14ac:dyDescent="0.25">
      <c r="B235" s="159">
        <v>230</v>
      </c>
      <c r="C235" s="160" t="str">
        <f>IFERROR(INDEX($Q$6:$Q$505,MATCH(230,$S$6:$S$505,0)),"")</f>
        <v>Prof. Dr. Devrim AKDEMİR</v>
      </c>
      <c r="D235" s="161">
        <f>IF(C235="","",COUNTIFS(Başvuru!$C:$C,C235,Başvuru!$A:$A,"&lt;&gt;"&amp;"",Başvuru!$F:$F,"&lt;&gt;"&amp;""))</f>
        <v>1</v>
      </c>
      <c r="E235" s="159" t="str">
        <f>IF(C235="","-",IF(D235&gt;0,TEXT(D235/(COUNTIFS(Başvuru!$A:$A,"&lt;&gt;",Başvuru!$F:$F,"&lt;&gt;")-1)*100,"0.0")&amp;"%","-"))</f>
        <v>00%</v>
      </c>
      <c r="F235" s="162">
        <f>IF(C235="","",COUNTIFS(Başvuru!$C:$C,C235,Başvuru!$G:$G,"Bireysel Araştırma",Başvuru!$A:$A,"&lt;&gt;"&amp;"",Başvuru!$F:$F,"&lt;&gt;"&amp;""))</f>
        <v>0</v>
      </c>
      <c r="G235" s="162">
        <f>IF(C235="","",COUNTIFS(Başvuru!$C:$C,C235,Başvuru!$G:$G,"Uzmanlık Tezi",Başvuru!$A:$A,"&lt;&gt;"&amp;"",Başvuru!$F:$F,"&lt;&gt;"&amp;""))</f>
        <v>1</v>
      </c>
      <c r="H235" s="162">
        <f>IF(C235="","",COUNTIFS(Başvuru!$C:$C,C235,Başvuru!$G:$G,"Doktora Tezi",Başvuru!$A:$A,"&lt;&gt;"&amp;"",Başvuru!$F:$F,"&lt;&gt;"&amp;""))</f>
        <v>0</v>
      </c>
      <c r="I235" s="162">
        <f>IF(C235="","",COUNTIFS(Başvuru!$C:$C,C235,Başvuru!$G:$G,"Yüksek Lisans Tezi",Başvuru!$A:$A,"&lt;&gt;"&amp;"",Başvuru!$F:$F,"&lt;&gt;"&amp;""))</f>
        <v>0</v>
      </c>
      <c r="J235" s="163">
        <f>IF(C235="","",COUNTIFS(Başvuru!$C:$C,C235,Başvuru!$L:$L,"ONAY",Başvuru!$A:$A,"&lt;&gt;"&amp;"",Başvuru!$F:$F,"&lt;&gt;"&amp;""))</f>
        <v>0</v>
      </c>
      <c r="K235" s="164">
        <f>IF(C235="","",COUNTIFS(Başvuru!$C:$C,C235,Başvuru!$L:$L,"DÜZELTME",Başvuru!$A:$A,"&lt;&gt;"&amp;"",Başvuru!$F:$F,"&lt;&gt;"&amp;""))</f>
        <v>1</v>
      </c>
      <c r="L235" s="165">
        <f>IF(C235="","",COUNTIFS(Başvuru!$C:$C,C235,Başvuru!$L:$L,"KAEK",Başvuru!$A:$A,"&lt;&gt;"&amp;"",Başvuru!$F:$F,"&lt;&gt;"&amp;""))</f>
        <v>0</v>
      </c>
      <c r="M235" s="166">
        <f>IF(C235="","",COUNTIFS(Başvuru!$C:$C,C235,Başvuru!$L:$L,"GÖRÜŞ",Başvuru!$A:$A,"&lt;&gt;"&amp;"",Başvuru!$F:$F,"&lt;&gt;"&amp;""))</f>
        <v>0</v>
      </c>
      <c r="N235" s="167">
        <f>IF(C235="","",COUNTIFS(Başvuru!$C:$C,C235,Başvuru!$L:$L,"RET",Başvuru!$A:$A,"&lt;&gt;"&amp;"",Başvuru!$F:$F,"&lt;&gt;"&amp;""))</f>
        <v>0</v>
      </c>
      <c r="O235" s="168">
        <f>IF(C235="","",COUNTIFS(Başvuru!$C:$C,C235,Başvuru!$L:$L,"KAPSAM DIŞI",Başvuru!$A:$A,"&lt;&gt;"&amp;"",Başvuru!$F:$F,"&lt;&gt;"&amp;""))</f>
        <v>0</v>
      </c>
      <c r="P235" s="169">
        <f>IF(C235="","",COUNTIFS(Başvuru!$C:$C,C235,Başvuru!$L:$L,"GERİ ÇEKİLDİ",Başvuru!$A:$A,"&lt;&gt;"&amp;"",Başvuru!$F:$F,"&lt;&gt;"&amp;""))</f>
        <v>0</v>
      </c>
      <c r="Q235" s="170" t="str">
        <f>IFERROR(INDEX(Başvuru!$C$2:$C$1851,MATCH(230,Başvuru!$AB$2:$AB$1851,0)),"")</f>
        <v>Doç. Dr. Burak ARDIÇLI</v>
      </c>
      <c r="R235" s="171">
        <f>IF(Q235="","",COUNTIFS(Başvuru!$C:$C,Q235,Başvuru!$A:$A,"&lt;&gt;"&amp;"",Başvuru!$F:$F,"&lt;&gt;"&amp;""))</f>
        <v>1</v>
      </c>
      <c r="S235" s="171">
        <f>IF(R235="","",RANK(R235,$R$6:$R$505,0)+COUNTIF($R$6:R235,R235)-1)</f>
        <v>257</v>
      </c>
    </row>
    <row r="236" spans="2:19" ht="23.25" customHeight="1" x14ac:dyDescent="0.25">
      <c r="B236" s="159">
        <v>231</v>
      </c>
      <c r="C236" s="160" t="str">
        <f>IFERROR(INDEX($Q$6:$Q$505,MATCH(231,$S$6:$S$505,0)),"")</f>
        <v>Dr. Öğr. Üyesi Onur İNCE</v>
      </c>
      <c r="D236" s="161">
        <f>IF(C236="","",COUNTIFS(Başvuru!$C:$C,C236,Başvuru!$A:$A,"&lt;&gt;"&amp;"",Başvuru!$F:$F,"&lt;&gt;"&amp;""))</f>
        <v>1</v>
      </c>
      <c r="E236" s="159" t="str">
        <f>IF(C236="","-",IF(D236&gt;0,TEXT(D236/(COUNTIFS(Başvuru!$A:$A,"&lt;&gt;",Başvuru!$F:$F,"&lt;&gt;")-1)*100,"0.0")&amp;"%","-"))</f>
        <v>00%</v>
      </c>
      <c r="F236" s="162">
        <f>IF(C236="","",COUNTIFS(Başvuru!$C:$C,C236,Başvuru!$G:$G,"Bireysel Araştırma",Başvuru!$A:$A,"&lt;&gt;"&amp;"",Başvuru!$F:$F,"&lt;&gt;"&amp;""))</f>
        <v>0</v>
      </c>
      <c r="G236" s="162">
        <f>IF(C236="","",COUNTIFS(Başvuru!$C:$C,C236,Başvuru!$G:$G,"Uzmanlık Tezi",Başvuru!$A:$A,"&lt;&gt;"&amp;"",Başvuru!$F:$F,"&lt;&gt;"&amp;""))</f>
        <v>1</v>
      </c>
      <c r="H236" s="162">
        <f>IF(C236="","",COUNTIFS(Başvuru!$C:$C,C236,Başvuru!$G:$G,"Doktora Tezi",Başvuru!$A:$A,"&lt;&gt;"&amp;"",Başvuru!$F:$F,"&lt;&gt;"&amp;""))</f>
        <v>0</v>
      </c>
      <c r="I236" s="162">
        <f>IF(C236="","",COUNTIFS(Başvuru!$C:$C,C236,Başvuru!$G:$G,"Yüksek Lisans Tezi",Başvuru!$A:$A,"&lt;&gt;"&amp;"",Başvuru!$F:$F,"&lt;&gt;"&amp;""))</f>
        <v>0</v>
      </c>
      <c r="J236" s="163">
        <f>IF(C236="","",COUNTIFS(Başvuru!$C:$C,C236,Başvuru!$L:$L,"ONAY",Başvuru!$A:$A,"&lt;&gt;"&amp;"",Başvuru!$F:$F,"&lt;&gt;"&amp;""))</f>
        <v>1</v>
      </c>
      <c r="K236" s="164">
        <f>IF(C236="","",COUNTIFS(Başvuru!$C:$C,C236,Başvuru!$L:$L,"DÜZELTME",Başvuru!$A:$A,"&lt;&gt;"&amp;"",Başvuru!$F:$F,"&lt;&gt;"&amp;""))</f>
        <v>0</v>
      </c>
      <c r="L236" s="165">
        <f>IF(C236="","",COUNTIFS(Başvuru!$C:$C,C236,Başvuru!$L:$L,"KAEK",Başvuru!$A:$A,"&lt;&gt;"&amp;"",Başvuru!$F:$F,"&lt;&gt;"&amp;""))</f>
        <v>0</v>
      </c>
      <c r="M236" s="166">
        <f>IF(C236="","",COUNTIFS(Başvuru!$C:$C,C236,Başvuru!$L:$L,"GÖRÜŞ",Başvuru!$A:$A,"&lt;&gt;"&amp;"",Başvuru!$F:$F,"&lt;&gt;"&amp;""))</f>
        <v>0</v>
      </c>
      <c r="N236" s="167">
        <f>IF(C236="","",COUNTIFS(Başvuru!$C:$C,C236,Başvuru!$L:$L,"RET",Başvuru!$A:$A,"&lt;&gt;"&amp;"",Başvuru!$F:$F,"&lt;&gt;"&amp;""))</f>
        <v>0</v>
      </c>
      <c r="O236" s="168">
        <f>IF(C236="","",COUNTIFS(Başvuru!$C:$C,C236,Başvuru!$L:$L,"KAPSAM DIŞI",Başvuru!$A:$A,"&lt;&gt;"&amp;"",Başvuru!$F:$F,"&lt;&gt;"&amp;""))</f>
        <v>0</v>
      </c>
      <c r="P236" s="169">
        <f>IF(C236="","",COUNTIFS(Başvuru!$C:$C,C236,Başvuru!$L:$L,"GERİ ÇEKİLDİ",Başvuru!$A:$A,"&lt;&gt;"&amp;"",Başvuru!$F:$F,"&lt;&gt;"&amp;""))</f>
        <v>0</v>
      </c>
      <c r="Q236" s="170" t="str">
        <f>IFERROR(INDEX(Başvuru!$C$2:$C$1851,MATCH(231,Başvuru!$AB$2:$AB$1851,0)),"")</f>
        <v>Prof. Dr. Şevkiye Selin AYTAÇ EYÜPOĞLU</v>
      </c>
      <c r="R236" s="171">
        <f>IF(Q236="","",COUNTIFS(Başvuru!$C:$C,Q236,Başvuru!$A:$A,"&lt;&gt;"&amp;"",Başvuru!$F:$F,"&lt;&gt;"&amp;""))</f>
        <v>1</v>
      </c>
      <c r="S236" s="171">
        <f>IF(R236="","",RANK(R236,$R$6:$R$505,0)+COUNTIF($R$6:R236,R236)-1)</f>
        <v>258</v>
      </c>
    </row>
    <row r="237" spans="2:19" ht="23.25" customHeight="1" x14ac:dyDescent="0.25">
      <c r="B237" s="159">
        <v>232</v>
      </c>
      <c r="C237" s="160" t="str">
        <f>IFERROR(INDEX($Q$6:$Q$505,MATCH(232,$S$6:$S$505,0)),"")</f>
        <v>Öğr. Gör. Dr. Berrin BABAOĞLU</v>
      </c>
      <c r="D237" s="161">
        <f>IF(C237="","",COUNTIFS(Başvuru!$C:$C,C237,Başvuru!$A:$A,"&lt;&gt;"&amp;"",Başvuru!$F:$F,"&lt;&gt;"&amp;""))</f>
        <v>1</v>
      </c>
      <c r="E237" s="159" t="str">
        <f>IF(C237="","-",IF(D237&gt;0,TEXT(D237/(COUNTIFS(Başvuru!$A:$A,"&lt;&gt;",Başvuru!$F:$F,"&lt;&gt;")-1)*100,"0.0")&amp;"%","-"))</f>
        <v>00%</v>
      </c>
      <c r="F237" s="162">
        <f>IF(C237="","",COUNTIFS(Başvuru!$C:$C,C237,Başvuru!$G:$G,"Bireysel Araştırma",Başvuru!$A:$A,"&lt;&gt;"&amp;"",Başvuru!$F:$F,"&lt;&gt;"&amp;""))</f>
        <v>0</v>
      </c>
      <c r="G237" s="162">
        <f>IF(C237="","",COUNTIFS(Başvuru!$C:$C,C237,Başvuru!$G:$G,"Uzmanlık Tezi",Başvuru!$A:$A,"&lt;&gt;"&amp;"",Başvuru!$F:$F,"&lt;&gt;"&amp;""))</f>
        <v>1</v>
      </c>
      <c r="H237" s="162">
        <f>IF(C237="","",COUNTIFS(Başvuru!$C:$C,C237,Başvuru!$G:$G,"Doktora Tezi",Başvuru!$A:$A,"&lt;&gt;"&amp;"",Başvuru!$F:$F,"&lt;&gt;"&amp;""))</f>
        <v>0</v>
      </c>
      <c r="I237" s="162">
        <f>IF(C237="","",COUNTIFS(Başvuru!$C:$C,C237,Başvuru!$G:$G,"Yüksek Lisans Tezi",Başvuru!$A:$A,"&lt;&gt;"&amp;"",Başvuru!$F:$F,"&lt;&gt;"&amp;""))</f>
        <v>0</v>
      </c>
      <c r="J237" s="163">
        <f>IF(C237="","",COUNTIFS(Başvuru!$C:$C,C237,Başvuru!$L:$L,"ONAY",Başvuru!$A:$A,"&lt;&gt;"&amp;"",Başvuru!$F:$F,"&lt;&gt;"&amp;""))</f>
        <v>0</v>
      </c>
      <c r="K237" s="164">
        <f>IF(C237="","",COUNTIFS(Başvuru!$C:$C,C237,Başvuru!$L:$L,"DÜZELTME",Başvuru!$A:$A,"&lt;&gt;"&amp;"",Başvuru!$F:$F,"&lt;&gt;"&amp;""))</f>
        <v>1</v>
      </c>
      <c r="L237" s="165">
        <f>IF(C237="","",COUNTIFS(Başvuru!$C:$C,C237,Başvuru!$L:$L,"KAEK",Başvuru!$A:$A,"&lt;&gt;"&amp;"",Başvuru!$F:$F,"&lt;&gt;"&amp;""))</f>
        <v>0</v>
      </c>
      <c r="M237" s="166">
        <f>IF(C237="","",COUNTIFS(Başvuru!$C:$C,C237,Başvuru!$L:$L,"GÖRÜŞ",Başvuru!$A:$A,"&lt;&gt;"&amp;"",Başvuru!$F:$F,"&lt;&gt;"&amp;""))</f>
        <v>0</v>
      </c>
      <c r="N237" s="167">
        <f>IF(C237="","",COUNTIFS(Başvuru!$C:$C,C237,Başvuru!$L:$L,"RET",Başvuru!$A:$A,"&lt;&gt;"&amp;"",Başvuru!$F:$F,"&lt;&gt;"&amp;""))</f>
        <v>0</v>
      </c>
      <c r="O237" s="168">
        <f>IF(C237="","",COUNTIFS(Başvuru!$C:$C,C237,Başvuru!$L:$L,"KAPSAM DIŞI",Başvuru!$A:$A,"&lt;&gt;"&amp;"",Başvuru!$F:$F,"&lt;&gt;"&amp;""))</f>
        <v>0</v>
      </c>
      <c r="P237" s="169">
        <f>IF(C237="","",COUNTIFS(Başvuru!$C:$C,C237,Başvuru!$L:$L,"GERİ ÇEKİLDİ",Başvuru!$A:$A,"&lt;&gt;"&amp;"",Başvuru!$F:$F,"&lt;&gt;"&amp;""))</f>
        <v>0</v>
      </c>
      <c r="Q237" s="170" t="str">
        <f>IFERROR(INDEX(Başvuru!$C$2:$C$1851,MATCH(232,Başvuru!$AB$2:$AB$1851,0)),"")</f>
        <v>Prof. Dr. Elmas Ebru YALÇIN</v>
      </c>
      <c r="R237" s="171">
        <f>IF(Q237="","",COUNTIFS(Başvuru!$C:$C,Q237,Başvuru!$A:$A,"&lt;&gt;"&amp;"",Başvuru!$F:$F,"&lt;&gt;"&amp;""))</f>
        <v>1</v>
      </c>
      <c r="S237" s="171">
        <f>IF(R237="","",RANK(R237,$R$6:$R$505,0)+COUNTIF($R$6:R237,R237)-1)</f>
        <v>259</v>
      </c>
    </row>
    <row r="238" spans="2:19" ht="23.25" customHeight="1" x14ac:dyDescent="0.25">
      <c r="B238" s="159">
        <v>233</v>
      </c>
      <c r="C238" s="160" t="str">
        <f>IFERROR(INDEX($Q$6:$Q$505,MATCH(233,$S$6:$S$505,0)),"")</f>
        <v>Prof. Dr. Cavit Işık YAVUZ</v>
      </c>
      <c r="D238" s="161">
        <f>IF(C238="","",COUNTIFS(Başvuru!$C:$C,C238,Başvuru!$A:$A,"&lt;&gt;"&amp;"",Başvuru!$F:$F,"&lt;&gt;"&amp;""))</f>
        <v>1</v>
      </c>
      <c r="E238" s="159" t="str">
        <f>IF(C238="","-",IF(D238&gt;0,TEXT(D238/(COUNTIFS(Başvuru!$A:$A,"&lt;&gt;",Başvuru!$F:$F,"&lt;&gt;")-1)*100,"0.0")&amp;"%","-"))</f>
        <v>00%</v>
      </c>
      <c r="F238" s="162">
        <f>IF(C238="","",COUNTIFS(Başvuru!$C:$C,C238,Başvuru!$G:$G,"Bireysel Araştırma",Başvuru!$A:$A,"&lt;&gt;"&amp;"",Başvuru!$F:$F,"&lt;&gt;"&amp;""))</f>
        <v>1</v>
      </c>
      <c r="G238" s="162">
        <f>IF(C238="","",COUNTIFS(Başvuru!$C:$C,C238,Başvuru!$G:$G,"Uzmanlık Tezi",Başvuru!$A:$A,"&lt;&gt;"&amp;"",Başvuru!$F:$F,"&lt;&gt;"&amp;""))</f>
        <v>0</v>
      </c>
      <c r="H238" s="162">
        <f>IF(C238="","",COUNTIFS(Başvuru!$C:$C,C238,Başvuru!$G:$G,"Doktora Tezi",Başvuru!$A:$A,"&lt;&gt;"&amp;"",Başvuru!$F:$F,"&lt;&gt;"&amp;""))</f>
        <v>0</v>
      </c>
      <c r="I238" s="162">
        <f>IF(C238="","",COUNTIFS(Başvuru!$C:$C,C238,Başvuru!$G:$G,"Yüksek Lisans Tezi",Başvuru!$A:$A,"&lt;&gt;"&amp;"",Başvuru!$F:$F,"&lt;&gt;"&amp;""))</f>
        <v>0</v>
      </c>
      <c r="J238" s="163">
        <f>IF(C238="","",COUNTIFS(Başvuru!$C:$C,C238,Başvuru!$L:$L,"ONAY",Başvuru!$A:$A,"&lt;&gt;"&amp;"",Başvuru!$F:$F,"&lt;&gt;"&amp;""))</f>
        <v>1</v>
      </c>
      <c r="K238" s="164">
        <f>IF(C238="","",COUNTIFS(Başvuru!$C:$C,C238,Başvuru!$L:$L,"DÜZELTME",Başvuru!$A:$A,"&lt;&gt;"&amp;"",Başvuru!$F:$F,"&lt;&gt;"&amp;""))</f>
        <v>0</v>
      </c>
      <c r="L238" s="165">
        <f>IF(C238="","",COUNTIFS(Başvuru!$C:$C,C238,Başvuru!$L:$L,"KAEK",Başvuru!$A:$A,"&lt;&gt;"&amp;"",Başvuru!$F:$F,"&lt;&gt;"&amp;""))</f>
        <v>0</v>
      </c>
      <c r="M238" s="166">
        <f>IF(C238="","",COUNTIFS(Başvuru!$C:$C,C238,Başvuru!$L:$L,"GÖRÜŞ",Başvuru!$A:$A,"&lt;&gt;"&amp;"",Başvuru!$F:$F,"&lt;&gt;"&amp;""))</f>
        <v>0</v>
      </c>
      <c r="N238" s="167">
        <f>IF(C238="","",COUNTIFS(Başvuru!$C:$C,C238,Başvuru!$L:$L,"RET",Başvuru!$A:$A,"&lt;&gt;"&amp;"",Başvuru!$F:$F,"&lt;&gt;"&amp;""))</f>
        <v>0</v>
      </c>
      <c r="O238" s="168">
        <f>IF(C238="","",COUNTIFS(Başvuru!$C:$C,C238,Başvuru!$L:$L,"KAPSAM DIŞI",Başvuru!$A:$A,"&lt;&gt;"&amp;"",Başvuru!$F:$F,"&lt;&gt;"&amp;""))</f>
        <v>0</v>
      </c>
      <c r="P238" s="169">
        <f>IF(C238="","",COUNTIFS(Başvuru!$C:$C,C238,Başvuru!$L:$L,"GERİ ÇEKİLDİ",Başvuru!$A:$A,"&lt;&gt;"&amp;"",Başvuru!$F:$F,"&lt;&gt;"&amp;""))</f>
        <v>0</v>
      </c>
      <c r="Q238" s="170" t="str">
        <f>IFERROR(INDEX(Başvuru!$C$2:$C$1851,MATCH(233,Başvuru!$AB$2:$AB$1851,0)),"")</f>
        <v>Doç. Dr. Kısmet ÇIKI</v>
      </c>
      <c r="R238" s="171">
        <f>IF(Q238="","",COUNTIFS(Başvuru!$C:$C,Q238,Başvuru!$A:$A,"&lt;&gt;"&amp;"",Başvuru!$F:$F,"&lt;&gt;"&amp;""))</f>
        <v>1</v>
      </c>
      <c r="S238" s="171">
        <f>IF(R238="","",RANK(R238,$R$6:$R$505,0)+COUNTIF($R$6:R238,R238)-1)</f>
        <v>260</v>
      </c>
    </row>
    <row r="239" spans="2:19" ht="23.25" customHeight="1" x14ac:dyDescent="0.25">
      <c r="B239" s="159">
        <v>234</v>
      </c>
      <c r="C239" s="160" t="str">
        <f>IFERROR(INDEX($Q$6:$Q$505,MATCH(234,$S$6:$S$505,0)),"")</f>
        <v>Dr. Öğr. Üyesi Burçe ATAÇ MOGOL</v>
      </c>
      <c r="D239" s="161">
        <f>IF(C239="","",COUNTIFS(Başvuru!$C:$C,C239,Başvuru!$A:$A,"&lt;&gt;"&amp;"",Başvuru!$F:$F,"&lt;&gt;"&amp;""))</f>
        <v>1</v>
      </c>
      <c r="E239" s="159" t="str">
        <f>IF(C239="","-",IF(D239&gt;0,TEXT(D239/(COUNTIFS(Başvuru!$A:$A,"&lt;&gt;",Başvuru!$F:$F,"&lt;&gt;")-1)*100,"0.0")&amp;"%","-"))</f>
        <v>00%</v>
      </c>
      <c r="F239" s="162">
        <f>IF(C239="","",COUNTIFS(Başvuru!$C:$C,C239,Başvuru!$G:$G,"Bireysel Araştırma",Başvuru!$A:$A,"&lt;&gt;"&amp;"",Başvuru!$F:$F,"&lt;&gt;"&amp;""))</f>
        <v>0</v>
      </c>
      <c r="G239" s="162">
        <f>IF(C239="","",COUNTIFS(Başvuru!$C:$C,C239,Başvuru!$G:$G,"Uzmanlık Tezi",Başvuru!$A:$A,"&lt;&gt;"&amp;"",Başvuru!$F:$F,"&lt;&gt;"&amp;""))</f>
        <v>0</v>
      </c>
      <c r="H239" s="162">
        <f>IF(C239="","",COUNTIFS(Başvuru!$C:$C,C239,Başvuru!$G:$G,"Doktora Tezi",Başvuru!$A:$A,"&lt;&gt;"&amp;"",Başvuru!$F:$F,"&lt;&gt;"&amp;""))</f>
        <v>0</v>
      </c>
      <c r="I239" s="162">
        <f>IF(C239="","",COUNTIFS(Başvuru!$C:$C,C239,Başvuru!$G:$G,"Yüksek Lisans Tezi",Başvuru!$A:$A,"&lt;&gt;"&amp;"",Başvuru!$F:$F,"&lt;&gt;"&amp;""))</f>
        <v>1</v>
      </c>
      <c r="J239" s="163">
        <f>IF(C239="","",COUNTIFS(Başvuru!$C:$C,C239,Başvuru!$L:$L,"ONAY",Başvuru!$A:$A,"&lt;&gt;"&amp;"",Başvuru!$F:$F,"&lt;&gt;"&amp;""))</f>
        <v>0</v>
      </c>
      <c r="K239" s="164">
        <f>IF(C239="","",COUNTIFS(Başvuru!$C:$C,C239,Başvuru!$L:$L,"DÜZELTME",Başvuru!$A:$A,"&lt;&gt;"&amp;"",Başvuru!$F:$F,"&lt;&gt;"&amp;""))</f>
        <v>1</v>
      </c>
      <c r="L239" s="165">
        <f>IF(C239="","",COUNTIFS(Başvuru!$C:$C,C239,Başvuru!$L:$L,"KAEK",Başvuru!$A:$A,"&lt;&gt;"&amp;"",Başvuru!$F:$F,"&lt;&gt;"&amp;""))</f>
        <v>0</v>
      </c>
      <c r="M239" s="166">
        <f>IF(C239="","",COUNTIFS(Başvuru!$C:$C,C239,Başvuru!$L:$L,"GÖRÜŞ",Başvuru!$A:$A,"&lt;&gt;"&amp;"",Başvuru!$F:$F,"&lt;&gt;"&amp;""))</f>
        <v>0</v>
      </c>
      <c r="N239" s="167">
        <f>IF(C239="","",COUNTIFS(Başvuru!$C:$C,C239,Başvuru!$L:$L,"RET",Başvuru!$A:$A,"&lt;&gt;"&amp;"",Başvuru!$F:$F,"&lt;&gt;"&amp;""))</f>
        <v>0</v>
      </c>
      <c r="O239" s="168">
        <f>IF(C239="","",COUNTIFS(Başvuru!$C:$C,C239,Başvuru!$L:$L,"KAPSAM DIŞI",Başvuru!$A:$A,"&lt;&gt;"&amp;"",Başvuru!$F:$F,"&lt;&gt;"&amp;""))</f>
        <v>0</v>
      </c>
      <c r="P239" s="169">
        <f>IF(C239="","",COUNTIFS(Başvuru!$C:$C,C239,Başvuru!$L:$L,"GERİ ÇEKİLDİ",Başvuru!$A:$A,"&lt;&gt;"&amp;"",Başvuru!$F:$F,"&lt;&gt;"&amp;""))</f>
        <v>0</v>
      </c>
      <c r="Q239" s="170" t="str">
        <f>IFERROR(INDEX(Başvuru!$C$2:$C$1851,MATCH(234,Başvuru!$AB$2:$AB$1851,0)),"")</f>
        <v>Prof. Dr. Alp USUBÜTÜN</v>
      </c>
      <c r="R239" s="171">
        <f>IF(Q239="","",COUNTIFS(Başvuru!$C:$C,Q239,Başvuru!$A:$A,"&lt;&gt;"&amp;"",Başvuru!$F:$F,"&lt;&gt;"&amp;""))</f>
        <v>1</v>
      </c>
      <c r="S239" s="171">
        <f>IF(R239="","",RANK(R239,$R$6:$R$505,0)+COUNTIF($R$6:R239,R239)-1)</f>
        <v>261</v>
      </c>
    </row>
    <row r="240" spans="2:19" ht="23.25" customHeight="1" x14ac:dyDescent="0.25">
      <c r="B240" s="159">
        <v>235</v>
      </c>
      <c r="C240" s="160" t="str">
        <f>IFERROR(INDEX($Q$6:$Q$505,MATCH(235,$S$6:$S$505,0)),"")</f>
        <v>Doç. Dr. Cansu ÖZŞİN ÖZLER</v>
      </c>
      <c r="D240" s="161">
        <f>IF(C240="","",COUNTIFS(Başvuru!$C:$C,C240,Başvuru!$A:$A,"&lt;&gt;"&amp;"",Başvuru!$F:$F,"&lt;&gt;"&amp;""))</f>
        <v>1</v>
      </c>
      <c r="E240" s="159" t="str">
        <f>IF(C240="","-",IF(D240&gt;0,TEXT(D240/(COUNTIFS(Başvuru!$A:$A,"&lt;&gt;",Başvuru!$F:$F,"&lt;&gt;")-1)*100,"0.0")&amp;"%","-"))</f>
        <v>00%</v>
      </c>
      <c r="F240" s="162">
        <f>IF(C240="","",COUNTIFS(Başvuru!$C:$C,C240,Başvuru!$G:$G,"Bireysel Araştırma",Başvuru!$A:$A,"&lt;&gt;"&amp;"",Başvuru!$F:$F,"&lt;&gt;"&amp;""))</f>
        <v>0</v>
      </c>
      <c r="G240" s="162">
        <f>IF(C240="","",COUNTIFS(Başvuru!$C:$C,C240,Başvuru!$G:$G,"Uzmanlık Tezi",Başvuru!$A:$A,"&lt;&gt;"&amp;"",Başvuru!$F:$F,"&lt;&gt;"&amp;""))</f>
        <v>1</v>
      </c>
      <c r="H240" s="162">
        <f>IF(C240="","",COUNTIFS(Başvuru!$C:$C,C240,Başvuru!$G:$G,"Doktora Tezi",Başvuru!$A:$A,"&lt;&gt;"&amp;"",Başvuru!$F:$F,"&lt;&gt;"&amp;""))</f>
        <v>0</v>
      </c>
      <c r="I240" s="162">
        <f>IF(C240="","",COUNTIFS(Başvuru!$C:$C,C240,Başvuru!$G:$G,"Yüksek Lisans Tezi",Başvuru!$A:$A,"&lt;&gt;"&amp;"",Başvuru!$F:$F,"&lt;&gt;"&amp;""))</f>
        <v>0</v>
      </c>
      <c r="J240" s="163">
        <f>IF(C240="","",COUNTIFS(Başvuru!$C:$C,C240,Başvuru!$L:$L,"ONAY",Başvuru!$A:$A,"&lt;&gt;"&amp;"",Başvuru!$F:$F,"&lt;&gt;"&amp;""))</f>
        <v>1</v>
      </c>
      <c r="K240" s="164">
        <f>IF(C240="","",COUNTIFS(Başvuru!$C:$C,C240,Başvuru!$L:$L,"DÜZELTME",Başvuru!$A:$A,"&lt;&gt;"&amp;"",Başvuru!$F:$F,"&lt;&gt;"&amp;""))</f>
        <v>0</v>
      </c>
      <c r="L240" s="165">
        <f>IF(C240="","",COUNTIFS(Başvuru!$C:$C,C240,Başvuru!$L:$L,"KAEK",Başvuru!$A:$A,"&lt;&gt;"&amp;"",Başvuru!$F:$F,"&lt;&gt;"&amp;""))</f>
        <v>0</v>
      </c>
      <c r="M240" s="166">
        <f>IF(C240="","",COUNTIFS(Başvuru!$C:$C,C240,Başvuru!$L:$L,"GÖRÜŞ",Başvuru!$A:$A,"&lt;&gt;"&amp;"",Başvuru!$F:$F,"&lt;&gt;"&amp;""))</f>
        <v>0</v>
      </c>
      <c r="N240" s="167">
        <f>IF(C240="","",COUNTIFS(Başvuru!$C:$C,C240,Başvuru!$L:$L,"RET",Başvuru!$A:$A,"&lt;&gt;"&amp;"",Başvuru!$F:$F,"&lt;&gt;"&amp;""))</f>
        <v>0</v>
      </c>
      <c r="O240" s="168">
        <f>IF(C240="","",COUNTIFS(Başvuru!$C:$C,C240,Başvuru!$L:$L,"KAPSAM DIŞI",Başvuru!$A:$A,"&lt;&gt;"&amp;"",Başvuru!$F:$F,"&lt;&gt;"&amp;""))</f>
        <v>0</v>
      </c>
      <c r="P240" s="169">
        <f>IF(C240="","",COUNTIFS(Başvuru!$C:$C,C240,Başvuru!$L:$L,"GERİ ÇEKİLDİ",Başvuru!$A:$A,"&lt;&gt;"&amp;"",Başvuru!$F:$F,"&lt;&gt;"&amp;""))</f>
        <v>0</v>
      </c>
      <c r="Q240" s="170" t="str">
        <f>IFERROR(INDEX(Başvuru!$C$2:$C$1851,MATCH(235,Başvuru!$AB$2:$AB$1851,0)),"")</f>
        <v>Prof. Dr. Ümit Yavuz MALKAN</v>
      </c>
      <c r="R240" s="171">
        <f>IF(Q240="","",COUNTIFS(Başvuru!$C:$C,Q240,Başvuru!$A:$A,"&lt;&gt;"&amp;"",Başvuru!$F:$F,"&lt;&gt;"&amp;""))</f>
        <v>4</v>
      </c>
      <c r="S240" s="171">
        <f>IF(R240="","",RANK(R240,$R$6:$R$505,0)+COUNTIF($R$6:R240,R240)-1)</f>
        <v>52</v>
      </c>
    </row>
    <row r="241" spans="2:19" ht="23.25" customHeight="1" x14ac:dyDescent="0.25">
      <c r="B241" s="159">
        <v>236</v>
      </c>
      <c r="C241" s="160" t="str">
        <f>IFERROR(INDEX($Q$6:$Q$505,MATCH(236,$S$6:$S$505,0)),"")</f>
        <v>Öğr. Gör. Dr. Tuğçe TAŞKINDERE ABBASOĞLU</v>
      </c>
      <c r="D241" s="161">
        <f>IF(C241="","",COUNTIFS(Başvuru!$C:$C,C241,Başvuru!$A:$A,"&lt;&gt;"&amp;"",Başvuru!$F:$F,"&lt;&gt;"&amp;""))</f>
        <v>1</v>
      </c>
      <c r="E241" s="159" t="str">
        <f>IF(C241="","-",IF(D241&gt;0,TEXT(D241/(COUNTIFS(Başvuru!$A:$A,"&lt;&gt;",Başvuru!$F:$F,"&lt;&gt;")-1)*100,"0.0")&amp;"%","-"))</f>
        <v>00%</v>
      </c>
      <c r="F241" s="162">
        <f>IF(C241="","",COUNTIFS(Başvuru!$C:$C,C241,Başvuru!$G:$G,"Bireysel Araştırma",Başvuru!$A:$A,"&lt;&gt;"&amp;"",Başvuru!$F:$F,"&lt;&gt;"&amp;""))</f>
        <v>1</v>
      </c>
      <c r="G241" s="162">
        <f>IF(C241="","",COUNTIFS(Başvuru!$C:$C,C241,Başvuru!$G:$G,"Uzmanlık Tezi",Başvuru!$A:$A,"&lt;&gt;"&amp;"",Başvuru!$F:$F,"&lt;&gt;"&amp;""))</f>
        <v>0</v>
      </c>
      <c r="H241" s="162">
        <f>IF(C241="","",COUNTIFS(Başvuru!$C:$C,C241,Başvuru!$G:$G,"Doktora Tezi",Başvuru!$A:$A,"&lt;&gt;"&amp;"",Başvuru!$F:$F,"&lt;&gt;"&amp;""))</f>
        <v>0</v>
      </c>
      <c r="I241" s="162">
        <f>IF(C241="","",COUNTIFS(Başvuru!$C:$C,C241,Başvuru!$G:$G,"Yüksek Lisans Tezi",Başvuru!$A:$A,"&lt;&gt;"&amp;"",Başvuru!$F:$F,"&lt;&gt;"&amp;""))</f>
        <v>0</v>
      </c>
      <c r="J241" s="163">
        <f>IF(C241="","",COUNTIFS(Başvuru!$C:$C,C241,Başvuru!$L:$L,"ONAY",Başvuru!$A:$A,"&lt;&gt;"&amp;"",Başvuru!$F:$F,"&lt;&gt;"&amp;""))</f>
        <v>1</v>
      </c>
      <c r="K241" s="164">
        <f>IF(C241="","",COUNTIFS(Başvuru!$C:$C,C241,Başvuru!$L:$L,"DÜZELTME",Başvuru!$A:$A,"&lt;&gt;"&amp;"",Başvuru!$F:$F,"&lt;&gt;"&amp;""))</f>
        <v>0</v>
      </c>
      <c r="L241" s="165">
        <f>IF(C241="","",COUNTIFS(Başvuru!$C:$C,C241,Başvuru!$L:$L,"KAEK",Başvuru!$A:$A,"&lt;&gt;"&amp;"",Başvuru!$F:$F,"&lt;&gt;"&amp;""))</f>
        <v>0</v>
      </c>
      <c r="M241" s="166">
        <f>IF(C241="","",COUNTIFS(Başvuru!$C:$C,C241,Başvuru!$L:$L,"GÖRÜŞ",Başvuru!$A:$A,"&lt;&gt;"&amp;"",Başvuru!$F:$F,"&lt;&gt;"&amp;""))</f>
        <v>0</v>
      </c>
      <c r="N241" s="167">
        <f>IF(C241="","",COUNTIFS(Başvuru!$C:$C,C241,Başvuru!$L:$L,"RET",Başvuru!$A:$A,"&lt;&gt;"&amp;"",Başvuru!$F:$F,"&lt;&gt;"&amp;""))</f>
        <v>0</v>
      </c>
      <c r="O241" s="168">
        <f>IF(C241="","",COUNTIFS(Başvuru!$C:$C,C241,Başvuru!$L:$L,"KAPSAM DIŞI",Başvuru!$A:$A,"&lt;&gt;"&amp;"",Başvuru!$F:$F,"&lt;&gt;"&amp;""))</f>
        <v>0</v>
      </c>
      <c r="P241" s="169">
        <f>IF(C241="","",COUNTIFS(Başvuru!$C:$C,C241,Başvuru!$L:$L,"GERİ ÇEKİLDİ",Başvuru!$A:$A,"&lt;&gt;"&amp;"",Başvuru!$F:$F,"&lt;&gt;"&amp;""))</f>
        <v>0</v>
      </c>
      <c r="Q241" s="170" t="str">
        <f>IFERROR(INDEX(Başvuru!$C$2:$C$1851,MATCH(236,Başvuru!$AB$2:$AB$1851,0)),"")</f>
        <v>Doç. Dr. Eda Didem KURT ŞÜKÜR</v>
      </c>
      <c r="R241" s="171">
        <f>IF(Q241="","",COUNTIFS(Başvuru!$C:$C,Q241,Başvuru!$A:$A,"&lt;&gt;"&amp;"",Başvuru!$F:$F,"&lt;&gt;"&amp;""))</f>
        <v>1</v>
      </c>
      <c r="S241" s="171">
        <f>IF(R241="","",RANK(R241,$R$6:$R$505,0)+COUNTIF($R$6:R241,R241)-1)</f>
        <v>262</v>
      </c>
    </row>
    <row r="242" spans="2:19" ht="23.25" customHeight="1" x14ac:dyDescent="0.25">
      <c r="B242" s="159">
        <v>237</v>
      </c>
      <c r="C242" s="160" t="str">
        <f>IFERROR(INDEX($Q$6:$Q$505,MATCH(237,$S$6:$S$505,0)),"")</f>
        <v>Dr. Öğr. Üyesi Selin ARDALI DÜZGÜN</v>
      </c>
      <c r="D242" s="161">
        <f>IF(C242="","",COUNTIFS(Başvuru!$C:$C,C242,Başvuru!$A:$A,"&lt;&gt;"&amp;"",Başvuru!$F:$F,"&lt;&gt;"&amp;""))</f>
        <v>1</v>
      </c>
      <c r="E242" s="159" t="str">
        <f>IF(C242="","-",IF(D242&gt;0,TEXT(D242/(COUNTIFS(Başvuru!$A:$A,"&lt;&gt;",Başvuru!$F:$F,"&lt;&gt;")-1)*100,"0.0")&amp;"%","-"))</f>
        <v>00%</v>
      </c>
      <c r="F242" s="162">
        <f>IF(C242="","",COUNTIFS(Başvuru!$C:$C,C242,Başvuru!$G:$G,"Bireysel Araştırma",Başvuru!$A:$A,"&lt;&gt;"&amp;"",Başvuru!$F:$F,"&lt;&gt;"&amp;""))</f>
        <v>1</v>
      </c>
      <c r="G242" s="162">
        <f>IF(C242="","",COUNTIFS(Başvuru!$C:$C,C242,Başvuru!$G:$G,"Uzmanlık Tezi",Başvuru!$A:$A,"&lt;&gt;"&amp;"",Başvuru!$F:$F,"&lt;&gt;"&amp;""))</f>
        <v>0</v>
      </c>
      <c r="H242" s="162">
        <f>IF(C242="","",COUNTIFS(Başvuru!$C:$C,C242,Başvuru!$G:$G,"Doktora Tezi",Başvuru!$A:$A,"&lt;&gt;"&amp;"",Başvuru!$F:$F,"&lt;&gt;"&amp;""))</f>
        <v>0</v>
      </c>
      <c r="I242" s="162">
        <f>IF(C242="","",COUNTIFS(Başvuru!$C:$C,C242,Başvuru!$G:$G,"Yüksek Lisans Tezi",Başvuru!$A:$A,"&lt;&gt;"&amp;"",Başvuru!$F:$F,"&lt;&gt;"&amp;""))</f>
        <v>0</v>
      </c>
      <c r="J242" s="163">
        <f>IF(C242="","",COUNTIFS(Başvuru!$C:$C,C242,Başvuru!$L:$L,"ONAY",Başvuru!$A:$A,"&lt;&gt;"&amp;"",Başvuru!$F:$F,"&lt;&gt;"&amp;""))</f>
        <v>1</v>
      </c>
      <c r="K242" s="164">
        <f>IF(C242="","",COUNTIFS(Başvuru!$C:$C,C242,Başvuru!$L:$L,"DÜZELTME",Başvuru!$A:$A,"&lt;&gt;"&amp;"",Başvuru!$F:$F,"&lt;&gt;"&amp;""))</f>
        <v>0</v>
      </c>
      <c r="L242" s="165">
        <f>IF(C242="","",COUNTIFS(Başvuru!$C:$C,C242,Başvuru!$L:$L,"KAEK",Başvuru!$A:$A,"&lt;&gt;"&amp;"",Başvuru!$F:$F,"&lt;&gt;"&amp;""))</f>
        <v>0</v>
      </c>
      <c r="M242" s="166">
        <f>IF(C242="","",COUNTIFS(Başvuru!$C:$C,C242,Başvuru!$L:$L,"GÖRÜŞ",Başvuru!$A:$A,"&lt;&gt;"&amp;"",Başvuru!$F:$F,"&lt;&gt;"&amp;""))</f>
        <v>0</v>
      </c>
      <c r="N242" s="167">
        <f>IF(C242="","",COUNTIFS(Başvuru!$C:$C,C242,Başvuru!$L:$L,"RET",Başvuru!$A:$A,"&lt;&gt;"&amp;"",Başvuru!$F:$F,"&lt;&gt;"&amp;""))</f>
        <v>0</v>
      </c>
      <c r="O242" s="168">
        <f>IF(C242="","",COUNTIFS(Başvuru!$C:$C,C242,Başvuru!$L:$L,"KAPSAM DIŞI",Başvuru!$A:$A,"&lt;&gt;"&amp;"",Başvuru!$F:$F,"&lt;&gt;"&amp;""))</f>
        <v>0</v>
      </c>
      <c r="P242" s="169">
        <f>IF(C242="","",COUNTIFS(Başvuru!$C:$C,C242,Başvuru!$L:$L,"GERİ ÇEKİLDİ",Başvuru!$A:$A,"&lt;&gt;"&amp;"",Başvuru!$F:$F,"&lt;&gt;"&amp;""))</f>
        <v>0</v>
      </c>
      <c r="Q242" s="170" t="str">
        <f>IFERROR(INDEX(Başvuru!$C$2:$C$1851,MATCH(237,Başvuru!$AB$2:$AB$1851,0)),"")</f>
        <v>Prof. Dr. M. Özgür UYANIK</v>
      </c>
      <c r="R242" s="171">
        <f>IF(Q242="","",COUNTIFS(Başvuru!$C:$C,Q242,Başvuru!$A:$A,"&lt;&gt;"&amp;"",Başvuru!$F:$F,"&lt;&gt;"&amp;""))</f>
        <v>1</v>
      </c>
      <c r="S242" s="171">
        <f>IF(R242="","",RANK(R242,$R$6:$R$505,0)+COUNTIF($R$6:R242,R242)-1)</f>
        <v>263</v>
      </c>
    </row>
    <row r="243" spans="2:19" ht="23.25" customHeight="1" x14ac:dyDescent="0.25">
      <c r="B243" s="159">
        <v>238</v>
      </c>
      <c r="C243" s="160" t="str">
        <f>IFERROR(INDEX($Q$6:$Q$505,MATCH(238,$S$6:$S$505,0)),"")</f>
        <v>Prof. Dr. Kasım KARATAŞ</v>
      </c>
      <c r="D243" s="161">
        <f>IF(C243="","",COUNTIFS(Başvuru!$C:$C,C243,Başvuru!$A:$A,"&lt;&gt;"&amp;"",Başvuru!$F:$F,"&lt;&gt;"&amp;""))</f>
        <v>1</v>
      </c>
      <c r="E243" s="159" t="str">
        <f>IF(C243="","-",IF(D243&gt;0,TEXT(D243/(COUNTIFS(Başvuru!$A:$A,"&lt;&gt;",Başvuru!$F:$F,"&lt;&gt;")-1)*100,"0.0")&amp;"%","-"))</f>
        <v>00%</v>
      </c>
      <c r="F243" s="162">
        <f>IF(C243="","",COUNTIFS(Başvuru!$C:$C,C243,Başvuru!$G:$G,"Bireysel Araştırma",Başvuru!$A:$A,"&lt;&gt;"&amp;"",Başvuru!$F:$F,"&lt;&gt;"&amp;""))</f>
        <v>1</v>
      </c>
      <c r="G243" s="162">
        <f>IF(C243="","",COUNTIFS(Başvuru!$C:$C,C243,Başvuru!$G:$G,"Uzmanlık Tezi",Başvuru!$A:$A,"&lt;&gt;"&amp;"",Başvuru!$F:$F,"&lt;&gt;"&amp;""))</f>
        <v>0</v>
      </c>
      <c r="H243" s="162">
        <f>IF(C243="","",COUNTIFS(Başvuru!$C:$C,C243,Başvuru!$G:$G,"Doktora Tezi",Başvuru!$A:$A,"&lt;&gt;"&amp;"",Başvuru!$F:$F,"&lt;&gt;"&amp;""))</f>
        <v>0</v>
      </c>
      <c r="I243" s="162">
        <f>IF(C243="","",COUNTIFS(Başvuru!$C:$C,C243,Başvuru!$G:$G,"Yüksek Lisans Tezi",Başvuru!$A:$A,"&lt;&gt;"&amp;"",Başvuru!$F:$F,"&lt;&gt;"&amp;""))</f>
        <v>0</v>
      </c>
      <c r="J243" s="163">
        <f>IF(C243="","",COUNTIFS(Başvuru!$C:$C,C243,Başvuru!$L:$L,"ONAY",Başvuru!$A:$A,"&lt;&gt;"&amp;"",Başvuru!$F:$F,"&lt;&gt;"&amp;""))</f>
        <v>0</v>
      </c>
      <c r="K243" s="164">
        <f>IF(C243="","",COUNTIFS(Başvuru!$C:$C,C243,Başvuru!$L:$L,"DÜZELTME",Başvuru!$A:$A,"&lt;&gt;"&amp;"",Başvuru!$F:$F,"&lt;&gt;"&amp;""))</f>
        <v>1</v>
      </c>
      <c r="L243" s="165">
        <f>IF(C243="","",COUNTIFS(Başvuru!$C:$C,C243,Başvuru!$L:$L,"KAEK",Başvuru!$A:$A,"&lt;&gt;"&amp;"",Başvuru!$F:$F,"&lt;&gt;"&amp;""))</f>
        <v>0</v>
      </c>
      <c r="M243" s="166">
        <f>IF(C243="","",COUNTIFS(Başvuru!$C:$C,C243,Başvuru!$L:$L,"GÖRÜŞ",Başvuru!$A:$A,"&lt;&gt;"&amp;"",Başvuru!$F:$F,"&lt;&gt;"&amp;""))</f>
        <v>0</v>
      </c>
      <c r="N243" s="167">
        <f>IF(C243="","",COUNTIFS(Başvuru!$C:$C,C243,Başvuru!$L:$L,"RET",Başvuru!$A:$A,"&lt;&gt;"&amp;"",Başvuru!$F:$F,"&lt;&gt;"&amp;""))</f>
        <v>0</v>
      </c>
      <c r="O243" s="168">
        <f>IF(C243="","",COUNTIFS(Başvuru!$C:$C,C243,Başvuru!$L:$L,"KAPSAM DIŞI",Başvuru!$A:$A,"&lt;&gt;"&amp;"",Başvuru!$F:$F,"&lt;&gt;"&amp;""))</f>
        <v>0</v>
      </c>
      <c r="P243" s="169">
        <f>IF(C243="","",COUNTIFS(Başvuru!$C:$C,C243,Başvuru!$L:$L,"GERİ ÇEKİLDİ",Başvuru!$A:$A,"&lt;&gt;"&amp;"",Başvuru!$F:$F,"&lt;&gt;"&amp;""))</f>
        <v>0</v>
      </c>
      <c r="Q243" s="170" t="str">
        <f>IFERROR(INDEX(Başvuru!$C$2:$C$1851,MATCH(238,Başvuru!$AB$2:$AB$1851,0)),"")</f>
        <v>Dr. Öğr. Üyesi Leyla HUSEYNOVA TERZİ</v>
      </c>
      <c r="R243" s="171">
        <f>IF(Q243="","",COUNTIFS(Başvuru!$C:$C,Q243,Başvuru!$A:$A,"&lt;&gt;"&amp;"",Başvuru!$F:$F,"&lt;&gt;"&amp;""))</f>
        <v>1</v>
      </c>
      <c r="S243" s="171">
        <f>IF(R243="","",RANK(R243,$R$6:$R$505,0)+COUNTIF($R$6:R243,R243)-1)</f>
        <v>264</v>
      </c>
    </row>
    <row r="244" spans="2:19" ht="23.25" customHeight="1" x14ac:dyDescent="0.25">
      <c r="B244" s="159">
        <v>239</v>
      </c>
      <c r="C244" s="160" t="str">
        <f>IFERROR(INDEX($Q$6:$Q$505,MATCH(239,$S$6:$S$505,0)),"")</f>
        <v>Dr. Öğr. Üyesi Evrim ÜNVER</v>
      </c>
      <c r="D244" s="161">
        <f>IF(C244="","",COUNTIFS(Başvuru!$C:$C,C244,Başvuru!$A:$A,"&lt;&gt;"&amp;"",Başvuru!$F:$F,"&lt;&gt;"&amp;""))</f>
        <v>1</v>
      </c>
      <c r="E244" s="159" t="str">
        <f>IF(C244="","-",IF(D244&gt;0,TEXT(D244/(COUNTIFS(Başvuru!$A:$A,"&lt;&gt;",Başvuru!$F:$F,"&lt;&gt;")-1)*100,"0.0")&amp;"%","-"))</f>
        <v>00%</v>
      </c>
      <c r="F244" s="162">
        <f>IF(C244="","",COUNTIFS(Başvuru!$C:$C,C244,Başvuru!$G:$G,"Bireysel Araştırma",Başvuru!$A:$A,"&lt;&gt;"&amp;"",Başvuru!$F:$F,"&lt;&gt;"&amp;""))</f>
        <v>1</v>
      </c>
      <c r="G244" s="162">
        <f>IF(C244="","",COUNTIFS(Başvuru!$C:$C,C244,Başvuru!$G:$G,"Uzmanlık Tezi",Başvuru!$A:$A,"&lt;&gt;"&amp;"",Başvuru!$F:$F,"&lt;&gt;"&amp;""))</f>
        <v>0</v>
      </c>
      <c r="H244" s="162">
        <f>IF(C244="","",COUNTIFS(Başvuru!$C:$C,C244,Başvuru!$G:$G,"Doktora Tezi",Başvuru!$A:$A,"&lt;&gt;"&amp;"",Başvuru!$F:$F,"&lt;&gt;"&amp;""))</f>
        <v>0</v>
      </c>
      <c r="I244" s="162">
        <f>IF(C244="","",COUNTIFS(Başvuru!$C:$C,C244,Başvuru!$G:$G,"Yüksek Lisans Tezi",Başvuru!$A:$A,"&lt;&gt;"&amp;"",Başvuru!$F:$F,"&lt;&gt;"&amp;""))</f>
        <v>0</v>
      </c>
      <c r="J244" s="163">
        <f>IF(C244="","",COUNTIFS(Başvuru!$C:$C,C244,Başvuru!$L:$L,"ONAY",Başvuru!$A:$A,"&lt;&gt;"&amp;"",Başvuru!$F:$F,"&lt;&gt;"&amp;""))</f>
        <v>1</v>
      </c>
      <c r="K244" s="164">
        <f>IF(C244="","",COUNTIFS(Başvuru!$C:$C,C244,Başvuru!$L:$L,"DÜZELTME",Başvuru!$A:$A,"&lt;&gt;"&amp;"",Başvuru!$F:$F,"&lt;&gt;"&amp;""))</f>
        <v>0</v>
      </c>
      <c r="L244" s="165">
        <f>IF(C244="","",COUNTIFS(Başvuru!$C:$C,C244,Başvuru!$L:$L,"KAEK",Başvuru!$A:$A,"&lt;&gt;"&amp;"",Başvuru!$F:$F,"&lt;&gt;"&amp;""))</f>
        <v>0</v>
      </c>
      <c r="M244" s="166">
        <f>IF(C244="","",COUNTIFS(Başvuru!$C:$C,C244,Başvuru!$L:$L,"GÖRÜŞ",Başvuru!$A:$A,"&lt;&gt;"&amp;"",Başvuru!$F:$F,"&lt;&gt;"&amp;""))</f>
        <v>0</v>
      </c>
      <c r="N244" s="167">
        <f>IF(C244="","",COUNTIFS(Başvuru!$C:$C,C244,Başvuru!$L:$L,"RET",Başvuru!$A:$A,"&lt;&gt;"&amp;"",Başvuru!$F:$F,"&lt;&gt;"&amp;""))</f>
        <v>0</v>
      </c>
      <c r="O244" s="168">
        <f>IF(C244="","",COUNTIFS(Başvuru!$C:$C,C244,Başvuru!$L:$L,"KAPSAM DIŞI",Başvuru!$A:$A,"&lt;&gt;"&amp;"",Başvuru!$F:$F,"&lt;&gt;"&amp;""))</f>
        <v>0</v>
      </c>
      <c r="P244" s="169">
        <f>IF(C244="","",COUNTIFS(Başvuru!$C:$C,C244,Başvuru!$L:$L,"GERİ ÇEKİLDİ",Başvuru!$A:$A,"&lt;&gt;"&amp;"",Başvuru!$F:$F,"&lt;&gt;"&amp;""))</f>
        <v>0</v>
      </c>
      <c r="Q244" s="170" t="str">
        <f>IFERROR(INDEX(Başvuru!$C$2:$C$1851,MATCH(239,Başvuru!$AB$2:$AB$1851,0)),"")</f>
        <v>Prof. Dr. Tarık TUNCAY</v>
      </c>
      <c r="R244" s="171">
        <f>IF(Q244="","",COUNTIFS(Başvuru!$C:$C,Q244,Başvuru!$A:$A,"&lt;&gt;"&amp;"",Başvuru!$F:$F,"&lt;&gt;"&amp;""))</f>
        <v>1</v>
      </c>
      <c r="S244" s="171">
        <f>IF(R244="","",RANK(R244,$R$6:$R$505,0)+COUNTIF($R$6:R244,R244)-1)</f>
        <v>265</v>
      </c>
    </row>
    <row r="245" spans="2:19" ht="23.25" customHeight="1" x14ac:dyDescent="0.25">
      <c r="B245" s="159">
        <v>240</v>
      </c>
      <c r="C245" s="160" t="str">
        <f>IFERROR(INDEX($Q$6:$Q$505,MATCH(240,$S$6:$S$505,0)),"")</f>
        <v>Doç. Dr. Özlem DİKMETAŞ SANDIKÇI</v>
      </c>
      <c r="D245" s="161">
        <f>IF(C245="","",COUNTIFS(Başvuru!$C:$C,C245,Başvuru!$A:$A,"&lt;&gt;"&amp;"",Başvuru!$F:$F,"&lt;&gt;"&amp;""))</f>
        <v>1</v>
      </c>
      <c r="E245" s="159" t="str">
        <f>IF(C245="","-",IF(D245&gt;0,TEXT(D245/(COUNTIFS(Başvuru!$A:$A,"&lt;&gt;",Başvuru!$F:$F,"&lt;&gt;")-1)*100,"0.0")&amp;"%","-"))</f>
        <v>00%</v>
      </c>
      <c r="F245" s="162">
        <f>IF(C245="","",COUNTIFS(Başvuru!$C:$C,C245,Başvuru!$G:$G,"Bireysel Araştırma",Başvuru!$A:$A,"&lt;&gt;"&amp;"",Başvuru!$F:$F,"&lt;&gt;"&amp;""))</f>
        <v>1</v>
      </c>
      <c r="G245" s="162">
        <f>IF(C245="","",COUNTIFS(Başvuru!$C:$C,C245,Başvuru!$G:$G,"Uzmanlık Tezi",Başvuru!$A:$A,"&lt;&gt;"&amp;"",Başvuru!$F:$F,"&lt;&gt;"&amp;""))</f>
        <v>0</v>
      </c>
      <c r="H245" s="162">
        <f>IF(C245="","",COUNTIFS(Başvuru!$C:$C,C245,Başvuru!$G:$G,"Doktora Tezi",Başvuru!$A:$A,"&lt;&gt;"&amp;"",Başvuru!$F:$F,"&lt;&gt;"&amp;""))</f>
        <v>0</v>
      </c>
      <c r="I245" s="162">
        <f>IF(C245="","",COUNTIFS(Başvuru!$C:$C,C245,Başvuru!$G:$G,"Yüksek Lisans Tezi",Başvuru!$A:$A,"&lt;&gt;"&amp;"",Başvuru!$F:$F,"&lt;&gt;"&amp;""))</f>
        <v>0</v>
      </c>
      <c r="J245" s="163">
        <f>IF(C245="","",COUNTIFS(Başvuru!$C:$C,C245,Başvuru!$L:$L,"ONAY",Başvuru!$A:$A,"&lt;&gt;"&amp;"",Başvuru!$F:$F,"&lt;&gt;"&amp;""))</f>
        <v>1</v>
      </c>
      <c r="K245" s="164">
        <f>IF(C245="","",COUNTIFS(Başvuru!$C:$C,C245,Başvuru!$L:$L,"DÜZELTME",Başvuru!$A:$A,"&lt;&gt;"&amp;"",Başvuru!$F:$F,"&lt;&gt;"&amp;""))</f>
        <v>0</v>
      </c>
      <c r="L245" s="165">
        <f>IF(C245="","",COUNTIFS(Başvuru!$C:$C,C245,Başvuru!$L:$L,"KAEK",Başvuru!$A:$A,"&lt;&gt;"&amp;"",Başvuru!$F:$F,"&lt;&gt;"&amp;""))</f>
        <v>0</v>
      </c>
      <c r="M245" s="166">
        <f>IF(C245="","",COUNTIFS(Başvuru!$C:$C,C245,Başvuru!$L:$L,"GÖRÜŞ",Başvuru!$A:$A,"&lt;&gt;"&amp;"",Başvuru!$F:$F,"&lt;&gt;"&amp;""))</f>
        <v>0</v>
      </c>
      <c r="N245" s="167">
        <f>IF(C245="","",COUNTIFS(Başvuru!$C:$C,C245,Başvuru!$L:$L,"RET",Başvuru!$A:$A,"&lt;&gt;"&amp;"",Başvuru!$F:$F,"&lt;&gt;"&amp;""))</f>
        <v>0</v>
      </c>
      <c r="O245" s="168">
        <f>IF(C245="","",COUNTIFS(Başvuru!$C:$C,C245,Başvuru!$L:$L,"KAPSAM DIŞI",Başvuru!$A:$A,"&lt;&gt;"&amp;"",Başvuru!$F:$F,"&lt;&gt;"&amp;""))</f>
        <v>0</v>
      </c>
      <c r="P245" s="169">
        <f>IF(C245="","",COUNTIFS(Başvuru!$C:$C,C245,Başvuru!$L:$L,"GERİ ÇEKİLDİ",Başvuru!$A:$A,"&lt;&gt;"&amp;"",Başvuru!$F:$F,"&lt;&gt;"&amp;""))</f>
        <v>0</v>
      </c>
      <c r="Q245" s="170" t="str">
        <f>IFERROR(INDEX(Başvuru!$C$2:$C$1851,MATCH(240,Başvuru!$AB$2:$AB$1851,0)),"")</f>
        <v>Arş. Gör. Dr. Şeyma KAHRAMAN</v>
      </c>
      <c r="R245" s="171">
        <f>IF(Q245="","",COUNTIFS(Başvuru!$C:$C,Q245,Başvuru!$A:$A,"&lt;&gt;"&amp;"",Başvuru!$F:$F,"&lt;&gt;"&amp;""))</f>
        <v>1</v>
      </c>
      <c r="S245" s="171">
        <f>IF(R245="","",RANK(R245,$R$6:$R$505,0)+COUNTIF($R$6:R245,R245)-1)</f>
        <v>266</v>
      </c>
    </row>
    <row r="246" spans="2:19" ht="23.25" customHeight="1" x14ac:dyDescent="0.25">
      <c r="B246" s="159">
        <v>241</v>
      </c>
      <c r="C246" s="173" t="str">
        <f>IFERROR(INDEX($Q$6:$Q$505,MATCH(241,$S$6:$S$505,0)),"")</f>
        <v>Prof. Dr. Gülten GÜVENÇ
Doç. Dr. Gölşah KÖK</v>
      </c>
      <c r="D246" s="161">
        <f>IF(C246="","",COUNTIFS(Başvuru!$C:$C,C246,Başvuru!$A:$A,"&lt;&gt;"&amp;"",Başvuru!$F:$F,"&lt;&gt;"&amp;""))</f>
        <v>1</v>
      </c>
      <c r="E246" s="159" t="str">
        <f>IF(C246="","-",IF(D246&gt;0,TEXT(D246/(COUNTIFS(Başvuru!$A:$A,"&lt;&gt;",Başvuru!$F:$F,"&lt;&gt;")-1)*100,"0.0")&amp;"%","-"))</f>
        <v>00%</v>
      </c>
      <c r="F246" s="162">
        <f>IF(C246="","",COUNTIFS(Başvuru!$C:$C,C246,Başvuru!$G:$G,"Bireysel Araştırma",Başvuru!$A:$A,"&lt;&gt;"&amp;"",Başvuru!$F:$F,"&lt;&gt;"&amp;""))</f>
        <v>1</v>
      </c>
      <c r="G246" s="162">
        <f>IF(C246="","",COUNTIFS(Başvuru!$C:$C,C246,Başvuru!$G:$G,"Uzmanlık Tezi",Başvuru!$A:$A,"&lt;&gt;"&amp;"",Başvuru!$F:$F,"&lt;&gt;"&amp;""))</f>
        <v>0</v>
      </c>
      <c r="H246" s="162">
        <f>IF(C246="","",COUNTIFS(Başvuru!$C:$C,C246,Başvuru!$G:$G,"Doktora Tezi",Başvuru!$A:$A,"&lt;&gt;"&amp;"",Başvuru!$F:$F,"&lt;&gt;"&amp;""))</f>
        <v>0</v>
      </c>
      <c r="I246" s="162">
        <f>IF(C246="","",COUNTIFS(Başvuru!$C:$C,C246,Başvuru!$G:$G,"Yüksek Lisans Tezi",Başvuru!$A:$A,"&lt;&gt;"&amp;"",Başvuru!$F:$F,"&lt;&gt;"&amp;""))</f>
        <v>0</v>
      </c>
      <c r="J246" s="163">
        <f>IF(C246="","",COUNTIFS(Başvuru!$C:$C,C246,Başvuru!$L:$L,"ONAY",Başvuru!$A:$A,"&lt;&gt;"&amp;"",Başvuru!$F:$F,"&lt;&gt;"&amp;""))</f>
        <v>0</v>
      </c>
      <c r="K246" s="164">
        <f>IF(C246="","",COUNTIFS(Başvuru!$C:$C,C246,Başvuru!$L:$L,"DÜZELTME",Başvuru!$A:$A,"&lt;&gt;"&amp;"",Başvuru!$F:$F,"&lt;&gt;"&amp;""))</f>
        <v>1</v>
      </c>
      <c r="L246" s="165">
        <f>IF(C246="","",COUNTIFS(Başvuru!$C:$C,C246,Başvuru!$L:$L,"KAEK",Başvuru!$A:$A,"&lt;&gt;"&amp;"",Başvuru!$F:$F,"&lt;&gt;"&amp;""))</f>
        <v>0</v>
      </c>
      <c r="M246" s="166">
        <f>IF(C246="","",COUNTIFS(Başvuru!$C:$C,C246,Başvuru!$L:$L,"GÖRÜŞ",Başvuru!$A:$A,"&lt;&gt;"&amp;"",Başvuru!$F:$F,"&lt;&gt;"&amp;""))</f>
        <v>0</v>
      </c>
      <c r="N246" s="167">
        <f>IF(C246="","",COUNTIFS(Başvuru!$C:$C,C246,Başvuru!$L:$L,"RET",Başvuru!$A:$A,"&lt;&gt;"&amp;"",Başvuru!$F:$F,"&lt;&gt;"&amp;""))</f>
        <v>0</v>
      </c>
      <c r="O246" s="168">
        <f>IF(C246="","",COUNTIFS(Başvuru!$C:$C,C246,Başvuru!$L:$L,"KAPSAM DIŞI",Başvuru!$A:$A,"&lt;&gt;"&amp;"",Başvuru!$F:$F,"&lt;&gt;"&amp;""))</f>
        <v>0</v>
      </c>
      <c r="P246" s="169">
        <f>IF(C246="","",COUNTIFS(Başvuru!$C:$C,C246,Başvuru!$L:$L,"GERİ ÇEKİLDİ",Başvuru!$A:$A,"&lt;&gt;"&amp;"",Başvuru!$F:$F,"&lt;&gt;"&amp;""))</f>
        <v>0</v>
      </c>
      <c r="Q246" s="170" t="str">
        <f>IFERROR(INDEX(Başvuru!$C$2:$C$1851,MATCH(241,Başvuru!$AB$2:$AB$1851,0)),"")</f>
        <v>Doç. Dr. Ayşe Bikem KARGI</v>
      </c>
      <c r="R246" s="171">
        <f>IF(Q246="","",COUNTIFS(Başvuru!$C:$C,Q246,Başvuru!$A:$A,"&lt;&gt;"&amp;"",Başvuru!$F:$F,"&lt;&gt;"&amp;""))</f>
        <v>1</v>
      </c>
      <c r="S246" s="171">
        <f>IF(R246="","",RANK(R246,$R$6:$R$505,0)+COUNTIF($R$6:R246,R246)-1)</f>
        <v>267</v>
      </c>
    </row>
    <row r="247" spans="2:19" ht="23.25" customHeight="1" x14ac:dyDescent="0.25">
      <c r="B247" s="159">
        <v>242</v>
      </c>
      <c r="C247" s="160" t="str">
        <f>IFERROR(INDEX($Q$6:$Q$505,MATCH(242,$S$6:$S$505,0)),"")</f>
        <v>Prof. Dr. Ebru AYPAR</v>
      </c>
      <c r="D247" s="161">
        <f>IF(C247="","",COUNTIFS(Başvuru!$C:$C,C247,Başvuru!$A:$A,"&lt;&gt;"&amp;"",Başvuru!$F:$F,"&lt;&gt;"&amp;""))</f>
        <v>1</v>
      </c>
      <c r="E247" s="159" t="str">
        <f>IF(C247="","-",IF(D247&gt;0,TEXT(D247/(COUNTIFS(Başvuru!$A:$A,"&lt;&gt;",Başvuru!$F:$F,"&lt;&gt;")-1)*100,"0.0")&amp;"%","-"))</f>
        <v>00%</v>
      </c>
      <c r="F247" s="162">
        <f>IF(C247="","",COUNTIFS(Başvuru!$C:$C,C247,Başvuru!$G:$G,"Bireysel Araştırma",Başvuru!$A:$A,"&lt;&gt;"&amp;"",Başvuru!$F:$F,"&lt;&gt;"&amp;""))</f>
        <v>0</v>
      </c>
      <c r="G247" s="162">
        <f>IF(C247="","",COUNTIFS(Başvuru!$C:$C,C247,Başvuru!$G:$G,"Uzmanlık Tezi",Başvuru!$A:$A,"&lt;&gt;"&amp;"",Başvuru!$F:$F,"&lt;&gt;"&amp;""))</f>
        <v>1</v>
      </c>
      <c r="H247" s="162">
        <f>IF(C247="","",COUNTIFS(Başvuru!$C:$C,C247,Başvuru!$G:$G,"Doktora Tezi",Başvuru!$A:$A,"&lt;&gt;"&amp;"",Başvuru!$F:$F,"&lt;&gt;"&amp;""))</f>
        <v>0</v>
      </c>
      <c r="I247" s="162">
        <f>IF(C247="","",COUNTIFS(Başvuru!$C:$C,C247,Başvuru!$G:$G,"Yüksek Lisans Tezi",Başvuru!$A:$A,"&lt;&gt;"&amp;"",Başvuru!$F:$F,"&lt;&gt;"&amp;""))</f>
        <v>0</v>
      </c>
      <c r="J247" s="163">
        <f>IF(C247="","",COUNTIFS(Başvuru!$C:$C,C247,Başvuru!$L:$L,"ONAY",Başvuru!$A:$A,"&lt;&gt;"&amp;"",Başvuru!$F:$F,"&lt;&gt;"&amp;""))</f>
        <v>1</v>
      </c>
      <c r="K247" s="164">
        <f>IF(C247="","",COUNTIFS(Başvuru!$C:$C,C247,Başvuru!$L:$L,"DÜZELTME",Başvuru!$A:$A,"&lt;&gt;"&amp;"",Başvuru!$F:$F,"&lt;&gt;"&amp;""))</f>
        <v>0</v>
      </c>
      <c r="L247" s="165">
        <f>IF(C247="","",COUNTIFS(Başvuru!$C:$C,C247,Başvuru!$L:$L,"KAEK",Başvuru!$A:$A,"&lt;&gt;"&amp;"",Başvuru!$F:$F,"&lt;&gt;"&amp;""))</f>
        <v>0</v>
      </c>
      <c r="M247" s="166">
        <f>IF(C247="","",COUNTIFS(Başvuru!$C:$C,C247,Başvuru!$L:$L,"GÖRÜŞ",Başvuru!$A:$A,"&lt;&gt;"&amp;"",Başvuru!$F:$F,"&lt;&gt;"&amp;""))</f>
        <v>0</v>
      </c>
      <c r="N247" s="167">
        <f>IF(C247="","",COUNTIFS(Başvuru!$C:$C,C247,Başvuru!$L:$L,"RET",Başvuru!$A:$A,"&lt;&gt;"&amp;"",Başvuru!$F:$F,"&lt;&gt;"&amp;""))</f>
        <v>0</v>
      </c>
      <c r="O247" s="168">
        <f>IF(C247="","",COUNTIFS(Başvuru!$C:$C,C247,Başvuru!$L:$L,"KAPSAM DIŞI",Başvuru!$A:$A,"&lt;&gt;"&amp;"",Başvuru!$F:$F,"&lt;&gt;"&amp;""))</f>
        <v>0</v>
      </c>
      <c r="P247" s="169">
        <f>IF(C247="","",COUNTIFS(Başvuru!$C:$C,C247,Başvuru!$L:$L,"GERİ ÇEKİLDİ",Başvuru!$A:$A,"&lt;&gt;"&amp;"",Başvuru!$F:$F,"&lt;&gt;"&amp;""))</f>
        <v>0</v>
      </c>
      <c r="Q247" s="170" t="str">
        <f>IFERROR(INDEX(Başvuru!$C$2:$C$1851,MATCH(242,Başvuru!$AB$2:$AB$1851,0)),"")</f>
        <v>Prof. Dr. Pelin Özlem ŞİMŞEK KİPER</v>
      </c>
      <c r="R247" s="171">
        <f>IF(Q247="","",COUNTIFS(Başvuru!$C:$C,Q247,Başvuru!$A:$A,"&lt;&gt;"&amp;"",Başvuru!$F:$F,"&lt;&gt;"&amp;""))</f>
        <v>1</v>
      </c>
      <c r="S247" s="171">
        <f>IF(R247="","",RANK(R247,$R$6:$R$505,0)+COUNTIF($R$6:R247,R247)-1)</f>
        <v>268</v>
      </c>
    </row>
    <row r="248" spans="2:19" ht="23.25" customHeight="1" x14ac:dyDescent="0.25">
      <c r="B248" s="159">
        <v>243</v>
      </c>
      <c r="C248" s="160" t="str">
        <f>IFERROR(INDEX($Q$6:$Q$505,MATCH(243,$S$6:$S$505,0)),"")</f>
        <v>Prof. Dr. Erdem KARABULUT</v>
      </c>
      <c r="D248" s="161">
        <f>IF(C248="","",COUNTIFS(Başvuru!$C:$C,C248,Başvuru!$A:$A,"&lt;&gt;"&amp;"",Başvuru!$F:$F,"&lt;&gt;"&amp;""))</f>
        <v>1</v>
      </c>
      <c r="E248" s="159" t="str">
        <f>IF(C248="","-",IF(D248&gt;0,TEXT(D248/(COUNTIFS(Başvuru!$A:$A,"&lt;&gt;",Başvuru!$F:$F,"&lt;&gt;")-1)*100,"0.0")&amp;"%","-"))</f>
        <v>00%</v>
      </c>
      <c r="F248" s="162">
        <f>IF(C248="","",COUNTIFS(Başvuru!$C:$C,C248,Başvuru!$G:$G,"Bireysel Araştırma",Başvuru!$A:$A,"&lt;&gt;"&amp;"",Başvuru!$F:$F,"&lt;&gt;"&amp;""))</f>
        <v>0</v>
      </c>
      <c r="G248" s="162">
        <f>IF(C248="","",COUNTIFS(Başvuru!$C:$C,C248,Başvuru!$G:$G,"Uzmanlık Tezi",Başvuru!$A:$A,"&lt;&gt;"&amp;"",Başvuru!$F:$F,"&lt;&gt;"&amp;""))</f>
        <v>0</v>
      </c>
      <c r="H248" s="162">
        <f>IF(C248="","",COUNTIFS(Başvuru!$C:$C,C248,Başvuru!$G:$G,"Doktora Tezi",Başvuru!$A:$A,"&lt;&gt;"&amp;"",Başvuru!$F:$F,"&lt;&gt;"&amp;""))</f>
        <v>1</v>
      </c>
      <c r="I248" s="162">
        <f>IF(C248="","",COUNTIFS(Başvuru!$C:$C,C248,Başvuru!$G:$G,"Yüksek Lisans Tezi",Başvuru!$A:$A,"&lt;&gt;"&amp;"",Başvuru!$F:$F,"&lt;&gt;"&amp;""))</f>
        <v>0</v>
      </c>
      <c r="J248" s="163">
        <f>IF(C248="","",COUNTIFS(Başvuru!$C:$C,C248,Başvuru!$L:$L,"ONAY",Başvuru!$A:$A,"&lt;&gt;"&amp;"",Başvuru!$F:$F,"&lt;&gt;"&amp;""))</f>
        <v>1</v>
      </c>
      <c r="K248" s="164">
        <f>IF(C248="","",COUNTIFS(Başvuru!$C:$C,C248,Başvuru!$L:$L,"DÜZELTME",Başvuru!$A:$A,"&lt;&gt;"&amp;"",Başvuru!$F:$F,"&lt;&gt;"&amp;""))</f>
        <v>0</v>
      </c>
      <c r="L248" s="165">
        <f>IF(C248="","",COUNTIFS(Başvuru!$C:$C,C248,Başvuru!$L:$L,"KAEK",Başvuru!$A:$A,"&lt;&gt;"&amp;"",Başvuru!$F:$F,"&lt;&gt;"&amp;""))</f>
        <v>0</v>
      </c>
      <c r="M248" s="166">
        <f>IF(C248="","",COUNTIFS(Başvuru!$C:$C,C248,Başvuru!$L:$L,"GÖRÜŞ",Başvuru!$A:$A,"&lt;&gt;"&amp;"",Başvuru!$F:$F,"&lt;&gt;"&amp;""))</f>
        <v>0</v>
      </c>
      <c r="N248" s="167">
        <f>IF(C248="","",COUNTIFS(Başvuru!$C:$C,C248,Başvuru!$L:$L,"RET",Başvuru!$A:$A,"&lt;&gt;"&amp;"",Başvuru!$F:$F,"&lt;&gt;"&amp;""))</f>
        <v>0</v>
      </c>
      <c r="O248" s="168">
        <f>IF(C248="","",COUNTIFS(Başvuru!$C:$C,C248,Başvuru!$L:$L,"KAPSAM DIŞI",Başvuru!$A:$A,"&lt;&gt;"&amp;"",Başvuru!$F:$F,"&lt;&gt;"&amp;""))</f>
        <v>0</v>
      </c>
      <c r="P248" s="169">
        <f>IF(C248="","",COUNTIFS(Başvuru!$C:$C,C248,Başvuru!$L:$L,"GERİ ÇEKİLDİ",Başvuru!$A:$A,"&lt;&gt;"&amp;"",Başvuru!$F:$F,"&lt;&gt;"&amp;""))</f>
        <v>0</v>
      </c>
      <c r="Q248" s="170" t="str">
        <f>IFERROR(INDEX(Başvuru!$C$2:$C$1851,MATCH(243,Başvuru!$AB$2:$AB$1851,0)),"")</f>
        <v>Doç. Dr. Gülçin TELLİ DİZMAN</v>
      </c>
      <c r="R248" s="171">
        <f>IF(Q248="","",COUNTIFS(Başvuru!$C:$C,Q248,Başvuru!$A:$A,"&lt;&gt;"&amp;"",Başvuru!$F:$F,"&lt;&gt;"&amp;""))</f>
        <v>2</v>
      </c>
      <c r="S248" s="171">
        <f>IF(R248="","",RANK(R248,$R$6:$R$505,0)+COUNTIF($R$6:R248,R248)-1)</f>
        <v>136</v>
      </c>
    </row>
    <row r="249" spans="2:19" ht="23.25" customHeight="1" x14ac:dyDescent="0.25">
      <c r="B249" s="159">
        <v>244</v>
      </c>
      <c r="C249" s="160" t="str">
        <f>IFERROR(INDEX($Q$6:$Q$505,MATCH(244,$S$6:$S$505,0)),"")</f>
        <v>Doç. Dr. Nezih AKKAPULU</v>
      </c>
      <c r="D249" s="161">
        <f>IF(C249="","",COUNTIFS(Başvuru!$C:$C,C249,Başvuru!$A:$A,"&lt;&gt;"&amp;"",Başvuru!$F:$F,"&lt;&gt;"&amp;""))</f>
        <v>1</v>
      </c>
      <c r="E249" s="159" t="str">
        <f>IF(C249="","-",IF(D249&gt;0,TEXT(D249/(COUNTIFS(Başvuru!$A:$A,"&lt;&gt;",Başvuru!$F:$F,"&lt;&gt;")-1)*100,"0.0")&amp;"%","-"))</f>
        <v>00%</v>
      </c>
      <c r="F249" s="162">
        <f>IF(C249="","",COUNTIFS(Başvuru!$C:$C,C249,Başvuru!$G:$G,"Bireysel Araştırma",Başvuru!$A:$A,"&lt;&gt;"&amp;"",Başvuru!$F:$F,"&lt;&gt;"&amp;""))</f>
        <v>1</v>
      </c>
      <c r="G249" s="162">
        <f>IF(C249="","",COUNTIFS(Başvuru!$C:$C,C249,Başvuru!$G:$G,"Uzmanlık Tezi",Başvuru!$A:$A,"&lt;&gt;"&amp;"",Başvuru!$F:$F,"&lt;&gt;"&amp;""))</f>
        <v>0</v>
      </c>
      <c r="H249" s="162">
        <f>IF(C249="","",COUNTIFS(Başvuru!$C:$C,C249,Başvuru!$G:$G,"Doktora Tezi",Başvuru!$A:$A,"&lt;&gt;"&amp;"",Başvuru!$F:$F,"&lt;&gt;"&amp;""))</f>
        <v>0</v>
      </c>
      <c r="I249" s="162">
        <f>IF(C249="","",COUNTIFS(Başvuru!$C:$C,C249,Başvuru!$G:$G,"Yüksek Lisans Tezi",Başvuru!$A:$A,"&lt;&gt;"&amp;"",Başvuru!$F:$F,"&lt;&gt;"&amp;""))</f>
        <v>0</v>
      </c>
      <c r="J249" s="163">
        <f>IF(C249="","",COUNTIFS(Başvuru!$C:$C,C249,Başvuru!$L:$L,"ONAY",Başvuru!$A:$A,"&lt;&gt;"&amp;"",Başvuru!$F:$F,"&lt;&gt;"&amp;""))</f>
        <v>1</v>
      </c>
      <c r="K249" s="164">
        <f>IF(C249="","",COUNTIFS(Başvuru!$C:$C,C249,Başvuru!$L:$L,"DÜZELTME",Başvuru!$A:$A,"&lt;&gt;"&amp;"",Başvuru!$F:$F,"&lt;&gt;"&amp;""))</f>
        <v>0</v>
      </c>
      <c r="L249" s="165">
        <f>IF(C249="","",COUNTIFS(Başvuru!$C:$C,C249,Başvuru!$L:$L,"KAEK",Başvuru!$A:$A,"&lt;&gt;"&amp;"",Başvuru!$F:$F,"&lt;&gt;"&amp;""))</f>
        <v>0</v>
      </c>
      <c r="M249" s="166">
        <f>IF(C249="","",COUNTIFS(Başvuru!$C:$C,C249,Başvuru!$L:$L,"GÖRÜŞ",Başvuru!$A:$A,"&lt;&gt;"&amp;"",Başvuru!$F:$F,"&lt;&gt;"&amp;""))</f>
        <v>0</v>
      </c>
      <c r="N249" s="167">
        <f>IF(C249="","",COUNTIFS(Başvuru!$C:$C,C249,Başvuru!$L:$L,"RET",Başvuru!$A:$A,"&lt;&gt;"&amp;"",Başvuru!$F:$F,"&lt;&gt;"&amp;""))</f>
        <v>0</v>
      </c>
      <c r="O249" s="168">
        <f>IF(C249="","",COUNTIFS(Başvuru!$C:$C,C249,Başvuru!$L:$L,"KAPSAM DIŞI",Başvuru!$A:$A,"&lt;&gt;"&amp;"",Başvuru!$F:$F,"&lt;&gt;"&amp;""))</f>
        <v>0</v>
      </c>
      <c r="P249" s="169">
        <f>IF(C249="","",COUNTIFS(Başvuru!$C:$C,C249,Başvuru!$L:$L,"GERİ ÇEKİLDİ",Başvuru!$A:$A,"&lt;&gt;"&amp;"",Başvuru!$F:$F,"&lt;&gt;"&amp;""))</f>
        <v>0</v>
      </c>
      <c r="Q249" s="170" t="str">
        <f>IFERROR(INDEX(Başvuru!$C$2:$C$1851,MATCH(244,Başvuru!$AB$2:$AB$1851,0)),"")</f>
        <v>Prof. Dr. Alper AKTAŞ</v>
      </c>
      <c r="R249" s="171">
        <f>IF(Q249="","",COUNTIFS(Başvuru!$C:$C,Q249,Başvuru!$A:$A,"&lt;&gt;"&amp;"",Başvuru!$F:$F,"&lt;&gt;"&amp;""))</f>
        <v>1</v>
      </c>
      <c r="S249" s="171">
        <f>IF(R249="","",RANK(R249,$R$6:$R$505,0)+COUNTIF($R$6:R249,R249)-1)</f>
        <v>269</v>
      </c>
    </row>
    <row r="250" spans="2:19" ht="23.25" customHeight="1" x14ac:dyDescent="0.25">
      <c r="B250" s="159">
        <v>245</v>
      </c>
      <c r="C250" s="160" t="str">
        <f>IFERROR(INDEX($Q$6:$Q$505,MATCH(245,$S$6:$S$505,0)),"")</f>
        <v>Prof. Dr. Gökçen ÇOBAN ÇİFÇİ</v>
      </c>
      <c r="D250" s="161">
        <f>IF(C250="","",COUNTIFS(Başvuru!$C:$C,C250,Başvuru!$A:$A,"&lt;&gt;"&amp;"",Başvuru!$F:$F,"&lt;&gt;"&amp;""))</f>
        <v>1</v>
      </c>
      <c r="E250" s="159" t="str">
        <f>IF(C250="","-",IF(D250&gt;0,TEXT(D250/(COUNTIFS(Başvuru!$A:$A,"&lt;&gt;",Başvuru!$F:$F,"&lt;&gt;")-1)*100,"0.0")&amp;"%","-"))</f>
        <v>00%</v>
      </c>
      <c r="F250" s="162">
        <f>IF(C250="","",COUNTIFS(Başvuru!$C:$C,C250,Başvuru!$G:$G,"Bireysel Araştırma",Başvuru!$A:$A,"&lt;&gt;"&amp;"",Başvuru!$F:$F,"&lt;&gt;"&amp;""))</f>
        <v>0</v>
      </c>
      <c r="G250" s="162">
        <f>IF(C250="","",COUNTIFS(Başvuru!$C:$C,C250,Başvuru!$G:$G,"Uzmanlık Tezi",Başvuru!$A:$A,"&lt;&gt;"&amp;"",Başvuru!$F:$F,"&lt;&gt;"&amp;""))</f>
        <v>1</v>
      </c>
      <c r="H250" s="162">
        <f>IF(C250="","",COUNTIFS(Başvuru!$C:$C,C250,Başvuru!$G:$G,"Doktora Tezi",Başvuru!$A:$A,"&lt;&gt;"&amp;"",Başvuru!$F:$F,"&lt;&gt;"&amp;""))</f>
        <v>0</v>
      </c>
      <c r="I250" s="162">
        <f>IF(C250="","",COUNTIFS(Başvuru!$C:$C,C250,Başvuru!$G:$G,"Yüksek Lisans Tezi",Başvuru!$A:$A,"&lt;&gt;"&amp;"",Başvuru!$F:$F,"&lt;&gt;"&amp;""))</f>
        <v>0</v>
      </c>
      <c r="J250" s="163">
        <f>IF(C250="","",COUNTIFS(Başvuru!$C:$C,C250,Başvuru!$L:$L,"ONAY",Başvuru!$A:$A,"&lt;&gt;"&amp;"",Başvuru!$F:$F,"&lt;&gt;"&amp;""))</f>
        <v>0</v>
      </c>
      <c r="K250" s="164">
        <f>IF(C250="","",COUNTIFS(Başvuru!$C:$C,C250,Başvuru!$L:$L,"DÜZELTME",Başvuru!$A:$A,"&lt;&gt;"&amp;"",Başvuru!$F:$F,"&lt;&gt;"&amp;""))</f>
        <v>1</v>
      </c>
      <c r="L250" s="165">
        <f>IF(C250="","",COUNTIFS(Başvuru!$C:$C,C250,Başvuru!$L:$L,"KAEK",Başvuru!$A:$A,"&lt;&gt;"&amp;"",Başvuru!$F:$F,"&lt;&gt;"&amp;""))</f>
        <v>0</v>
      </c>
      <c r="M250" s="166">
        <f>IF(C250="","",COUNTIFS(Başvuru!$C:$C,C250,Başvuru!$L:$L,"GÖRÜŞ",Başvuru!$A:$A,"&lt;&gt;"&amp;"",Başvuru!$F:$F,"&lt;&gt;"&amp;""))</f>
        <v>0</v>
      </c>
      <c r="N250" s="167">
        <f>IF(C250="","",COUNTIFS(Başvuru!$C:$C,C250,Başvuru!$L:$L,"RET",Başvuru!$A:$A,"&lt;&gt;"&amp;"",Başvuru!$F:$F,"&lt;&gt;"&amp;""))</f>
        <v>0</v>
      </c>
      <c r="O250" s="168">
        <f>IF(C250="","",COUNTIFS(Başvuru!$C:$C,C250,Başvuru!$L:$L,"KAPSAM DIŞI",Başvuru!$A:$A,"&lt;&gt;"&amp;"",Başvuru!$F:$F,"&lt;&gt;"&amp;""))</f>
        <v>0</v>
      </c>
      <c r="P250" s="169">
        <f>IF(C250="","",COUNTIFS(Başvuru!$C:$C,C250,Başvuru!$L:$L,"GERİ ÇEKİLDİ",Başvuru!$A:$A,"&lt;&gt;"&amp;"",Başvuru!$F:$F,"&lt;&gt;"&amp;""))</f>
        <v>0</v>
      </c>
      <c r="Q250" s="170" t="str">
        <f>IFERROR(INDEX(Başvuru!$C$2:$C$1851,MATCH(245,Başvuru!$AB$2:$AB$1851,0)),"")</f>
        <v>Doç. Dr. Barış SEZER</v>
      </c>
      <c r="R250" s="171">
        <f>IF(Q250="","",COUNTIFS(Başvuru!$C:$C,Q250,Başvuru!$A:$A,"&lt;&gt;"&amp;"",Başvuru!$F:$F,"&lt;&gt;"&amp;""))</f>
        <v>2</v>
      </c>
      <c r="S250" s="171">
        <f>IF(R250="","",RANK(R250,$R$6:$R$505,0)+COUNTIF($R$6:R250,R250)-1)</f>
        <v>137</v>
      </c>
    </row>
    <row r="251" spans="2:19" ht="23.25" customHeight="1" x14ac:dyDescent="0.25">
      <c r="B251" s="159">
        <v>246</v>
      </c>
      <c r="C251" s="160" t="str">
        <f>IFERROR(INDEX($Q$6:$Q$505,MATCH(246,$S$6:$S$505,0)),"")</f>
        <v>Prof. Dr. Ömrüm UZUN</v>
      </c>
      <c r="D251" s="161">
        <f>IF(C251="","",COUNTIFS(Başvuru!$C:$C,C251,Başvuru!$A:$A,"&lt;&gt;"&amp;"",Başvuru!$F:$F,"&lt;&gt;"&amp;""))</f>
        <v>1</v>
      </c>
      <c r="E251" s="159" t="str">
        <f>IF(C251="","-",IF(D251&gt;0,TEXT(D251/(COUNTIFS(Başvuru!$A:$A,"&lt;&gt;",Başvuru!$F:$F,"&lt;&gt;")-1)*100,"0.0")&amp;"%","-"))</f>
        <v>00%</v>
      </c>
      <c r="F251" s="162">
        <f>IF(C251="","",COUNTIFS(Başvuru!$C:$C,C251,Başvuru!$G:$G,"Bireysel Araştırma",Başvuru!$A:$A,"&lt;&gt;"&amp;"",Başvuru!$F:$F,"&lt;&gt;"&amp;""))</f>
        <v>1</v>
      </c>
      <c r="G251" s="162">
        <f>IF(C251="","",COUNTIFS(Başvuru!$C:$C,C251,Başvuru!$G:$G,"Uzmanlık Tezi",Başvuru!$A:$A,"&lt;&gt;"&amp;"",Başvuru!$F:$F,"&lt;&gt;"&amp;""))</f>
        <v>0</v>
      </c>
      <c r="H251" s="162">
        <f>IF(C251="","",COUNTIFS(Başvuru!$C:$C,C251,Başvuru!$G:$G,"Doktora Tezi",Başvuru!$A:$A,"&lt;&gt;"&amp;"",Başvuru!$F:$F,"&lt;&gt;"&amp;""))</f>
        <v>0</v>
      </c>
      <c r="I251" s="162">
        <f>IF(C251="","",COUNTIFS(Başvuru!$C:$C,C251,Başvuru!$G:$G,"Yüksek Lisans Tezi",Başvuru!$A:$A,"&lt;&gt;"&amp;"",Başvuru!$F:$F,"&lt;&gt;"&amp;""))</f>
        <v>0</v>
      </c>
      <c r="J251" s="163">
        <f>IF(C251="","",COUNTIFS(Başvuru!$C:$C,C251,Başvuru!$L:$L,"ONAY",Başvuru!$A:$A,"&lt;&gt;"&amp;"",Başvuru!$F:$F,"&lt;&gt;"&amp;""))</f>
        <v>1</v>
      </c>
      <c r="K251" s="164">
        <f>IF(C251="","",COUNTIFS(Başvuru!$C:$C,C251,Başvuru!$L:$L,"DÜZELTME",Başvuru!$A:$A,"&lt;&gt;"&amp;"",Başvuru!$F:$F,"&lt;&gt;"&amp;""))</f>
        <v>0</v>
      </c>
      <c r="L251" s="165">
        <f>IF(C251="","",COUNTIFS(Başvuru!$C:$C,C251,Başvuru!$L:$L,"KAEK",Başvuru!$A:$A,"&lt;&gt;"&amp;"",Başvuru!$F:$F,"&lt;&gt;"&amp;""))</f>
        <v>0</v>
      </c>
      <c r="M251" s="166">
        <f>IF(C251="","",COUNTIFS(Başvuru!$C:$C,C251,Başvuru!$L:$L,"GÖRÜŞ",Başvuru!$A:$A,"&lt;&gt;"&amp;"",Başvuru!$F:$F,"&lt;&gt;"&amp;""))</f>
        <v>0</v>
      </c>
      <c r="N251" s="167">
        <f>IF(C251="","",COUNTIFS(Başvuru!$C:$C,C251,Başvuru!$L:$L,"RET",Başvuru!$A:$A,"&lt;&gt;"&amp;"",Başvuru!$F:$F,"&lt;&gt;"&amp;""))</f>
        <v>0</v>
      </c>
      <c r="O251" s="168">
        <f>IF(C251="","",COUNTIFS(Başvuru!$C:$C,C251,Başvuru!$L:$L,"KAPSAM DIŞI",Başvuru!$A:$A,"&lt;&gt;"&amp;"",Başvuru!$F:$F,"&lt;&gt;"&amp;""))</f>
        <v>0</v>
      </c>
      <c r="P251" s="169">
        <f>IF(C251="","",COUNTIFS(Başvuru!$C:$C,C251,Başvuru!$L:$L,"GERİ ÇEKİLDİ",Başvuru!$A:$A,"&lt;&gt;"&amp;"",Başvuru!$F:$F,"&lt;&gt;"&amp;""))</f>
        <v>0</v>
      </c>
      <c r="Q251" s="170" t="str">
        <f>IFERROR(INDEX(Başvuru!$C$2:$C$1851,MATCH(246,Başvuru!$AB$2:$AB$1851,0)),"")</f>
        <v>Prof. Dr. Melih Önder BABAOĞLU</v>
      </c>
      <c r="R251" s="171">
        <f>IF(Q251="","",COUNTIFS(Başvuru!$C:$C,Q251,Başvuru!$A:$A,"&lt;&gt;"&amp;"",Başvuru!$F:$F,"&lt;&gt;"&amp;""))</f>
        <v>1</v>
      </c>
      <c r="S251" s="171">
        <f>IF(R251="","",RANK(R251,$R$6:$R$505,0)+COUNTIF($R$6:R251,R251)-1)</f>
        <v>270</v>
      </c>
    </row>
    <row r="252" spans="2:19" ht="23.25" customHeight="1" x14ac:dyDescent="0.25">
      <c r="B252" s="159">
        <v>247</v>
      </c>
      <c r="C252" s="160" t="str">
        <f>IFERROR(INDEX($Q$6:$Q$505,MATCH(247,$S$6:$S$505,0)),"")</f>
        <v>Doç. Dr. Nagihan KOÇ</v>
      </c>
      <c r="D252" s="161">
        <f>IF(C252="","",COUNTIFS(Başvuru!$C:$C,C252,Başvuru!$A:$A,"&lt;&gt;"&amp;"",Başvuru!$F:$F,"&lt;&gt;"&amp;""))</f>
        <v>1</v>
      </c>
      <c r="E252" s="159" t="str">
        <f>IF(C252="","-",IF(D252&gt;0,TEXT(D252/(COUNTIFS(Başvuru!$A:$A,"&lt;&gt;",Başvuru!$F:$F,"&lt;&gt;")-1)*100,"0.0")&amp;"%","-"))</f>
        <v>00%</v>
      </c>
      <c r="F252" s="162">
        <f>IF(C252="","",COUNTIFS(Başvuru!$C:$C,C252,Başvuru!$G:$G,"Bireysel Araştırma",Başvuru!$A:$A,"&lt;&gt;"&amp;"",Başvuru!$F:$F,"&lt;&gt;"&amp;""))</f>
        <v>0</v>
      </c>
      <c r="G252" s="162">
        <f>IF(C252="","",COUNTIFS(Başvuru!$C:$C,C252,Başvuru!$G:$G,"Uzmanlık Tezi",Başvuru!$A:$A,"&lt;&gt;"&amp;"",Başvuru!$F:$F,"&lt;&gt;"&amp;""))</f>
        <v>1</v>
      </c>
      <c r="H252" s="162">
        <f>IF(C252="","",COUNTIFS(Başvuru!$C:$C,C252,Başvuru!$G:$G,"Doktora Tezi",Başvuru!$A:$A,"&lt;&gt;"&amp;"",Başvuru!$F:$F,"&lt;&gt;"&amp;""))</f>
        <v>0</v>
      </c>
      <c r="I252" s="162">
        <f>IF(C252="","",COUNTIFS(Başvuru!$C:$C,C252,Başvuru!$G:$G,"Yüksek Lisans Tezi",Başvuru!$A:$A,"&lt;&gt;"&amp;"",Başvuru!$F:$F,"&lt;&gt;"&amp;""))</f>
        <v>0</v>
      </c>
      <c r="J252" s="163">
        <f>IF(C252="","",COUNTIFS(Başvuru!$C:$C,C252,Başvuru!$L:$L,"ONAY",Başvuru!$A:$A,"&lt;&gt;"&amp;"",Başvuru!$F:$F,"&lt;&gt;"&amp;""))</f>
        <v>1</v>
      </c>
      <c r="K252" s="164">
        <f>IF(C252="","",COUNTIFS(Başvuru!$C:$C,C252,Başvuru!$L:$L,"DÜZELTME",Başvuru!$A:$A,"&lt;&gt;"&amp;"",Başvuru!$F:$F,"&lt;&gt;"&amp;""))</f>
        <v>0</v>
      </c>
      <c r="L252" s="165">
        <f>IF(C252="","",COUNTIFS(Başvuru!$C:$C,C252,Başvuru!$L:$L,"KAEK",Başvuru!$A:$A,"&lt;&gt;"&amp;"",Başvuru!$F:$F,"&lt;&gt;"&amp;""))</f>
        <v>0</v>
      </c>
      <c r="M252" s="166">
        <f>IF(C252="","",COUNTIFS(Başvuru!$C:$C,C252,Başvuru!$L:$L,"GÖRÜŞ",Başvuru!$A:$A,"&lt;&gt;"&amp;"",Başvuru!$F:$F,"&lt;&gt;"&amp;""))</f>
        <v>0</v>
      </c>
      <c r="N252" s="167">
        <f>IF(C252="","",COUNTIFS(Başvuru!$C:$C,C252,Başvuru!$L:$L,"RET",Başvuru!$A:$A,"&lt;&gt;"&amp;"",Başvuru!$F:$F,"&lt;&gt;"&amp;""))</f>
        <v>0</v>
      </c>
      <c r="O252" s="168">
        <f>IF(C252="","",COUNTIFS(Başvuru!$C:$C,C252,Başvuru!$L:$L,"KAPSAM DIŞI",Başvuru!$A:$A,"&lt;&gt;"&amp;"",Başvuru!$F:$F,"&lt;&gt;"&amp;""))</f>
        <v>0</v>
      </c>
      <c r="P252" s="169">
        <f>IF(C252="","",COUNTIFS(Başvuru!$C:$C,C252,Başvuru!$L:$L,"GERİ ÇEKİLDİ",Başvuru!$A:$A,"&lt;&gt;"&amp;"",Başvuru!$F:$F,"&lt;&gt;"&amp;""))</f>
        <v>0</v>
      </c>
      <c r="Q252" s="170" t="str">
        <f>IFERROR(INDEX(Başvuru!$C$2:$C$1851,MATCH(247,Başvuru!$AB$2:$AB$1851,0)),"")</f>
        <v>Dr. Öğr. Üyesi Oğuzhan KATAR</v>
      </c>
      <c r="R252" s="171">
        <f>IF(Q252="","",COUNTIFS(Başvuru!$C:$C,Q252,Başvuru!$A:$A,"&lt;&gt;"&amp;"",Başvuru!$F:$F,"&lt;&gt;"&amp;""))</f>
        <v>1</v>
      </c>
      <c r="S252" s="171">
        <f>IF(R252="","",RANK(R252,$R$6:$R$505,0)+COUNTIF($R$6:R252,R252)-1)</f>
        <v>271</v>
      </c>
    </row>
    <row r="253" spans="2:19" ht="23.25" customHeight="1" x14ac:dyDescent="0.25">
      <c r="B253" s="159">
        <v>248</v>
      </c>
      <c r="C253" s="160" t="str">
        <f>IFERROR(INDEX($Q$6:$Q$505,MATCH(248,$S$6:$S$505,0)),"")</f>
        <v>Dr. Öğr. Üyesi Süleyman BULUT</v>
      </c>
      <c r="D253" s="161">
        <f>IF(C253="","",COUNTIFS(Başvuru!$C:$C,C253,Başvuru!$A:$A,"&lt;&gt;"&amp;"",Başvuru!$F:$F,"&lt;&gt;"&amp;""))</f>
        <v>1</v>
      </c>
      <c r="E253" s="159" t="str">
        <f>IF(C253="","-",IF(D253&gt;0,TEXT(D253/(COUNTIFS(Başvuru!$A:$A,"&lt;&gt;",Başvuru!$F:$F,"&lt;&gt;")-1)*100,"0.0")&amp;"%","-"))</f>
        <v>00%</v>
      </c>
      <c r="F253" s="162">
        <f>IF(C253="","",COUNTIFS(Başvuru!$C:$C,C253,Başvuru!$G:$G,"Bireysel Araştırma",Başvuru!$A:$A,"&lt;&gt;"&amp;"",Başvuru!$F:$F,"&lt;&gt;"&amp;""))</f>
        <v>0</v>
      </c>
      <c r="G253" s="162">
        <f>IF(C253="","",COUNTIFS(Başvuru!$C:$C,C253,Başvuru!$G:$G,"Uzmanlık Tezi",Başvuru!$A:$A,"&lt;&gt;"&amp;"",Başvuru!$F:$F,"&lt;&gt;"&amp;""))</f>
        <v>0</v>
      </c>
      <c r="H253" s="162">
        <f>IF(C253="","",COUNTIFS(Başvuru!$C:$C,C253,Başvuru!$G:$G,"Doktora Tezi",Başvuru!$A:$A,"&lt;&gt;"&amp;"",Başvuru!$F:$F,"&lt;&gt;"&amp;""))</f>
        <v>0</v>
      </c>
      <c r="I253" s="162">
        <f>IF(C253="","",COUNTIFS(Başvuru!$C:$C,C253,Başvuru!$G:$G,"Yüksek Lisans Tezi",Başvuru!$A:$A,"&lt;&gt;"&amp;"",Başvuru!$F:$F,"&lt;&gt;"&amp;""))</f>
        <v>1</v>
      </c>
      <c r="J253" s="163">
        <f>IF(C253="","",COUNTIFS(Başvuru!$C:$C,C253,Başvuru!$L:$L,"ONAY",Başvuru!$A:$A,"&lt;&gt;"&amp;"",Başvuru!$F:$F,"&lt;&gt;"&amp;""))</f>
        <v>0</v>
      </c>
      <c r="K253" s="164">
        <f>IF(C253="","",COUNTIFS(Başvuru!$C:$C,C253,Başvuru!$L:$L,"DÜZELTME",Başvuru!$A:$A,"&lt;&gt;"&amp;"",Başvuru!$F:$F,"&lt;&gt;"&amp;""))</f>
        <v>1</v>
      </c>
      <c r="L253" s="165">
        <f>IF(C253="","",COUNTIFS(Başvuru!$C:$C,C253,Başvuru!$L:$L,"KAEK",Başvuru!$A:$A,"&lt;&gt;"&amp;"",Başvuru!$F:$F,"&lt;&gt;"&amp;""))</f>
        <v>0</v>
      </c>
      <c r="M253" s="166">
        <f>IF(C253="","",COUNTIFS(Başvuru!$C:$C,C253,Başvuru!$L:$L,"GÖRÜŞ",Başvuru!$A:$A,"&lt;&gt;"&amp;"",Başvuru!$F:$F,"&lt;&gt;"&amp;""))</f>
        <v>0</v>
      </c>
      <c r="N253" s="167">
        <f>IF(C253="","",COUNTIFS(Başvuru!$C:$C,C253,Başvuru!$L:$L,"RET",Başvuru!$A:$A,"&lt;&gt;"&amp;"",Başvuru!$F:$F,"&lt;&gt;"&amp;""))</f>
        <v>0</v>
      </c>
      <c r="O253" s="168">
        <f>IF(C253="","",COUNTIFS(Başvuru!$C:$C,C253,Başvuru!$L:$L,"KAPSAM DIŞI",Başvuru!$A:$A,"&lt;&gt;"&amp;"",Başvuru!$F:$F,"&lt;&gt;"&amp;""))</f>
        <v>0</v>
      </c>
      <c r="P253" s="169">
        <f>IF(C253="","",COUNTIFS(Başvuru!$C:$C,C253,Başvuru!$L:$L,"GERİ ÇEKİLDİ",Başvuru!$A:$A,"&lt;&gt;"&amp;"",Başvuru!$F:$F,"&lt;&gt;"&amp;""))</f>
        <v>0</v>
      </c>
      <c r="Q253" s="170" t="str">
        <f>IFERROR(INDEX(Başvuru!$C$2:$C$1851,MATCH(248,Başvuru!$AB$2:$AB$1851,0)),"")</f>
        <v>Doç. Dr. Ahmet KIVRAK</v>
      </c>
      <c r="R253" s="171">
        <f>IF(Q253="","",COUNTIFS(Başvuru!$C:$C,Q253,Başvuru!$A:$A,"&lt;&gt;"&amp;"",Başvuru!$F:$F,"&lt;&gt;"&amp;""))</f>
        <v>4</v>
      </c>
      <c r="S253" s="171">
        <f>IF(R253="","",RANK(R253,$R$6:$R$505,0)+COUNTIF($R$6:R253,R253)-1)</f>
        <v>53</v>
      </c>
    </row>
    <row r="254" spans="2:19" ht="23.25" customHeight="1" x14ac:dyDescent="0.25">
      <c r="B254" s="159">
        <v>249</v>
      </c>
      <c r="C254" s="160" t="str">
        <f>IFERROR(INDEX($Q$6:$Q$505,MATCH(249,$S$6:$S$505,0)),"")</f>
        <v>Dr. Öğr. Üyesi Ahmet Gürkan ERDEMİR</v>
      </c>
      <c r="D254" s="161">
        <f>IF(C254="","",COUNTIFS(Başvuru!$C:$C,C254,Başvuru!$A:$A,"&lt;&gt;"&amp;"",Başvuru!$F:$F,"&lt;&gt;"&amp;""))</f>
        <v>1</v>
      </c>
      <c r="E254" s="159" t="str">
        <f>IF(C254="","-",IF(D254&gt;0,TEXT(D254/(COUNTIFS(Başvuru!$A:$A,"&lt;&gt;",Başvuru!$F:$F,"&lt;&gt;")-1)*100,"0.0")&amp;"%","-"))</f>
        <v>00%</v>
      </c>
      <c r="F254" s="162">
        <f>IF(C254="","",COUNTIFS(Başvuru!$C:$C,C254,Başvuru!$G:$G,"Bireysel Araştırma",Başvuru!$A:$A,"&lt;&gt;"&amp;"",Başvuru!$F:$F,"&lt;&gt;"&amp;""))</f>
        <v>1</v>
      </c>
      <c r="G254" s="162">
        <f>IF(C254="","",COUNTIFS(Başvuru!$C:$C,C254,Başvuru!$G:$G,"Uzmanlık Tezi",Başvuru!$A:$A,"&lt;&gt;"&amp;"",Başvuru!$F:$F,"&lt;&gt;"&amp;""))</f>
        <v>0</v>
      </c>
      <c r="H254" s="162">
        <f>IF(C254="","",COUNTIFS(Başvuru!$C:$C,C254,Başvuru!$G:$G,"Doktora Tezi",Başvuru!$A:$A,"&lt;&gt;"&amp;"",Başvuru!$F:$F,"&lt;&gt;"&amp;""))</f>
        <v>0</v>
      </c>
      <c r="I254" s="162">
        <f>IF(C254="","",COUNTIFS(Başvuru!$C:$C,C254,Başvuru!$G:$G,"Yüksek Lisans Tezi",Başvuru!$A:$A,"&lt;&gt;"&amp;"",Başvuru!$F:$F,"&lt;&gt;"&amp;""))</f>
        <v>0</v>
      </c>
      <c r="J254" s="163">
        <f>IF(C254="","",COUNTIFS(Başvuru!$C:$C,C254,Başvuru!$L:$L,"ONAY",Başvuru!$A:$A,"&lt;&gt;"&amp;"",Başvuru!$F:$F,"&lt;&gt;"&amp;""))</f>
        <v>1</v>
      </c>
      <c r="K254" s="164">
        <f>IF(C254="","",COUNTIFS(Başvuru!$C:$C,C254,Başvuru!$L:$L,"DÜZELTME",Başvuru!$A:$A,"&lt;&gt;"&amp;"",Başvuru!$F:$F,"&lt;&gt;"&amp;""))</f>
        <v>0</v>
      </c>
      <c r="L254" s="165">
        <f>IF(C254="","",COUNTIFS(Başvuru!$C:$C,C254,Başvuru!$L:$L,"KAEK",Başvuru!$A:$A,"&lt;&gt;"&amp;"",Başvuru!$F:$F,"&lt;&gt;"&amp;""))</f>
        <v>0</v>
      </c>
      <c r="M254" s="166">
        <f>IF(C254="","",COUNTIFS(Başvuru!$C:$C,C254,Başvuru!$L:$L,"GÖRÜŞ",Başvuru!$A:$A,"&lt;&gt;"&amp;"",Başvuru!$F:$F,"&lt;&gt;"&amp;""))</f>
        <v>0</v>
      </c>
      <c r="N254" s="167">
        <f>IF(C254="","",COUNTIFS(Başvuru!$C:$C,C254,Başvuru!$L:$L,"RET",Başvuru!$A:$A,"&lt;&gt;"&amp;"",Başvuru!$F:$F,"&lt;&gt;"&amp;""))</f>
        <v>0</v>
      </c>
      <c r="O254" s="168">
        <f>IF(C254="","",COUNTIFS(Başvuru!$C:$C,C254,Başvuru!$L:$L,"KAPSAM DIŞI",Başvuru!$A:$A,"&lt;&gt;"&amp;"",Başvuru!$F:$F,"&lt;&gt;"&amp;""))</f>
        <v>0</v>
      </c>
      <c r="P254" s="169">
        <f>IF(C254="","",COUNTIFS(Başvuru!$C:$C,C254,Başvuru!$L:$L,"GERİ ÇEKİLDİ",Başvuru!$A:$A,"&lt;&gt;"&amp;"",Başvuru!$F:$F,"&lt;&gt;"&amp;""))</f>
        <v>0</v>
      </c>
      <c r="Q254" s="170" t="str">
        <f>IFERROR(INDEX(Başvuru!$C$2:$C$1851,MATCH(249,Başvuru!$AB$2:$AB$1851,0)),"")</f>
        <v>Arş. Gör. Dr. Ozan KAPLAN</v>
      </c>
      <c r="R254" s="171">
        <f>IF(Q254="","",COUNTIFS(Başvuru!$C:$C,Q254,Başvuru!$A:$A,"&lt;&gt;"&amp;"",Başvuru!$F:$F,"&lt;&gt;"&amp;""))</f>
        <v>1</v>
      </c>
      <c r="S254" s="171">
        <f>IF(R254="","",RANK(R254,$R$6:$R$505,0)+COUNTIF($R$6:R254,R254)-1)</f>
        <v>272</v>
      </c>
    </row>
    <row r="255" spans="2:19" ht="23.25" customHeight="1" x14ac:dyDescent="0.25">
      <c r="B255" s="159">
        <v>250</v>
      </c>
      <c r="C255" s="160" t="str">
        <f>IFERROR(INDEX($Q$6:$Q$505,MATCH(250,$S$6:$S$505,0)),"")</f>
        <v>Doç. Dr. Rahşan GÖÇMEN</v>
      </c>
      <c r="D255" s="161">
        <f>IF(C255="","",COUNTIFS(Başvuru!$C:$C,C255,Başvuru!$A:$A,"&lt;&gt;"&amp;"",Başvuru!$F:$F,"&lt;&gt;"&amp;""))</f>
        <v>1</v>
      </c>
      <c r="E255" s="159" t="str">
        <f>IF(C255="","-",IF(D255&gt;0,TEXT(D255/(COUNTIFS(Başvuru!$A:$A,"&lt;&gt;",Başvuru!$F:$F,"&lt;&gt;")-1)*100,"0.0")&amp;"%","-"))</f>
        <v>00%</v>
      </c>
      <c r="F255" s="162">
        <f>IF(C255="","",COUNTIFS(Başvuru!$C:$C,C255,Başvuru!$G:$G,"Bireysel Araştırma",Başvuru!$A:$A,"&lt;&gt;"&amp;"",Başvuru!$F:$F,"&lt;&gt;"&amp;""))</f>
        <v>1</v>
      </c>
      <c r="G255" s="162">
        <f>IF(C255="","",COUNTIFS(Başvuru!$C:$C,C255,Başvuru!$G:$G,"Uzmanlık Tezi",Başvuru!$A:$A,"&lt;&gt;"&amp;"",Başvuru!$F:$F,"&lt;&gt;"&amp;""))</f>
        <v>0</v>
      </c>
      <c r="H255" s="162">
        <f>IF(C255="","",COUNTIFS(Başvuru!$C:$C,C255,Başvuru!$G:$G,"Doktora Tezi",Başvuru!$A:$A,"&lt;&gt;"&amp;"",Başvuru!$F:$F,"&lt;&gt;"&amp;""))</f>
        <v>0</v>
      </c>
      <c r="I255" s="162">
        <f>IF(C255="","",COUNTIFS(Başvuru!$C:$C,C255,Başvuru!$G:$G,"Yüksek Lisans Tezi",Başvuru!$A:$A,"&lt;&gt;"&amp;"",Başvuru!$F:$F,"&lt;&gt;"&amp;""))</f>
        <v>0</v>
      </c>
      <c r="J255" s="163">
        <f>IF(C255="","",COUNTIFS(Başvuru!$C:$C,C255,Başvuru!$L:$L,"ONAY",Başvuru!$A:$A,"&lt;&gt;"&amp;"",Başvuru!$F:$F,"&lt;&gt;"&amp;""))</f>
        <v>1</v>
      </c>
      <c r="K255" s="164">
        <f>IF(C255="","",COUNTIFS(Başvuru!$C:$C,C255,Başvuru!$L:$L,"DÜZELTME",Başvuru!$A:$A,"&lt;&gt;"&amp;"",Başvuru!$F:$F,"&lt;&gt;"&amp;""))</f>
        <v>0</v>
      </c>
      <c r="L255" s="165">
        <f>IF(C255="","",COUNTIFS(Başvuru!$C:$C,C255,Başvuru!$L:$L,"KAEK",Başvuru!$A:$A,"&lt;&gt;"&amp;"",Başvuru!$F:$F,"&lt;&gt;"&amp;""))</f>
        <v>0</v>
      </c>
      <c r="M255" s="166">
        <f>IF(C255="","",COUNTIFS(Başvuru!$C:$C,C255,Başvuru!$L:$L,"GÖRÜŞ",Başvuru!$A:$A,"&lt;&gt;"&amp;"",Başvuru!$F:$F,"&lt;&gt;"&amp;""))</f>
        <v>0</v>
      </c>
      <c r="N255" s="167">
        <f>IF(C255="","",COUNTIFS(Başvuru!$C:$C,C255,Başvuru!$L:$L,"RET",Başvuru!$A:$A,"&lt;&gt;"&amp;"",Başvuru!$F:$F,"&lt;&gt;"&amp;""))</f>
        <v>0</v>
      </c>
      <c r="O255" s="168">
        <f>IF(C255="","",COUNTIFS(Başvuru!$C:$C,C255,Başvuru!$L:$L,"KAPSAM DIŞI",Başvuru!$A:$A,"&lt;&gt;"&amp;"",Başvuru!$F:$F,"&lt;&gt;"&amp;""))</f>
        <v>0</v>
      </c>
      <c r="P255" s="169">
        <f>IF(C255="","",COUNTIFS(Başvuru!$C:$C,C255,Başvuru!$L:$L,"GERİ ÇEKİLDİ",Başvuru!$A:$A,"&lt;&gt;"&amp;"",Başvuru!$F:$F,"&lt;&gt;"&amp;""))</f>
        <v>0</v>
      </c>
      <c r="Q255" s="170" t="str">
        <f>IFERROR(INDEX(Başvuru!$C$2:$C$1851,MATCH(250,Başvuru!$AB$2:$AB$1851,0)),"")</f>
        <v>Dr. Öğr. Üyesi Emre MUTLU</v>
      </c>
      <c r="R255" s="171">
        <f>IF(Q255="","",COUNTIFS(Başvuru!$C:$C,Q255,Başvuru!$A:$A,"&lt;&gt;"&amp;"",Başvuru!$F:$F,"&lt;&gt;"&amp;""))</f>
        <v>2</v>
      </c>
      <c r="S255" s="171">
        <f>IF(R255="","",RANK(R255,$R$6:$R$505,0)+COUNTIF($R$6:R255,R255)-1)</f>
        <v>138</v>
      </c>
    </row>
    <row r="256" spans="2:19" ht="23.25" customHeight="1" x14ac:dyDescent="0.25">
      <c r="B256" s="159">
        <v>251</v>
      </c>
      <c r="C256" s="160" t="str">
        <f>IFERROR(INDEX($Q$6:$Q$505,MATCH(251,$S$6:$S$505,0)),"")</f>
        <v>Prof. Dr. Pergin ATİLLA</v>
      </c>
      <c r="D256" s="161">
        <f>IF(C256="","",COUNTIFS(Başvuru!$C:$C,C256,Başvuru!$A:$A,"&lt;&gt;"&amp;"",Başvuru!$F:$F,"&lt;&gt;"&amp;""))</f>
        <v>1</v>
      </c>
      <c r="E256" s="159" t="str">
        <f>IF(C256="","-",IF(D256&gt;0,TEXT(D256/(COUNTIFS(Başvuru!$A:$A,"&lt;&gt;",Başvuru!$F:$F,"&lt;&gt;")-1)*100,"0.0")&amp;"%","-"))</f>
        <v>00%</v>
      </c>
      <c r="F256" s="162">
        <f>IF(C256="","",COUNTIFS(Başvuru!$C:$C,C256,Başvuru!$G:$G,"Bireysel Araştırma",Başvuru!$A:$A,"&lt;&gt;"&amp;"",Başvuru!$F:$F,"&lt;&gt;"&amp;""))</f>
        <v>0</v>
      </c>
      <c r="G256" s="162">
        <f>IF(C256="","",COUNTIFS(Başvuru!$C:$C,C256,Başvuru!$G:$G,"Uzmanlık Tezi",Başvuru!$A:$A,"&lt;&gt;"&amp;"",Başvuru!$F:$F,"&lt;&gt;"&amp;""))</f>
        <v>1</v>
      </c>
      <c r="H256" s="162">
        <f>IF(C256="","",COUNTIFS(Başvuru!$C:$C,C256,Başvuru!$G:$G,"Doktora Tezi",Başvuru!$A:$A,"&lt;&gt;"&amp;"",Başvuru!$F:$F,"&lt;&gt;"&amp;""))</f>
        <v>0</v>
      </c>
      <c r="I256" s="162">
        <f>IF(C256="","",COUNTIFS(Başvuru!$C:$C,C256,Başvuru!$G:$G,"Yüksek Lisans Tezi",Başvuru!$A:$A,"&lt;&gt;"&amp;"",Başvuru!$F:$F,"&lt;&gt;"&amp;""))</f>
        <v>0</v>
      </c>
      <c r="J256" s="163">
        <f>IF(C256="","",COUNTIFS(Başvuru!$C:$C,C256,Başvuru!$L:$L,"ONAY",Başvuru!$A:$A,"&lt;&gt;"&amp;"",Başvuru!$F:$F,"&lt;&gt;"&amp;""))</f>
        <v>0</v>
      </c>
      <c r="K256" s="164">
        <f>IF(C256="","",COUNTIFS(Başvuru!$C:$C,C256,Başvuru!$L:$L,"DÜZELTME",Başvuru!$A:$A,"&lt;&gt;"&amp;"",Başvuru!$F:$F,"&lt;&gt;"&amp;""))</f>
        <v>1</v>
      </c>
      <c r="L256" s="165">
        <f>IF(C256="","",COUNTIFS(Başvuru!$C:$C,C256,Başvuru!$L:$L,"KAEK",Başvuru!$A:$A,"&lt;&gt;"&amp;"",Başvuru!$F:$F,"&lt;&gt;"&amp;""))</f>
        <v>0</v>
      </c>
      <c r="M256" s="166">
        <f>IF(C256="","",COUNTIFS(Başvuru!$C:$C,C256,Başvuru!$L:$L,"GÖRÜŞ",Başvuru!$A:$A,"&lt;&gt;"&amp;"",Başvuru!$F:$F,"&lt;&gt;"&amp;""))</f>
        <v>0</v>
      </c>
      <c r="N256" s="167">
        <f>IF(C256="","",COUNTIFS(Başvuru!$C:$C,C256,Başvuru!$L:$L,"RET",Başvuru!$A:$A,"&lt;&gt;"&amp;"",Başvuru!$F:$F,"&lt;&gt;"&amp;""))</f>
        <v>0</v>
      </c>
      <c r="O256" s="168">
        <f>IF(C256="","",COUNTIFS(Başvuru!$C:$C,C256,Başvuru!$L:$L,"KAPSAM DIŞI",Başvuru!$A:$A,"&lt;&gt;"&amp;"",Başvuru!$F:$F,"&lt;&gt;"&amp;""))</f>
        <v>0</v>
      </c>
      <c r="P256" s="169">
        <f>IF(C256="","",COUNTIFS(Başvuru!$C:$C,C256,Başvuru!$L:$L,"GERİ ÇEKİLDİ",Başvuru!$A:$A,"&lt;&gt;"&amp;"",Başvuru!$F:$F,"&lt;&gt;"&amp;""))</f>
        <v>0</v>
      </c>
      <c r="Q256" s="170" t="str">
        <f>IFERROR(INDEX(Başvuru!$C$2:$C$1851,MATCH(251,Başvuru!$AB$2:$AB$1851,0)),"")</f>
        <v>Prof. Dr. Lale KARAKOÇ SÖKMENSÜER</v>
      </c>
      <c r="R256" s="171">
        <f>IF(Q256="","",COUNTIFS(Başvuru!$C:$C,Q256,Başvuru!$A:$A,"&lt;&gt;"&amp;"",Başvuru!$F:$F,"&lt;&gt;"&amp;""))</f>
        <v>1</v>
      </c>
      <c r="S256" s="171">
        <f>IF(R256="","",RANK(R256,$R$6:$R$505,0)+COUNTIF($R$6:R256,R256)-1)</f>
        <v>273</v>
      </c>
    </row>
    <row r="257" spans="2:19" ht="23.25" customHeight="1" x14ac:dyDescent="0.25">
      <c r="B257" s="159">
        <v>252</v>
      </c>
      <c r="C257" s="160" t="str">
        <f>IFERROR(INDEX($Q$6:$Q$505,MATCH(252,$S$6:$S$505,0)),"")</f>
        <v>Prof. Dr. Abdullah Ruhi SOYLU</v>
      </c>
      <c r="D257" s="161">
        <f>IF(C257="","",COUNTIFS(Başvuru!$C:$C,C257,Başvuru!$A:$A,"&lt;&gt;"&amp;"",Başvuru!$F:$F,"&lt;&gt;"&amp;""))</f>
        <v>1</v>
      </c>
      <c r="E257" s="159" t="str">
        <f>IF(C257="","-",IF(D257&gt;0,TEXT(D257/(COUNTIFS(Başvuru!$A:$A,"&lt;&gt;",Başvuru!$F:$F,"&lt;&gt;")-1)*100,"0.0")&amp;"%","-"))</f>
        <v>00%</v>
      </c>
      <c r="F257" s="162">
        <f>IF(C257="","",COUNTIFS(Başvuru!$C:$C,C257,Başvuru!$G:$G,"Bireysel Araştırma",Başvuru!$A:$A,"&lt;&gt;"&amp;"",Başvuru!$F:$F,"&lt;&gt;"&amp;""))</f>
        <v>0</v>
      </c>
      <c r="G257" s="162">
        <f>IF(C257="","",COUNTIFS(Başvuru!$C:$C,C257,Başvuru!$G:$G,"Uzmanlık Tezi",Başvuru!$A:$A,"&lt;&gt;"&amp;"",Başvuru!$F:$F,"&lt;&gt;"&amp;""))</f>
        <v>0</v>
      </c>
      <c r="H257" s="162">
        <f>IF(C257="","",COUNTIFS(Başvuru!$C:$C,C257,Başvuru!$G:$G,"Doktora Tezi",Başvuru!$A:$A,"&lt;&gt;"&amp;"",Başvuru!$F:$F,"&lt;&gt;"&amp;""))</f>
        <v>1</v>
      </c>
      <c r="I257" s="162">
        <f>IF(C257="","",COUNTIFS(Başvuru!$C:$C,C257,Başvuru!$G:$G,"Yüksek Lisans Tezi",Başvuru!$A:$A,"&lt;&gt;"&amp;"",Başvuru!$F:$F,"&lt;&gt;"&amp;""))</f>
        <v>0</v>
      </c>
      <c r="J257" s="163">
        <f>IF(C257="","",COUNTIFS(Başvuru!$C:$C,C257,Başvuru!$L:$L,"ONAY",Başvuru!$A:$A,"&lt;&gt;"&amp;"",Başvuru!$F:$F,"&lt;&gt;"&amp;""))</f>
        <v>1</v>
      </c>
      <c r="K257" s="164">
        <f>IF(C257="","",COUNTIFS(Başvuru!$C:$C,C257,Başvuru!$L:$L,"DÜZELTME",Başvuru!$A:$A,"&lt;&gt;"&amp;"",Başvuru!$F:$F,"&lt;&gt;"&amp;""))</f>
        <v>0</v>
      </c>
      <c r="L257" s="165">
        <f>IF(C257="","",COUNTIFS(Başvuru!$C:$C,C257,Başvuru!$L:$L,"KAEK",Başvuru!$A:$A,"&lt;&gt;"&amp;"",Başvuru!$F:$F,"&lt;&gt;"&amp;""))</f>
        <v>0</v>
      </c>
      <c r="M257" s="166">
        <f>IF(C257="","",COUNTIFS(Başvuru!$C:$C,C257,Başvuru!$L:$L,"GÖRÜŞ",Başvuru!$A:$A,"&lt;&gt;"&amp;"",Başvuru!$F:$F,"&lt;&gt;"&amp;""))</f>
        <v>0</v>
      </c>
      <c r="N257" s="167">
        <f>IF(C257="","",COUNTIFS(Başvuru!$C:$C,C257,Başvuru!$L:$L,"RET",Başvuru!$A:$A,"&lt;&gt;"&amp;"",Başvuru!$F:$F,"&lt;&gt;"&amp;""))</f>
        <v>0</v>
      </c>
      <c r="O257" s="168">
        <f>IF(C257="","",COUNTIFS(Başvuru!$C:$C,C257,Başvuru!$L:$L,"KAPSAM DIŞI",Başvuru!$A:$A,"&lt;&gt;"&amp;"",Başvuru!$F:$F,"&lt;&gt;"&amp;""))</f>
        <v>0</v>
      </c>
      <c r="P257" s="169">
        <f>IF(C257="","",COUNTIFS(Başvuru!$C:$C,C257,Başvuru!$L:$L,"GERİ ÇEKİLDİ",Başvuru!$A:$A,"&lt;&gt;"&amp;"",Başvuru!$F:$F,"&lt;&gt;"&amp;""))</f>
        <v>0</v>
      </c>
      <c r="Q257" s="170" t="str">
        <f>IFERROR(INDEX(Başvuru!$C$2:$C$1851,MATCH(252,Başvuru!$AB$2:$AB$1851,0)),"")</f>
        <v>Prof. Dr. Şevket Murat ÖZBEK</v>
      </c>
      <c r="R257" s="171">
        <f>IF(Q257="","",COUNTIFS(Başvuru!$C:$C,Q257,Başvuru!$A:$A,"&lt;&gt;"&amp;"",Başvuru!$F:$F,"&lt;&gt;"&amp;""))</f>
        <v>2</v>
      </c>
      <c r="S257" s="171">
        <f>IF(R257="","",RANK(R257,$R$6:$R$505,0)+COUNTIF($R$6:R257,R257)-1)</f>
        <v>139</v>
      </c>
    </row>
    <row r="258" spans="2:19" ht="23.25" customHeight="1" x14ac:dyDescent="0.25">
      <c r="B258" s="159">
        <v>253</v>
      </c>
      <c r="C258" s="160" t="str">
        <f>IFERROR(INDEX($Q$6:$Q$505,MATCH(253,$S$6:$S$505,0)),"")</f>
        <v>Öğr. Gör. Dt. Diler DENİZ</v>
      </c>
      <c r="D258" s="161">
        <f>IF(C258="","",COUNTIFS(Başvuru!$C:$C,C258,Başvuru!$A:$A,"&lt;&gt;"&amp;"",Başvuru!$F:$F,"&lt;&gt;"&amp;""))</f>
        <v>1</v>
      </c>
      <c r="E258" s="159" t="str">
        <f>IF(C258="","-",IF(D258&gt;0,TEXT(D258/(COUNTIFS(Başvuru!$A:$A,"&lt;&gt;",Başvuru!$F:$F,"&lt;&gt;")-1)*100,"0.0")&amp;"%","-"))</f>
        <v>00%</v>
      </c>
      <c r="F258" s="162">
        <f>IF(C258="","",COUNTIFS(Başvuru!$C:$C,C258,Başvuru!$G:$G,"Bireysel Araştırma",Başvuru!$A:$A,"&lt;&gt;"&amp;"",Başvuru!$F:$F,"&lt;&gt;"&amp;""))</f>
        <v>1</v>
      </c>
      <c r="G258" s="162">
        <f>IF(C258="","",COUNTIFS(Başvuru!$C:$C,C258,Başvuru!$G:$G,"Uzmanlık Tezi",Başvuru!$A:$A,"&lt;&gt;"&amp;"",Başvuru!$F:$F,"&lt;&gt;"&amp;""))</f>
        <v>0</v>
      </c>
      <c r="H258" s="162">
        <f>IF(C258="","",COUNTIFS(Başvuru!$C:$C,C258,Başvuru!$G:$G,"Doktora Tezi",Başvuru!$A:$A,"&lt;&gt;"&amp;"",Başvuru!$F:$F,"&lt;&gt;"&amp;""))</f>
        <v>0</v>
      </c>
      <c r="I258" s="162">
        <f>IF(C258="","",COUNTIFS(Başvuru!$C:$C,C258,Başvuru!$G:$G,"Yüksek Lisans Tezi",Başvuru!$A:$A,"&lt;&gt;"&amp;"",Başvuru!$F:$F,"&lt;&gt;"&amp;""))</f>
        <v>0</v>
      </c>
      <c r="J258" s="163">
        <f>IF(C258="","",COUNTIFS(Başvuru!$C:$C,C258,Başvuru!$L:$L,"ONAY",Başvuru!$A:$A,"&lt;&gt;"&amp;"",Başvuru!$F:$F,"&lt;&gt;"&amp;""))</f>
        <v>1</v>
      </c>
      <c r="K258" s="164">
        <f>IF(C258="","",COUNTIFS(Başvuru!$C:$C,C258,Başvuru!$L:$L,"DÜZELTME",Başvuru!$A:$A,"&lt;&gt;"&amp;"",Başvuru!$F:$F,"&lt;&gt;"&amp;""))</f>
        <v>0</v>
      </c>
      <c r="L258" s="165">
        <f>IF(C258="","",COUNTIFS(Başvuru!$C:$C,C258,Başvuru!$L:$L,"KAEK",Başvuru!$A:$A,"&lt;&gt;"&amp;"",Başvuru!$F:$F,"&lt;&gt;"&amp;""))</f>
        <v>0</v>
      </c>
      <c r="M258" s="166">
        <f>IF(C258="","",COUNTIFS(Başvuru!$C:$C,C258,Başvuru!$L:$L,"GÖRÜŞ",Başvuru!$A:$A,"&lt;&gt;"&amp;"",Başvuru!$F:$F,"&lt;&gt;"&amp;""))</f>
        <v>0</v>
      </c>
      <c r="N258" s="167">
        <f>IF(C258="","",COUNTIFS(Başvuru!$C:$C,C258,Başvuru!$L:$L,"RET",Başvuru!$A:$A,"&lt;&gt;"&amp;"",Başvuru!$F:$F,"&lt;&gt;"&amp;""))</f>
        <v>0</v>
      </c>
      <c r="O258" s="168">
        <f>IF(C258="","",COUNTIFS(Başvuru!$C:$C,C258,Başvuru!$L:$L,"KAPSAM DIŞI",Başvuru!$A:$A,"&lt;&gt;"&amp;"",Başvuru!$F:$F,"&lt;&gt;"&amp;""))</f>
        <v>0</v>
      </c>
      <c r="P258" s="169">
        <f>IF(C258="","",COUNTIFS(Başvuru!$C:$C,C258,Başvuru!$L:$L,"GERİ ÇEKİLDİ",Başvuru!$A:$A,"&lt;&gt;"&amp;"",Başvuru!$F:$F,"&lt;&gt;"&amp;""))</f>
        <v>0</v>
      </c>
      <c r="Q258" s="170" t="str">
        <f>IFERROR(INDEX(Başvuru!$C$2:$C$1851,MATCH(253,Başvuru!$AB$2:$AB$1851,0)),"")</f>
        <v>Dr. Öğr. Üyesi Neslihan TAŞ</v>
      </c>
      <c r="R258" s="171">
        <f>IF(Q258="","",COUNTIFS(Başvuru!$C:$C,Q258,Başvuru!$A:$A,"&lt;&gt;"&amp;"",Başvuru!$F:$F,"&lt;&gt;"&amp;""))</f>
        <v>1</v>
      </c>
      <c r="S258" s="171">
        <f>IF(R258="","",RANK(R258,$R$6:$R$505,0)+COUNTIF($R$6:R258,R258)-1)</f>
        <v>274</v>
      </c>
    </row>
    <row r="259" spans="2:19" ht="23.25" customHeight="1" x14ac:dyDescent="0.25">
      <c r="B259" s="159">
        <v>254</v>
      </c>
      <c r="C259" s="160" t="str">
        <f>IFERROR(INDEX($Q$6:$Q$505,MATCH(254,$S$6:$S$505,0)),"")</f>
        <v>Prof. Dr. İncilay LAY</v>
      </c>
      <c r="D259" s="161">
        <f>IF(C259="","",COUNTIFS(Başvuru!$C:$C,C259,Başvuru!$A:$A,"&lt;&gt;"&amp;"",Başvuru!$F:$F,"&lt;&gt;"&amp;""))</f>
        <v>1</v>
      </c>
      <c r="E259" s="159" t="str">
        <f>IF(C259="","-",IF(D259&gt;0,TEXT(D259/(COUNTIFS(Başvuru!$A:$A,"&lt;&gt;",Başvuru!$F:$F,"&lt;&gt;")-1)*100,"0.0")&amp;"%","-"))</f>
        <v>00%</v>
      </c>
      <c r="F259" s="162">
        <f>IF(C259="","",COUNTIFS(Başvuru!$C:$C,C259,Başvuru!$G:$G,"Bireysel Araştırma",Başvuru!$A:$A,"&lt;&gt;"&amp;"",Başvuru!$F:$F,"&lt;&gt;"&amp;""))</f>
        <v>0</v>
      </c>
      <c r="G259" s="162">
        <f>IF(C259="","",COUNTIFS(Başvuru!$C:$C,C259,Başvuru!$G:$G,"Uzmanlık Tezi",Başvuru!$A:$A,"&lt;&gt;"&amp;"",Başvuru!$F:$F,"&lt;&gt;"&amp;""))</f>
        <v>1</v>
      </c>
      <c r="H259" s="162">
        <f>IF(C259="","",COUNTIFS(Başvuru!$C:$C,C259,Başvuru!$G:$G,"Doktora Tezi",Başvuru!$A:$A,"&lt;&gt;"&amp;"",Başvuru!$F:$F,"&lt;&gt;"&amp;""))</f>
        <v>0</v>
      </c>
      <c r="I259" s="162">
        <f>IF(C259="","",COUNTIFS(Başvuru!$C:$C,C259,Başvuru!$G:$G,"Yüksek Lisans Tezi",Başvuru!$A:$A,"&lt;&gt;"&amp;"",Başvuru!$F:$F,"&lt;&gt;"&amp;""))</f>
        <v>0</v>
      </c>
      <c r="J259" s="163">
        <f>IF(C259="","",COUNTIFS(Başvuru!$C:$C,C259,Başvuru!$L:$L,"ONAY",Başvuru!$A:$A,"&lt;&gt;"&amp;"",Başvuru!$F:$F,"&lt;&gt;"&amp;""))</f>
        <v>0</v>
      </c>
      <c r="K259" s="164">
        <f>IF(C259="","",COUNTIFS(Başvuru!$C:$C,C259,Başvuru!$L:$L,"DÜZELTME",Başvuru!$A:$A,"&lt;&gt;"&amp;"",Başvuru!$F:$F,"&lt;&gt;"&amp;""))</f>
        <v>1</v>
      </c>
      <c r="L259" s="165">
        <f>IF(C259="","",COUNTIFS(Başvuru!$C:$C,C259,Başvuru!$L:$L,"KAEK",Başvuru!$A:$A,"&lt;&gt;"&amp;"",Başvuru!$F:$F,"&lt;&gt;"&amp;""))</f>
        <v>0</v>
      </c>
      <c r="M259" s="166">
        <f>IF(C259="","",COUNTIFS(Başvuru!$C:$C,C259,Başvuru!$L:$L,"GÖRÜŞ",Başvuru!$A:$A,"&lt;&gt;"&amp;"",Başvuru!$F:$F,"&lt;&gt;"&amp;""))</f>
        <v>0</v>
      </c>
      <c r="N259" s="167">
        <f>IF(C259="","",COUNTIFS(Başvuru!$C:$C,C259,Başvuru!$L:$L,"RET",Başvuru!$A:$A,"&lt;&gt;"&amp;"",Başvuru!$F:$F,"&lt;&gt;"&amp;""))</f>
        <v>0</v>
      </c>
      <c r="O259" s="168">
        <f>IF(C259="","",COUNTIFS(Başvuru!$C:$C,C259,Başvuru!$L:$L,"KAPSAM DIŞI",Başvuru!$A:$A,"&lt;&gt;"&amp;"",Başvuru!$F:$F,"&lt;&gt;"&amp;""))</f>
        <v>0</v>
      </c>
      <c r="P259" s="169">
        <f>IF(C259="","",COUNTIFS(Başvuru!$C:$C,C259,Başvuru!$L:$L,"GERİ ÇEKİLDİ",Başvuru!$A:$A,"&lt;&gt;"&amp;"",Başvuru!$F:$F,"&lt;&gt;"&amp;""))</f>
        <v>0</v>
      </c>
      <c r="Q259" s="170" t="str">
        <f>IFERROR(INDEX(Başvuru!$C$2:$C$1851,MATCH(254,Başvuru!$AB$2:$AB$1851,0)),"")</f>
        <v>Prof. Dr. Ülfet Pınar ERKEKOĞLU</v>
      </c>
      <c r="R259" s="171">
        <f>IF(Q259="","",COUNTIFS(Başvuru!$C:$C,Q259,Başvuru!$A:$A,"&lt;&gt;"&amp;"",Başvuru!$F:$F,"&lt;&gt;"&amp;""))</f>
        <v>1</v>
      </c>
      <c r="S259" s="171">
        <f>IF(R259="","",RANK(R259,$R$6:$R$505,0)+COUNTIF($R$6:R259,R259)-1)</f>
        <v>275</v>
      </c>
    </row>
    <row r="260" spans="2:19" ht="23.25" customHeight="1" x14ac:dyDescent="0.25">
      <c r="B260" s="159">
        <v>255</v>
      </c>
      <c r="C260" s="160" t="str">
        <f>IFERROR(INDEX($Q$6:$Q$505,MATCH(255,$S$6:$S$505,0)),"")</f>
        <v>Doç. Dr. Şükran Gülin EVİNÇ</v>
      </c>
      <c r="D260" s="161">
        <f>IF(C260="","",COUNTIFS(Başvuru!$C:$C,C260,Başvuru!$A:$A,"&lt;&gt;"&amp;"",Başvuru!$F:$F,"&lt;&gt;"&amp;""))</f>
        <v>1</v>
      </c>
      <c r="E260" s="159" t="str">
        <f>IF(C260="","-",IF(D260&gt;0,TEXT(D260/(COUNTIFS(Başvuru!$A:$A,"&lt;&gt;",Başvuru!$F:$F,"&lt;&gt;")-1)*100,"0.0")&amp;"%","-"))</f>
        <v>00%</v>
      </c>
      <c r="F260" s="162">
        <f>IF(C260="","",COUNTIFS(Başvuru!$C:$C,C260,Başvuru!$G:$G,"Bireysel Araştırma",Başvuru!$A:$A,"&lt;&gt;"&amp;"",Başvuru!$F:$F,"&lt;&gt;"&amp;""))</f>
        <v>1</v>
      </c>
      <c r="G260" s="162">
        <f>IF(C260="","",COUNTIFS(Başvuru!$C:$C,C260,Başvuru!$G:$G,"Uzmanlık Tezi",Başvuru!$A:$A,"&lt;&gt;"&amp;"",Başvuru!$F:$F,"&lt;&gt;"&amp;""))</f>
        <v>0</v>
      </c>
      <c r="H260" s="162">
        <f>IF(C260="","",COUNTIFS(Başvuru!$C:$C,C260,Başvuru!$G:$G,"Doktora Tezi",Başvuru!$A:$A,"&lt;&gt;"&amp;"",Başvuru!$F:$F,"&lt;&gt;"&amp;""))</f>
        <v>0</v>
      </c>
      <c r="I260" s="162">
        <f>IF(C260="","",COUNTIFS(Başvuru!$C:$C,C260,Başvuru!$G:$G,"Yüksek Lisans Tezi",Başvuru!$A:$A,"&lt;&gt;"&amp;"",Başvuru!$F:$F,"&lt;&gt;"&amp;""))</f>
        <v>0</v>
      </c>
      <c r="J260" s="163">
        <f>IF(C260="","",COUNTIFS(Başvuru!$C:$C,C260,Başvuru!$L:$L,"ONAY",Başvuru!$A:$A,"&lt;&gt;"&amp;"",Başvuru!$F:$F,"&lt;&gt;"&amp;""))</f>
        <v>1</v>
      </c>
      <c r="K260" s="164">
        <f>IF(C260="","",COUNTIFS(Başvuru!$C:$C,C260,Başvuru!$L:$L,"DÜZELTME",Başvuru!$A:$A,"&lt;&gt;"&amp;"",Başvuru!$F:$F,"&lt;&gt;"&amp;""))</f>
        <v>0</v>
      </c>
      <c r="L260" s="165">
        <f>IF(C260="","",COUNTIFS(Başvuru!$C:$C,C260,Başvuru!$L:$L,"KAEK",Başvuru!$A:$A,"&lt;&gt;"&amp;"",Başvuru!$F:$F,"&lt;&gt;"&amp;""))</f>
        <v>0</v>
      </c>
      <c r="M260" s="166">
        <f>IF(C260="","",COUNTIFS(Başvuru!$C:$C,C260,Başvuru!$L:$L,"GÖRÜŞ",Başvuru!$A:$A,"&lt;&gt;"&amp;"",Başvuru!$F:$F,"&lt;&gt;"&amp;""))</f>
        <v>0</v>
      </c>
      <c r="N260" s="167">
        <f>IF(C260="","",COUNTIFS(Başvuru!$C:$C,C260,Başvuru!$L:$L,"RET",Başvuru!$A:$A,"&lt;&gt;"&amp;"",Başvuru!$F:$F,"&lt;&gt;"&amp;""))</f>
        <v>0</v>
      </c>
      <c r="O260" s="168">
        <f>IF(C260="","",COUNTIFS(Başvuru!$C:$C,C260,Başvuru!$L:$L,"KAPSAM DIŞI",Başvuru!$A:$A,"&lt;&gt;"&amp;"",Başvuru!$F:$F,"&lt;&gt;"&amp;""))</f>
        <v>0</v>
      </c>
      <c r="P260" s="169">
        <f>IF(C260="","",COUNTIFS(Başvuru!$C:$C,C260,Başvuru!$L:$L,"GERİ ÇEKİLDİ",Başvuru!$A:$A,"&lt;&gt;"&amp;"",Başvuru!$F:$F,"&lt;&gt;"&amp;""))</f>
        <v>0</v>
      </c>
      <c r="Q260" s="170" t="str">
        <f>IFERROR(INDEX(Başvuru!$C$2:$C$1851,MATCH(255,Başvuru!$AB$2:$AB$1851,0)),"")</f>
        <v>Prof. Dr. Filiz ÜZÜMCÜGİL</v>
      </c>
      <c r="R260" s="171">
        <f>IF(Q260="","",COUNTIFS(Başvuru!$C:$C,Q260,Başvuru!$A:$A,"&lt;&gt;"&amp;"",Başvuru!$F:$F,"&lt;&gt;"&amp;""))</f>
        <v>2</v>
      </c>
      <c r="S260" s="171">
        <f>IF(R260="","",RANK(R260,$R$6:$R$505,0)+COUNTIF($R$6:R260,R260)-1)</f>
        <v>140</v>
      </c>
    </row>
    <row r="261" spans="2:19" ht="23.25" customHeight="1" x14ac:dyDescent="0.25">
      <c r="B261" s="159">
        <v>256</v>
      </c>
      <c r="C261" s="160" t="str">
        <f>IFERROR(INDEX($Q$6:$Q$505,MATCH(256,$S$6:$S$505,0)),"")</f>
        <v>Prof. Dr. Melek Dilek TURGUT</v>
      </c>
      <c r="D261" s="161">
        <f>IF(C261="","",COUNTIFS(Başvuru!$C:$C,C261,Başvuru!$A:$A,"&lt;&gt;"&amp;"",Başvuru!$F:$F,"&lt;&gt;"&amp;""))</f>
        <v>1</v>
      </c>
      <c r="E261" s="159" t="str">
        <f>IF(C261="","-",IF(D261&gt;0,TEXT(D261/(COUNTIFS(Başvuru!$A:$A,"&lt;&gt;",Başvuru!$F:$F,"&lt;&gt;")-1)*100,"0.0")&amp;"%","-"))</f>
        <v>00%</v>
      </c>
      <c r="F261" s="162">
        <f>IF(C261="","",COUNTIFS(Başvuru!$C:$C,C261,Başvuru!$G:$G,"Bireysel Araştırma",Başvuru!$A:$A,"&lt;&gt;"&amp;"",Başvuru!$F:$F,"&lt;&gt;"&amp;""))</f>
        <v>1</v>
      </c>
      <c r="G261" s="162">
        <f>IF(C261="","",COUNTIFS(Başvuru!$C:$C,C261,Başvuru!$G:$G,"Uzmanlık Tezi",Başvuru!$A:$A,"&lt;&gt;"&amp;"",Başvuru!$F:$F,"&lt;&gt;"&amp;""))</f>
        <v>0</v>
      </c>
      <c r="H261" s="162">
        <f>IF(C261="","",COUNTIFS(Başvuru!$C:$C,C261,Başvuru!$G:$G,"Doktora Tezi",Başvuru!$A:$A,"&lt;&gt;"&amp;"",Başvuru!$F:$F,"&lt;&gt;"&amp;""))</f>
        <v>0</v>
      </c>
      <c r="I261" s="162">
        <f>IF(C261="","",COUNTIFS(Başvuru!$C:$C,C261,Başvuru!$G:$G,"Yüksek Lisans Tezi",Başvuru!$A:$A,"&lt;&gt;"&amp;"",Başvuru!$F:$F,"&lt;&gt;"&amp;""))</f>
        <v>0</v>
      </c>
      <c r="J261" s="163">
        <f>IF(C261="","",COUNTIFS(Başvuru!$C:$C,C261,Başvuru!$L:$L,"ONAY",Başvuru!$A:$A,"&lt;&gt;"&amp;"",Başvuru!$F:$F,"&lt;&gt;"&amp;""))</f>
        <v>1</v>
      </c>
      <c r="K261" s="164">
        <f>IF(C261="","",COUNTIFS(Başvuru!$C:$C,C261,Başvuru!$L:$L,"DÜZELTME",Başvuru!$A:$A,"&lt;&gt;"&amp;"",Başvuru!$F:$F,"&lt;&gt;"&amp;""))</f>
        <v>0</v>
      </c>
      <c r="L261" s="165">
        <f>IF(C261="","",COUNTIFS(Başvuru!$C:$C,C261,Başvuru!$L:$L,"KAEK",Başvuru!$A:$A,"&lt;&gt;"&amp;"",Başvuru!$F:$F,"&lt;&gt;"&amp;""))</f>
        <v>0</v>
      </c>
      <c r="M261" s="166">
        <f>IF(C261="","",COUNTIFS(Başvuru!$C:$C,C261,Başvuru!$L:$L,"GÖRÜŞ",Başvuru!$A:$A,"&lt;&gt;"&amp;"",Başvuru!$F:$F,"&lt;&gt;"&amp;""))</f>
        <v>0</v>
      </c>
      <c r="N261" s="167">
        <f>IF(C261="","",COUNTIFS(Başvuru!$C:$C,C261,Başvuru!$L:$L,"RET",Başvuru!$A:$A,"&lt;&gt;"&amp;"",Başvuru!$F:$F,"&lt;&gt;"&amp;""))</f>
        <v>0</v>
      </c>
      <c r="O261" s="168">
        <f>IF(C261="","",COUNTIFS(Başvuru!$C:$C,C261,Başvuru!$L:$L,"KAPSAM DIŞI",Başvuru!$A:$A,"&lt;&gt;"&amp;"",Başvuru!$F:$F,"&lt;&gt;"&amp;""))</f>
        <v>0</v>
      </c>
      <c r="P261" s="169">
        <f>IF(C261="","",COUNTIFS(Başvuru!$C:$C,C261,Başvuru!$L:$L,"GERİ ÇEKİLDİ",Başvuru!$A:$A,"&lt;&gt;"&amp;"",Başvuru!$F:$F,"&lt;&gt;"&amp;""))</f>
        <v>0</v>
      </c>
      <c r="Q261" s="170" t="str">
        <f>IFERROR(INDEX(Başvuru!$C$2:$C$1851,MATCH(256,Başvuru!$AB$2:$AB$1851,0)),"")</f>
        <v>Prof. Dr. Ömür ÇAĞLAR</v>
      </c>
      <c r="R261" s="171">
        <f>IF(Q261="","",COUNTIFS(Başvuru!$C:$C,Q261,Başvuru!$A:$A,"&lt;&gt;"&amp;"",Başvuru!$F:$F,"&lt;&gt;"&amp;""))</f>
        <v>1</v>
      </c>
      <c r="S261" s="171">
        <f>IF(R261="","",RANK(R261,$R$6:$R$505,0)+COUNTIF($R$6:R261,R261)-1)</f>
        <v>276</v>
      </c>
    </row>
    <row r="262" spans="2:19" ht="23.25" customHeight="1" x14ac:dyDescent="0.25">
      <c r="B262" s="159">
        <v>257</v>
      </c>
      <c r="C262" s="160" t="str">
        <f>IFERROR(INDEX($Q$6:$Q$505,MATCH(257,$S$6:$S$505,0)),"")</f>
        <v>Doç. Dr. Burak ARDIÇLI</v>
      </c>
      <c r="D262" s="161">
        <f>IF(C262="","",COUNTIFS(Başvuru!$C:$C,C262,Başvuru!$A:$A,"&lt;&gt;"&amp;"",Başvuru!$F:$F,"&lt;&gt;"&amp;""))</f>
        <v>1</v>
      </c>
      <c r="E262" s="159" t="str">
        <f>IF(C262="","-",IF(D262&gt;0,TEXT(D262/(COUNTIFS(Başvuru!$A:$A,"&lt;&gt;",Başvuru!$F:$F,"&lt;&gt;")-1)*100,"0.0")&amp;"%","-"))</f>
        <v>00%</v>
      </c>
      <c r="F262" s="162">
        <f>IF(C262="","",COUNTIFS(Başvuru!$C:$C,C262,Başvuru!$G:$G,"Bireysel Araştırma",Başvuru!$A:$A,"&lt;&gt;"&amp;"",Başvuru!$F:$F,"&lt;&gt;"&amp;""))</f>
        <v>1</v>
      </c>
      <c r="G262" s="162">
        <f>IF(C262="","",COUNTIFS(Başvuru!$C:$C,C262,Başvuru!$G:$G,"Uzmanlık Tezi",Başvuru!$A:$A,"&lt;&gt;"&amp;"",Başvuru!$F:$F,"&lt;&gt;"&amp;""))</f>
        <v>0</v>
      </c>
      <c r="H262" s="162">
        <f>IF(C262="","",COUNTIFS(Başvuru!$C:$C,C262,Başvuru!$G:$G,"Doktora Tezi",Başvuru!$A:$A,"&lt;&gt;"&amp;"",Başvuru!$F:$F,"&lt;&gt;"&amp;""))</f>
        <v>0</v>
      </c>
      <c r="I262" s="162">
        <f>IF(C262="","",COUNTIFS(Başvuru!$C:$C,C262,Başvuru!$G:$G,"Yüksek Lisans Tezi",Başvuru!$A:$A,"&lt;&gt;"&amp;"",Başvuru!$F:$F,"&lt;&gt;"&amp;""))</f>
        <v>0</v>
      </c>
      <c r="J262" s="163">
        <f>IF(C262="","",COUNTIFS(Başvuru!$C:$C,C262,Başvuru!$L:$L,"ONAY",Başvuru!$A:$A,"&lt;&gt;"&amp;"",Başvuru!$F:$F,"&lt;&gt;"&amp;""))</f>
        <v>1</v>
      </c>
      <c r="K262" s="164">
        <f>IF(C262="","",COUNTIFS(Başvuru!$C:$C,C262,Başvuru!$L:$L,"DÜZELTME",Başvuru!$A:$A,"&lt;&gt;"&amp;"",Başvuru!$F:$F,"&lt;&gt;"&amp;""))</f>
        <v>0</v>
      </c>
      <c r="L262" s="165">
        <f>IF(C262="","",COUNTIFS(Başvuru!$C:$C,C262,Başvuru!$L:$L,"KAEK",Başvuru!$A:$A,"&lt;&gt;"&amp;"",Başvuru!$F:$F,"&lt;&gt;"&amp;""))</f>
        <v>0</v>
      </c>
      <c r="M262" s="166">
        <f>IF(C262="","",COUNTIFS(Başvuru!$C:$C,C262,Başvuru!$L:$L,"GÖRÜŞ",Başvuru!$A:$A,"&lt;&gt;"&amp;"",Başvuru!$F:$F,"&lt;&gt;"&amp;""))</f>
        <v>0</v>
      </c>
      <c r="N262" s="167">
        <f>IF(C262="","",COUNTIFS(Başvuru!$C:$C,C262,Başvuru!$L:$L,"RET",Başvuru!$A:$A,"&lt;&gt;"&amp;"",Başvuru!$F:$F,"&lt;&gt;"&amp;""))</f>
        <v>0</v>
      </c>
      <c r="O262" s="168">
        <f>IF(C262="","",COUNTIFS(Başvuru!$C:$C,C262,Başvuru!$L:$L,"KAPSAM DIŞI",Başvuru!$A:$A,"&lt;&gt;"&amp;"",Başvuru!$F:$F,"&lt;&gt;"&amp;""))</f>
        <v>0</v>
      </c>
      <c r="P262" s="169">
        <f>IF(C262="","",COUNTIFS(Başvuru!$C:$C,C262,Başvuru!$L:$L,"GERİ ÇEKİLDİ",Başvuru!$A:$A,"&lt;&gt;"&amp;"",Başvuru!$F:$F,"&lt;&gt;"&amp;""))</f>
        <v>0</v>
      </c>
      <c r="Q262" s="170" t="str">
        <f>IFERROR(INDEX(Başvuru!$C$2:$C$1851,MATCH(257,Başvuru!$AB$2:$AB$1851,0)),"")</f>
        <v>Doç. Dr. Songül ÇINAROĞLU</v>
      </c>
      <c r="R262" s="171">
        <f>IF(Q262="","",COUNTIFS(Başvuru!$C:$C,Q262,Başvuru!$A:$A,"&lt;&gt;"&amp;"",Başvuru!$F:$F,"&lt;&gt;"&amp;""))</f>
        <v>1</v>
      </c>
      <c r="S262" s="171">
        <f>IF(R262="","",RANK(R262,$R$6:$R$505,0)+COUNTIF($R$6:R262,R262)-1)</f>
        <v>277</v>
      </c>
    </row>
    <row r="263" spans="2:19" ht="23.25" customHeight="1" x14ac:dyDescent="0.25">
      <c r="B263" s="159">
        <v>258</v>
      </c>
      <c r="C263" s="160" t="str">
        <f>IFERROR(INDEX($Q$6:$Q$505,MATCH(258,$S$6:$S$505,0)),"")</f>
        <v>Prof. Dr. Şevkiye Selin AYTAÇ EYÜPOĞLU</v>
      </c>
      <c r="D263" s="161">
        <f>IF(C263="","",COUNTIFS(Başvuru!$C:$C,C263,Başvuru!$A:$A,"&lt;&gt;"&amp;"",Başvuru!$F:$F,"&lt;&gt;"&amp;""))</f>
        <v>1</v>
      </c>
      <c r="E263" s="159" t="str">
        <f>IF(C263="","-",IF(D263&gt;0,TEXT(D263/(COUNTIFS(Başvuru!$A:$A,"&lt;&gt;",Başvuru!$F:$F,"&lt;&gt;")-1)*100,"0.0")&amp;"%","-"))</f>
        <v>00%</v>
      </c>
      <c r="F263" s="162">
        <f>IF(C263="","",COUNTIFS(Başvuru!$C:$C,C263,Başvuru!$G:$G,"Bireysel Araştırma",Başvuru!$A:$A,"&lt;&gt;"&amp;"",Başvuru!$F:$F,"&lt;&gt;"&amp;""))</f>
        <v>0</v>
      </c>
      <c r="G263" s="162">
        <f>IF(C263="","",COUNTIFS(Başvuru!$C:$C,C263,Başvuru!$G:$G,"Uzmanlık Tezi",Başvuru!$A:$A,"&lt;&gt;"&amp;"",Başvuru!$F:$F,"&lt;&gt;"&amp;""))</f>
        <v>1</v>
      </c>
      <c r="H263" s="162">
        <f>IF(C263="","",COUNTIFS(Başvuru!$C:$C,C263,Başvuru!$G:$G,"Doktora Tezi",Başvuru!$A:$A,"&lt;&gt;"&amp;"",Başvuru!$F:$F,"&lt;&gt;"&amp;""))</f>
        <v>0</v>
      </c>
      <c r="I263" s="162">
        <f>IF(C263="","",COUNTIFS(Başvuru!$C:$C,C263,Başvuru!$G:$G,"Yüksek Lisans Tezi",Başvuru!$A:$A,"&lt;&gt;"&amp;"",Başvuru!$F:$F,"&lt;&gt;"&amp;""))</f>
        <v>0</v>
      </c>
      <c r="J263" s="163">
        <f>IF(C263="","",COUNTIFS(Başvuru!$C:$C,C263,Başvuru!$L:$L,"ONAY",Başvuru!$A:$A,"&lt;&gt;"&amp;"",Başvuru!$F:$F,"&lt;&gt;"&amp;""))</f>
        <v>1</v>
      </c>
      <c r="K263" s="164">
        <f>IF(C263="","",COUNTIFS(Başvuru!$C:$C,C263,Başvuru!$L:$L,"DÜZELTME",Başvuru!$A:$A,"&lt;&gt;"&amp;"",Başvuru!$F:$F,"&lt;&gt;"&amp;""))</f>
        <v>0</v>
      </c>
      <c r="L263" s="165">
        <f>IF(C263="","",COUNTIFS(Başvuru!$C:$C,C263,Başvuru!$L:$L,"KAEK",Başvuru!$A:$A,"&lt;&gt;"&amp;"",Başvuru!$F:$F,"&lt;&gt;"&amp;""))</f>
        <v>0</v>
      </c>
      <c r="M263" s="166">
        <f>IF(C263="","",COUNTIFS(Başvuru!$C:$C,C263,Başvuru!$L:$L,"GÖRÜŞ",Başvuru!$A:$A,"&lt;&gt;"&amp;"",Başvuru!$F:$F,"&lt;&gt;"&amp;""))</f>
        <v>0</v>
      </c>
      <c r="N263" s="167">
        <f>IF(C263="","",COUNTIFS(Başvuru!$C:$C,C263,Başvuru!$L:$L,"RET",Başvuru!$A:$A,"&lt;&gt;"&amp;"",Başvuru!$F:$F,"&lt;&gt;"&amp;""))</f>
        <v>0</v>
      </c>
      <c r="O263" s="168">
        <f>IF(C263="","",COUNTIFS(Başvuru!$C:$C,C263,Başvuru!$L:$L,"KAPSAM DIŞI",Başvuru!$A:$A,"&lt;&gt;"&amp;"",Başvuru!$F:$F,"&lt;&gt;"&amp;""))</f>
        <v>0</v>
      </c>
      <c r="P263" s="169">
        <f>IF(C263="","",COUNTIFS(Başvuru!$C:$C,C263,Başvuru!$L:$L,"GERİ ÇEKİLDİ",Başvuru!$A:$A,"&lt;&gt;"&amp;"",Başvuru!$F:$F,"&lt;&gt;"&amp;""))</f>
        <v>0</v>
      </c>
      <c r="Q263" s="170" t="str">
        <f>IFERROR(INDEX(Başvuru!$C$2:$C$1851,MATCH(258,Başvuru!$AB$2:$AB$1851,0)),"")</f>
        <v>Dr. Öğr. Üyesi Sehend DEBBAĞ</v>
      </c>
      <c r="R263" s="171">
        <f>IF(Q263="","",COUNTIFS(Başvuru!$C:$C,Q263,Başvuru!$A:$A,"&lt;&gt;"&amp;"",Başvuru!$F:$F,"&lt;&gt;"&amp;""))</f>
        <v>2</v>
      </c>
      <c r="S263" s="171">
        <f>IF(R263="","",RANK(R263,$R$6:$R$505,0)+COUNTIF($R$6:R263,R263)-1)</f>
        <v>141</v>
      </c>
    </row>
    <row r="264" spans="2:19" ht="23.25" customHeight="1" x14ac:dyDescent="0.25">
      <c r="B264" s="159">
        <v>259</v>
      </c>
      <c r="C264" s="160" t="str">
        <f>IFERROR(INDEX($Q$6:$Q$505,MATCH(259,$S$6:$S$505,0)),"")</f>
        <v>Prof. Dr. Elmas Ebru YALÇIN</v>
      </c>
      <c r="D264" s="161">
        <f>IF(C264="","",COUNTIFS(Başvuru!$C:$C,C264,Başvuru!$A:$A,"&lt;&gt;"&amp;"",Başvuru!$F:$F,"&lt;&gt;"&amp;""))</f>
        <v>1</v>
      </c>
      <c r="E264" s="159" t="str">
        <f>IF(C264="","-",IF(D264&gt;0,TEXT(D264/(COUNTIFS(Başvuru!$A:$A,"&lt;&gt;",Başvuru!$F:$F,"&lt;&gt;")-1)*100,"0.0")&amp;"%","-"))</f>
        <v>00%</v>
      </c>
      <c r="F264" s="162">
        <f>IF(C264="","",COUNTIFS(Başvuru!$C:$C,C264,Başvuru!$G:$G,"Bireysel Araştırma",Başvuru!$A:$A,"&lt;&gt;"&amp;"",Başvuru!$F:$F,"&lt;&gt;"&amp;""))</f>
        <v>1</v>
      </c>
      <c r="G264" s="162">
        <f>IF(C264="","",COUNTIFS(Başvuru!$C:$C,C264,Başvuru!$G:$G,"Uzmanlık Tezi",Başvuru!$A:$A,"&lt;&gt;"&amp;"",Başvuru!$F:$F,"&lt;&gt;"&amp;""))</f>
        <v>0</v>
      </c>
      <c r="H264" s="162">
        <f>IF(C264="","",COUNTIFS(Başvuru!$C:$C,C264,Başvuru!$G:$G,"Doktora Tezi",Başvuru!$A:$A,"&lt;&gt;"&amp;"",Başvuru!$F:$F,"&lt;&gt;"&amp;""))</f>
        <v>0</v>
      </c>
      <c r="I264" s="162">
        <f>IF(C264="","",COUNTIFS(Başvuru!$C:$C,C264,Başvuru!$G:$G,"Yüksek Lisans Tezi",Başvuru!$A:$A,"&lt;&gt;"&amp;"",Başvuru!$F:$F,"&lt;&gt;"&amp;""))</f>
        <v>0</v>
      </c>
      <c r="J264" s="163">
        <f>IF(C264="","",COUNTIFS(Başvuru!$C:$C,C264,Başvuru!$L:$L,"ONAY",Başvuru!$A:$A,"&lt;&gt;"&amp;"",Başvuru!$F:$F,"&lt;&gt;"&amp;""))</f>
        <v>1</v>
      </c>
      <c r="K264" s="164">
        <f>IF(C264="","",COUNTIFS(Başvuru!$C:$C,C264,Başvuru!$L:$L,"DÜZELTME",Başvuru!$A:$A,"&lt;&gt;"&amp;"",Başvuru!$F:$F,"&lt;&gt;"&amp;""))</f>
        <v>0</v>
      </c>
      <c r="L264" s="165">
        <f>IF(C264="","",COUNTIFS(Başvuru!$C:$C,C264,Başvuru!$L:$L,"KAEK",Başvuru!$A:$A,"&lt;&gt;"&amp;"",Başvuru!$F:$F,"&lt;&gt;"&amp;""))</f>
        <v>0</v>
      </c>
      <c r="M264" s="166">
        <f>IF(C264="","",COUNTIFS(Başvuru!$C:$C,C264,Başvuru!$L:$L,"GÖRÜŞ",Başvuru!$A:$A,"&lt;&gt;"&amp;"",Başvuru!$F:$F,"&lt;&gt;"&amp;""))</f>
        <v>0</v>
      </c>
      <c r="N264" s="167">
        <f>IF(C264="","",COUNTIFS(Başvuru!$C:$C,C264,Başvuru!$L:$L,"RET",Başvuru!$A:$A,"&lt;&gt;"&amp;"",Başvuru!$F:$F,"&lt;&gt;"&amp;""))</f>
        <v>0</v>
      </c>
      <c r="O264" s="168">
        <f>IF(C264="","",COUNTIFS(Başvuru!$C:$C,C264,Başvuru!$L:$L,"KAPSAM DIŞI",Başvuru!$A:$A,"&lt;&gt;"&amp;"",Başvuru!$F:$F,"&lt;&gt;"&amp;""))</f>
        <v>0</v>
      </c>
      <c r="P264" s="169">
        <f>IF(C264="","",COUNTIFS(Başvuru!$C:$C,C264,Başvuru!$L:$L,"GERİ ÇEKİLDİ",Başvuru!$A:$A,"&lt;&gt;"&amp;"",Başvuru!$F:$F,"&lt;&gt;"&amp;""))</f>
        <v>0</v>
      </c>
      <c r="Q264" s="170" t="str">
        <f>IFERROR(INDEX(Başvuru!$C$2:$C$1851,MATCH(259,Başvuru!$AB$2:$AB$1851,0)),"")</f>
        <v>Dr. Öğr. Üyesi Yağmur Deniz YILDIRIM</v>
      </c>
      <c r="R264" s="171">
        <f>IF(Q264="","",COUNTIFS(Başvuru!$C:$C,Q264,Başvuru!$A:$A,"&lt;&gt;"&amp;"",Başvuru!$F:$F,"&lt;&gt;"&amp;""))</f>
        <v>1</v>
      </c>
      <c r="S264" s="171">
        <f>IF(R264="","",RANK(R264,$R$6:$R$505,0)+COUNTIF($R$6:R264,R264)-1)</f>
        <v>278</v>
      </c>
    </row>
    <row r="265" spans="2:19" ht="23.25" customHeight="1" x14ac:dyDescent="0.25">
      <c r="B265" s="159">
        <v>260</v>
      </c>
      <c r="C265" s="160" t="str">
        <f>IFERROR(INDEX($Q$6:$Q$505,MATCH(260,$S$6:$S$505,0)),"")</f>
        <v>Doç. Dr. Kısmet ÇIKI</v>
      </c>
      <c r="D265" s="161">
        <f>IF(C265="","",COUNTIFS(Başvuru!$C:$C,C265,Başvuru!$A:$A,"&lt;&gt;"&amp;"",Başvuru!$F:$F,"&lt;&gt;"&amp;""))</f>
        <v>1</v>
      </c>
      <c r="E265" s="159" t="str">
        <f>IF(C265="","-",IF(D265&gt;0,TEXT(D265/(COUNTIFS(Başvuru!$A:$A,"&lt;&gt;",Başvuru!$F:$F,"&lt;&gt;")-1)*100,"0.0")&amp;"%","-"))</f>
        <v>00%</v>
      </c>
      <c r="F265" s="162">
        <f>IF(C265="","",COUNTIFS(Başvuru!$C:$C,C265,Başvuru!$G:$G,"Bireysel Araştırma",Başvuru!$A:$A,"&lt;&gt;"&amp;"",Başvuru!$F:$F,"&lt;&gt;"&amp;""))</f>
        <v>1</v>
      </c>
      <c r="G265" s="162">
        <f>IF(C265="","",COUNTIFS(Başvuru!$C:$C,C265,Başvuru!$G:$G,"Uzmanlık Tezi",Başvuru!$A:$A,"&lt;&gt;"&amp;"",Başvuru!$F:$F,"&lt;&gt;"&amp;""))</f>
        <v>0</v>
      </c>
      <c r="H265" s="162">
        <f>IF(C265="","",COUNTIFS(Başvuru!$C:$C,C265,Başvuru!$G:$G,"Doktora Tezi",Başvuru!$A:$A,"&lt;&gt;"&amp;"",Başvuru!$F:$F,"&lt;&gt;"&amp;""))</f>
        <v>0</v>
      </c>
      <c r="I265" s="162">
        <f>IF(C265="","",COUNTIFS(Başvuru!$C:$C,C265,Başvuru!$G:$G,"Yüksek Lisans Tezi",Başvuru!$A:$A,"&lt;&gt;"&amp;"",Başvuru!$F:$F,"&lt;&gt;"&amp;""))</f>
        <v>0</v>
      </c>
      <c r="J265" s="163">
        <f>IF(C265="","",COUNTIFS(Başvuru!$C:$C,C265,Başvuru!$L:$L,"ONAY",Başvuru!$A:$A,"&lt;&gt;"&amp;"",Başvuru!$F:$F,"&lt;&gt;"&amp;""))</f>
        <v>0</v>
      </c>
      <c r="K265" s="164">
        <f>IF(C265="","",COUNTIFS(Başvuru!$C:$C,C265,Başvuru!$L:$L,"DÜZELTME",Başvuru!$A:$A,"&lt;&gt;"&amp;"",Başvuru!$F:$F,"&lt;&gt;"&amp;""))</f>
        <v>1</v>
      </c>
      <c r="L265" s="165">
        <f>IF(C265="","",COUNTIFS(Başvuru!$C:$C,C265,Başvuru!$L:$L,"KAEK",Başvuru!$A:$A,"&lt;&gt;"&amp;"",Başvuru!$F:$F,"&lt;&gt;"&amp;""))</f>
        <v>0</v>
      </c>
      <c r="M265" s="166">
        <f>IF(C265="","",COUNTIFS(Başvuru!$C:$C,C265,Başvuru!$L:$L,"GÖRÜŞ",Başvuru!$A:$A,"&lt;&gt;"&amp;"",Başvuru!$F:$F,"&lt;&gt;"&amp;""))</f>
        <v>0</v>
      </c>
      <c r="N265" s="167">
        <f>IF(C265="","",COUNTIFS(Başvuru!$C:$C,C265,Başvuru!$L:$L,"RET",Başvuru!$A:$A,"&lt;&gt;"&amp;"",Başvuru!$F:$F,"&lt;&gt;"&amp;""))</f>
        <v>0</v>
      </c>
      <c r="O265" s="168">
        <f>IF(C265="","",COUNTIFS(Başvuru!$C:$C,C265,Başvuru!$L:$L,"KAPSAM DIŞI",Başvuru!$A:$A,"&lt;&gt;"&amp;"",Başvuru!$F:$F,"&lt;&gt;"&amp;""))</f>
        <v>0</v>
      </c>
      <c r="P265" s="169">
        <f>IF(C265="","",COUNTIFS(Başvuru!$C:$C,C265,Başvuru!$L:$L,"GERİ ÇEKİLDİ",Başvuru!$A:$A,"&lt;&gt;"&amp;"",Başvuru!$F:$F,"&lt;&gt;"&amp;""))</f>
        <v>0</v>
      </c>
      <c r="Q265" s="170" t="str">
        <f>IFERROR(INDEX(Başvuru!$C$2:$C$1851,MATCH(260,Başvuru!$AB$2:$AB$1851,0)),"")</f>
        <v>Prof. Dr. Bülent ATİLLA</v>
      </c>
      <c r="R265" s="171">
        <f>IF(Q265="","",COUNTIFS(Başvuru!$C:$C,Q265,Başvuru!$A:$A,"&lt;&gt;"&amp;"",Başvuru!$F:$F,"&lt;&gt;"&amp;""))</f>
        <v>2</v>
      </c>
      <c r="S265" s="171">
        <f>IF(R265="","",RANK(R265,$R$6:$R$505,0)+COUNTIF($R$6:R265,R265)-1)</f>
        <v>142</v>
      </c>
    </row>
    <row r="266" spans="2:19" ht="23.25" customHeight="1" x14ac:dyDescent="0.25">
      <c r="B266" s="159">
        <v>261</v>
      </c>
      <c r="C266" s="160" t="str">
        <f>IFERROR(INDEX($Q$6:$Q$505,MATCH(261,$S$6:$S$505,0)),"")</f>
        <v>Prof. Dr. Alp USUBÜTÜN</v>
      </c>
      <c r="D266" s="161">
        <f>IF(C266="","",COUNTIFS(Başvuru!$C:$C,C266,Başvuru!$A:$A,"&lt;&gt;"&amp;"",Başvuru!$F:$F,"&lt;&gt;"&amp;""))</f>
        <v>1</v>
      </c>
      <c r="E266" s="159" t="str">
        <f>IF(C266="","-",IF(D266&gt;0,TEXT(D266/(COUNTIFS(Başvuru!$A:$A,"&lt;&gt;",Başvuru!$F:$F,"&lt;&gt;")-1)*100,"0.0")&amp;"%","-"))</f>
        <v>00%</v>
      </c>
      <c r="F266" s="162">
        <f>IF(C266="","",COUNTIFS(Başvuru!$C:$C,C266,Başvuru!$G:$G,"Bireysel Araştırma",Başvuru!$A:$A,"&lt;&gt;"&amp;"",Başvuru!$F:$F,"&lt;&gt;"&amp;""))</f>
        <v>1</v>
      </c>
      <c r="G266" s="162">
        <f>IF(C266="","",COUNTIFS(Başvuru!$C:$C,C266,Başvuru!$G:$G,"Uzmanlık Tezi",Başvuru!$A:$A,"&lt;&gt;"&amp;"",Başvuru!$F:$F,"&lt;&gt;"&amp;""))</f>
        <v>0</v>
      </c>
      <c r="H266" s="162">
        <f>IF(C266="","",COUNTIFS(Başvuru!$C:$C,C266,Başvuru!$G:$G,"Doktora Tezi",Başvuru!$A:$A,"&lt;&gt;"&amp;"",Başvuru!$F:$F,"&lt;&gt;"&amp;""))</f>
        <v>0</v>
      </c>
      <c r="I266" s="162">
        <f>IF(C266="","",COUNTIFS(Başvuru!$C:$C,C266,Başvuru!$G:$G,"Yüksek Lisans Tezi",Başvuru!$A:$A,"&lt;&gt;"&amp;"",Başvuru!$F:$F,"&lt;&gt;"&amp;""))</f>
        <v>0</v>
      </c>
      <c r="J266" s="163">
        <f>IF(C266="","",COUNTIFS(Başvuru!$C:$C,C266,Başvuru!$L:$L,"ONAY",Başvuru!$A:$A,"&lt;&gt;"&amp;"",Başvuru!$F:$F,"&lt;&gt;"&amp;""))</f>
        <v>1</v>
      </c>
      <c r="K266" s="164">
        <f>IF(C266="","",COUNTIFS(Başvuru!$C:$C,C266,Başvuru!$L:$L,"DÜZELTME",Başvuru!$A:$A,"&lt;&gt;"&amp;"",Başvuru!$F:$F,"&lt;&gt;"&amp;""))</f>
        <v>0</v>
      </c>
      <c r="L266" s="165">
        <f>IF(C266="","",COUNTIFS(Başvuru!$C:$C,C266,Başvuru!$L:$L,"KAEK",Başvuru!$A:$A,"&lt;&gt;"&amp;"",Başvuru!$F:$F,"&lt;&gt;"&amp;""))</f>
        <v>0</v>
      </c>
      <c r="M266" s="166">
        <f>IF(C266="","",COUNTIFS(Başvuru!$C:$C,C266,Başvuru!$L:$L,"GÖRÜŞ",Başvuru!$A:$A,"&lt;&gt;"&amp;"",Başvuru!$F:$F,"&lt;&gt;"&amp;""))</f>
        <v>0</v>
      </c>
      <c r="N266" s="167">
        <f>IF(C266="","",COUNTIFS(Başvuru!$C:$C,C266,Başvuru!$L:$L,"RET",Başvuru!$A:$A,"&lt;&gt;"&amp;"",Başvuru!$F:$F,"&lt;&gt;"&amp;""))</f>
        <v>0</v>
      </c>
      <c r="O266" s="168">
        <f>IF(C266="","",COUNTIFS(Başvuru!$C:$C,C266,Başvuru!$L:$L,"KAPSAM DIŞI",Başvuru!$A:$A,"&lt;&gt;"&amp;"",Başvuru!$F:$F,"&lt;&gt;"&amp;""))</f>
        <v>0</v>
      </c>
      <c r="P266" s="169">
        <f>IF(C266="","",COUNTIFS(Başvuru!$C:$C,C266,Başvuru!$L:$L,"GERİ ÇEKİLDİ",Başvuru!$A:$A,"&lt;&gt;"&amp;"",Başvuru!$F:$F,"&lt;&gt;"&amp;""))</f>
        <v>0</v>
      </c>
      <c r="Q266" s="170" t="str">
        <f>IFERROR(INDEX(Başvuru!$C$2:$C$1851,MATCH(261,Başvuru!$AB$2:$AB$1851,0)),"")</f>
        <v>Dr. Öğr. Üyesi Nur Berna ÇELİK ERTAŞ</v>
      </c>
      <c r="R266" s="171">
        <f>IF(Q266="","",COUNTIFS(Başvuru!$C:$C,Q266,Başvuru!$A:$A,"&lt;&gt;"&amp;"",Başvuru!$F:$F,"&lt;&gt;"&amp;""))</f>
        <v>1</v>
      </c>
      <c r="S266" s="171">
        <f>IF(R266="","",RANK(R266,$R$6:$R$505,0)+COUNTIF($R$6:R266,R266)-1)</f>
        <v>279</v>
      </c>
    </row>
    <row r="267" spans="2:19" ht="23.25" customHeight="1" x14ac:dyDescent="0.25">
      <c r="B267" s="159">
        <v>262</v>
      </c>
      <c r="C267" s="160" t="str">
        <f>IFERROR(INDEX($Q$6:$Q$505,MATCH(262,$S$6:$S$505,0)),"")</f>
        <v>Doç. Dr. Eda Didem KURT ŞÜKÜR</v>
      </c>
      <c r="D267" s="161">
        <f>IF(C267="","",COUNTIFS(Başvuru!$C:$C,C267,Başvuru!$A:$A,"&lt;&gt;"&amp;"",Başvuru!$F:$F,"&lt;&gt;"&amp;""))</f>
        <v>1</v>
      </c>
      <c r="E267" s="159" t="str">
        <f>IF(C267="","-",IF(D267&gt;0,TEXT(D267/(COUNTIFS(Başvuru!$A:$A,"&lt;&gt;",Başvuru!$F:$F,"&lt;&gt;")-1)*100,"0.0")&amp;"%","-"))</f>
        <v>00%</v>
      </c>
      <c r="F267" s="162">
        <f>IF(C267="","",COUNTIFS(Başvuru!$C:$C,C267,Başvuru!$G:$G,"Bireysel Araştırma",Başvuru!$A:$A,"&lt;&gt;"&amp;"",Başvuru!$F:$F,"&lt;&gt;"&amp;""))</f>
        <v>0</v>
      </c>
      <c r="G267" s="162">
        <f>IF(C267="","",COUNTIFS(Başvuru!$C:$C,C267,Başvuru!$G:$G,"Uzmanlık Tezi",Başvuru!$A:$A,"&lt;&gt;"&amp;"",Başvuru!$F:$F,"&lt;&gt;"&amp;""))</f>
        <v>1</v>
      </c>
      <c r="H267" s="162">
        <f>IF(C267="","",COUNTIFS(Başvuru!$C:$C,C267,Başvuru!$G:$G,"Doktora Tezi",Başvuru!$A:$A,"&lt;&gt;"&amp;"",Başvuru!$F:$F,"&lt;&gt;"&amp;""))</f>
        <v>0</v>
      </c>
      <c r="I267" s="162">
        <f>IF(C267="","",COUNTIFS(Başvuru!$C:$C,C267,Başvuru!$G:$G,"Yüksek Lisans Tezi",Başvuru!$A:$A,"&lt;&gt;"&amp;"",Başvuru!$F:$F,"&lt;&gt;"&amp;""))</f>
        <v>0</v>
      </c>
      <c r="J267" s="163">
        <f>IF(C267="","",COUNTIFS(Başvuru!$C:$C,C267,Başvuru!$L:$L,"ONAY",Başvuru!$A:$A,"&lt;&gt;"&amp;"",Başvuru!$F:$F,"&lt;&gt;"&amp;""))</f>
        <v>1</v>
      </c>
      <c r="K267" s="164">
        <f>IF(C267="","",COUNTIFS(Başvuru!$C:$C,C267,Başvuru!$L:$L,"DÜZELTME",Başvuru!$A:$A,"&lt;&gt;"&amp;"",Başvuru!$F:$F,"&lt;&gt;"&amp;""))</f>
        <v>0</v>
      </c>
      <c r="L267" s="165">
        <f>IF(C267="","",COUNTIFS(Başvuru!$C:$C,C267,Başvuru!$L:$L,"KAEK",Başvuru!$A:$A,"&lt;&gt;"&amp;"",Başvuru!$F:$F,"&lt;&gt;"&amp;""))</f>
        <v>0</v>
      </c>
      <c r="M267" s="166">
        <f>IF(C267="","",COUNTIFS(Başvuru!$C:$C,C267,Başvuru!$L:$L,"GÖRÜŞ",Başvuru!$A:$A,"&lt;&gt;"&amp;"",Başvuru!$F:$F,"&lt;&gt;"&amp;""))</f>
        <v>0</v>
      </c>
      <c r="N267" s="167">
        <f>IF(C267="","",COUNTIFS(Başvuru!$C:$C,C267,Başvuru!$L:$L,"RET",Başvuru!$A:$A,"&lt;&gt;"&amp;"",Başvuru!$F:$F,"&lt;&gt;"&amp;""))</f>
        <v>0</v>
      </c>
      <c r="O267" s="168">
        <f>IF(C267="","",COUNTIFS(Başvuru!$C:$C,C267,Başvuru!$L:$L,"KAPSAM DIŞI",Başvuru!$A:$A,"&lt;&gt;"&amp;"",Başvuru!$F:$F,"&lt;&gt;"&amp;""))</f>
        <v>0</v>
      </c>
      <c r="P267" s="169">
        <f>IF(C267="","",COUNTIFS(Başvuru!$C:$C,C267,Başvuru!$L:$L,"GERİ ÇEKİLDİ",Başvuru!$A:$A,"&lt;&gt;"&amp;"",Başvuru!$F:$F,"&lt;&gt;"&amp;""))</f>
        <v>0</v>
      </c>
      <c r="Q267" s="170" t="str">
        <f>IFERROR(INDEX(Başvuru!$C$2:$C$1851,MATCH(262,Başvuru!$AB$2:$AB$1851,0)),"")</f>
        <v>Dr. Öğr. Üyesi Aslı ALKAN</v>
      </c>
      <c r="R267" s="171">
        <f>IF(Q267="","",COUNTIFS(Başvuru!$C:$C,Q267,Başvuru!$A:$A,"&lt;&gt;"&amp;"",Başvuru!$F:$F,"&lt;&gt;"&amp;""))</f>
        <v>1</v>
      </c>
      <c r="S267" s="171">
        <f>IF(R267="","",RANK(R267,$R$6:$R$505,0)+COUNTIF($R$6:R267,R267)-1)</f>
        <v>280</v>
      </c>
    </row>
    <row r="268" spans="2:19" ht="23.25" customHeight="1" x14ac:dyDescent="0.25">
      <c r="B268" s="159">
        <v>263</v>
      </c>
      <c r="C268" s="160" t="str">
        <f>IFERROR(INDEX($Q$6:$Q$505,MATCH(263,$S$6:$S$505,0)),"")</f>
        <v>Prof. Dr. M. Özgür UYANIK</v>
      </c>
      <c r="D268" s="161">
        <f>IF(C268="","",COUNTIFS(Başvuru!$C:$C,C268,Başvuru!$A:$A,"&lt;&gt;"&amp;"",Başvuru!$F:$F,"&lt;&gt;"&amp;""))</f>
        <v>1</v>
      </c>
      <c r="E268" s="159" t="str">
        <f>IF(C268="","-",IF(D268&gt;0,TEXT(D268/(COUNTIFS(Başvuru!$A:$A,"&lt;&gt;",Başvuru!$F:$F,"&lt;&gt;")-1)*100,"0.0")&amp;"%","-"))</f>
        <v>00%</v>
      </c>
      <c r="F268" s="162">
        <f>IF(C268="","",COUNTIFS(Başvuru!$C:$C,C268,Başvuru!$G:$G,"Bireysel Araştırma",Başvuru!$A:$A,"&lt;&gt;"&amp;"",Başvuru!$F:$F,"&lt;&gt;"&amp;""))</f>
        <v>1</v>
      </c>
      <c r="G268" s="162">
        <f>IF(C268="","",COUNTIFS(Başvuru!$C:$C,C268,Başvuru!$G:$G,"Uzmanlık Tezi",Başvuru!$A:$A,"&lt;&gt;"&amp;"",Başvuru!$F:$F,"&lt;&gt;"&amp;""))</f>
        <v>0</v>
      </c>
      <c r="H268" s="162">
        <f>IF(C268="","",COUNTIFS(Başvuru!$C:$C,C268,Başvuru!$G:$G,"Doktora Tezi",Başvuru!$A:$A,"&lt;&gt;"&amp;"",Başvuru!$F:$F,"&lt;&gt;"&amp;""))</f>
        <v>0</v>
      </c>
      <c r="I268" s="162">
        <f>IF(C268="","",COUNTIFS(Başvuru!$C:$C,C268,Başvuru!$G:$G,"Yüksek Lisans Tezi",Başvuru!$A:$A,"&lt;&gt;"&amp;"",Başvuru!$F:$F,"&lt;&gt;"&amp;""))</f>
        <v>0</v>
      </c>
      <c r="J268" s="163">
        <f>IF(C268="","",COUNTIFS(Başvuru!$C:$C,C268,Başvuru!$L:$L,"ONAY",Başvuru!$A:$A,"&lt;&gt;"&amp;"",Başvuru!$F:$F,"&lt;&gt;"&amp;""))</f>
        <v>1</v>
      </c>
      <c r="K268" s="164">
        <f>IF(C268="","",COUNTIFS(Başvuru!$C:$C,C268,Başvuru!$L:$L,"DÜZELTME",Başvuru!$A:$A,"&lt;&gt;"&amp;"",Başvuru!$F:$F,"&lt;&gt;"&amp;""))</f>
        <v>0</v>
      </c>
      <c r="L268" s="165">
        <f>IF(C268="","",COUNTIFS(Başvuru!$C:$C,C268,Başvuru!$L:$L,"KAEK",Başvuru!$A:$A,"&lt;&gt;"&amp;"",Başvuru!$F:$F,"&lt;&gt;"&amp;""))</f>
        <v>0</v>
      </c>
      <c r="M268" s="166">
        <f>IF(C268="","",COUNTIFS(Başvuru!$C:$C,C268,Başvuru!$L:$L,"GÖRÜŞ",Başvuru!$A:$A,"&lt;&gt;"&amp;"",Başvuru!$F:$F,"&lt;&gt;"&amp;""))</f>
        <v>0</v>
      </c>
      <c r="N268" s="167">
        <f>IF(C268="","",COUNTIFS(Başvuru!$C:$C,C268,Başvuru!$L:$L,"RET",Başvuru!$A:$A,"&lt;&gt;"&amp;"",Başvuru!$F:$F,"&lt;&gt;"&amp;""))</f>
        <v>0</v>
      </c>
      <c r="O268" s="168">
        <f>IF(C268="","",COUNTIFS(Başvuru!$C:$C,C268,Başvuru!$L:$L,"KAPSAM DIŞI",Başvuru!$A:$A,"&lt;&gt;"&amp;"",Başvuru!$F:$F,"&lt;&gt;"&amp;""))</f>
        <v>0</v>
      </c>
      <c r="P268" s="169">
        <f>IF(C268="","",COUNTIFS(Başvuru!$C:$C,C268,Başvuru!$L:$L,"GERİ ÇEKİLDİ",Başvuru!$A:$A,"&lt;&gt;"&amp;"",Başvuru!$F:$F,"&lt;&gt;"&amp;""))</f>
        <v>0</v>
      </c>
      <c r="Q268" s="170" t="str">
        <f>IFERROR(INDEX(Başvuru!$C$2:$C$1851,MATCH(263,Başvuru!$AB$2:$AB$1851,0)),"")</f>
        <v>Prof. Dr. Gülen Eda ÜTİNE</v>
      </c>
      <c r="R268" s="171">
        <f>IF(Q268="","",COUNTIFS(Başvuru!$C:$C,Q268,Başvuru!$A:$A,"&lt;&gt;"&amp;"",Başvuru!$F:$F,"&lt;&gt;"&amp;""))</f>
        <v>1</v>
      </c>
      <c r="S268" s="171">
        <f>IF(R268="","",RANK(R268,$R$6:$R$505,0)+COUNTIF($R$6:R268,R268)-1)</f>
        <v>281</v>
      </c>
    </row>
    <row r="269" spans="2:19" ht="23.25" customHeight="1" x14ac:dyDescent="0.25">
      <c r="B269" s="159">
        <v>264</v>
      </c>
      <c r="C269" s="160" t="str">
        <f>IFERROR(INDEX($Q$6:$Q$505,MATCH(264,$S$6:$S$505,0)),"")</f>
        <v>Dr. Öğr. Üyesi Leyla HUSEYNOVA TERZİ</v>
      </c>
      <c r="D269" s="161">
        <f>IF(C269="","",COUNTIFS(Başvuru!$C:$C,C269,Başvuru!$A:$A,"&lt;&gt;"&amp;"",Başvuru!$F:$F,"&lt;&gt;"&amp;""))</f>
        <v>1</v>
      </c>
      <c r="E269" s="159" t="str">
        <f>IF(C269="","-",IF(D269&gt;0,TEXT(D269/(COUNTIFS(Başvuru!$A:$A,"&lt;&gt;",Başvuru!$F:$F,"&lt;&gt;")-1)*100,"0.0")&amp;"%","-"))</f>
        <v>00%</v>
      </c>
      <c r="F269" s="162">
        <f>IF(C269="","",COUNTIFS(Başvuru!$C:$C,C269,Başvuru!$G:$G,"Bireysel Araştırma",Başvuru!$A:$A,"&lt;&gt;"&amp;"",Başvuru!$F:$F,"&lt;&gt;"&amp;""))</f>
        <v>1</v>
      </c>
      <c r="G269" s="162">
        <f>IF(C269="","",COUNTIFS(Başvuru!$C:$C,C269,Başvuru!$G:$G,"Uzmanlık Tezi",Başvuru!$A:$A,"&lt;&gt;"&amp;"",Başvuru!$F:$F,"&lt;&gt;"&amp;""))</f>
        <v>0</v>
      </c>
      <c r="H269" s="162">
        <f>IF(C269="","",COUNTIFS(Başvuru!$C:$C,C269,Başvuru!$G:$G,"Doktora Tezi",Başvuru!$A:$A,"&lt;&gt;"&amp;"",Başvuru!$F:$F,"&lt;&gt;"&amp;""))</f>
        <v>0</v>
      </c>
      <c r="I269" s="162">
        <f>IF(C269="","",COUNTIFS(Başvuru!$C:$C,C269,Başvuru!$G:$G,"Yüksek Lisans Tezi",Başvuru!$A:$A,"&lt;&gt;"&amp;"",Başvuru!$F:$F,"&lt;&gt;"&amp;""))</f>
        <v>0</v>
      </c>
      <c r="J269" s="163">
        <f>IF(C269="","",COUNTIFS(Başvuru!$C:$C,C269,Başvuru!$L:$L,"ONAY",Başvuru!$A:$A,"&lt;&gt;"&amp;"",Başvuru!$F:$F,"&lt;&gt;"&amp;""))</f>
        <v>1</v>
      </c>
      <c r="K269" s="164">
        <f>IF(C269="","",COUNTIFS(Başvuru!$C:$C,C269,Başvuru!$L:$L,"DÜZELTME",Başvuru!$A:$A,"&lt;&gt;"&amp;"",Başvuru!$F:$F,"&lt;&gt;"&amp;""))</f>
        <v>0</v>
      </c>
      <c r="L269" s="165">
        <f>IF(C269="","",COUNTIFS(Başvuru!$C:$C,C269,Başvuru!$L:$L,"KAEK",Başvuru!$A:$A,"&lt;&gt;"&amp;"",Başvuru!$F:$F,"&lt;&gt;"&amp;""))</f>
        <v>0</v>
      </c>
      <c r="M269" s="166">
        <f>IF(C269="","",COUNTIFS(Başvuru!$C:$C,C269,Başvuru!$L:$L,"GÖRÜŞ",Başvuru!$A:$A,"&lt;&gt;"&amp;"",Başvuru!$F:$F,"&lt;&gt;"&amp;""))</f>
        <v>0</v>
      </c>
      <c r="N269" s="167">
        <f>IF(C269="","",COUNTIFS(Başvuru!$C:$C,C269,Başvuru!$L:$L,"RET",Başvuru!$A:$A,"&lt;&gt;"&amp;"",Başvuru!$F:$F,"&lt;&gt;"&amp;""))</f>
        <v>0</v>
      </c>
      <c r="O269" s="168">
        <f>IF(C269="","",COUNTIFS(Başvuru!$C:$C,C269,Başvuru!$L:$L,"KAPSAM DIŞI",Başvuru!$A:$A,"&lt;&gt;"&amp;"",Başvuru!$F:$F,"&lt;&gt;"&amp;""))</f>
        <v>0</v>
      </c>
      <c r="P269" s="169">
        <f>IF(C269="","",COUNTIFS(Başvuru!$C:$C,C269,Başvuru!$L:$L,"GERİ ÇEKİLDİ",Başvuru!$A:$A,"&lt;&gt;"&amp;"",Başvuru!$F:$F,"&lt;&gt;"&amp;""))</f>
        <v>0</v>
      </c>
      <c r="Q269" s="170" t="str">
        <f>IFERROR(INDEX(Başvuru!$C$2:$C$1851,MATCH(264,Başvuru!$AB$2:$AB$1851,0)),"")</f>
        <v>Doç. Dr. Muhammed Bahaddin DURAK</v>
      </c>
      <c r="R269" s="171">
        <f>IF(Q269="","",COUNTIFS(Başvuru!$C:$C,Q269,Başvuru!$A:$A,"&lt;&gt;"&amp;"",Başvuru!$F:$F,"&lt;&gt;"&amp;""))</f>
        <v>1</v>
      </c>
      <c r="S269" s="171">
        <f>IF(R269="","",RANK(R269,$R$6:$R$505,0)+COUNTIF($R$6:R269,R269)-1)</f>
        <v>282</v>
      </c>
    </row>
    <row r="270" spans="2:19" ht="23.25" customHeight="1" x14ac:dyDescent="0.25">
      <c r="B270" s="159">
        <v>265</v>
      </c>
      <c r="C270" s="160" t="str">
        <f>IFERROR(INDEX($Q$6:$Q$505,MATCH(265,$S$6:$S$505,0)),"")</f>
        <v>Prof. Dr. Tarık TUNCAY</v>
      </c>
      <c r="D270" s="161">
        <f>IF(C270="","",COUNTIFS(Başvuru!$C:$C,C270,Başvuru!$A:$A,"&lt;&gt;"&amp;"",Başvuru!$F:$F,"&lt;&gt;"&amp;""))</f>
        <v>1</v>
      </c>
      <c r="E270" s="159" t="str">
        <f>IF(C270="","-",IF(D270&gt;0,TEXT(D270/(COUNTIFS(Başvuru!$A:$A,"&lt;&gt;",Başvuru!$F:$F,"&lt;&gt;")-1)*100,"0.0")&amp;"%","-"))</f>
        <v>00%</v>
      </c>
      <c r="F270" s="162">
        <f>IF(C270="","",COUNTIFS(Başvuru!$C:$C,C270,Başvuru!$G:$G,"Bireysel Araştırma",Başvuru!$A:$A,"&lt;&gt;"&amp;"",Başvuru!$F:$F,"&lt;&gt;"&amp;""))</f>
        <v>1</v>
      </c>
      <c r="G270" s="162">
        <f>IF(C270="","",COUNTIFS(Başvuru!$C:$C,C270,Başvuru!$G:$G,"Uzmanlık Tezi",Başvuru!$A:$A,"&lt;&gt;"&amp;"",Başvuru!$F:$F,"&lt;&gt;"&amp;""))</f>
        <v>0</v>
      </c>
      <c r="H270" s="162">
        <f>IF(C270="","",COUNTIFS(Başvuru!$C:$C,C270,Başvuru!$G:$G,"Doktora Tezi",Başvuru!$A:$A,"&lt;&gt;"&amp;"",Başvuru!$F:$F,"&lt;&gt;"&amp;""))</f>
        <v>0</v>
      </c>
      <c r="I270" s="162">
        <f>IF(C270="","",COUNTIFS(Başvuru!$C:$C,C270,Başvuru!$G:$G,"Yüksek Lisans Tezi",Başvuru!$A:$A,"&lt;&gt;"&amp;"",Başvuru!$F:$F,"&lt;&gt;"&amp;""))</f>
        <v>0</v>
      </c>
      <c r="J270" s="163">
        <f>IF(C270="","",COUNTIFS(Başvuru!$C:$C,C270,Başvuru!$L:$L,"ONAY",Başvuru!$A:$A,"&lt;&gt;"&amp;"",Başvuru!$F:$F,"&lt;&gt;"&amp;""))</f>
        <v>0</v>
      </c>
      <c r="K270" s="164">
        <f>IF(C270="","",COUNTIFS(Başvuru!$C:$C,C270,Başvuru!$L:$L,"DÜZELTME",Başvuru!$A:$A,"&lt;&gt;"&amp;"",Başvuru!$F:$F,"&lt;&gt;"&amp;""))</f>
        <v>1</v>
      </c>
      <c r="L270" s="165">
        <f>IF(C270="","",COUNTIFS(Başvuru!$C:$C,C270,Başvuru!$L:$L,"KAEK",Başvuru!$A:$A,"&lt;&gt;"&amp;"",Başvuru!$F:$F,"&lt;&gt;"&amp;""))</f>
        <v>0</v>
      </c>
      <c r="M270" s="166">
        <f>IF(C270="","",COUNTIFS(Başvuru!$C:$C,C270,Başvuru!$L:$L,"GÖRÜŞ",Başvuru!$A:$A,"&lt;&gt;"&amp;"",Başvuru!$F:$F,"&lt;&gt;"&amp;""))</f>
        <v>0</v>
      </c>
      <c r="N270" s="167">
        <f>IF(C270="","",COUNTIFS(Başvuru!$C:$C,C270,Başvuru!$L:$L,"RET",Başvuru!$A:$A,"&lt;&gt;"&amp;"",Başvuru!$F:$F,"&lt;&gt;"&amp;""))</f>
        <v>0</v>
      </c>
      <c r="O270" s="168">
        <f>IF(C270="","",COUNTIFS(Başvuru!$C:$C,C270,Başvuru!$L:$L,"KAPSAM DIŞI",Başvuru!$A:$A,"&lt;&gt;"&amp;"",Başvuru!$F:$F,"&lt;&gt;"&amp;""))</f>
        <v>0</v>
      </c>
      <c r="P270" s="169">
        <f>IF(C270="","",COUNTIFS(Başvuru!$C:$C,C270,Başvuru!$L:$L,"GERİ ÇEKİLDİ",Başvuru!$A:$A,"&lt;&gt;"&amp;"",Başvuru!$F:$F,"&lt;&gt;"&amp;""))</f>
        <v>0</v>
      </c>
      <c r="Q270" s="170" t="str">
        <f>IFERROR(INDEX(Başvuru!$C$2:$C$1851,MATCH(265,Başvuru!$AB$2:$AB$1851,0)),"")</f>
        <v>Prof. Dr. Okan Bülent YILDIZ</v>
      </c>
      <c r="R270" s="171">
        <f>IF(Q270="","",COUNTIFS(Başvuru!$C:$C,Q270,Başvuru!$A:$A,"&lt;&gt;"&amp;"",Başvuru!$F:$F,"&lt;&gt;"&amp;""))</f>
        <v>2</v>
      </c>
      <c r="S270" s="171">
        <f>IF(R270="","",RANK(R270,$R$6:$R$505,0)+COUNTIF($R$6:R270,R270)-1)</f>
        <v>143</v>
      </c>
    </row>
    <row r="271" spans="2:19" ht="23.25" customHeight="1" x14ac:dyDescent="0.25">
      <c r="B271" s="159">
        <v>266</v>
      </c>
      <c r="C271" s="160" t="str">
        <f>IFERROR(INDEX($Q$6:$Q$505,MATCH(266,$S$6:$S$505,0)),"")</f>
        <v>Arş. Gör. Dr. Şeyma KAHRAMAN</v>
      </c>
      <c r="D271" s="161">
        <f>IF(C271="","",COUNTIFS(Başvuru!$C:$C,C271,Başvuru!$A:$A,"&lt;&gt;"&amp;"",Başvuru!$F:$F,"&lt;&gt;"&amp;""))</f>
        <v>1</v>
      </c>
      <c r="E271" s="159" t="str">
        <f>IF(C271="","-",IF(D271&gt;0,TEXT(D271/(COUNTIFS(Başvuru!$A:$A,"&lt;&gt;",Başvuru!$F:$F,"&lt;&gt;")-1)*100,"0.0")&amp;"%","-"))</f>
        <v>00%</v>
      </c>
      <c r="F271" s="162">
        <f>IF(C271="","",COUNTIFS(Başvuru!$C:$C,C271,Başvuru!$G:$G,"Bireysel Araştırma",Başvuru!$A:$A,"&lt;&gt;"&amp;"",Başvuru!$F:$F,"&lt;&gt;"&amp;""))</f>
        <v>1</v>
      </c>
      <c r="G271" s="162">
        <f>IF(C271="","",COUNTIFS(Başvuru!$C:$C,C271,Başvuru!$G:$G,"Uzmanlık Tezi",Başvuru!$A:$A,"&lt;&gt;"&amp;"",Başvuru!$F:$F,"&lt;&gt;"&amp;""))</f>
        <v>0</v>
      </c>
      <c r="H271" s="162">
        <f>IF(C271="","",COUNTIFS(Başvuru!$C:$C,C271,Başvuru!$G:$G,"Doktora Tezi",Başvuru!$A:$A,"&lt;&gt;"&amp;"",Başvuru!$F:$F,"&lt;&gt;"&amp;""))</f>
        <v>0</v>
      </c>
      <c r="I271" s="162">
        <f>IF(C271="","",COUNTIFS(Başvuru!$C:$C,C271,Başvuru!$G:$G,"Yüksek Lisans Tezi",Başvuru!$A:$A,"&lt;&gt;"&amp;"",Başvuru!$F:$F,"&lt;&gt;"&amp;""))</f>
        <v>0</v>
      </c>
      <c r="J271" s="163">
        <f>IF(C271="","",COUNTIFS(Başvuru!$C:$C,C271,Başvuru!$L:$L,"ONAY",Başvuru!$A:$A,"&lt;&gt;"&amp;"",Başvuru!$F:$F,"&lt;&gt;"&amp;""))</f>
        <v>0</v>
      </c>
      <c r="K271" s="164">
        <f>IF(C271="","",COUNTIFS(Başvuru!$C:$C,C271,Başvuru!$L:$L,"DÜZELTME",Başvuru!$A:$A,"&lt;&gt;"&amp;"",Başvuru!$F:$F,"&lt;&gt;"&amp;""))</f>
        <v>0</v>
      </c>
      <c r="L271" s="165">
        <f>IF(C271="","",COUNTIFS(Başvuru!$C:$C,C271,Başvuru!$L:$L,"KAEK",Başvuru!$A:$A,"&lt;&gt;"&amp;"",Başvuru!$F:$F,"&lt;&gt;"&amp;""))</f>
        <v>0</v>
      </c>
      <c r="M271" s="166">
        <f>IF(C271="","",COUNTIFS(Başvuru!$C:$C,C271,Başvuru!$L:$L,"GÖRÜŞ",Başvuru!$A:$A,"&lt;&gt;"&amp;"",Başvuru!$F:$F,"&lt;&gt;"&amp;""))</f>
        <v>0</v>
      </c>
      <c r="N271" s="167">
        <f>IF(C271="","",COUNTIFS(Başvuru!$C:$C,C271,Başvuru!$L:$L,"RET",Başvuru!$A:$A,"&lt;&gt;"&amp;"",Başvuru!$F:$F,"&lt;&gt;"&amp;""))</f>
        <v>0</v>
      </c>
      <c r="O271" s="168">
        <f>IF(C271="","",COUNTIFS(Başvuru!$C:$C,C271,Başvuru!$L:$L,"KAPSAM DIŞI",Başvuru!$A:$A,"&lt;&gt;"&amp;"",Başvuru!$F:$F,"&lt;&gt;"&amp;""))</f>
        <v>1</v>
      </c>
      <c r="P271" s="169">
        <f>IF(C271="","",COUNTIFS(Başvuru!$C:$C,C271,Başvuru!$L:$L,"GERİ ÇEKİLDİ",Başvuru!$A:$A,"&lt;&gt;"&amp;"",Başvuru!$F:$F,"&lt;&gt;"&amp;""))</f>
        <v>0</v>
      </c>
      <c r="Q271" s="170" t="str">
        <f>IFERROR(INDEX(Başvuru!$C$2:$C$1851,MATCH(266,Başvuru!$AB$2:$AB$1851,0)),"")</f>
        <v>Prof. Dr. Saniye EKİNCİ</v>
      </c>
      <c r="R271" s="171">
        <f>IF(Q271="","",COUNTIFS(Başvuru!$C:$C,Q271,Başvuru!$A:$A,"&lt;&gt;"&amp;"",Başvuru!$F:$F,"&lt;&gt;"&amp;""))</f>
        <v>2</v>
      </c>
      <c r="S271" s="171">
        <f>IF(R271="","",RANK(R271,$R$6:$R$505,0)+COUNTIF($R$6:R271,R271)-1)</f>
        <v>144</v>
      </c>
    </row>
    <row r="272" spans="2:19" ht="23.25" customHeight="1" x14ac:dyDescent="0.25">
      <c r="B272" s="159">
        <v>267</v>
      </c>
      <c r="C272" s="160" t="str">
        <f>IFERROR(INDEX($Q$6:$Q$505,MATCH(267,$S$6:$S$505,0)),"")</f>
        <v>Doç. Dr. Ayşe Bikem KARGI</v>
      </c>
      <c r="D272" s="161">
        <f>IF(C272="","",COUNTIFS(Başvuru!$C:$C,C272,Başvuru!$A:$A,"&lt;&gt;"&amp;"",Başvuru!$F:$F,"&lt;&gt;"&amp;""))</f>
        <v>1</v>
      </c>
      <c r="E272" s="159" t="str">
        <f>IF(C272="","-",IF(D272&gt;0,TEXT(D272/(COUNTIFS(Başvuru!$A:$A,"&lt;&gt;",Başvuru!$F:$F,"&lt;&gt;")-1)*100,"0.0")&amp;"%","-"))</f>
        <v>00%</v>
      </c>
      <c r="F272" s="162">
        <f>IF(C272="","",COUNTIFS(Başvuru!$C:$C,C272,Başvuru!$G:$G,"Bireysel Araştırma",Başvuru!$A:$A,"&lt;&gt;"&amp;"",Başvuru!$F:$F,"&lt;&gt;"&amp;""))</f>
        <v>0</v>
      </c>
      <c r="G272" s="162">
        <f>IF(C272="","",COUNTIFS(Başvuru!$C:$C,C272,Başvuru!$G:$G,"Uzmanlık Tezi",Başvuru!$A:$A,"&lt;&gt;"&amp;"",Başvuru!$F:$F,"&lt;&gt;"&amp;""))</f>
        <v>0</v>
      </c>
      <c r="H272" s="162">
        <f>IF(C272="","",COUNTIFS(Başvuru!$C:$C,C272,Başvuru!$G:$G,"Doktora Tezi",Başvuru!$A:$A,"&lt;&gt;"&amp;"",Başvuru!$F:$F,"&lt;&gt;"&amp;""))</f>
        <v>1</v>
      </c>
      <c r="I272" s="162">
        <f>IF(C272="","",COUNTIFS(Başvuru!$C:$C,C272,Başvuru!$G:$G,"Yüksek Lisans Tezi",Başvuru!$A:$A,"&lt;&gt;"&amp;"",Başvuru!$F:$F,"&lt;&gt;"&amp;""))</f>
        <v>0</v>
      </c>
      <c r="J272" s="163">
        <f>IF(C272="","",COUNTIFS(Başvuru!$C:$C,C272,Başvuru!$L:$L,"ONAY",Başvuru!$A:$A,"&lt;&gt;"&amp;"",Başvuru!$F:$F,"&lt;&gt;"&amp;""))</f>
        <v>1</v>
      </c>
      <c r="K272" s="164">
        <f>IF(C272="","",COUNTIFS(Başvuru!$C:$C,C272,Başvuru!$L:$L,"DÜZELTME",Başvuru!$A:$A,"&lt;&gt;"&amp;"",Başvuru!$F:$F,"&lt;&gt;"&amp;""))</f>
        <v>0</v>
      </c>
      <c r="L272" s="165">
        <f>IF(C272="","",COUNTIFS(Başvuru!$C:$C,C272,Başvuru!$L:$L,"KAEK",Başvuru!$A:$A,"&lt;&gt;"&amp;"",Başvuru!$F:$F,"&lt;&gt;"&amp;""))</f>
        <v>0</v>
      </c>
      <c r="M272" s="166">
        <f>IF(C272="","",COUNTIFS(Başvuru!$C:$C,C272,Başvuru!$L:$L,"GÖRÜŞ",Başvuru!$A:$A,"&lt;&gt;"&amp;"",Başvuru!$F:$F,"&lt;&gt;"&amp;""))</f>
        <v>0</v>
      </c>
      <c r="N272" s="167">
        <f>IF(C272="","",COUNTIFS(Başvuru!$C:$C,C272,Başvuru!$L:$L,"RET",Başvuru!$A:$A,"&lt;&gt;"&amp;"",Başvuru!$F:$F,"&lt;&gt;"&amp;""))</f>
        <v>0</v>
      </c>
      <c r="O272" s="168">
        <f>IF(C272="","",COUNTIFS(Başvuru!$C:$C,C272,Başvuru!$L:$L,"KAPSAM DIŞI",Başvuru!$A:$A,"&lt;&gt;"&amp;"",Başvuru!$F:$F,"&lt;&gt;"&amp;""))</f>
        <v>0</v>
      </c>
      <c r="P272" s="169">
        <f>IF(C272="","",COUNTIFS(Başvuru!$C:$C,C272,Başvuru!$L:$L,"GERİ ÇEKİLDİ",Başvuru!$A:$A,"&lt;&gt;"&amp;"",Başvuru!$F:$F,"&lt;&gt;"&amp;""))</f>
        <v>0</v>
      </c>
      <c r="Q272" s="170" t="str">
        <f>IFERROR(INDEX(Başvuru!$C$2:$C$1851,MATCH(267,Başvuru!$AB$2:$AB$1851,0)),"")</f>
        <v>Prof. Dr. Gülay SAİN GÜVEN</v>
      </c>
      <c r="R272" s="171">
        <f>IF(Q272="","",COUNTIFS(Başvuru!$C:$C,Q272,Başvuru!$A:$A,"&lt;&gt;"&amp;"",Başvuru!$F:$F,"&lt;&gt;"&amp;""))</f>
        <v>1</v>
      </c>
      <c r="S272" s="171">
        <f>IF(R272="","",RANK(R272,$R$6:$R$505,0)+COUNTIF($R$6:R272,R272)-1)</f>
        <v>283</v>
      </c>
    </row>
    <row r="273" spans="2:19" ht="23.25" customHeight="1" x14ac:dyDescent="0.25">
      <c r="B273" s="159">
        <v>268</v>
      </c>
      <c r="C273" s="160" t="str">
        <f>IFERROR(INDEX($Q$6:$Q$505,MATCH(268,$S$6:$S$505,0)),"")</f>
        <v>Prof. Dr. Pelin Özlem ŞİMŞEK KİPER</v>
      </c>
      <c r="D273" s="161">
        <f>IF(C273="","",COUNTIFS(Başvuru!$C:$C,C273,Başvuru!$A:$A,"&lt;&gt;"&amp;"",Başvuru!$F:$F,"&lt;&gt;"&amp;""))</f>
        <v>1</v>
      </c>
      <c r="E273" s="159" t="str">
        <f>IF(C273="","-",IF(D273&gt;0,TEXT(D273/(COUNTIFS(Başvuru!$A:$A,"&lt;&gt;",Başvuru!$F:$F,"&lt;&gt;")-1)*100,"0.0")&amp;"%","-"))</f>
        <v>00%</v>
      </c>
      <c r="F273" s="162">
        <f>IF(C273="","",COUNTIFS(Başvuru!$C:$C,C273,Başvuru!$G:$G,"Bireysel Araştırma",Başvuru!$A:$A,"&lt;&gt;"&amp;"",Başvuru!$F:$F,"&lt;&gt;"&amp;""))</f>
        <v>1</v>
      </c>
      <c r="G273" s="162">
        <f>IF(C273="","",COUNTIFS(Başvuru!$C:$C,C273,Başvuru!$G:$G,"Uzmanlık Tezi",Başvuru!$A:$A,"&lt;&gt;"&amp;"",Başvuru!$F:$F,"&lt;&gt;"&amp;""))</f>
        <v>0</v>
      </c>
      <c r="H273" s="162">
        <f>IF(C273="","",COUNTIFS(Başvuru!$C:$C,C273,Başvuru!$G:$G,"Doktora Tezi",Başvuru!$A:$A,"&lt;&gt;"&amp;"",Başvuru!$F:$F,"&lt;&gt;"&amp;""))</f>
        <v>0</v>
      </c>
      <c r="I273" s="162">
        <f>IF(C273="","",COUNTIFS(Başvuru!$C:$C,C273,Başvuru!$G:$G,"Yüksek Lisans Tezi",Başvuru!$A:$A,"&lt;&gt;"&amp;"",Başvuru!$F:$F,"&lt;&gt;"&amp;""))</f>
        <v>0</v>
      </c>
      <c r="J273" s="163">
        <f>IF(C273="","",COUNTIFS(Başvuru!$C:$C,C273,Başvuru!$L:$L,"ONAY",Başvuru!$A:$A,"&lt;&gt;"&amp;"",Başvuru!$F:$F,"&lt;&gt;"&amp;""))</f>
        <v>1</v>
      </c>
      <c r="K273" s="164">
        <f>IF(C273="","",COUNTIFS(Başvuru!$C:$C,C273,Başvuru!$L:$L,"DÜZELTME",Başvuru!$A:$A,"&lt;&gt;"&amp;"",Başvuru!$F:$F,"&lt;&gt;"&amp;""))</f>
        <v>0</v>
      </c>
      <c r="L273" s="165">
        <f>IF(C273="","",COUNTIFS(Başvuru!$C:$C,C273,Başvuru!$L:$L,"KAEK",Başvuru!$A:$A,"&lt;&gt;"&amp;"",Başvuru!$F:$F,"&lt;&gt;"&amp;""))</f>
        <v>0</v>
      </c>
      <c r="M273" s="166">
        <f>IF(C273="","",COUNTIFS(Başvuru!$C:$C,C273,Başvuru!$L:$L,"GÖRÜŞ",Başvuru!$A:$A,"&lt;&gt;"&amp;"",Başvuru!$F:$F,"&lt;&gt;"&amp;""))</f>
        <v>0</v>
      </c>
      <c r="N273" s="167">
        <f>IF(C273="","",COUNTIFS(Başvuru!$C:$C,C273,Başvuru!$L:$L,"RET",Başvuru!$A:$A,"&lt;&gt;"&amp;"",Başvuru!$F:$F,"&lt;&gt;"&amp;""))</f>
        <v>0</v>
      </c>
      <c r="O273" s="168">
        <f>IF(C273="","",COUNTIFS(Başvuru!$C:$C,C273,Başvuru!$L:$L,"KAPSAM DIŞI",Başvuru!$A:$A,"&lt;&gt;"&amp;"",Başvuru!$F:$F,"&lt;&gt;"&amp;""))</f>
        <v>0</v>
      </c>
      <c r="P273" s="169">
        <f>IF(C273="","",COUNTIFS(Başvuru!$C:$C,C273,Başvuru!$L:$L,"GERİ ÇEKİLDİ",Başvuru!$A:$A,"&lt;&gt;"&amp;"",Başvuru!$F:$F,"&lt;&gt;"&amp;""))</f>
        <v>0</v>
      </c>
      <c r="Q273" s="170" t="str">
        <f>IFERROR(INDEX(Başvuru!$C$2:$C$1851,MATCH(268,Başvuru!$AB$2:$AB$1851,0)),"")</f>
        <v>Prof. Dr. Levent SENNAROĞLU</v>
      </c>
      <c r="R273" s="171">
        <f>IF(Q273="","",COUNTIFS(Başvuru!$C:$C,Q273,Başvuru!$A:$A,"&lt;&gt;"&amp;"",Başvuru!$F:$F,"&lt;&gt;"&amp;""))</f>
        <v>2</v>
      </c>
      <c r="S273" s="171">
        <f>IF(R273="","",RANK(R273,$R$6:$R$505,0)+COUNTIF($R$6:R273,R273)-1)</f>
        <v>145</v>
      </c>
    </row>
    <row r="274" spans="2:19" ht="23.25" customHeight="1" x14ac:dyDescent="0.25">
      <c r="B274" s="159">
        <v>269</v>
      </c>
      <c r="C274" s="160" t="str">
        <f>IFERROR(INDEX($Q$6:$Q$505,MATCH(269,$S$6:$S$505,0)),"")</f>
        <v>Prof. Dr. Alper AKTAŞ</v>
      </c>
      <c r="D274" s="161">
        <f>IF(C274="","",COUNTIFS(Başvuru!$C:$C,C274,Başvuru!$A:$A,"&lt;&gt;"&amp;"",Başvuru!$F:$F,"&lt;&gt;"&amp;""))</f>
        <v>1</v>
      </c>
      <c r="E274" s="159" t="str">
        <f>IF(C274="","-",IF(D274&gt;0,TEXT(D274/(COUNTIFS(Başvuru!$A:$A,"&lt;&gt;",Başvuru!$F:$F,"&lt;&gt;")-1)*100,"0.0")&amp;"%","-"))</f>
        <v>00%</v>
      </c>
      <c r="F274" s="162">
        <f>IF(C274="","",COUNTIFS(Başvuru!$C:$C,C274,Başvuru!$G:$G,"Bireysel Araştırma",Başvuru!$A:$A,"&lt;&gt;"&amp;"",Başvuru!$F:$F,"&lt;&gt;"&amp;""))</f>
        <v>1</v>
      </c>
      <c r="G274" s="162">
        <f>IF(C274="","",COUNTIFS(Başvuru!$C:$C,C274,Başvuru!$G:$G,"Uzmanlık Tezi",Başvuru!$A:$A,"&lt;&gt;"&amp;"",Başvuru!$F:$F,"&lt;&gt;"&amp;""))</f>
        <v>0</v>
      </c>
      <c r="H274" s="162">
        <f>IF(C274="","",COUNTIFS(Başvuru!$C:$C,C274,Başvuru!$G:$G,"Doktora Tezi",Başvuru!$A:$A,"&lt;&gt;"&amp;"",Başvuru!$F:$F,"&lt;&gt;"&amp;""))</f>
        <v>0</v>
      </c>
      <c r="I274" s="162">
        <f>IF(C274="","",COUNTIFS(Başvuru!$C:$C,C274,Başvuru!$G:$G,"Yüksek Lisans Tezi",Başvuru!$A:$A,"&lt;&gt;"&amp;"",Başvuru!$F:$F,"&lt;&gt;"&amp;""))</f>
        <v>0</v>
      </c>
      <c r="J274" s="163">
        <f>IF(C274="","",COUNTIFS(Başvuru!$C:$C,C274,Başvuru!$L:$L,"ONAY",Başvuru!$A:$A,"&lt;&gt;"&amp;"",Başvuru!$F:$F,"&lt;&gt;"&amp;""))</f>
        <v>1</v>
      </c>
      <c r="K274" s="164">
        <f>IF(C274="","",COUNTIFS(Başvuru!$C:$C,C274,Başvuru!$L:$L,"DÜZELTME",Başvuru!$A:$A,"&lt;&gt;"&amp;"",Başvuru!$F:$F,"&lt;&gt;"&amp;""))</f>
        <v>0</v>
      </c>
      <c r="L274" s="165">
        <f>IF(C274="","",COUNTIFS(Başvuru!$C:$C,C274,Başvuru!$L:$L,"KAEK",Başvuru!$A:$A,"&lt;&gt;"&amp;"",Başvuru!$F:$F,"&lt;&gt;"&amp;""))</f>
        <v>0</v>
      </c>
      <c r="M274" s="166">
        <f>IF(C274="","",COUNTIFS(Başvuru!$C:$C,C274,Başvuru!$L:$L,"GÖRÜŞ",Başvuru!$A:$A,"&lt;&gt;"&amp;"",Başvuru!$F:$F,"&lt;&gt;"&amp;""))</f>
        <v>0</v>
      </c>
      <c r="N274" s="167">
        <f>IF(C274="","",COUNTIFS(Başvuru!$C:$C,C274,Başvuru!$L:$L,"RET",Başvuru!$A:$A,"&lt;&gt;"&amp;"",Başvuru!$F:$F,"&lt;&gt;"&amp;""))</f>
        <v>0</v>
      </c>
      <c r="O274" s="168">
        <f>IF(C274="","",COUNTIFS(Başvuru!$C:$C,C274,Başvuru!$L:$L,"KAPSAM DIŞI",Başvuru!$A:$A,"&lt;&gt;"&amp;"",Başvuru!$F:$F,"&lt;&gt;"&amp;""))</f>
        <v>0</v>
      </c>
      <c r="P274" s="169">
        <f>IF(C274="","",COUNTIFS(Başvuru!$C:$C,C274,Başvuru!$L:$L,"GERİ ÇEKİLDİ",Başvuru!$A:$A,"&lt;&gt;"&amp;"",Başvuru!$F:$F,"&lt;&gt;"&amp;""))</f>
        <v>0</v>
      </c>
      <c r="Q274" s="170" t="str">
        <f>IFERROR(INDEX(Başvuru!$C$2:$C$1851,MATCH(269,Başvuru!$AB$2:$AB$1851,0)),"")</f>
        <v>Prof. Dr. Uğur ÜNLÜTÜRK</v>
      </c>
      <c r="R274" s="171">
        <f>IF(Q274="","",COUNTIFS(Başvuru!$C:$C,Q274,Başvuru!$A:$A,"&lt;&gt;"&amp;"",Başvuru!$F:$F,"&lt;&gt;"&amp;""))</f>
        <v>2</v>
      </c>
      <c r="S274" s="171">
        <f>IF(R274="","",RANK(R274,$R$6:$R$505,0)+COUNTIF($R$6:R274,R274)-1)</f>
        <v>146</v>
      </c>
    </row>
    <row r="275" spans="2:19" ht="23.25" customHeight="1" x14ac:dyDescent="0.25">
      <c r="B275" s="159">
        <v>270</v>
      </c>
      <c r="C275" s="160" t="str">
        <f>IFERROR(INDEX($Q$6:$Q$505,MATCH(270,$S$6:$S$505,0)),"")</f>
        <v>Prof. Dr. Melih Önder BABAOĞLU</v>
      </c>
      <c r="D275" s="161">
        <f>IF(C275="","",COUNTIFS(Başvuru!$C:$C,C275,Başvuru!$A:$A,"&lt;&gt;"&amp;"",Başvuru!$F:$F,"&lt;&gt;"&amp;""))</f>
        <v>1</v>
      </c>
      <c r="E275" s="159" t="str">
        <f>IF(C275="","-",IF(D275&gt;0,TEXT(D275/(COUNTIFS(Başvuru!$A:$A,"&lt;&gt;",Başvuru!$F:$F,"&lt;&gt;")-1)*100,"0.0")&amp;"%","-"))</f>
        <v>00%</v>
      </c>
      <c r="F275" s="162">
        <f>IF(C275="","",COUNTIFS(Başvuru!$C:$C,C275,Başvuru!$G:$G,"Bireysel Araştırma",Başvuru!$A:$A,"&lt;&gt;"&amp;"",Başvuru!$F:$F,"&lt;&gt;"&amp;""))</f>
        <v>0</v>
      </c>
      <c r="G275" s="162">
        <f>IF(C275="","",COUNTIFS(Başvuru!$C:$C,C275,Başvuru!$G:$G,"Uzmanlık Tezi",Başvuru!$A:$A,"&lt;&gt;"&amp;"",Başvuru!$F:$F,"&lt;&gt;"&amp;""))</f>
        <v>1</v>
      </c>
      <c r="H275" s="162">
        <f>IF(C275="","",COUNTIFS(Başvuru!$C:$C,C275,Başvuru!$G:$G,"Doktora Tezi",Başvuru!$A:$A,"&lt;&gt;"&amp;"",Başvuru!$F:$F,"&lt;&gt;"&amp;""))</f>
        <v>0</v>
      </c>
      <c r="I275" s="162">
        <f>IF(C275="","",COUNTIFS(Başvuru!$C:$C,C275,Başvuru!$G:$G,"Yüksek Lisans Tezi",Başvuru!$A:$A,"&lt;&gt;"&amp;"",Başvuru!$F:$F,"&lt;&gt;"&amp;""))</f>
        <v>0</v>
      </c>
      <c r="J275" s="163">
        <f>IF(C275="","",COUNTIFS(Başvuru!$C:$C,C275,Başvuru!$L:$L,"ONAY",Başvuru!$A:$A,"&lt;&gt;"&amp;"",Başvuru!$F:$F,"&lt;&gt;"&amp;""))</f>
        <v>1</v>
      </c>
      <c r="K275" s="164">
        <f>IF(C275="","",COUNTIFS(Başvuru!$C:$C,C275,Başvuru!$L:$L,"DÜZELTME",Başvuru!$A:$A,"&lt;&gt;"&amp;"",Başvuru!$F:$F,"&lt;&gt;"&amp;""))</f>
        <v>0</v>
      </c>
      <c r="L275" s="165">
        <f>IF(C275="","",COUNTIFS(Başvuru!$C:$C,C275,Başvuru!$L:$L,"KAEK",Başvuru!$A:$A,"&lt;&gt;"&amp;"",Başvuru!$F:$F,"&lt;&gt;"&amp;""))</f>
        <v>0</v>
      </c>
      <c r="M275" s="166">
        <f>IF(C275="","",COUNTIFS(Başvuru!$C:$C,C275,Başvuru!$L:$L,"GÖRÜŞ",Başvuru!$A:$A,"&lt;&gt;"&amp;"",Başvuru!$F:$F,"&lt;&gt;"&amp;""))</f>
        <v>0</v>
      </c>
      <c r="N275" s="167">
        <f>IF(C275="","",COUNTIFS(Başvuru!$C:$C,C275,Başvuru!$L:$L,"RET",Başvuru!$A:$A,"&lt;&gt;"&amp;"",Başvuru!$F:$F,"&lt;&gt;"&amp;""))</f>
        <v>0</v>
      </c>
      <c r="O275" s="168">
        <f>IF(C275="","",COUNTIFS(Başvuru!$C:$C,C275,Başvuru!$L:$L,"KAPSAM DIŞI",Başvuru!$A:$A,"&lt;&gt;"&amp;"",Başvuru!$F:$F,"&lt;&gt;"&amp;""))</f>
        <v>0</v>
      </c>
      <c r="P275" s="169">
        <f>IF(C275="","",COUNTIFS(Başvuru!$C:$C,C275,Başvuru!$L:$L,"GERİ ÇEKİLDİ",Başvuru!$A:$A,"&lt;&gt;"&amp;"",Başvuru!$F:$F,"&lt;&gt;"&amp;""))</f>
        <v>0</v>
      </c>
      <c r="Q275" s="170" t="str">
        <f>IFERROR(INDEX(Başvuru!$C$2:$C$1851,MATCH(270,Başvuru!$AB$2:$AB$1851,0)),"")</f>
        <v>Doç. Dr. Melis PEHLİVANTÜRK KIZILKAN</v>
      </c>
      <c r="R275" s="171">
        <f>IF(Q275="","",COUNTIFS(Başvuru!$C:$C,Q275,Başvuru!$A:$A,"&lt;&gt;"&amp;"",Başvuru!$F:$F,"&lt;&gt;"&amp;""))</f>
        <v>3</v>
      </c>
      <c r="S275" s="171">
        <f>IF(R275="","",RANK(R275,$R$6:$R$505,0)+COUNTIF($R$6:R275,R275)-1)</f>
        <v>80</v>
      </c>
    </row>
    <row r="276" spans="2:19" ht="23.25" customHeight="1" x14ac:dyDescent="0.25">
      <c r="B276" s="159">
        <v>271</v>
      </c>
      <c r="C276" s="160" t="str">
        <f>IFERROR(INDEX($Q$6:$Q$505,MATCH(271,$S$6:$S$505,0)),"")</f>
        <v>Dr. Öğr. Üyesi Oğuzhan KATAR</v>
      </c>
      <c r="D276" s="161">
        <f>IF(C276="","",COUNTIFS(Başvuru!$C:$C,C276,Başvuru!$A:$A,"&lt;&gt;"&amp;"",Başvuru!$F:$F,"&lt;&gt;"&amp;""))</f>
        <v>1</v>
      </c>
      <c r="E276" s="159" t="str">
        <f>IF(C276="","-",IF(D276&gt;0,TEXT(D276/(COUNTIFS(Başvuru!$A:$A,"&lt;&gt;",Başvuru!$F:$F,"&lt;&gt;")-1)*100,"0.0")&amp;"%","-"))</f>
        <v>00%</v>
      </c>
      <c r="F276" s="162">
        <f>IF(C276="","",COUNTIFS(Başvuru!$C:$C,C276,Başvuru!$G:$G,"Bireysel Araştırma",Başvuru!$A:$A,"&lt;&gt;"&amp;"",Başvuru!$F:$F,"&lt;&gt;"&amp;""))</f>
        <v>1</v>
      </c>
      <c r="G276" s="162">
        <f>IF(C276="","",COUNTIFS(Başvuru!$C:$C,C276,Başvuru!$G:$G,"Uzmanlık Tezi",Başvuru!$A:$A,"&lt;&gt;"&amp;"",Başvuru!$F:$F,"&lt;&gt;"&amp;""))</f>
        <v>0</v>
      </c>
      <c r="H276" s="162">
        <f>IF(C276="","",COUNTIFS(Başvuru!$C:$C,C276,Başvuru!$G:$G,"Doktora Tezi",Başvuru!$A:$A,"&lt;&gt;"&amp;"",Başvuru!$F:$F,"&lt;&gt;"&amp;""))</f>
        <v>0</v>
      </c>
      <c r="I276" s="162">
        <f>IF(C276="","",COUNTIFS(Başvuru!$C:$C,C276,Başvuru!$G:$G,"Yüksek Lisans Tezi",Başvuru!$A:$A,"&lt;&gt;"&amp;"",Başvuru!$F:$F,"&lt;&gt;"&amp;""))</f>
        <v>0</v>
      </c>
      <c r="J276" s="163">
        <f>IF(C276="","",COUNTIFS(Başvuru!$C:$C,C276,Başvuru!$L:$L,"ONAY",Başvuru!$A:$A,"&lt;&gt;"&amp;"",Başvuru!$F:$F,"&lt;&gt;"&amp;""))</f>
        <v>1</v>
      </c>
      <c r="K276" s="164">
        <f>IF(C276="","",COUNTIFS(Başvuru!$C:$C,C276,Başvuru!$L:$L,"DÜZELTME",Başvuru!$A:$A,"&lt;&gt;"&amp;"",Başvuru!$F:$F,"&lt;&gt;"&amp;""))</f>
        <v>0</v>
      </c>
      <c r="L276" s="165">
        <f>IF(C276="","",COUNTIFS(Başvuru!$C:$C,C276,Başvuru!$L:$L,"KAEK",Başvuru!$A:$A,"&lt;&gt;"&amp;"",Başvuru!$F:$F,"&lt;&gt;"&amp;""))</f>
        <v>0</v>
      </c>
      <c r="M276" s="166">
        <f>IF(C276="","",COUNTIFS(Başvuru!$C:$C,C276,Başvuru!$L:$L,"GÖRÜŞ",Başvuru!$A:$A,"&lt;&gt;"&amp;"",Başvuru!$F:$F,"&lt;&gt;"&amp;""))</f>
        <v>0</v>
      </c>
      <c r="N276" s="167">
        <f>IF(C276="","",COUNTIFS(Başvuru!$C:$C,C276,Başvuru!$L:$L,"RET",Başvuru!$A:$A,"&lt;&gt;"&amp;"",Başvuru!$F:$F,"&lt;&gt;"&amp;""))</f>
        <v>0</v>
      </c>
      <c r="O276" s="168">
        <f>IF(C276="","",COUNTIFS(Başvuru!$C:$C,C276,Başvuru!$L:$L,"KAPSAM DIŞI",Başvuru!$A:$A,"&lt;&gt;"&amp;"",Başvuru!$F:$F,"&lt;&gt;"&amp;""))</f>
        <v>0</v>
      </c>
      <c r="P276" s="169">
        <f>IF(C276="","",COUNTIFS(Başvuru!$C:$C,C276,Başvuru!$L:$L,"GERİ ÇEKİLDİ",Başvuru!$A:$A,"&lt;&gt;"&amp;"",Başvuru!$F:$F,"&lt;&gt;"&amp;""))</f>
        <v>0</v>
      </c>
      <c r="Q276" s="170" t="str">
        <f>IFERROR(INDEX(Başvuru!$C$2:$C$1851,MATCH(271,Başvuru!$AB$2:$AB$1851,0)),"")</f>
        <v>Prof. Dr. Banu SANCAK</v>
      </c>
      <c r="R276" s="171">
        <f>IF(Q276="","",COUNTIFS(Başvuru!$C:$C,Q276,Başvuru!$A:$A,"&lt;&gt;"&amp;"",Başvuru!$F:$F,"&lt;&gt;"&amp;""))</f>
        <v>1</v>
      </c>
      <c r="S276" s="171">
        <f>IF(R276="","",RANK(R276,$R$6:$R$505,0)+COUNTIF($R$6:R276,R276)-1)</f>
        <v>284</v>
      </c>
    </row>
    <row r="277" spans="2:19" ht="23.25" customHeight="1" x14ac:dyDescent="0.25">
      <c r="B277" s="159">
        <v>272</v>
      </c>
      <c r="C277" s="160" t="str">
        <f>IFERROR(INDEX($Q$6:$Q$505,MATCH(272,$S$6:$S$505,0)),"")</f>
        <v>Arş. Gör. Dr. Ozan KAPLAN</v>
      </c>
      <c r="D277" s="161">
        <f>IF(C277="","",COUNTIFS(Başvuru!$C:$C,C277,Başvuru!$A:$A,"&lt;&gt;"&amp;"",Başvuru!$F:$F,"&lt;&gt;"&amp;""))</f>
        <v>1</v>
      </c>
      <c r="E277" s="159" t="str">
        <f>IF(C277="","-",IF(D277&gt;0,TEXT(D277/(COUNTIFS(Başvuru!$A:$A,"&lt;&gt;",Başvuru!$F:$F,"&lt;&gt;")-1)*100,"0.0")&amp;"%","-"))</f>
        <v>00%</v>
      </c>
      <c r="F277" s="162">
        <f>IF(C277="","",COUNTIFS(Başvuru!$C:$C,C277,Başvuru!$G:$G,"Bireysel Araştırma",Başvuru!$A:$A,"&lt;&gt;"&amp;"",Başvuru!$F:$F,"&lt;&gt;"&amp;""))</f>
        <v>1</v>
      </c>
      <c r="G277" s="162">
        <f>IF(C277="","",COUNTIFS(Başvuru!$C:$C,C277,Başvuru!$G:$G,"Uzmanlık Tezi",Başvuru!$A:$A,"&lt;&gt;"&amp;"",Başvuru!$F:$F,"&lt;&gt;"&amp;""))</f>
        <v>0</v>
      </c>
      <c r="H277" s="162">
        <f>IF(C277="","",COUNTIFS(Başvuru!$C:$C,C277,Başvuru!$G:$G,"Doktora Tezi",Başvuru!$A:$A,"&lt;&gt;"&amp;"",Başvuru!$F:$F,"&lt;&gt;"&amp;""))</f>
        <v>0</v>
      </c>
      <c r="I277" s="162">
        <f>IF(C277="","",COUNTIFS(Başvuru!$C:$C,C277,Başvuru!$G:$G,"Yüksek Lisans Tezi",Başvuru!$A:$A,"&lt;&gt;"&amp;"",Başvuru!$F:$F,"&lt;&gt;"&amp;""))</f>
        <v>0</v>
      </c>
      <c r="J277" s="163">
        <f>IF(C277="","",COUNTIFS(Başvuru!$C:$C,C277,Başvuru!$L:$L,"ONAY",Başvuru!$A:$A,"&lt;&gt;"&amp;"",Başvuru!$F:$F,"&lt;&gt;"&amp;""))</f>
        <v>0</v>
      </c>
      <c r="K277" s="164">
        <f>IF(C277="","",COUNTIFS(Başvuru!$C:$C,C277,Başvuru!$L:$L,"DÜZELTME",Başvuru!$A:$A,"&lt;&gt;"&amp;"",Başvuru!$F:$F,"&lt;&gt;"&amp;""))</f>
        <v>0</v>
      </c>
      <c r="L277" s="165">
        <f>IF(C277="","",COUNTIFS(Başvuru!$C:$C,C277,Başvuru!$L:$L,"KAEK",Başvuru!$A:$A,"&lt;&gt;"&amp;"",Başvuru!$F:$F,"&lt;&gt;"&amp;""))</f>
        <v>0</v>
      </c>
      <c r="M277" s="166">
        <f>IF(C277="","",COUNTIFS(Başvuru!$C:$C,C277,Başvuru!$L:$L,"GÖRÜŞ",Başvuru!$A:$A,"&lt;&gt;"&amp;"",Başvuru!$F:$F,"&lt;&gt;"&amp;""))</f>
        <v>1</v>
      </c>
      <c r="N277" s="167">
        <f>IF(C277="","",COUNTIFS(Başvuru!$C:$C,C277,Başvuru!$L:$L,"RET",Başvuru!$A:$A,"&lt;&gt;"&amp;"",Başvuru!$F:$F,"&lt;&gt;"&amp;""))</f>
        <v>0</v>
      </c>
      <c r="O277" s="168">
        <f>IF(C277="","",COUNTIFS(Başvuru!$C:$C,C277,Başvuru!$L:$L,"KAPSAM DIŞI",Başvuru!$A:$A,"&lt;&gt;"&amp;"",Başvuru!$F:$F,"&lt;&gt;"&amp;""))</f>
        <v>0</v>
      </c>
      <c r="P277" s="169">
        <f>IF(C277="","",COUNTIFS(Başvuru!$C:$C,C277,Başvuru!$L:$L,"GERİ ÇEKİLDİ",Başvuru!$A:$A,"&lt;&gt;"&amp;"",Başvuru!$F:$F,"&lt;&gt;"&amp;""))</f>
        <v>0</v>
      </c>
      <c r="Q277" s="170" t="str">
        <f>IFERROR(INDEX(Başvuru!$C$2:$C$1851,MATCH(272,Başvuru!$AB$2:$AB$1851,0)),"")</f>
        <v>Doç. Dr. Eylem TOPBAŞ</v>
      </c>
      <c r="R277" s="171">
        <f>IF(Q277="","",COUNTIFS(Başvuru!$C:$C,Q277,Başvuru!$A:$A,"&lt;&gt;"&amp;"",Başvuru!$F:$F,"&lt;&gt;"&amp;""))</f>
        <v>1</v>
      </c>
      <c r="S277" s="171">
        <f>IF(R277="","",RANK(R277,$R$6:$R$505,0)+COUNTIF($R$6:R277,R277)-1)</f>
        <v>285</v>
      </c>
    </row>
    <row r="278" spans="2:19" ht="23.25" customHeight="1" x14ac:dyDescent="0.25">
      <c r="B278" s="159">
        <v>273</v>
      </c>
      <c r="C278" s="160" t="str">
        <f>IFERROR(INDEX($Q$6:$Q$505,MATCH(273,$S$6:$S$505,0)),"")</f>
        <v>Prof. Dr. Lale KARAKOÇ SÖKMENSÜER</v>
      </c>
      <c r="D278" s="161">
        <f>IF(C278="","",COUNTIFS(Başvuru!$C:$C,C278,Başvuru!$A:$A,"&lt;&gt;"&amp;"",Başvuru!$F:$F,"&lt;&gt;"&amp;""))</f>
        <v>1</v>
      </c>
      <c r="E278" s="159" t="str">
        <f>IF(C278="","-",IF(D278&gt;0,TEXT(D278/(COUNTIFS(Başvuru!$A:$A,"&lt;&gt;",Başvuru!$F:$F,"&lt;&gt;")-1)*100,"0.0")&amp;"%","-"))</f>
        <v>00%</v>
      </c>
      <c r="F278" s="162">
        <f>IF(C278="","",COUNTIFS(Başvuru!$C:$C,C278,Başvuru!$G:$G,"Bireysel Araştırma",Başvuru!$A:$A,"&lt;&gt;"&amp;"",Başvuru!$F:$F,"&lt;&gt;"&amp;""))</f>
        <v>0</v>
      </c>
      <c r="G278" s="162">
        <f>IF(C278="","",COUNTIFS(Başvuru!$C:$C,C278,Başvuru!$G:$G,"Uzmanlık Tezi",Başvuru!$A:$A,"&lt;&gt;"&amp;"",Başvuru!$F:$F,"&lt;&gt;"&amp;""))</f>
        <v>1</v>
      </c>
      <c r="H278" s="162">
        <f>IF(C278="","",COUNTIFS(Başvuru!$C:$C,C278,Başvuru!$G:$G,"Doktora Tezi",Başvuru!$A:$A,"&lt;&gt;"&amp;"",Başvuru!$F:$F,"&lt;&gt;"&amp;""))</f>
        <v>0</v>
      </c>
      <c r="I278" s="162">
        <f>IF(C278="","",COUNTIFS(Başvuru!$C:$C,C278,Başvuru!$G:$G,"Yüksek Lisans Tezi",Başvuru!$A:$A,"&lt;&gt;"&amp;"",Başvuru!$F:$F,"&lt;&gt;"&amp;""))</f>
        <v>0</v>
      </c>
      <c r="J278" s="163">
        <f>IF(C278="","",COUNTIFS(Başvuru!$C:$C,C278,Başvuru!$L:$L,"ONAY",Başvuru!$A:$A,"&lt;&gt;"&amp;"",Başvuru!$F:$F,"&lt;&gt;"&amp;""))</f>
        <v>0</v>
      </c>
      <c r="K278" s="164">
        <f>IF(C278="","",COUNTIFS(Başvuru!$C:$C,C278,Başvuru!$L:$L,"DÜZELTME",Başvuru!$A:$A,"&lt;&gt;"&amp;"",Başvuru!$F:$F,"&lt;&gt;"&amp;""))</f>
        <v>1</v>
      </c>
      <c r="L278" s="165">
        <f>IF(C278="","",COUNTIFS(Başvuru!$C:$C,C278,Başvuru!$L:$L,"KAEK",Başvuru!$A:$A,"&lt;&gt;"&amp;"",Başvuru!$F:$F,"&lt;&gt;"&amp;""))</f>
        <v>0</v>
      </c>
      <c r="M278" s="166">
        <f>IF(C278="","",COUNTIFS(Başvuru!$C:$C,C278,Başvuru!$L:$L,"GÖRÜŞ",Başvuru!$A:$A,"&lt;&gt;"&amp;"",Başvuru!$F:$F,"&lt;&gt;"&amp;""))</f>
        <v>0</v>
      </c>
      <c r="N278" s="167">
        <f>IF(C278="","",COUNTIFS(Başvuru!$C:$C,C278,Başvuru!$L:$L,"RET",Başvuru!$A:$A,"&lt;&gt;"&amp;"",Başvuru!$F:$F,"&lt;&gt;"&amp;""))</f>
        <v>0</v>
      </c>
      <c r="O278" s="168">
        <f>IF(C278="","",COUNTIFS(Başvuru!$C:$C,C278,Başvuru!$L:$L,"KAPSAM DIŞI",Başvuru!$A:$A,"&lt;&gt;"&amp;"",Başvuru!$F:$F,"&lt;&gt;"&amp;""))</f>
        <v>0</v>
      </c>
      <c r="P278" s="169">
        <f>IF(C278="","",COUNTIFS(Başvuru!$C:$C,C278,Başvuru!$L:$L,"GERİ ÇEKİLDİ",Başvuru!$A:$A,"&lt;&gt;"&amp;"",Başvuru!$F:$F,"&lt;&gt;"&amp;""))</f>
        <v>0</v>
      </c>
      <c r="Q278" s="170" t="str">
        <f>IFERROR(INDEX(Başvuru!$C$2:$C$1851,MATCH(273,Başvuru!$AB$2:$AB$1851,0)),"")</f>
        <v>Dr. Öğr. Üyesi Cenk Ahmet AKCAN</v>
      </c>
      <c r="R278" s="171">
        <f>IF(Q278="","",COUNTIFS(Başvuru!$C:$C,Q278,Başvuru!$A:$A,"&lt;&gt;"&amp;"",Başvuru!$F:$F,"&lt;&gt;"&amp;""))</f>
        <v>1</v>
      </c>
      <c r="S278" s="171">
        <f>IF(R278="","",RANK(R278,$R$6:$R$505,0)+COUNTIF($R$6:R278,R278)-1)</f>
        <v>286</v>
      </c>
    </row>
    <row r="279" spans="2:19" ht="23.25" customHeight="1" x14ac:dyDescent="0.25">
      <c r="B279" s="159">
        <v>274</v>
      </c>
      <c r="C279" s="160" t="str">
        <f>IFERROR(INDEX($Q$6:$Q$505,MATCH(274,$S$6:$S$505,0)),"")</f>
        <v>Dr. Öğr. Üyesi Neslihan TAŞ</v>
      </c>
      <c r="D279" s="161">
        <f>IF(C279="","",COUNTIFS(Başvuru!$C:$C,C279,Başvuru!$A:$A,"&lt;&gt;"&amp;"",Başvuru!$F:$F,"&lt;&gt;"&amp;""))</f>
        <v>1</v>
      </c>
      <c r="E279" s="159" t="str">
        <f>IF(C279="","-",IF(D279&gt;0,TEXT(D279/(COUNTIFS(Başvuru!$A:$A,"&lt;&gt;",Başvuru!$F:$F,"&lt;&gt;")-1)*100,"0.0")&amp;"%","-"))</f>
        <v>00%</v>
      </c>
      <c r="F279" s="162">
        <f>IF(C279="","",COUNTIFS(Başvuru!$C:$C,C279,Başvuru!$G:$G,"Bireysel Araştırma",Başvuru!$A:$A,"&lt;&gt;"&amp;"",Başvuru!$F:$F,"&lt;&gt;"&amp;""))</f>
        <v>0</v>
      </c>
      <c r="G279" s="162">
        <f>IF(C279="","",COUNTIFS(Başvuru!$C:$C,C279,Başvuru!$G:$G,"Uzmanlık Tezi",Başvuru!$A:$A,"&lt;&gt;"&amp;"",Başvuru!$F:$F,"&lt;&gt;"&amp;""))</f>
        <v>0</v>
      </c>
      <c r="H279" s="162">
        <f>IF(C279="","",COUNTIFS(Başvuru!$C:$C,C279,Başvuru!$G:$G,"Doktora Tezi",Başvuru!$A:$A,"&lt;&gt;"&amp;"",Başvuru!$F:$F,"&lt;&gt;"&amp;""))</f>
        <v>0</v>
      </c>
      <c r="I279" s="162">
        <f>IF(C279="","",COUNTIFS(Başvuru!$C:$C,C279,Başvuru!$G:$G,"Yüksek Lisans Tezi",Başvuru!$A:$A,"&lt;&gt;"&amp;"",Başvuru!$F:$F,"&lt;&gt;"&amp;""))</f>
        <v>1</v>
      </c>
      <c r="J279" s="163">
        <f>IF(C279="","",COUNTIFS(Başvuru!$C:$C,C279,Başvuru!$L:$L,"ONAY",Başvuru!$A:$A,"&lt;&gt;"&amp;"",Başvuru!$F:$F,"&lt;&gt;"&amp;""))</f>
        <v>0</v>
      </c>
      <c r="K279" s="164">
        <f>IF(C279="","",COUNTIFS(Başvuru!$C:$C,C279,Başvuru!$L:$L,"DÜZELTME",Başvuru!$A:$A,"&lt;&gt;"&amp;"",Başvuru!$F:$F,"&lt;&gt;"&amp;""))</f>
        <v>1</v>
      </c>
      <c r="L279" s="165">
        <f>IF(C279="","",COUNTIFS(Başvuru!$C:$C,C279,Başvuru!$L:$L,"KAEK",Başvuru!$A:$A,"&lt;&gt;"&amp;"",Başvuru!$F:$F,"&lt;&gt;"&amp;""))</f>
        <v>0</v>
      </c>
      <c r="M279" s="166">
        <f>IF(C279="","",COUNTIFS(Başvuru!$C:$C,C279,Başvuru!$L:$L,"GÖRÜŞ",Başvuru!$A:$A,"&lt;&gt;"&amp;"",Başvuru!$F:$F,"&lt;&gt;"&amp;""))</f>
        <v>0</v>
      </c>
      <c r="N279" s="167">
        <f>IF(C279="","",COUNTIFS(Başvuru!$C:$C,C279,Başvuru!$L:$L,"RET",Başvuru!$A:$A,"&lt;&gt;"&amp;"",Başvuru!$F:$F,"&lt;&gt;"&amp;""))</f>
        <v>0</v>
      </c>
      <c r="O279" s="168">
        <f>IF(C279="","",COUNTIFS(Başvuru!$C:$C,C279,Başvuru!$L:$L,"KAPSAM DIŞI",Başvuru!$A:$A,"&lt;&gt;"&amp;"",Başvuru!$F:$F,"&lt;&gt;"&amp;""))</f>
        <v>0</v>
      </c>
      <c r="P279" s="169">
        <f>IF(C279="","",COUNTIFS(Başvuru!$C:$C,C279,Başvuru!$L:$L,"GERİ ÇEKİLDİ",Başvuru!$A:$A,"&lt;&gt;"&amp;"",Başvuru!$F:$F,"&lt;&gt;"&amp;""))</f>
        <v>0</v>
      </c>
      <c r="Q279" s="170" t="str">
        <f>IFERROR(INDEX(Başvuru!$C$2:$C$1851,MATCH(274,Başvuru!$AB$2:$AB$1851,0)),"")</f>
        <v>Prof. Dr. Hande TAYLAN ŞEKEROĞLU</v>
      </c>
      <c r="R279" s="171">
        <f>IF(Q279="","",COUNTIFS(Başvuru!$C:$C,Q279,Başvuru!$A:$A,"&lt;&gt;"&amp;"",Başvuru!$F:$F,"&lt;&gt;"&amp;""))</f>
        <v>1</v>
      </c>
      <c r="S279" s="171">
        <f>IF(R279="","",RANK(R279,$R$6:$R$505,0)+COUNTIF($R$6:R279,R279)-1)</f>
        <v>287</v>
      </c>
    </row>
    <row r="280" spans="2:19" ht="23.25" customHeight="1" x14ac:dyDescent="0.25">
      <c r="B280" s="159">
        <v>275</v>
      </c>
      <c r="C280" s="160" t="str">
        <f>IFERROR(INDEX($Q$6:$Q$505,MATCH(275,$S$6:$S$505,0)),"")</f>
        <v>Prof. Dr. Ülfet Pınar ERKEKOĞLU</v>
      </c>
      <c r="D280" s="161">
        <f>IF(C280="","",COUNTIFS(Başvuru!$C:$C,C280,Başvuru!$A:$A,"&lt;&gt;"&amp;"",Başvuru!$F:$F,"&lt;&gt;"&amp;""))</f>
        <v>1</v>
      </c>
      <c r="E280" s="159" t="str">
        <f>IF(C280="","-",IF(D280&gt;0,TEXT(D280/(COUNTIFS(Başvuru!$A:$A,"&lt;&gt;",Başvuru!$F:$F,"&lt;&gt;")-1)*100,"0.0")&amp;"%","-"))</f>
        <v>00%</v>
      </c>
      <c r="F280" s="162">
        <f>IF(C280="","",COUNTIFS(Başvuru!$C:$C,C280,Başvuru!$G:$G,"Bireysel Araştırma",Başvuru!$A:$A,"&lt;&gt;"&amp;"",Başvuru!$F:$F,"&lt;&gt;"&amp;""))</f>
        <v>1</v>
      </c>
      <c r="G280" s="162">
        <f>IF(C280="","",COUNTIFS(Başvuru!$C:$C,C280,Başvuru!$G:$G,"Uzmanlık Tezi",Başvuru!$A:$A,"&lt;&gt;"&amp;"",Başvuru!$F:$F,"&lt;&gt;"&amp;""))</f>
        <v>0</v>
      </c>
      <c r="H280" s="162">
        <f>IF(C280="","",COUNTIFS(Başvuru!$C:$C,C280,Başvuru!$G:$G,"Doktora Tezi",Başvuru!$A:$A,"&lt;&gt;"&amp;"",Başvuru!$F:$F,"&lt;&gt;"&amp;""))</f>
        <v>0</v>
      </c>
      <c r="I280" s="162">
        <f>IF(C280="","",COUNTIFS(Başvuru!$C:$C,C280,Başvuru!$G:$G,"Yüksek Lisans Tezi",Başvuru!$A:$A,"&lt;&gt;"&amp;"",Başvuru!$F:$F,"&lt;&gt;"&amp;""))</f>
        <v>0</v>
      </c>
      <c r="J280" s="163">
        <f>IF(C280="","",COUNTIFS(Başvuru!$C:$C,C280,Başvuru!$L:$L,"ONAY",Başvuru!$A:$A,"&lt;&gt;"&amp;"",Başvuru!$F:$F,"&lt;&gt;"&amp;""))</f>
        <v>0</v>
      </c>
      <c r="K280" s="164">
        <f>IF(C280="","",COUNTIFS(Başvuru!$C:$C,C280,Başvuru!$L:$L,"DÜZELTME",Başvuru!$A:$A,"&lt;&gt;"&amp;"",Başvuru!$F:$F,"&lt;&gt;"&amp;""))</f>
        <v>0</v>
      </c>
      <c r="L280" s="165">
        <f>IF(C280="","",COUNTIFS(Başvuru!$C:$C,C280,Başvuru!$L:$L,"KAEK",Başvuru!$A:$A,"&lt;&gt;"&amp;"",Başvuru!$F:$F,"&lt;&gt;"&amp;""))</f>
        <v>0</v>
      </c>
      <c r="M280" s="166">
        <f>IF(C280="","",COUNTIFS(Başvuru!$C:$C,C280,Başvuru!$L:$L,"GÖRÜŞ",Başvuru!$A:$A,"&lt;&gt;"&amp;"",Başvuru!$F:$F,"&lt;&gt;"&amp;""))</f>
        <v>1</v>
      </c>
      <c r="N280" s="167">
        <f>IF(C280="","",COUNTIFS(Başvuru!$C:$C,C280,Başvuru!$L:$L,"RET",Başvuru!$A:$A,"&lt;&gt;"&amp;"",Başvuru!$F:$F,"&lt;&gt;"&amp;""))</f>
        <v>0</v>
      </c>
      <c r="O280" s="168">
        <f>IF(C280="","",COUNTIFS(Başvuru!$C:$C,C280,Başvuru!$L:$L,"KAPSAM DIŞI",Başvuru!$A:$A,"&lt;&gt;"&amp;"",Başvuru!$F:$F,"&lt;&gt;"&amp;""))</f>
        <v>0</v>
      </c>
      <c r="P280" s="169">
        <f>IF(C280="","",COUNTIFS(Başvuru!$C:$C,C280,Başvuru!$L:$L,"GERİ ÇEKİLDİ",Başvuru!$A:$A,"&lt;&gt;"&amp;"",Başvuru!$F:$F,"&lt;&gt;"&amp;""))</f>
        <v>0</v>
      </c>
      <c r="Q280" s="170" t="str">
        <f>IFERROR(INDEX(Başvuru!$C$2:$C$1851,MATCH(275,Başvuru!$AB$2:$AB$1851,0)),"")</f>
        <v>Dr. Öğr. Üyesi Bekir ERDEVE</v>
      </c>
      <c r="R280" s="171">
        <f>IF(Q280="","",COUNTIFS(Başvuru!$C:$C,Q280,Başvuru!$A:$A,"&lt;&gt;"&amp;"",Başvuru!$F:$F,"&lt;&gt;"&amp;""))</f>
        <v>1</v>
      </c>
      <c r="S280" s="171">
        <f>IF(R280="","",RANK(R280,$R$6:$R$505,0)+COUNTIF($R$6:R280,R280)-1)</f>
        <v>288</v>
      </c>
    </row>
    <row r="281" spans="2:19" ht="23.25" customHeight="1" x14ac:dyDescent="0.25">
      <c r="B281" s="159">
        <v>276</v>
      </c>
      <c r="C281" s="160" t="str">
        <f>IFERROR(INDEX($Q$6:$Q$505,MATCH(276,$S$6:$S$505,0)),"")</f>
        <v>Prof. Dr. Ömür ÇAĞLAR</v>
      </c>
      <c r="D281" s="161">
        <f>IF(C281="","",COUNTIFS(Başvuru!$C:$C,C281,Başvuru!$A:$A,"&lt;&gt;"&amp;"",Başvuru!$F:$F,"&lt;&gt;"&amp;""))</f>
        <v>1</v>
      </c>
      <c r="E281" s="159" t="str">
        <f>IF(C281="","-",IF(D281&gt;0,TEXT(D281/(COUNTIFS(Başvuru!$A:$A,"&lt;&gt;",Başvuru!$F:$F,"&lt;&gt;")-1)*100,"0.0")&amp;"%","-"))</f>
        <v>00%</v>
      </c>
      <c r="F281" s="162">
        <f>IF(C281="","",COUNTIFS(Başvuru!$C:$C,C281,Başvuru!$G:$G,"Bireysel Araştırma",Başvuru!$A:$A,"&lt;&gt;"&amp;"",Başvuru!$F:$F,"&lt;&gt;"&amp;""))</f>
        <v>1</v>
      </c>
      <c r="G281" s="162">
        <f>IF(C281="","",COUNTIFS(Başvuru!$C:$C,C281,Başvuru!$G:$G,"Uzmanlık Tezi",Başvuru!$A:$A,"&lt;&gt;"&amp;"",Başvuru!$F:$F,"&lt;&gt;"&amp;""))</f>
        <v>0</v>
      </c>
      <c r="H281" s="162">
        <f>IF(C281="","",COUNTIFS(Başvuru!$C:$C,C281,Başvuru!$G:$G,"Doktora Tezi",Başvuru!$A:$A,"&lt;&gt;"&amp;"",Başvuru!$F:$F,"&lt;&gt;"&amp;""))</f>
        <v>0</v>
      </c>
      <c r="I281" s="162">
        <f>IF(C281="","",COUNTIFS(Başvuru!$C:$C,C281,Başvuru!$G:$G,"Yüksek Lisans Tezi",Başvuru!$A:$A,"&lt;&gt;"&amp;"",Başvuru!$F:$F,"&lt;&gt;"&amp;""))</f>
        <v>0</v>
      </c>
      <c r="J281" s="163">
        <f>IF(C281="","",COUNTIFS(Başvuru!$C:$C,C281,Başvuru!$L:$L,"ONAY",Başvuru!$A:$A,"&lt;&gt;"&amp;"",Başvuru!$F:$F,"&lt;&gt;"&amp;""))</f>
        <v>1</v>
      </c>
      <c r="K281" s="164">
        <f>IF(C281="","",COUNTIFS(Başvuru!$C:$C,C281,Başvuru!$L:$L,"DÜZELTME",Başvuru!$A:$A,"&lt;&gt;"&amp;"",Başvuru!$F:$F,"&lt;&gt;"&amp;""))</f>
        <v>0</v>
      </c>
      <c r="L281" s="165">
        <f>IF(C281="","",COUNTIFS(Başvuru!$C:$C,C281,Başvuru!$L:$L,"KAEK",Başvuru!$A:$A,"&lt;&gt;"&amp;"",Başvuru!$F:$F,"&lt;&gt;"&amp;""))</f>
        <v>0</v>
      </c>
      <c r="M281" s="166">
        <f>IF(C281="","",COUNTIFS(Başvuru!$C:$C,C281,Başvuru!$L:$L,"GÖRÜŞ",Başvuru!$A:$A,"&lt;&gt;"&amp;"",Başvuru!$F:$F,"&lt;&gt;"&amp;""))</f>
        <v>0</v>
      </c>
      <c r="N281" s="167">
        <f>IF(C281="","",COUNTIFS(Başvuru!$C:$C,C281,Başvuru!$L:$L,"RET",Başvuru!$A:$A,"&lt;&gt;"&amp;"",Başvuru!$F:$F,"&lt;&gt;"&amp;""))</f>
        <v>0</v>
      </c>
      <c r="O281" s="168">
        <f>IF(C281="","",COUNTIFS(Başvuru!$C:$C,C281,Başvuru!$L:$L,"KAPSAM DIŞI",Başvuru!$A:$A,"&lt;&gt;"&amp;"",Başvuru!$F:$F,"&lt;&gt;"&amp;""))</f>
        <v>0</v>
      </c>
      <c r="P281" s="169">
        <f>IF(C281="","",COUNTIFS(Başvuru!$C:$C,C281,Başvuru!$L:$L,"GERİ ÇEKİLDİ",Başvuru!$A:$A,"&lt;&gt;"&amp;"",Başvuru!$F:$F,"&lt;&gt;"&amp;""))</f>
        <v>0</v>
      </c>
      <c r="Q281" s="170" t="str">
        <f>IFERROR(INDEX(Başvuru!$C$2:$C$1851,MATCH(276,Başvuru!$AB$2:$AB$1851,0)),"")</f>
        <v>Doç. Dr. Şahin HANALİOĞLU</v>
      </c>
      <c r="R281" s="171">
        <f>IF(Q281="","",COUNTIFS(Başvuru!$C:$C,Q281,Başvuru!$A:$A,"&lt;&gt;"&amp;"",Başvuru!$F:$F,"&lt;&gt;"&amp;""))</f>
        <v>2</v>
      </c>
      <c r="S281" s="171">
        <f>IF(R281="","",RANK(R281,$R$6:$R$505,0)+COUNTIF($R$6:R281,R281)-1)</f>
        <v>147</v>
      </c>
    </row>
    <row r="282" spans="2:19" ht="23.25" customHeight="1" x14ac:dyDescent="0.25">
      <c r="B282" s="159">
        <v>277</v>
      </c>
      <c r="C282" s="160" t="str">
        <f>IFERROR(INDEX($Q$6:$Q$505,MATCH(277,$S$6:$S$505,0)),"")</f>
        <v>Doç. Dr. Songül ÇINAROĞLU</v>
      </c>
      <c r="D282" s="161">
        <f>IF(C282="","",COUNTIFS(Başvuru!$C:$C,C282,Başvuru!$A:$A,"&lt;&gt;"&amp;"",Başvuru!$F:$F,"&lt;&gt;"&amp;""))</f>
        <v>1</v>
      </c>
      <c r="E282" s="159" t="str">
        <f>IF(C282="","-",IF(D282&gt;0,TEXT(D282/(COUNTIFS(Başvuru!$A:$A,"&lt;&gt;",Başvuru!$F:$F,"&lt;&gt;")-1)*100,"0.0")&amp;"%","-"))</f>
        <v>00%</v>
      </c>
      <c r="F282" s="162">
        <f>IF(C282="","",COUNTIFS(Başvuru!$C:$C,C282,Başvuru!$G:$G,"Bireysel Araştırma",Başvuru!$A:$A,"&lt;&gt;"&amp;"",Başvuru!$F:$F,"&lt;&gt;"&amp;""))</f>
        <v>0</v>
      </c>
      <c r="G282" s="162">
        <f>IF(C282="","",COUNTIFS(Başvuru!$C:$C,C282,Başvuru!$G:$G,"Uzmanlık Tezi",Başvuru!$A:$A,"&lt;&gt;"&amp;"",Başvuru!$F:$F,"&lt;&gt;"&amp;""))</f>
        <v>0</v>
      </c>
      <c r="H282" s="162">
        <f>IF(C282="","",COUNTIFS(Başvuru!$C:$C,C282,Başvuru!$G:$G,"Doktora Tezi",Başvuru!$A:$A,"&lt;&gt;"&amp;"",Başvuru!$F:$F,"&lt;&gt;"&amp;""))</f>
        <v>1</v>
      </c>
      <c r="I282" s="162">
        <f>IF(C282="","",COUNTIFS(Başvuru!$C:$C,C282,Başvuru!$G:$G,"Yüksek Lisans Tezi",Başvuru!$A:$A,"&lt;&gt;"&amp;"",Başvuru!$F:$F,"&lt;&gt;"&amp;""))</f>
        <v>0</v>
      </c>
      <c r="J282" s="163">
        <f>IF(C282="","",COUNTIFS(Başvuru!$C:$C,C282,Başvuru!$L:$L,"ONAY",Başvuru!$A:$A,"&lt;&gt;"&amp;"",Başvuru!$F:$F,"&lt;&gt;"&amp;""))</f>
        <v>1</v>
      </c>
      <c r="K282" s="164">
        <f>IF(C282="","",COUNTIFS(Başvuru!$C:$C,C282,Başvuru!$L:$L,"DÜZELTME",Başvuru!$A:$A,"&lt;&gt;"&amp;"",Başvuru!$F:$F,"&lt;&gt;"&amp;""))</f>
        <v>0</v>
      </c>
      <c r="L282" s="165">
        <f>IF(C282="","",COUNTIFS(Başvuru!$C:$C,C282,Başvuru!$L:$L,"KAEK",Başvuru!$A:$A,"&lt;&gt;"&amp;"",Başvuru!$F:$F,"&lt;&gt;"&amp;""))</f>
        <v>0</v>
      </c>
      <c r="M282" s="166">
        <f>IF(C282="","",COUNTIFS(Başvuru!$C:$C,C282,Başvuru!$L:$L,"GÖRÜŞ",Başvuru!$A:$A,"&lt;&gt;"&amp;"",Başvuru!$F:$F,"&lt;&gt;"&amp;""))</f>
        <v>0</v>
      </c>
      <c r="N282" s="167">
        <f>IF(C282="","",COUNTIFS(Başvuru!$C:$C,C282,Başvuru!$L:$L,"RET",Başvuru!$A:$A,"&lt;&gt;"&amp;"",Başvuru!$F:$F,"&lt;&gt;"&amp;""))</f>
        <v>0</v>
      </c>
      <c r="O282" s="168">
        <f>IF(C282="","",COUNTIFS(Başvuru!$C:$C,C282,Başvuru!$L:$L,"KAPSAM DIŞI",Başvuru!$A:$A,"&lt;&gt;"&amp;"",Başvuru!$F:$F,"&lt;&gt;"&amp;""))</f>
        <v>0</v>
      </c>
      <c r="P282" s="169">
        <f>IF(C282="","",COUNTIFS(Başvuru!$C:$C,C282,Başvuru!$L:$L,"GERİ ÇEKİLDİ",Başvuru!$A:$A,"&lt;&gt;"&amp;"",Başvuru!$F:$F,"&lt;&gt;"&amp;""))</f>
        <v>0</v>
      </c>
      <c r="Q282" s="170" t="str">
        <f>IFERROR(INDEX(Başvuru!$C$2:$C$1851,MATCH(277,Başvuru!$AB$2:$AB$1851,0)),"")</f>
        <v>Prof. Dr. Mustafa BERKER</v>
      </c>
      <c r="R282" s="171">
        <f>IF(Q282="","",COUNTIFS(Başvuru!$C:$C,Q282,Başvuru!$A:$A,"&lt;&gt;"&amp;"",Başvuru!$F:$F,"&lt;&gt;"&amp;""))</f>
        <v>1</v>
      </c>
      <c r="S282" s="171">
        <f>IF(R282="","",RANK(R282,$R$6:$R$505,0)+COUNTIF($R$6:R282,R282)-1)</f>
        <v>289</v>
      </c>
    </row>
    <row r="283" spans="2:19" ht="23.25" customHeight="1" x14ac:dyDescent="0.25">
      <c r="B283" s="159">
        <v>278</v>
      </c>
      <c r="C283" s="160" t="str">
        <f>IFERROR(INDEX($Q$6:$Q$505,MATCH(278,$S$6:$S$505,0)),"")</f>
        <v>Dr. Öğr. Üyesi Yağmur Deniz YILDIRIM</v>
      </c>
      <c r="D283" s="161">
        <f>IF(C283="","",COUNTIFS(Başvuru!$C:$C,C283,Başvuru!$A:$A,"&lt;&gt;"&amp;"",Başvuru!$F:$F,"&lt;&gt;"&amp;""))</f>
        <v>1</v>
      </c>
      <c r="E283" s="159" t="str">
        <f>IF(C283="","-",IF(D283&gt;0,TEXT(D283/(COUNTIFS(Başvuru!$A:$A,"&lt;&gt;",Başvuru!$F:$F,"&lt;&gt;")-1)*100,"0.0")&amp;"%","-"))</f>
        <v>00%</v>
      </c>
      <c r="F283" s="162">
        <f>IF(C283="","",COUNTIFS(Başvuru!$C:$C,C283,Başvuru!$G:$G,"Bireysel Araştırma",Başvuru!$A:$A,"&lt;&gt;"&amp;"",Başvuru!$F:$F,"&lt;&gt;"&amp;""))</f>
        <v>0</v>
      </c>
      <c r="G283" s="162">
        <f>IF(C283="","",COUNTIFS(Başvuru!$C:$C,C283,Başvuru!$G:$G,"Uzmanlık Tezi",Başvuru!$A:$A,"&lt;&gt;"&amp;"",Başvuru!$F:$F,"&lt;&gt;"&amp;""))</f>
        <v>1</v>
      </c>
      <c r="H283" s="162">
        <f>IF(C283="","",COUNTIFS(Başvuru!$C:$C,C283,Başvuru!$G:$G,"Doktora Tezi",Başvuru!$A:$A,"&lt;&gt;"&amp;"",Başvuru!$F:$F,"&lt;&gt;"&amp;""))</f>
        <v>0</v>
      </c>
      <c r="I283" s="162">
        <f>IF(C283="","",COUNTIFS(Başvuru!$C:$C,C283,Başvuru!$G:$G,"Yüksek Lisans Tezi",Başvuru!$A:$A,"&lt;&gt;"&amp;"",Başvuru!$F:$F,"&lt;&gt;"&amp;""))</f>
        <v>0</v>
      </c>
      <c r="J283" s="163">
        <f>IF(C283="","",COUNTIFS(Başvuru!$C:$C,C283,Başvuru!$L:$L,"ONAY",Başvuru!$A:$A,"&lt;&gt;"&amp;"",Başvuru!$F:$F,"&lt;&gt;"&amp;""))</f>
        <v>0</v>
      </c>
      <c r="K283" s="164">
        <f>IF(C283="","",COUNTIFS(Başvuru!$C:$C,C283,Başvuru!$L:$L,"DÜZELTME",Başvuru!$A:$A,"&lt;&gt;"&amp;"",Başvuru!$F:$F,"&lt;&gt;"&amp;""))</f>
        <v>1</v>
      </c>
      <c r="L283" s="165">
        <f>IF(C283="","",COUNTIFS(Başvuru!$C:$C,C283,Başvuru!$L:$L,"KAEK",Başvuru!$A:$A,"&lt;&gt;"&amp;"",Başvuru!$F:$F,"&lt;&gt;"&amp;""))</f>
        <v>0</v>
      </c>
      <c r="M283" s="166">
        <f>IF(C283="","",COUNTIFS(Başvuru!$C:$C,C283,Başvuru!$L:$L,"GÖRÜŞ",Başvuru!$A:$A,"&lt;&gt;"&amp;"",Başvuru!$F:$F,"&lt;&gt;"&amp;""))</f>
        <v>0</v>
      </c>
      <c r="N283" s="167">
        <f>IF(C283="","",COUNTIFS(Başvuru!$C:$C,C283,Başvuru!$L:$L,"RET",Başvuru!$A:$A,"&lt;&gt;"&amp;"",Başvuru!$F:$F,"&lt;&gt;"&amp;""))</f>
        <v>0</v>
      </c>
      <c r="O283" s="168">
        <f>IF(C283="","",COUNTIFS(Başvuru!$C:$C,C283,Başvuru!$L:$L,"KAPSAM DIŞI",Başvuru!$A:$A,"&lt;&gt;"&amp;"",Başvuru!$F:$F,"&lt;&gt;"&amp;""))</f>
        <v>0</v>
      </c>
      <c r="P283" s="169">
        <f>IF(C283="","",COUNTIFS(Başvuru!$C:$C,C283,Başvuru!$L:$L,"GERİ ÇEKİLDİ",Başvuru!$A:$A,"&lt;&gt;"&amp;"",Başvuru!$F:$F,"&lt;&gt;"&amp;""))</f>
        <v>0</v>
      </c>
      <c r="Q283" s="170" t="str">
        <f>IFERROR(INDEX(Başvuru!$C$2:$C$1851,MATCH(278,Başvuru!$AB$2:$AB$1851,0)),"")</f>
        <v>Doç. Dr. Evren SERTALP</v>
      </c>
      <c r="R283" s="171">
        <f>IF(Q283="","",COUNTIFS(Başvuru!$C:$C,Q283,Başvuru!$A:$A,"&lt;&gt;"&amp;"",Başvuru!$F:$F,"&lt;&gt;"&amp;""))</f>
        <v>1</v>
      </c>
      <c r="S283" s="171">
        <f>IF(R283="","",RANK(R283,$R$6:$R$505,0)+COUNTIF($R$6:R283,R283)-1)</f>
        <v>290</v>
      </c>
    </row>
    <row r="284" spans="2:19" ht="23.25" customHeight="1" x14ac:dyDescent="0.25">
      <c r="B284" s="159">
        <v>279</v>
      </c>
      <c r="C284" s="160" t="str">
        <f>IFERROR(INDEX($Q$6:$Q$505,MATCH(279,$S$6:$S$505,0)),"")</f>
        <v>Dr. Öğr. Üyesi Nur Berna ÇELİK ERTAŞ</v>
      </c>
      <c r="D284" s="161">
        <f>IF(C284="","",COUNTIFS(Başvuru!$C:$C,C284,Başvuru!$A:$A,"&lt;&gt;"&amp;"",Başvuru!$F:$F,"&lt;&gt;"&amp;""))</f>
        <v>1</v>
      </c>
      <c r="E284" s="159" t="str">
        <f>IF(C284="","-",IF(D284&gt;0,TEXT(D284/(COUNTIFS(Başvuru!$A:$A,"&lt;&gt;",Başvuru!$F:$F,"&lt;&gt;")-1)*100,"0.0")&amp;"%","-"))</f>
        <v>00%</v>
      </c>
      <c r="F284" s="162">
        <f>IF(C284="","",COUNTIFS(Başvuru!$C:$C,C284,Başvuru!$G:$G,"Bireysel Araştırma",Başvuru!$A:$A,"&lt;&gt;"&amp;"",Başvuru!$F:$F,"&lt;&gt;"&amp;""))</f>
        <v>1</v>
      </c>
      <c r="G284" s="162">
        <f>IF(C284="","",COUNTIFS(Başvuru!$C:$C,C284,Başvuru!$G:$G,"Uzmanlık Tezi",Başvuru!$A:$A,"&lt;&gt;"&amp;"",Başvuru!$F:$F,"&lt;&gt;"&amp;""))</f>
        <v>0</v>
      </c>
      <c r="H284" s="162">
        <f>IF(C284="","",COUNTIFS(Başvuru!$C:$C,C284,Başvuru!$G:$G,"Doktora Tezi",Başvuru!$A:$A,"&lt;&gt;"&amp;"",Başvuru!$F:$F,"&lt;&gt;"&amp;""))</f>
        <v>0</v>
      </c>
      <c r="I284" s="162">
        <f>IF(C284="","",COUNTIFS(Başvuru!$C:$C,C284,Başvuru!$G:$G,"Yüksek Lisans Tezi",Başvuru!$A:$A,"&lt;&gt;"&amp;"",Başvuru!$F:$F,"&lt;&gt;"&amp;""))</f>
        <v>0</v>
      </c>
      <c r="J284" s="163">
        <f>IF(C284="","",COUNTIFS(Başvuru!$C:$C,C284,Başvuru!$L:$L,"ONAY",Başvuru!$A:$A,"&lt;&gt;"&amp;"",Başvuru!$F:$F,"&lt;&gt;"&amp;""))</f>
        <v>1</v>
      </c>
      <c r="K284" s="164">
        <f>IF(C284="","",COUNTIFS(Başvuru!$C:$C,C284,Başvuru!$L:$L,"DÜZELTME",Başvuru!$A:$A,"&lt;&gt;"&amp;"",Başvuru!$F:$F,"&lt;&gt;"&amp;""))</f>
        <v>0</v>
      </c>
      <c r="L284" s="165">
        <f>IF(C284="","",COUNTIFS(Başvuru!$C:$C,C284,Başvuru!$L:$L,"KAEK",Başvuru!$A:$A,"&lt;&gt;"&amp;"",Başvuru!$F:$F,"&lt;&gt;"&amp;""))</f>
        <v>0</v>
      </c>
      <c r="M284" s="166">
        <f>IF(C284="","",COUNTIFS(Başvuru!$C:$C,C284,Başvuru!$L:$L,"GÖRÜŞ",Başvuru!$A:$A,"&lt;&gt;"&amp;"",Başvuru!$F:$F,"&lt;&gt;"&amp;""))</f>
        <v>0</v>
      </c>
      <c r="N284" s="167">
        <f>IF(C284="","",COUNTIFS(Başvuru!$C:$C,C284,Başvuru!$L:$L,"RET",Başvuru!$A:$A,"&lt;&gt;"&amp;"",Başvuru!$F:$F,"&lt;&gt;"&amp;""))</f>
        <v>0</v>
      </c>
      <c r="O284" s="168">
        <f>IF(C284="","",COUNTIFS(Başvuru!$C:$C,C284,Başvuru!$L:$L,"KAPSAM DIŞI",Başvuru!$A:$A,"&lt;&gt;"&amp;"",Başvuru!$F:$F,"&lt;&gt;"&amp;""))</f>
        <v>0</v>
      </c>
      <c r="P284" s="169">
        <f>IF(C284="","",COUNTIFS(Başvuru!$C:$C,C284,Başvuru!$L:$L,"GERİ ÇEKİLDİ",Başvuru!$A:$A,"&lt;&gt;"&amp;"",Başvuru!$F:$F,"&lt;&gt;"&amp;""))</f>
        <v>0</v>
      </c>
      <c r="Q284" s="170" t="str">
        <f>IFERROR(INDEX(Başvuru!$C$2:$C$1851,MATCH(279,Başvuru!$AB$2:$AB$1851,0)),"")</f>
        <v>Prof. Dr. Ömer Alper GÜRLEK</v>
      </c>
      <c r="R284" s="171">
        <f>IF(Q284="","",COUNTIFS(Başvuru!$C:$C,Q284,Başvuru!$A:$A,"&lt;&gt;"&amp;"",Başvuru!$F:$F,"&lt;&gt;"&amp;""))</f>
        <v>1</v>
      </c>
      <c r="S284" s="171">
        <f>IF(R284="","",RANK(R284,$R$6:$R$505,0)+COUNTIF($R$6:R284,R284)-1)</f>
        <v>291</v>
      </c>
    </row>
    <row r="285" spans="2:19" ht="23.25" customHeight="1" x14ac:dyDescent="0.25">
      <c r="B285" s="159">
        <v>280</v>
      </c>
      <c r="C285" s="160" t="str">
        <f>IFERROR(INDEX($Q$6:$Q$505,MATCH(280,$S$6:$S$505,0)),"")</f>
        <v>Dr. Öğr. Üyesi Aslı ALKAN</v>
      </c>
      <c r="D285" s="161">
        <f>IF(C285="","",COUNTIFS(Başvuru!$C:$C,C285,Başvuru!$A:$A,"&lt;&gt;"&amp;"",Başvuru!$F:$F,"&lt;&gt;"&amp;""))</f>
        <v>1</v>
      </c>
      <c r="E285" s="159" t="str">
        <f>IF(C285="","-",IF(D285&gt;0,TEXT(D285/(COUNTIFS(Başvuru!$A:$A,"&lt;&gt;",Başvuru!$F:$F,"&lt;&gt;")-1)*100,"0.0")&amp;"%","-"))</f>
        <v>00%</v>
      </c>
      <c r="F285" s="162">
        <f>IF(C285="","",COUNTIFS(Başvuru!$C:$C,C285,Başvuru!$G:$G,"Bireysel Araştırma",Başvuru!$A:$A,"&lt;&gt;"&amp;"",Başvuru!$F:$F,"&lt;&gt;"&amp;""))</f>
        <v>0</v>
      </c>
      <c r="G285" s="162">
        <f>IF(C285="","",COUNTIFS(Başvuru!$C:$C,C285,Başvuru!$G:$G,"Uzmanlık Tezi",Başvuru!$A:$A,"&lt;&gt;"&amp;"",Başvuru!$F:$F,"&lt;&gt;"&amp;""))</f>
        <v>1</v>
      </c>
      <c r="H285" s="162">
        <f>IF(C285="","",COUNTIFS(Başvuru!$C:$C,C285,Başvuru!$G:$G,"Doktora Tezi",Başvuru!$A:$A,"&lt;&gt;"&amp;"",Başvuru!$F:$F,"&lt;&gt;"&amp;""))</f>
        <v>0</v>
      </c>
      <c r="I285" s="162">
        <f>IF(C285="","",COUNTIFS(Başvuru!$C:$C,C285,Başvuru!$G:$G,"Yüksek Lisans Tezi",Başvuru!$A:$A,"&lt;&gt;"&amp;"",Başvuru!$F:$F,"&lt;&gt;"&amp;""))</f>
        <v>0</v>
      </c>
      <c r="J285" s="163">
        <f>IF(C285="","",COUNTIFS(Başvuru!$C:$C,C285,Başvuru!$L:$L,"ONAY",Başvuru!$A:$A,"&lt;&gt;"&amp;"",Başvuru!$F:$F,"&lt;&gt;"&amp;""))</f>
        <v>1</v>
      </c>
      <c r="K285" s="164">
        <f>IF(C285="","",COUNTIFS(Başvuru!$C:$C,C285,Başvuru!$L:$L,"DÜZELTME",Başvuru!$A:$A,"&lt;&gt;"&amp;"",Başvuru!$F:$F,"&lt;&gt;"&amp;""))</f>
        <v>0</v>
      </c>
      <c r="L285" s="165">
        <f>IF(C285="","",COUNTIFS(Başvuru!$C:$C,C285,Başvuru!$L:$L,"KAEK",Başvuru!$A:$A,"&lt;&gt;"&amp;"",Başvuru!$F:$F,"&lt;&gt;"&amp;""))</f>
        <v>0</v>
      </c>
      <c r="M285" s="166">
        <f>IF(C285="","",COUNTIFS(Başvuru!$C:$C,C285,Başvuru!$L:$L,"GÖRÜŞ",Başvuru!$A:$A,"&lt;&gt;"&amp;"",Başvuru!$F:$F,"&lt;&gt;"&amp;""))</f>
        <v>0</v>
      </c>
      <c r="N285" s="167">
        <f>IF(C285="","",COUNTIFS(Başvuru!$C:$C,C285,Başvuru!$L:$L,"RET",Başvuru!$A:$A,"&lt;&gt;"&amp;"",Başvuru!$F:$F,"&lt;&gt;"&amp;""))</f>
        <v>0</v>
      </c>
      <c r="O285" s="168">
        <f>IF(C285="","",COUNTIFS(Başvuru!$C:$C,C285,Başvuru!$L:$L,"KAPSAM DIŞI",Başvuru!$A:$A,"&lt;&gt;"&amp;"",Başvuru!$F:$F,"&lt;&gt;"&amp;""))</f>
        <v>0</v>
      </c>
      <c r="P285" s="169">
        <f>IF(C285="","",COUNTIFS(Başvuru!$C:$C,C285,Başvuru!$L:$L,"GERİ ÇEKİLDİ",Başvuru!$A:$A,"&lt;&gt;"&amp;"",Başvuru!$F:$F,"&lt;&gt;"&amp;""))</f>
        <v>0</v>
      </c>
      <c r="Q285" s="170" t="str">
        <f>IFERROR(INDEX(Başvuru!$C$2:$C$1851,MATCH(280,Başvuru!$AB$2:$AB$1851,0)),"")</f>
        <v>Doç. Dr. Nursel AKKAYA</v>
      </c>
      <c r="R285" s="171">
        <f>IF(Q285="","",COUNTIFS(Başvuru!$C:$C,Q285,Başvuru!$A:$A,"&lt;&gt;"&amp;"",Başvuru!$F:$F,"&lt;&gt;"&amp;""))</f>
        <v>1</v>
      </c>
      <c r="S285" s="171">
        <f>IF(R285="","",RANK(R285,$R$6:$R$505,0)+COUNTIF($R$6:R285,R285)-1)</f>
        <v>292</v>
      </c>
    </row>
    <row r="286" spans="2:19" ht="23.25" customHeight="1" x14ac:dyDescent="0.25">
      <c r="B286" s="159">
        <v>281</v>
      </c>
      <c r="C286" s="160" t="str">
        <f>IFERROR(INDEX($Q$6:$Q$505,MATCH(281,$S$6:$S$505,0)),"")</f>
        <v>Prof. Dr. Gülen Eda ÜTİNE</v>
      </c>
      <c r="D286" s="161">
        <f>IF(C286="","",COUNTIFS(Başvuru!$C:$C,C286,Başvuru!$A:$A,"&lt;&gt;"&amp;"",Başvuru!$F:$F,"&lt;&gt;"&amp;""))</f>
        <v>1</v>
      </c>
      <c r="E286" s="159" t="str">
        <f>IF(C286="","-",IF(D286&gt;0,TEXT(D286/(COUNTIFS(Başvuru!$A:$A,"&lt;&gt;",Başvuru!$F:$F,"&lt;&gt;")-1)*100,"0.0")&amp;"%","-"))</f>
        <v>00%</v>
      </c>
      <c r="F286" s="162">
        <f>IF(C286="","",COUNTIFS(Başvuru!$C:$C,C286,Başvuru!$G:$G,"Bireysel Araştırma",Başvuru!$A:$A,"&lt;&gt;"&amp;"",Başvuru!$F:$F,"&lt;&gt;"&amp;""))</f>
        <v>0</v>
      </c>
      <c r="G286" s="162">
        <f>IF(C286="","",COUNTIFS(Başvuru!$C:$C,C286,Başvuru!$G:$G,"Uzmanlık Tezi",Başvuru!$A:$A,"&lt;&gt;"&amp;"",Başvuru!$F:$F,"&lt;&gt;"&amp;""))</f>
        <v>1</v>
      </c>
      <c r="H286" s="162">
        <f>IF(C286="","",COUNTIFS(Başvuru!$C:$C,C286,Başvuru!$G:$G,"Doktora Tezi",Başvuru!$A:$A,"&lt;&gt;"&amp;"",Başvuru!$F:$F,"&lt;&gt;"&amp;""))</f>
        <v>0</v>
      </c>
      <c r="I286" s="162">
        <f>IF(C286="","",COUNTIFS(Başvuru!$C:$C,C286,Başvuru!$G:$G,"Yüksek Lisans Tezi",Başvuru!$A:$A,"&lt;&gt;"&amp;"",Başvuru!$F:$F,"&lt;&gt;"&amp;""))</f>
        <v>0</v>
      </c>
      <c r="J286" s="163">
        <f>IF(C286="","",COUNTIFS(Başvuru!$C:$C,C286,Başvuru!$L:$L,"ONAY",Başvuru!$A:$A,"&lt;&gt;"&amp;"",Başvuru!$F:$F,"&lt;&gt;"&amp;""))</f>
        <v>1</v>
      </c>
      <c r="K286" s="164">
        <f>IF(C286="","",COUNTIFS(Başvuru!$C:$C,C286,Başvuru!$L:$L,"DÜZELTME",Başvuru!$A:$A,"&lt;&gt;"&amp;"",Başvuru!$F:$F,"&lt;&gt;"&amp;""))</f>
        <v>0</v>
      </c>
      <c r="L286" s="165">
        <f>IF(C286="","",COUNTIFS(Başvuru!$C:$C,C286,Başvuru!$L:$L,"KAEK",Başvuru!$A:$A,"&lt;&gt;"&amp;"",Başvuru!$F:$F,"&lt;&gt;"&amp;""))</f>
        <v>0</v>
      </c>
      <c r="M286" s="166">
        <f>IF(C286="","",COUNTIFS(Başvuru!$C:$C,C286,Başvuru!$L:$L,"GÖRÜŞ",Başvuru!$A:$A,"&lt;&gt;"&amp;"",Başvuru!$F:$F,"&lt;&gt;"&amp;""))</f>
        <v>0</v>
      </c>
      <c r="N286" s="167">
        <f>IF(C286="","",COUNTIFS(Başvuru!$C:$C,C286,Başvuru!$L:$L,"RET",Başvuru!$A:$A,"&lt;&gt;"&amp;"",Başvuru!$F:$F,"&lt;&gt;"&amp;""))</f>
        <v>0</v>
      </c>
      <c r="O286" s="168">
        <f>IF(C286="","",COUNTIFS(Başvuru!$C:$C,C286,Başvuru!$L:$L,"KAPSAM DIŞI",Başvuru!$A:$A,"&lt;&gt;"&amp;"",Başvuru!$F:$F,"&lt;&gt;"&amp;""))</f>
        <v>0</v>
      </c>
      <c r="P286" s="169">
        <f>IF(C286="","",COUNTIFS(Başvuru!$C:$C,C286,Başvuru!$L:$L,"GERİ ÇEKİLDİ",Başvuru!$A:$A,"&lt;&gt;"&amp;"",Başvuru!$F:$F,"&lt;&gt;"&amp;""))</f>
        <v>0</v>
      </c>
      <c r="Q286" s="170" t="str">
        <f>IFERROR(INDEX(Başvuru!$C$2:$C$1851,MATCH(281,Başvuru!$AB$2:$AB$1851,0)),"")</f>
        <v>Öğr. Gör. Dr. Kemal SARUHAN</v>
      </c>
      <c r="R286" s="171">
        <f>IF(Q286="","",COUNTIFS(Başvuru!$C:$C,Q286,Başvuru!$A:$A,"&lt;&gt;"&amp;"",Başvuru!$F:$F,"&lt;&gt;"&amp;""))</f>
        <v>1</v>
      </c>
      <c r="S286" s="171">
        <f>IF(R286="","",RANK(R286,$R$6:$R$505,0)+COUNTIF($R$6:R286,R286)-1)</f>
        <v>293</v>
      </c>
    </row>
    <row r="287" spans="2:19" ht="23.25" customHeight="1" x14ac:dyDescent="0.25">
      <c r="B287" s="159">
        <v>282</v>
      </c>
      <c r="C287" s="160" t="str">
        <f>IFERROR(INDEX($Q$6:$Q$505,MATCH(282,$S$6:$S$505,0)),"")</f>
        <v>Doç. Dr. Muhammed Bahaddin DURAK</v>
      </c>
      <c r="D287" s="161">
        <f>IF(C287="","",COUNTIFS(Başvuru!$C:$C,C287,Başvuru!$A:$A,"&lt;&gt;"&amp;"",Başvuru!$F:$F,"&lt;&gt;"&amp;""))</f>
        <v>1</v>
      </c>
      <c r="E287" s="159" t="str">
        <f>IF(C287="","-",IF(D287&gt;0,TEXT(D287/(COUNTIFS(Başvuru!$A:$A,"&lt;&gt;",Başvuru!$F:$F,"&lt;&gt;")-1)*100,"0.0")&amp;"%","-"))</f>
        <v>00%</v>
      </c>
      <c r="F287" s="162">
        <f>IF(C287="","",COUNTIFS(Başvuru!$C:$C,C287,Başvuru!$G:$G,"Bireysel Araştırma",Başvuru!$A:$A,"&lt;&gt;"&amp;"",Başvuru!$F:$F,"&lt;&gt;"&amp;""))</f>
        <v>0</v>
      </c>
      <c r="G287" s="162">
        <f>IF(C287="","",COUNTIFS(Başvuru!$C:$C,C287,Başvuru!$G:$G,"Uzmanlık Tezi",Başvuru!$A:$A,"&lt;&gt;"&amp;"",Başvuru!$F:$F,"&lt;&gt;"&amp;""))</f>
        <v>1</v>
      </c>
      <c r="H287" s="162">
        <f>IF(C287="","",COUNTIFS(Başvuru!$C:$C,C287,Başvuru!$G:$G,"Doktora Tezi",Başvuru!$A:$A,"&lt;&gt;"&amp;"",Başvuru!$F:$F,"&lt;&gt;"&amp;""))</f>
        <v>0</v>
      </c>
      <c r="I287" s="162">
        <f>IF(C287="","",COUNTIFS(Başvuru!$C:$C,C287,Başvuru!$G:$G,"Yüksek Lisans Tezi",Başvuru!$A:$A,"&lt;&gt;"&amp;"",Başvuru!$F:$F,"&lt;&gt;"&amp;""))</f>
        <v>0</v>
      </c>
      <c r="J287" s="163">
        <f>IF(C287="","",COUNTIFS(Başvuru!$C:$C,C287,Başvuru!$L:$L,"ONAY",Başvuru!$A:$A,"&lt;&gt;"&amp;"",Başvuru!$F:$F,"&lt;&gt;"&amp;""))</f>
        <v>1</v>
      </c>
      <c r="K287" s="164">
        <f>IF(C287="","",COUNTIFS(Başvuru!$C:$C,C287,Başvuru!$L:$L,"DÜZELTME",Başvuru!$A:$A,"&lt;&gt;"&amp;"",Başvuru!$F:$F,"&lt;&gt;"&amp;""))</f>
        <v>0</v>
      </c>
      <c r="L287" s="165">
        <f>IF(C287="","",COUNTIFS(Başvuru!$C:$C,C287,Başvuru!$L:$L,"KAEK",Başvuru!$A:$A,"&lt;&gt;"&amp;"",Başvuru!$F:$F,"&lt;&gt;"&amp;""))</f>
        <v>0</v>
      </c>
      <c r="M287" s="166">
        <f>IF(C287="","",COUNTIFS(Başvuru!$C:$C,C287,Başvuru!$L:$L,"GÖRÜŞ",Başvuru!$A:$A,"&lt;&gt;"&amp;"",Başvuru!$F:$F,"&lt;&gt;"&amp;""))</f>
        <v>0</v>
      </c>
      <c r="N287" s="167">
        <f>IF(C287="","",COUNTIFS(Başvuru!$C:$C,C287,Başvuru!$L:$L,"RET",Başvuru!$A:$A,"&lt;&gt;"&amp;"",Başvuru!$F:$F,"&lt;&gt;"&amp;""))</f>
        <v>0</v>
      </c>
      <c r="O287" s="168">
        <f>IF(C287="","",COUNTIFS(Başvuru!$C:$C,C287,Başvuru!$L:$L,"KAPSAM DIŞI",Başvuru!$A:$A,"&lt;&gt;"&amp;"",Başvuru!$F:$F,"&lt;&gt;"&amp;""))</f>
        <v>0</v>
      </c>
      <c r="P287" s="169">
        <f>IF(C287="","",COUNTIFS(Başvuru!$C:$C,C287,Başvuru!$L:$L,"GERİ ÇEKİLDİ",Başvuru!$A:$A,"&lt;&gt;"&amp;"",Başvuru!$F:$F,"&lt;&gt;"&amp;""))</f>
        <v>0</v>
      </c>
      <c r="Q287" s="170" t="str">
        <f>IFERROR(INDEX(Başvuru!$C$2:$C$1851,MATCH(282,Başvuru!$AB$2:$AB$1851,0)),"")</f>
        <v>Arş. Gör. Dr. Eymen YILMAZ</v>
      </c>
      <c r="R287" s="171">
        <f>IF(Q287="","",COUNTIFS(Başvuru!$C:$C,Q287,Başvuru!$A:$A,"&lt;&gt;"&amp;"",Başvuru!$F:$F,"&lt;&gt;"&amp;""))</f>
        <v>2</v>
      </c>
      <c r="S287" s="171">
        <f>IF(R287="","",RANK(R287,$R$6:$R$505,0)+COUNTIF($R$6:R287,R287)-1)</f>
        <v>148</v>
      </c>
    </row>
    <row r="288" spans="2:19" ht="23.25" customHeight="1" x14ac:dyDescent="0.25">
      <c r="B288" s="159">
        <v>283</v>
      </c>
      <c r="C288" s="160" t="str">
        <f>IFERROR(INDEX($Q$6:$Q$505,MATCH(283,$S$6:$S$505,0)),"")</f>
        <v>Prof. Dr. Gülay SAİN GÜVEN</v>
      </c>
      <c r="D288" s="161">
        <f>IF(C288="","",COUNTIFS(Başvuru!$C:$C,C288,Başvuru!$A:$A,"&lt;&gt;"&amp;"",Başvuru!$F:$F,"&lt;&gt;"&amp;""))</f>
        <v>1</v>
      </c>
      <c r="E288" s="159" t="str">
        <f>IF(C288="","-",IF(D288&gt;0,TEXT(D288/(COUNTIFS(Başvuru!$A:$A,"&lt;&gt;",Başvuru!$F:$F,"&lt;&gt;")-1)*100,"0.0")&amp;"%","-"))</f>
        <v>00%</v>
      </c>
      <c r="F288" s="162">
        <f>IF(C288="","",COUNTIFS(Başvuru!$C:$C,C288,Başvuru!$G:$G,"Bireysel Araştırma",Başvuru!$A:$A,"&lt;&gt;"&amp;"",Başvuru!$F:$F,"&lt;&gt;"&amp;""))</f>
        <v>1</v>
      </c>
      <c r="G288" s="162">
        <f>IF(C288="","",COUNTIFS(Başvuru!$C:$C,C288,Başvuru!$G:$G,"Uzmanlık Tezi",Başvuru!$A:$A,"&lt;&gt;"&amp;"",Başvuru!$F:$F,"&lt;&gt;"&amp;""))</f>
        <v>0</v>
      </c>
      <c r="H288" s="162">
        <f>IF(C288="","",COUNTIFS(Başvuru!$C:$C,C288,Başvuru!$G:$G,"Doktora Tezi",Başvuru!$A:$A,"&lt;&gt;"&amp;"",Başvuru!$F:$F,"&lt;&gt;"&amp;""))</f>
        <v>0</v>
      </c>
      <c r="I288" s="162">
        <f>IF(C288="","",COUNTIFS(Başvuru!$C:$C,C288,Başvuru!$G:$G,"Yüksek Lisans Tezi",Başvuru!$A:$A,"&lt;&gt;"&amp;"",Başvuru!$F:$F,"&lt;&gt;"&amp;""))</f>
        <v>0</v>
      </c>
      <c r="J288" s="163">
        <f>IF(C288="","",COUNTIFS(Başvuru!$C:$C,C288,Başvuru!$L:$L,"ONAY",Başvuru!$A:$A,"&lt;&gt;"&amp;"",Başvuru!$F:$F,"&lt;&gt;"&amp;""))</f>
        <v>1</v>
      </c>
      <c r="K288" s="164">
        <f>IF(C288="","",COUNTIFS(Başvuru!$C:$C,C288,Başvuru!$L:$L,"DÜZELTME",Başvuru!$A:$A,"&lt;&gt;"&amp;"",Başvuru!$F:$F,"&lt;&gt;"&amp;""))</f>
        <v>0</v>
      </c>
      <c r="L288" s="165">
        <f>IF(C288="","",COUNTIFS(Başvuru!$C:$C,C288,Başvuru!$L:$L,"KAEK",Başvuru!$A:$A,"&lt;&gt;"&amp;"",Başvuru!$F:$F,"&lt;&gt;"&amp;""))</f>
        <v>0</v>
      </c>
      <c r="M288" s="166">
        <f>IF(C288="","",COUNTIFS(Başvuru!$C:$C,C288,Başvuru!$L:$L,"GÖRÜŞ",Başvuru!$A:$A,"&lt;&gt;"&amp;"",Başvuru!$F:$F,"&lt;&gt;"&amp;""))</f>
        <v>0</v>
      </c>
      <c r="N288" s="167">
        <f>IF(C288="","",COUNTIFS(Başvuru!$C:$C,C288,Başvuru!$L:$L,"RET",Başvuru!$A:$A,"&lt;&gt;"&amp;"",Başvuru!$F:$F,"&lt;&gt;"&amp;""))</f>
        <v>0</v>
      </c>
      <c r="O288" s="168">
        <f>IF(C288="","",COUNTIFS(Başvuru!$C:$C,C288,Başvuru!$L:$L,"KAPSAM DIŞI",Başvuru!$A:$A,"&lt;&gt;"&amp;"",Başvuru!$F:$F,"&lt;&gt;"&amp;""))</f>
        <v>0</v>
      </c>
      <c r="P288" s="169">
        <f>IF(C288="","",COUNTIFS(Başvuru!$C:$C,C288,Başvuru!$L:$L,"GERİ ÇEKİLDİ",Başvuru!$A:$A,"&lt;&gt;"&amp;"",Başvuru!$F:$F,"&lt;&gt;"&amp;""))</f>
        <v>0</v>
      </c>
      <c r="Q288" s="170" t="str">
        <f>IFERROR(INDEX(Başvuru!$C$2:$C$1851,MATCH(283,Başvuru!$AB$2:$AB$1851,0)),"")</f>
        <v>Dr. Öğr. Gör. Tuğçe TAŞKINDERE ABBASOĞLU</v>
      </c>
      <c r="R288" s="171">
        <f>IF(Q288="","",COUNTIFS(Başvuru!$C:$C,Q288,Başvuru!$A:$A,"&lt;&gt;"&amp;"",Başvuru!$F:$F,"&lt;&gt;"&amp;""))</f>
        <v>1</v>
      </c>
      <c r="S288" s="171">
        <f>IF(R288="","",RANK(R288,$R$6:$R$505,0)+COUNTIF($R$6:R288,R288)-1)</f>
        <v>294</v>
      </c>
    </row>
    <row r="289" spans="2:19" ht="23.25" customHeight="1" x14ac:dyDescent="0.25">
      <c r="B289" s="159">
        <v>284</v>
      </c>
      <c r="C289" s="160" t="str">
        <f>IFERROR(INDEX($Q$6:$Q$505,MATCH(284,$S$6:$S$505,0)),"")</f>
        <v>Prof. Dr. Banu SANCAK</v>
      </c>
      <c r="D289" s="161">
        <f>IF(C289="","",COUNTIFS(Başvuru!$C:$C,C289,Başvuru!$A:$A,"&lt;&gt;"&amp;"",Başvuru!$F:$F,"&lt;&gt;"&amp;""))</f>
        <v>1</v>
      </c>
      <c r="E289" s="159" t="str">
        <f>IF(C289="","-",IF(D289&gt;0,TEXT(D289/(COUNTIFS(Başvuru!$A:$A,"&lt;&gt;",Başvuru!$F:$F,"&lt;&gt;")-1)*100,"0.0")&amp;"%","-"))</f>
        <v>00%</v>
      </c>
      <c r="F289" s="162">
        <f>IF(C289="","",COUNTIFS(Başvuru!$C:$C,C289,Başvuru!$G:$G,"Bireysel Araştırma",Başvuru!$A:$A,"&lt;&gt;"&amp;"",Başvuru!$F:$F,"&lt;&gt;"&amp;""))</f>
        <v>1</v>
      </c>
      <c r="G289" s="162">
        <f>IF(C289="","",COUNTIFS(Başvuru!$C:$C,C289,Başvuru!$G:$G,"Uzmanlık Tezi",Başvuru!$A:$A,"&lt;&gt;"&amp;"",Başvuru!$F:$F,"&lt;&gt;"&amp;""))</f>
        <v>0</v>
      </c>
      <c r="H289" s="162">
        <f>IF(C289="","",COUNTIFS(Başvuru!$C:$C,C289,Başvuru!$G:$G,"Doktora Tezi",Başvuru!$A:$A,"&lt;&gt;"&amp;"",Başvuru!$F:$F,"&lt;&gt;"&amp;""))</f>
        <v>0</v>
      </c>
      <c r="I289" s="162">
        <f>IF(C289="","",COUNTIFS(Başvuru!$C:$C,C289,Başvuru!$G:$G,"Yüksek Lisans Tezi",Başvuru!$A:$A,"&lt;&gt;"&amp;"",Başvuru!$F:$F,"&lt;&gt;"&amp;""))</f>
        <v>0</v>
      </c>
      <c r="J289" s="163">
        <f>IF(C289="","",COUNTIFS(Başvuru!$C:$C,C289,Başvuru!$L:$L,"ONAY",Başvuru!$A:$A,"&lt;&gt;"&amp;"",Başvuru!$F:$F,"&lt;&gt;"&amp;""))</f>
        <v>1</v>
      </c>
      <c r="K289" s="164">
        <f>IF(C289="","",COUNTIFS(Başvuru!$C:$C,C289,Başvuru!$L:$L,"DÜZELTME",Başvuru!$A:$A,"&lt;&gt;"&amp;"",Başvuru!$F:$F,"&lt;&gt;"&amp;""))</f>
        <v>0</v>
      </c>
      <c r="L289" s="165">
        <f>IF(C289="","",COUNTIFS(Başvuru!$C:$C,C289,Başvuru!$L:$L,"KAEK",Başvuru!$A:$A,"&lt;&gt;"&amp;"",Başvuru!$F:$F,"&lt;&gt;"&amp;""))</f>
        <v>0</v>
      </c>
      <c r="M289" s="166">
        <f>IF(C289="","",COUNTIFS(Başvuru!$C:$C,C289,Başvuru!$L:$L,"GÖRÜŞ",Başvuru!$A:$A,"&lt;&gt;"&amp;"",Başvuru!$F:$F,"&lt;&gt;"&amp;""))</f>
        <v>0</v>
      </c>
      <c r="N289" s="167">
        <f>IF(C289="","",COUNTIFS(Başvuru!$C:$C,C289,Başvuru!$L:$L,"RET",Başvuru!$A:$A,"&lt;&gt;"&amp;"",Başvuru!$F:$F,"&lt;&gt;"&amp;""))</f>
        <v>0</v>
      </c>
      <c r="O289" s="168">
        <f>IF(C289="","",COUNTIFS(Başvuru!$C:$C,C289,Başvuru!$L:$L,"KAPSAM DIŞI",Başvuru!$A:$A,"&lt;&gt;"&amp;"",Başvuru!$F:$F,"&lt;&gt;"&amp;""))</f>
        <v>0</v>
      </c>
      <c r="P289" s="169">
        <f>IF(C289="","",COUNTIFS(Başvuru!$C:$C,C289,Başvuru!$L:$L,"GERİ ÇEKİLDİ",Başvuru!$A:$A,"&lt;&gt;"&amp;"",Başvuru!$F:$F,"&lt;&gt;"&amp;""))</f>
        <v>0</v>
      </c>
      <c r="Q289" s="170" t="str">
        <f>IFERROR(INDEX(Başvuru!$C$2:$C$1851,MATCH(284,Başvuru!$AB$2:$AB$1851,0)),"")</f>
        <v>Prof. Dr. Lokman UZUN</v>
      </c>
      <c r="R289" s="171">
        <f>IF(Q289="","",COUNTIFS(Başvuru!$C:$C,Q289,Başvuru!$A:$A,"&lt;&gt;"&amp;"",Başvuru!$F:$F,"&lt;&gt;"&amp;""))</f>
        <v>1</v>
      </c>
      <c r="S289" s="171">
        <f>IF(R289="","",RANK(R289,$R$6:$R$505,0)+COUNTIF($R$6:R289,R289)-1)</f>
        <v>295</v>
      </c>
    </row>
    <row r="290" spans="2:19" ht="23.25" customHeight="1" x14ac:dyDescent="0.25">
      <c r="B290" s="159">
        <v>285</v>
      </c>
      <c r="C290" s="160" t="str">
        <f>IFERROR(INDEX($Q$6:$Q$505,MATCH(285,$S$6:$S$505,0)),"")</f>
        <v>Doç. Dr. Eylem TOPBAŞ</v>
      </c>
      <c r="D290" s="161">
        <f>IF(C290="","",COUNTIFS(Başvuru!$C:$C,C290,Başvuru!$A:$A,"&lt;&gt;"&amp;"",Başvuru!$F:$F,"&lt;&gt;"&amp;""))</f>
        <v>1</v>
      </c>
      <c r="E290" s="159" t="str">
        <f>IF(C290="","-",IF(D290&gt;0,TEXT(D290/(COUNTIFS(Başvuru!$A:$A,"&lt;&gt;",Başvuru!$F:$F,"&lt;&gt;")-1)*100,"0.0")&amp;"%","-"))</f>
        <v>00%</v>
      </c>
      <c r="F290" s="162">
        <f>IF(C290="","",COUNTIFS(Başvuru!$C:$C,C290,Başvuru!$G:$G,"Bireysel Araştırma",Başvuru!$A:$A,"&lt;&gt;"&amp;"",Başvuru!$F:$F,"&lt;&gt;"&amp;""))</f>
        <v>0</v>
      </c>
      <c r="G290" s="162">
        <f>IF(C290="","",COUNTIFS(Başvuru!$C:$C,C290,Başvuru!$G:$G,"Uzmanlık Tezi",Başvuru!$A:$A,"&lt;&gt;"&amp;"",Başvuru!$F:$F,"&lt;&gt;"&amp;""))</f>
        <v>0</v>
      </c>
      <c r="H290" s="162">
        <f>IF(C290="","",COUNTIFS(Başvuru!$C:$C,C290,Başvuru!$G:$G,"Doktora Tezi",Başvuru!$A:$A,"&lt;&gt;"&amp;"",Başvuru!$F:$F,"&lt;&gt;"&amp;""))</f>
        <v>0</v>
      </c>
      <c r="I290" s="162">
        <f>IF(C290="","",COUNTIFS(Başvuru!$C:$C,C290,Başvuru!$G:$G,"Yüksek Lisans Tezi",Başvuru!$A:$A,"&lt;&gt;"&amp;"",Başvuru!$F:$F,"&lt;&gt;"&amp;""))</f>
        <v>1</v>
      </c>
      <c r="J290" s="163">
        <f>IF(C290="","",COUNTIFS(Başvuru!$C:$C,C290,Başvuru!$L:$L,"ONAY",Başvuru!$A:$A,"&lt;&gt;"&amp;"",Başvuru!$F:$F,"&lt;&gt;"&amp;""))</f>
        <v>0</v>
      </c>
      <c r="K290" s="164">
        <f>IF(C290="","",COUNTIFS(Başvuru!$C:$C,C290,Başvuru!$L:$L,"DÜZELTME",Başvuru!$A:$A,"&lt;&gt;"&amp;"",Başvuru!$F:$F,"&lt;&gt;"&amp;""))</f>
        <v>0</v>
      </c>
      <c r="L290" s="165">
        <f>IF(C290="","",COUNTIFS(Başvuru!$C:$C,C290,Başvuru!$L:$L,"KAEK",Başvuru!$A:$A,"&lt;&gt;"&amp;"",Başvuru!$F:$F,"&lt;&gt;"&amp;""))</f>
        <v>1</v>
      </c>
      <c r="M290" s="166">
        <f>IF(C290="","",COUNTIFS(Başvuru!$C:$C,C290,Başvuru!$L:$L,"GÖRÜŞ",Başvuru!$A:$A,"&lt;&gt;"&amp;"",Başvuru!$F:$F,"&lt;&gt;"&amp;""))</f>
        <v>0</v>
      </c>
      <c r="N290" s="167">
        <f>IF(C290="","",COUNTIFS(Başvuru!$C:$C,C290,Başvuru!$L:$L,"RET",Başvuru!$A:$A,"&lt;&gt;"&amp;"",Başvuru!$F:$F,"&lt;&gt;"&amp;""))</f>
        <v>0</v>
      </c>
      <c r="O290" s="168">
        <f>IF(C290="","",COUNTIFS(Başvuru!$C:$C,C290,Başvuru!$L:$L,"KAPSAM DIŞI",Başvuru!$A:$A,"&lt;&gt;"&amp;"",Başvuru!$F:$F,"&lt;&gt;"&amp;""))</f>
        <v>0</v>
      </c>
      <c r="P290" s="169">
        <f>IF(C290="","",COUNTIFS(Başvuru!$C:$C,C290,Başvuru!$L:$L,"GERİ ÇEKİLDİ",Başvuru!$A:$A,"&lt;&gt;"&amp;"",Başvuru!$F:$F,"&lt;&gt;"&amp;""))</f>
        <v>0</v>
      </c>
      <c r="Q290" s="170" t="str">
        <f>IFERROR(INDEX(Başvuru!$C$2:$C$1851,MATCH(285,Başvuru!$AB$2:$AB$1851,0)),"")</f>
        <v>Doç. Dr. Melike OCAK</v>
      </c>
      <c r="R290" s="171">
        <f>IF(Q290="","",COUNTIFS(Başvuru!$C:$C,Q290,Başvuru!$A:$A,"&lt;&gt;"&amp;"",Başvuru!$F:$F,"&lt;&gt;"&amp;""))</f>
        <v>3</v>
      </c>
      <c r="S290" s="171">
        <f>IF(R290="","",RANK(R290,$R$6:$R$505,0)+COUNTIF($R$6:R290,R290)-1)</f>
        <v>81</v>
      </c>
    </row>
    <row r="291" spans="2:19" ht="23.25" customHeight="1" x14ac:dyDescent="0.25">
      <c r="B291" s="159">
        <v>286</v>
      </c>
      <c r="C291" s="160" t="str">
        <f>IFERROR(INDEX($Q$6:$Q$505,MATCH(286,$S$6:$S$505,0)),"")</f>
        <v>Dr. Öğr. Üyesi Cenk Ahmet AKCAN</v>
      </c>
      <c r="D291" s="161">
        <f>IF(C291="","",COUNTIFS(Başvuru!$C:$C,C291,Başvuru!$A:$A,"&lt;&gt;"&amp;"",Başvuru!$F:$F,"&lt;&gt;"&amp;""))</f>
        <v>1</v>
      </c>
      <c r="E291" s="159" t="str">
        <f>IF(C291="","-",IF(D291&gt;0,TEXT(D291/(COUNTIFS(Başvuru!$A:$A,"&lt;&gt;",Başvuru!$F:$F,"&lt;&gt;")-1)*100,"0.0")&amp;"%","-"))</f>
        <v>00%</v>
      </c>
      <c r="F291" s="162">
        <f>IF(C291="","",COUNTIFS(Başvuru!$C:$C,C291,Başvuru!$G:$G,"Bireysel Araştırma",Başvuru!$A:$A,"&lt;&gt;"&amp;"",Başvuru!$F:$F,"&lt;&gt;"&amp;""))</f>
        <v>1</v>
      </c>
      <c r="G291" s="162">
        <f>IF(C291="","",COUNTIFS(Başvuru!$C:$C,C291,Başvuru!$G:$G,"Uzmanlık Tezi",Başvuru!$A:$A,"&lt;&gt;"&amp;"",Başvuru!$F:$F,"&lt;&gt;"&amp;""))</f>
        <v>0</v>
      </c>
      <c r="H291" s="162">
        <f>IF(C291="","",COUNTIFS(Başvuru!$C:$C,C291,Başvuru!$G:$G,"Doktora Tezi",Başvuru!$A:$A,"&lt;&gt;"&amp;"",Başvuru!$F:$F,"&lt;&gt;"&amp;""))</f>
        <v>0</v>
      </c>
      <c r="I291" s="162">
        <f>IF(C291="","",COUNTIFS(Başvuru!$C:$C,C291,Başvuru!$G:$G,"Yüksek Lisans Tezi",Başvuru!$A:$A,"&lt;&gt;"&amp;"",Başvuru!$F:$F,"&lt;&gt;"&amp;""))</f>
        <v>0</v>
      </c>
      <c r="J291" s="163">
        <f>IF(C291="","",COUNTIFS(Başvuru!$C:$C,C291,Başvuru!$L:$L,"ONAY",Başvuru!$A:$A,"&lt;&gt;"&amp;"",Başvuru!$F:$F,"&lt;&gt;"&amp;""))</f>
        <v>1</v>
      </c>
      <c r="K291" s="164">
        <f>IF(C291="","",COUNTIFS(Başvuru!$C:$C,C291,Başvuru!$L:$L,"DÜZELTME",Başvuru!$A:$A,"&lt;&gt;"&amp;"",Başvuru!$F:$F,"&lt;&gt;"&amp;""))</f>
        <v>0</v>
      </c>
      <c r="L291" s="165">
        <f>IF(C291="","",COUNTIFS(Başvuru!$C:$C,C291,Başvuru!$L:$L,"KAEK",Başvuru!$A:$A,"&lt;&gt;"&amp;"",Başvuru!$F:$F,"&lt;&gt;"&amp;""))</f>
        <v>0</v>
      </c>
      <c r="M291" s="166">
        <f>IF(C291="","",COUNTIFS(Başvuru!$C:$C,C291,Başvuru!$L:$L,"GÖRÜŞ",Başvuru!$A:$A,"&lt;&gt;"&amp;"",Başvuru!$F:$F,"&lt;&gt;"&amp;""))</f>
        <v>0</v>
      </c>
      <c r="N291" s="167">
        <f>IF(C291="","",COUNTIFS(Başvuru!$C:$C,C291,Başvuru!$L:$L,"RET",Başvuru!$A:$A,"&lt;&gt;"&amp;"",Başvuru!$F:$F,"&lt;&gt;"&amp;""))</f>
        <v>0</v>
      </c>
      <c r="O291" s="168">
        <f>IF(C291="","",COUNTIFS(Başvuru!$C:$C,C291,Başvuru!$L:$L,"KAPSAM DIŞI",Başvuru!$A:$A,"&lt;&gt;"&amp;"",Başvuru!$F:$F,"&lt;&gt;"&amp;""))</f>
        <v>0</v>
      </c>
      <c r="P291" s="169">
        <f>IF(C291="","",COUNTIFS(Başvuru!$C:$C,C291,Başvuru!$L:$L,"GERİ ÇEKİLDİ",Başvuru!$A:$A,"&lt;&gt;"&amp;"",Başvuru!$F:$F,"&lt;&gt;"&amp;""))</f>
        <v>0</v>
      </c>
      <c r="Q291" s="170" t="str">
        <f>IFERROR(INDEX(Başvuru!$C$2:$C$1851,MATCH(286,Başvuru!$AB$2:$AB$1851,0)),"")</f>
        <v>Arş. Gör. Dr. Pınar YAVUZ TAZE</v>
      </c>
      <c r="R291" s="171">
        <f>IF(Q291="","",COUNTIFS(Başvuru!$C:$C,Q291,Başvuru!$A:$A,"&lt;&gt;"&amp;"",Başvuru!$F:$F,"&lt;&gt;"&amp;""))</f>
        <v>1</v>
      </c>
      <c r="S291" s="171">
        <f>IF(R291="","",RANK(R291,$R$6:$R$505,0)+COUNTIF($R$6:R291,R291)-1)</f>
        <v>296</v>
      </c>
    </row>
    <row r="292" spans="2:19" ht="23.25" customHeight="1" x14ac:dyDescent="0.25">
      <c r="B292" s="159">
        <v>287</v>
      </c>
      <c r="C292" s="160" t="str">
        <f>IFERROR(INDEX($Q$6:$Q$505,MATCH(287,$S$6:$S$505,0)),"")</f>
        <v>Prof. Dr. Hande TAYLAN ŞEKEROĞLU</v>
      </c>
      <c r="D292" s="161">
        <f>IF(C292="","",COUNTIFS(Başvuru!$C:$C,C292,Başvuru!$A:$A,"&lt;&gt;"&amp;"",Başvuru!$F:$F,"&lt;&gt;"&amp;""))</f>
        <v>1</v>
      </c>
      <c r="E292" s="159" t="str">
        <f>IF(C292="","-",IF(D292&gt;0,TEXT(D292/(COUNTIFS(Başvuru!$A:$A,"&lt;&gt;",Başvuru!$F:$F,"&lt;&gt;")-1)*100,"0.0")&amp;"%","-"))</f>
        <v>00%</v>
      </c>
      <c r="F292" s="162">
        <f>IF(C292="","",COUNTIFS(Başvuru!$C:$C,C292,Başvuru!$G:$G,"Bireysel Araştırma",Başvuru!$A:$A,"&lt;&gt;"&amp;"",Başvuru!$F:$F,"&lt;&gt;"&amp;""))</f>
        <v>1</v>
      </c>
      <c r="G292" s="162">
        <f>IF(C292="","",COUNTIFS(Başvuru!$C:$C,C292,Başvuru!$G:$G,"Uzmanlık Tezi",Başvuru!$A:$A,"&lt;&gt;"&amp;"",Başvuru!$F:$F,"&lt;&gt;"&amp;""))</f>
        <v>0</v>
      </c>
      <c r="H292" s="162">
        <f>IF(C292="","",COUNTIFS(Başvuru!$C:$C,C292,Başvuru!$G:$G,"Doktora Tezi",Başvuru!$A:$A,"&lt;&gt;"&amp;"",Başvuru!$F:$F,"&lt;&gt;"&amp;""))</f>
        <v>0</v>
      </c>
      <c r="I292" s="162">
        <f>IF(C292="","",COUNTIFS(Başvuru!$C:$C,C292,Başvuru!$G:$G,"Yüksek Lisans Tezi",Başvuru!$A:$A,"&lt;&gt;"&amp;"",Başvuru!$F:$F,"&lt;&gt;"&amp;""))</f>
        <v>0</v>
      </c>
      <c r="J292" s="163">
        <f>IF(C292="","",COUNTIFS(Başvuru!$C:$C,C292,Başvuru!$L:$L,"ONAY",Başvuru!$A:$A,"&lt;&gt;"&amp;"",Başvuru!$F:$F,"&lt;&gt;"&amp;""))</f>
        <v>0</v>
      </c>
      <c r="K292" s="164">
        <f>IF(C292="","",COUNTIFS(Başvuru!$C:$C,C292,Başvuru!$L:$L,"DÜZELTME",Başvuru!$A:$A,"&lt;&gt;"&amp;"",Başvuru!$F:$F,"&lt;&gt;"&amp;""))</f>
        <v>0</v>
      </c>
      <c r="L292" s="165">
        <f>IF(C292="","",COUNTIFS(Başvuru!$C:$C,C292,Başvuru!$L:$L,"KAEK",Başvuru!$A:$A,"&lt;&gt;"&amp;"",Başvuru!$F:$F,"&lt;&gt;"&amp;""))</f>
        <v>1</v>
      </c>
      <c r="M292" s="166">
        <f>IF(C292="","",COUNTIFS(Başvuru!$C:$C,C292,Başvuru!$L:$L,"GÖRÜŞ",Başvuru!$A:$A,"&lt;&gt;"&amp;"",Başvuru!$F:$F,"&lt;&gt;"&amp;""))</f>
        <v>0</v>
      </c>
      <c r="N292" s="167">
        <f>IF(C292="","",COUNTIFS(Başvuru!$C:$C,C292,Başvuru!$L:$L,"RET",Başvuru!$A:$A,"&lt;&gt;"&amp;"",Başvuru!$F:$F,"&lt;&gt;"&amp;""))</f>
        <v>0</v>
      </c>
      <c r="O292" s="168">
        <f>IF(C292="","",COUNTIFS(Başvuru!$C:$C,C292,Başvuru!$L:$L,"KAPSAM DIŞI",Başvuru!$A:$A,"&lt;&gt;"&amp;"",Başvuru!$F:$F,"&lt;&gt;"&amp;""))</f>
        <v>0</v>
      </c>
      <c r="P292" s="169">
        <f>IF(C292="","",COUNTIFS(Başvuru!$C:$C,C292,Başvuru!$L:$L,"GERİ ÇEKİLDİ",Başvuru!$A:$A,"&lt;&gt;"&amp;"",Başvuru!$F:$F,"&lt;&gt;"&amp;""))</f>
        <v>0</v>
      </c>
      <c r="Q292" s="170" t="str">
        <f>IFERROR(INDEX(Başvuru!$C$2:$C$1851,MATCH(287,Başvuru!$AB$2:$AB$1851,0)),"")</f>
        <v>Prof. Dr. Levent ÖZÇAKAR</v>
      </c>
      <c r="R292" s="171">
        <f>IF(Q292="","",COUNTIFS(Başvuru!$C:$C,Q292,Başvuru!$A:$A,"&lt;&gt;"&amp;"",Başvuru!$F:$F,"&lt;&gt;"&amp;""))</f>
        <v>1</v>
      </c>
      <c r="S292" s="171">
        <f>IF(R292="","",RANK(R292,$R$6:$R$505,0)+COUNTIF($R$6:R292,R292)-1)</f>
        <v>297</v>
      </c>
    </row>
    <row r="293" spans="2:19" ht="23.25" customHeight="1" x14ac:dyDescent="0.25">
      <c r="B293" s="159">
        <v>288</v>
      </c>
      <c r="C293" s="160" t="str">
        <f>IFERROR(INDEX($Q$6:$Q$505,MATCH(288,$S$6:$S$505,0)),"")</f>
        <v>Dr. Öğr. Üyesi Bekir ERDEVE</v>
      </c>
      <c r="D293" s="161">
        <f>IF(C293="","",COUNTIFS(Başvuru!$C:$C,C293,Başvuru!$A:$A,"&lt;&gt;"&amp;"",Başvuru!$F:$F,"&lt;&gt;"&amp;""))</f>
        <v>1</v>
      </c>
      <c r="E293" s="159" t="str">
        <f>IF(C293="","-",IF(D293&gt;0,TEXT(D293/(COUNTIFS(Başvuru!$A:$A,"&lt;&gt;",Başvuru!$F:$F,"&lt;&gt;")-1)*100,"0.0")&amp;"%","-"))</f>
        <v>00%</v>
      </c>
      <c r="F293" s="162">
        <f>IF(C293="","",COUNTIFS(Başvuru!$C:$C,C293,Başvuru!$G:$G,"Bireysel Araştırma",Başvuru!$A:$A,"&lt;&gt;"&amp;"",Başvuru!$F:$F,"&lt;&gt;"&amp;""))</f>
        <v>1</v>
      </c>
      <c r="G293" s="162">
        <f>IF(C293="","",COUNTIFS(Başvuru!$C:$C,C293,Başvuru!$G:$G,"Uzmanlık Tezi",Başvuru!$A:$A,"&lt;&gt;"&amp;"",Başvuru!$F:$F,"&lt;&gt;"&amp;""))</f>
        <v>0</v>
      </c>
      <c r="H293" s="162">
        <f>IF(C293="","",COUNTIFS(Başvuru!$C:$C,C293,Başvuru!$G:$G,"Doktora Tezi",Başvuru!$A:$A,"&lt;&gt;"&amp;"",Başvuru!$F:$F,"&lt;&gt;"&amp;""))</f>
        <v>0</v>
      </c>
      <c r="I293" s="162">
        <f>IF(C293="","",COUNTIFS(Başvuru!$C:$C,C293,Başvuru!$G:$G,"Yüksek Lisans Tezi",Başvuru!$A:$A,"&lt;&gt;"&amp;"",Başvuru!$F:$F,"&lt;&gt;"&amp;""))</f>
        <v>0</v>
      </c>
      <c r="J293" s="163">
        <f>IF(C293="","",COUNTIFS(Başvuru!$C:$C,C293,Başvuru!$L:$L,"ONAY",Başvuru!$A:$A,"&lt;&gt;"&amp;"",Başvuru!$F:$F,"&lt;&gt;"&amp;""))</f>
        <v>0</v>
      </c>
      <c r="K293" s="164">
        <f>IF(C293="","",COUNTIFS(Başvuru!$C:$C,C293,Başvuru!$L:$L,"DÜZELTME",Başvuru!$A:$A,"&lt;&gt;"&amp;"",Başvuru!$F:$F,"&lt;&gt;"&amp;""))</f>
        <v>1</v>
      </c>
      <c r="L293" s="165">
        <f>IF(C293="","",COUNTIFS(Başvuru!$C:$C,C293,Başvuru!$L:$L,"KAEK",Başvuru!$A:$A,"&lt;&gt;"&amp;"",Başvuru!$F:$F,"&lt;&gt;"&amp;""))</f>
        <v>0</v>
      </c>
      <c r="M293" s="166">
        <f>IF(C293="","",COUNTIFS(Başvuru!$C:$C,C293,Başvuru!$L:$L,"GÖRÜŞ",Başvuru!$A:$A,"&lt;&gt;"&amp;"",Başvuru!$F:$F,"&lt;&gt;"&amp;""))</f>
        <v>0</v>
      </c>
      <c r="N293" s="167">
        <f>IF(C293="","",COUNTIFS(Başvuru!$C:$C,C293,Başvuru!$L:$L,"RET",Başvuru!$A:$A,"&lt;&gt;"&amp;"",Başvuru!$F:$F,"&lt;&gt;"&amp;""))</f>
        <v>0</v>
      </c>
      <c r="O293" s="168">
        <f>IF(C293="","",COUNTIFS(Başvuru!$C:$C,C293,Başvuru!$L:$L,"KAPSAM DIŞI",Başvuru!$A:$A,"&lt;&gt;"&amp;"",Başvuru!$F:$F,"&lt;&gt;"&amp;""))</f>
        <v>0</v>
      </c>
      <c r="P293" s="169">
        <f>IF(C293="","",COUNTIFS(Başvuru!$C:$C,C293,Başvuru!$L:$L,"GERİ ÇEKİLDİ",Başvuru!$A:$A,"&lt;&gt;"&amp;"",Başvuru!$F:$F,"&lt;&gt;"&amp;""))</f>
        <v>0</v>
      </c>
      <c r="Q293" s="170" t="str">
        <f>IFERROR(INDEX(Başvuru!$C$2:$C$1851,MATCH(288,Başvuru!$AB$2:$AB$1851,0)),"")</f>
        <v>Doç. Dr. Elif Günay BULUT</v>
      </c>
      <c r="R293" s="171">
        <f>IF(Q293="","",COUNTIFS(Başvuru!$C:$C,Q293,Başvuru!$A:$A,"&lt;&gt;"&amp;"",Başvuru!$F:$F,"&lt;&gt;"&amp;""))</f>
        <v>1</v>
      </c>
      <c r="S293" s="171">
        <f>IF(R293="","",RANK(R293,$R$6:$R$505,0)+COUNTIF($R$6:R293,R293)-1)</f>
        <v>298</v>
      </c>
    </row>
    <row r="294" spans="2:19" ht="23.25" customHeight="1" x14ac:dyDescent="0.25">
      <c r="B294" s="159">
        <v>289</v>
      </c>
      <c r="C294" s="160" t="str">
        <f>IFERROR(INDEX($Q$6:$Q$505,MATCH(289,$S$6:$S$505,0)),"")</f>
        <v>Prof. Dr. Mustafa BERKER</v>
      </c>
      <c r="D294" s="161">
        <f>IF(C294="","",COUNTIFS(Başvuru!$C:$C,C294,Başvuru!$A:$A,"&lt;&gt;"&amp;"",Başvuru!$F:$F,"&lt;&gt;"&amp;""))</f>
        <v>1</v>
      </c>
      <c r="E294" s="159" t="str">
        <f>IF(C294="","-",IF(D294&gt;0,TEXT(D294/(COUNTIFS(Başvuru!$A:$A,"&lt;&gt;",Başvuru!$F:$F,"&lt;&gt;")-1)*100,"0.0")&amp;"%","-"))</f>
        <v>00%</v>
      </c>
      <c r="F294" s="162">
        <f>IF(C294="","",COUNTIFS(Başvuru!$C:$C,C294,Başvuru!$G:$G,"Bireysel Araştırma",Başvuru!$A:$A,"&lt;&gt;"&amp;"",Başvuru!$F:$F,"&lt;&gt;"&amp;""))</f>
        <v>0</v>
      </c>
      <c r="G294" s="162">
        <f>IF(C294="","",COUNTIFS(Başvuru!$C:$C,C294,Başvuru!$G:$G,"Uzmanlık Tezi",Başvuru!$A:$A,"&lt;&gt;"&amp;"",Başvuru!$F:$F,"&lt;&gt;"&amp;""))</f>
        <v>0</v>
      </c>
      <c r="H294" s="162">
        <f>IF(C294="","",COUNTIFS(Başvuru!$C:$C,C294,Başvuru!$G:$G,"Doktora Tezi",Başvuru!$A:$A,"&lt;&gt;"&amp;"",Başvuru!$F:$F,"&lt;&gt;"&amp;""))</f>
        <v>0</v>
      </c>
      <c r="I294" s="162">
        <f>IF(C294="","",COUNTIFS(Başvuru!$C:$C,C294,Başvuru!$G:$G,"Yüksek Lisans Tezi",Başvuru!$A:$A,"&lt;&gt;"&amp;"",Başvuru!$F:$F,"&lt;&gt;"&amp;""))</f>
        <v>1</v>
      </c>
      <c r="J294" s="163">
        <f>IF(C294="","",COUNTIFS(Başvuru!$C:$C,C294,Başvuru!$L:$L,"ONAY",Başvuru!$A:$A,"&lt;&gt;"&amp;"",Başvuru!$F:$F,"&lt;&gt;"&amp;""))</f>
        <v>1</v>
      </c>
      <c r="K294" s="164">
        <f>IF(C294="","",COUNTIFS(Başvuru!$C:$C,C294,Başvuru!$L:$L,"DÜZELTME",Başvuru!$A:$A,"&lt;&gt;"&amp;"",Başvuru!$F:$F,"&lt;&gt;"&amp;""))</f>
        <v>0</v>
      </c>
      <c r="L294" s="165">
        <f>IF(C294="","",COUNTIFS(Başvuru!$C:$C,C294,Başvuru!$L:$L,"KAEK",Başvuru!$A:$A,"&lt;&gt;"&amp;"",Başvuru!$F:$F,"&lt;&gt;"&amp;""))</f>
        <v>0</v>
      </c>
      <c r="M294" s="166">
        <f>IF(C294="","",COUNTIFS(Başvuru!$C:$C,C294,Başvuru!$L:$L,"GÖRÜŞ",Başvuru!$A:$A,"&lt;&gt;"&amp;"",Başvuru!$F:$F,"&lt;&gt;"&amp;""))</f>
        <v>0</v>
      </c>
      <c r="N294" s="167">
        <f>IF(C294="","",COUNTIFS(Başvuru!$C:$C,C294,Başvuru!$L:$L,"RET",Başvuru!$A:$A,"&lt;&gt;"&amp;"",Başvuru!$F:$F,"&lt;&gt;"&amp;""))</f>
        <v>0</v>
      </c>
      <c r="O294" s="168">
        <f>IF(C294="","",COUNTIFS(Başvuru!$C:$C,C294,Başvuru!$L:$L,"KAPSAM DIŞI",Başvuru!$A:$A,"&lt;&gt;"&amp;"",Başvuru!$F:$F,"&lt;&gt;"&amp;""))</f>
        <v>0</v>
      </c>
      <c r="P294" s="169">
        <f>IF(C294="","",COUNTIFS(Başvuru!$C:$C,C294,Başvuru!$L:$L,"GERİ ÇEKİLDİ",Başvuru!$A:$A,"&lt;&gt;"&amp;"",Başvuru!$F:$F,"&lt;&gt;"&amp;""))</f>
        <v>0</v>
      </c>
      <c r="Q294" s="170" t="str">
        <f>IFERROR(INDEX(Başvuru!$C$2:$C$1851,MATCH(289,Başvuru!$AB$2:$AB$1851,0)),"")</f>
        <v>Prof. Dr. Ahmet SERPER</v>
      </c>
      <c r="R294" s="171">
        <f>IF(Q294="","",COUNTIFS(Başvuru!$C:$C,Q294,Başvuru!$A:$A,"&lt;&gt;"&amp;"",Başvuru!$F:$F,"&lt;&gt;"&amp;""))</f>
        <v>2</v>
      </c>
      <c r="S294" s="171">
        <f>IF(R294="","",RANK(R294,$R$6:$R$505,0)+COUNTIF($R$6:R294,R294)-1)</f>
        <v>149</v>
      </c>
    </row>
    <row r="295" spans="2:19" ht="23.25" customHeight="1" x14ac:dyDescent="0.25">
      <c r="B295" s="159">
        <v>290</v>
      </c>
      <c r="C295" s="160" t="str">
        <f>IFERROR(INDEX($Q$6:$Q$505,MATCH(290,$S$6:$S$505,0)),"")</f>
        <v>Doç. Dr. Evren SERTALP</v>
      </c>
      <c r="D295" s="161">
        <f>IF(C295="","",COUNTIFS(Başvuru!$C:$C,C295,Başvuru!$A:$A,"&lt;&gt;"&amp;"",Başvuru!$F:$F,"&lt;&gt;"&amp;""))</f>
        <v>1</v>
      </c>
      <c r="E295" s="159" t="str">
        <f>IF(C295="","-",IF(D295&gt;0,TEXT(D295/(COUNTIFS(Başvuru!$A:$A,"&lt;&gt;",Başvuru!$F:$F,"&lt;&gt;")-1)*100,"0.0")&amp;"%","-"))</f>
        <v>00%</v>
      </c>
      <c r="F295" s="162">
        <f>IF(C295="","",COUNTIFS(Başvuru!$C:$C,C295,Başvuru!$G:$G,"Bireysel Araştırma",Başvuru!$A:$A,"&lt;&gt;"&amp;"",Başvuru!$F:$F,"&lt;&gt;"&amp;""))</f>
        <v>0</v>
      </c>
      <c r="G295" s="162">
        <f>IF(C295="","",COUNTIFS(Başvuru!$C:$C,C295,Başvuru!$G:$G,"Uzmanlık Tezi",Başvuru!$A:$A,"&lt;&gt;"&amp;"",Başvuru!$F:$F,"&lt;&gt;"&amp;""))</f>
        <v>0</v>
      </c>
      <c r="H295" s="162">
        <f>IF(C295="","",COUNTIFS(Başvuru!$C:$C,C295,Başvuru!$G:$G,"Doktora Tezi",Başvuru!$A:$A,"&lt;&gt;"&amp;"",Başvuru!$F:$F,"&lt;&gt;"&amp;""))</f>
        <v>0</v>
      </c>
      <c r="I295" s="162">
        <f>IF(C295="","",COUNTIFS(Başvuru!$C:$C,C295,Başvuru!$G:$G,"Yüksek Lisans Tezi",Başvuru!$A:$A,"&lt;&gt;"&amp;"",Başvuru!$F:$F,"&lt;&gt;"&amp;""))</f>
        <v>1</v>
      </c>
      <c r="J295" s="163">
        <f>IF(C295="","",COUNTIFS(Başvuru!$C:$C,C295,Başvuru!$L:$L,"ONAY",Başvuru!$A:$A,"&lt;&gt;"&amp;"",Başvuru!$F:$F,"&lt;&gt;"&amp;""))</f>
        <v>0</v>
      </c>
      <c r="K295" s="164">
        <f>IF(C295="","",COUNTIFS(Başvuru!$C:$C,C295,Başvuru!$L:$L,"DÜZELTME",Başvuru!$A:$A,"&lt;&gt;"&amp;"",Başvuru!$F:$F,"&lt;&gt;"&amp;""))</f>
        <v>1</v>
      </c>
      <c r="L295" s="165">
        <f>IF(C295="","",COUNTIFS(Başvuru!$C:$C,C295,Başvuru!$L:$L,"KAEK",Başvuru!$A:$A,"&lt;&gt;"&amp;"",Başvuru!$F:$F,"&lt;&gt;"&amp;""))</f>
        <v>0</v>
      </c>
      <c r="M295" s="166">
        <f>IF(C295="","",COUNTIFS(Başvuru!$C:$C,C295,Başvuru!$L:$L,"GÖRÜŞ",Başvuru!$A:$A,"&lt;&gt;"&amp;"",Başvuru!$F:$F,"&lt;&gt;"&amp;""))</f>
        <v>0</v>
      </c>
      <c r="N295" s="167">
        <f>IF(C295="","",COUNTIFS(Başvuru!$C:$C,C295,Başvuru!$L:$L,"RET",Başvuru!$A:$A,"&lt;&gt;"&amp;"",Başvuru!$F:$F,"&lt;&gt;"&amp;""))</f>
        <v>0</v>
      </c>
      <c r="O295" s="168">
        <f>IF(C295="","",COUNTIFS(Başvuru!$C:$C,C295,Başvuru!$L:$L,"KAPSAM DIŞI",Başvuru!$A:$A,"&lt;&gt;"&amp;"",Başvuru!$F:$F,"&lt;&gt;"&amp;""))</f>
        <v>0</v>
      </c>
      <c r="P295" s="169">
        <f>IF(C295="","",COUNTIFS(Başvuru!$C:$C,C295,Başvuru!$L:$L,"GERİ ÇEKİLDİ",Başvuru!$A:$A,"&lt;&gt;"&amp;"",Başvuru!$F:$F,"&lt;&gt;"&amp;""))</f>
        <v>0</v>
      </c>
      <c r="Q295" s="170" t="str">
        <f>IFERROR(INDEX(Başvuru!$C$2:$C$1851,MATCH(290,Başvuru!$AB$2:$AB$1851,0)),"")</f>
        <v>Doç. Dr. İsmail UYANIK</v>
      </c>
      <c r="R295" s="171">
        <f>IF(Q295="","",COUNTIFS(Başvuru!$C:$C,Q295,Başvuru!$A:$A,"&lt;&gt;"&amp;"",Başvuru!$F:$F,"&lt;&gt;"&amp;""))</f>
        <v>1</v>
      </c>
      <c r="S295" s="171">
        <f>IF(R295="","",RANK(R295,$R$6:$R$505,0)+COUNTIF($R$6:R295,R295)-1)</f>
        <v>299</v>
      </c>
    </row>
    <row r="296" spans="2:19" ht="23.25" customHeight="1" x14ac:dyDescent="0.25">
      <c r="B296" s="159">
        <v>291</v>
      </c>
      <c r="C296" s="160" t="str">
        <f>IFERROR(INDEX($Q$6:$Q$505,MATCH(291,$S$6:$S$505,0)),"")</f>
        <v>Prof. Dr. Ömer Alper GÜRLEK</v>
      </c>
      <c r="D296" s="161">
        <f>IF(C296="","",COUNTIFS(Başvuru!$C:$C,C296,Başvuru!$A:$A,"&lt;&gt;"&amp;"",Başvuru!$F:$F,"&lt;&gt;"&amp;""))</f>
        <v>1</v>
      </c>
      <c r="E296" s="159" t="str">
        <f>IF(C296="","-",IF(D296&gt;0,TEXT(D296/(COUNTIFS(Başvuru!$A:$A,"&lt;&gt;",Başvuru!$F:$F,"&lt;&gt;")-1)*100,"0.0")&amp;"%","-"))</f>
        <v>00%</v>
      </c>
      <c r="F296" s="162">
        <f>IF(C296="","",COUNTIFS(Başvuru!$C:$C,C296,Başvuru!$G:$G,"Bireysel Araştırma",Başvuru!$A:$A,"&lt;&gt;"&amp;"",Başvuru!$F:$F,"&lt;&gt;"&amp;""))</f>
        <v>1</v>
      </c>
      <c r="G296" s="162">
        <f>IF(C296="","",COUNTIFS(Başvuru!$C:$C,C296,Başvuru!$G:$G,"Uzmanlık Tezi",Başvuru!$A:$A,"&lt;&gt;"&amp;"",Başvuru!$F:$F,"&lt;&gt;"&amp;""))</f>
        <v>0</v>
      </c>
      <c r="H296" s="162">
        <f>IF(C296="","",COUNTIFS(Başvuru!$C:$C,C296,Başvuru!$G:$G,"Doktora Tezi",Başvuru!$A:$A,"&lt;&gt;"&amp;"",Başvuru!$F:$F,"&lt;&gt;"&amp;""))</f>
        <v>0</v>
      </c>
      <c r="I296" s="162">
        <f>IF(C296="","",COUNTIFS(Başvuru!$C:$C,C296,Başvuru!$G:$G,"Yüksek Lisans Tezi",Başvuru!$A:$A,"&lt;&gt;"&amp;"",Başvuru!$F:$F,"&lt;&gt;"&amp;""))</f>
        <v>0</v>
      </c>
      <c r="J296" s="163">
        <f>IF(C296="","",COUNTIFS(Başvuru!$C:$C,C296,Başvuru!$L:$L,"ONAY",Başvuru!$A:$A,"&lt;&gt;"&amp;"",Başvuru!$F:$F,"&lt;&gt;"&amp;""))</f>
        <v>0</v>
      </c>
      <c r="K296" s="164">
        <f>IF(C296="","",COUNTIFS(Başvuru!$C:$C,C296,Başvuru!$L:$L,"DÜZELTME",Başvuru!$A:$A,"&lt;&gt;"&amp;"",Başvuru!$F:$F,"&lt;&gt;"&amp;""))</f>
        <v>1</v>
      </c>
      <c r="L296" s="165">
        <f>IF(C296="","",COUNTIFS(Başvuru!$C:$C,C296,Başvuru!$L:$L,"KAEK",Başvuru!$A:$A,"&lt;&gt;"&amp;"",Başvuru!$F:$F,"&lt;&gt;"&amp;""))</f>
        <v>0</v>
      </c>
      <c r="M296" s="166">
        <f>IF(C296="","",COUNTIFS(Başvuru!$C:$C,C296,Başvuru!$L:$L,"GÖRÜŞ",Başvuru!$A:$A,"&lt;&gt;"&amp;"",Başvuru!$F:$F,"&lt;&gt;"&amp;""))</f>
        <v>0</v>
      </c>
      <c r="N296" s="167">
        <f>IF(C296="","",COUNTIFS(Başvuru!$C:$C,C296,Başvuru!$L:$L,"RET",Başvuru!$A:$A,"&lt;&gt;"&amp;"",Başvuru!$F:$F,"&lt;&gt;"&amp;""))</f>
        <v>0</v>
      </c>
      <c r="O296" s="168">
        <f>IF(C296="","",COUNTIFS(Başvuru!$C:$C,C296,Başvuru!$L:$L,"KAPSAM DIŞI",Başvuru!$A:$A,"&lt;&gt;"&amp;"",Başvuru!$F:$F,"&lt;&gt;"&amp;""))</f>
        <v>0</v>
      </c>
      <c r="P296" s="169">
        <f>IF(C296="","",COUNTIFS(Başvuru!$C:$C,C296,Başvuru!$L:$L,"GERİ ÇEKİLDİ",Başvuru!$A:$A,"&lt;&gt;"&amp;"",Başvuru!$F:$F,"&lt;&gt;"&amp;""))</f>
        <v>0</v>
      </c>
      <c r="Q296" s="170" t="str">
        <f>IFERROR(INDEX(Başvuru!$C$2:$C$1851,MATCH(291,Başvuru!$AB$2:$AB$1851,0)),"")</f>
        <v>Prof. Dr. Selin AYTAÇ EYÜPOĞLU</v>
      </c>
      <c r="R296" s="171">
        <f>IF(Q296="","",COUNTIFS(Başvuru!$C:$C,Q296,Başvuru!$A:$A,"&lt;&gt;"&amp;"",Başvuru!$F:$F,"&lt;&gt;"&amp;""))</f>
        <v>3</v>
      </c>
      <c r="S296" s="171">
        <f>IF(R296="","",RANK(R296,$R$6:$R$505,0)+COUNTIF($R$6:R296,R296)-1)</f>
        <v>82</v>
      </c>
    </row>
    <row r="297" spans="2:19" ht="23.25" customHeight="1" x14ac:dyDescent="0.25">
      <c r="B297" s="159">
        <v>292</v>
      </c>
      <c r="C297" s="160" t="str">
        <f>IFERROR(INDEX($Q$6:$Q$505,MATCH(292,$S$6:$S$505,0)),"")</f>
        <v>Doç. Dr. Nursel AKKAYA</v>
      </c>
      <c r="D297" s="161">
        <f>IF(C297="","",COUNTIFS(Başvuru!$C:$C,C297,Başvuru!$A:$A,"&lt;&gt;"&amp;"",Başvuru!$F:$F,"&lt;&gt;"&amp;""))</f>
        <v>1</v>
      </c>
      <c r="E297" s="159" t="str">
        <f>IF(C297="","-",IF(D297&gt;0,TEXT(D297/(COUNTIFS(Başvuru!$A:$A,"&lt;&gt;",Başvuru!$F:$F,"&lt;&gt;")-1)*100,"0.0")&amp;"%","-"))</f>
        <v>00%</v>
      </c>
      <c r="F297" s="162">
        <f>IF(C297="","",COUNTIFS(Başvuru!$C:$C,C297,Başvuru!$G:$G,"Bireysel Araştırma",Başvuru!$A:$A,"&lt;&gt;"&amp;"",Başvuru!$F:$F,"&lt;&gt;"&amp;""))</f>
        <v>0</v>
      </c>
      <c r="G297" s="162">
        <f>IF(C297="","",COUNTIFS(Başvuru!$C:$C,C297,Başvuru!$G:$G,"Uzmanlık Tezi",Başvuru!$A:$A,"&lt;&gt;"&amp;"",Başvuru!$F:$F,"&lt;&gt;"&amp;""))</f>
        <v>1</v>
      </c>
      <c r="H297" s="162">
        <f>IF(C297="","",COUNTIFS(Başvuru!$C:$C,C297,Başvuru!$G:$G,"Doktora Tezi",Başvuru!$A:$A,"&lt;&gt;"&amp;"",Başvuru!$F:$F,"&lt;&gt;"&amp;""))</f>
        <v>0</v>
      </c>
      <c r="I297" s="162">
        <f>IF(C297="","",COUNTIFS(Başvuru!$C:$C,C297,Başvuru!$G:$G,"Yüksek Lisans Tezi",Başvuru!$A:$A,"&lt;&gt;"&amp;"",Başvuru!$F:$F,"&lt;&gt;"&amp;""))</f>
        <v>0</v>
      </c>
      <c r="J297" s="163">
        <f>IF(C297="","",COUNTIFS(Başvuru!$C:$C,C297,Başvuru!$L:$L,"ONAY",Başvuru!$A:$A,"&lt;&gt;"&amp;"",Başvuru!$F:$F,"&lt;&gt;"&amp;""))</f>
        <v>1</v>
      </c>
      <c r="K297" s="164">
        <f>IF(C297="","",COUNTIFS(Başvuru!$C:$C,C297,Başvuru!$L:$L,"DÜZELTME",Başvuru!$A:$A,"&lt;&gt;"&amp;"",Başvuru!$F:$F,"&lt;&gt;"&amp;""))</f>
        <v>0</v>
      </c>
      <c r="L297" s="165">
        <f>IF(C297="","",COUNTIFS(Başvuru!$C:$C,C297,Başvuru!$L:$L,"KAEK",Başvuru!$A:$A,"&lt;&gt;"&amp;"",Başvuru!$F:$F,"&lt;&gt;"&amp;""))</f>
        <v>0</v>
      </c>
      <c r="M297" s="166">
        <f>IF(C297="","",COUNTIFS(Başvuru!$C:$C,C297,Başvuru!$L:$L,"GÖRÜŞ",Başvuru!$A:$A,"&lt;&gt;"&amp;"",Başvuru!$F:$F,"&lt;&gt;"&amp;""))</f>
        <v>0</v>
      </c>
      <c r="N297" s="167">
        <f>IF(C297="","",COUNTIFS(Başvuru!$C:$C,C297,Başvuru!$L:$L,"RET",Başvuru!$A:$A,"&lt;&gt;"&amp;"",Başvuru!$F:$F,"&lt;&gt;"&amp;""))</f>
        <v>0</v>
      </c>
      <c r="O297" s="168">
        <f>IF(C297="","",COUNTIFS(Başvuru!$C:$C,C297,Başvuru!$L:$L,"KAPSAM DIŞI",Başvuru!$A:$A,"&lt;&gt;"&amp;"",Başvuru!$F:$F,"&lt;&gt;"&amp;""))</f>
        <v>0</v>
      </c>
      <c r="P297" s="169">
        <f>IF(C297="","",COUNTIFS(Başvuru!$C:$C,C297,Başvuru!$L:$L,"GERİ ÇEKİLDİ",Başvuru!$A:$A,"&lt;&gt;"&amp;"",Başvuru!$F:$F,"&lt;&gt;"&amp;""))</f>
        <v>0</v>
      </c>
      <c r="Q297" s="170" t="str">
        <f>IFERROR(INDEX(Başvuru!$C$2:$C$1851,MATCH(292,Başvuru!$AB$2:$AB$1851,0)),"")</f>
        <v>Prof. Dr. B. Barış KUŞKONMAZ</v>
      </c>
      <c r="R297" s="171">
        <f>IF(Q297="","",COUNTIFS(Başvuru!$C:$C,Q297,Başvuru!$A:$A,"&lt;&gt;"&amp;"",Başvuru!$F:$F,"&lt;&gt;"&amp;""))</f>
        <v>1</v>
      </c>
      <c r="S297" s="171">
        <f>IF(R297="","",RANK(R297,$R$6:$R$505,0)+COUNTIF($R$6:R297,R297)-1)</f>
        <v>300</v>
      </c>
    </row>
    <row r="298" spans="2:19" ht="23.25" customHeight="1" x14ac:dyDescent="0.25">
      <c r="B298" s="159">
        <v>293</v>
      </c>
      <c r="C298" s="160" t="str">
        <f>IFERROR(INDEX($Q$6:$Q$505,MATCH(293,$S$6:$S$505,0)),"")</f>
        <v>Öğr. Gör. Dr. Kemal SARUHAN</v>
      </c>
      <c r="D298" s="161">
        <f>IF(C298="","",COUNTIFS(Başvuru!$C:$C,C298,Başvuru!$A:$A,"&lt;&gt;"&amp;"",Başvuru!$F:$F,"&lt;&gt;"&amp;""))</f>
        <v>1</v>
      </c>
      <c r="E298" s="159" t="str">
        <f>IF(C298="","-",IF(D298&gt;0,TEXT(D298/(COUNTIFS(Başvuru!$A:$A,"&lt;&gt;",Başvuru!$F:$F,"&lt;&gt;")-1)*100,"0.0")&amp;"%","-"))</f>
        <v>00%</v>
      </c>
      <c r="F298" s="162">
        <f>IF(C298="","",COUNTIFS(Başvuru!$C:$C,C298,Başvuru!$G:$G,"Bireysel Araştırma",Başvuru!$A:$A,"&lt;&gt;"&amp;"",Başvuru!$F:$F,"&lt;&gt;"&amp;""))</f>
        <v>1</v>
      </c>
      <c r="G298" s="162">
        <f>IF(C298="","",COUNTIFS(Başvuru!$C:$C,C298,Başvuru!$G:$G,"Uzmanlık Tezi",Başvuru!$A:$A,"&lt;&gt;"&amp;"",Başvuru!$F:$F,"&lt;&gt;"&amp;""))</f>
        <v>0</v>
      </c>
      <c r="H298" s="162">
        <f>IF(C298="","",COUNTIFS(Başvuru!$C:$C,C298,Başvuru!$G:$G,"Doktora Tezi",Başvuru!$A:$A,"&lt;&gt;"&amp;"",Başvuru!$F:$F,"&lt;&gt;"&amp;""))</f>
        <v>0</v>
      </c>
      <c r="I298" s="162">
        <f>IF(C298="","",COUNTIFS(Başvuru!$C:$C,C298,Başvuru!$G:$G,"Yüksek Lisans Tezi",Başvuru!$A:$A,"&lt;&gt;"&amp;"",Başvuru!$F:$F,"&lt;&gt;"&amp;""))</f>
        <v>0</v>
      </c>
      <c r="J298" s="163">
        <f>IF(C298="","",COUNTIFS(Başvuru!$C:$C,C298,Başvuru!$L:$L,"ONAY",Başvuru!$A:$A,"&lt;&gt;"&amp;"",Başvuru!$F:$F,"&lt;&gt;"&amp;""))</f>
        <v>1</v>
      </c>
      <c r="K298" s="164">
        <f>IF(C298="","",COUNTIFS(Başvuru!$C:$C,C298,Başvuru!$L:$L,"DÜZELTME",Başvuru!$A:$A,"&lt;&gt;"&amp;"",Başvuru!$F:$F,"&lt;&gt;"&amp;""))</f>
        <v>0</v>
      </c>
      <c r="L298" s="165">
        <f>IF(C298="","",COUNTIFS(Başvuru!$C:$C,C298,Başvuru!$L:$L,"KAEK",Başvuru!$A:$A,"&lt;&gt;"&amp;"",Başvuru!$F:$F,"&lt;&gt;"&amp;""))</f>
        <v>0</v>
      </c>
      <c r="M298" s="166">
        <f>IF(C298="","",COUNTIFS(Başvuru!$C:$C,C298,Başvuru!$L:$L,"GÖRÜŞ",Başvuru!$A:$A,"&lt;&gt;"&amp;"",Başvuru!$F:$F,"&lt;&gt;"&amp;""))</f>
        <v>0</v>
      </c>
      <c r="N298" s="167">
        <f>IF(C298="","",COUNTIFS(Başvuru!$C:$C,C298,Başvuru!$L:$L,"RET",Başvuru!$A:$A,"&lt;&gt;"&amp;"",Başvuru!$F:$F,"&lt;&gt;"&amp;""))</f>
        <v>0</v>
      </c>
      <c r="O298" s="168">
        <f>IF(C298="","",COUNTIFS(Başvuru!$C:$C,C298,Başvuru!$L:$L,"KAPSAM DIŞI",Başvuru!$A:$A,"&lt;&gt;"&amp;"",Başvuru!$F:$F,"&lt;&gt;"&amp;""))</f>
        <v>0</v>
      </c>
      <c r="P298" s="169">
        <f>IF(C298="","",COUNTIFS(Başvuru!$C:$C,C298,Başvuru!$L:$L,"GERİ ÇEKİLDİ",Başvuru!$A:$A,"&lt;&gt;"&amp;"",Başvuru!$F:$F,"&lt;&gt;"&amp;""))</f>
        <v>0</v>
      </c>
      <c r="Q298" s="170" t="str">
        <f>IFERROR(INDEX(Başvuru!$C$2:$C$1851,MATCH(293,Başvuru!$AB$2:$AB$1851,0)),"")</f>
        <v>Prof. Dr. Yelda BİLGİNER</v>
      </c>
      <c r="R298" s="171">
        <f>IF(Q298="","",COUNTIFS(Başvuru!$C:$C,Q298,Başvuru!$A:$A,"&lt;&gt;"&amp;"",Başvuru!$F:$F,"&lt;&gt;"&amp;""))</f>
        <v>1</v>
      </c>
      <c r="S298" s="171">
        <f>IF(R298="","",RANK(R298,$R$6:$R$505,0)+COUNTIF($R$6:R298,R298)-1)</f>
        <v>301</v>
      </c>
    </row>
    <row r="299" spans="2:19" ht="23.25" customHeight="1" x14ac:dyDescent="0.25">
      <c r="B299" s="159">
        <v>294</v>
      </c>
      <c r="C299" s="160" t="str">
        <f>IFERROR(INDEX($Q$6:$Q$505,MATCH(294,$S$6:$S$505,0)),"")</f>
        <v>Dr. Öğr. Gör. Tuğçe TAŞKINDERE ABBASOĞLU</v>
      </c>
      <c r="D299" s="161">
        <f>IF(C299="","",COUNTIFS(Başvuru!$C:$C,C299,Başvuru!$A:$A,"&lt;&gt;"&amp;"",Başvuru!$F:$F,"&lt;&gt;"&amp;""))</f>
        <v>1</v>
      </c>
      <c r="E299" s="159" t="str">
        <f>IF(C299="","-",IF(D299&gt;0,TEXT(D299/(COUNTIFS(Başvuru!$A:$A,"&lt;&gt;",Başvuru!$F:$F,"&lt;&gt;")-1)*100,"0.0")&amp;"%","-"))</f>
        <v>00%</v>
      </c>
      <c r="F299" s="162">
        <f>IF(C299="","",COUNTIFS(Başvuru!$C:$C,C299,Başvuru!$G:$G,"Bireysel Araştırma",Başvuru!$A:$A,"&lt;&gt;"&amp;"",Başvuru!$F:$F,"&lt;&gt;"&amp;""))</f>
        <v>1</v>
      </c>
      <c r="G299" s="162">
        <f>IF(C299="","",COUNTIFS(Başvuru!$C:$C,C299,Başvuru!$G:$G,"Uzmanlık Tezi",Başvuru!$A:$A,"&lt;&gt;"&amp;"",Başvuru!$F:$F,"&lt;&gt;"&amp;""))</f>
        <v>0</v>
      </c>
      <c r="H299" s="162">
        <f>IF(C299="","",COUNTIFS(Başvuru!$C:$C,C299,Başvuru!$G:$G,"Doktora Tezi",Başvuru!$A:$A,"&lt;&gt;"&amp;"",Başvuru!$F:$F,"&lt;&gt;"&amp;""))</f>
        <v>0</v>
      </c>
      <c r="I299" s="162">
        <f>IF(C299="","",COUNTIFS(Başvuru!$C:$C,C299,Başvuru!$G:$G,"Yüksek Lisans Tezi",Başvuru!$A:$A,"&lt;&gt;"&amp;"",Başvuru!$F:$F,"&lt;&gt;"&amp;""))</f>
        <v>0</v>
      </c>
      <c r="J299" s="163">
        <f>IF(C299="","",COUNTIFS(Başvuru!$C:$C,C299,Başvuru!$L:$L,"ONAY",Başvuru!$A:$A,"&lt;&gt;"&amp;"",Başvuru!$F:$F,"&lt;&gt;"&amp;""))</f>
        <v>1</v>
      </c>
      <c r="K299" s="164">
        <f>IF(C299="","",COUNTIFS(Başvuru!$C:$C,C299,Başvuru!$L:$L,"DÜZELTME",Başvuru!$A:$A,"&lt;&gt;"&amp;"",Başvuru!$F:$F,"&lt;&gt;"&amp;""))</f>
        <v>0</v>
      </c>
      <c r="L299" s="165">
        <f>IF(C299="","",COUNTIFS(Başvuru!$C:$C,C299,Başvuru!$L:$L,"KAEK",Başvuru!$A:$A,"&lt;&gt;"&amp;"",Başvuru!$F:$F,"&lt;&gt;"&amp;""))</f>
        <v>0</v>
      </c>
      <c r="M299" s="166">
        <f>IF(C299="","",COUNTIFS(Başvuru!$C:$C,C299,Başvuru!$L:$L,"GÖRÜŞ",Başvuru!$A:$A,"&lt;&gt;"&amp;"",Başvuru!$F:$F,"&lt;&gt;"&amp;""))</f>
        <v>0</v>
      </c>
      <c r="N299" s="167">
        <f>IF(C299="","",COUNTIFS(Başvuru!$C:$C,C299,Başvuru!$L:$L,"RET",Başvuru!$A:$A,"&lt;&gt;"&amp;"",Başvuru!$F:$F,"&lt;&gt;"&amp;""))</f>
        <v>0</v>
      </c>
      <c r="O299" s="168">
        <f>IF(C299="","",COUNTIFS(Başvuru!$C:$C,C299,Başvuru!$L:$L,"KAPSAM DIŞI",Başvuru!$A:$A,"&lt;&gt;"&amp;"",Başvuru!$F:$F,"&lt;&gt;"&amp;""))</f>
        <v>0</v>
      </c>
      <c r="P299" s="169">
        <f>IF(C299="","",COUNTIFS(Başvuru!$C:$C,C299,Başvuru!$L:$L,"GERİ ÇEKİLDİ",Başvuru!$A:$A,"&lt;&gt;"&amp;"",Başvuru!$F:$F,"&lt;&gt;"&amp;""))</f>
        <v>0</v>
      </c>
      <c r="Q299" s="170" t="str">
        <f>IFERROR(INDEX(Başvuru!$C$2:$C$1851,MATCH(294,Başvuru!$AB$2:$AB$1851,0)),"")</f>
        <v>Dr. Öğr. Üyesi Aslı Şan DAĞLI GÜL</v>
      </c>
      <c r="R299" s="171">
        <f>IF(Q299="","",COUNTIFS(Başvuru!$C:$C,Q299,Başvuru!$A:$A,"&lt;&gt;"&amp;"",Başvuru!$F:$F,"&lt;&gt;"&amp;""))</f>
        <v>1</v>
      </c>
      <c r="S299" s="171">
        <f>IF(R299="","",RANK(R299,$R$6:$R$505,0)+COUNTIF($R$6:R299,R299)-1)</f>
        <v>302</v>
      </c>
    </row>
    <row r="300" spans="2:19" ht="23.25" customHeight="1" x14ac:dyDescent="0.25">
      <c r="B300" s="159">
        <v>295</v>
      </c>
      <c r="C300" s="160" t="str">
        <f>IFERROR(INDEX($Q$6:$Q$505,MATCH(295,$S$6:$S$505,0)),"")</f>
        <v>Prof. Dr. Lokman UZUN</v>
      </c>
      <c r="D300" s="161">
        <f>IF(C300="","",COUNTIFS(Başvuru!$C:$C,C300,Başvuru!$A:$A,"&lt;&gt;"&amp;"",Başvuru!$F:$F,"&lt;&gt;"&amp;""))</f>
        <v>1</v>
      </c>
      <c r="E300" s="159" t="str">
        <f>IF(C300="","-",IF(D300&gt;0,TEXT(D300/(COUNTIFS(Başvuru!$A:$A,"&lt;&gt;",Başvuru!$F:$F,"&lt;&gt;")-1)*100,"0.0")&amp;"%","-"))</f>
        <v>00%</v>
      </c>
      <c r="F300" s="162">
        <f>IF(C300="","",COUNTIFS(Başvuru!$C:$C,C300,Başvuru!$G:$G,"Bireysel Araştırma",Başvuru!$A:$A,"&lt;&gt;"&amp;"",Başvuru!$F:$F,"&lt;&gt;"&amp;""))</f>
        <v>1</v>
      </c>
      <c r="G300" s="162">
        <f>IF(C300="","",COUNTIFS(Başvuru!$C:$C,C300,Başvuru!$G:$G,"Uzmanlık Tezi",Başvuru!$A:$A,"&lt;&gt;"&amp;"",Başvuru!$F:$F,"&lt;&gt;"&amp;""))</f>
        <v>0</v>
      </c>
      <c r="H300" s="162">
        <f>IF(C300="","",COUNTIFS(Başvuru!$C:$C,C300,Başvuru!$G:$G,"Doktora Tezi",Başvuru!$A:$A,"&lt;&gt;"&amp;"",Başvuru!$F:$F,"&lt;&gt;"&amp;""))</f>
        <v>0</v>
      </c>
      <c r="I300" s="162">
        <f>IF(C300="","",COUNTIFS(Başvuru!$C:$C,C300,Başvuru!$G:$G,"Yüksek Lisans Tezi",Başvuru!$A:$A,"&lt;&gt;"&amp;"",Başvuru!$F:$F,"&lt;&gt;"&amp;""))</f>
        <v>0</v>
      </c>
      <c r="J300" s="163">
        <f>IF(C300="","",COUNTIFS(Başvuru!$C:$C,C300,Başvuru!$L:$L,"ONAY",Başvuru!$A:$A,"&lt;&gt;"&amp;"",Başvuru!$F:$F,"&lt;&gt;"&amp;""))</f>
        <v>0</v>
      </c>
      <c r="K300" s="164">
        <f>IF(C300="","",COUNTIFS(Başvuru!$C:$C,C300,Başvuru!$L:$L,"DÜZELTME",Başvuru!$A:$A,"&lt;&gt;"&amp;"",Başvuru!$F:$F,"&lt;&gt;"&amp;""))</f>
        <v>0</v>
      </c>
      <c r="L300" s="165">
        <f>IF(C300="","",COUNTIFS(Başvuru!$C:$C,C300,Başvuru!$L:$L,"KAEK",Başvuru!$A:$A,"&lt;&gt;"&amp;"",Başvuru!$F:$F,"&lt;&gt;"&amp;""))</f>
        <v>0</v>
      </c>
      <c r="M300" s="166">
        <f>IF(C300="","",COUNTIFS(Başvuru!$C:$C,C300,Başvuru!$L:$L,"GÖRÜŞ",Başvuru!$A:$A,"&lt;&gt;"&amp;"",Başvuru!$F:$F,"&lt;&gt;"&amp;""))</f>
        <v>0</v>
      </c>
      <c r="N300" s="167">
        <f>IF(C300="","",COUNTIFS(Başvuru!$C:$C,C300,Başvuru!$L:$L,"RET",Başvuru!$A:$A,"&lt;&gt;"&amp;"",Başvuru!$F:$F,"&lt;&gt;"&amp;""))</f>
        <v>0</v>
      </c>
      <c r="O300" s="168">
        <f>IF(C300="","",COUNTIFS(Başvuru!$C:$C,C300,Başvuru!$L:$L,"KAPSAM DIŞI",Başvuru!$A:$A,"&lt;&gt;"&amp;"",Başvuru!$F:$F,"&lt;&gt;"&amp;""))</f>
        <v>1</v>
      </c>
      <c r="P300" s="169">
        <f>IF(C300="","",COUNTIFS(Başvuru!$C:$C,C300,Başvuru!$L:$L,"GERİ ÇEKİLDİ",Başvuru!$A:$A,"&lt;&gt;"&amp;"",Başvuru!$F:$F,"&lt;&gt;"&amp;""))</f>
        <v>0</v>
      </c>
      <c r="Q300" s="170" t="str">
        <f>IFERROR(INDEX(Başvuru!$C$2:$C$1851,MATCH(295,Başvuru!$AB$2:$AB$1851,0)),"")</f>
        <v>Doç. Dr. Fatima AERTS KAYA</v>
      </c>
      <c r="R300" s="171">
        <f>IF(Q300="","",COUNTIFS(Başvuru!$C:$C,Q300,Başvuru!$A:$A,"&lt;&gt;"&amp;"",Başvuru!$F:$F,"&lt;&gt;"&amp;""))</f>
        <v>2</v>
      </c>
      <c r="S300" s="171">
        <f>IF(R300="","",RANK(R300,$R$6:$R$505,0)+COUNTIF($R$6:R300,R300)-1)</f>
        <v>150</v>
      </c>
    </row>
    <row r="301" spans="2:19" ht="23.25" customHeight="1" x14ac:dyDescent="0.25">
      <c r="B301" s="159">
        <v>296</v>
      </c>
      <c r="C301" s="160" t="str">
        <f>IFERROR(INDEX($Q$6:$Q$505,MATCH(296,$S$6:$S$505,0)),"")</f>
        <v>Arş. Gör. Dr. Pınar YAVUZ TAZE</v>
      </c>
      <c r="D301" s="161">
        <f>IF(C301="","",COUNTIFS(Başvuru!$C:$C,C301,Başvuru!$A:$A,"&lt;&gt;"&amp;"",Başvuru!$F:$F,"&lt;&gt;"&amp;""))</f>
        <v>1</v>
      </c>
      <c r="E301" s="159" t="str">
        <f>IF(C301="","-",IF(D301&gt;0,TEXT(D301/(COUNTIFS(Başvuru!$A:$A,"&lt;&gt;",Başvuru!$F:$F,"&lt;&gt;")-1)*100,"0.0")&amp;"%","-"))</f>
        <v>00%</v>
      </c>
      <c r="F301" s="162">
        <f>IF(C301="","",COUNTIFS(Başvuru!$C:$C,C301,Başvuru!$G:$G,"Bireysel Araştırma",Başvuru!$A:$A,"&lt;&gt;"&amp;"",Başvuru!$F:$F,"&lt;&gt;"&amp;""))</f>
        <v>1</v>
      </c>
      <c r="G301" s="162">
        <f>IF(C301="","",COUNTIFS(Başvuru!$C:$C,C301,Başvuru!$G:$G,"Uzmanlık Tezi",Başvuru!$A:$A,"&lt;&gt;"&amp;"",Başvuru!$F:$F,"&lt;&gt;"&amp;""))</f>
        <v>0</v>
      </c>
      <c r="H301" s="162">
        <f>IF(C301="","",COUNTIFS(Başvuru!$C:$C,C301,Başvuru!$G:$G,"Doktora Tezi",Başvuru!$A:$A,"&lt;&gt;"&amp;"",Başvuru!$F:$F,"&lt;&gt;"&amp;""))</f>
        <v>0</v>
      </c>
      <c r="I301" s="162">
        <f>IF(C301="","",COUNTIFS(Başvuru!$C:$C,C301,Başvuru!$G:$G,"Yüksek Lisans Tezi",Başvuru!$A:$A,"&lt;&gt;"&amp;"",Başvuru!$F:$F,"&lt;&gt;"&amp;""))</f>
        <v>0</v>
      </c>
      <c r="J301" s="163">
        <f>IF(C301="","",COUNTIFS(Başvuru!$C:$C,C301,Başvuru!$L:$L,"ONAY",Başvuru!$A:$A,"&lt;&gt;"&amp;"",Başvuru!$F:$F,"&lt;&gt;"&amp;""))</f>
        <v>1</v>
      </c>
      <c r="K301" s="164">
        <f>IF(C301="","",COUNTIFS(Başvuru!$C:$C,C301,Başvuru!$L:$L,"DÜZELTME",Başvuru!$A:$A,"&lt;&gt;"&amp;"",Başvuru!$F:$F,"&lt;&gt;"&amp;""))</f>
        <v>0</v>
      </c>
      <c r="L301" s="165">
        <f>IF(C301="","",COUNTIFS(Başvuru!$C:$C,C301,Başvuru!$L:$L,"KAEK",Başvuru!$A:$A,"&lt;&gt;"&amp;"",Başvuru!$F:$F,"&lt;&gt;"&amp;""))</f>
        <v>0</v>
      </c>
      <c r="M301" s="166">
        <f>IF(C301="","",COUNTIFS(Başvuru!$C:$C,C301,Başvuru!$L:$L,"GÖRÜŞ",Başvuru!$A:$A,"&lt;&gt;"&amp;"",Başvuru!$F:$F,"&lt;&gt;"&amp;""))</f>
        <v>0</v>
      </c>
      <c r="N301" s="167">
        <f>IF(C301="","",COUNTIFS(Başvuru!$C:$C,C301,Başvuru!$L:$L,"RET",Başvuru!$A:$A,"&lt;&gt;"&amp;"",Başvuru!$F:$F,"&lt;&gt;"&amp;""))</f>
        <v>0</v>
      </c>
      <c r="O301" s="168">
        <f>IF(C301="","",COUNTIFS(Başvuru!$C:$C,C301,Başvuru!$L:$L,"KAPSAM DIŞI",Başvuru!$A:$A,"&lt;&gt;"&amp;"",Başvuru!$F:$F,"&lt;&gt;"&amp;""))</f>
        <v>0</v>
      </c>
      <c r="P301" s="169">
        <f>IF(C301="","",COUNTIFS(Başvuru!$C:$C,C301,Başvuru!$L:$L,"GERİ ÇEKİLDİ",Başvuru!$A:$A,"&lt;&gt;"&amp;"",Başvuru!$F:$F,"&lt;&gt;"&amp;""))</f>
        <v>0</v>
      </c>
      <c r="Q301" s="170" t="str">
        <f>IFERROR(INDEX(Başvuru!$C$2:$C$1851,MATCH(296,Başvuru!$AB$2:$AB$1851,0)),"")</f>
        <v>Prof. Dr. İlker ERTUĞRUL</v>
      </c>
      <c r="R301" s="171">
        <f>IF(Q301="","",COUNTIFS(Başvuru!$C:$C,Q301,Başvuru!$A:$A,"&lt;&gt;"&amp;"",Başvuru!$F:$F,"&lt;&gt;"&amp;""))</f>
        <v>1</v>
      </c>
      <c r="S301" s="171">
        <f>IF(R301="","",RANK(R301,$R$6:$R$505,0)+COUNTIF($R$6:R301,R301)-1)</f>
        <v>303</v>
      </c>
    </row>
    <row r="302" spans="2:19" ht="23.25" customHeight="1" x14ac:dyDescent="0.25">
      <c r="B302" s="159">
        <v>297</v>
      </c>
      <c r="C302" s="160" t="str">
        <f>IFERROR(INDEX($Q$6:$Q$505,MATCH(297,$S$6:$S$505,0)),"")</f>
        <v>Prof. Dr. Levent ÖZÇAKAR</v>
      </c>
      <c r="D302" s="161">
        <f>IF(C302="","",COUNTIFS(Başvuru!$C:$C,C302,Başvuru!$A:$A,"&lt;&gt;"&amp;"",Başvuru!$F:$F,"&lt;&gt;"&amp;""))</f>
        <v>1</v>
      </c>
      <c r="E302" s="159" t="str">
        <f>IF(C302="","-",IF(D302&gt;0,TEXT(D302/(COUNTIFS(Başvuru!$A:$A,"&lt;&gt;",Başvuru!$F:$F,"&lt;&gt;")-1)*100,"0.0")&amp;"%","-"))</f>
        <v>00%</v>
      </c>
      <c r="F302" s="162">
        <f>IF(C302="","",COUNTIFS(Başvuru!$C:$C,C302,Başvuru!$G:$G,"Bireysel Araştırma",Başvuru!$A:$A,"&lt;&gt;"&amp;"",Başvuru!$F:$F,"&lt;&gt;"&amp;""))</f>
        <v>0</v>
      </c>
      <c r="G302" s="162">
        <f>IF(C302="","",COUNTIFS(Başvuru!$C:$C,C302,Başvuru!$G:$G,"Uzmanlık Tezi",Başvuru!$A:$A,"&lt;&gt;"&amp;"",Başvuru!$F:$F,"&lt;&gt;"&amp;""))</f>
        <v>1</v>
      </c>
      <c r="H302" s="162">
        <f>IF(C302="","",COUNTIFS(Başvuru!$C:$C,C302,Başvuru!$G:$G,"Doktora Tezi",Başvuru!$A:$A,"&lt;&gt;"&amp;"",Başvuru!$F:$F,"&lt;&gt;"&amp;""))</f>
        <v>0</v>
      </c>
      <c r="I302" s="162">
        <f>IF(C302="","",COUNTIFS(Başvuru!$C:$C,C302,Başvuru!$G:$G,"Yüksek Lisans Tezi",Başvuru!$A:$A,"&lt;&gt;"&amp;"",Başvuru!$F:$F,"&lt;&gt;"&amp;""))</f>
        <v>0</v>
      </c>
      <c r="J302" s="163">
        <f>IF(C302="","",COUNTIFS(Başvuru!$C:$C,C302,Başvuru!$L:$L,"ONAY",Başvuru!$A:$A,"&lt;&gt;"&amp;"",Başvuru!$F:$F,"&lt;&gt;"&amp;""))</f>
        <v>0</v>
      </c>
      <c r="K302" s="164">
        <f>IF(C302="","",COUNTIFS(Başvuru!$C:$C,C302,Başvuru!$L:$L,"DÜZELTME",Başvuru!$A:$A,"&lt;&gt;"&amp;"",Başvuru!$F:$F,"&lt;&gt;"&amp;""))</f>
        <v>1</v>
      </c>
      <c r="L302" s="165">
        <f>IF(C302="","",COUNTIFS(Başvuru!$C:$C,C302,Başvuru!$L:$L,"KAEK",Başvuru!$A:$A,"&lt;&gt;"&amp;"",Başvuru!$F:$F,"&lt;&gt;"&amp;""))</f>
        <v>0</v>
      </c>
      <c r="M302" s="166">
        <f>IF(C302="","",COUNTIFS(Başvuru!$C:$C,C302,Başvuru!$L:$L,"GÖRÜŞ",Başvuru!$A:$A,"&lt;&gt;"&amp;"",Başvuru!$F:$F,"&lt;&gt;"&amp;""))</f>
        <v>0</v>
      </c>
      <c r="N302" s="167">
        <f>IF(C302="","",COUNTIFS(Başvuru!$C:$C,C302,Başvuru!$L:$L,"RET",Başvuru!$A:$A,"&lt;&gt;"&amp;"",Başvuru!$F:$F,"&lt;&gt;"&amp;""))</f>
        <v>0</v>
      </c>
      <c r="O302" s="168">
        <f>IF(C302="","",COUNTIFS(Başvuru!$C:$C,C302,Başvuru!$L:$L,"KAPSAM DIŞI",Başvuru!$A:$A,"&lt;&gt;"&amp;"",Başvuru!$F:$F,"&lt;&gt;"&amp;""))</f>
        <v>0</v>
      </c>
      <c r="P302" s="169">
        <f>IF(C302="","",COUNTIFS(Başvuru!$C:$C,C302,Başvuru!$L:$L,"GERİ ÇEKİLDİ",Başvuru!$A:$A,"&lt;&gt;"&amp;"",Başvuru!$F:$F,"&lt;&gt;"&amp;""))</f>
        <v>0</v>
      </c>
      <c r="Q302" s="170" t="str">
        <f>IFERROR(INDEX(Başvuru!$C$2:$C$1851,MATCH(297,Başvuru!$AB$2:$AB$1851,0)),"")</f>
        <v>Prof. Dr. Uzay KOÇ VURAL</v>
      </c>
      <c r="R302" s="171">
        <f>IF(Q302="","",COUNTIFS(Başvuru!$C:$C,Q302,Başvuru!$A:$A,"&lt;&gt;"&amp;"",Başvuru!$F:$F,"&lt;&gt;"&amp;""))</f>
        <v>1</v>
      </c>
      <c r="S302" s="171">
        <f>IF(R302="","",RANK(R302,$R$6:$R$505,0)+COUNTIF($R$6:R302,R302)-1)</f>
        <v>304</v>
      </c>
    </row>
    <row r="303" spans="2:19" ht="23.25" customHeight="1" x14ac:dyDescent="0.25">
      <c r="B303" s="159">
        <v>298</v>
      </c>
      <c r="C303" s="160" t="str">
        <f>IFERROR(INDEX($Q$6:$Q$505,MATCH(298,$S$6:$S$505,0)),"")</f>
        <v>Doç. Dr. Elif Günay BULUT</v>
      </c>
      <c r="D303" s="161">
        <f>IF(C303="","",COUNTIFS(Başvuru!$C:$C,C303,Başvuru!$A:$A,"&lt;&gt;"&amp;"",Başvuru!$F:$F,"&lt;&gt;"&amp;""))</f>
        <v>1</v>
      </c>
      <c r="E303" s="159" t="str">
        <f>IF(C303="","-",IF(D303&gt;0,TEXT(D303/(COUNTIFS(Başvuru!$A:$A,"&lt;&gt;",Başvuru!$F:$F,"&lt;&gt;")-1)*100,"0.0")&amp;"%","-"))</f>
        <v>00%</v>
      </c>
      <c r="F303" s="162">
        <f>IF(C303="","",COUNTIFS(Başvuru!$C:$C,C303,Başvuru!$G:$G,"Bireysel Araştırma",Başvuru!$A:$A,"&lt;&gt;"&amp;"",Başvuru!$F:$F,"&lt;&gt;"&amp;""))</f>
        <v>1</v>
      </c>
      <c r="G303" s="162">
        <f>IF(C303="","",COUNTIFS(Başvuru!$C:$C,C303,Başvuru!$G:$G,"Uzmanlık Tezi",Başvuru!$A:$A,"&lt;&gt;"&amp;"",Başvuru!$F:$F,"&lt;&gt;"&amp;""))</f>
        <v>0</v>
      </c>
      <c r="H303" s="162">
        <f>IF(C303="","",COUNTIFS(Başvuru!$C:$C,C303,Başvuru!$G:$G,"Doktora Tezi",Başvuru!$A:$A,"&lt;&gt;"&amp;"",Başvuru!$F:$F,"&lt;&gt;"&amp;""))</f>
        <v>0</v>
      </c>
      <c r="I303" s="162">
        <f>IF(C303="","",COUNTIFS(Başvuru!$C:$C,C303,Başvuru!$G:$G,"Yüksek Lisans Tezi",Başvuru!$A:$A,"&lt;&gt;"&amp;"",Başvuru!$F:$F,"&lt;&gt;"&amp;""))</f>
        <v>0</v>
      </c>
      <c r="J303" s="163">
        <f>IF(C303="","",COUNTIFS(Başvuru!$C:$C,C303,Başvuru!$L:$L,"ONAY",Başvuru!$A:$A,"&lt;&gt;"&amp;"",Başvuru!$F:$F,"&lt;&gt;"&amp;""))</f>
        <v>0</v>
      </c>
      <c r="K303" s="164">
        <f>IF(C303="","",COUNTIFS(Başvuru!$C:$C,C303,Başvuru!$L:$L,"DÜZELTME",Başvuru!$A:$A,"&lt;&gt;"&amp;"",Başvuru!$F:$F,"&lt;&gt;"&amp;""))</f>
        <v>1</v>
      </c>
      <c r="L303" s="165">
        <f>IF(C303="","",COUNTIFS(Başvuru!$C:$C,C303,Başvuru!$L:$L,"KAEK",Başvuru!$A:$A,"&lt;&gt;"&amp;"",Başvuru!$F:$F,"&lt;&gt;"&amp;""))</f>
        <v>0</v>
      </c>
      <c r="M303" s="166">
        <f>IF(C303="","",COUNTIFS(Başvuru!$C:$C,C303,Başvuru!$L:$L,"GÖRÜŞ",Başvuru!$A:$A,"&lt;&gt;"&amp;"",Başvuru!$F:$F,"&lt;&gt;"&amp;""))</f>
        <v>0</v>
      </c>
      <c r="N303" s="167">
        <f>IF(C303="","",COUNTIFS(Başvuru!$C:$C,C303,Başvuru!$L:$L,"RET",Başvuru!$A:$A,"&lt;&gt;"&amp;"",Başvuru!$F:$F,"&lt;&gt;"&amp;""))</f>
        <v>0</v>
      </c>
      <c r="O303" s="168">
        <f>IF(C303="","",COUNTIFS(Başvuru!$C:$C,C303,Başvuru!$L:$L,"KAPSAM DIŞI",Başvuru!$A:$A,"&lt;&gt;"&amp;"",Başvuru!$F:$F,"&lt;&gt;"&amp;""))</f>
        <v>0</v>
      </c>
      <c r="P303" s="169">
        <f>IF(C303="","",COUNTIFS(Başvuru!$C:$C,C303,Başvuru!$L:$L,"GERİ ÇEKİLDİ",Başvuru!$A:$A,"&lt;&gt;"&amp;"",Başvuru!$F:$F,"&lt;&gt;"&amp;""))</f>
        <v>0</v>
      </c>
      <c r="Q303" s="170" t="str">
        <f>IFERROR(INDEX(Başvuru!$C$2:$C$1851,MATCH(298,Başvuru!$AB$2:$AB$1851,0)),"")</f>
        <v>Prof. Dr. Reyhan ATASÜ TOPÇUOĞLU</v>
      </c>
      <c r="R303" s="171">
        <f>IF(Q303="","",COUNTIFS(Başvuru!$C:$C,Q303,Başvuru!$A:$A,"&lt;&gt;"&amp;"",Başvuru!$F:$F,"&lt;&gt;"&amp;""))</f>
        <v>1</v>
      </c>
      <c r="S303" s="171">
        <f>IF(R303="","",RANK(R303,$R$6:$R$505,0)+COUNTIF($R$6:R303,R303)-1)</f>
        <v>305</v>
      </c>
    </row>
    <row r="304" spans="2:19" ht="23.25" customHeight="1" x14ac:dyDescent="0.25">
      <c r="B304" s="159">
        <v>299</v>
      </c>
      <c r="C304" s="160" t="str">
        <f>IFERROR(INDEX($Q$6:$Q$505,MATCH(299,$S$6:$S$505,0)),"")</f>
        <v>Doç. Dr. İsmail UYANIK</v>
      </c>
      <c r="D304" s="161">
        <f>IF(C304="","",COUNTIFS(Başvuru!$C:$C,C304,Başvuru!$A:$A,"&lt;&gt;"&amp;"",Başvuru!$F:$F,"&lt;&gt;"&amp;""))</f>
        <v>1</v>
      </c>
      <c r="E304" s="159" t="str">
        <f>IF(C304="","-",IF(D304&gt;0,TEXT(D304/(COUNTIFS(Başvuru!$A:$A,"&lt;&gt;",Başvuru!$F:$F,"&lt;&gt;")-1)*100,"0.0")&amp;"%","-"))</f>
        <v>00%</v>
      </c>
      <c r="F304" s="162">
        <f>IF(C304="","",COUNTIFS(Başvuru!$C:$C,C304,Başvuru!$G:$G,"Bireysel Araştırma",Başvuru!$A:$A,"&lt;&gt;"&amp;"",Başvuru!$F:$F,"&lt;&gt;"&amp;""))</f>
        <v>1</v>
      </c>
      <c r="G304" s="162">
        <f>IF(C304="","",COUNTIFS(Başvuru!$C:$C,C304,Başvuru!$G:$G,"Uzmanlık Tezi",Başvuru!$A:$A,"&lt;&gt;"&amp;"",Başvuru!$F:$F,"&lt;&gt;"&amp;""))</f>
        <v>0</v>
      </c>
      <c r="H304" s="162">
        <f>IF(C304="","",COUNTIFS(Başvuru!$C:$C,C304,Başvuru!$G:$G,"Doktora Tezi",Başvuru!$A:$A,"&lt;&gt;"&amp;"",Başvuru!$F:$F,"&lt;&gt;"&amp;""))</f>
        <v>0</v>
      </c>
      <c r="I304" s="162">
        <f>IF(C304="","",COUNTIFS(Başvuru!$C:$C,C304,Başvuru!$G:$G,"Yüksek Lisans Tezi",Başvuru!$A:$A,"&lt;&gt;"&amp;"",Başvuru!$F:$F,"&lt;&gt;"&amp;""))</f>
        <v>0</v>
      </c>
      <c r="J304" s="163">
        <f>IF(C304="","",COUNTIFS(Başvuru!$C:$C,C304,Başvuru!$L:$L,"ONAY",Başvuru!$A:$A,"&lt;&gt;"&amp;"",Başvuru!$F:$F,"&lt;&gt;"&amp;""))</f>
        <v>0</v>
      </c>
      <c r="K304" s="164">
        <f>IF(C304="","",COUNTIFS(Başvuru!$C:$C,C304,Başvuru!$L:$L,"DÜZELTME",Başvuru!$A:$A,"&lt;&gt;"&amp;"",Başvuru!$F:$F,"&lt;&gt;"&amp;""))</f>
        <v>1</v>
      </c>
      <c r="L304" s="165">
        <f>IF(C304="","",COUNTIFS(Başvuru!$C:$C,C304,Başvuru!$L:$L,"KAEK",Başvuru!$A:$A,"&lt;&gt;"&amp;"",Başvuru!$F:$F,"&lt;&gt;"&amp;""))</f>
        <v>0</v>
      </c>
      <c r="M304" s="166">
        <f>IF(C304="","",COUNTIFS(Başvuru!$C:$C,C304,Başvuru!$L:$L,"GÖRÜŞ",Başvuru!$A:$A,"&lt;&gt;"&amp;"",Başvuru!$F:$F,"&lt;&gt;"&amp;""))</f>
        <v>0</v>
      </c>
      <c r="N304" s="167">
        <f>IF(C304="","",COUNTIFS(Başvuru!$C:$C,C304,Başvuru!$L:$L,"RET",Başvuru!$A:$A,"&lt;&gt;"&amp;"",Başvuru!$F:$F,"&lt;&gt;"&amp;""))</f>
        <v>0</v>
      </c>
      <c r="O304" s="168">
        <f>IF(C304="","",COUNTIFS(Başvuru!$C:$C,C304,Başvuru!$L:$L,"KAPSAM DIŞI",Başvuru!$A:$A,"&lt;&gt;"&amp;"",Başvuru!$F:$F,"&lt;&gt;"&amp;""))</f>
        <v>0</v>
      </c>
      <c r="P304" s="169">
        <f>IF(C304="","",COUNTIFS(Başvuru!$C:$C,C304,Başvuru!$L:$L,"GERİ ÇEKİLDİ",Başvuru!$A:$A,"&lt;&gt;"&amp;"",Başvuru!$F:$F,"&lt;&gt;"&amp;""))</f>
        <v>0</v>
      </c>
      <c r="Q304" s="170" t="str">
        <f>IFERROR(INDEX(Başvuru!$C$2:$C$1851,MATCH(299,Başvuru!$AB$2:$AB$1851,0)),"")</f>
        <v>Dr. Öğr. Üyesi Yavuz Kemal ARIBAŞ</v>
      </c>
      <c r="R304" s="171">
        <f>IF(Q304="","",COUNTIFS(Başvuru!$C:$C,Q304,Başvuru!$A:$A,"&lt;&gt;"&amp;"",Başvuru!$F:$F,"&lt;&gt;"&amp;""))</f>
        <v>1</v>
      </c>
      <c r="S304" s="171">
        <f>IF(R304="","",RANK(R304,$R$6:$R$505,0)+COUNTIF($R$6:R304,R304)-1)</f>
        <v>306</v>
      </c>
    </row>
    <row r="305" spans="2:19" ht="23.25" customHeight="1" x14ac:dyDescent="0.25">
      <c r="B305" s="159">
        <v>300</v>
      </c>
      <c r="C305" s="160" t="str">
        <f>IFERROR(INDEX($Q$6:$Q$505,MATCH(300,$S$6:$S$505,0)),"")</f>
        <v>Prof. Dr. B. Barış KUŞKONMAZ</v>
      </c>
      <c r="D305" s="161">
        <f>IF(C305="","",COUNTIFS(Başvuru!$C:$C,C305,Başvuru!$A:$A,"&lt;&gt;"&amp;"",Başvuru!$F:$F,"&lt;&gt;"&amp;""))</f>
        <v>1</v>
      </c>
      <c r="E305" s="159" t="str">
        <f>IF(C305="","-",IF(D305&gt;0,TEXT(D305/(COUNTIFS(Başvuru!$A:$A,"&lt;&gt;",Başvuru!$F:$F,"&lt;&gt;")-1)*100,"0.0")&amp;"%","-"))</f>
        <v>00%</v>
      </c>
      <c r="F305" s="162">
        <f>IF(C305="","",COUNTIFS(Başvuru!$C:$C,C305,Başvuru!$G:$G,"Bireysel Araştırma",Başvuru!$A:$A,"&lt;&gt;"&amp;"",Başvuru!$F:$F,"&lt;&gt;"&amp;""))</f>
        <v>1</v>
      </c>
      <c r="G305" s="162">
        <f>IF(C305="","",COUNTIFS(Başvuru!$C:$C,C305,Başvuru!$G:$G,"Uzmanlık Tezi",Başvuru!$A:$A,"&lt;&gt;"&amp;"",Başvuru!$F:$F,"&lt;&gt;"&amp;""))</f>
        <v>0</v>
      </c>
      <c r="H305" s="162">
        <f>IF(C305="","",COUNTIFS(Başvuru!$C:$C,C305,Başvuru!$G:$G,"Doktora Tezi",Başvuru!$A:$A,"&lt;&gt;"&amp;"",Başvuru!$F:$F,"&lt;&gt;"&amp;""))</f>
        <v>0</v>
      </c>
      <c r="I305" s="162">
        <f>IF(C305="","",COUNTIFS(Başvuru!$C:$C,C305,Başvuru!$G:$G,"Yüksek Lisans Tezi",Başvuru!$A:$A,"&lt;&gt;"&amp;"",Başvuru!$F:$F,"&lt;&gt;"&amp;""))</f>
        <v>0</v>
      </c>
      <c r="J305" s="163">
        <f>IF(C305="","",COUNTIFS(Başvuru!$C:$C,C305,Başvuru!$L:$L,"ONAY",Başvuru!$A:$A,"&lt;&gt;"&amp;"",Başvuru!$F:$F,"&lt;&gt;"&amp;""))</f>
        <v>1</v>
      </c>
      <c r="K305" s="164">
        <f>IF(C305="","",COUNTIFS(Başvuru!$C:$C,C305,Başvuru!$L:$L,"DÜZELTME",Başvuru!$A:$A,"&lt;&gt;"&amp;"",Başvuru!$F:$F,"&lt;&gt;"&amp;""))</f>
        <v>0</v>
      </c>
      <c r="L305" s="165">
        <f>IF(C305="","",COUNTIFS(Başvuru!$C:$C,C305,Başvuru!$L:$L,"KAEK",Başvuru!$A:$A,"&lt;&gt;"&amp;"",Başvuru!$F:$F,"&lt;&gt;"&amp;""))</f>
        <v>0</v>
      </c>
      <c r="M305" s="166">
        <f>IF(C305="","",COUNTIFS(Başvuru!$C:$C,C305,Başvuru!$L:$L,"GÖRÜŞ",Başvuru!$A:$A,"&lt;&gt;"&amp;"",Başvuru!$F:$F,"&lt;&gt;"&amp;""))</f>
        <v>0</v>
      </c>
      <c r="N305" s="167">
        <f>IF(C305="","",COUNTIFS(Başvuru!$C:$C,C305,Başvuru!$L:$L,"RET",Başvuru!$A:$A,"&lt;&gt;"&amp;"",Başvuru!$F:$F,"&lt;&gt;"&amp;""))</f>
        <v>0</v>
      </c>
      <c r="O305" s="168">
        <f>IF(C305="","",COUNTIFS(Başvuru!$C:$C,C305,Başvuru!$L:$L,"KAPSAM DIŞI",Başvuru!$A:$A,"&lt;&gt;"&amp;"",Başvuru!$F:$F,"&lt;&gt;"&amp;""))</f>
        <v>0</v>
      </c>
      <c r="P305" s="169">
        <f>IF(C305="","",COUNTIFS(Başvuru!$C:$C,C305,Başvuru!$L:$L,"GERİ ÇEKİLDİ",Başvuru!$A:$A,"&lt;&gt;"&amp;"",Başvuru!$F:$F,"&lt;&gt;"&amp;""))</f>
        <v>0</v>
      </c>
      <c r="Q305" s="170" t="str">
        <f>IFERROR(INDEX(Başvuru!$C$2:$C$1851,MATCH(300,Başvuru!$AB$2:$AB$1851,0)),"")</f>
        <v>Dr. Öğr. Üyesi Aydın Onur GERÇEK</v>
      </c>
      <c r="R305" s="171">
        <f>IF(Q305="","",COUNTIFS(Başvuru!$C:$C,Q305,Başvuru!$A:$A,"&lt;&gt;"&amp;"",Başvuru!$F:$F,"&lt;&gt;"&amp;""))</f>
        <v>1</v>
      </c>
      <c r="S305" s="171">
        <f>IF(R305="","",RANK(R305,$R$6:$R$505,0)+COUNTIF($R$6:R305,R305)-1)</f>
        <v>307</v>
      </c>
    </row>
    <row r="306" spans="2:19" ht="23.25" customHeight="1" x14ac:dyDescent="0.25">
      <c r="B306" s="159">
        <v>301</v>
      </c>
      <c r="C306" s="160" t="str">
        <f>IFERROR(INDEX($Q$6:$Q$505,MATCH(301,$S$6:$S$505,0)),"")</f>
        <v>Prof. Dr. Yelda BİLGİNER</v>
      </c>
      <c r="D306" s="161">
        <f>IF(C306="","",COUNTIFS(Başvuru!$C:$C,C306,Başvuru!$A:$A,"&lt;&gt;"&amp;"",Başvuru!$F:$F,"&lt;&gt;"&amp;""))</f>
        <v>1</v>
      </c>
      <c r="E306" s="159" t="str">
        <f>IF(C306="","-",IF(D306&gt;0,TEXT(D306/(COUNTIFS(Başvuru!$A:$A,"&lt;&gt;",Başvuru!$F:$F,"&lt;&gt;")-1)*100,"0.0")&amp;"%","-"))</f>
        <v>00%</v>
      </c>
      <c r="F306" s="162">
        <f>IF(C306="","",COUNTIFS(Başvuru!$C:$C,C306,Başvuru!$G:$G,"Bireysel Araştırma",Başvuru!$A:$A,"&lt;&gt;"&amp;"",Başvuru!$F:$F,"&lt;&gt;"&amp;""))</f>
        <v>1</v>
      </c>
      <c r="G306" s="162">
        <f>IF(C306="","",COUNTIFS(Başvuru!$C:$C,C306,Başvuru!$G:$G,"Uzmanlık Tezi",Başvuru!$A:$A,"&lt;&gt;"&amp;"",Başvuru!$F:$F,"&lt;&gt;"&amp;""))</f>
        <v>0</v>
      </c>
      <c r="H306" s="162">
        <f>IF(C306="","",COUNTIFS(Başvuru!$C:$C,C306,Başvuru!$G:$G,"Doktora Tezi",Başvuru!$A:$A,"&lt;&gt;"&amp;"",Başvuru!$F:$F,"&lt;&gt;"&amp;""))</f>
        <v>0</v>
      </c>
      <c r="I306" s="162">
        <f>IF(C306="","",COUNTIFS(Başvuru!$C:$C,C306,Başvuru!$G:$G,"Yüksek Lisans Tezi",Başvuru!$A:$A,"&lt;&gt;"&amp;"",Başvuru!$F:$F,"&lt;&gt;"&amp;""))</f>
        <v>0</v>
      </c>
      <c r="J306" s="163">
        <f>IF(C306="","",COUNTIFS(Başvuru!$C:$C,C306,Başvuru!$L:$L,"ONAY",Başvuru!$A:$A,"&lt;&gt;"&amp;"",Başvuru!$F:$F,"&lt;&gt;"&amp;""))</f>
        <v>1</v>
      </c>
      <c r="K306" s="164">
        <f>IF(C306="","",COUNTIFS(Başvuru!$C:$C,C306,Başvuru!$L:$L,"DÜZELTME",Başvuru!$A:$A,"&lt;&gt;"&amp;"",Başvuru!$F:$F,"&lt;&gt;"&amp;""))</f>
        <v>0</v>
      </c>
      <c r="L306" s="165">
        <f>IF(C306="","",COUNTIFS(Başvuru!$C:$C,C306,Başvuru!$L:$L,"KAEK",Başvuru!$A:$A,"&lt;&gt;"&amp;"",Başvuru!$F:$F,"&lt;&gt;"&amp;""))</f>
        <v>0</v>
      </c>
      <c r="M306" s="166">
        <f>IF(C306="","",COUNTIFS(Başvuru!$C:$C,C306,Başvuru!$L:$L,"GÖRÜŞ",Başvuru!$A:$A,"&lt;&gt;"&amp;"",Başvuru!$F:$F,"&lt;&gt;"&amp;""))</f>
        <v>0</v>
      </c>
      <c r="N306" s="167">
        <f>IF(C306="","",COUNTIFS(Başvuru!$C:$C,C306,Başvuru!$L:$L,"RET",Başvuru!$A:$A,"&lt;&gt;"&amp;"",Başvuru!$F:$F,"&lt;&gt;"&amp;""))</f>
        <v>0</v>
      </c>
      <c r="O306" s="168">
        <f>IF(C306="","",COUNTIFS(Başvuru!$C:$C,C306,Başvuru!$L:$L,"KAPSAM DIŞI",Başvuru!$A:$A,"&lt;&gt;"&amp;"",Başvuru!$F:$F,"&lt;&gt;"&amp;""))</f>
        <v>0</v>
      </c>
      <c r="P306" s="169">
        <f>IF(C306="","",COUNTIFS(Başvuru!$C:$C,C306,Başvuru!$L:$L,"GERİ ÇEKİLDİ",Başvuru!$A:$A,"&lt;&gt;"&amp;"",Başvuru!$F:$F,"&lt;&gt;"&amp;""))</f>
        <v>0</v>
      </c>
      <c r="Q306" s="170" t="str">
        <f>IFERROR(INDEX(Başvuru!$C$2:$C$1851,MATCH(301,Başvuru!$AB$2:$AB$1851,0)),"")</f>
        <v>Prof. Dr. Selis ÖNEL KAYRAN</v>
      </c>
      <c r="R306" s="171">
        <f>IF(Q306="","",COUNTIFS(Başvuru!$C:$C,Q306,Başvuru!$A:$A,"&lt;&gt;"&amp;"",Başvuru!$F:$F,"&lt;&gt;"&amp;""))</f>
        <v>1</v>
      </c>
      <c r="S306" s="171">
        <f>IF(R306="","",RANK(R306,$R$6:$R$505,0)+COUNTIF($R$6:R306,R306)-1)</f>
        <v>308</v>
      </c>
    </row>
    <row r="307" spans="2:19" ht="23.25" customHeight="1" x14ac:dyDescent="0.25">
      <c r="B307" s="159">
        <v>302</v>
      </c>
      <c r="C307" s="160" t="str">
        <f>IFERROR(INDEX($Q$6:$Q$505,MATCH(302,$S$6:$S$505,0)),"")</f>
        <v>Dr. Öğr. Üyesi Aslı Şan DAĞLI GÜL</v>
      </c>
      <c r="D307" s="161">
        <f>IF(C307="","",COUNTIFS(Başvuru!$C:$C,C307,Başvuru!$A:$A,"&lt;&gt;"&amp;"",Başvuru!$F:$F,"&lt;&gt;"&amp;""))</f>
        <v>1</v>
      </c>
      <c r="E307" s="159" t="str">
        <f>IF(C307="","-",IF(D307&gt;0,TEXT(D307/(COUNTIFS(Başvuru!$A:$A,"&lt;&gt;",Başvuru!$F:$F,"&lt;&gt;")-1)*100,"0.0")&amp;"%","-"))</f>
        <v>00%</v>
      </c>
      <c r="F307" s="162">
        <f>IF(C307="","",COUNTIFS(Başvuru!$C:$C,C307,Başvuru!$G:$G,"Bireysel Araştırma",Başvuru!$A:$A,"&lt;&gt;"&amp;"",Başvuru!$F:$F,"&lt;&gt;"&amp;""))</f>
        <v>1</v>
      </c>
      <c r="G307" s="162">
        <f>IF(C307="","",COUNTIFS(Başvuru!$C:$C,C307,Başvuru!$G:$G,"Uzmanlık Tezi",Başvuru!$A:$A,"&lt;&gt;"&amp;"",Başvuru!$F:$F,"&lt;&gt;"&amp;""))</f>
        <v>0</v>
      </c>
      <c r="H307" s="162">
        <f>IF(C307="","",COUNTIFS(Başvuru!$C:$C,C307,Başvuru!$G:$G,"Doktora Tezi",Başvuru!$A:$A,"&lt;&gt;"&amp;"",Başvuru!$F:$F,"&lt;&gt;"&amp;""))</f>
        <v>0</v>
      </c>
      <c r="I307" s="162">
        <f>IF(C307="","",COUNTIFS(Başvuru!$C:$C,C307,Başvuru!$G:$G,"Yüksek Lisans Tezi",Başvuru!$A:$A,"&lt;&gt;"&amp;"",Başvuru!$F:$F,"&lt;&gt;"&amp;""))</f>
        <v>0</v>
      </c>
      <c r="J307" s="163">
        <f>IF(C307="","",COUNTIFS(Başvuru!$C:$C,C307,Başvuru!$L:$L,"ONAY",Başvuru!$A:$A,"&lt;&gt;"&amp;"",Başvuru!$F:$F,"&lt;&gt;"&amp;""))</f>
        <v>0</v>
      </c>
      <c r="K307" s="164">
        <f>IF(C307="","",COUNTIFS(Başvuru!$C:$C,C307,Başvuru!$L:$L,"DÜZELTME",Başvuru!$A:$A,"&lt;&gt;"&amp;"",Başvuru!$F:$F,"&lt;&gt;"&amp;""))</f>
        <v>1</v>
      </c>
      <c r="L307" s="165">
        <f>IF(C307="","",COUNTIFS(Başvuru!$C:$C,C307,Başvuru!$L:$L,"KAEK",Başvuru!$A:$A,"&lt;&gt;"&amp;"",Başvuru!$F:$F,"&lt;&gt;"&amp;""))</f>
        <v>0</v>
      </c>
      <c r="M307" s="166">
        <f>IF(C307="","",COUNTIFS(Başvuru!$C:$C,C307,Başvuru!$L:$L,"GÖRÜŞ",Başvuru!$A:$A,"&lt;&gt;"&amp;"",Başvuru!$F:$F,"&lt;&gt;"&amp;""))</f>
        <v>0</v>
      </c>
      <c r="N307" s="167">
        <f>IF(C307="","",COUNTIFS(Başvuru!$C:$C,C307,Başvuru!$L:$L,"RET",Başvuru!$A:$A,"&lt;&gt;"&amp;"",Başvuru!$F:$F,"&lt;&gt;"&amp;""))</f>
        <v>0</v>
      </c>
      <c r="O307" s="168">
        <f>IF(C307="","",COUNTIFS(Başvuru!$C:$C,C307,Başvuru!$L:$L,"KAPSAM DIŞI",Başvuru!$A:$A,"&lt;&gt;"&amp;"",Başvuru!$F:$F,"&lt;&gt;"&amp;""))</f>
        <v>0</v>
      </c>
      <c r="P307" s="169">
        <f>IF(C307="","",COUNTIFS(Başvuru!$C:$C,C307,Başvuru!$L:$L,"GERİ ÇEKİLDİ",Başvuru!$A:$A,"&lt;&gt;"&amp;"",Başvuru!$F:$F,"&lt;&gt;"&amp;""))</f>
        <v>0</v>
      </c>
      <c r="Q307" s="170" t="str">
        <f>IFERROR(INDEX(Başvuru!$C$2:$C$1851,MATCH(302,Başvuru!$AB$2:$AB$1851,0)),"")</f>
        <v>Doç. Dr. Ülkühan ÖZTOPRAK</v>
      </c>
      <c r="R307" s="171">
        <f>IF(Q307="","",COUNTIFS(Başvuru!$C:$C,Q307,Başvuru!$A:$A,"&lt;&gt;"&amp;"",Başvuru!$F:$F,"&lt;&gt;"&amp;""))</f>
        <v>1</v>
      </c>
      <c r="S307" s="171">
        <f>IF(R307="","",RANK(R307,$R$6:$R$505,0)+COUNTIF($R$6:R307,R307)-1)</f>
        <v>309</v>
      </c>
    </row>
    <row r="308" spans="2:19" ht="23.25" customHeight="1" x14ac:dyDescent="0.25">
      <c r="B308" s="159">
        <v>303</v>
      </c>
      <c r="C308" s="160" t="str">
        <f>IFERROR(INDEX($Q$6:$Q$505,MATCH(303,$S$6:$S$505,0)),"")</f>
        <v>Prof. Dr. İlker ERTUĞRUL</v>
      </c>
      <c r="D308" s="161">
        <f>IF(C308="","",COUNTIFS(Başvuru!$C:$C,C308,Başvuru!$A:$A,"&lt;&gt;"&amp;"",Başvuru!$F:$F,"&lt;&gt;"&amp;""))</f>
        <v>1</v>
      </c>
      <c r="E308" s="159" t="str">
        <f>IF(C308="","-",IF(D308&gt;0,TEXT(D308/(COUNTIFS(Başvuru!$A:$A,"&lt;&gt;",Başvuru!$F:$F,"&lt;&gt;")-1)*100,"0.0")&amp;"%","-"))</f>
        <v>00%</v>
      </c>
      <c r="F308" s="162">
        <f>IF(C308="","",COUNTIFS(Başvuru!$C:$C,C308,Başvuru!$G:$G,"Bireysel Araştırma",Başvuru!$A:$A,"&lt;&gt;"&amp;"",Başvuru!$F:$F,"&lt;&gt;"&amp;""))</f>
        <v>1</v>
      </c>
      <c r="G308" s="162">
        <f>IF(C308="","",COUNTIFS(Başvuru!$C:$C,C308,Başvuru!$G:$G,"Uzmanlık Tezi",Başvuru!$A:$A,"&lt;&gt;"&amp;"",Başvuru!$F:$F,"&lt;&gt;"&amp;""))</f>
        <v>0</v>
      </c>
      <c r="H308" s="162">
        <f>IF(C308="","",COUNTIFS(Başvuru!$C:$C,C308,Başvuru!$G:$G,"Doktora Tezi",Başvuru!$A:$A,"&lt;&gt;"&amp;"",Başvuru!$F:$F,"&lt;&gt;"&amp;""))</f>
        <v>0</v>
      </c>
      <c r="I308" s="162">
        <f>IF(C308="","",COUNTIFS(Başvuru!$C:$C,C308,Başvuru!$G:$G,"Yüksek Lisans Tezi",Başvuru!$A:$A,"&lt;&gt;"&amp;"",Başvuru!$F:$F,"&lt;&gt;"&amp;""))</f>
        <v>0</v>
      </c>
      <c r="J308" s="163">
        <f>IF(C308="","",COUNTIFS(Başvuru!$C:$C,C308,Başvuru!$L:$L,"ONAY",Başvuru!$A:$A,"&lt;&gt;"&amp;"",Başvuru!$F:$F,"&lt;&gt;"&amp;""))</f>
        <v>1</v>
      </c>
      <c r="K308" s="164">
        <f>IF(C308="","",COUNTIFS(Başvuru!$C:$C,C308,Başvuru!$L:$L,"DÜZELTME",Başvuru!$A:$A,"&lt;&gt;"&amp;"",Başvuru!$F:$F,"&lt;&gt;"&amp;""))</f>
        <v>0</v>
      </c>
      <c r="L308" s="165">
        <f>IF(C308="","",COUNTIFS(Başvuru!$C:$C,C308,Başvuru!$L:$L,"KAEK",Başvuru!$A:$A,"&lt;&gt;"&amp;"",Başvuru!$F:$F,"&lt;&gt;"&amp;""))</f>
        <v>0</v>
      </c>
      <c r="M308" s="166">
        <f>IF(C308="","",COUNTIFS(Başvuru!$C:$C,C308,Başvuru!$L:$L,"GÖRÜŞ",Başvuru!$A:$A,"&lt;&gt;"&amp;"",Başvuru!$F:$F,"&lt;&gt;"&amp;""))</f>
        <v>0</v>
      </c>
      <c r="N308" s="167">
        <f>IF(C308="","",COUNTIFS(Başvuru!$C:$C,C308,Başvuru!$L:$L,"RET",Başvuru!$A:$A,"&lt;&gt;"&amp;"",Başvuru!$F:$F,"&lt;&gt;"&amp;""))</f>
        <v>0</v>
      </c>
      <c r="O308" s="168">
        <f>IF(C308="","",COUNTIFS(Başvuru!$C:$C,C308,Başvuru!$L:$L,"KAPSAM DIŞI",Başvuru!$A:$A,"&lt;&gt;"&amp;"",Başvuru!$F:$F,"&lt;&gt;"&amp;""))</f>
        <v>0</v>
      </c>
      <c r="P308" s="169">
        <f>IF(C308="","",COUNTIFS(Başvuru!$C:$C,C308,Başvuru!$L:$L,"GERİ ÇEKİLDİ",Başvuru!$A:$A,"&lt;&gt;"&amp;"",Başvuru!$F:$F,"&lt;&gt;"&amp;""))</f>
        <v>0</v>
      </c>
      <c r="Q308" s="170" t="str">
        <f>IFERROR(INDEX(Başvuru!$C$2:$C$1851,MATCH(303,Başvuru!$AB$2:$AB$1851,0)),"")</f>
        <v>Dr. Öğr. Üyesi Eylem Şerife KALKAN</v>
      </c>
      <c r="R308" s="171">
        <f>IF(Q308="","",COUNTIFS(Başvuru!$C:$C,Q308,Başvuru!$A:$A,"&lt;&gt;"&amp;"",Başvuru!$F:$F,"&lt;&gt;"&amp;""))</f>
        <v>1</v>
      </c>
      <c r="S308" s="171">
        <f>IF(R308="","",RANK(R308,$R$6:$R$505,0)+COUNTIF($R$6:R308,R308)-1)</f>
        <v>310</v>
      </c>
    </row>
    <row r="309" spans="2:19" ht="23.25" customHeight="1" x14ac:dyDescent="0.25">
      <c r="B309" s="159">
        <v>304</v>
      </c>
      <c r="C309" s="160" t="str">
        <f>IFERROR(INDEX($Q$6:$Q$505,MATCH(304,$S$6:$S$505,0)),"")</f>
        <v>Prof. Dr. Uzay KOÇ VURAL</v>
      </c>
      <c r="D309" s="161">
        <f>IF(C309="","",COUNTIFS(Başvuru!$C:$C,C309,Başvuru!$A:$A,"&lt;&gt;"&amp;"",Başvuru!$F:$F,"&lt;&gt;"&amp;""))</f>
        <v>1</v>
      </c>
      <c r="E309" s="159" t="str">
        <f>IF(C309="","-",IF(D309&gt;0,TEXT(D309/(COUNTIFS(Başvuru!$A:$A,"&lt;&gt;",Başvuru!$F:$F,"&lt;&gt;")-1)*100,"0.0")&amp;"%","-"))</f>
        <v>00%</v>
      </c>
      <c r="F309" s="162">
        <f>IF(C309="","",COUNTIFS(Başvuru!$C:$C,C309,Başvuru!$G:$G,"Bireysel Araştırma",Başvuru!$A:$A,"&lt;&gt;"&amp;"",Başvuru!$F:$F,"&lt;&gt;"&amp;""))</f>
        <v>1</v>
      </c>
      <c r="G309" s="162">
        <f>IF(C309="","",COUNTIFS(Başvuru!$C:$C,C309,Başvuru!$G:$G,"Uzmanlık Tezi",Başvuru!$A:$A,"&lt;&gt;"&amp;"",Başvuru!$F:$F,"&lt;&gt;"&amp;""))</f>
        <v>0</v>
      </c>
      <c r="H309" s="162">
        <f>IF(C309="","",COUNTIFS(Başvuru!$C:$C,C309,Başvuru!$G:$G,"Doktora Tezi",Başvuru!$A:$A,"&lt;&gt;"&amp;"",Başvuru!$F:$F,"&lt;&gt;"&amp;""))</f>
        <v>0</v>
      </c>
      <c r="I309" s="162">
        <f>IF(C309="","",COUNTIFS(Başvuru!$C:$C,C309,Başvuru!$G:$G,"Yüksek Lisans Tezi",Başvuru!$A:$A,"&lt;&gt;"&amp;"",Başvuru!$F:$F,"&lt;&gt;"&amp;""))</f>
        <v>0</v>
      </c>
      <c r="J309" s="163">
        <f>IF(C309="","",COUNTIFS(Başvuru!$C:$C,C309,Başvuru!$L:$L,"ONAY",Başvuru!$A:$A,"&lt;&gt;"&amp;"",Başvuru!$F:$F,"&lt;&gt;"&amp;""))</f>
        <v>1</v>
      </c>
      <c r="K309" s="164">
        <f>IF(C309="","",COUNTIFS(Başvuru!$C:$C,C309,Başvuru!$L:$L,"DÜZELTME",Başvuru!$A:$A,"&lt;&gt;"&amp;"",Başvuru!$F:$F,"&lt;&gt;"&amp;""))</f>
        <v>0</v>
      </c>
      <c r="L309" s="165">
        <f>IF(C309="","",COUNTIFS(Başvuru!$C:$C,C309,Başvuru!$L:$L,"KAEK",Başvuru!$A:$A,"&lt;&gt;"&amp;"",Başvuru!$F:$F,"&lt;&gt;"&amp;""))</f>
        <v>0</v>
      </c>
      <c r="M309" s="166">
        <f>IF(C309="","",COUNTIFS(Başvuru!$C:$C,C309,Başvuru!$L:$L,"GÖRÜŞ",Başvuru!$A:$A,"&lt;&gt;"&amp;"",Başvuru!$F:$F,"&lt;&gt;"&amp;""))</f>
        <v>0</v>
      </c>
      <c r="N309" s="167">
        <f>IF(C309="","",COUNTIFS(Başvuru!$C:$C,C309,Başvuru!$L:$L,"RET",Başvuru!$A:$A,"&lt;&gt;"&amp;"",Başvuru!$F:$F,"&lt;&gt;"&amp;""))</f>
        <v>0</v>
      </c>
      <c r="O309" s="168">
        <f>IF(C309="","",COUNTIFS(Başvuru!$C:$C,C309,Başvuru!$L:$L,"KAPSAM DIŞI",Başvuru!$A:$A,"&lt;&gt;"&amp;"",Başvuru!$F:$F,"&lt;&gt;"&amp;""))</f>
        <v>0</v>
      </c>
      <c r="P309" s="169">
        <f>IF(C309="","",COUNTIFS(Başvuru!$C:$C,C309,Başvuru!$L:$L,"GERİ ÇEKİLDİ",Başvuru!$A:$A,"&lt;&gt;"&amp;"",Başvuru!$F:$F,"&lt;&gt;"&amp;""))</f>
        <v>0</v>
      </c>
      <c r="Q309" s="170" t="str">
        <f>IFERROR(INDEX(Başvuru!$C$2:$C$1851,MATCH(304,Başvuru!$AB$2:$AB$1851,0)),"")</f>
        <v>Dr. Öğr. Üyesi Gülden OLGUN</v>
      </c>
      <c r="R309" s="171">
        <f>IF(Q309="","",COUNTIFS(Başvuru!$C:$C,Q309,Başvuru!$A:$A,"&lt;&gt;"&amp;"",Başvuru!$F:$F,"&lt;&gt;"&amp;""))</f>
        <v>1</v>
      </c>
      <c r="S309" s="171">
        <f>IF(R309="","",RANK(R309,$R$6:$R$505,0)+COUNTIF($R$6:R309,R309)-1)</f>
        <v>311</v>
      </c>
    </row>
    <row r="310" spans="2:19" ht="23.25" customHeight="1" x14ac:dyDescent="0.25">
      <c r="B310" s="159">
        <v>305</v>
      </c>
      <c r="C310" s="160" t="str">
        <f>IFERROR(INDEX($Q$6:$Q$505,MATCH(305,$S$6:$S$505,0)),"")</f>
        <v>Prof. Dr. Reyhan ATASÜ TOPÇUOĞLU</v>
      </c>
      <c r="D310" s="161">
        <f>IF(C310="","",COUNTIFS(Başvuru!$C:$C,C310,Başvuru!$A:$A,"&lt;&gt;"&amp;"",Başvuru!$F:$F,"&lt;&gt;"&amp;""))</f>
        <v>1</v>
      </c>
      <c r="E310" s="159" t="str">
        <f>IF(C310="","-",IF(D310&gt;0,TEXT(D310/(COUNTIFS(Başvuru!$A:$A,"&lt;&gt;",Başvuru!$F:$F,"&lt;&gt;")-1)*100,"0.0")&amp;"%","-"))</f>
        <v>00%</v>
      </c>
      <c r="F310" s="162">
        <f>IF(C310="","",COUNTIFS(Başvuru!$C:$C,C310,Başvuru!$G:$G,"Bireysel Araştırma",Başvuru!$A:$A,"&lt;&gt;"&amp;"",Başvuru!$F:$F,"&lt;&gt;"&amp;""))</f>
        <v>0</v>
      </c>
      <c r="G310" s="162">
        <f>IF(C310="","",COUNTIFS(Başvuru!$C:$C,C310,Başvuru!$G:$G,"Uzmanlık Tezi",Başvuru!$A:$A,"&lt;&gt;"&amp;"",Başvuru!$F:$F,"&lt;&gt;"&amp;""))</f>
        <v>0</v>
      </c>
      <c r="H310" s="162">
        <f>IF(C310="","",COUNTIFS(Başvuru!$C:$C,C310,Başvuru!$G:$G,"Doktora Tezi",Başvuru!$A:$A,"&lt;&gt;"&amp;"",Başvuru!$F:$F,"&lt;&gt;"&amp;""))</f>
        <v>1</v>
      </c>
      <c r="I310" s="162">
        <f>IF(C310="","",COUNTIFS(Başvuru!$C:$C,C310,Başvuru!$G:$G,"Yüksek Lisans Tezi",Başvuru!$A:$A,"&lt;&gt;"&amp;"",Başvuru!$F:$F,"&lt;&gt;"&amp;""))</f>
        <v>0</v>
      </c>
      <c r="J310" s="163">
        <f>IF(C310="","",COUNTIFS(Başvuru!$C:$C,C310,Başvuru!$L:$L,"ONAY",Başvuru!$A:$A,"&lt;&gt;"&amp;"",Başvuru!$F:$F,"&lt;&gt;"&amp;""))</f>
        <v>0</v>
      </c>
      <c r="K310" s="164">
        <f>IF(C310="","",COUNTIFS(Başvuru!$C:$C,C310,Başvuru!$L:$L,"DÜZELTME",Başvuru!$A:$A,"&lt;&gt;"&amp;"",Başvuru!$F:$F,"&lt;&gt;"&amp;""))</f>
        <v>1</v>
      </c>
      <c r="L310" s="165">
        <f>IF(C310="","",COUNTIFS(Başvuru!$C:$C,C310,Başvuru!$L:$L,"KAEK",Başvuru!$A:$A,"&lt;&gt;"&amp;"",Başvuru!$F:$F,"&lt;&gt;"&amp;""))</f>
        <v>0</v>
      </c>
      <c r="M310" s="166">
        <f>IF(C310="","",COUNTIFS(Başvuru!$C:$C,C310,Başvuru!$L:$L,"GÖRÜŞ",Başvuru!$A:$A,"&lt;&gt;"&amp;"",Başvuru!$F:$F,"&lt;&gt;"&amp;""))</f>
        <v>0</v>
      </c>
      <c r="N310" s="167">
        <f>IF(C310="","",COUNTIFS(Başvuru!$C:$C,C310,Başvuru!$L:$L,"RET",Başvuru!$A:$A,"&lt;&gt;"&amp;"",Başvuru!$F:$F,"&lt;&gt;"&amp;""))</f>
        <v>0</v>
      </c>
      <c r="O310" s="168">
        <f>IF(C310="","",COUNTIFS(Başvuru!$C:$C,C310,Başvuru!$L:$L,"KAPSAM DIŞI",Başvuru!$A:$A,"&lt;&gt;"&amp;"",Başvuru!$F:$F,"&lt;&gt;"&amp;""))</f>
        <v>0</v>
      </c>
      <c r="P310" s="169">
        <f>IF(C310="","",COUNTIFS(Başvuru!$C:$C,C310,Başvuru!$L:$L,"GERİ ÇEKİLDİ",Başvuru!$A:$A,"&lt;&gt;"&amp;"",Başvuru!$F:$F,"&lt;&gt;"&amp;""))</f>
        <v>0</v>
      </c>
      <c r="Q310" s="170" t="str">
        <f>IFERROR(INDEX(Başvuru!$C$2:$C$1851,MATCH(305,Başvuru!$AB$2:$AB$1851,0)),"")</f>
        <v>Arş. Gör. Dr. Kadir İNTAŞ</v>
      </c>
      <c r="R310" s="171">
        <f>IF(Q310="","",COUNTIFS(Başvuru!$C:$C,Q310,Başvuru!$A:$A,"&lt;&gt;"&amp;"",Başvuru!$F:$F,"&lt;&gt;"&amp;""))</f>
        <v>2</v>
      </c>
      <c r="S310" s="171">
        <f>IF(R310="","",RANK(R310,$R$6:$R$505,0)+COUNTIF($R$6:R310,R310)-1)</f>
        <v>151</v>
      </c>
    </row>
    <row r="311" spans="2:19" ht="23.25" customHeight="1" x14ac:dyDescent="0.25">
      <c r="B311" s="159">
        <v>306</v>
      </c>
      <c r="C311" s="160" t="str">
        <f>IFERROR(INDEX($Q$6:$Q$505,MATCH(306,$S$6:$S$505,0)),"")</f>
        <v>Dr. Öğr. Üyesi Yavuz Kemal ARIBAŞ</v>
      </c>
      <c r="D311" s="161">
        <f>IF(C311="","",COUNTIFS(Başvuru!$C:$C,C311,Başvuru!$A:$A,"&lt;&gt;"&amp;"",Başvuru!$F:$F,"&lt;&gt;"&amp;""))</f>
        <v>1</v>
      </c>
      <c r="E311" s="159" t="str">
        <f>IF(C311="","-",IF(D311&gt;0,TEXT(D311/(COUNTIFS(Başvuru!$A:$A,"&lt;&gt;",Başvuru!$F:$F,"&lt;&gt;")-1)*100,"0.0")&amp;"%","-"))</f>
        <v>00%</v>
      </c>
      <c r="F311" s="162">
        <f>IF(C311="","",COUNTIFS(Başvuru!$C:$C,C311,Başvuru!$G:$G,"Bireysel Araştırma",Başvuru!$A:$A,"&lt;&gt;"&amp;"",Başvuru!$F:$F,"&lt;&gt;"&amp;""))</f>
        <v>1</v>
      </c>
      <c r="G311" s="162">
        <f>IF(C311="","",COUNTIFS(Başvuru!$C:$C,C311,Başvuru!$G:$G,"Uzmanlık Tezi",Başvuru!$A:$A,"&lt;&gt;"&amp;"",Başvuru!$F:$F,"&lt;&gt;"&amp;""))</f>
        <v>0</v>
      </c>
      <c r="H311" s="162">
        <f>IF(C311="","",COUNTIFS(Başvuru!$C:$C,C311,Başvuru!$G:$G,"Doktora Tezi",Başvuru!$A:$A,"&lt;&gt;"&amp;"",Başvuru!$F:$F,"&lt;&gt;"&amp;""))</f>
        <v>0</v>
      </c>
      <c r="I311" s="162">
        <f>IF(C311="","",COUNTIFS(Başvuru!$C:$C,C311,Başvuru!$G:$G,"Yüksek Lisans Tezi",Başvuru!$A:$A,"&lt;&gt;"&amp;"",Başvuru!$F:$F,"&lt;&gt;"&amp;""))</f>
        <v>0</v>
      </c>
      <c r="J311" s="163">
        <f>IF(C311="","",COUNTIFS(Başvuru!$C:$C,C311,Başvuru!$L:$L,"ONAY",Başvuru!$A:$A,"&lt;&gt;"&amp;"",Başvuru!$F:$F,"&lt;&gt;"&amp;""))</f>
        <v>0</v>
      </c>
      <c r="K311" s="164">
        <f>IF(C311="","",COUNTIFS(Başvuru!$C:$C,C311,Başvuru!$L:$L,"DÜZELTME",Başvuru!$A:$A,"&lt;&gt;"&amp;"",Başvuru!$F:$F,"&lt;&gt;"&amp;""))</f>
        <v>0</v>
      </c>
      <c r="L311" s="165">
        <f>IF(C311="","",COUNTIFS(Başvuru!$C:$C,C311,Başvuru!$L:$L,"KAEK",Başvuru!$A:$A,"&lt;&gt;"&amp;"",Başvuru!$F:$F,"&lt;&gt;"&amp;""))</f>
        <v>0</v>
      </c>
      <c r="M311" s="166">
        <f>IF(C311="","",COUNTIFS(Başvuru!$C:$C,C311,Başvuru!$L:$L,"GÖRÜŞ",Başvuru!$A:$A,"&lt;&gt;"&amp;"",Başvuru!$F:$F,"&lt;&gt;"&amp;""))</f>
        <v>0</v>
      </c>
      <c r="N311" s="167">
        <f>IF(C311="","",COUNTIFS(Başvuru!$C:$C,C311,Başvuru!$L:$L,"RET",Başvuru!$A:$A,"&lt;&gt;"&amp;"",Başvuru!$F:$F,"&lt;&gt;"&amp;""))</f>
        <v>1</v>
      </c>
      <c r="O311" s="168">
        <f>IF(C311="","",COUNTIFS(Başvuru!$C:$C,C311,Başvuru!$L:$L,"KAPSAM DIŞI",Başvuru!$A:$A,"&lt;&gt;"&amp;"",Başvuru!$F:$F,"&lt;&gt;"&amp;""))</f>
        <v>0</v>
      </c>
      <c r="P311" s="169">
        <f>IF(C311="","",COUNTIFS(Başvuru!$C:$C,C311,Başvuru!$L:$L,"GERİ ÇEKİLDİ",Başvuru!$A:$A,"&lt;&gt;"&amp;"",Başvuru!$F:$F,"&lt;&gt;"&amp;""))</f>
        <v>0</v>
      </c>
      <c r="Q311" s="170" t="str">
        <f>IFERROR(INDEX(Başvuru!$C$2:$C$1851,MATCH(306,Başvuru!$AB$2:$AB$1851,0)),"")</f>
        <v>Prof. Dr. Şükrü Alpan CİNEMRE</v>
      </c>
      <c r="R311" s="171">
        <f>IF(Q311="","",COUNTIFS(Başvuru!$C:$C,Q311,Başvuru!$A:$A,"&lt;&gt;"&amp;"",Başvuru!$F:$F,"&lt;&gt;"&amp;""))</f>
        <v>1</v>
      </c>
      <c r="S311" s="171">
        <f>IF(R311="","",RANK(R311,$R$6:$R$505,0)+COUNTIF($R$6:R311,R311)-1)</f>
        <v>312</v>
      </c>
    </row>
    <row r="312" spans="2:19" ht="23.25" customHeight="1" x14ac:dyDescent="0.25">
      <c r="B312" s="159">
        <v>307</v>
      </c>
      <c r="C312" s="160" t="str">
        <f>IFERROR(INDEX($Q$6:$Q$505,MATCH(307,$S$6:$S$505,0)),"")</f>
        <v>Dr. Öğr. Üyesi Aydın Onur GERÇEK</v>
      </c>
      <c r="D312" s="161">
        <f>IF(C312="","",COUNTIFS(Başvuru!$C:$C,C312,Başvuru!$A:$A,"&lt;&gt;"&amp;"",Başvuru!$F:$F,"&lt;&gt;"&amp;""))</f>
        <v>1</v>
      </c>
      <c r="E312" s="159" t="str">
        <f>IF(C312="","-",IF(D312&gt;0,TEXT(D312/(COUNTIFS(Başvuru!$A:$A,"&lt;&gt;",Başvuru!$F:$F,"&lt;&gt;")-1)*100,"0.0")&amp;"%","-"))</f>
        <v>00%</v>
      </c>
      <c r="F312" s="162">
        <f>IF(C312="","",COUNTIFS(Başvuru!$C:$C,C312,Başvuru!$G:$G,"Bireysel Araştırma",Başvuru!$A:$A,"&lt;&gt;"&amp;"",Başvuru!$F:$F,"&lt;&gt;"&amp;""))</f>
        <v>1</v>
      </c>
      <c r="G312" s="162">
        <f>IF(C312="","",COUNTIFS(Başvuru!$C:$C,C312,Başvuru!$G:$G,"Uzmanlık Tezi",Başvuru!$A:$A,"&lt;&gt;"&amp;"",Başvuru!$F:$F,"&lt;&gt;"&amp;""))</f>
        <v>0</v>
      </c>
      <c r="H312" s="162">
        <f>IF(C312="","",COUNTIFS(Başvuru!$C:$C,C312,Başvuru!$G:$G,"Doktora Tezi",Başvuru!$A:$A,"&lt;&gt;"&amp;"",Başvuru!$F:$F,"&lt;&gt;"&amp;""))</f>
        <v>0</v>
      </c>
      <c r="I312" s="162">
        <f>IF(C312="","",COUNTIFS(Başvuru!$C:$C,C312,Başvuru!$G:$G,"Yüksek Lisans Tezi",Başvuru!$A:$A,"&lt;&gt;"&amp;"",Başvuru!$F:$F,"&lt;&gt;"&amp;""))</f>
        <v>0</v>
      </c>
      <c r="J312" s="163">
        <f>IF(C312="","",COUNTIFS(Başvuru!$C:$C,C312,Başvuru!$L:$L,"ONAY",Başvuru!$A:$A,"&lt;&gt;"&amp;"",Başvuru!$F:$F,"&lt;&gt;"&amp;""))</f>
        <v>1</v>
      </c>
      <c r="K312" s="164">
        <f>IF(C312="","",COUNTIFS(Başvuru!$C:$C,C312,Başvuru!$L:$L,"DÜZELTME",Başvuru!$A:$A,"&lt;&gt;"&amp;"",Başvuru!$F:$F,"&lt;&gt;"&amp;""))</f>
        <v>0</v>
      </c>
      <c r="L312" s="165">
        <f>IF(C312="","",COUNTIFS(Başvuru!$C:$C,C312,Başvuru!$L:$L,"KAEK",Başvuru!$A:$A,"&lt;&gt;"&amp;"",Başvuru!$F:$F,"&lt;&gt;"&amp;""))</f>
        <v>0</v>
      </c>
      <c r="M312" s="166">
        <f>IF(C312="","",COUNTIFS(Başvuru!$C:$C,C312,Başvuru!$L:$L,"GÖRÜŞ",Başvuru!$A:$A,"&lt;&gt;"&amp;"",Başvuru!$F:$F,"&lt;&gt;"&amp;""))</f>
        <v>0</v>
      </c>
      <c r="N312" s="167">
        <f>IF(C312="","",COUNTIFS(Başvuru!$C:$C,C312,Başvuru!$L:$L,"RET",Başvuru!$A:$A,"&lt;&gt;"&amp;"",Başvuru!$F:$F,"&lt;&gt;"&amp;""))</f>
        <v>0</v>
      </c>
      <c r="O312" s="168">
        <f>IF(C312="","",COUNTIFS(Başvuru!$C:$C,C312,Başvuru!$L:$L,"KAPSAM DIŞI",Başvuru!$A:$A,"&lt;&gt;"&amp;"",Başvuru!$F:$F,"&lt;&gt;"&amp;""))</f>
        <v>0</v>
      </c>
      <c r="P312" s="169">
        <f>IF(C312="","",COUNTIFS(Başvuru!$C:$C,C312,Başvuru!$L:$L,"GERİ ÇEKİLDİ",Başvuru!$A:$A,"&lt;&gt;"&amp;"",Başvuru!$F:$F,"&lt;&gt;"&amp;""))</f>
        <v>0</v>
      </c>
      <c r="Q312" s="170" t="str">
        <f>IFERROR(INDEX(Başvuru!$C$2:$C$1851,MATCH(307,Başvuru!$AB$2:$AB$1851,0)),"")</f>
        <v>Doç. Dr. Ferdi ÇAY</v>
      </c>
      <c r="R312" s="171">
        <f>IF(Q312="","",COUNTIFS(Başvuru!$C:$C,Q312,Başvuru!$A:$A,"&lt;&gt;"&amp;"",Başvuru!$F:$F,"&lt;&gt;"&amp;""))</f>
        <v>1</v>
      </c>
      <c r="S312" s="171">
        <f>IF(R312="","",RANK(R312,$R$6:$R$505,0)+COUNTIF($R$6:R312,R312)-1)</f>
        <v>313</v>
      </c>
    </row>
    <row r="313" spans="2:19" ht="23.25" customHeight="1" x14ac:dyDescent="0.25">
      <c r="B313" s="159">
        <v>308</v>
      </c>
      <c r="C313" s="160" t="str">
        <f>IFERROR(INDEX($Q$6:$Q$505,MATCH(308,$S$6:$S$505,0)),"")</f>
        <v>Prof. Dr. Selis ÖNEL KAYRAN</v>
      </c>
      <c r="D313" s="161">
        <f>IF(C313="","",COUNTIFS(Başvuru!$C:$C,C313,Başvuru!$A:$A,"&lt;&gt;"&amp;"",Başvuru!$F:$F,"&lt;&gt;"&amp;""))</f>
        <v>1</v>
      </c>
      <c r="E313" s="159" t="str">
        <f>IF(C313="","-",IF(D313&gt;0,TEXT(D313/(COUNTIFS(Başvuru!$A:$A,"&lt;&gt;",Başvuru!$F:$F,"&lt;&gt;")-1)*100,"0.0")&amp;"%","-"))</f>
        <v>00%</v>
      </c>
      <c r="F313" s="162">
        <f>IF(C313="","",COUNTIFS(Başvuru!$C:$C,C313,Başvuru!$G:$G,"Bireysel Araştırma",Başvuru!$A:$A,"&lt;&gt;"&amp;"",Başvuru!$F:$F,"&lt;&gt;"&amp;""))</f>
        <v>0</v>
      </c>
      <c r="G313" s="162">
        <f>IF(C313="","",COUNTIFS(Başvuru!$C:$C,C313,Başvuru!$G:$G,"Uzmanlık Tezi",Başvuru!$A:$A,"&lt;&gt;"&amp;"",Başvuru!$F:$F,"&lt;&gt;"&amp;""))</f>
        <v>0</v>
      </c>
      <c r="H313" s="162">
        <f>IF(C313="","",COUNTIFS(Başvuru!$C:$C,C313,Başvuru!$G:$G,"Doktora Tezi",Başvuru!$A:$A,"&lt;&gt;"&amp;"",Başvuru!$F:$F,"&lt;&gt;"&amp;""))</f>
        <v>1</v>
      </c>
      <c r="I313" s="162">
        <f>IF(C313="","",COUNTIFS(Başvuru!$C:$C,C313,Başvuru!$G:$G,"Yüksek Lisans Tezi",Başvuru!$A:$A,"&lt;&gt;"&amp;"",Başvuru!$F:$F,"&lt;&gt;"&amp;""))</f>
        <v>0</v>
      </c>
      <c r="J313" s="163">
        <f>IF(C313="","",COUNTIFS(Başvuru!$C:$C,C313,Başvuru!$L:$L,"ONAY",Başvuru!$A:$A,"&lt;&gt;"&amp;"",Başvuru!$F:$F,"&lt;&gt;"&amp;""))</f>
        <v>0</v>
      </c>
      <c r="K313" s="164">
        <f>IF(C313="","",COUNTIFS(Başvuru!$C:$C,C313,Başvuru!$L:$L,"DÜZELTME",Başvuru!$A:$A,"&lt;&gt;"&amp;"",Başvuru!$F:$F,"&lt;&gt;"&amp;""))</f>
        <v>1</v>
      </c>
      <c r="L313" s="165">
        <f>IF(C313="","",COUNTIFS(Başvuru!$C:$C,C313,Başvuru!$L:$L,"KAEK",Başvuru!$A:$A,"&lt;&gt;"&amp;"",Başvuru!$F:$F,"&lt;&gt;"&amp;""))</f>
        <v>0</v>
      </c>
      <c r="M313" s="166">
        <f>IF(C313="","",COUNTIFS(Başvuru!$C:$C,C313,Başvuru!$L:$L,"GÖRÜŞ",Başvuru!$A:$A,"&lt;&gt;"&amp;"",Başvuru!$F:$F,"&lt;&gt;"&amp;""))</f>
        <v>0</v>
      </c>
      <c r="N313" s="167">
        <f>IF(C313="","",COUNTIFS(Başvuru!$C:$C,C313,Başvuru!$L:$L,"RET",Başvuru!$A:$A,"&lt;&gt;"&amp;"",Başvuru!$F:$F,"&lt;&gt;"&amp;""))</f>
        <v>0</v>
      </c>
      <c r="O313" s="168">
        <f>IF(C313="","",COUNTIFS(Başvuru!$C:$C,C313,Başvuru!$L:$L,"KAPSAM DIŞI",Başvuru!$A:$A,"&lt;&gt;"&amp;"",Başvuru!$F:$F,"&lt;&gt;"&amp;""))</f>
        <v>0</v>
      </c>
      <c r="P313" s="169">
        <f>IF(C313="","",COUNTIFS(Başvuru!$C:$C,C313,Başvuru!$L:$L,"GERİ ÇEKİLDİ",Başvuru!$A:$A,"&lt;&gt;"&amp;"",Başvuru!$F:$F,"&lt;&gt;"&amp;""))</f>
        <v>0</v>
      </c>
      <c r="Q313" s="170" t="str">
        <f>IFERROR(INDEX(Başvuru!$C$2:$C$1851,MATCH(308,Başvuru!$AB$2:$AB$1851,0)),"")</f>
        <v>Doç. Dr. Ahmet Erim PAMUK</v>
      </c>
      <c r="R313" s="171">
        <f>IF(Q313="","",COUNTIFS(Başvuru!$C:$C,Q313,Başvuru!$A:$A,"&lt;&gt;"&amp;"",Başvuru!$F:$F,"&lt;&gt;"&amp;""))</f>
        <v>1</v>
      </c>
      <c r="S313" s="171">
        <f>IF(R313="","",RANK(R313,$R$6:$R$505,0)+COUNTIF($R$6:R313,R313)-1)</f>
        <v>314</v>
      </c>
    </row>
    <row r="314" spans="2:19" ht="23.25" customHeight="1" x14ac:dyDescent="0.25">
      <c r="B314" s="159">
        <v>309</v>
      </c>
      <c r="C314" s="160" t="str">
        <f>IFERROR(INDEX($Q$6:$Q$505,MATCH(309,$S$6:$S$505,0)),"")</f>
        <v>Doç. Dr. Ülkühan ÖZTOPRAK</v>
      </c>
      <c r="D314" s="161">
        <f>IF(C314="","",COUNTIFS(Başvuru!$C:$C,C314,Başvuru!$A:$A,"&lt;&gt;"&amp;"",Başvuru!$F:$F,"&lt;&gt;"&amp;""))</f>
        <v>1</v>
      </c>
      <c r="E314" s="159" t="str">
        <f>IF(C314="","-",IF(D314&gt;0,TEXT(D314/(COUNTIFS(Başvuru!$A:$A,"&lt;&gt;",Başvuru!$F:$F,"&lt;&gt;")-1)*100,"0.0")&amp;"%","-"))</f>
        <v>00%</v>
      </c>
      <c r="F314" s="162">
        <f>IF(C314="","",COUNTIFS(Başvuru!$C:$C,C314,Başvuru!$G:$G,"Bireysel Araştırma",Başvuru!$A:$A,"&lt;&gt;"&amp;"",Başvuru!$F:$F,"&lt;&gt;"&amp;""))</f>
        <v>1</v>
      </c>
      <c r="G314" s="162">
        <f>IF(C314="","",COUNTIFS(Başvuru!$C:$C,C314,Başvuru!$G:$G,"Uzmanlık Tezi",Başvuru!$A:$A,"&lt;&gt;"&amp;"",Başvuru!$F:$F,"&lt;&gt;"&amp;""))</f>
        <v>0</v>
      </c>
      <c r="H314" s="162">
        <f>IF(C314="","",COUNTIFS(Başvuru!$C:$C,C314,Başvuru!$G:$G,"Doktora Tezi",Başvuru!$A:$A,"&lt;&gt;"&amp;"",Başvuru!$F:$F,"&lt;&gt;"&amp;""))</f>
        <v>0</v>
      </c>
      <c r="I314" s="162">
        <f>IF(C314="","",COUNTIFS(Başvuru!$C:$C,C314,Başvuru!$G:$G,"Yüksek Lisans Tezi",Başvuru!$A:$A,"&lt;&gt;"&amp;"",Başvuru!$F:$F,"&lt;&gt;"&amp;""))</f>
        <v>0</v>
      </c>
      <c r="J314" s="163">
        <f>IF(C314="","",COUNTIFS(Başvuru!$C:$C,C314,Başvuru!$L:$L,"ONAY",Başvuru!$A:$A,"&lt;&gt;"&amp;"",Başvuru!$F:$F,"&lt;&gt;"&amp;""))</f>
        <v>1</v>
      </c>
      <c r="K314" s="164">
        <f>IF(C314="","",COUNTIFS(Başvuru!$C:$C,C314,Başvuru!$L:$L,"DÜZELTME",Başvuru!$A:$A,"&lt;&gt;"&amp;"",Başvuru!$F:$F,"&lt;&gt;"&amp;""))</f>
        <v>0</v>
      </c>
      <c r="L314" s="165">
        <f>IF(C314="","",COUNTIFS(Başvuru!$C:$C,C314,Başvuru!$L:$L,"KAEK",Başvuru!$A:$A,"&lt;&gt;"&amp;"",Başvuru!$F:$F,"&lt;&gt;"&amp;""))</f>
        <v>0</v>
      </c>
      <c r="M314" s="166">
        <f>IF(C314="","",COUNTIFS(Başvuru!$C:$C,C314,Başvuru!$L:$L,"GÖRÜŞ",Başvuru!$A:$A,"&lt;&gt;"&amp;"",Başvuru!$F:$F,"&lt;&gt;"&amp;""))</f>
        <v>0</v>
      </c>
      <c r="N314" s="167">
        <f>IF(C314="","",COUNTIFS(Başvuru!$C:$C,C314,Başvuru!$L:$L,"RET",Başvuru!$A:$A,"&lt;&gt;"&amp;"",Başvuru!$F:$F,"&lt;&gt;"&amp;""))</f>
        <v>0</v>
      </c>
      <c r="O314" s="168">
        <f>IF(C314="","",COUNTIFS(Başvuru!$C:$C,C314,Başvuru!$L:$L,"KAPSAM DIŞI",Başvuru!$A:$A,"&lt;&gt;"&amp;"",Başvuru!$F:$F,"&lt;&gt;"&amp;""))</f>
        <v>0</v>
      </c>
      <c r="P314" s="169">
        <f>IF(C314="","",COUNTIFS(Başvuru!$C:$C,C314,Başvuru!$L:$L,"GERİ ÇEKİLDİ",Başvuru!$A:$A,"&lt;&gt;"&amp;"",Başvuru!$F:$F,"&lt;&gt;"&amp;""))</f>
        <v>0</v>
      </c>
      <c r="Q314" s="170" t="str">
        <f>IFERROR(INDEX(Başvuru!$C$2:$C$1851,MATCH(309,Başvuru!$AB$2:$AB$1851,0)),"")</f>
        <v>Doç. Dr. Yasemin GÜZEL</v>
      </c>
      <c r="R314" s="171">
        <f>IF(Q314="","",COUNTIFS(Başvuru!$C:$C,Q314,Başvuru!$A:$A,"&lt;&gt;"&amp;"",Başvuru!$F:$F,"&lt;&gt;"&amp;""))</f>
        <v>1</v>
      </c>
      <c r="S314" s="171">
        <f>IF(R314="","",RANK(R314,$R$6:$R$505,0)+COUNTIF($R$6:R314,R314)-1)</f>
        <v>315</v>
      </c>
    </row>
    <row r="315" spans="2:19" ht="23.25" customHeight="1" x14ac:dyDescent="0.25">
      <c r="B315" s="159">
        <v>310</v>
      </c>
      <c r="C315" s="160" t="str">
        <f>IFERROR(INDEX($Q$6:$Q$505,MATCH(310,$S$6:$S$505,0)),"")</f>
        <v>Dr. Öğr. Üyesi Eylem Şerife KALKAN</v>
      </c>
      <c r="D315" s="161">
        <f>IF(C315="","",COUNTIFS(Başvuru!$C:$C,C315,Başvuru!$A:$A,"&lt;&gt;"&amp;"",Başvuru!$F:$F,"&lt;&gt;"&amp;""))</f>
        <v>1</v>
      </c>
      <c r="E315" s="159" t="str">
        <f>IF(C315="","-",IF(D315&gt;0,TEXT(D315/(COUNTIFS(Başvuru!$A:$A,"&lt;&gt;",Başvuru!$F:$F,"&lt;&gt;")-1)*100,"0.0")&amp;"%","-"))</f>
        <v>00%</v>
      </c>
      <c r="F315" s="162">
        <f>IF(C315="","",COUNTIFS(Başvuru!$C:$C,C315,Başvuru!$G:$G,"Bireysel Araştırma",Başvuru!$A:$A,"&lt;&gt;"&amp;"",Başvuru!$F:$F,"&lt;&gt;"&amp;""))</f>
        <v>1</v>
      </c>
      <c r="G315" s="162">
        <f>IF(C315="","",COUNTIFS(Başvuru!$C:$C,C315,Başvuru!$G:$G,"Uzmanlık Tezi",Başvuru!$A:$A,"&lt;&gt;"&amp;"",Başvuru!$F:$F,"&lt;&gt;"&amp;""))</f>
        <v>0</v>
      </c>
      <c r="H315" s="162">
        <f>IF(C315="","",COUNTIFS(Başvuru!$C:$C,C315,Başvuru!$G:$G,"Doktora Tezi",Başvuru!$A:$A,"&lt;&gt;"&amp;"",Başvuru!$F:$F,"&lt;&gt;"&amp;""))</f>
        <v>0</v>
      </c>
      <c r="I315" s="162">
        <f>IF(C315="","",COUNTIFS(Başvuru!$C:$C,C315,Başvuru!$G:$G,"Yüksek Lisans Tezi",Başvuru!$A:$A,"&lt;&gt;"&amp;"",Başvuru!$F:$F,"&lt;&gt;"&amp;""))</f>
        <v>0</v>
      </c>
      <c r="J315" s="163">
        <f>IF(C315="","",COUNTIFS(Başvuru!$C:$C,C315,Başvuru!$L:$L,"ONAY",Başvuru!$A:$A,"&lt;&gt;"&amp;"",Başvuru!$F:$F,"&lt;&gt;"&amp;""))</f>
        <v>1</v>
      </c>
      <c r="K315" s="164">
        <f>IF(C315="","",COUNTIFS(Başvuru!$C:$C,C315,Başvuru!$L:$L,"DÜZELTME",Başvuru!$A:$A,"&lt;&gt;"&amp;"",Başvuru!$F:$F,"&lt;&gt;"&amp;""))</f>
        <v>0</v>
      </c>
      <c r="L315" s="165">
        <f>IF(C315="","",COUNTIFS(Başvuru!$C:$C,C315,Başvuru!$L:$L,"KAEK",Başvuru!$A:$A,"&lt;&gt;"&amp;"",Başvuru!$F:$F,"&lt;&gt;"&amp;""))</f>
        <v>0</v>
      </c>
      <c r="M315" s="166">
        <f>IF(C315="","",COUNTIFS(Başvuru!$C:$C,C315,Başvuru!$L:$L,"GÖRÜŞ",Başvuru!$A:$A,"&lt;&gt;"&amp;"",Başvuru!$F:$F,"&lt;&gt;"&amp;""))</f>
        <v>0</v>
      </c>
      <c r="N315" s="167">
        <f>IF(C315="","",COUNTIFS(Başvuru!$C:$C,C315,Başvuru!$L:$L,"RET",Başvuru!$A:$A,"&lt;&gt;"&amp;"",Başvuru!$F:$F,"&lt;&gt;"&amp;""))</f>
        <v>0</v>
      </c>
      <c r="O315" s="168">
        <f>IF(C315="","",COUNTIFS(Başvuru!$C:$C,C315,Başvuru!$L:$L,"KAPSAM DIŞI",Başvuru!$A:$A,"&lt;&gt;"&amp;"",Başvuru!$F:$F,"&lt;&gt;"&amp;""))</f>
        <v>0</v>
      </c>
      <c r="P315" s="169">
        <f>IF(C315="","",COUNTIFS(Başvuru!$C:$C,C315,Başvuru!$L:$L,"GERİ ÇEKİLDİ",Başvuru!$A:$A,"&lt;&gt;"&amp;"",Başvuru!$F:$F,"&lt;&gt;"&amp;""))</f>
        <v>0</v>
      </c>
      <c r="Q315" s="170" t="str">
        <f>IFERROR(INDEX(Başvuru!$C$2:$C$1851,MATCH(310,Başvuru!$AB$2:$AB$1851,0)),"")</f>
        <v>Dr. Öğr. Üyesi Sinan BALCI</v>
      </c>
      <c r="R315" s="171">
        <f>IF(Q315="","",COUNTIFS(Başvuru!$C:$C,Q315,Başvuru!$A:$A,"&lt;&gt;"&amp;"",Başvuru!$F:$F,"&lt;&gt;"&amp;""))</f>
        <v>2</v>
      </c>
      <c r="S315" s="171">
        <f>IF(R315="","",RANK(R315,$R$6:$R$505,0)+COUNTIF($R$6:R315,R315)-1)</f>
        <v>152</v>
      </c>
    </row>
    <row r="316" spans="2:19" ht="23.25" customHeight="1" x14ac:dyDescent="0.25">
      <c r="B316" s="159">
        <v>311</v>
      </c>
      <c r="C316" s="160" t="str">
        <f>IFERROR(INDEX($Q$6:$Q$505,MATCH(311,$S$6:$S$505,0)),"")</f>
        <v>Dr. Öğr. Üyesi Gülden OLGUN</v>
      </c>
      <c r="D316" s="161">
        <f>IF(C316="","",COUNTIFS(Başvuru!$C:$C,C316,Başvuru!$A:$A,"&lt;&gt;"&amp;"",Başvuru!$F:$F,"&lt;&gt;"&amp;""))</f>
        <v>1</v>
      </c>
      <c r="E316" s="159" t="str">
        <f>IF(C316="","-",IF(D316&gt;0,TEXT(D316/(COUNTIFS(Başvuru!$A:$A,"&lt;&gt;",Başvuru!$F:$F,"&lt;&gt;")-1)*100,"0.0")&amp;"%","-"))</f>
        <v>00%</v>
      </c>
      <c r="F316" s="162">
        <f>IF(C316="","",COUNTIFS(Başvuru!$C:$C,C316,Başvuru!$G:$G,"Bireysel Araştırma",Başvuru!$A:$A,"&lt;&gt;"&amp;"",Başvuru!$F:$F,"&lt;&gt;"&amp;""))</f>
        <v>1</v>
      </c>
      <c r="G316" s="162">
        <f>IF(C316="","",COUNTIFS(Başvuru!$C:$C,C316,Başvuru!$G:$G,"Uzmanlık Tezi",Başvuru!$A:$A,"&lt;&gt;"&amp;"",Başvuru!$F:$F,"&lt;&gt;"&amp;""))</f>
        <v>0</v>
      </c>
      <c r="H316" s="162">
        <f>IF(C316="","",COUNTIFS(Başvuru!$C:$C,C316,Başvuru!$G:$G,"Doktora Tezi",Başvuru!$A:$A,"&lt;&gt;"&amp;"",Başvuru!$F:$F,"&lt;&gt;"&amp;""))</f>
        <v>0</v>
      </c>
      <c r="I316" s="162">
        <f>IF(C316="","",COUNTIFS(Başvuru!$C:$C,C316,Başvuru!$G:$G,"Yüksek Lisans Tezi",Başvuru!$A:$A,"&lt;&gt;"&amp;"",Başvuru!$F:$F,"&lt;&gt;"&amp;""))</f>
        <v>0</v>
      </c>
      <c r="J316" s="163">
        <f>IF(C316="","",COUNTIFS(Başvuru!$C:$C,C316,Başvuru!$L:$L,"ONAY",Başvuru!$A:$A,"&lt;&gt;"&amp;"",Başvuru!$F:$F,"&lt;&gt;"&amp;""))</f>
        <v>0</v>
      </c>
      <c r="K316" s="164">
        <f>IF(C316="","",COUNTIFS(Başvuru!$C:$C,C316,Başvuru!$L:$L,"DÜZELTME",Başvuru!$A:$A,"&lt;&gt;"&amp;"",Başvuru!$F:$F,"&lt;&gt;"&amp;""))</f>
        <v>0</v>
      </c>
      <c r="L316" s="165">
        <f>IF(C316="","",COUNTIFS(Başvuru!$C:$C,C316,Başvuru!$L:$L,"KAEK",Başvuru!$A:$A,"&lt;&gt;"&amp;"",Başvuru!$F:$F,"&lt;&gt;"&amp;""))</f>
        <v>0</v>
      </c>
      <c r="M316" s="166">
        <f>IF(C316="","",COUNTIFS(Başvuru!$C:$C,C316,Başvuru!$L:$L,"GÖRÜŞ",Başvuru!$A:$A,"&lt;&gt;"&amp;"",Başvuru!$F:$F,"&lt;&gt;"&amp;""))</f>
        <v>0</v>
      </c>
      <c r="N316" s="167">
        <f>IF(C316="","",COUNTIFS(Başvuru!$C:$C,C316,Başvuru!$L:$L,"RET",Başvuru!$A:$A,"&lt;&gt;"&amp;"",Başvuru!$F:$F,"&lt;&gt;"&amp;""))</f>
        <v>0</v>
      </c>
      <c r="O316" s="168">
        <f>IF(C316="","",COUNTIFS(Başvuru!$C:$C,C316,Başvuru!$L:$L,"KAPSAM DIŞI",Başvuru!$A:$A,"&lt;&gt;"&amp;"",Başvuru!$F:$F,"&lt;&gt;"&amp;""))</f>
        <v>1</v>
      </c>
      <c r="P316" s="169">
        <f>IF(C316="","",COUNTIFS(Başvuru!$C:$C,C316,Başvuru!$L:$L,"GERİ ÇEKİLDİ",Başvuru!$A:$A,"&lt;&gt;"&amp;"",Başvuru!$F:$F,"&lt;&gt;"&amp;""))</f>
        <v>0</v>
      </c>
      <c r="Q316" s="170" t="str">
        <f>IFERROR(INDEX(Başvuru!$C$2:$C$1851,MATCH(311,Başvuru!$AB$2:$AB$1851,0)),"")</f>
        <v>Arş. Gör. Dr. Oğuzhan SERİN</v>
      </c>
      <c r="R316" s="171">
        <f>IF(Q316="","",COUNTIFS(Başvuru!$C:$C,Q316,Başvuru!$A:$A,"&lt;&gt;"&amp;"",Başvuru!$F:$F,"&lt;&gt;"&amp;""))</f>
        <v>1</v>
      </c>
      <c r="S316" s="171">
        <f>IF(R316="","",RANK(R316,$R$6:$R$505,0)+COUNTIF($R$6:R316,R316)-1)</f>
        <v>316</v>
      </c>
    </row>
    <row r="317" spans="2:19" ht="23.25" customHeight="1" x14ac:dyDescent="0.25">
      <c r="B317" s="159">
        <v>312</v>
      </c>
      <c r="C317" s="160" t="str">
        <f>IFERROR(INDEX($Q$6:$Q$505,MATCH(312,$S$6:$S$505,0)),"")</f>
        <v>Prof. Dr. Şükrü Alpan CİNEMRE</v>
      </c>
      <c r="D317" s="161">
        <f>IF(C317="","",COUNTIFS(Başvuru!$C:$C,C317,Başvuru!$A:$A,"&lt;&gt;"&amp;"",Başvuru!$F:$F,"&lt;&gt;"&amp;""))</f>
        <v>1</v>
      </c>
      <c r="E317" s="159" t="str">
        <f>IF(C317="","-",IF(D317&gt;0,TEXT(D317/(COUNTIFS(Başvuru!$A:$A,"&lt;&gt;",Başvuru!$F:$F,"&lt;&gt;")-1)*100,"0.0")&amp;"%","-"))</f>
        <v>00%</v>
      </c>
      <c r="F317" s="162">
        <f>IF(C317="","",COUNTIFS(Başvuru!$C:$C,C317,Başvuru!$G:$G,"Bireysel Araştırma",Başvuru!$A:$A,"&lt;&gt;"&amp;"",Başvuru!$F:$F,"&lt;&gt;"&amp;""))</f>
        <v>0</v>
      </c>
      <c r="G317" s="162">
        <f>IF(C317="","",COUNTIFS(Başvuru!$C:$C,C317,Başvuru!$G:$G,"Uzmanlık Tezi",Başvuru!$A:$A,"&lt;&gt;"&amp;"",Başvuru!$F:$F,"&lt;&gt;"&amp;""))</f>
        <v>0</v>
      </c>
      <c r="H317" s="162">
        <f>IF(C317="","",COUNTIFS(Başvuru!$C:$C,C317,Başvuru!$G:$G,"Doktora Tezi",Başvuru!$A:$A,"&lt;&gt;"&amp;"",Başvuru!$F:$F,"&lt;&gt;"&amp;""))</f>
        <v>0</v>
      </c>
      <c r="I317" s="162">
        <f>IF(C317="","",COUNTIFS(Başvuru!$C:$C,C317,Başvuru!$G:$G,"Yüksek Lisans Tezi",Başvuru!$A:$A,"&lt;&gt;"&amp;"",Başvuru!$F:$F,"&lt;&gt;"&amp;""))</f>
        <v>1</v>
      </c>
      <c r="J317" s="163">
        <f>IF(C317="","",COUNTIFS(Başvuru!$C:$C,C317,Başvuru!$L:$L,"ONAY",Başvuru!$A:$A,"&lt;&gt;"&amp;"",Başvuru!$F:$F,"&lt;&gt;"&amp;""))</f>
        <v>1</v>
      </c>
      <c r="K317" s="164">
        <f>IF(C317="","",COUNTIFS(Başvuru!$C:$C,C317,Başvuru!$L:$L,"DÜZELTME",Başvuru!$A:$A,"&lt;&gt;"&amp;"",Başvuru!$F:$F,"&lt;&gt;"&amp;""))</f>
        <v>0</v>
      </c>
      <c r="L317" s="165">
        <f>IF(C317="","",COUNTIFS(Başvuru!$C:$C,C317,Başvuru!$L:$L,"KAEK",Başvuru!$A:$A,"&lt;&gt;"&amp;"",Başvuru!$F:$F,"&lt;&gt;"&amp;""))</f>
        <v>0</v>
      </c>
      <c r="M317" s="166">
        <f>IF(C317="","",COUNTIFS(Başvuru!$C:$C,C317,Başvuru!$L:$L,"GÖRÜŞ",Başvuru!$A:$A,"&lt;&gt;"&amp;"",Başvuru!$F:$F,"&lt;&gt;"&amp;""))</f>
        <v>0</v>
      </c>
      <c r="N317" s="167">
        <f>IF(C317="","",COUNTIFS(Başvuru!$C:$C,C317,Başvuru!$L:$L,"RET",Başvuru!$A:$A,"&lt;&gt;"&amp;"",Başvuru!$F:$F,"&lt;&gt;"&amp;""))</f>
        <v>0</v>
      </c>
      <c r="O317" s="168">
        <f>IF(C317="","",COUNTIFS(Başvuru!$C:$C,C317,Başvuru!$L:$L,"KAPSAM DIŞI",Başvuru!$A:$A,"&lt;&gt;"&amp;"",Başvuru!$F:$F,"&lt;&gt;"&amp;""))</f>
        <v>0</v>
      </c>
      <c r="P317" s="169">
        <f>IF(C317="","",COUNTIFS(Başvuru!$C:$C,C317,Başvuru!$L:$L,"GERİ ÇEKİLDİ",Başvuru!$A:$A,"&lt;&gt;"&amp;"",Başvuru!$F:$F,"&lt;&gt;"&amp;""))</f>
        <v>0</v>
      </c>
      <c r="Q317" s="170" t="str">
        <f>IFERROR(INDEX(Başvuru!$C$2:$C$1851,MATCH(312,Başvuru!$AB$2:$AB$1851,0)),"")</f>
        <v>Dr. Öğr. Üyesi Sevinç ASKERBEYLİ ÖRS</v>
      </c>
      <c r="R317" s="171">
        <f>IF(Q317="","",COUNTIFS(Başvuru!$C:$C,Q317,Başvuru!$A:$A,"&lt;&gt;"&amp;"",Başvuru!$F:$F,"&lt;&gt;"&amp;""))</f>
        <v>1</v>
      </c>
      <c r="S317" s="171">
        <f>IF(R317="","",RANK(R317,$R$6:$R$505,0)+COUNTIF($R$6:R317,R317)-1)</f>
        <v>317</v>
      </c>
    </row>
    <row r="318" spans="2:19" ht="23.25" customHeight="1" x14ac:dyDescent="0.25">
      <c r="B318" s="159">
        <v>313</v>
      </c>
      <c r="C318" s="160" t="str">
        <f>IFERROR(INDEX($Q$6:$Q$505,MATCH(313,$S$6:$S$505,0)),"")</f>
        <v>Doç. Dr. Ferdi ÇAY</v>
      </c>
      <c r="D318" s="161">
        <f>IF(C318="","",COUNTIFS(Başvuru!$C:$C,C318,Başvuru!$A:$A,"&lt;&gt;"&amp;"",Başvuru!$F:$F,"&lt;&gt;"&amp;""))</f>
        <v>1</v>
      </c>
      <c r="E318" s="159" t="str">
        <f>IF(C318="","-",IF(D318&gt;0,TEXT(D318/(COUNTIFS(Başvuru!$A:$A,"&lt;&gt;",Başvuru!$F:$F,"&lt;&gt;")-1)*100,"0.0")&amp;"%","-"))</f>
        <v>00%</v>
      </c>
      <c r="F318" s="162">
        <f>IF(C318="","",COUNTIFS(Başvuru!$C:$C,C318,Başvuru!$G:$G,"Bireysel Araştırma",Başvuru!$A:$A,"&lt;&gt;"&amp;"",Başvuru!$F:$F,"&lt;&gt;"&amp;""))</f>
        <v>1</v>
      </c>
      <c r="G318" s="162">
        <f>IF(C318="","",COUNTIFS(Başvuru!$C:$C,C318,Başvuru!$G:$G,"Uzmanlık Tezi",Başvuru!$A:$A,"&lt;&gt;"&amp;"",Başvuru!$F:$F,"&lt;&gt;"&amp;""))</f>
        <v>0</v>
      </c>
      <c r="H318" s="162">
        <f>IF(C318="","",COUNTIFS(Başvuru!$C:$C,C318,Başvuru!$G:$G,"Doktora Tezi",Başvuru!$A:$A,"&lt;&gt;"&amp;"",Başvuru!$F:$F,"&lt;&gt;"&amp;""))</f>
        <v>0</v>
      </c>
      <c r="I318" s="162">
        <f>IF(C318="","",COUNTIFS(Başvuru!$C:$C,C318,Başvuru!$G:$G,"Yüksek Lisans Tezi",Başvuru!$A:$A,"&lt;&gt;"&amp;"",Başvuru!$F:$F,"&lt;&gt;"&amp;""))</f>
        <v>0</v>
      </c>
      <c r="J318" s="163">
        <f>IF(C318="","",COUNTIFS(Başvuru!$C:$C,C318,Başvuru!$L:$L,"ONAY",Başvuru!$A:$A,"&lt;&gt;"&amp;"",Başvuru!$F:$F,"&lt;&gt;"&amp;""))</f>
        <v>0</v>
      </c>
      <c r="K318" s="164">
        <f>IF(C318="","",COUNTIFS(Başvuru!$C:$C,C318,Başvuru!$L:$L,"DÜZELTME",Başvuru!$A:$A,"&lt;&gt;"&amp;"",Başvuru!$F:$F,"&lt;&gt;"&amp;""))</f>
        <v>1</v>
      </c>
      <c r="L318" s="165">
        <f>IF(C318="","",COUNTIFS(Başvuru!$C:$C,C318,Başvuru!$L:$L,"KAEK",Başvuru!$A:$A,"&lt;&gt;"&amp;"",Başvuru!$F:$F,"&lt;&gt;"&amp;""))</f>
        <v>0</v>
      </c>
      <c r="M318" s="166">
        <f>IF(C318="","",COUNTIFS(Başvuru!$C:$C,C318,Başvuru!$L:$L,"GÖRÜŞ",Başvuru!$A:$A,"&lt;&gt;"&amp;"",Başvuru!$F:$F,"&lt;&gt;"&amp;""))</f>
        <v>0</v>
      </c>
      <c r="N318" s="167">
        <f>IF(C318="","",COUNTIFS(Başvuru!$C:$C,C318,Başvuru!$L:$L,"RET",Başvuru!$A:$A,"&lt;&gt;"&amp;"",Başvuru!$F:$F,"&lt;&gt;"&amp;""))</f>
        <v>0</v>
      </c>
      <c r="O318" s="168">
        <f>IF(C318="","",COUNTIFS(Başvuru!$C:$C,C318,Başvuru!$L:$L,"KAPSAM DIŞI",Başvuru!$A:$A,"&lt;&gt;"&amp;"",Başvuru!$F:$F,"&lt;&gt;"&amp;""))</f>
        <v>0</v>
      </c>
      <c r="P318" s="169">
        <f>IF(C318="","",COUNTIFS(Başvuru!$C:$C,C318,Başvuru!$L:$L,"GERİ ÇEKİLDİ",Başvuru!$A:$A,"&lt;&gt;"&amp;"",Başvuru!$F:$F,"&lt;&gt;"&amp;""))</f>
        <v>0</v>
      </c>
      <c r="Q318" s="170" t="str">
        <f>IFERROR(INDEX(Başvuru!$C$2:$C$1851,MATCH(313,Başvuru!$AB$2:$AB$1851,0)),"")</f>
        <v>Dr. Öğr. Üyesi Yasin SARIKAYA</v>
      </c>
      <c r="R318" s="171">
        <f>IF(Q318="","",COUNTIFS(Başvuru!$C:$C,Q318,Başvuru!$A:$A,"&lt;&gt;"&amp;"",Başvuru!$F:$F,"&lt;&gt;"&amp;""))</f>
        <v>1</v>
      </c>
      <c r="S318" s="171">
        <f>IF(R318="","",RANK(R318,$R$6:$R$505,0)+COUNTIF($R$6:R318,R318)-1)</f>
        <v>318</v>
      </c>
    </row>
    <row r="319" spans="2:19" ht="23.25" customHeight="1" x14ac:dyDescent="0.25">
      <c r="B319" s="159">
        <v>314</v>
      </c>
      <c r="C319" s="160" t="str">
        <f>IFERROR(INDEX($Q$6:$Q$505,MATCH(314,$S$6:$S$505,0)),"")</f>
        <v>Doç. Dr. Ahmet Erim PAMUK</v>
      </c>
      <c r="D319" s="161">
        <f>IF(C319="","",COUNTIFS(Başvuru!$C:$C,C319,Başvuru!$A:$A,"&lt;&gt;"&amp;"",Başvuru!$F:$F,"&lt;&gt;"&amp;""))</f>
        <v>1</v>
      </c>
      <c r="E319" s="159" t="str">
        <f>IF(C319="","-",IF(D319&gt;0,TEXT(D319/(COUNTIFS(Başvuru!$A:$A,"&lt;&gt;",Başvuru!$F:$F,"&lt;&gt;")-1)*100,"0.0")&amp;"%","-"))</f>
        <v>00%</v>
      </c>
      <c r="F319" s="162">
        <f>IF(C319="","",COUNTIFS(Başvuru!$C:$C,C319,Başvuru!$G:$G,"Bireysel Araştırma",Başvuru!$A:$A,"&lt;&gt;"&amp;"",Başvuru!$F:$F,"&lt;&gt;"&amp;""))</f>
        <v>1</v>
      </c>
      <c r="G319" s="162">
        <f>IF(C319="","",COUNTIFS(Başvuru!$C:$C,C319,Başvuru!$G:$G,"Uzmanlık Tezi",Başvuru!$A:$A,"&lt;&gt;"&amp;"",Başvuru!$F:$F,"&lt;&gt;"&amp;""))</f>
        <v>0</v>
      </c>
      <c r="H319" s="162">
        <f>IF(C319="","",COUNTIFS(Başvuru!$C:$C,C319,Başvuru!$G:$G,"Doktora Tezi",Başvuru!$A:$A,"&lt;&gt;"&amp;"",Başvuru!$F:$F,"&lt;&gt;"&amp;""))</f>
        <v>0</v>
      </c>
      <c r="I319" s="162">
        <f>IF(C319="","",COUNTIFS(Başvuru!$C:$C,C319,Başvuru!$G:$G,"Yüksek Lisans Tezi",Başvuru!$A:$A,"&lt;&gt;"&amp;"",Başvuru!$F:$F,"&lt;&gt;"&amp;""))</f>
        <v>0</v>
      </c>
      <c r="J319" s="163">
        <f>IF(C319="","",COUNTIFS(Başvuru!$C:$C,C319,Başvuru!$L:$L,"ONAY",Başvuru!$A:$A,"&lt;&gt;"&amp;"",Başvuru!$F:$F,"&lt;&gt;"&amp;""))</f>
        <v>0</v>
      </c>
      <c r="K319" s="164">
        <f>IF(C319="","",COUNTIFS(Başvuru!$C:$C,C319,Başvuru!$L:$L,"DÜZELTME",Başvuru!$A:$A,"&lt;&gt;"&amp;"",Başvuru!$F:$F,"&lt;&gt;"&amp;""))</f>
        <v>1</v>
      </c>
      <c r="L319" s="165">
        <f>IF(C319="","",COUNTIFS(Başvuru!$C:$C,C319,Başvuru!$L:$L,"KAEK",Başvuru!$A:$A,"&lt;&gt;"&amp;"",Başvuru!$F:$F,"&lt;&gt;"&amp;""))</f>
        <v>0</v>
      </c>
      <c r="M319" s="166">
        <f>IF(C319="","",COUNTIFS(Başvuru!$C:$C,C319,Başvuru!$L:$L,"GÖRÜŞ",Başvuru!$A:$A,"&lt;&gt;"&amp;"",Başvuru!$F:$F,"&lt;&gt;"&amp;""))</f>
        <v>0</v>
      </c>
      <c r="N319" s="167">
        <f>IF(C319="","",COUNTIFS(Başvuru!$C:$C,C319,Başvuru!$L:$L,"RET",Başvuru!$A:$A,"&lt;&gt;"&amp;"",Başvuru!$F:$F,"&lt;&gt;"&amp;""))</f>
        <v>0</v>
      </c>
      <c r="O319" s="168">
        <f>IF(C319="","",COUNTIFS(Başvuru!$C:$C,C319,Başvuru!$L:$L,"KAPSAM DIŞI",Başvuru!$A:$A,"&lt;&gt;"&amp;"",Başvuru!$F:$F,"&lt;&gt;"&amp;""))</f>
        <v>0</v>
      </c>
      <c r="P319" s="169">
        <f>IF(C319="","",COUNTIFS(Başvuru!$C:$C,C319,Başvuru!$L:$L,"GERİ ÇEKİLDİ",Başvuru!$A:$A,"&lt;&gt;"&amp;"",Başvuru!$F:$F,"&lt;&gt;"&amp;""))</f>
        <v>0</v>
      </c>
      <c r="Q319" s="170" t="str">
        <f>IFERROR(INDEX(Başvuru!$C$2:$C$1851,MATCH(314,Başvuru!$AB$2:$AB$1851,0)),"")</f>
        <v>Doç. Dr. Halide Özge BAŞARAN</v>
      </c>
      <c r="R319" s="171">
        <f>IF(Q319="","",COUNTIFS(Başvuru!$C:$C,Q319,Başvuru!$A:$A,"&lt;&gt;"&amp;"",Başvuru!$F:$F,"&lt;&gt;"&amp;""))</f>
        <v>1</v>
      </c>
      <c r="S319" s="171">
        <f>IF(R319="","",RANK(R319,$R$6:$R$505,0)+COUNTIF($R$6:R319,R319)-1)</f>
        <v>319</v>
      </c>
    </row>
    <row r="320" spans="2:19" ht="23.25" customHeight="1" x14ac:dyDescent="0.25">
      <c r="B320" s="159">
        <v>315</v>
      </c>
      <c r="C320" s="160" t="str">
        <f>IFERROR(INDEX($Q$6:$Q$505,MATCH(315,$S$6:$S$505,0)),"")</f>
        <v>Doç. Dr. Yasemin GÜZEL</v>
      </c>
      <c r="D320" s="161">
        <f>IF(C320="","",COUNTIFS(Başvuru!$C:$C,C320,Başvuru!$A:$A,"&lt;&gt;"&amp;"",Başvuru!$F:$F,"&lt;&gt;"&amp;""))</f>
        <v>1</v>
      </c>
      <c r="E320" s="159" t="str">
        <f>IF(C320="","-",IF(D320&gt;0,TEXT(D320/(COUNTIFS(Başvuru!$A:$A,"&lt;&gt;",Başvuru!$F:$F,"&lt;&gt;")-1)*100,"0.0")&amp;"%","-"))</f>
        <v>00%</v>
      </c>
      <c r="F320" s="162">
        <f>IF(C320="","",COUNTIFS(Başvuru!$C:$C,C320,Başvuru!$G:$G,"Bireysel Araştırma",Başvuru!$A:$A,"&lt;&gt;"&amp;"",Başvuru!$F:$F,"&lt;&gt;"&amp;""))</f>
        <v>1</v>
      </c>
      <c r="G320" s="162">
        <f>IF(C320="","",COUNTIFS(Başvuru!$C:$C,C320,Başvuru!$G:$G,"Uzmanlık Tezi",Başvuru!$A:$A,"&lt;&gt;"&amp;"",Başvuru!$F:$F,"&lt;&gt;"&amp;""))</f>
        <v>0</v>
      </c>
      <c r="H320" s="162">
        <f>IF(C320="","",COUNTIFS(Başvuru!$C:$C,C320,Başvuru!$G:$G,"Doktora Tezi",Başvuru!$A:$A,"&lt;&gt;"&amp;"",Başvuru!$F:$F,"&lt;&gt;"&amp;""))</f>
        <v>0</v>
      </c>
      <c r="I320" s="162">
        <f>IF(C320="","",COUNTIFS(Başvuru!$C:$C,C320,Başvuru!$G:$G,"Yüksek Lisans Tezi",Başvuru!$A:$A,"&lt;&gt;"&amp;"",Başvuru!$F:$F,"&lt;&gt;"&amp;""))</f>
        <v>0</v>
      </c>
      <c r="J320" s="163">
        <f>IF(C320="","",COUNTIFS(Başvuru!$C:$C,C320,Başvuru!$L:$L,"ONAY",Başvuru!$A:$A,"&lt;&gt;"&amp;"",Başvuru!$F:$F,"&lt;&gt;"&amp;""))</f>
        <v>1</v>
      </c>
      <c r="K320" s="164">
        <f>IF(C320="","",COUNTIFS(Başvuru!$C:$C,C320,Başvuru!$L:$L,"DÜZELTME",Başvuru!$A:$A,"&lt;&gt;"&amp;"",Başvuru!$F:$F,"&lt;&gt;"&amp;""))</f>
        <v>0</v>
      </c>
      <c r="L320" s="165">
        <f>IF(C320="","",COUNTIFS(Başvuru!$C:$C,C320,Başvuru!$L:$L,"KAEK",Başvuru!$A:$A,"&lt;&gt;"&amp;"",Başvuru!$F:$F,"&lt;&gt;"&amp;""))</f>
        <v>0</v>
      </c>
      <c r="M320" s="166">
        <f>IF(C320="","",COUNTIFS(Başvuru!$C:$C,C320,Başvuru!$L:$L,"GÖRÜŞ",Başvuru!$A:$A,"&lt;&gt;"&amp;"",Başvuru!$F:$F,"&lt;&gt;"&amp;""))</f>
        <v>0</v>
      </c>
      <c r="N320" s="167">
        <f>IF(C320="","",COUNTIFS(Başvuru!$C:$C,C320,Başvuru!$L:$L,"RET",Başvuru!$A:$A,"&lt;&gt;"&amp;"",Başvuru!$F:$F,"&lt;&gt;"&amp;""))</f>
        <v>0</v>
      </c>
      <c r="O320" s="168">
        <f>IF(C320="","",COUNTIFS(Başvuru!$C:$C,C320,Başvuru!$L:$L,"KAPSAM DIŞI",Başvuru!$A:$A,"&lt;&gt;"&amp;"",Başvuru!$F:$F,"&lt;&gt;"&amp;""))</f>
        <v>0</v>
      </c>
      <c r="P320" s="169">
        <f>IF(C320="","",COUNTIFS(Başvuru!$C:$C,C320,Başvuru!$L:$L,"GERİ ÇEKİLDİ",Başvuru!$A:$A,"&lt;&gt;"&amp;"",Başvuru!$F:$F,"&lt;&gt;"&amp;""))</f>
        <v>0</v>
      </c>
      <c r="Q320" s="170" t="str">
        <f>IFERROR(INDEX(Başvuru!$C$2:$C$1851,MATCH(315,Başvuru!$AB$2:$AB$1851,0)),"")</f>
        <v>Prof. Dr. Serap AYDIN</v>
      </c>
      <c r="R320" s="171">
        <f>IF(Q320="","",COUNTIFS(Başvuru!$C:$C,Q320,Başvuru!$A:$A,"&lt;&gt;"&amp;"",Başvuru!$F:$F,"&lt;&gt;"&amp;""))</f>
        <v>2</v>
      </c>
      <c r="S320" s="171">
        <f>IF(R320="","",RANK(R320,$R$6:$R$505,0)+COUNTIF($R$6:R320,R320)-1)</f>
        <v>153</v>
      </c>
    </row>
    <row r="321" spans="2:19" ht="23.25" customHeight="1" x14ac:dyDescent="0.25">
      <c r="B321" s="159">
        <v>316</v>
      </c>
      <c r="C321" s="160" t="str">
        <f>IFERROR(INDEX($Q$6:$Q$505,MATCH(316,$S$6:$S$505,0)),"")</f>
        <v>Arş. Gör. Dr. Oğuzhan SERİN</v>
      </c>
      <c r="D321" s="161">
        <f>IF(C321="","",COUNTIFS(Başvuru!$C:$C,C321,Başvuru!$A:$A,"&lt;&gt;"&amp;"",Başvuru!$F:$F,"&lt;&gt;"&amp;""))</f>
        <v>1</v>
      </c>
      <c r="E321" s="159" t="str">
        <f>IF(C321="","-",IF(D321&gt;0,TEXT(D321/(COUNTIFS(Başvuru!$A:$A,"&lt;&gt;",Başvuru!$F:$F,"&lt;&gt;")-1)*100,"0.0")&amp;"%","-"))</f>
        <v>00%</v>
      </c>
      <c r="F321" s="162">
        <f>IF(C321="","",COUNTIFS(Başvuru!$C:$C,C321,Başvuru!$G:$G,"Bireysel Araştırma",Başvuru!$A:$A,"&lt;&gt;"&amp;"",Başvuru!$F:$F,"&lt;&gt;"&amp;""))</f>
        <v>1</v>
      </c>
      <c r="G321" s="162">
        <f>IF(C321="","",COUNTIFS(Başvuru!$C:$C,C321,Başvuru!$G:$G,"Uzmanlık Tezi",Başvuru!$A:$A,"&lt;&gt;"&amp;"",Başvuru!$F:$F,"&lt;&gt;"&amp;""))</f>
        <v>0</v>
      </c>
      <c r="H321" s="162">
        <f>IF(C321="","",COUNTIFS(Başvuru!$C:$C,C321,Başvuru!$G:$G,"Doktora Tezi",Başvuru!$A:$A,"&lt;&gt;"&amp;"",Başvuru!$F:$F,"&lt;&gt;"&amp;""))</f>
        <v>0</v>
      </c>
      <c r="I321" s="162">
        <f>IF(C321="","",COUNTIFS(Başvuru!$C:$C,C321,Başvuru!$G:$G,"Yüksek Lisans Tezi",Başvuru!$A:$A,"&lt;&gt;"&amp;"",Başvuru!$F:$F,"&lt;&gt;"&amp;""))</f>
        <v>0</v>
      </c>
      <c r="J321" s="163">
        <f>IF(C321="","",COUNTIFS(Başvuru!$C:$C,C321,Başvuru!$L:$L,"ONAY",Başvuru!$A:$A,"&lt;&gt;"&amp;"",Başvuru!$F:$F,"&lt;&gt;"&amp;""))</f>
        <v>1</v>
      </c>
      <c r="K321" s="164">
        <f>IF(C321="","",COUNTIFS(Başvuru!$C:$C,C321,Başvuru!$L:$L,"DÜZELTME",Başvuru!$A:$A,"&lt;&gt;"&amp;"",Başvuru!$F:$F,"&lt;&gt;"&amp;""))</f>
        <v>0</v>
      </c>
      <c r="L321" s="165">
        <f>IF(C321="","",COUNTIFS(Başvuru!$C:$C,C321,Başvuru!$L:$L,"KAEK",Başvuru!$A:$A,"&lt;&gt;"&amp;"",Başvuru!$F:$F,"&lt;&gt;"&amp;""))</f>
        <v>0</v>
      </c>
      <c r="M321" s="166">
        <f>IF(C321="","",COUNTIFS(Başvuru!$C:$C,C321,Başvuru!$L:$L,"GÖRÜŞ",Başvuru!$A:$A,"&lt;&gt;"&amp;"",Başvuru!$F:$F,"&lt;&gt;"&amp;""))</f>
        <v>0</v>
      </c>
      <c r="N321" s="167">
        <f>IF(C321="","",COUNTIFS(Başvuru!$C:$C,C321,Başvuru!$L:$L,"RET",Başvuru!$A:$A,"&lt;&gt;"&amp;"",Başvuru!$F:$F,"&lt;&gt;"&amp;""))</f>
        <v>0</v>
      </c>
      <c r="O321" s="168">
        <f>IF(C321="","",COUNTIFS(Başvuru!$C:$C,C321,Başvuru!$L:$L,"KAPSAM DIŞI",Başvuru!$A:$A,"&lt;&gt;"&amp;"",Başvuru!$F:$F,"&lt;&gt;"&amp;""))</f>
        <v>0</v>
      </c>
      <c r="P321" s="169">
        <f>IF(C321="","",COUNTIFS(Başvuru!$C:$C,C321,Başvuru!$L:$L,"GERİ ÇEKİLDİ",Başvuru!$A:$A,"&lt;&gt;"&amp;"",Başvuru!$F:$F,"&lt;&gt;"&amp;""))</f>
        <v>0</v>
      </c>
      <c r="Q321" s="170" t="str">
        <f>IFERROR(INDEX(Başvuru!$C$2:$C$1851,MATCH(316,Başvuru!$AB$2:$AB$1851,0)),"")</f>
        <v>Prof. Dr. Göknur HALİLOĞLU</v>
      </c>
      <c r="R321" s="171">
        <f>IF(Q321="","",COUNTIFS(Başvuru!$C:$C,Q321,Başvuru!$A:$A,"&lt;&gt;"&amp;"",Başvuru!$F:$F,"&lt;&gt;"&amp;""))</f>
        <v>1</v>
      </c>
      <c r="S321" s="171">
        <f>IF(R321="","",RANK(R321,$R$6:$R$505,0)+COUNTIF($R$6:R321,R321)-1)</f>
        <v>320</v>
      </c>
    </row>
    <row r="322" spans="2:19" ht="23.25" customHeight="1" x14ac:dyDescent="0.25">
      <c r="B322" s="159">
        <v>317</v>
      </c>
      <c r="C322" s="160" t="str">
        <f>IFERROR(INDEX($Q$6:$Q$505,MATCH(317,$S$6:$S$505,0)),"")</f>
        <v>Dr. Öğr. Üyesi Sevinç ASKERBEYLİ ÖRS</v>
      </c>
      <c r="D322" s="161">
        <f>IF(C322="","",COUNTIFS(Başvuru!$C:$C,C322,Başvuru!$A:$A,"&lt;&gt;"&amp;"",Başvuru!$F:$F,"&lt;&gt;"&amp;""))</f>
        <v>1</v>
      </c>
      <c r="E322" s="159" t="str">
        <f>IF(C322="","-",IF(D322&gt;0,TEXT(D322/(COUNTIFS(Başvuru!$A:$A,"&lt;&gt;",Başvuru!$F:$F,"&lt;&gt;")-1)*100,"0.0")&amp;"%","-"))</f>
        <v>00%</v>
      </c>
      <c r="F322" s="162">
        <f>IF(C322="","",COUNTIFS(Başvuru!$C:$C,C322,Başvuru!$G:$G,"Bireysel Araştırma",Başvuru!$A:$A,"&lt;&gt;"&amp;"",Başvuru!$F:$F,"&lt;&gt;"&amp;""))</f>
        <v>0</v>
      </c>
      <c r="G322" s="162">
        <f>IF(C322="","",COUNTIFS(Başvuru!$C:$C,C322,Başvuru!$G:$G,"Uzmanlık Tezi",Başvuru!$A:$A,"&lt;&gt;"&amp;"",Başvuru!$F:$F,"&lt;&gt;"&amp;""))</f>
        <v>1</v>
      </c>
      <c r="H322" s="162">
        <f>IF(C322="","",COUNTIFS(Başvuru!$C:$C,C322,Başvuru!$G:$G,"Doktora Tezi",Başvuru!$A:$A,"&lt;&gt;"&amp;"",Başvuru!$F:$F,"&lt;&gt;"&amp;""))</f>
        <v>0</v>
      </c>
      <c r="I322" s="162">
        <f>IF(C322="","",COUNTIFS(Başvuru!$C:$C,C322,Başvuru!$G:$G,"Yüksek Lisans Tezi",Başvuru!$A:$A,"&lt;&gt;"&amp;"",Başvuru!$F:$F,"&lt;&gt;"&amp;""))</f>
        <v>0</v>
      </c>
      <c r="J322" s="163">
        <f>IF(C322="","",COUNTIFS(Başvuru!$C:$C,C322,Başvuru!$L:$L,"ONAY",Başvuru!$A:$A,"&lt;&gt;"&amp;"",Başvuru!$F:$F,"&lt;&gt;"&amp;""))</f>
        <v>1</v>
      </c>
      <c r="K322" s="164">
        <f>IF(C322="","",COUNTIFS(Başvuru!$C:$C,C322,Başvuru!$L:$L,"DÜZELTME",Başvuru!$A:$A,"&lt;&gt;"&amp;"",Başvuru!$F:$F,"&lt;&gt;"&amp;""))</f>
        <v>0</v>
      </c>
      <c r="L322" s="165">
        <f>IF(C322="","",COUNTIFS(Başvuru!$C:$C,C322,Başvuru!$L:$L,"KAEK",Başvuru!$A:$A,"&lt;&gt;"&amp;"",Başvuru!$F:$F,"&lt;&gt;"&amp;""))</f>
        <v>0</v>
      </c>
      <c r="M322" s="166">
        <f>IF(C322="","",COUNTIFS(Başvuru!$C:$C,C322,Başvuru!$L:$L,"GÖRÜŞ",Başvuru!$A:$A,"&lt;&gt;"&amp;"",Başvuru!$F:$F,"&lt;&gt;"&amp;""))</f>
        <v>0</v>
      </c>
      <c r="N322" s="167">
        <f>IF(C322="","",COUNTIFS(Başvuru!$C:$C,C322,Başvuru!$L:$L,"RET",Başvuru!$A:$A,"&lt;&gt;"&amp;"",Başvuru!$F:$F,"&lt;&gt;"&amp;""))</f>
        <v>0</v>
      </c>
      <c r="O322" s="168">
        <f>IF(C322="","",COUNTIFS(Başvuru!$C:$C,C322,Başvuru!$L:$L,"KAPSAM DIŞI",Başvuru!$A:$A,"&lt;&gt;"&amp;"",Başvuru!$F:$F,"&lt;&gt;"&amp;""))</f>
        <v>0</v>
      </c>
      <c r="P322" s="169">
        <f>IF(C322="","",COUNTIFS(Başvuru!$C:$C,C322,Başvuru!$L:$L,"GERİ ÇEKİLDİ",Başvuru!$A:$A,"&lt;&gt;"&amp;"",Başvuru!$F:$F,"&lt;&gt;"&amp;""))</f>
        <v>0</v>
      </c>
      <c r="Q322" s="170" t="str">
        <f>IFERROR(INDEX(Başvuru!$C$2:$C$1851,MATCH(317,Başvuru!$AB$2:$AB$1851,0)),"")</f>
        <v>Dr. Öğr. Üyesi Müge DEMİR</v>
      </c>
      <c r="R322" s="171">
        <f>IF(Q322="","",COUNTIFS(Başvuru!$C:$C,Q322,Başvuru!$A:$A,"&lt;&gt;"&amp;"",Başvuru!$F:$F,"&lt;&gt;"&amp;""))</f>
        <v>1</v>
      </c>
      <c r="S322" s="171">
        <f>IF(R322="","",RANK(R322,$R$6:$R$505,0)+COUNTIF($R$6:R322,R322)-1)</f>
        <v>321</v>
      </c>
    </row>
    <row r="323" spans="2:19" ht="23.25" customHeight="1" x14ac:dyDescent="0.25">
      <c r="B323" s="159">
        <v>318</v>
      </c>
      <c r="C323" s="160" t="str">
        <f>IFERROR(INDEX($Q$6:$Q$505,MATCH(318,$S$6:$S$505,0)),"")</f>
        <v>Dr. Öğr. Üyesi Yasin SARIKAYA</v>
      </c>
      <c r="D323" s="161">
        <f>IF(C323="","",COUNTIFS(Başvuru!$C:$C,C323,Başvuru!$A:$A,"&lt;&gt;"&amp;"",Başvuru!$F:$F,"&lt;&gt;"&amp;""))</f>
        <v>1</v>
      </c>
      <c r="E323" s="159" t="str">
        <f>IF(C323="","-",IF(D323&gt;0,TEXT(D323/(COUNTIFS(Başvuru!$A:$A,"&lt;&gt;",Başvuru!$F:$F,"&lt;&gt;")-1)*100,"0.0")&amp;"%","-"))</f>
        <v>00%</v>
      </c>
      <c r="F323" s="162">
        <f>IF(C323="","",COUNTIFS(Başvuru!$C:$C,C323,Başvuru!$G:$G,"Bireysel Araştırma",Başvuru!$A:$A,"&lt;&gt;"&amp;"",Başvuru!$F:$F,"&lt;&gt;"&amp;""))</f>
        <v>1</v>
      </c>
      <c r="G323" s="162">
        <f>IF(C323="","",COUNTIFS(Başvuru!$C:$C,C323,Başvuru!$G:$G,"Uzmanlık Tezi",Başvuru!$A:$A,"&lt;&gt;"&amp;"",Başvuru!$F:$F,"&lt;&gt;"&amp;""))</f>
        <v>0</v>
      </c>
      <c r="H323" s="162">
        <f>IF(C323="","",COUNTIFS(Başvuru!$C:$C,C323,Başvuru!$G:$G,"Doktora Tezi",Başvuru!$A:$A,"&lt;&gt;"&amp;"",Başvuru!$F:$F,"&lt;&gt;"&amp;""))</f>
        <v>0</v>
      </c>
      <c r="I323" s="162">
        <f>IF(C323="","",COUNTIFS(Başvuru!$C:$C,C323,Başvuru!$G:$G,"Yüksek Lisans Tezi",Başvuru!$A:$A,"&lt;&gt;"&amp;"",Başvuru!$F:$F,"&lt;&gt;"&amp;""))</f>
        <v>0</v>
      </c>
      <c r="J323" s="163">
        <f>IF(C323="","",COUNTIFS(Başvuru!$C:$C,C323,Başvuru!$L:$L,"ONAY",Başvuru!$A:$A,"&lt;&gt;"&amp;"",Başvuru!$F:$F,"&lt;&gt;"&amp;""))</f>
        <v>1</v>
      </c>
      <c r="K323" s="164">
        <f>IF(C323="","",COUNTIFS(Başvuru!$C:$C,C323,Başvuru!$L:$L,"DÜZELTME",Başvuru!$A:$A,"&lt;&gt;"&amp;"",Başvuru!$F:$F,"&lt;&gt;"&amp;""))</f>
        <v>0</v>
      </c>
      <c r="L323" s="165">
        <f>IF(C323="","",COUNTIFS(Başvuru!$C:$C,C323,Başvuru!$L:$L,"KAEK",Başvuru!$A:$A,"&lt;&gt;"&amp;"",Başvuru!$F:$F,"&lt;&gt;"&amp;""))</f>
        <v>0</v>
      </c>
      <c r="M323" s="166">
        <f>IF(C323="","",COUNTIFS(Başvuru!$C:$C,C323,Başvuru!$L:$L,"GÖRÜŞ",Başvuru!$A:$A,"&lt;&gt;"&amp;"",Başvuru!$F:$F,"&lt;&gt;"&amp;""))</f>
        <v>0</v>
      </c>
      <c r="N323" s="167">
        <f>IF(C323="","",COUNTIFS(Başvuru!$C:$C,C323,Başvuru!$L:$L,"RET",Başvuru!$A:$A,"&lt;&gt;"&amp;"",Başvuru!$F:$F,"&lt;&gt;"&amp;""))</f>
        <v>0</v>
      </c>
      <c r="O323" s="168">
        <f>IF(C323="","",COUNTIFS(Başvuru!$C:$C,C323,Başvuru!$L:$L,"KAPSAM DIŞI",Başvuru!$A:$A,"&lt;&gt;"&amp;"",Başvuru!$F:$F,"&lt;&gt;"&amp;""))</f>
        <v>0</v>
      </c>
      <c r="P323" s="169">
        <f>IF(C323="","",COUNTIFS(Başvuru!$C:$C,C323,Başvuru!$L:$L,"GERİ ÇEKİLDİ",Başvuru!$A:$A,"&lt;&gt;"&amp;"",Başvuru!$F:$F,"&lt;&gt;"&amp;""))</f>
        <v>0</v>
      </c>
      <c r="Q323" s="170" t="str">
        <f>IFERROR(INDEX(Başvuru!$C$2:$C$1851,MATCH(318,Başvuru!$AB$2:$AB$1851,0)),"")</f>
        <v>Prof. Dr. Arzu TOPELİ İSKİT</v>
      </c>
      <c r="R323" s="171">
        <f>IF(Q323="","",COUNTIFS(Başvuru!$C:$C,Q323,Başvuru!$A:$A,"&lt;&gt;"&amp;"",Başvuru!$F:$F,"&lt;&gt;"&amp;""))</f>
        <v>1</v>
      </c>
      <c r="S323" s="171">
        <f>IF(R323="","",RANK(R323,$R$6:$R$505,0)+COUNTIF($R$6:R323,R323)-1)</f>
        <v>322</v>
      </c>
    </row>
    <row r="324" spans="2:19" ht="23.25" customHeight="1" x14ac:dyDescent="0.25">
      <c r="B324" s="159">
        <v>319</v>
      </c>
      <c r="C324" s="160" t="str">
        <f>IFERROR(INDEX($Q$6:$Q$505,MATCH(319,$S$6:$S$505,0)),"")</f>
        <v>Doç. Dr. Halide Özge BAŞARAN</v>
      </c>
      <c r="D324" s="161">
        <f>IF(C324="","",COUNTIFS(Başvuru!$C:$C,C324,Başvuru!$A:$A,"&lt;&gt;"&amp;"",Başvuru!$F:$F,"&lt;&gt;"&amp;""))</f>
        <v>1</v>
      </c>
      <c r="E324" s="159" t="str">
        <f>IF(C324="","-",IF(D324&gt;0,TEXT(D324/(COUNTIFS(Başvuru!$A:$A,"&lt;&gt;",Başvuru!$F:$F,"&lt;&gt;")-1)*100,"0.0")&amp;"%","-"))</f>
        <v>00%</v>
      </c>
      <c r="F324" s="162">
        <f>IF(C324="","",COUNTIFS(Başvuru!$C:$C,C324,Başvuru!$G:$G,"Bireysel Araştırma",Başvuru!$A:$A,"&lt;&gt;"&amp;"",Başvuru!$F:$F,"&lt;&gt;"&amp;""))</f>
        <v>1</v>
      </c>
      <c r="G324" s="162">
        <f>IF(C324="","",COUNTIFS(Başvuru!$C:$C,C324,Başvuru!$G:$G,"Uzmanlık Tezi",Başvuru!$A:$A,"&lt;&gt;"&amp;"",Başvuru!$F:$F,"&lt;&gt;"&amp;""))</f>
        <v>0</v>
      </c>
      <c r="H324" s="162">
        <f>IF(C324="","",COUNTIFS(Başvuru!$C:$C,C324,Başvuru!$G:$G,"Doktora Tezi",Başvuru!$A:$A,"&lt;&gt;"&amp;"",Başvuru!$F:$F,"&lt;&gt;"&amp;""))</f>
        <v>0</v>
      </c>
      <c r="I324" s="162">
        <f>IF(C324="","",COUNTIFS(Başvuru!$C:$C,C324,Başvuru!$G:$G,"Yüksek Lisans Tezi",Başvuru!$A:$A,"&lt;&gt;"&amp;"",Başvuru!$F:$F,"&lt;&gt;"&amp;""))</f>
        <v>0</v>
      </c>
      <c r="J324" s="163">
        <f>IF(C324="","",COUNTIFS(Başvuru!$C:$C,C324,Başvuru!$L:$L,"ONAY",Başvuru!$A:$A,"&lt;&gt;"&amp;"",Başvuru!$F:$F,"&lt;&gt;"&amp;""))</f>
        <v>1</v>
      </c>
      <c r="K324" s="164">
        <f>IF(C324="","",COUNTIFS(Başvuru!$C:$C,C324,Başvuru!$L:$L,"DÜZELTME",Başvuru!$A:$A,"&lt;&gt;"&amp;"",Başvuru!$F:$F,"&lt;&gt;"&amp;""))</f>
        <v>0</v>
      </c>
      <c r="L324" s="165">
        <f>IF(C324="","",COUNTIFS(Başvuru!$C:$C,C324,Başvuru!$L:$L,"KAEK",Başvuru!$A:$A,"&lt;&gt;"&amp;"",Başvuru!$F:$F,"&lt;&gt;"&amp;""))</f>
        <v>0</v>
      </c>
      <c r="M324" s="166">
        <f>IF(C324="","",COUNTIFS(Başvuru!$C:$C,C324,Başvuru!$L:$L,"GÖRÜŞ",Başvuru!$A:$A,"&lt;&gt;"&amp;"",Başvuru!$F:$F,"&lt;&gt;"&amp;""))</f>
        <v>0</v>
      </c>
      <c r="N324" s="167">
        <f>IF(C324="","",COUNTIFS(Başvuru!$C:$C,C324,Başvuru!$L:$L,"RET",Başvuru!$A:$A,"&lt;&gt;"&amp;"",Başvuru!$F:$F,"&lt;&gt;"&amp;""))</f>
        <v>0</v>
      </c>
      <c r="O324" s="168">
        <f>IF(C324="","",COUNTIFS(Başvuru!$C:$C,C324,Başvuru!$L:$L,"KAPSAM DIŞI",Başvuru!$A:$A,"&lt;&gt;"&amp;"",Başvuru!$F:$F,"&lt;&gt;"&amp;""))</f>
        <v>0</v>
      </c>
      <c r="P324" s="169">
        <f>IF(C324="","",COUNTIFS(Başvuru!$C:$C,C324,Başvuru!$L:$L,"GERİ ÇEKİLDİ",Başvuru!$A:$A,"&lt;&gt;"&amp;"",Başvuru!$F:$F,"&lt;&gt;"&amp;""))</f>
        <v>0</v>
      </c>
      <c r="Q324" s="170" t="str">
        <f>IFERROR(INDEX(Başvuru!$C$2:$C$1851,MATCH(319,Başvuru!$AB$2:$AB$1851,0)),"")</f>
        <v>Prof. Dr. Ümit Murat ŞAHİNER</v>
      </c>
      <c r="R324" s="171">
        <f>IF(Q324="","",COUNTIFS(Başvuru!$C:$C,Q324,Başvuru!$A:$A,"&lt;&gt;"&amp;"",Başvuru!$F:$F,"&lt;&gt;"&amp;""))</f>
        <v>1</v>
      </c>
      <c r="S324" s="171">
        <f>IF(R324="","",RANK(R324,$R$6:$R$505,0)+COUNTIF($R$6:R324,R324)-1)</f>
        <v>323</v>
      </c>
    </row>
    <row r="325" spans="2:19" ht="23.25" customHeight="1" x14ac:dyDescent="0.25">
      <c r="B325" s="159">
        <v>320</v>
      </c>
      <c r="C325" s="160" t="str">
        <f>IFERROR(INDEX($Q$6:$Q$505,MATCH(320,$S$6:$S$505,0)),"")</f>
        <v>Prof. Dr. Göknur HALİLOĞLU</v>
      </c>
      <c r="D325" s="161">
        <f>IF(C325="","",COUNTIFS(Başvuru!$C:$C,C325,Başvuru!$A:$A,"&lt;&gt;"&amp;"",Başvuru!$F:$F,"&lt;&gt;"&amp;""))</f>
        <v>1</v>
      </c>
      <c r="E325" s="159" t="str">
        <f>IF(C325="","-",IF(D325&gt;0,TEXT(D325/(COUNTIFS(Başvuru!$A:$A,"&lt;&gt;",Başvuru!$F:$F,"&lt;&gt;")-1)*100,"0.0")&amp;"%","-"))</f>
        <v>00%</v>
      </c>
      <c r="F325" s="162">
        <f>IF(C325="","",COUNTIFS(Başvuru!$C:$C,C325,Başvuru!$G:$G,"Bireysel Araştırma",Başvuru!$A:$A,"&lt;&gt;"&amp;"",Başvuru!$F:$F,"&lt;&gt;"&amp;""))</f>
        <v>1</v>
      </c>
      <c r="G325" s="162">
        <f>IF(C325="","",COUNTIFS(Başvuru!$C:$C,C325,Başvuru!$G:$G,"Uzmanlık Tezi",Başvuru!$A:$A,"&lt;&gt;"&amp;"",Başvuru!$F:$F,"&lt;&gt;"&amp;""))</f>
        <v>0</v>
      </c>
      <c r="H325" s="162">
        <f>IF(C325="","",COUNTIFS(Başvuru!$C:$C,C325,Başvuru!$G:$G,"Doktora Tezi",Başvuru!$A:$A,"&lt;&gt;"&amp;"",Başvuru!$F:$F,"&lt;&gt;"&amp;""))</f>
        <v>0</v>
      </c>
      <c r="I325" s="162">
        <f>IF(C325="","",COUNTIFS(Başvuru!$C:$C,C325,Başvuru!$G:$G,"Yüksek Lisans Tezi",Başvuru!$A:$A,"&lt;&gt;"&amp;"",Başvuru!$F:$F,"&lt;&gt;"&amp;""))</f>
        <v>0</v>
      </c>
      <c r="J325" s="163">
        <f>IF(C325="","",COUNTIFS(Başvuru!$C:$C,C325,Başvuru!$L:$L,"ONAY",Başvuru!$A:$A,"&lt;&gt;"&amp;"",Başvuru!$F:$F,"&lt;&gt;"&amp;""))</f>
        <v>0</v>
      </c>
      <c r="K325" s="164">
        <f>IF(C325="","",COUNTIFS(Başvuru!$C:$C,C325,Başvuru!$L:$L,"DÜZELTME",Başvuru!$A:$A,"&lt;&gt;"&amp;"",Başvuru!$F:$F,"&lt;&gt;"&amp;""))</f>
        <v>0</v>
      </c>
      <c r="L325" s="165">
        <f>IF(C325="","",COUNTIFS(Başvuru!$C:$C,C325,Başvuru!$L:$L,"KAEK",Başvuru!$A:$A,"&lt;&gt;"&amp;"",Başvuru!$F:$F,"&lt;&gt;"&amp;""))</f>
        <v>0</v>
      </c>
      <c r="M325" s="166">
        <f>IF(C325="","",COUNTIFS(Başvuru!$C:$C,C325,Başvuru!$L:$L,"GÖRÜŞ",Başvuru!$A:$A,"&lt;&gt;"&amp;"",Başvuru!$F:$F,"&lt;&gt;"&amp;""))</f>
        <v>0</v>
      </c>
      <c r="N325" s="167">
        <f>IF(C325="","",COUNTIFS(Başvuru!$C:$C,C325,Başvuru!$L:$L,"RET",Başvuru!$A:$A,"&lt;&gt;"&amp;"",Başvuru!$F:$F,"&lt;&gt;"&amp;""))</f>
        <v>0</v>
      </c>
      <c r="O325" s="168">
        <f>IF(C325="","",COUNTIFS(Başvuru!$C:$C,C325,Başvuru!$L:$L,"KAPSAM DIŞI",Başvuru!$A:$A,"&lt;&gt;"&amp;"",Başvuru!$F:$F,"&lt;&gt;"&amp;""))</f>
        <v>0</v>
      </c>
      <c r="P325" s="169">
        <f>IF(C325="","",COUNTIFS(Başvuru!$C:$C,C325,Başvuru!$L:$L,"GERİ ÇEKİLDİ",Başvuru!$A:$A,"&lt;&gt;"&amp;"",Başvuru!$F:$F,"&lt;&gt;"&amp;""))</f>
        <v>0</v>
      </c>
      <c r="Q325" s="170" t="str">
        <f>IFERROR(INDEX(Başvuru!$C$2:$C$1851,MATCH(320,Başvuru!$AB$2:$AB$1851,0)),"")</f>
        <v>Prof. Dr. Ali AKDOĞAN</v>
      </c>
      <c r="R325" s="171">
        <f>IF(Q325="","",COUNTIFS(Başvuru!$C:$C,Q325,Başvuru!$A:$A,"&lt;&gt;"&amp;"",Başvuru!$F:$F,"&lt;&gt;"&amp;""))</f>
        <v>2</v>
      </c>
      <c r="S325" s="171">
        <f>IF(R325="","",RANK(R325,$R$6:$R$505,0)+COUNTIF($R$6:R325,R325)-1)</f>
        <v>154</v>
      </c>
    </row>
    <row r="326" spans="2:19" ht="23.25" customHeight="1" x14ac:dyDescent="0.25">
      <c r="B326" s="159">
        <v>321</v>
      </c>
      <c r="C326" s="160" t="str">
        <f>IFERROR(INDEX($Q$6:$Q$505,MATCH(321,$S$6:$S$505,0)),"")</f>
        <v>Dr. Öğr. Üyesi Müge DEMİR</v>
      </c>
      <c r="D326" s="161">
        <f>IF(C326="","",COUNTIFS(Başvuru!$C:$C,C326,Başvuru!$A:$A,"&lt;&gt;"&amp;"",Başvuru!$F:$F,"&lt;&gt;"&amp;""))</f>
        <v>1</v>
      </c>
      <c r="E326" s="159" t="str">
        <f>IF(C326="","-",IF(D326&gt;0,TEXT(D326/(COUNTIFS(Başvuru!$A:$A,"&lt;&gt;",Başvuru!$F:$F,"&lt;&gt;")-1)*100,"0.0")&amp;"%","-"))</f>
        <v>00%</v>
      </c>
      <c r="F326" s="162">
        <f>IF(C326="","",COUNTIFS(Başvuru!$C:$C,C326,Başvuru!$G:$G,"Bireysel Araştırma",Başvuru!$A:$A,"&lt;&gt;"&amp;"",Başvuru!$F:$F,"&lt;&gt;"&amp;""))</f>
        <v>0</v>
      </c>
      <c r="G326" s="162">
        <f>IF(C326="","",COUNTIFS(Başvuru!$C:$C,C326,Başvuru!$G:$G,"Uzmanlık Tezi",Başvuru!$A:$A,"&lt;&gt;"&amp;"",Başvuru!$F:$F,"&lt;&gt;"&amp;""))</f>
        <v>0</v>
      </c>
      <c r="H326" s="162">
        <f>IF(C326="","",COUNTIFS(Başvuru!$C:$C,C326,Başvuru!$G:$G,"Doktora Tezi",Başvuru!$A:$A,"&lt;&gt;"&amp;"",Başvuru!$F:$F,"&lt;&gt;"&amp;""))</f>
        <v>1</v>
      </c>
      <c r="I326" s="162">
        <f>IF(C326="","",COUNTIFS(Başvuru!$C:$C,C326,Başvuru!$G:$G,"Yüksek Lisans Tezi",Başvuru!$A:$A,"&lt;&gt;"&amp;"",Başvuru!$F:$F,"&lt;&gt;"&amp;""))</f>
        <v>0</v>
      </c>
      <c r="J326" s="163">
        <f>IF(C326="","",COUNTIFS(Başvuru!$C:$C,C326,Başvuru!$L:$L,"ONAY",Başvuru!$A:$A,"&lt;&gt;"&amp;"",Başvuru!$F:$F,"&lt;&gt;"&amp;""))</f>
        <v>1</v>
      </c>
      <c r="K326" s="164">
        <f>IF(C326="","",COUNTIFS(Başvuru!$C:$C,C326,Başvuru!$L:$L,"DÜZELTME",Başvuru!$A:$A,"&lt;&gt;"&amp;"",Başvuru!$F:$F,"&lt;&gt;"&amp;""))</f>
        <v>0</v>
      </c>
      <c r="L326" s="165">
        <f>IF(C326="","",COUNTIFS(Başvuru!$C:$C,C326,Başvuru!$L:$L,"KAEK",Başvuru!$A:$A,"&lt;&gt;"&amp;"",Başvuru!$F:$F,"&lt;&gt;"&amp;""))</f>
        <v>0</v>
      </c>
      <c r="M326" s="166">
        <f>IF(C326="","",COUNTIFS(Başvuru!$C:$C,C326,Başvuru!$L:$L,"GÖRÜŞ",Başvuru!$A:$A,"&lt;&gt;"&amp;"",Başvuru!$F:$F,"&lt;&gt;"&amp;""))</f>
        <v>0</v>
      </c>
      <c r="N326" s="167">
        <f>IF(C326="","",COUNTIFS(Başvuru!$C:$C,C326,Başvuru!$L:$L,"RET",Başvuru!$A:$A,"&lt;&gt;"&amp;"",Başvuru!$F:$F,"&lt;&gt;"&amp;""))</f>
        <v>0</v>
      </c>
      <c r="O326" s="168">
        <f>IF(C326="","",COUNTIFS(Başvuru!$C:$C,C326,Başvuru!$L:$L,"KAPSAM DIŞI",Başvuru!$A:$A,"&lt;&gt;"&amp;"",Başvuru!$F:$F,"&lt;&gt;"&amp;""))</f>
        <v>0</v>
      </c>
      <c r="P326" s="169">
        <f>IF(C326="","",COUNTIFS(Başvuru!$C:$C,C326,Başvuru!$L:$L,"GERİ ÇEKİLDİ",Başvuru!$A:$A,"&lt;&gt;"&amp;"",Başvuru!$F:$F,"&lt;&gt;"&amp;""))</f>
        <v>0</v>
      </c>
      <c r="Q326" s="170" t="str">
        <f>IFERROR(INDEX(Başvuru!$C$2:$C$1851,MATCH(321,Başvuru!$AB$2:$AB$1851,0)),"")</f>
        <v>Prof. Dr. Meryem UZAMIŞ TEKÇİÇEK</v>
      </c>
      <c r="R326" s="171">
        <f>IF(Q326="","",COUNTIFS(Başvuru!$C:$C,Q326,Başvuru!$A:$A,"&lt;&gt;"&amp;"",Başvuru!$F:$F,"&lt;&gt;"&amp;""))</f>
        <v>1</v>
      </c>
      <c r="S326" s="171">
        <f>IF(R326="","",RANK(R326,$R$6:$R$505,0)+COUNTIF($R$6:R326,R326)-1)</f>
        <v>324</v>
      </c>
    </row>
    <row r="327" spans="2:19" ht="23.25" customHeight="1" x14ac:dyDescent="0.25">
      <c r="B327" s="159">
        <v>322</v>
      </c>
      <c r="C327" s="160" t="str">
        <f>IFERROR(INDEX($Q$6:$Q$505,MATCH(322,$S$6:$S$505,0)),"")</f>
        <v>Prof. Dr. Arzu TOPELİ İSKİT</v>
      </c>
      <c r="D327" s="161">
        <f>IF(C327="","",COUNTIFS(Başvuru!$C:$C,C327,Başvuru!$A:$A,"&lt;&gt;"&amp;"",Başvuru!$F:$F,"&lt;&gt;"&amp;""))</f>
        <v>1</v>
      </c>
      <c r="E327" s="159" t="str">
        <f>IF(C327="","-",IF(D327&gt;0,TEXT(D327/(COUNTIFS(Başvuru!$A:$A,"&lt;&gt;",Başvuru!$F:$F,"&lt;&gt;")-1)*100,"0.0")&amp;"%","-"))</f>
        <v>00%</v>
      </c>
      <c r="F327" s="162">
        <f>IF(C327="","",COUNTIFS(Başvuru!$C:$C,C327,Başvuru!$G:$G,"Bireysel Araştırma",Başvuru!$A:$A,"&lt;&gt;"&amp;"",Başvuru!$F:$F,"&lt;&gt;"&amp;""))</f>
        <v>1</v>
      </c>
      <c r="G327" s="162">
        <f>IF(C327="","",COUNTIFS(Başvuru!$C:$C,C327,Başvuru!$G:$G,"Uzmanlık Tezi",Başvuru!$A:$A,"&lt;&gt;"&amp;"",Başvuru!$F:$F,"&lt;&gt;"&amp;""))</f>
        <v>0</v>
      </c>
      <c r="H327" s="162">
        <f>IF(C327="","",COUNTIFS(Başvuru!$C:$C,C327,Başvuru!$G:$G,"Doktora Tezi",Başvuru!$A:$A,"&lt;&gt;"&amp;"",Başvuru!$F:$F,"&lt;&gt;"&amp;""))</f>
        <v>0</v>
      </c>
      <c r="I327" s="162">
        <f>IF(C327="","",COUNTIFS(Başvuru!$C:$C,C327,Başvuru!$G:$G,"Yüksek Lisans Tezi",Başvuru!$A:$A,"&lt;&gt;"&amp;"",Başvuru!$F:$F,"&lt;&gt;"&amp;""))</f>
        <v>0</v>
      </c>
      <c r="J327" s="163">
        <f>IF(C327="","",COUNTIFS(Başvuru!$C:$C,C327,Başvuru!$L:$L,"ONAY",Başvuru!$A:$A,"&lt;&gt;"&amp;"",Başvuru!$F:$F,"&lt;&gt;"&amp;""))</f>
        <v>0</v>
      </c>
      <c r="K327" s="164">
        <f>IF(C327="","",COUNTIFS(Başvuru!$C:$C,C327,Başvuru!$L:$L,"DÜZELTME",Başvuru!$A:$A,"&lt;&gt;"&amp;"",Başvuru!$F:$F,"&lt;&gt;"&amp;""))</f>
        <v>0</v>
      </c>
      <c r="L327" s="165">
        <f>IF(C327="","",COUNTIFS(Başvuru!$C:$C,C327,Başvuru!$L:$L,"KAEK",Başvuru!$A:$A,"&lt;&gt;"&amp;"",Başvuru!$F:$F,"&lt;&gt;"&amp;""))</f>
        <v>0</v>
      </c>
      <c r="M327" s="166">
        <f>IF(C327="","",COUNTIFS(Başvuru!$C:$C,C327,Başvuru!$L:$L,"GÖRÜŞ",Başvuru!$A:$A,"&lt;&gt;"&amp;"",Başvuru!$F:$F,"&lt;&gt;"&amp;""))</f>
        <v>0</v>
      </c>
      <c r="N327" s="167">
        <f>IF(C327="","",COUNTIFS(Başvuru!$C:$C,C327,Başvuru!$L:$L,"RET",Başvuru!$A:$A,"&lt;&gt;"&amp;"",Başvuru!$F:$F,"&lt;&gt;"&amp;""))</f>
        <v>0</v>
      </c>
      <c r="O327" s="168">
        <f>IF(C327="","",COUNTIFS(Başvuru!$C:$C,C327,Başvuru!$L:$L,"KAPSAM DIŞI",Başvuru!$A:$A,"&lt;&gt;"&amp;"",Başvuru!$F:$F,"&lt;&gt;"&amp;""))</f>
        <v>0</v>
      </c>
      <c r="P327" s="169">
        <f>IF(C327="","",COUNTIFS(Başvuru!$C:$C,C327,Başvuru!$L:$L,"GERİ ÇEKİLDİ",Başvuru!$A:$A,"&lt;&gt;"&amp;"",Başvuru!$F:$F,"&lt;&gt;"&amp;""))</f>
        <v>0</v>
      </c>
      <c r="Q327" s="170" t="str">
        <f>IFERROR(INDEX(Başvuru!$C$2:$C$1851,MATCH(322,Başvuru!$AB$2:$AB$1851,0)),"")</f>
        <v>Prof. Dr. Özge UYSAL SOYER</v>
      </c>
      <c r="R327" s="171">
        <f>IF(Q327="","",COUNTIFS(Başvuru!$C:$C,Q327,Başvuru!$A:$A,"&lt;&gt;"&amp;"",Başvuru!$F:$F,"&lt;&gt;"&amp;""))</f>
        <v>4</v>
      </c>
      <c r="S327" s="171">
        <f>IF(R327="","",RANK(R327,$R$6:$R$505,0)+COUNTIF($R$6:R327,R327)-1)</f>
        <v>54</v>
      </c>
    </row>
    <row r="328" spans="2:19" ht="23.25" customHeight="1" x14ac:dyDescent="0.25">
      <c r="B328" s="159">
        <v>323</v>
      </c>
      <c r="C328" s="160" t="str">
        <f>IFERROR(INDEX($Q$6:$Q$505,MATCH(323,$S$6:$S$505,0)),"")</f>
        <v>Prof. Dr. Ümit Murat ŞAHİNER</v>
      </c>
      <c r="D328" s="161">
        <f>IF(C328="","",COUNTIFS(Başvuru!$C:$C,C328,Başvuru!$A:$A,"&lt;&gt;"&amp;"",Başvuru!$F:$F,"&lt;&gt;"&amp;""))</f>
        <v>1</v>
      </c>
      <c r="E328" s="159" t="str">
        <f>IF(C328="","-",IF(D328&gt;0,TEXT(D328/(COUNTIFS(Başvuru!$A:$A,"&lt;&gt;",Başvuru!$F:$F,"&lt;&gt;")-1)*100,"0.0")&amp;"%","-"))</f>
        <v>00%</v>
      </c>
      <c r="F328" s="162">
        <f>IF(C328="","",COUNTIFS(Başvuru!$C:$C,C328,Başvuru!$G:$G,"Bireysel Araştırma",Başvuru!$A:$A,"&lt;&gt;"&amp;"",Başvuru!$F:$F,"&lt;&gt;"&amp;""))</f>
        <v>1</v>
      </c>
      <c r="G328" s="162">
        <f>IF(C328="","",COUNTIFS(Başvuru!$C:$C,C328,Başvuru!$G:$G,"Uzmanlık Tezi",Başvuru!$A:$A,"&lt;&gt;"&amp;"",Başvuru!$F:$F,"&lt;&gt;"&amp;""))</f>
        <v>0</v>
      </c>
      <c r="H328" s="162">
        <f>IF(C328="","",COUNTIFS(Başvuru!$C:$C,C328,Başvuru!$G:$G,"Doktora Tezi",Başvuru!$A:$A,"&lt;&gt;"&amp;"",Başvuru!$F:$F,"&lt;&gt;"&amp;""))</f>
        <v>0</v>
      </c>
      <c r="I328" s="162">
        <f>IF(C328="","",COUNTIFS(Başvuru!$C:$C,C328,Başvuru!$G:$G,"Yüksek Lisans Tezi",Başvuru!$A:$A,"&lt;&gt;"&amp;"",Başvuru!$F:$F,"&lt;&gt;"&amp;""))</f>
        <v>0</v>
      </c>
      <c r="J328" s="163">
        <f>IF(C328="","",COUNTIFS(Başvuru!$C:$C,C328,Başvuru!$L:$L,"ONAY",Başvuru!$A:$A,"&lt;&gt;"&amp;"",Başvuru!$F:$F,"&lt;&gt;"&amp;""))</f>
        <v>1</v>
      </c>
      <c r="K328" s="164">
        <f>IF(C328="","",COUNTIFS(Başvuru!$C:$C,C328,Başvuru!$L:$L,"DÜZELTME",Başvuru!$A:$A,"&lt;&gt;"&amp;"",Başvuru!$F:$F,"&lt;&gt;"&amp;""))</f>
        <v>0</v>
      </c>
      <c r="L328" s="165">
        <f>IF(C328="","",COUNTIFS(Başvuru!$C:$C,C328,Başvuru!$L:$L,"KAEK",Başvuru!$A:$A,"&lt;&gt;"&amp;"",Başvuru!$F:$F,"&lt;&gt;"&amp;""))</f>
        <v>0</v>
      </c>
      <c r="M328" s="166">
        <f>IF(C328="","",COUNTIFS(Başvuru!$C:$C,C328,Başvuru!$L:$L,"GÖRÜŞ",Başvuru!$A:$A,"&lt;&gt;"&amp;"",Başvuru!$F:$F,"&lt;&gt;"&amp;""))</f>
        <v>0</v>
      </c>
      <c r="N328" s="167">
        <f>IF(C328="","",COUNTIFS(Başvuru!$C:$C,C328,Başvuru!$L:$L,"RET",Başvuru!$A:$A,"&lt;&gt;"&amp;"",Başvuru!$F:$F,"&lt;&gt;"&amp;""))</f>
        <v>0</v>
      </c>
      <c r="O328" s="168">
        <f>IF(C328="","",COUNTIFS(Başvuru!$C:$C,C328,Başvuru!$L:$L,"KAPSAM DIŞI",Başvuru!$A:$A,"&lt;&gt;"&amp;"",Başvuru!$F:$F,"&lt;&gt;"&amp;""))</f>
        <v>0</v>
      </c>
      <c r="P328" s="169">
        <f>IF(C328="","",COUNTIFS(Başvuru!$C:$C,C328,Başvuru!$L:$L,"GERİ ÇEKİLDİ",Başvuru!$A:$A,"&lt;&gt;"&amp;"",Başvuru!$F:$F,"&lt;&gt;"&amp;""))</f>
        <v>0</v>
      </c>
      <c r="Q328" s="170" t="str">
        <f>IFERROR(INDEX(Başvuru!$C$2:$C$1851,MATCH(323,Başvuru!$AB$2:$AB$1851,0)),"")</f>
        <v>Arş. Gör. Dr. İsmail Çağrı ÖZÜTOK</v>
      </c>
      <c r="R328" s="171">
        <f>IF(Q328="","",COUNTIFS(Başvuru!$C:$C,Q328,Başvuru!$A:$A,"&lt;&gt;"&amp;"",Başvuru!$F:$F,"&lt;&gt;"&amp;""))</f>
        <v>1</v>
      </c>
      <c r="S328" s="171">
        <f>IF(R328="","",RANK(R328,$R$6:$R$505,0)+COUNTIF($R$6:R328,R328)-1)</f>
        <v>325</v>
      </c>
    </row>
    <row r="329" spans="2:19" ht="23.25" customHeight="1" x14ac:dyDescent="0.25">
      <c r="B329" s="159">
        <v>324</v>
      </c>
      <c r="C329" s="160" t="str">
        <f>IFERROR(INDEX($Q$6:$Q$505,MATCH(324,$S$6:$S$505,0)),"")</f>
        <v>Prof. Dr. Meryem UZAMIŞ TEKÇİÇEK</v>
      </c>
      <c r="D329" s="161">
        <f>IF(C329="","",COUNTIFS(Başvuru!$C:$C,C329,Başvuru!$A:$A,"&lt;&gt;"&amp;"",Başvuru!$F:$F,"&lt;&gt;"&amp;""))</f>
        <v>1</v>
      </c>
      <c r="E329" s="159" t="str">
        <f>IF(C329="","-",IF(D329&gt;0,TEXT(D329/(COUNTIFS(Başvuru!$A:$A,"&lt;&gt;",Başvuru!$F:$F,"&lt;&gt;")-1)*100,"0.0")&amp;"%","-"))</f>
        <v>00%</v>
      </c>
      <c r="F329" s="162">
        <f>IF(C329="","",COUNTIFS(Başvuru!$C:$C,C329,Başvuru!$G:$G,"Bireysel Araştırma",Başvuru!$A:$A,"&lt;&gt;"&amp;"",Başvuru!$F:$F,"&lt;&gt;"&amp;""))</f>
        <v>0</v>
      </c>
      <c r="G329" s="162">
        <f>IF(C329="","",COUNTIFS(Başvuru!$C:$C,C329,Başvuru!$G:$G,"Uzmanlık Tezi",Başvuru!$A:$A,"&lt;&gt;"&amp;"",Başvuru!$F:$F,"&lt;&gt;"&amp;""))</f>
        <v>1</v>
      </c>
      <c r="H329" s="162">
        <f>IF(C329="","",COUNTIFS(Başvuru!$C:$C,C329,Başvuru!$G:$G,"Doktora Tezi",Başvuru!$A:$A,"&lt;&gt;"&amp;"",Başvuru!$F:$F,"&lt;&gt;"&amp;""))</f>
        <v>0</v>
      </c>
      <c r="I329" s="162">
        <f>IF(C329="","",COUNTIFS(Başvuru!$C:$C,C329,Başvuru!$G:$G,"Yüksek Lisans Tezi",Başvuru!$A:$A,"&lt;&gt;"&amp;"",Başvuru!$F:$F,"&lt;&gt;"&amp;""))</f>
        <v>0</v>
      </c>
      <c r="J329" s="163">
        <f>IF(C329="","",COUNTIFS(Başvuru!$C:$C,C329,Başvuru!$L:$L,"ONAY",Başvuru!$A:$A,"&lt;&gt;"&amp;"",Başvuru!$F:$F,"&lt;&gt;"&amp;""))</f>
        <v>1</v>
      </c>
      <c r="K329" s="164">
        <f>IF(C329="","",COUNTIFS(Başvuru!$C:$C,C329,Başvuru!$L:$L,"DÜZELTME",Başvuru!$A:$A,"&lt;&gt;"&amp;"",Başvuru!$F:$F,"&lt;&gt;"&amp;""))</f>
        <v>0</v>
      </c>
      <c r="L329" s="165">
        <f>IF(C329="","",COUNTIFS(Başvuru!$C:$C,C329,Başvuru!$L:$L,"KAEK",Başvuru!$A:$A,"&lt;&gt;"&amp;"",Başvuru!$F:$F,"&lt;&gt;"&amp;""))</f>
        <v>0</v>
      </c>
      <c r="M329" s="166">
        <f>IF(C329="","",COUNTIFS(Başvuru!$C:$C,C329,Başvuru!$L:$L,"GÖRÜŞ",Başvuru!$A:$A,"&lt;&gt;"&amp;"",Başvuru!$F:$F,"&lt;&gt;"&amp;""))</f>
        <v>0</v>
      </c>
      <c r="N329" s="167">
        <f>IF(C329="","",COUNTIFS(Başvuru!$C:$C,C329,Başvuru!$L:$L,"RET",Başvuru!$A:$A,"&lt;&gt;"&amp;"",Başvuru!$F:$F,"&lt;&gt;"&amp;""))</f>
        <v>0</v>
      </c>
      <c r="O329" s="168">
        <f>IF(C329="","",COUNTIFS(Başvuru!$C:$C,C329,Başvuru!$L:$L,"KAPSAM DIŞI",Başvuru!$A:$A,"&lt;&gt;"&amp;"",Başvuru!$F:$F,"&lt;&gt;"&amp;""))</f>
        <v>0</v>
      </c>
      <c r="P329" s="169">
        <f>IF(C329="","",COUNTIFS(Başvuru!$C:$C,C329,Başvuru!$L:$L,"GERİ ÇEKİLDİ",Başvuru!$A:$A,"&lt;&gt;"&amp;"",Başvuru!$F:$F,"&lt;&gt;"&amp;""))</f>
        <v>0</v>
      </c>
      <c r="Q329" s="170" t="str">
        <f>IFERROR(INDEX(Başvuru!$C$2:$C$1851,MATCH(324,Başvuru!$AB$2:$AB$1851,0)),"")</f>
        <v>Dr. Öğr. Üyesi Bengi ÖZTÜRK</v>
      </c>
      <c r="R329" s="171">
        <f>IF(Q329="","",COUNTIFS(Başvuru!$C:$C,Q329,Başvuru!$A:$A,"&lt;&gt;"&amp;"",Başvuru!$F:$F,"&lt;&gt;"&amp;""))</f>
        <v>1</v>
      </c>
      <c r="S329" s="171">
        <f>IF(R329="","",RANK(R329,$R$6:$R$505,0)+COUNTIF($R$6:R329,R329)-1)</f>
        <v>326</v>
      </c>
    </row>
    <row r="330" spans="2:19" ht="23.25" customHeight="1" x14ac:dyDescent="0.25">
      <c r="B330" s="159">
        <v>325</v>
      </c>
      <c r="C330" s="160" t="str">
        <f>IFERROR(INDEX($Q$6:$Q$505,MATCH(325,$S$6:$S$505,0)),"")</f>
        <v>Arş. Gör. Dr. İsmail Çağrı ÖZÜTOK</v>
      </c>
      <c r="D330" s="161">
        <f>IF(C330="","",COUNTIFS(Başvuru!$C:$C,C330,Başvuru!$A:$A,"&lt;&gt;"&amp;"",Başvuru!$F:$F,"&lt;&gt;"&amp;""))</f>
        <v>1</v>
      </c>
      <c r="E330" s="159" t="str">
        <f>IF(C330="","-",IF(D330&gt;0,TEXT(D330/(COUNTIFS(Başvuru!$A:$A,"&lt;&gt;",Başvuru!$F:$F,"&lt;&gt;")-1)*100,"0.0")&amp;"%","-"))</f>
        <v>00%</v>
      </c>
      <c r="F330" s="162">
        <f>IF(C330="","",COUNTIFS(Başvuru!$C:$C,C330,Başvuru!$G:$G,"Bireysel Araştırma",Başvuru!$A:$A,"&lt;&gt;"&amp;"",Başvuru!$F:$F,"&lt;&gt;"&amp;""))</f>
        <v>1</v>
      </c>
      <c r="G330" s="162">
        <f>IF(C330="","",COUNTIFS(Başvuru!$C:$C,C330,Başvuru!$G:$G,"Uzmanlık Tezi",Başvuru!$A:$A,"&lt;&gt;"&amp;"",Başvuru!$F:$F,"&lt;&gt;"&amp;""))</f>
        <v>0</v>
      </c>
      <c r="H330" s="162">
        <f>IF(C330="","",COUNTIFS(Başvuru!$C:$C,C330,Başvuru!$G:$G,"Doktora Tezi",Başvuru!$A:$A,"&lt;&gt;"&amp;"",Başvuru!$F:$F,"&lt;&gt;"&amp;""))</f>
        <v>0</v>
      </c>
      <c r="I330" s="162">
        <f>IF(C330="","",COUNTIFS(Başvuru!$C:$C,C330,Başvuru!$G:$G,"Yüksek Lisans Tezi",Başvuru!$A:$A,"&lt;&gt;"&amp;"",Başvuru!$F:$F,"&lt;&gt;"&amp;""))</f>
        <v>0</v>
      </c>
      <c r="J330" s="163">
        <f>IF(C330="","",COUNTIFS(Başvuru!$C:$C,C330,Başvuru!$L:$L,"ONAY",Başvuru!$A:$A,"&lt;&gt;"&amp;"",Başvuru!$F:$F,"&lt;&gt;"&amp;""))</f>
        <v>1</v>
      </c>
      <c r="K330" s="164">
        <f>IF(C330="","",COUNTIFS(Başvuru!$C:$C,C330,Başvuru!$L:$L,"DÜZELTME",Başvuru!$A:$A,"&lt;&gt;"&amp;"",Başvuru!$F:$F,"&lt;&gt;"&amp;""))</f>
        <v>0</v>
      </c>
      <c r="L330" s="165">
        <f>IF(C330="","",COUNTIFS(Başvuru!$C:$C,C330,Başvuru!$L:$L,"KAEK",Başvuru!$A:$A,"&lt;&gt;"&amp;"",Başvuru!$F:$F,"&lt;&gt;"&amp;""))</f>
        <v>0</v>
      </c>
      <c r="M330" s="166">
        <f>IF(C330="","",COUNTIFS(Başvuru!$C:$C,C330,Başvuru!$L:$L,"GÖRÜŞ",Başvuru!$A:$A,"&lt;&gt;"&amp;"",Başvuru!$F:$F,"&lt;&gt;"&amp;""))</f>
        <v>0</v>
      </c>
      <c r="N330" s="167">
        <f>IF(C330="","",COUNTIFS(Başvuru!$C:$C,C330,Başvuru!$L:$L,"RET",Başvuru!$A:$A,"&lt;&gt;"&amp;"",Başvuru!$F:$F,"&lt;&gt;"&amp;""))</f>
        <v>0</v>
      </c>
      <c r="O330" s="168">
        <f>IF(C330="","",COUNTIFS(Başvuru!$C:$C,C330,Başvuru!$L:$L,"KAPSAM DIŞI",Başvuru!$A:$A,"&lt;&gt;"&amp;"",Başvuru!$F:$F,"&lt;&gt;"&amp;""))</f>
        <v>0</v>
      </c>
      <c r="P330" s="169">
        <f>IF(C330="","",COUNTIFS(Başvuru!$C:$C,C330,Başvuru!$L:$L,"GERİ ÇEKİLDİ",Başvuru!$A:$A,"&lt;&gt;"&amp;"",Başvuru!$F:$F,"&lt;&gt;"&amp;""))</f>
        <v>0</v>
      </c>
      <c r="Q330" s="170" t="str">
        <f>IFERROR(INDEX(Başvuru!$C$2:$C$1851,MATCH(325,Başvuru!$AB$2:$AB$1851,0)),"")</f>
        <v>Prof. Dr. Turgut Emrah BOZKURT</v>
      </c>
      <c r="R330" s="171">
        <f>IF(Q330="","",COUNTIFS(Başvuru!$C:$C,Q330,Başvuru!$A:$A,"&lt;&gt;"&amp;"",Başvuru!$F:$F,"&lt;&gt;"&amp;""))</f>
        <v>1</v>
      </c>
      <c r="S330" s="171">
        <f>IF(R330="","",RANK(R330,$R$6:$R$505,0)+COUNTIF($R$6:R330,R330)-1)</f>
        <v>327</v>
      </c>
    </row>
    <row r="331" spans="2:19" ht="23.25" customHeight="1" x14ac:dyDescent="0.25">
      <c r="B331" s="159">
        <v>326</v>
      </c>
      <c r="C331" s="160" t="str">
        <f>IFERROR(INDEX($Q$6:$Q$505,MATCH(326,$S$6:$S$505,0)),"")</f>
        <v>Dr. Öğr. Üyesi Bengi ÖZTÜRK</v>
      </c>
      <c r="D331" s="161">
        <f>IF(C331="","",COUNTIFS(Başvuru!$C:$C,C331,Başvuru!$A:$A,"&lt;&gt;"&amp;"",Başvuru!$F:$F,"&lt;&gt;"&amp;""))</f>
        <v>1</v>
      </c>
      <c r="E331" s="159" t="str">
        <f>IF(C331="","-",IF(D331&gt;0,TEXT(D331/(COUNTIFS(Başvuru!$A:$A,"&lt;&gt;",Başvuru!$F:$F,"&lt;&gt;")-1)*100,"0.0")&amp;"%","-"))</f>
        <v>00%</v>
      </c>
      <c r="F331" s="162">
        <f>IF(C331="","",COUNTIFS(Başvuru!$C:$C,C331,Başvuru!$G:$G,"Bireysel Araştırma",Başvuru!$A:$A,"&lt;&gt;"&amp;"",Başvuru!$F:$F,"&lt;&gt;"&amp;""))</f>
        <v>1</v>
      </c>
      <c r="G331" s="162">
        <f>IF(C331="","",COUNTIFS(Başvuru!$C:$C,C331,Başvuru!$G:$G,"Uzmanlık Tezi",Başvuru!$A:$A,"&lt;&gt;"&amp;"",Başvuru!$F:$F,"&lt;&gt;"&amp;""))</f>
        <v>0</v>
      </c>
      <c r="H331" s="162">
        <f>IF(C331="","",COUNTIFS(Başvuru!$C:$C,C331,Başvuru!$G:$G,"Doktora Tezi",Başvuru!$A:$A,"&lt;&gt;"&amp;"",Başvuru!$F:$F,"&lt;&gt;"&amp;""))</f>
        <v>0</v>
      </c>
      <c r="I331" s="162">
        <f>IF(C331="","",COUNTIFS(Başvuru!$C:$C,C331,Başvuru!$G:$G,"Yüksek Lisans Tezi",Başvuru!$A:$A,"&lt;&gt;"&amp;"",Başvuru!$F:$F,"&lt;&gt;"&amp;""))</f>
        <v>0</v>
      </c>
      <c r="J331" s="163">
        <f>IF(C331="","",COUNTIFS(Başvuru!$C:$C,C331,Başvuru!$L:$L,"ONAY",Başvuru!$A:$A,"&lt;&gt;"&amp;"",Başvuru!$F:$F,"&lt;&gt;"&amp;""))</f>
        <v>1</v>
      </c>
      <c r="K331" s="164">
        <f>IF(C331="","",COUNTIFS(Başvuru!$C:$C,C331,Başvuru!$L:$L,"DÜZELTME",Başvuru!$A:$A,"&lt;&gt;"&amp;"",Başvuru!$F:$F,"&lt;&gt;"&amp;""))</f>
        <v>0</v>
      </c>
      <c r="L331" s="165">
        <f>IF(C331="","",COUNTIFS(Başvuru!$C:$C,C331,Başvuru!$L:$L,"KAEK",Başvuru!$A:$A,"&lt;&gt;"&amp;"",Başvuru!$F:$F,"&lt;&gt;"&amp;""))</f>
        <v>0</v>
      </c>
      <c r="M331" s="166">
        <f>IF(C331="","",COUNTIFS(Başvuru!$C:$C,C331,Başvuru!$L:$L,"GÖRÜŞ",Başvuru!$A:$A,"&lt;&gt;"&amp;"",Başvuru!$F:$F,"&lt;&gt;"&amp;""))</f>
        <v>0</v>
      </c>
      <c r="N331" s="167">
        <f>IF(C331="","",COUNTIFS(Başvuru!$C:$C,C331,Başvuru!$L:$L,"RET",Başvuru!$A:$A,"&lt;&gt;"&amp;"",Başvuru!$F:$F,"&lt;&gt;"&amp;""))</f>
        <v>0</v>
      </c>
      <c r="O331" s="168">
        <f>IF(C331="","",COUNTIFS(Başvuru!$C:$C,C331,Başvuru!$L:$L,"KAPSAM DIŞI",Başvuru!$A:$A,"&lt;&gt;"&amp;"",Başvuru!$F:$F,"&lt;&gt;"&amp;""))</f>
        <v>0</v>
      </c>
      <c r="P331" s="169">
        <f>IF(C331="","",COUNTIFS(Başvuru!$C:$C,C331,Başvuru!$L:$L,"GERİ ÇEKİLDİ",Başvuru!$A:$A,"&lt;&gt;"&amp;"",Başvuru!$F:$F,"&lt;&gt;"&amp;""))</f>
        <v>0</v>
      </c>
      <c r="Q331" s="170" t="str">
        <f>IFERROR(INDEX(Başvuru!$C$2:$C$1851,MATCH(326,Başvuru!$AB$2:$AB$1851,0)),"")</f>
        <v>Doç. Dr. Murat KARA</v>
      </c>
      <c r="R331" s="171">
        <f>IF(Q331="","",COUNTIFS(Başvuru!$C:$C,Q331,Başvuru!$A:$A,"&lt;&gt;"&amp;"",Başvuru!$F:$F,"&lt;&gt;"&amp;""))</f>
        <v>1</v>
      </c>
      <c r="S331" s="171">
        <f>IF(R331="","",RANK(R331,$R$6:$R$505,0)+COUNTIF($R$6:R331,R331)-1)</f>
        <v>328</v>
      </c>
    </row>
    <row r="332" spans="2:19" ht="23.25" customHeight="1" x14ac:dyDescent="0.25">
      <c r="B332" s="159">
        <v>327</v>
      </c>
      <c r="C332" s="160" t="str">
        <f>IFERROR(INDEX($Q$6:$Q$505,MATCH(327,$S$6:$S$505,0)),"")</f>
        <v>Prof. Dr. Turgut Emrah BOZKURT</v>
      </c>
      <c r="D332" s="161">
        <f>IF(C332="","",COUNTIFS(Başvuru!$C:$C,C332,Başvuru!$A:$A,"&lt;&gt;"&amp;"",Başvuru!$F:$F,"&lt;&gt;"&amp;""))</f>
        <v>1</v>
      </c>
      <c r="E332" s="159" t="str">
        <f>IF(C332="","-",IF(D332&gt;0,TEXT(D332/(COUNTIFS(Başvuru!$A:$A,"&lt;&gt;",Başvuru!$F:$F,"&lt;&gt;")-1)*100,"0.0")&amp;"%","-"))</f>
        <v>00%</v>
      </c>
      <c r="F332" s="162">
        <f>IF(C332="","",COUNTIFS(Başvuru!$C:$C,C332,Başvuru!$G:$G,"Bireysel Araştırma",Başvuru!$A:$A,"&lt;&gt;"&amp;"",Başvuru!$F:$F,"&lt;&gt;"&amp;""))</f>
        <v>1</v>
      </c>
      <c r="G332" s="162">
        <f>IF(C332="","",COUNTIFS(Başvuru!$C:$C,C332,Başvuru!$G:$G,"Uzmanlık Tezi",Başvuru!$A:$A,"&lt;&gt;"&amp;"",Başvuru!$F:$F,"&lt;&gt;"&amp;""))</f>
        <v>0</v>
      </c>
      <c r="H332" s="162">
        <f>IF(C332="","",COUNTIFS(Başvuru!$C:$C,C332,Başvuru!$G:$G,"Doktora Tezi",Başvuru!$A:$A,"&lt;&gt;"&amp;"",Başvuru!$F:$F,"&lt;&gt;"&amp;""))</f>
        <v>0</v>
      </c>
      <c r="I332" s="162">
        <f>IF(C332="","",COUNTIFS(Başvuru!$C:$C,C332,Başvuru!$G:$G,"Yüksek Lisans Tezi",Başvuru!$A:$A,"&lt;&gt;"&amp;"",Başvuru!$F:$F,"&lt;&gt;"&amp;""))</f>
        <v>0</v>
      </c>
      <c r="J332" s="163">
        <f>IF(C332="","",COUNTIFS(Başvuru!$C:$C,C332,Başvuru!$L:$L,"ONAY",Başvuru!$A:$A,"&lt;&gt;"&amp;"",Başvuru!$F:$F,"&lt;&gt;"&amp;""))</f>
        <v>0</v>
      </c>
      <c r="K332" s="164">
        <f>IF(C332="","",COUNTIFS(Başvuru!$C:$C,C332,Başvuru!$L:$L,"DÜZELTME",Başvuru!$A:$A,"&lt;&gt;"&amp;"",Başvuru!$F:$F,"&lt;&gt;"&amp;""))</f>
        <v>0</v>
      </c>
      <c r="L332" s="165">
        <f>IF(C332="","",COUNTIFS(Başvuru!$C:$C,C332,Başvuru!$L:$L,"KAEK",Başvuru!$A:$A,"&lt;&gt;"&amp;"",Başvuru!$F:$F,"&lt;&gt;"&amp;""))</f>
        <v>0</v>
      </c>
      <c r="M332" s="166">
        <f>IF(C332="","",COUNTIFS(Başvuru!$C:$C,C332,Başvuru!$L:$L,"GÖRÜŞ",Başvuru!$A:$A,"&lt;&gt;"&amp;"",Başvuru!$F:$F,"&lt;&gt;"&amp;""))</f>
        <v>0</v>
      </c>
      <c r="N332" s="167">
        <f>IF(C332="","",COUNTIFS(Başvuru!$C:$C,C332,Başvuru!$L:$L,"RET",Başvuru!$A:$A,"&lt;&gt;"&amp;"",Başvuru!$F:$F,"&lt;&gt;"&amp;""))</f>
        <v>0</v>
      </c>
      <c r="O332" s="168">
        <f>IF(C332="","",COUNTIFS(Başvuru!$C:$C,C332,Başvuru!$L:$L,"KAPSAM DIŞI",Başvuru!$A:$A,"&lt;&gt;"&amp;"",Başvuru!$F:$F,"&lt;&gt;"&amp;""))</f>
        <v>0</v>
      </c>
      <c r="P332" s="169">
        <f>IF(C332="","",COUNTIFS(Başvuru!$C:$C,C332,Başvuru!$L:$L,"GERİ ÇEKİLDİ",Başvuru!$A:$A,"&lt;&gt;"&amp;"",Başvuru!$F:$F,"&lt;&gt;"&amp;""))</f>
        <v>0</v>
      </c>
      <c r="Q332" s="170" t="str">
        <f>IFERROR(INDEX(Başvuru!$C$2:$C$1851,MATCH(327,Başvuru!$AB$2:$AB$1851,0)),"")</f>
        <v>Prof. Dr. Esra Burcu SAĞLAM</v>
      </c>
      <c r="R332" s="171">
        <f>IF(Q332="","",COUNTIFS(Başvuru!$C:$C,Q332,Başvuru!$A:$A,"&lt;&gt;"&amp;"",Başvuru!$F:$F,"&lt;&gt;"&amp;""))</f>
        <v>1</v>
      </c>
      <c r="S332" s="171">
        <f>IF(R332="","",RANK(R332,$R$6:$R$505,0)+COUNTIF($R$6:R332,R332)-1)</f>
        <v>329</v>
      </c>
    </row>
    <row r="333" spans="2:19" ht="23.25" customHeight="1" x14ac:dyDescent="0.25">
      <c r="B333" s="159">
        <v>328</v>
      </c>
      <c r="C333" s="160" t="str">
        <f>IFERROR(INDEX($Q$6:$Q$505,MATCH(328,$S$6:$S$505,0)),"")</f>
        <v>Doç. Dr. Murat KARA</v>
      </c>
      <c r="D333" s="161">
        <f>IF(C333="","",COUNTIFS(Başvuru!$C:$C,C333,Başvuru!$A:$A,"&lt;&gt;"&amp;"",Başvuru!$F:$F,"&lt;&gt;"&amp;""))</f>
        <v>1</v>
      </c>
      <c r="E333" s="159" t="str">
        <f>IF(C333="","-",IF(D333&gt;0,TEXT(D333/(COUNTIFS(Başvuru!$A:$A,"&lt;&gt;",Başvuru!$F:$F,"&lt;&gt;")-1)*100,"0.0")&amp;"%","-"))</f>
        <v>00%</v>
      </c>
      <c r="F333" s="162">
        <f>IF(C333="","",COUNTIFS(Başvuru!$C:$C,C333,Başvuru!$G:$G,"Bireysel Araştırma",Başvuru!$A:$A,"&lt;&gt;"&amp;"",Başvuru!$F:$F,"&lt;&gt;"&amp;""))</f>
        <v>0</v>
      </c>
      <c r="G333" s="162">
        <f>IF(C333="","",COUNTIFS(Başvuru!$C:$C,C333,Başvuru!$G:$G,"Uzmanlık Tezi",Başvuru!$A:$A,"&lt;&gt;"&amp;"",Başvuru!$F:$F,"&lt;&gt;"&amp;""))</f>
        <v>1</v>
      </c>
      <c r="H333" s="162">
        <f>IF(C333="","",COUNTIFS(Başvuru!$C:$C,C333,Başvuru!$G:$G,"Doktora Tezi",Başvuru!$A:$A,"&lt;&gt;"&amp;"",Başvuru!$F:$F,"&lt;&gt;"&amp;""))</f>
        <v>0</v>
      </c>
      <c r="I333" s="162">
        <f>IF(C333="","",COUNTIFS(Başvuru!$C:$C,C333,Başvuru!$G:$G,"Yüksek Lisans Tezi",Başvuru!$A:$A,"&lt;&gt;"&amp;"",Başvuru!$F:$F,"&lt;&gt;"&amp;""))</f>
        <v>0</v>
      </c>
      <c r="J333" s="163">
        <f>IF(C333="","",COUNTIFS(Başvuru!$C:$C,C333,Başvuru!$L:$L,"ONAY",Başvuru!$A:$A,"&lt;&gt;"&amp;"",Başvuru!$F:$F,"&lt;&gt;"&amp;""))</f>
        <v>1</v>
      </c>
      <c r="K333" s="164">
        <f>IF(C333="","",COUNTIFS(Başvuru!$C:$C,C333,Başvuru!$L:$L,"DÜZELTME",Başvuru!$A:$A,"&lt;&gt;"&amp;"",Başvuru!$F:$F,"&lt;&gt;"&amp;""))</f>
        <v>0</v>
      </c>
      <c r="L333" s="165">
        <f>IF(C333="","",COUNTIFS(Başvuru!$C:$C,C333,Başvuru!$L:$L,"KAEK",Başvuru!$A:$A,"&lt;&gt;"&amp;"",Başvuru!$F:$F,"&lt;&gt;"&amp;""))</f>
        <v>0</v>
      </c>
      <c r="M333" s="166">
        <f>IF(C333="","",COUNTIFS(Başvuru!$C:$C,C333,Başvuru!$L:$L,"GÖRÜŞ",Başvuru!$A:$A,"&lt;&gt;"&amp;"",Başvuru!$F:$F,"&lt;&gt;"&amp;""))</f>
        <v>0</v>
      </c>
      <c r="N333" s="167">
        <f>IF(C333="","",COUNTIFS(Başvuru!$C:$C,C333,Başvuru!$L:$L,"RET",Başvuru!$A:$A,"&lt;&gt;"&amp;"",Başvuru!$F:$F,"&lt;&gt;"&amp;""))</f>
        <v>0</v>
      </c>
      <c r="O333" s="168">
        <f>IF(C333="","",COUNTIFS(Başvuru!$C:$C,C333,Başvuru!$L:$L,"KAPSAM DIŞI",Başvuru!$A:$A,"&lt;&gt;"&amp;"",Başvuru!$F:$F,"&lt;&gt;"&amp;""))</f>
        <v>0</v>
      </c>
      <c r="P333" s="169">
        <f>IF(C333="","",COUNTIFS(Başvuru!$C:$C,C333,Başvuru!$L:$L,"GERİ ÇEKİLDİ",Başvuru!$A:$A,"&lt;&gt;"&amp;"",Başvuru!$F:$F,"&lt;&gt;"&amp;""))</f>
        <v>0</v>
      </c>
      <c r="Q333" s="170" t="str">
        <f>IFERROR(INDEX(Başvuru!$C$2:$C$1851,MATCH(328,Başvuru!$AB$2:$AB$1851,0)),"")</f>
        <v>Prof. Dr. Münip Gökhan TUNÇBİLEK</v>
      </c>
      <c r="R333" s="171">
        <f>IF(Q333="","",COUNTIFS(Başvuru!$C:$C,Q333,Başvuru!$A:$A,"&lt;&gt;"&amp;"",Başvuru!$F:$F,"&lt;&gt;"&amp;""))</f>
        <v>1</v>
      </c>
      <c r="S333" s="171">
        <f>IF(R333="","",RANK(R333,$R$6:$R$505,0)+COUNTIF($R$6:R333,R333)-1)</f>
        <v>330</v>
      </c>
    </row>
    <row r="334" spans="2:19" ht="23.25" customHeight="1" x14ac:dyDescent="0.25">
      <c r="B334" s="159">
        <v>329</v>
      </c>
      <c r="C334" s="160" t="str">
        <f>IFERROR(INDEX($Q$6:$Q$505,MATCH(329,$S$6:$S$505,0)),"")</f>
        <v>Prof. Dr. Esra Burcu SAĞLAM</v>
      </c>
      <c r="D334" s="161">
        <f>IF(C334="","",COUNTIFS(Başvuru!$C:$C,C334,Başvuru!$A:$A,"&lt;&gt;"&amp;"",Başvuru!$F:$F,"&lt;&gt;"&amp;""))</f>
        <v>1</v>
      </c>
      <c r="E334" s="159" t="str">
        <f>IF(C334="","-",IF(D334&gt;0,TEXT(D334/(COUNTIFS(Başvuru!$A:$A,"&lt;&gt;",Başvuru!$F:$F,"&lt;&gt;")-1)*100,"0.0")&amp;"%","-"))</f>
        <v>00%</v>
      </c>
      <c r="F334" s="162">
        <f>IF(C334="","",COUNTIFS(Başvuru!$C:$C,C334,Başvuru!$G:$G,"Bireysel Araştırma",Başvuru!$A:$A,"&lt;&gt;"&amp;"",Başvuru!$F:$F,"&lt;&gt;"&amp;""))</f>
        <v>1</v>
      </c>
      <c r="G334" s="162">
        <f>IF(C334="","",COUNTIFS(Başvuru!$C:$C,C334,Başvuru!$G:$G,"Uzmanlık Tezi",Başvuru!$A:$A,"&lt;&gt;"&amp;"",Başvuru!$F:$F,"&lt;&gt;"&amp;""))</f>
        <v>0</v>
      </c>
      <c r="H334" s="162">
        <f>IF(C334="","",COUNTIFS(Başvuru!$C:$C,C334,Başvuru!$G:$G,"Doktora Tezi",Başvuru!$A:$A,"&lt;&gt;"&amp;"",Başvuru!$F:$F,"&lt;&gt;"&amp;""))</f>
        <v>0</v>
      </c>
      <c r="I334" s="162">
        <f>IF(C334="","",COUNTIFS(Başvuru!$C:$C,C334,Başvuru!$G:$G,"Yüksek Lisans Tezi",Başvuru!$A:$A,"&lt;&gt;"&amp;"",Başvuru!$F:$F,"&lt;&gt;"&amp;""))</f>
        <v>0</v>
      </c>
      <c r="J334" s="163">
        <f>IF(C334="","",COUNTIFS(Başvuru!$C:$C,C334,Başvuru!$L:$L,"ONAY",Başvuru!$A:$A,"&lt;&gt;"&amp;"",Başvuru!$F:$F,"&lt;&gt;"&amp;""))</f>
        <v>0</v>
      </c>
      <c r="K334" s="164">
        <f>IF(C334="","",COUNTIFS(Başvuru!$C:$C,C334,Başvuru!$L:$L,"DÜZELTME",Başvuru!$A:$A,"&lt;&gt;"&amp;"",Başvuru!$F:$F,"&lt;&gt;"&amp;""))</f>
        <v>0</v>
      </c>
      <c r="L334" s="165">
        <f>IF(C334="","",COUNTIFS(Başvuru!$C:$C,C334,Başvuru!$L:$L,"KAEK",Başvuru!$A:$A,"&lt;&gt;"&amp;"",Başvuru!$F:$F,"&lt;&gt;"&amp;""))</f>
        <v>0</v>
      </c>
      <c r="M334" s="166">
        <f>IF(C334="","",COUNTIFS(Başvuru!$C:$C,C334,Başvuru!$L:$L,"GÖRÜŞ",Başvuru!$A:$A,"&lt;&gt;"&amp;"",Başvuru!$F:$F,"&lt;&gt;"&amp;""))</f>
        <v>0</v>
      </c>
      <c r="N334" s="167">
        <f>IF(C334="","",COUNTIFS(Başvuru!$C:$C,C334,Başvuru!$L:$L,"RET",Başvuru!$A:$A,"&lt;&gt;"&amp;"",Başvuru!$F:$F,"&lt;&gt;"&amp;""))</f>
        <v>0</v>
      </c>
      <c r="O334" s="168">
        <f>IF(C334="","",COUNTIFS(Başvuru!$C:$C,C334,Başvuru!$L:$L,"KAPSAM DIŞI",Başvuru!$A:$A,"&lt;&gt;"&amp;"",Başvuru!$F:$F,"&lt;&gt;"&amp;""))</f>
        <v>0</v>
      </c>
      <c r="P334" s="169">
        <f>IF(C334="","",COUNTIFS(Başvuru!$C:$C,C334,Başvuru!$L:$L,"GERİ ÇEKİLDİ",Başvuru!$A:$A,"&lt;&gt;"&amp;"",Başvuru!$F:$F,"&lt;&gt;"&amp;""))</f>
        <v>0</v>
      </c>
      <c r="Q334" s="170" t="str">
        <f>IFERROR(INDEX(Başvuru!$C$2:$C$1851,MATCH(329,Başvuru!$AB$2:$AB$1851,0)),"")</f>
        <v>Arş. Gör. Dr. İzzet Türkalp AKBAŞLI</v>
      </c>
      <c r="R334" s="171">
        <f>IF(Q334="","",COUNTIFS(Başvuru!$C:$C,Q334,Başvuru!$A:$A,"&lt;&gt;"&amp;"",Başvuru!$F:$F,"&lt;&gt;"&amp;""))</f>
        <v>1</v>
      </c>
      <c r="S334" s="171">
        <f>IF(R334="","",RANK(R334,$R$6:$R$505,0)+COUNTIF($R$6:R334,R334)-1)</f>
        <v>331</v>
      </c>
    </row>
    <row r="335" spans="2:19" ht="23.25" customHeight="1" x14ac:dyDescent="0.25">
      <c r="B335" s="159">
        <v>330</v>
      </c>
      <c r="C335" s="160" t="str">
        <f>IFERROR(INDEX($Q$6:$Q$505,MATCH(330,$S$6:$S$505,0)),"")</f>
        <v>Prof. Dr. Münip Gökhan TUNÇBİLEK</v>
      </c>
      <c r="D335" s="161">
        <f>IF(C335="","",COUNTIFS(Başvuru!$C:$C,C335,Başvuru!$A:$A,"&lt;&gt;"&amp;"",Başvuru!$F:$F,"&lt;&gt;"&amp;""))</f>
        <v>1</v>
      </c>
      <c r="E335" s="159" t="str">
        <f>IF(C335="","-",IF(D335&gt;0,TEXT(D335/(COUNTIFS(Başvuru!$A:$A,"&lt;&gt;",Başvuru!$F:$F,"&lt;&gt;")-1)*100,"0.0")&amp;"%","-"))</f>
        <v>00%</v>
      </c>
      <c r="F335" s="162">
        <f>IF(C335="","",COUNTIFS(Başvuru!$C:$C,C335,Başvuru!$G:$G,"Bireysel Araştırma",Başvuru!$A:$A,"&lt;&gt;"&amp;"",Başvuru!$F:$F,"&lt;&gt;"&amp;""))</f>
        <v>0</v>
      </c>
      <c r="G335" s="162">
        <f>IF(C335="","",COUNTIFS(Başvuru!$C:$C,C335,Başvuru!$G:$G,"Uzmanlık Tezi",Başvuru!$A:$A,"&lt;&gt;"&amp;"",Başvuru!$F:$F,"&lt;&gt;"&amp;""))</f>
        <v>1</v>
      </c>
      <c r="H335" s="162">
        <f>IF(C335="","",COUNTIFS(Başvuru!$C:$C,C335,Başvuru!$G:$G,"Doktora Tezi",Başvuru!$A:$A,"&lt;&gt;"&amp;"",Başvuru!$F:$F,"&lt;&gt;"&amp;""))</f>
        <v>0</v>
      </c>
      <c r="I335" s="162">
        <f>IF(C335="","",COUNTIFS(Başvuru!$C:$C,C335,Başvuru!$G:$G,"Yüksek Lisans Tezi",Başvuru!$A:$A,"&lt;&gt;"&amp;"",Başvuru!$F:$F,"&lt;&gt;"&amp;""))</f>
        <v>0</v>
      </c>
      <c r="J335" s="163">
        <f>IF(C335="","",COUNTIFS(Başvuru!$C:$C,C335,Başvuru!$L:$L,"ONAY",Başvuru!$A:$A,"&lt;&gt;"&amp;"",Başvuru!$F:$F,"&lt;&gt;"&amp;""))</f>
        <v>1</v>
      </c>
      <c r="K335" s="164">
        <f>IF(C335="","",COUNTIFS(Başvuru!$C:$C,C335,Başvuru!$L:$L,"DÜZELTME",Başvuru!$A:$A,"&lt;&gt;"&amp;"",Başvuru!$F:$F,"&lt;&gt;"&amp;""))</f>
        <v>0</v>
      </c>
      <c r="L335" s="165">
        <f>IF(C335="","",COUNTIFS(Başvuru!$C:$C,C335,Başvuru!$L:$L,"KAEK",Başvuru!$A:$A,"&lt;&gt;"&amp;"",Başvuru!$F:$F,"&lt;&gt;"&amp;""))</f>
        <v>0</v>
      </c>
      <c r="M335" s="166">
        <f>IF(C335="","",COUNTIFS(Başvuru!$C:$C,C335,Başvuru!$L:$L,"GÖRÜŞ",Başvuru!$A:$A,"&lt;&gt;"&amp;"",Başvuru!$F:$F,"&lt;&gt;"&amp;""))</f>
        <v>0</v>
      </c>
      <c r="N335" s="167">
        <f>IF(C335="","",COUNTIFS(Başvuru!$C:$C,C335,Başvuru!$L:$L,"RET",Başvuru!$A:$A,"&lt;&gt;"&amp;"",Başvuru!$F:$F,"&lt;&gt;"&amp;""))</f>
        <v>0</v>
      </c>
      <c r="O335" s="168">
        <f>IF(C335="","",COUNTIFS(Başvuru!$C:$C,C335,Başvuru!$L:$L,"KAPSAM DIŞI",Başvuru!$A:$A,"&lt;&gt;"&amp;"",Başvuru!$F:$F,"&lt;&gt;"&amp;""))</f>
        <v>0</v>
      </c>
      <c r="P335" s="169">
        <f>IF(C335="","",COUNTIFS(Başvuru!$C:$C,C335,Başvuru!$L:$L,"GERİ ÇEKİLDİ",Başvuru!$A:$A,"&lt;&gt;"&amp;"",Başvuru!$F:$F,"&lt;&gt;"&amp;""))</f>
        <v>0</v>
      </c>
      <c r="Q335" s="170" t="str">
        <f>IFERROR(INDEX(Başvuru!$C$2:$C$1851,MATCH(330,Başvuru!$AB$2:$AB$1851,0)),"")</f>
        <v>Prof. Dr. Oğuz KUŞCU</v>
      </c>
      <c r="R335" s="171">
        <f>IF(Q335="","",COUNTIFS(Başvuru!$C:$C,Q335,Başvuru!$A:$A,"&lt;&gt;"&amp;"",Başvuru!$F:$F,"&lt;&gt;"&amp;""))</f>
        <v>1</v>
      </c>
      <c r="S335" s="171">
        <f>IF(R335="","",RANK(R335,$R$6:$R$505,0)+COUNTIF($R$6:R335,R335)-1)</f>
        <v>332</v>
      </c>
    </row>
    <row r="336" spans="2:19" ht="23.25" customHeight="1" x14ac:dyDescent="0.25">
      <c r="B336" s="159">
        <v>331</v>
      </c>
      <c r="C336" s="160" t="str">
        <f>IFERROR(INDEX($Q$6:$Q$505,MATCH(331,$S$6:$S$505,0)),"")</f>
        <v>Arş. Gör. Dr. İzzet Türkalp AKBAŞLI</v>
      </c>
      <c r="D336" s="161">
        <f>IF(C336="","",COUNTIFS(Başvuru!$C:$C,C336,Başvuru!$A:$A,"&lt;&gt;"&amp;"",Başvuru!$F:$F,"&lt;&gt;"&amp;""))</f>
        <v>1</v>
      </c>
      <c r="E336" s="159" t="str">
        <f>IF(C336="","-",IF(D336&gt;0,TEXT(D336/(COUNTIFS(Başvuru!$A:$A,"&lt;&gt;",Başvuru!$F:$F,"&lt;&gt;")-1)*100,"0.0")&amp;"%","-"))</f>
        <v>00%</v>
      </c>
      <c r="F336" s="162">
        <f>IF(C336="","",COUNTIFS(Başvuru!$C:$C,C336,Başvuru!$G:$G,"Bireysel Araştırma",Başvuru!$A:$A,"&lt;&gt;"&amp;"",Başvuru!$F:$F,"&lt;&gt;"&amp;""))</f>
        <v>1</v>
      </c>
      <c r="G336" s="162">
        <f>IF(C336="","",COUNTIFS(Başvuru!$C:$C,C336,Başvuru!$G:$G,"Uzmanlık Tezi",Başvuru!$A:$A,"&lt;&gt;"&amp;"",Başvuru!$F:$F,"&lt;&gt;"&amp;""))</f>
        <v>0</v>
      </c>
      <c r="H336" s="162">
        <f>IF(C336="","",COUNTIFS(Başvuru!$C:$C,C336,Başvuru!$G:$G,"Doktora Tezi",Başvuru!$A:$A,"&lt;&gt;"&amp;"",Başvuru!$F:$F,"&lt;&gt;"&amp;""))</f>
        <v>0</v>
      </c>
      <c r="I336" s="162">
        <f>IF(C336="","",COUNTIFS(Başvuru!$C:$C,C336,Başvuru!$G:$G,"Yüksek Lisans Tezi",Başvuru!$A:$A,"&lt;&gt;"&amp;"",Başvuru!$F:$F,"&lt;&gt;"&amp;""))</f>
        <v>0</v>
      </c>
      <c r="J336" s="163">
        <f>IF(C336="","",COUNTIFS(Başvuru!$C:$C,C336,Başvuru!$L:$L,"ONAY",Başvuru!$A:$A,"&lt;&gt;"&amp;"",Başvuru!$F:$F,"&lt;&gt;"&amp;""))</f>
        <v>0</v>
      </c>
      <c r="K336" s="164">
        <f>IF(C336="","",COUNTIFS(Başvuru!$C:$C,C336,Başvuru!$L:$L,"DÜZELTME",Başvuru!$A:$A,"&lt;&gt;"&amp;"",Başvuru!$F:$F,"&lt;&gt;"&amp;""))</f>
        <v>0</v>
      </c>
      <c r="L336" s="165">
        <f>IF(C336="","",COUNTIFS(Başvuru!$C:$C,C336,Başvuru!$L:$L,"KAEK",Başvuru!$A:$A,"&lt;&gt;"&amp;"",Başvuru!$F:$F,"&lt;&gt;"&amp;""))</f>
        <v>0</v>
      </c>
      <c r="M336" s="166">
        <f>IF(C336="","",COUNTIFS(Başvuru!$C:$C,C336,Başvuru!$L:$L,"GÖRÜŞ",Başvuru!$A:$A,"&lt;&gt;"&amp;"",Başvuru!$F:$F,"&lt;&gt;"&amp;""))</f>
        <v>0</v>
      </c>
      <c r="N336" s="167">
        <f>IF(C336="","",COUNTIFS(Başvuru!$C:$C,C336,Başvuru!$L:$L,"RET",Başvuru!$A:$A,"&lt;&gt;"&amp;"",Başvuru!$F:$F,"&lt;&gt;"&amp;""))</f>
        <v>0</v>
      </c>
      <c r="O336" s="168">
        <f>IF(C336="","",COUNTIFS(Başvuru!$C:$C,C336,Başvuru!$L:$L,"KAPSAM DIŞI",Başvuru!$A:$A,"&lt;&gt;"&amp;"",Başvuru!$F:$F,"&lt;&gt;"&amp;""))</f>
        <v>0</v>
      </c>
      <c r="P336" s="169">
        <f>IF(C336="","",COUNTIFS(Başvuru!$C:$C,C336,Başvuru!$L:$L,"GERİ ÇEKİLDİ",Başvuru!$A:$A,"&lt;&gt;"&amp;"",Başvuru!$F:$F,"&lt;&gt;"&amp;""))</f>
        <v>0</v>
      </c>
      <c r="Q336" s="170" t="str">
        <f>IFERROR(INDEX(Başvuru!$C$2:$C$1851,MATCH(331,Başvuru!$AB$2:$AB$1851,0)),"")</f>
        <v>Prof. Dr. Sadi KAPLAN</v>
      </c>
      <c r="R336" s="171">
        <f>IF(Q336="","",COUNTIFS(Başvuru!$C:$C,Q336,Başvuru!$A:$A,"&lt;&gt;"&amp;"",Başvuru!$F:$F,"&lt;&gt;"&amp;""))</f>
        <v>1</v>
      </c>
      <c r="S336" s="171">
        <f>IF(R336="","",RANK(R336,$R$6:$R$505,0)+COUNTIF($R$6:R336,R336)-1)</f>
        <v>333</v>
      </c>
    </row>
    <row r="337" spans="2:19" ht="23.25" customHeight="1" x14ac:dyDescent="0.25">
      <c r="B337" s="159">
        <v>332</v>
      </c>
      <c r="C337" s="160" t="str">
        <f>IFERROR(INDEX($Q$6:$Q$505,MATCH(332,$S$6:$S$505,0)),"")</f>
        <v>Prof. Dr. Oğuz KUŞCU</v>
      </c>
      <c r="D337" s="161">
        <f>IF(C337="","",COUNTIFS(Başvuru!$C:$C,C337,Başvuru!$A:$A,"&lt;&gt;"&amp;"",Başvuru!$F:$F,"&lt;&gt;"&amp;""))</f>
        <v>1</v>
      </c>
      <c r="E337" s="159" t="str">
        <f>IF(C337="","-",IF(D337&gt;0,TEXT(D337/(COUNTIFS(Başvuru!$A:$A,"&lt;&gt;",Başvuru!$F:$F,"&lt;&gt;")-1)*100,"0.0")&amp;"%","-"))</f>
        <v>00%</v>
      </c>
      <c r="F337" s="162">
        <f>IF(C337="","",COUNTIFS(Başvuru!$C:$C,C337,Başvuru!$G:$G,"Bireysel Araştırma",Başvuru!$A:$A,"&lt;&gt;"&amp;"",Başvuru!$F:$F,"&lt;&gt;"&amp;""))</f>
        <v>1</v>
      </c>
      <c r="G337" s="162">
        <f>IF(C337="","",COUNTIFS(Başvuru!$C:$C,C337,Başvuru!$G:$G,"Uzmanlık Tezi",Başvuru!$A:$A,"&lt;&gt;"&amp;"",Başvuru!$F:$F,"&lt;&gt;"&amp;""))</f>
        <v>0</v>
      </c>
      <c r="H337" s="162">
        <f>IF(C337="","",COUNTIFS(Başvuru!$C:$C,C337,Başvuru!$G:$G,"Doktora Tezi",Başvuru!$A:$A,"&lt;&gt;"&amp;"",Başvuru!$F:$F,"&lt;&gt;"&amp;""))</f>
        <v>0</v>
      </c>
      <c r="I337" s="162">
        <f>IF(C337="","",COUNTIFS(Başvuru!$C:$C,C337,Başvuru!$G:$G,"Yüksek Lisans Tezi",Başvuru!$A:$A,"&lt;&gt;"&amp;"",Başvuru!$F:$F,"&lt;&gt;"&amp;""))</f>
        <v>0</v>
      </c>
      <c r="J337" s="163">
        <f>IF(C337="","",COUNTIFS(Başvuru!$C:$C,C337,Başvuru!$L:$L,"ONAY",Başvuru!$A:$A,"&lt;&gt;"&amp;"",Başvuru!$F:$F,"&lt;&gt;"&amp;""))</f>
        <v>0</v>
      </c>
      <c r="K337" s="164">
        <f>IF(C337="","",COUNTIFS(Başvuru!$C:$C,C337,Başvuru!$L:$L,"DÜZELTME",Başvuru!$A:$A,"&lt;&gt;"&amp;"",Başvuru!$F:$F,"&lt;&gt;"&amp;""))</f>
        <v>0</v>
      </c>
      <c r="L337" s="165">
        <f>IF(C337="","",COUNTIFS(Başvuru!$C:$C,C337,Başvuru!$L:$L,"KAEK",Başvuru!$A:$A,"&lt;&gt;"&amp;"",Başvuru!$F:$F,"&lt;&gt;"&amp;""))</f>
        <v>0</v>
      </c>
      <c r="M337" s="166">
        <f>IF(C337="","",COUNTIFS(Başvuru!$C:$C,C337,Başvuru!$L:$L,"GÖRÜŞ",Başvuru!$A:$A,"&lt;&gt;"&amp;"",Başvuru!$F:$F,"&lt;&gt;"&amp;""))</f>
        <v>0</v>
      </c>
      <c r="N337" s="167">
        <f>IF(C337="","",COUNTIFS(Başvuru!$C:$C,C337,Başvuru!$L:$L,"RET",Başvuru!$A:$A,"&lt;&gt;"&amp;"",Başvuru!$F:$F,"&lt;&gt;"&amp;""))</f>
        <v>0</v>
      </c>
      <c r="O337" s="168">
        <f>IF(C337="","",COUNTIFS(Başvuru!$C:$C,C337,Başvuru!$L:$L,"KAPSAM DIŞI",Başvuru!$A:$A,"&lt;&gt;"&amp;"",Başvuru!$F:$F,"&lt;&gt;"&amp;""))</f>
        <v>0</v>
      </c>
      <c r="P337" s="169">
        <f>IF(C337="","",COUNTIFS(Başvuru!$C:$C,C337,Başvuru!$L:$L,"GERİ ÇEKİLDİ",Başvuru!$A:$A,"&lt;&gt;"&amp;"",Başvuru!$F:$F,"&lt;&gt;"&amp;""))</f>
        <v>0</v>
      </c>
      <c r="Q337" s="170" t="str">
        <f>IFERROR(INDEX(Başvuru!$C$2:$C$1851,MATCH(332,Başvuru!$AB$2:$AB$1851,0)),"")</f>
        <v>Doç. Dr. Nadir YALÇIN</v>
      </c>
      <c r="R337" s="171">
        <f>IF(Q337="","",COUNTIFS(Başvuru!$C:$C,Q337,Başvuru!$A:$A,"&lt;&gt;"&amp;"",Başvuru!$F:$F,"&lt;&gt;"&amp;""))</f>
        <v>1</v>
      </c>
      <c r="S337" s="171">
        <f>IF(R337="","",RANK(R337,$R$6:$R$505,0)+COUNTIF($R$6:R337,R337)-1)</f>
        <v>334</v>
      </c>
    </row>
    <row r="338" spans="2:19" ht="23.25" customHeight="1" x14ac:dyDescent="0.25">
      <c r="B338" s="159">
        <v>333</v>
      </c>
      <c r="C338" s="160" t="str">
        <f>IFERROR(INDEX($Q$6:$Q$505,MATCH(333,$S$6:$S$505,0)),"")</f>
        <v>Prof. Dr. Sadi KAPLAN</v>
      </c>
      <c r="D338" s="161">
        <f>IF(C338="","",COUNTIFS(Başvuru!$C:$C,C338,Başvuru!$A:$A,"&lt;&gt;"&amp;"",Başvuru!$F:$F,"&lt;&gt;"&amp;""))</f>
        <v>1</v>
      </c>
      <c r="E338" s="159" t="str">
        <f>IF(C338="","-",IF(D338&gt;0,TEXT(D338/(COUNTIFS(Başvuru!$A:$A,"&lt;&gt;",Başvuru!$F:$F,"&lt;&gt;")-1)*100,"0.0")&amp;"%","-"))</f>
        <v>00%</v>
      </c>
      <c r="F338" s="162">
        <f>IF(C338="","",COUNTIFS(Başvuru!$C:$C,C338,Başvuru!$G:$G,"Bireysel Araştırma",Başvuru!$A:$A,"&lt;&gt;"&amp;"",Başvuru!$F:$F,"&lt;&gt;"&amp;""))</f>
        <v>0</v>
      </c>
      <c r="G338" s="162">
        <f>IF(C338="","",COUNTIFS(Başvuru!$C:$C,C338,Başvuru!$G:$G,"Uzmanlık Tezi",Başvuru!$A:$A,"&lt;&gt;"&amp;"",Başvuru!$F:$F,"&lt;&gt;"&amp;""))</f>
        <v>1</v>
      </c>
      <c r="H338" s="162">
        <f>IF(C338="","",COUNTIFS(Başvuru!$C:$C,C338,Başvuru!$G:$G,"Doktora Tezi",Başvuru!$A:$A,"&lt;&gt;"&amp;"",Başvuru!$F:$F,"&lt;&gt;"&amp;""))</f>
        <v>0</v>
      </c>
      <c r="I338" s="162">
        <f>IF(C338="","",COUNTIFS(Başvuru!$C:$C,C338,Başvuru!$G:$G,"Yüksek Lisans Tezi",Başvuru!$A:$A,"&lt;&gt;"&amp;"",Başvuru!$F:$F,"&lt;&gt;"&amp;""))</f>
        <v>0</v>
      </c>
      <c r="J338" s="163">
        <f>IF(C338="","",COUNTIFS(Başvuru!$C:$C,C338,Başvuru!$L:$L,"ONAY",Başvuru!$A:$A,"&lt;&gt;"&amp;"",Başvuru!$F:$F,"&lt;&gt;"&amp;""))</f>
        <v>0</v>
      </c>
      <c r="K338" s="164">
        <f>IF(C338="","",COUNTIFS(Başvuru!$C:$C,C338,Başvuru!$L:$L,"DÜZELTME",Başvuru!$A:$A,"&lt;&gt;"&amp;"",Başvuru!$F:$F,"&lt;&gt;"&amp;""))</f>
        <v>0</v>
      </c>
      <c r="L338" s="165">
        <f>IF(C338="","",COUNTIFS(Başvuru!$C:$C,C338,Başvuru!$L:$L,"KAEK",Başvuru!$A:$A,"&lt;&gt;"&amp;"",Başvuru!$F:$F,"&lt;&gt;"&amp;""))</f>
        <v>0</v>
      </c>
      <c r="M338" s="166">
        <f>IF(C338="","",COUNTIFS(Başvuru!$C:$C,C338,Başvuru!$L:$L,"GÖRÜŞ",Başvuru!$A:$A,"&lt;&gt;"&amp;"",Başvuru!$F:$F,"&lt;&gt;"&amp;""))</f>
        <v>0</v>
      </c>
      <c r="N338" s="167">
        <f>IF(C338="","",COUNTIFS(Başvuru!$C:$C,C338,Başvuru!$L:$L,"RET",Başvuru!$A:$A,"&lt;&gt;"&amp;"",Başvuru!$F:$F,"&lt;&gt;"&amp;""))</f>
        <v>0</v>
      </c>
      <c r="O338" s="168">
        <f>IF(C338="","",COUNTIFS(Başvuru!$C:$C,C338,Başvuru!$L:$L,"KAPSAM DIŞI",Başvuru!$A:$A,"&lt;&gt;"&amp;"",Başvuru!$F:$F,"&lt;&gt;"&amp;""))</f>
        <v>0</v>
      </c>
      <c r="P338" s="169">
        <f>IF(C338="","",COUNTIFS(Başvuru!$C:$C,C338,Başvuru!$L:$L,"GERİ ÇEKİLDİ",Başvuru!$A:$A,"&lt;&gt;"&amp;"",Başvuru!$F:$F,"&lt;&gt;"&amp;""))</f>
        <v>0</v>
      </c>
      <c r="Q338" s="170" t="str">
        <f>IFERROR(INDEX(Başvuru!$C$2:$C$1851,MATCH(333,Başvuru!$AB$2:$AB$1851,0)),"")</f>
        <v>Prof. Dr. Mustafa Kerem VURAL</v>
      </c>
      <c r="R338" s="171">
        <f>IF(Q338="","",COUNTIFS(Başvuru!$C:$C,Q338,Başvuru!$A:$A,"&lt;&gt;"&amp;"",Başvuru!$F:$F,"&lt;&gt;"&amp;""))</f>
        <v>1</v>
      </c>
      <c r="S338" s="171">
        <f>IF(R338="","",RANK(R338,$R$6:$R$505,0)+COUNTIF($R$6:R338,R338)-1)</f>
        <v>335</v>
      </c>
    </row>
    <row r="339" spans="2:19" ht="23.25" customHeight="1" x14ac:dyDescent="0.25">
      <c r="B339" s="159">
        <v>334</v>
      </c>
      <c r="C339" s="160" t="str">
        <f>IFERROR(INDEX($Q$6:$Q$505,MATCH(334,$S$6:$S$505,0)),"")</f>
        <v>Doç. Dr. Nadir YALÇIN</v>
      </c>
      <c r="D339" s="161">
        <f>IF(C339="","",COUNTIFS(Başvuru!$C:$C,C339,Başvuru!$A:$A,"&lt;&gt;"&amp;"",Başvuru!$F:$F,"&lt;&gt;"&amp;""))</f>
        <v>1</v>
      </c>
      <c r="E339" s="159" t="str">
        <f>IF(C339="","-",IF(D339&gt;0,TEXT(D339/(COUNTIFS(Başvuru!$A:$A,"&lt;&gt;",Başvuru!$F:$F,"&lt;&gt;")-1)*100,"0.0")&amp;"%","-"))</f>
        <v>00%</v>
      </c>
      <c r="F339" s="162">
        <f>IF(C339="","",COUNTIFS(Başvuru!$C:$C,C339,Başvuru!$G:$G,"Bireysel Araştırma",Başvuru!$A:$A,"&lt;&gt;"&amp;"",Başvuru!$F:$F,"&lt;&gt;"&amp;""))</f>
        <v>1</v>
      </c>
      <c r="G339" s="162">
        <f>IF(C339="","",COUNTIFS(Başvuru!$C:$C,C339,Başvuru!$G:$G,"Uzmanlık Tezi",Başvuru!$A:$A,"&lt;&gt;"&amp;"",Başvuru!$F:$F,"&lt;&gt;"&amp;""))</f>
        <v>0</v>
      </c>
      <c r="H339" s="162">
        <f>IF(C339="","",COUNTIFS(Başvuru!$C:$C,C339,Başvuru!$G:$G,"Doktora Tezi",Başvuru!$A:$A,"&lt;&gt;"&amp;"",Başvuru!$F:$F,"&lt;&gt;"&amp;""))</f>
        <v>0</v>
      </c>
      <c r="I339" s="162">
        <f>IF(C339="","",COUNTIFS(Başvuru!$C:$C,C339,Başvuru!$G:$G,"Yüksek Lisans Tezi",Başvuru!$A:$A,"&lt;&gt;"&amp;"",Başvuru!$F:$F,"&lt;&gt;"&amp;""))</f>
        <v>0</v>
      </c>
      <c r="J339" s="163">
        <f>IF(C339="","",COUNTIFS(Başvuru!$C:$C,C339,Başvuru!$L:$L,"ONAY",Başvuru!$A:$A,"&lt;&gt;"&amp;"",Başvuru!$F:$F,"&lt;&gt;"&amp;""))</f>
        <v>0</v>
      </c>
      <c r="K339" s="164">
        <f>IF(C339="","",COUNTIFS(Başvuru!$C:$C,C339,Başvuru!$L:$L,"DÜZELTME",Başvuru!$A:$A,"&lt;&gt;"&amp;"",Başvuru!$F:$F,"&lt;&gt;"&amp;""))</f>
        <v>0</v>
      </c>
      <c r="L339" s="165">
        <f>IF(C339="","",COUNTIFS(Başvuru!$C:$C,C339,Başvuru!$L:$L,"KAEK",Başvuru!$A:$A,"&lt;&gt;"&amp;"",Başvuru!$F:$F,"&lt;&gt;"&amp;""))</f>
        <v>0</v>
      </c>
      <c r="M339" s="166">
        <f>IF(C339="","",COUNTIFS(Başvuru!$C:$C,C339,Başvuru!$L:$L,"GÖRÜŞ",Başvuru!$A:$A,"&lt;&gt;"&amp;"",Başvuru!$F:$F,"&lt;&gt;"&amp;""))</f>
        <v>0</v>
      </c>
      <c r="N339" s="167">
        <f>IF(C339="","",COUNTIFS(Başvuru!$C:$C,C339,Başvuru!$L:$L,"RET",Başvuru!$A:$A,"&lt;&gt;"&amp;"",Başvuru!$F:$F,"&lt;&gt;"&amp;""))</f>
        <v>0</v>
      </c>
      <c r="O339" s="168">
        <f>IF(C339="","",COUNTIFS(Başvuru!$C:$C,C339,Başvuru!$L:$L,"KAPSAM DIŞI",Başvuru!$A:$A,"&lt;&gt;"&amp;"",Başvuru!$F:$F,"&lt;&gt;"&amp;""))</f>
        <v>0</v>
      </c>
      <c r="P339" s="169">
        <f>IF(C339="","",COUNTIFS(Başvuru!$C:$C,C339,Başvuru!$L:$L,"GERİ ÇEKİLDİ",Başvuru!$A:$A,"&lt;&gt;"&amp;"",Başvuru!$F:$F,"&lt;&gt;"&amp;""))</f>
        <v>0</v>
      </c>
      <c r="Q339" s="170" t="str">
        <f>IFERROR(INDEX(Başvuru!$C$2:$C$1851,MATCH(334,Başvuru!$AB$2:$AB$1851,0)),"")</f>
        <v>Doç. Dr. Elif SOYAK AYTEKİN</v>
      </c>
      <c r="R339" s="171">
        <f>IF(Q339="","",COUNTIFS(Başvuru!$C:$C,Q339,Başvuru!$A:$A,"&lt;&gt;"&amp;"",Başvuru!$F:$F,"&lt;&gt;"&amp;""))</f>
        <v>1</v>
      </c>
      <c r="S339" s="171">
        <f>IF(R339="","",RANK(R339,$R$6:$R$505,0)+COUNTIF($R$6:R339,R339)-1)</f>
        <v>336</v>
      </c>
    </row>
    <row r="340" spans="2:19" ht="23.25" customHeight="1" x14ac:dyDescent="0.25">
      <c r="B340" s="159">
        <v>335</v>
      </c>
      <c r="C340" s="160" t="str">
        <f>IFERROR(INDEX($Q$6:$Q$505,MATCH(335,$S$6:$S$505,0)),"")</f>
        <v>Prof. Dr. Mustafa Kerem VURAL</v>
      </c>
      <c r="D340" s="161">
        <f>IF(C340="","",COUNTIFS(Başvuru!$C:$C,C340,Başvuru!$A:$A,"&lt;&gt;"&amp;"",Başvuru!$F:$F,"&lt;&gt;"&amp;""))</f>
        <v>1</v>
      </c>
      <c r="E340" s="159" t="str">
        <f>IF(C340="","-",IF(D340&gt;0,TEXT(D340/(COUNTIFS(Başvuru!$A:$A,"&lt;&gt;",Başvuru!$F:$F,"&lt;&gt;")-1)*100,"0.0")&amp;"%","-"))</f>
        <v>00%</v>
      </c>
      <c r="F340" s="162">
        <f>IF(C340="","",COUNTIFS(Başvuru!$C:$C,C340,Başvuru!$G:$G,"Bireysel Araştırma",Başvuru!$A:$A,"&lt;&gt;"&amp;"",Başvuru!$F:$F,"&lt;&gt;"&amp;""))</f>
        <v>0</v>
      </c>
      <c r="G340" s="162">
        <f>IF(C340="","",COUNTIFS(Başvuru!$C:$C,C340,Başvuru!$G:$G,"Uzmanlık Tezi",Başvuru!$A:$A,"&lt;&gt;"&amp;"",Başvuru!$F:$F,"&lt;&gt;"&amp;""))</f>
        <v>1</v>
      </c>
      <c r="H340" s="162">
        <f>IF(C340="","",COUNTIFS(Başvuru!$C:$C,C340,Başvuru!$G:$G,"Doktora Tezi",Başvuru!$A:$A,"&lt;&gt;"&amp;"",Başvuru!$F:$F,"&lt;&gt;"&amp;""))</f>
        <v>0</v>
      </c>
      <c r="I340" s="162">
        <f>IF(C340="","",COUNTIFS(Başvuru!$C:$C,C340,Başvuru!$G:$G,"Yüksek Lisans Tezi",Başvuru!$A:$A,"&lt;&gt;"&amp;"",Başvuru!$F:$F,"&lt;&gt;"&amp;""))</f>
        <v>0</v>
      </c>
      <c r="J340" s="163">
        <f>IF(C340="","",COUNTIFS(Başvuru!$C:$C,C340,Başvuru!$L:$L,"ONAY",Başvuru!$A:$A,"&lt;&gt;"&amp;"",Başvuru!$F:$F,"&lt;&gt;"&amp;""))</f>
        <v>0</v>
      </c>
      <c r="K340" s="164">
        <f>IF(C340="","",COUNTIFS(Başvuru!$C:$C,C340,Başvuru!$L:$L,"DÜZELTME",Başvuru!$A:$A,"&lt;&gt;"&amp;"",Başvuru!$F:$F,"&lt;&gt;"&amp;""))</f>
        <v>0</v>
      </c>
      <c r="L340" s="165">
        <f>IF(C340="","",COUNTIFS(Başvuru!$C:$C,C340,Başvuru!$L:$L,"KAEK",Başvuru!$A:$A,"&lt;&gt;"&amp;"",Başvuru!$F:$F,"&lt;&gt;"&amp;""))</f>
        <v>0</v>
      </c>
      <c r="M340" s="166">
        <f>IF(C340="","",COUNTIFS(Başvuru!$C:$C,C340,Başvuru!$L:$L,"GÖRÜŞ",Başvuru!$A:$A,"&lt;&gt;"&amp;"",Başvuru!$F:$F,"&lt;&gt;"&amp;""))</f>
        <v>0</v>
      </c>
      <c r="N340" s="167">
        <f>IF(C340="","",COUNTIFS(Başvuru!$C:$C,C340,Başvuru!$L:$L,"RET",Başvuru!$A:$A,"&lt;&gt;"&amp;"",Başvuru!$F:$F,"&lt;&gt;"&amp;""))</f>
        <v>0</v>
      </c>
      <c r="O340" s="168">
        <f>IF(C340="","",COUNTIFS(Başvuru!$C:$C,C340,Başvuru!$L:$L,"KAPSAM DIŞI",Başvuru!$A:$A,"&lt;&gt;"&amp;"",Başvuru!$F:$F,"&lt;&gt;"&amp;""))</f>
        <v>0</v>
      </c>
      <c r="P340" s="169">
        <f>IF(C340="","",COUNTIFS(Başvuru!$C:$C,C340,Başvuru!$L:$L,"GERİ ÇEKİLDİ",Başvuru!$A:$A,"&lt;&gt;"&amp;"",Başvuru!$F:$F,"&lt;&gt;"&amp;""))</f>
        <v>0</v>
      </c>
      <c r="Q340" s="170" t="str">
        <f>IFERROR(INDEX(Başvuru!$C$2:$C$1851,MATCH(335,Başvuru!$AB$2:$AB$1851,0)),"")</f>
        <v>Doç. Dr. Gözde HONDUR</v>
      </c>
      <c r="R340" s="171">
        <f>IF(Q340="","",COUNTIFS(Başvuru!$C:$C,Q340,Başvuru!$A:$A,"&lt;&gt;"&amp;"",Başvuru!$F:$F,"&lt;&gt;"&amp;""))</f>
        <v>1</v>
      </c>
      <c r="S340" s="171">
        <f>IF(R340="","",RANK(R340,$R$6:$R$505,0)+COUNTIF($R$6:R340,R340)-1)</f>
        <v>337</v>
      </c>
    </row>
    <row r="341" spans="2:19" ht="23.25" customHeight="1" x14ac:dyDescent="0.25">
      <c r="B341" s="159">
        <v>336</v>
      </c>
      <c r="C341" s="160" t="str">
        <f>IFERROR(INDEX($Q$6:$Q$505,MATCH(336,$S$6:$S$505,0)),"")</f>
        <v>Doç. Dr. Elif SOYAK AYTEKİN</v>
      </c>
      <c r="D341" s="161">
        <f>IF(C341="","",COUNTIFS(Başvuru!$C:$C,C341,Başvuru!$A:$A,"&lt;&gt;"&amp;"",Başvuru!$F:$F,"&lt;&gt;"&amp;""))</f>
        <v>1</v>
      </c>
      <c r="E341" s="159" t="str">
        <f>IF(C341="","-",IF(D341&gt;0,TEXT(D341/(COUNTIFS(Başvuru!$A:$A,"&lt;&gt;",Başvuru!$F:$F,"&lt;&gt;")-1)*100,"0.0")&amp;"%","-"))</f>
        <v>00%</v>
      </c>
      <c r="F341" s="162">
        <f>IF(C341="","",COUNTIFS(Başvuru!$C:$C,C341,Başvuru!$G:$G,"Bireysel Araştırma",Başvuru!$A:$A,"&lt;&gt;"&amp;"",Başvuru!$F:$F,"&lt;&gt;"&amp;""))</f>
        <v>0</v>
      </c>
      <c r="G341" s="162">
        <f>IF(C341="","",COUNTIFS(Başvuru!$C:$C,C341,Başvuru!$G:$G,"Uzmanlık Tezi",Başvuru!$A:$A,"&lt;&gt;"&amp;"",Başvuru!$F:$F,"&lt;&gt;"&amp;""))</f>
        <v>1</v>
      </c>
      <c r="H341" s="162">
        <f>IF(C341="","",COUNTIFS(Başvuru!$C:$C,C341,Başvuru!$G:$G,"Doktora Tezi",Başvuru!$A:$A,"&lt;&gt;"&amp;"",Başvuru!$F:$F,"&lt;&gt;"&amp;""))</f>
        <v>0</v>
      </c>
      <c r="I341" s="162">
        <f>IF(C341="","",COUNTIFS(Başvuru!$C:$C,C341,Başvuru!$G:$G,"Yüksek Lisans Tezi",Başvuru!$A:$A,"&lt;&gt;"&amp;"",Başvuru!$F:$F,"&lt;&gt;"&amp;""))</f>
        <v>0</v>
      </c>
      <c r="J341" s="163">
        <f>IF(C341="","",COUNTIFS(Başvuru!$C:$C,C341,Başvuru!$L:$L,"ONAY",Başvuru!$A:$A,"&lt;&gt;"&amp;"",Başvuru!$F:$F,"&lt;&gt;"&amp;""))</f>
        <v>0</v>
      </c>
      <c r="K341" s="164">
        <f>IF(C341="","",COUNTIFS(Başvuru!$C:$C,C341,Başvuru!$L:$L,"DÜZELTME",Başvuru!$A:$A,"&lt;&gt;"&amp;"",Başvuru!$F:$F,"&lt;&gt;"&amp;""))</f>
        <v>0</v>
      </c>
      <c r="L341" s="165">
        <f>IF(C341="","",COUNTIFS(Başvuru!$C:$C,C341,Başvuru!$L:$L,"KAEK",Başvuru!$A:$A,"&lt;&gt;"&amp;"",Başvuru!$F:$F,"&lt;&gt;"&amp;""))</f>
        <v>0</v>
      </c>
      <c r="M341" s="166">
        <f>IF(C341="","",COUNTIFS(Başvuru!$C:$C,C341,Başvuru!$L:$L,"GÖRÜŞ",Başvuru!$A:$A,"&lt;&gt;"&amp;"",Başvuru!$F:$F,"&lt;&gt;"&amp;""))</f>
        <v>0</v>
      </c>
      <c r="N341" s="167">
        <f>IF(C341="","",COUNTIFS(Başvuru!$C:$C,C341,Başvuru!$L:$L,"RET",Başvuru!$A:$A,"&lt;&gt;"&amp;"",Başvuru!$F:$F,"&lt;&gt;"&amp;""))</f>
        <v>0</v>
      </c>
      <c r="O341" s="168">
        <f>IF(C341="","",COUNTIFS(Başvuru!$C:$C,C341,Başvuru!$L:$L,"KAPSAM DIŞI",Başvuru!$A:$A,"&lt;&gt;"&amp;"",Başvuru!$F:$F,"&lt;&gt;"&amp;""))</f>
        <v>0</v>
      </c>
      <c r="P341" s="169">
        <f>IF(C341="","",COUNTIFS(Başvuru!$C:$C,C341,Başvuru!$L:$L,"GERİ ÇEKİLDİ",Başvuru!$A:$A,"&lt;&gt;"&amp;"",Başvuru!$F:$F,"&lt;&gt;"&amp;""))</f>
        <v>0</v>
      </c>
      <c r="Q341" s="170" t="str">
        <f>IFERROR(INDEX(Başvuru!$C$2:$C$1851,MATCH(336,Başvuru!$AB$2:$AB$1851,0)),"")</f>
        <v>Prof. Dr. Faruk ÖZTÜRK</v>
      </c>
      <c r="R341" s="171">
        <f>IF(Q341="","",COUNTIFS(Başvuru!$C:$C,Q341,Başvuru!$A:$A,"&lt;&gt;"&amp;"",Başvuru!$F:$F,"&lt;&gt;"&amp;""))</f>
        <v>1</v>
      </c>
      <c r="S341" s="171">
        <f>IF(R341="","",RANK(R341,$R$6:$R$505,0)+COUNTIF($R$6:R341,R341)-1)</f>
        <v>338</v>
      </c>
    </row>
    <row r="342" spans="2:19" ht="23.25" customHeight="1" x14ac:dyDescent="0.25">
      <c r="B342" s="159">
        <v>337</v>
      </c>
      <c r="C342" s="160" t="str">
        <f>IFERROR(INDEX($Q$6:$Q$505,MATCH(337,$S$6:$S$505,0)),"")</f>
        <v>Doç. Dr. Gözde HONDUR</v>
      </c>
      <c r="D342" s="161">
        <f>IF(C342="","",COUNTIFS(Başvuru!$C:$C,C342,Başvuru!$A:$A,"&lt;&gt;"&amp;"",Başvuru!$F:$F,"&lt;&gt;"&amp;""))</f>
        <v>1</v>
      </c>
      <c r="E342" s="159" t="str">
        <f>IF(C342="","-",IF(D342&gt;0,TEXT(D342/(COUNTIFS(Başvuru!$A:$A,"&lt;&gt;",Başvuru!$F:$F,"&lt;&gt;")-1)*100,"0.0")&amp;"%","-"))</f>
        <v>00%</v>
      </c>
      <c r="F342" s="162">
        <f>IF(C342="","",COUNTIFS(Başvuru!$C:$C,C342,Başvuru!$G:$G,"Bireysel Araştırma",Başvuru!$A:$A,"&lt;&gt;"&amp;"",Başvuru!$F:$F,"&lt;&gt;"&amp;""))</f>
        <v>1</v>
      </c>
      <c r="G342" s="162">
        <f>IF(C342="","",COUNTIFS(Başvuru!$C:$C,C342,Başvuru!$G:$G,"Uzmanlık Tezi",Başvuru!$A:$A,"&lt;&gt;"&amp;"",Başvuru!$F:$F,"&lt;&gt;"&amp;""))</f>
        <v>0</v>
      </c>
      <c r="H342" s="162">
        <f>IF(C342="","",COUNTIFS(Başvuru!$C:$C,C342,Başvuru!$G:$G,"Doktora Tezi",Başvuru!$A:$A,"&lt;&gt;"&amp;"",Başvuru!$F:$F,"&lt;&gt;"&amp;""))</f>
        <v>0</v>
      </c>
      <c r="I342" s="162">
        <f>IF(C342="","",COUNTIFS(Başvuru!$C:$C,C342,Başvuru!$G:$G,"Yüksek Lisans Tezi",Başvuru!$A:$A,"&lt;&gt;"&amp;"",Başvuru!$F:$F,"&lt;&gt;"&amp;""))</f>
        <v>0</v>
      </c>
      <c r="J342" s="163">
        <f>IF(C342="","",COUNTIFS(Başvuru!$C:$C,C342,Başvuru!$L:$L,"ONAY",Başvuru!$A:$A,"&lt;&gt;"&amp;"",Başvuru!$F:$F,"&lt;&gt;"&amp;""))</f>
        <v>0</v>
      </c>
      <c r="K342" s="164">
        <f>IF(C342="","",COUNTIFS(Başvuru!$C:$C,C342,Başvuru!$L:$L,"DÜZELTME",Başvuru!$A:$A,"&lt;&gt;"&amp;"",Başvuru!$F:$F,"&lt;&gt;"&amp;""))</f>
        <v>0</v>
      </c>
      <c r="L342" s="165">
        <f>IF(C342="","",COUNTIFS(Başvuru!$C:$C,C342,Başvuru!$L:$L,"KAEK",Başvuru!$A:$A,"&lt;&gt;"&amp;"",Başvuru!$F:$F,"&lt;&gt;"&amp;""))</f>
        <v>0</v>
      </c>
      <c r="M342" s="166">
        <f>IF(C342="","",COUNTIFS(Başvuru!$C:$C,C342,Başvuru!$L:$L,"GÖRÜŞ",Başvuru!$A:$A,"&lt;&gt;"&amp;"",Başvuru!$F:$F,"&lt;&gt;"&amp;""))</f>
        <v>0</v>
      </c>
      <c r="N342" s="167">
        <f>IF(C342="","",COUNTIFS(Başvuru!$C:$C,C342,Başvuru!$L:$L,"RET",Başvuru!$A:$A,"&lt;&gt;"&amp;"",Başvuru!$F:$F,"&lt;&gt;"&amp;""))</f>
        <v>0</v>
      </c>
      <c r="O342" s="168">
        <f>IF(C342="","",COUNTIFS(Başvuru!$C:$C,C342,Başvuru!$L:$L,"KAPSAM DIŞI",Başvuru!$A:$A,"&lt;&gt;"&amp;"",Başvuru!$F:$F,"&lt;&gt;"&amp;""))</f>
        <v>0</v>
      </c>
      <c r="P342" s="169">
        <f>IF(C342="","",COUNTIFS(Başvuru!$C:$C,C342,Başvuru!$L:$L,"GERİ ÇEKİLDİ",Başvuru!$A:$A,"&lt;&gt;"&amp;"",Başvuru!$F:$F,"&lt;&gt;"&amp;""))</f>
        <v>0</v>
      </c>
      <c r="Q342" s="170" t="str">
        <f>IFERROR(INDEX(Başvuru!$C$2:$C$1851,MATCH(337,Başvuru!$AB$2:$AB$1851,0)),"")</f>
        <v>Dr. Öğr. Gör. Özge ÖZTÜRK AKTAŞ</v>
      </c>
      <c r="R342" s="171">
        <f>IF(Q342="","",COUNTIFS(Başvuru!$C:$C,Q342,Başvuru!$A:$A,"&lt;&gt;"&amp;"",Başvuru!$F:$F,"&lt;&gt;"&amp;""))</f>
        <v>1</v>
      </c>
      <c r="S342" s="171">
        <f>IF(R342="","",RANK(R342,$R$6:$R$505,0)+COUNTIF($R$6:R342,R342)-1)</f>
        <v>339</v>
      </c>
    </row>
    <row r="343" spans="2:19" ht="23.25" customHeight="1" x14ac:dyDescent="0.25">
      <c r="B343" s="159">
        <v>338</v>
      </c>
      <c r="C343" s="160" t="str">
        <f>IFERROR(INDEX($Q$6:$Q$505,MATCH(338,$S$6:$S$505,0)),"")</f>
        <v>Prof. Dr. Faruk ÖZTÜRK</v>
      </c>
      <c r="D343" s="161">
        <f>IF(C343="","",COUNTIFS(Başvuru!$C:$C,C343,Başvuru!$A:$A,"&lt;&gt;"&amp;"",Başvuru!$F:$F,"&lt;&gt;"&amp;""))</f>
        <v>1</v>
      </c>
      <c r="E343" s="159" t="str">
        <f>IF(C343="","-",IF(D343&gt;0,TEXT(D343/(COUNTIFS(Başvuru!$A:$A,"&lt;&gt;",Başvuru!$F:$F,"&lt;&gt;")-1)*100,"0.0")&amp;"%","-"))</f>
        <v>00%</v>
      </c>
      <c r="F343" s="162">
        <f>IF(C343="","",COUNTIFS(Başvuru!$C:$C,C343,Başvuru!$G:$G,"Bireysel Araştırma",Başvuru!$A:$A,"&lt;&gt;"&amp;"",Başvuru!$F:$F,"&lt;&gt;"&amp;""))</f>
        <v>0</v>
      </c>
      <c r="G343" s="162">
        <f>IF(C343="","",COUNTIFS(Başvuru!$C:$C,C343,Başvuru!$G:$G,"Uzmanlık Tezi",Başvuru!$A:$A,"&lt;&gt;"&amp;"",Başvuru!$F:$F,"&lt;&gt;"&amp;""))</f>
        <v>1</v>
      </c>
      <c r="H343" s="162">
        <f>IF(C343="","",COUNTIFS(Başvuru!$C:$C,C343,Başvuru!$G:$G,"Doktora Tezi",Başvuru!$A:$A,"&lt;&gt;"&amp;"",Başvuru!$F:$F,"&lt;&gt;"&amp;""))</f>
        <v>0</v>
      </c>
      <c r="I343" s="162">
        <f>IF(C343="","",COUNTIFS(Başvuru!$C:$C,C343,Başvuru!$G:$G,"Yüksek Lisans Tezi",Başvuru!$A:$A,"&lt;&gt;"&amp;"",Başvuru!$F:$F,"&lt;&gt;"&amp;""))</f>
        <v>0</v>
      </c>
      <c r="J343" s="163">
        <f>IF(C343="","",COUNTIFS(Başvuru!$C:$C,C343,Başvuru!$L:$L,"ONAY",Başvuru!$A:$A,"&lt;&gt;"&amp;"",Başvuru!$F:$F,"&lt;&gt;"&amp;""))</f>
        <v>0</v>
      </c>
      <c r="K343" s="164">
        <f>IF(C343="","",COUNTIFS(Başvuru!$C:$C,C343,Başvuru!$L:$L,"DÜZELTME",Başvuru!$A:$A,"&lt;&gt;"&amp;"",Başvuru!$F:$F,"&lt;&gt;"&amp;""))</f>
        <v>0</v>
      </c>
      <c r="L343" s="165">
        <f>IF(C343="","",COUNTIFS(Başvuru!$C:$C,C343,Başvuru!$L:$L,"KAEK",Başvuru!$A:$A,"&lt;&gt;"&amp;"",Başvuru!$F:$F,"&lt;&gt;"&amp;""))</f>
        <v>0</v>
      </c>
      <c r="M343" s="166">
        <f>IF(C343="","",COUNTIFS(Başvuru!$C:$C,C343,Başvuru!$L:$L,"GÖRÜŞ",Başvuru!$A:$A,"&lt;&gt;"&amp;"",Başvuru!$F:$F,"&lt;&gt;"&amp;""))</f>
        <v>0</v>
      </c>
      <c r="N343" s="167">
        <f>IF(C343="","",COUNTIFS(Başvuru!$C:$C,C343,Başvuru!$L:$L,"RET",Başvuru!$A:$A,"&lt;&gt;"&amp;"",Başvuru!$F:$F,"&lt;&gt;"&amp;""))</f>
        <v>0</v>
      </c>
      <c r="O343" s="168">
        <f>IF(C343="","",COUNTIFS(Başvuru!$C:$C,C343,Başvuru!$L:$L,"KAPSAM DIŞI",Başvuru!$A:$A,"&lt;&gt;"&amp;"",Başvuru!$F:$F,"&lt;&gt;"&amp;""))</f>
        <v>0</v>
      </c>
      <c r="P343" s="169">
        <f>IF(C343="","",COUNTIFS(Başvuru!$C:$C,C343,Başvuru!$L:$L,"GERİ ÇEKİLDİ",Başvuru!$A:$A,"&lt;&gt;"&amp;"",Başvuru!$F:$F,"&lt;&gt;"&amp;""))</f>
        <v>0</v>
      </c>
      <c r="Q343" s="170" t="str">
        <f>IFERROR(INDEX(Başvuru!$C$2:$C$1851,MATCH(338,Başvuru!$AB$2:$AB$1851,0)),"")</f>
        <v>Doç. Dr. Ahmet GÜDELOĞLU</v>
      </c>
      <c r="R343" s="171">
        <f>IF(Q343="","",COUNTIFS(Başvuru!$C:$C,Q343,Başvuru!$A:$A,"&lt;&gt;"&amp;"",Başvuru!$F:$F,"&lt;&gt;"&amp;""))</f>
        <v>2</v>
      </c>
      <c r="S343" s="171">
        <f>IF(R343="","",RANK(R343,$R$6:$R$505,0)+COUNTIF($R$6:R343,R343)-1)</f>
        <v>155</v>
      </c>
    </row>
    <row r="344" spans="2:19" ht="23.25" customHeight="1" x14ac:dyDescent="0.25">
      <c r="B344" s="159">
        <v>339</v>
      </c>
      <c r="C344" s="160" t="str">
        <f>IFERROR(INDEX($Q$6:$Q$505,MATCH(339,$S$6:$S$505,0)),"")</f>
        <v>Dr. Öğr. Gör. Özge ÖZTÜRK AKTAŞ</v>
      </c>
      <c r="D344" s="161">
        <f>IF(C344="","",COUNTIFS(Başvuru!$C:$C,C344,Başvuru!$A:$A,"&lt;&gt;"&amp;"",Başvuru!$F:$F,"&lt;&gt;"&amp;""))</f>
        <v>1</v>
      </c>
      <c r="E344" s="159" t="str">
        <f>IF(C344="","-",IF(D344&gt;0,TEXT(D344/(COUNTIFS(Başvuru!$A:$A,"&lt;&gt;",Başvuru!$F:$F,"&lt;&gt;")-1)*100,"0.0")&amp;"%","-"))</f>
        <v>00%</v>
      </c>
      <c r="F344" s="162">
        <f>IF(C344="","",COUNTIFS(Başvuru!$C:$C,C344,Başvuru!$G:$G,"Bireysel Araştırma",Başvuru!$A:$A,"&lt;&gt;"&amp;"",Başvuru!$F:$F,"&lt;&gt;"&amp;""))</f>
        <v>1</v>
      </c>
      <c r="G344" s="162">
        <f>IF(C344="","",COUNTIFS(Başvuru!$C:$C,C344,Başvuru!$G:$G,"Uzmanlık Tezi",Başvuru!$A:$A,"&lt;&gt;"&amp;"",Başvuru!$F:$F,"&lt;&gt;"&amp;""))</f>
        <v>0</v>
      </c>
      <c r="H344" s="162">
        <f>IF(C344="","",COUNTIFS(Başvuru!$C:$C,C344,Başvuru!$G:$G,"Doktora Tezi",Başvuru!$A:$A,"&lt;&gt;"&amp;"",Başvuru!$F:$F,"&lt;&gt;"&amp;""))</f>
        <v>0</v>
      </c>
      <c r="I344" s="162">
        <f>IF(C344="","",COUNTIFS(Başvuru!$C:$C,C344,Başvuru!$G:$G,"Yüksek Lisans Tezi",Başvuru!$A:$A,"&lt;&gt;"&amp;"",Başvuru!$F:$F,"&lt;&gt;"&amp;""))</f>
        <v>0</v>
      </c>
      <c r="J344" s="163">
        <f>IF(C344="","",COUNTIFS(Başvuru!$C:$C,C344,Başvuru!$L:$L,"ONAY",Başvuru!$A:$A,"&lt;&gt;"&amp;"",Başvuru!$F:$F,"&lt;&gt;"&amp;""))</f>
        <v>0</v>
      </c>
      <c r="K344" s="164">
        <f>IF(C344="","",COUNTIFS(Başvuru!$C:$C,C344,Başvuru!$L:$L,"DÜZELTME",Başvuru!$A:$A,"&lt;&gt;"&amp;"",Başvuru!$F:$F,"&lt;&gt;"&amp;""))</f>
        <v>0</v>
      </c>
      <c r="L344" s="165">
        <f>IF(C344="","",COUNTIFS(Başvuru!$C:$C,C344,Başvuru!$L:$L,"KAEK",Başvuru!$A:$A,"&lt;&gt;"&amp;"",Başvuru!$F:$F,"&lt;&gt;"&amp;""))</f>
        <v>0</v>
      </c>
      <c r="M344" s="166">
        <f>IF(C344="","",COUNTIFS(Başvuru!$C:$C,C344,Başvuru!$L:$L,"GÖRÜŞ",Başvuru!$A:$A,"&lt;&gt;"&amp;"",Başvuru!$F:$F,"&lt;&gt;"&amp;""))</f>
        <v>0</v>
      </c>
      <c r="N344" s="167">
        <f>IF(C344="","",COUNTIFS(Başvuru!$C:$C,C344,Başvuru!$L:$L,"RET",Başvuru!$A:$A,"&lt;&gt;"&amp;"",Başvuru!$F:$F,"&lt;&gt;"&amp;""))</f>
        <v>0</v>
      </c>
      <c r="O344" s="168">
        <f>IF(C344="","",COUNTIFS(Başvuru!$C:$C,C344,Başvuru!$L:$L,"KAPSAM DIŞI",Başvuru!$A:$A,"&lt;&gt;"&amp;"",Başvuru!$F:$F,"&lt;&gt;"&amp;""))</f>
        <v>0</v>
      </c>
      <c r="P344" s="169">
        <f>IF(C344="","",COUNTIFS(Başvuru!$C:$C,C344,Başvuru!$L:$L,"GERİ ÇEKİLDİ",Başvuru!$A:$A,"&lt;&gt;"&amp;"",Başvuru!$F:$F,"&lt;&gt;"&amp;""))</f>
        <v>0</v>
      </c>
      <c r="Q344" s="170" t="str">
        <f>IFERROR(INDEX(Başvuru!$C$2:$C$1851,MATCH(339,Başvuru!$AB$2:$AB$1851,0)),"")</f>
        <v>Prof. Dr. Mustafa Sertaç YAZICI</v>
      </c>
      <c r="R344" s="171">
        <f>IF(Q344="","",COUNTIFS(Başvuru!$C:$C,Q344,Başvuru!$A:$A,"&lt;&gt;"&amp;"",Başvuru!$F:$F,"&lt;&gt;"&amp;""))</f>
        <v>2</v>
      </c>
      <c r="S344" s="171">
        <f>IF(R344="","",RANK(R344,$R$6:$R$505,0)+COUNTIF($R$6:R344,R344)-1)</f>
        <v>156</v>
      </c>
    </row>
    <row r="345" spans="2:19" ht="23.25" customHeight="1" x14ac:dyDescent="0.25">
      <c r="B345" s="159">
        <v>340</v>
      </c>
      <c r="C345" s="160" t="str">
        <f>IFERROR(INDEX($Q$6:$Q$505,MATCH(340,$S$6:$S$505,0)),"")</f>
        <v>Dr. Öğr. Üyesi Elif KARAKOÇ</v>
      </c>
      <c r="D345" s="161">
        <f>IF(C345="","",COUNTIFS(Başvuru!$C:$C,C345,Başvuru!$A:$A,"&lt;&gt;"&amp;"",Başvuru!$F:$F,"&lt;&gt;"&amp;""))</f>
        <v>1</v>
      </c>
      <c r="E345" s="159" t="str">
        <f>IF(C345="","-",IF(D345&gt;0,TEXT(D345/(COUNTIFS(Başvuru!$A:$A,"&lt;&gt;",Başvuru!$F:$F,"&lt;&gt;")-1)*100,"0.0")&amp;"%","-"))</f>
        <v>00%</v>
      </c>
      <c r="F345" s="162">
        <f>IF(C345="","",COUNTIFS(Başvuru!$C:$C,C345,Başvuru!$G:$G,"Bireysel Araştırma",Başvuru!$A:$A,"&lt;&gt;"&amp;"",Başvuru!$F:$F,"&lt;&gt;"&amp;""))</f>
        <v>1</v>
      </c>
      <c r="G345" s="162">
        <f>IF(C345="","",COUNTIFS(Başvuru!$C:$C,C345,Başvuru!$G:$G,"Uzmanlık Tezi",Başvuru!$A:$A,"&lt;&gt;"&amp;"",Başvuru!$F:$F,"&lt;&gt;"&amp;""))</f>
        <v>0</v>
      </c>
      <c r="H345" s="162">
        <f>IF(C345="","",COUNTIFS(Başvuru!$C:$C,C345,Başvuru!$G:$G,"Doktora Tezi",Başvuru!$A:$A,"&lt;&gt;"&amp;"",Başvuru!$F:$F,"&lt;&gt;"&amp;""))</f>
        <v>0</v>
      </c>
      <c r="I345" s="162">
        <f>IF(C345="","",COUNTIFS(Başvuru!$C:$C,C345,Başvuru!$G:$G,"Yüksek Lisans Tezi",Başvuru!$A:$A,"&lt;&gt;"&amp;"",Başvuru!$F:$F,"&lt;&gt;"&amp;""))</f>
        <v>0</v>
      </c>
      <c r="J345" s="163">
        <f>IF(C345="","",COUNTIFS(Başvuru!$C:$C,C345,Başvuru!$L:$L,"ONAY",Başvuru!$A:$A,"&lt;&gt;"&amp;"",Başvuru!$F:$F,"&lt;&gt;"&amp;""))</f>
        <v>0</v>
      </c>
      <c r="K345" s="164">
        <f>IF(C345="","",COUNTIFS(Başvuru!$C:$C,C345,Başvuru!$L:$L,"DÜZELTME",Başvuru!$A:$A,"&lt;&gt;"&amp;"",Başvuru!$F:$F,"&lt;&gt;"&amp;""))</f>
        <v>0</v>
      </c>
      <c r="L345" s="165">
        <f>IF(C345="","",COUNTIFS(Başvuru!$C:$C,C345,Başvuru!$L:$L,"KAEK",Başvuru!$A:$A,"&lt;&gt;"&amp;"",Başvuru!$F:$F,"&lt;&gt;"&amp;""))</f>
        <v>0</v>
      </c>
      <c r="M345" s="166">
        <f>IF(C345="","",COUNTIFS(Başvuru!$C:$C,C345,Başvuru!$L:$L,"GÖRÜŞ",Başvuru!$A:$A,"&lt;&gt;"&amp;"",Başvuru!$F:$F,"&lt;&gt;"&amp;""))</f>
        <v>0</v>
      </c>
      <c r="N345" s="167">
        <f>IF(C345="","",COUNTIFS(Başvuru!$C:$C,C345,Başvuru!$L:$L,"RET",Başvuru!$A:$A,"&lt;&gt;"&amp;"",Başvuru!$F:$F,"&lt;&gt;"&amp;""))</f>
        <v>0</v>
      </c>
      <c r="O345" s="168">
        <f>IF(C345="","",COUNTIFS(Başvuru!$C:$C,C345,Başvuru!$L:$L,"KAPSAM DIŞI",Başvuru!$A:$A,"&lt;&gt;"&amp;"",Başvuru!$F:$F,"&lt;&gt;"&amp;""))</f>
        <v>0</v>
      </c>
      <c r="P345" s="169">
        <f>IF(C345="","",COUNTIFS(Başvuru!$C:$C,C345,Başvuru!$L:$L,"GERİ ÇEKİLDİ",Başvuru!$A:$A,"&lt;&gt;"&amp;"",Başvuru!$F:$F,"&lt;&gt;"&amp;""))</f>
        <v>0</v>
      </c>
      <c r="Q345" s="170" t="str">
        <f>IFERROR(INDEX(Başvuru!$C$2:$C$1851,MATCH(340,Başvuru!$AB$2:$AB$1851,0)),"")</f>
        <v>Dr. Öğr. Üyesi Elif KARAKOÇ</v>
      </c>
      <c r="R345" s="171">
        <f>IF(Q345="","",COUNTIFS(Başvuru!$C:$C,Q345,Başvuru!$A:$A,"&lt;&gt;"&amp;"",Başvuru!$F:$F,"&lt;&gt;"&amp;""))</f>
        <v>1</v>
      </c>
      <c r="S345" s="171">
        <f>IF(R345="","",RANK(R345,$R$6:$R$505,0)+COUNTIF($R$6:R345,R345)-1)</f>
        <v>340</v>
      </c>
    </row>
    <row r="346" spans="2:19" ht="23.25" customHeight="1" x14ac:dyDescent="0.25">
      <c r="B346" s="159">
        <v>341</v>
      </c>
      <c r="C346" s="160" t="str">
        <f>IFERROR(INDEX($Q$6:$Q$505,MATCH(341,$S$6:$S$505,0)),"")</f>
        <v>Dr. Öğr. Üyesi Tülin İLERİ</v>
      </c>
      <c r="D346" s="161">
        <f>IF(C346="","",COUNTIFS(Başvuru!$C:$C,C346,Başvuru!$A:$A,"&lt;&gt;"&amp;"",Başvuru!$F:$F,"&lt;&gt;"&amp;""))</f>
        <v>1</v>
      </c>
      <c r="E346" s="159" t="str">
        <f>IF(C346="","-",IF(D346&gt;0,TEXT(D346/(COUNTIFS(Başvuru!$A:$A,"&lt;&gt;",Başvuru!$F:$F,"&lt;&gt;")-1)*100,"0.0")&amp;"%","-"))</f>
        <v>00%</v>
      </c>
      <c r="F346" s="162">
        <f>IF(C346="","",COUNTIFS(Başvuru!$C:$C,C346,Başvuru!$G:$G,"Bireysel Araştırma",Başvuru!$A:$A,"&lt;&gt;"&amp;"",Başvuru!$F:$F,"&lt;&gt;"&amp;""))</f>
        <v>0</v>
      </c>
      <c r="G346" s="162">
        <f>IF(C346="","",COUNTIFS(Başvuru!$C:$C,C346,Başvuru!$G:$G,"Uzmanlık Tezi",Başvuru!$A:$A,"&lt;&gt;"&amp;"",Başvuru!$F:$F,"&lt;&gt;"&amp;""))</f>
        <v>1</v>
      </c>
      <c r="H346" s="162">
        <f>IF(C346="","",COUNTIFS(Başvuru!$C:$C,C346,Başvuru!$G:$G,"Doktora Tezi",Başvuru!$A:$A,"&lt;&gt;"&amp;"",Başvuru!$F:$F,"&lt;&gt;"&amp;""))</f>
        <v>0</v>
      </c>
      <c r="I346" s="162">
        <f>IF(C346="","",COUNTIFS(Başvuru!$C:$C,C346,Başvuru!$G:$G,"Yüksek Lisans Tezi",Başvuru!$A:$A,"&lt;&gt;"&amp;"",Başvuru!$F:$F,"&lt;&gt;"&amp;""))</f>
        <v>0</v>
      </c>
      <c r="J346" s="163">
        <f>IF(C346="","",COUNTIFS(Başvuru!$C:$C,C346,Başvuru!$L:$L,"ONAY",Başvuru!$A:$A,"&lt;&gt;"&amp;"",Başvuru!$F:$F,"&lt;&gt;"&amp;""))</f>
        <v>0</v>
      </c>
      <c r="K346" s="164">
        <f>IF(C346="","",COUNTIFS(Başvuru!$C:$C,C346,Başvuru!$L:$L,"DÜZELTME",Başvuru!$A:$A,"&lt;&gt;"&amp;"",Başvuru!$F:$F,"&lt;&gt;"&amp;""))</f>
        <v>0</v>
      </c>
      <c r="L346" s="165">
        <f>IF(C346="","",COUNTIFS(Başvuru!$C:$C,C346,Başvuru!$L:$L,"KAEK",Başvuru!$A:$A,"&lt;&gt;"&amp;"",Başvuru!$F:$F,"&lt;&gt;"&amp;""))</f>
        <v>0</v>
      </c>
      <c r="M346" s="166">
        <f>IF(C346="","",COUNTIFS(Başvuru!$C:$C,C346,Başvuru!$L:$L,"GÖRÜŞ",Başvuru!$A:$A,"&lt;&gt;"&amp;"",Başvuru!$F:$F,"&lt;&gt;"&amp;""))</f>
        <v>0</v>
      </c>
      <c r="N346" s="167">
        <f>IF(C346="","",COUNTIFS(Başvuru!$C:$C,C346,Başvuru!$L:$L,"RET",Başvuru!$A:$A,"&lt;&gt;"&amp;"",Başvuru!$F:$F,"&lt;&gt;"&amp;""))</f>
        <v>0</v>
      </c>
      <c r="O346" s="168">
        <f>IF(C346="","",COUNTIFS(Başvuru!$C:$C,C346,Başvuru!$L:$L,"KAPSAM DIŞI",Başvuru!$A:$A,"&lt;&gt;"&amp;"",Başvuru!$F:$F,"&lt;&gt;"&amp;""))</f>
        <v>0</v>
      </c>
      <c r="P346" s="169">
        <f>IF(C346="","",COUNTIFS(Başvuru!$C:$C,C346,Başvuru!$L:$L,"GERİ ÇEKİLDİ",Başvuru!$A:$A,"&lt;&gt;"&amp;"",Başvuru!$F:$F,"&lt;&gt;"&amp;""))</f>
        <v>0</v>
      </c>
      <c r="Q346" s="170" t="str">
        <f>IFERROR(INDEX(Başvuru!$C$2:$C$1851,MATCH(341,Başvuru!$AB$2:$AB$1851,0)),"")</f>
        <v>Dr. Öğr. Üyesi Tülin İLERİ</v>
      </c>
      <c r="R346" s="171">
        <f>IF(Q346="","",COUNTIFS(Başvuru!$C:$C,Q346,Başvuru!$A:$A,"&lt;&gt;"&amp;"",Başvuru!$F:$F,"&lt;&gt;"&amp;""))</f>
        <v>1</v>
      </c>
      <c r="S346" s="171">
        <f>IF(R346="","",RANK(R346,$R$6:$R$505,0)+COUNTIF($R$6:R346,R346)-1)</f>
        <v>341</v>
      </c>
    </row>
    <row r="347" spans="2:19" ht="23.25" customHeight="1" x14ac:dyDescent="0.25">
      <c r="B347" s="159">
        <v>342</v>
      </c>
      <c r="C347" s="160" t="str">
        <f>IFERROR(INDEX($Q$6:$Q$505,MATCH(342,$S$6:$S$505,0)),"")</f>
        <v>Doç. Dr. Ceren GÜNBEY</v>
      </c>
      <c r="D347" s="161">
        <f>IF(C347="","",COUNTIFS(Başvuru!$C:$C,C347,Başvuru!$A:$A,"&lt;&gt;"&amp;"",Başvuru!$F:$F,"&lt;&gt;"&amp;""))</f>
        <v>1</v>
      </c>
      <c r="E347" s="159" t="str">
        <f>IF(C347="","-",IF(D347&gt;0,TEXT(D347/(COUNTIFS(Başvuru!$A:$A,"&lt;&gt;",Başvuru!$F:$F,"&lt;&gt;")-1)*100,"0.0")&amp;"%","-"))</f>
        <v>00%</v>
      </c>
      <c r="F347" s="162">
        <f>IF(C347="","",COUNTIFS(Başvuru!$C:$C,C347,Başvuru!$G:$G,"Bireysel Araştırma",Başvuru!$A:$A,"&lt;&gt;"&amp;"",Başvuru!$F:$F,"&lt;&gt;"&amp;""))</f>
        <v>1</v>
      </c>
      <c r="G347" s="162">
        <f>IF(C347="","",COUNTIFS(Başvuru!$C:$C,C347,Başvuru!$G:$G,"Uzmanlık Tezi",Başvuru!$A:$A,"&lt;&gt;"&amp;"",Başvuru!$F:$F,"&lt;&gt;"&amp;""))</f>
        <v>0</v>
      </c>
      <c r="H347" s="162">
        <f>IF(C347="","",COUNTIFS(Başvuru!$C:$C,C347,Başvuru!$G:$G,"Doktora Tezi",Başvuru!$A:$A,"&lt;&gt;"&amp;"",Başvuru!$F:$F,"&lt;&gt;"&amp;""))</f>
        <v>0</v>
      </c>
      <c r="I347" s="162">
        <f>IF(C347="","",COUNTIFS(Başvuru!$C:$C,C347,Başvuru!$G:$G,"Yüksek Lisans Tezi",Başvuru!$A:$A,"&lt;&gt;"&amp;"",Başvuru!$F:$F,"&lt;&gt;"&amp;""))</f>
        <v>0</v>
      </c>
      <c r="J347" s="163">
        <f>IF(C347="","",COUNTIFS(Başvuru!$C:$C,C347,Başvuru!$L:$L,"ONAY",Başvuru!$A:$A,"&lt;&gt;"&amp;"",Başvuru!$F:$F,"&lt;&gt;"&amp;""))</f>
        <v>0</v>
      </c>
      <c r="K347" s="164">
        <f>IF(C347="","",COUNTIFS(Başvuru!$C:$C,C347,Başvuru!$L:$L,"DÜZELTME",Başvuru!$A:$A,"&lt;&gt;"&amp;"",Başvuru!$F:$F,"&lt;&gt;"&amp;""))</f>
        <v>0</v>
      </c>
      <c r="L347" s="165">
        <f>IF(C347="","",COUNTIFS(Başvuru!$C:$C,C347,Başvuru!$L:$L,"KAEK",Başvuru!$A:$A,"&lt;&gt;"&amp;"",Başvuru!$F:$F,"&lt;&gt;"&amp;""))</f>
        <v>0</v>
      </c>
      <c r="M347" s="166">
        <f>IF(C347="","",COUNTIFS(Başvuru!$C:$C,C347,Başvuru!$L:$L,"GÖRÜŞ",Başvuru!$A:$A,"&lt;&gt;"&amp;"",Başvuru!$F:$F,"&lt;&gt;"&amp;""))</f>
        <v>0</v>
      </c>
      <c r="N347" s="167">
        <f>IF(C347="","",COUNTIFS(Başvuru!$C:$C,C347,Başvuru!$L:$L,"RET",Başvuru!$A:$A,"&lt;&gt;"&amp;"",Başvuru!$F:$F,"&lt;&gt;"&amp;""))</f>
        <v>0</v>
      </c>
      <c r="O347" s="168">
        <f>IF(C347="","",COUNTIFS(Başvuru!$C:$C,C347,Başvuru!$L:$L,"KAPSAM DIŞI",Başvuru!$A:$A,"&lt;&gt;"&amp;"",Başvuru!$F:$F,"&lt;&gt;"&amp;""))</f>
        <v>0</v>
      </c>
      <c r="P347" s="169">
        <f>IF(C347="","",COUNTIFS(Başvuru!$C:$C,C347,Başvuru!$L:$L,"GERİ ÇEKİLDİ",Başvuru!$A:$A,"&lt;&gt;"&amp;"",Başvuru!$F:$F,"&lt;&gt;"&amp;""))</f>
        <v>0</v>
      </c>
      <c r="Q347" s="170" t="str">
        <f>IFERROR(INDEX(Başvuru!$C$2:$C$1851,MATCH(342,Başvuru!$AB$2:$AB$1851,0)),"")</f>
        <v>Doç. Dr. Ceren GÜNBEY</v>
      </c>
      <c r="R347" s="171">
        <f>IF(Q347="","",COUNTIFS(Başvuru!$C:$C,Q347,Başvuru!$A:$A,"&lt;&gt;"&amp;"",Başvuru!$F:$F,"&lt;&gt;"&amp;""))</f>
        <v>1</v>
      </c>
      <c r="S347" s="171">
        <f>IF(R347="","",RANK(R347,$R$6:$R$505,0)+COUNTIF($R$6:R347,R347)-1)</f>
        <v>342</v>
      </c>
    </row>
    <row r="348" spans="2:19" ht="23.25" customHeight="1" x14ac:dyDescent="0.25">
      <c r="B348" s="159">
        <v>343</v>
      </c>
      <c r="C348" s="160" t="str">
        <f>IFERROR(INDEX($Q$6:$Q$505,MATCH(343,$S$6:$S$505,0)),"")</f>
        <v>Dr. Öğr. Üyesi Güven Ozan KAPLAN</v>
      </c>
      <c r="D348" s="161">
        <f>IF(C348="","",COUNTIFS(Başvuru!$C:$C,C348,Başvuru!$A:$A,"&lt;&gt;"&amp;"",Başvuru!$F:$F,"&lt;&gt;"&amp;""))</f>
        <v>1</v>
      </c>
      <c r="E348" s="159" t="str">
        <f>IF(C348="","-",IF(D348&gt;0,TEXT(D348/(COUNTIFS(Başvuru!$A:$A,"&lt;&gt;",Başvuru!$F:$F,"&lt;&gt;")-1)*100,"0.0")&amp;"%","-"))</f>
        <v>00%</v>
      </c>
      <c r="F348" s="162">
        <f>IF(C348="","",COUNTIFS(Başvuru!$C:$C,C348,Başvuru!$G:$G,"Bireysel Araştırma",Başvuru!$A:$A,"&lt;&gt;"&amp;"",Başvuru!$F:$F,"&lt;&gt;"&amp;""))</f>
        <v>1</v>
      </c>
      <c r="G348" s="162">
        <f>IF(C348="","",COUNTIFS(Başvuru!$C:$C,C348,Başvuru!$G:$G,"Uzmanlık Tezi",Başvuru!$A:$A,"&lt;&gt;"&amp;"",Başvuru!$F:$F,"&lt;&gt;"&amp;""))</f>
        <v>0</v>
      </c>
      <c r="H348" s="162">
        <f>IF(C348="","",COUNTIFS(Başvuru!$C:$C,C348,Başvuru!$G:$G,"Doktora Tezi",Başvuru!$A:$A,"&lt;&gt;"&amp;"",Başvuru!$F:$F,"&lt;&gt;"&amp;""))</f>
        <v>0</v>
      </c>
      <c r="I348" s="162">
        <f>IF(C348="","",COUNTIFS(Başvuru!$C:$C,C348,Başvuru!$G:$G,"Yüksek Lisans Tezi",Başvuru!$A:$A,"&lt;&gt;"&amp;"",Başvuru!$F:$F,"&lt;&gt;"&amp;""))</f>
        <v>0</v>
      </c>
      <c r="J348" s="163">
        <f>IF(C348="","",COUNTIFS(Başvuru!$C:$C,C348,Başvuru!$L:$L,"ONAY",Başvuru!$A:$A,"&lt;&gt;"&amp;"",Başvuru!$F:$F,"&lt;&gt;"&amp;""))</f>
        <v>0</v>
      </c>
      <c r="K348" s="164">
        <f>IF(C348="","",COUNTIFS(Başvuru!$C:$C,C348,Başvuru!$L:$L,"DÜZELTME",Başvuru!$A:$A,"&lt;&gt;"&amp;"",Başvuru!$F:$F,"&lt;&gt;"&amp;""))</f>
        <v>0</v>
      </c>
      <c r="L348" s="165">
        <f>IF(C348="","",COUNTIFS(Başvuru!$C:$C,C348,Başvuru!$L:$L,"KAEK",Başvuru!$A:$A,"&lt;&gt;"&amp;"",Başvuru!$F:$F,"&lt;&gt;"&amp;""))</f>
        <v>0</v>
      </c>
      <c r="M348" s="166">
        <f>IF(C348="","",COUNTIFS(Başvuru!$C:$C,C348,Başvuru!$L:$L,"GÖRÜŞ",Başvuru!$A:$A,"&lt;&gt;"&amp;"",Başvuru!$F:$F,"&lt;&gt;"&amp;""))</f>
        <v>0</v>
      </c>
      <c r="N348" s="167">
        <f>IF(C348="","",COUNTIFS(Başvuru!$C:$C,C348,Başvuru!$L:$L,"RET",Başvuru!$A:$A,"&lt;&gt;"&amp;"",Başvuru!$F:$F,"&lt;&gt;"&amp;""))</f>
        <v>0</v>
      </c>
      <c r="O348" s="168">
        <f>IF(C348="","",COUNTIFS(Başvuru!$C:$C,C348,Başvuru!$L:$L,"KAPSAM DIŞI",Başvuru!$A:$A,"&lt;&gt;"&amp;"",Başvuru!$F:$F,"&lt;&gt;"&amp;""))</f>
        <v>0</v>
      </c>
      <c r="P348" s="169">
        <f>IF(C348="","",COUNTIFS(Başvuru!$C:$C,C348,Başvuru!$L:$L,"GERİ ÇEKİLDİ",Başvuru!$A:$A,"&lt;&gt;"&amp;"",Başvuru!$F:$F,"&lt;&gt;"&amp;""))</f>
        <v>0</v>
      </c>
      <c r="Q348" s="170" t="str">
        <f>IFERROR(INDEX(Başvuru!$C$2:$C$1851,MATCH(343,Başvuru!$AB$2:$AB$1851,0)),"")</f>
        <v>Dr. Öğr. Üyesi Güven Ozan KAPLAN</v>
      </c>
      <c r="R348" s="171">
        <f>IF(Q348="","",COUNTIFS(Başvuru!$C:$C,Q348,Başvuru!$A:$A,"&lt;&gt;"&amp;"",Başvuru!$F:$F,"&lt;&gt;"&amp;""))</f>
        <v>1</v>
      </c>
      <c r="S348" s="171">
        <f>IF(R348="","",RANK(R348,$R$6:$R$505,0)+COUNTIF($R$6:R348,R348)-1)</f>
        <v>343</v>
      </c>
    </row>
    <row r="349" spans="2:19" ht="23.25" customHeight="1" x14ac:dyDescent="0.25">
      <c r="B349" s="159">
        <v>344</v>
      </c>
      <c r="C349" s="160" t="str">
        <f>IFERROR(INDEX($Q$6:$Q$505,MATCH(344,$S$6:$S$505,0)),"")</f>
        <v>Arş. Gör. Dr. Sinan Efe YAZICI</v>
      </c>
      <c r="D349" s="161">
        <f>IF(C349="","",COUNTIFS(Başvuru!$C:$C,C349,Başvuru!$A:$A,"&lt;&gt;"&amp;"",Başvuru!$F:$F,"&lt;&gt;"&amp;""))</f>
        <v>1</v>
      </c>
      <c r="E349" s="159" t="str">
        <f>IF(C349="","-",IF(D349&gt;0,TEXT(D349/(COUNTIFS(Başvuru!$A:$A,"&lt;&gt;",Başvuru!$F:$F,"&lt;&gt;")-1)*100,"0.0")&amp;"%","-"))</f>
        <v>00%</v>
      </c>
      <c r="F349" s="162">
        <f>IF(C349="","",COUNTIFS(Başvuru!$C:$C,C349,Başvuru!$G:$G,"Bireysel Araştırma",Başvuru!$A:$A,"&lt;&gt;"&amp;"",Başvuru!$F:$F,"&lt;&gt;"&amp;""))</f>
        <v>1</v>
      </c>
      <c r="G349" s="162">
        <f>IF(C349="","",COUNTIFS(Başvuru!$C:$C,C349,Başvuru!$G:$G,"Uzmanlık Tezi",Başvuru!$A:$A,"&lt;&gt;"&amp;"",Başvuru!$F:$F,"&lt;&gt;"&amp;""))</f>
        <v>0</v>
      </c>
      <c r="H349" s="162">
        <f>IF(C349="","",COUNTIFS(Başvuru!$C:$C,C349,Başvuru!$G:$G,"Doktora Tezi",Başvuru!$A:$A,"&lt;&gt;"&amp;"",Başvuru!$F:$F,"&lt;&gt;"&amp;""))</f>
        <v>0</v>
      </c>
      <c r="I349" s="162">
        <f>IF(C349="","",COUNTIFS(Başvuru!$C:$C,C349,Başvuru!$G:$G,"Yüksek Lisans Tezi",Başvuru!$A:$A,"&lt;&gt;"&amp;"",Başvuru!$F:$F,"&lt;&gt;"&amp;""))</f>
        <v>0</v>
      </c>
      <c r="J349" s="163">
        <f>IF(C349="","",COUNTIFS(Başvuru!$C:$C,C349,Başvuru!$L:$L,"ONAY",Başvuru!$A:$A,"&lt;&gt;"&amp;"",Başvuru!$F:$F,"&lt;&gt;"&amp;""))</f>
        <v>0</v>
      </c>
      <c r="K349" s="164">
        <f>IF(C349="","",COUNTIFS(Başvuru!$C:$C,C349,Başvuru!$L:$L,"DÜZELTME",Başvuru!$A:$A,"&lt;&gt;"&amp;"",Başvuru!$F:$F,"&lt;&gt;"&amp;""))</f>
        <v>0</v>
      </c>
      <c r="L349" s="165">
        <f>IF(C349="","",COUNTIFS(Başvuru!$C:$C,C349,Başvuru!$L:$L,"KAEK",Başvuru!$A:$A,"&lt;&gt;"&amp;"",Başvuru!$F:$F,"&lt;&gt;"&amp;""))</f>
        <v>0</v>
      </c>
      <c r="M349" s="166">
        <f>IF(C349="","",COUNTIFS(Başvuru!$C:$C,C349,Başvuru!$L:$L,"GÖRÜŞ",Başvuru!$A:$A,"&lt;&gt;"&amp;"",Başvuru!$F:$F,"&lt;&gt;"&amp;""))</f>
        <v>0</v>
      </c>
      <c r="N349" s="167">
        <f>IF(C349="","",COUNTIFS(Başvuru!$C:$C,C349,Başvuru!$L:$L,"RET",Başvuru!$A:$A,"&lt;&gt;"&amp;"",Başvuru!$F:$F,"&lt;&gt;"&amp;""))</f>
        <v>0</v>
      </c>
      <c r="O349" s="168">
        <f>IF(C349="","",COUNTIFS(Başvuru!$C:$C,C349,Başvuru!$L:$L,"KAPSAM DIŞI",Başvuru!$A:$A,"&lt;&gt;"&amp;"",Başvuru!$F:$F,"&lt;&gt;"&amp;""))</f>
        <v>0</v>
      </c>
      <c r="P349" s="169">
        <f>IF(C349="","",COUNTIFS(Başvuru!$C:$C,C349,Başvuru!$L:$L,"GERİ ÇEKİLDİ",Başvuru!$A:$A,"&lt;&gt;"&amp;"",Başvuru!$F:$F,"&lt;&gt;"&amp;""))</f>
        <v>0</v>
      </c>
      <c r="Q349" s="170" t="str">
        <f>IFERROR(INDEX(Başvuru!$C$2:$C$1851,MATCH(344,Başvuru!$AB$2:$AB$1851,0)),"")</f>
        <v>Arş. Gör. Dr. Sinan Efe YAZICI</v>
      </c>
      <c r="R349" s="171">
        <f>IF(Q349="","",COUNTIFS(Başvuru!$C:$C,Q349,Başvuru!$A:$A,"&lt;&gt;"&amp;"",Başvuru!$F:$F,"&lt;&gt;"&amp;""))</f>
        <v>1</v>
      </c>
      <c r="S349" s="171">
        <f>IF(R349="","",RANK(R349,$R$6:$R$505,0)+COUNTIF($R$6:R349,R349)-1)</f>
        <v>344</v>
      </c>
    </row>
    <row r="350" spans="2:19" ht="23.25" customHeight="1" x14ac:dyDescent="0.25">
      <c r="B350" s="159">
        <v>345</v>
      </c>
      <c r="C350" s="160" t="str">
        <f>IFERROR(INDEX($Q$6:$Q$505,MATCH(345,$S$6:$S$505,0)),"")</f>
        <v>Prof. Dr. Onur KESKİN</v>
      </c>
      <c r="D350" s="161">
        <f>IF(C350="","",COUNTIFS(Başvuru!$C:$C,C350,Başvuru!$A:$A,"&lt;&gt;"&amp;"",Başvuru!$F:$F,"&lt;&gt;"&amp;""))</f>
        <v>1</v>
      </c>
      <c r="E350" s="159" t="str">
        <f>IF(C350="","-",IF(D350&gt;0,TEXT(D350/(COUNTIFS(Başvuru!$A:$A,"&lt;&gt;",Başvuru!$F:$F,"&lt;&gt;")-1)*100,"0.0")&amp;"%","-"))</f>
        <v>00%</v>
      </c>
      <c r="F350" s="162">
        <f>IF(C350="","",COUNTIFS(Başvuru!$C:$C,C350,Başvuru!$G:$G,"Bireysel Araştırma",Başvuru!$A:$A,"&lt;&gt;"&amp;"",Başvuru!$F:$F,"&lt;&gt;"&amp;""))</f>
        <v>1</v>
      </c>
      <c r="G350" s="162">
        <f>IF(C350="","",COUNTIFS(Başvuru!$C:$C,C350,Başvuru!$G:$G,"Uzmanlık Tezi",Başvuru!$A:$A,"&lt;&gt;"&amp;"",Başvuru!$F:$F,"&lt;&gt;"&amp;""))</f>
        <v>0</v>
      </c>
      <c r="H350" s="162">
        <f>IF(C350="","",COUNTIFS(Başvuru!$C:$C,C350,Başvuru!$G:$G,"Doktora Tezi",Başvuru!$A:$A,"&lt;&gt;"&amp;"",Başvuru!$F:$F,"&lt;&gt;"&amp;""))</f>
        <v>0</v>
      </c>
      <c r="I350" s="162">
        <f>IF(C350="","",COUNTIFS(Başvuru!$C:$C,C350,Başvuru!$G:$G,"Yüksek Lisans Tezi",Başvuru!$A:$A,"&lt;&gt;"&amp;"",Başvuru!$F:$F,"&lt;&gt;"&amp;""))</f>
        <v>0</v>
      </c>
      <c r="J350" s="163">
        <f>IF(C350="","",COUNTIFS(Başvuru!$C:$C,C350,Başvuru!$L:$L,"ONAY",Başvuru!$A:$A,"&lt;&gt;"&amp;"",Başvuru!$F:$F,"&lt;&gt;"&amp;""))</f>
        <v>0</v>
      </c>
      <c r="K350" s="164">
        <f>IF(C350="","",COUNTIFS(Başvuru!$C:$C,C350,Başvuru!$L:$L,"DÜZELTME",Başvuru!$A:$A,"&lt;&gt;"&amp;"",Başvuru!$F:$F,"&lt;&gt;"&amp;""))</f>
        <v>0</v>
      </c>
      <c r="L350" s="165">
        <f>IF(C350="","",COUNTIFS(Başvuru!$C:$C,C350,Başvuru!$L:$L,"KAEK",Başvuru!$A:$A,"&lt;&gt;"&amp;"",Başvuru!$F:$F,"&lt;&gt;"&amp;""))</f>
        <v>0</v>
      </c>
      <c r="M350" s="166">
        <f>IF(C350="","",COUNTIFS(Başvuru!$C:$C,C350,Başvuru!$L:$L,"GÖRÜŞ",Başvuru!$A:$A,"&lt;&gt;"&amp;"",Başvuru!$F:$F,"&lt;&gt;"&amp;""))</f>
        <v>0</v>
      </c>
      <c r="N350" s="167">
        <f>IF(C350="","",COUNTIFS(Başvuru!$C:$C,C350,Başvuru!$L:$L,"RET",Başvuru!$A:$A,"&lt;&gt;"&amp;"",Başvuru!$F:$F,"&lt;&gt;"&amp;""))</f>
        <v>0</v>
      </c>
      <c r="O350" s="168">
        <f>IF(C350="","",COUNTIFS(Başvuru!$C:$C,C350,Başvuru!$L:$L,"KAPSAM DIŞI",Başvuru!$A:$A,"&lt;&gt;"&amp;"",Başvuru!$F:$F,"&lt;&gt;"&amp;""))</f>
        <v>0</v>
      </c>
      <c r="P350" s="169">
        <f>IF(C350="","",COUNTIFS(Başvuru!$C:$C,C350,Başvuru!$L:$L,"GERİ ÇEKİLDİ",Başvuru!$A:$A,"&lt;&gt;"&amp;"",Başvuru!$F:$F,"&lt;&gt;"&amp;""))</f>
        <v>0</v>
      </c>
      <c r="Q350" s="170" t="str">
        <f>IFERROR(INDEX(Başvuru!$C$2:$C$1851,MATCH(345,Başvuru!$AB$2:$AB$1851,0)),"")</f>
        <v>Prof. Dr. Onur KESKİN</v>
      </c>
      <c r="R350" s="171">
        <f>IF(Q350="","",COUNTIFS(Başvuru!$C:$C,Q350,Başvuru!$A:$A,"&lt;&gt;"&amp;"",Başvuru!$F:$F,"&lt;&gt;"&amp;""))</f>
        <v>1</v>
      </c>
      <c r="S350" s="171">
        <f>IF(R350="","",RANK(R350,$R$6:$R$505,0)+COUNTIF($R$6:R350,R350)-1)</f>
        <v>345</v>
      </c>
    </row>
    <row r="351" spans="2:19" ht="23.25" customHeight="1" x14ac:dyDescent="0.25">
      <c r="B351" s="159">
        <v>346</v>
      </c>
      <c r="C351" s="160" t="str">
        <f>IFERROR(INDEX($Q$6:$Q$505,MATCH(346,$S$6:$S$505,0)),"")</f>
        <v>Doç. Dr. Derya DENİZ SUNGUR</v>
      </c>
      <c r="D351" s="161">
        <f>IF(C351="","",COUNTIFS(Başvuru!$C:$C,C351,Başvuru!$A:$A,"&lt;&gt;"&amp;"",Başvuru!$F:$F,"&lt;&gt;"&amp;""))</f>
        <v>1</v>
      </c>
      <c r="E351" s="159" t="str">
        <f>IF(C351="","-",IF(D351&gt;0,TEXT(D351/(COUNTIFS(Başvuru!$A:$A,"&lt;&gt;",Başvuru!$F:$F,"&lt;&gt;")-1)*100,"0.0")&amp;"%","-"))</f>
        <v>00%</v>
      </c>
      <c r="F351" s="162">
        <f>IF(C351="","",COUNTIFS(Başvuru!$C:$C,C351,Başvuru!$G:$G,"Bireysel Araştırma",Başvuru!$A:$A,"&lt;&gt;"&amp;"",Başvuru!$F:$F,"&lt;&gt;"&amp;""))</f>
        <v>0</v>
      </c>
      <c r="G351" s="162">
        <f>IF(C351="","",COUNTIFS(Başvuru!$C:$C,C351,Başvuru!$G:$G,"Uzmanlık Tezi",Başvuru!$A:$A,"&lt;&gt;"&amp;"",Başvuru!$F:$F,"&lt;&gt;"&amp;""))</f>
        <v>1</v>
      </c>
      <c r="H351" s="162">
        <f>IF(C351="","",COUNTIFS(Başvuru!$C:$C,C351,Başvuru!$G:$G,"Doktora Tezi",Başvuru!$A:$A,"&lt;&gt;"&amp;"",Başvuru!$F:$F,"&lt;&gt;"&amp;""))</f>
        <v>0</v>
      </c>
      <c r="I351" s="162">
        <f>IF(C351="","",COUNTIFS(Başvuru!$C:$C,C351,Başvuru!$G:$G,"Yüksek Lisans Tezi",Başvuru!$A:$A,"&lt;&gt;"&amp;"",Başvuru!$F:$F,"&lt;&gt;"&amp;""))</f>
        <v>0</v>
      </c>
      <c r="J351" s="163">
        <f>IF(C351="","",COUNTIFS(Başvuru!$C:$C,C351,Başvuru!$L:$L,"ONAY",Başvuru!$A:$A,"&lt;&gt;"&amp;"",Başvuru!$F:$F,"&lt;&gt;"&amp;""))</f>
        <v>0</v>
      </c>
      <c r="K351" s="164">
        <f>IF(C351="","",COUNTIFS(Başvuru!$C:$C,C351,Başvuru!$L:$L,"DÜZELTME",Başvuru!$A:$A,"&lt;&gt;"&amp;"",Başvuru!$F:$F,"&lt;&gt;"&amp;""))</f>
        <v>0</v>
      </c>
      <c r="L351" s="165">
        <f>IF(C351="","",COUNTIFS(Başvuru!$C:$C,C351,Başvuru!$L:$L,"KAEK",Başvuru!$A:$A,"&lt;&gt;"&amp;"",Başvuru!$F:$F,"&lt;&gt;"&amp;""))</f>
        <v>0</v>
      </c>
      <c r="M351" s="166">
        <f>IF(C351="","",COUNTIFS(Başvuru!$C:$C,C351,Başvuru!$L:$L,"GÖRÜŞ",Başvuru!$A:$A,"&lt;&gt;"&amp;"",Başvuru!$F:$F,"&lt;&gt;"&amp;""))</f>
        <v>0</v>
      </c>
      <c r="N351" s="167">
        <f>IF(C351="","",COUNTIFS(Başvuru!$C:$C,C351,Başvuru!$L:$L,"RET",Başvuru!$A:$A,"&lt;&gt;"&amp;"",Başvuru!$F:$F,"&lt;&gt;"&amp;""))</f>
        <v>0</v>
      </c>
      <c r="O351" s="168">
        <f>IF(C351="","",COUNTIFS(Başvuru!$C:$C,C351,Başvuru!$L:$L,"KAPSAM DIŞI",Başvuru!$A:$A,"&lt;&gt;"&amp;"",Başvuru!$F:$F,"&lt;&gt;"&amp;""))</f>
        <v>0</v>
      </c>
      <c r="P351" s="169">
        <f>IF(C351="","",COUNTIFS(Başvuru!$C:$C,C351,Başvuru!$L:$L,"GERİ ÇEKİLDİ",Başvuru!$A:$A,"&lt;&gt;"&amp;"",Başvuru!$F:$F,"&lt;&gt;"&amp;""))</f>
        <v>0</v>
      </c>
      <c r="Q351" s="170" t="str">
        <f>IFERROR(INDEX(Başvuru!$C$2:$C$1851,MATCH(346,Başvuru!$AB$2:$AB$1851,0)),"")</f>
        <v>Doç. Dr. Derya DENİZ SUNGUR</v>
      </c>
      <c r="R351" s="171">
        <f>IF(Q351="","",COUNTIFS(Başvuru!$C:$C,Q351,Başvuru!$A:$A,"&lt;&gt;"&amp;"",Başvuru!$F:$F,"&lt;&gt;"&amp;""))</f>
        <v>1</v>
      </c>
      <c r="S351" s="171">
        <f>IF(R351="","",RANK(R351,$R$6:$R$505,0)+COUNTIF($R$6:R351,R351)-1)</f>
        <v>346</v>
      </c>
    </row>
    <row r="352" spans="2:19" ht="23.25" customHeight="1" x14ac:dyDescent="0.25">
      <c r="B352" s="159">
        <v>347</v>
      </c>
      <c r="C352" s="160" t="str">
        <f>IFERROR(INDEX($Q$6:$Q$505,MATCH(347,$S$6:$S$505,0)),"")</f>
        <v>Prof. Dr. Uğur CANPOLAT</v>
      </c>
      <c r="D352" s="161">
        <f>IF(C352="","",COUNTIFS(Başvuru!$C:$C,C352,Başvuru!$A:$A,"&lt;&gt;"&amp;"",Başvuru!$F:$F,"&lt;&gt;"&amp;""))</f>
        <v>1</v>
      </c>
      <c r="E352" s="159" t="str">
        <f>IF(C352="","-",IF(D352&gt;0,TEXT(D352/(COUNTIFS(Başvuru!$A:$A,"&lt;&gt;",Başvuru!$F:$F,"&lt;&gt;")-1)*100,"0.0")&amp;"%","-"))</f>
        <v>00%</v>
      </c>
      <c r="F352" s="162">
        <f>IF(C352="","",COUNTIFS(Başvuru!$C:$C,C352,Başvuru!$G:$G,"Bireysel Araştırma",Başvuru!$A:$A,"&lt;&gt;"&amp;"",Başvuru!$F:$F,"&lt;&gt;"&amp;""))</f>
        <v>1</v>
      </c>
      <c r="G352" s="162">
        <f>IF(C352="","",COUNTIFS(Başvuru!$C:$C,C352,Başvuru!$G:$G,"Uzmanlık Tezi",Başvuru!$A:$A,"&lt;&gt;"&amp;"",Başvuru!$F:$F,"&lt;&gt;"&amp;""))</f>
        <v>0</v>
      </c>
      <c r="H352" s="162">
        <f>IF(C352="","",COUNTIFS(Başvuru!$C:$C,C352,Başvuru!$G:$G,"Doktora Tezi",Başvuru!$A:$A,"&lt;&gt;"&amp;"",Başvuru!$F:$F,"&lt;&gt;"&amp;""))</f>
        <v>0</v>
      </c>
      <c r="I352" s="162">
        <f>IF(C352="","",COUNTIFS(Başvuru!$C:$C,C352,Başvuru!$G:$G,"Yüksek Lisans Tezi",Başvuru!$A:$A,"&lt;&gt;"&amp;"",Başvuru!$F:$F,"&lt;&gt;"&amp;""))</f>
        <v>0</v>
      </c>
      <c r="J352" s="163">
        <f>IF(C352="","",COUNTIFS(Başvuru!$C:$C,C352,Başvuru!$L:$L,"ONAY",Başvuru!$A:$A,"&lt;&gt;"&amp;"",Başvuru!$F:$F,"&lt;&gt;"&amp;""))</f>
        <v>0</v>
      </c>
      <c r="K352" s="164">
        <f>IF(C352="","",COUNTIFS(Başvuru!$C:$C,C352,Başvuru!$L:$L,"DÜZELTME",Başvuru!$A:$A,"&lt;&gt;"&amp;"",Başvuru!$F:$F,"&lt;&gt;"&amp;""))</f>
        <v>0</v>
      </c>
      <c r="L352" s="165">
        <f>IF(C352="","",COUNTIFS(Başvuru!$C:$C,C352,Başvuru!$L:$L,"KAEK",Başvuru!$A:$A,"&lt;&gt;"&amp;"",Başvuru!$F:$F,"&lt;&gt;"&amp;""))</f>
        <v>0</v>
      </c>
      <c r="M352" s="166">
        <f>IF(C352="","",COUNTIFS(Başvuru!$C:$C,C352,Başvuru!$L:$L,"GÖRÜŞ",Başvuru!$A:$A,"&lt;&gt;"&amp;"",Başvuru!$F:$F,"&lt;&gt;"&amp;""))</f>
        <v>0</v>
      </c>
      <c r="N352" s="167">
        <f>IF(C352="","",COUNTIFS(Başvuru!$C:$C,C352,Başvuru!$L:$L,"RET",Başvuru!$A:$A,"&lt;&gt;"&amp;"",Başvuru!$F:$F,"&lt;&gt;"&amp;""))</f>
        <v>0</v>
      </c>
      <c r="O352" s="168">
        <f>IF(C352="","",COUNTIFS(Başvuru!$C:$C,C352,Başvuru!$L:$L,"KAPSAM DIŞI",Başvuru!$A:$A,"&lt;&gt;"&amp;"",Başvuru!$F:$F,"&lt;&gt;"&amp;""))</f>
        <v>0</v>
      </c>
      <c r="P352" s="169">
        <f>IF(C352="","",COUNTIFS(Başvuru!$C:$C,C352,Başvuru!$L:$L,"GERİ ÇEKİLDİ",Başvuru!$A:$A,"&lt;&gt;"&amp;"",Başvuru!$F:$F,"&lt;&gt;"&amp;""))</f>
        <v>0</v>
      </c>
      <c r="Q352" s="170" t="str">
        <f>IFERROR(INDEX(Başvuru!$C$2:$C$1851,MATCH(347,Başvuru!$AB$2:$AB$1851,0)),"")</f>
        <v>Prof. Dr. Uğur CANPOLAT</v>
      </c>
      <c r="R352" s="171">
        <f>IF(Q352="","",COUNTIFS(Başvuru!$C:$C,Q352,Başvuru!$A:$A,"&lt;&gt;"&amp;"",Başvuru!$F:$F,"&lt;&gt;"&amp;""))</f>
        <v>1</v>
      </c>
      <c r="S352" s="171">
        <f>IF(R352="","",RANK(R352,$R$6:$R$505,0)+COUNTIF($R$6:R352,R352)-1)</f>
        <v>347</v>
      </c>
    </row>
    <row r="353" spans="2:19" ht="23.25" customHeight="1" x14ac:dyDescent="0.25">
      <c r="B353" s="159">
        <v>348</v>
      </c>
      <c r="C353" s="160" t="str">
        <f>IFERROR(INDEX($Q$6:$Q$505,MATCH(348,$S$6:$S$505,0)),"")</f>
        <v/>
      </c>
      <c r="D353" s="161" t="str">
        <f>IF(C353="","",COUNTIFS(Başvuru!$C:$C,C353,Başvuru!$A:$A,"&lt;&gt;"&amp;"",Başvuru!$F:$F,"&lt;&gt;"&amp;""))</f>
        <v/>
      </c>
      <c r="E353" s="159" t="str">
        <f>IF(C353="","-",IF(D353&gt;0,TEXT(D353/(COUNTIFS(Başvuru!$A:$A,"&lt;&gt;",Başvuru!$F:$F,"&lt;&gt;")-1)*100,"0.0")&amp;"%","-"))</f>
        <v>-</v>
      </c>
      <c r="F353" s="162" t="str">
        <f>IF(C353="","",COUNTIFS(Başvuru!$C:$C,C353,Başvuru!$G:$G,"Bireysel Araştırma",Başvuru!$A:$A,"&lt;&gt;"&amp;"",Başvuru!$F:$F,"&lt;&gt;"&amp;""))</f>
        <v/>
      </c>
      <c r="G353" s="162" t="str">
        <f>IF(C353="","",COUNTIFS(Başvuru!$C:$C,C353,Başvuru!$G:$G,"Uzmanlık Tezi",Başvuru!$A:$A,"&lt;&gt;"&amp;"",Başvuru!$F:$F,"&lt;&gt;"&amp;""))</f>
        <v/>
      </c>
      <c r="H353" s="162" t="str">
        <f>IF(C353="","",COUNTIFS(Başvuru!$C:$C,C353,Başvuru!$G:$G,"Doktora Tezi",Başvuru!$A:$A,"&lt;&gt;"&amp;"",Başvuru!$F:$F,"&lt;&gt;"&amp;""))</f>
        <v/>
      </c>
      <c r="I353" s="162" t="str">
        <f>IF(C353="","",COUNTIFS(Başvuru!$C:$C,C353,Başvuru!$G:$G,"Yüksek Lisans Tezi",Başvuru!$A:$A,"&lt;&gt;"&amp;"",Başvuru!$F:$F,"&lt;&gt;"&amp;""))</f>
        <v/>
      </c>
      <c r="J353" s="163" t="str">
        <f>IF(C353="","",COUNTIFS(Başvuru!$C:$C,C353,Başvuru!$L:$L,"ONAY",Başvuru!$A:$A,"&lt;&gt;"&amp;"",Başvuru!$F:$F,"&lt;&gt;"&amp;""))</f>
        <v/>
      </c>
      <c r="K353" s="164" t="str">
        <f>IF(C353="","",COUNTIFS(Başvuru!$C:$C,C353,Başvuru!$L:$L,"DÜZELTME",Başvuru!$A:$A,"&lt;&gt;"&amp;"",Başvuru!$F:$F,"&lt;&gt;"&amp;""))</f>
        <v/>
      </c>
      <c r="L353" s="165" t="str">
        <f>IF(C353="","",COUNTIFS(Başvuru!$C:$C,C353,Başvuru!$L:$L,"KAEK",Başvuru!$A:$A,"&lt;&gt;"&amp;"",Başvuru!$F:$F,"&lt;&gt;"&amp;""))</f>
        <v/>
      </c>
      <c r="M353" s="166" t="str">
        <f>IF(C353="","",COUNTIFS(Başvuru!$C:$C,C353,Başvuru!$L:$L,"GÖRÜŞ",Başvuru!$A:$A,"&lt;&gt;"&amp;"",Başvuru!$F:$F,"&lt;&gt;"&amp;""))</f>
        <v/>
      </c>
      <c r="N353" s="167" t="str">
        <f>IF(C353="","",COUNTIFS(Başvuru!$C:$C,C353,Başvuru!$L:$L,"RET",Başvuru!$A:$A,"&lt;&gt;"&amp;"",Başvuru!$F:$F,"&lt;&gt;"&amp;""))</f>
        <v/>
      </c>
      <c r="O353" s="168" t="str">
        <f>IF(C353="","",COUNTIFS(Başvuru!$C:$C,C353,Başvuru!$L:$L,"KAPSAM DIŞI",Başvuru!$A:$A,"&lt;&gt;"&amp;"",Başvuru!$F:$F,"&lt;&gt;"&amp;""))</f>
        <v/>
      </c>
      <c r="P353" s="169" t="str">
        <f>IF(C353="","",COUNTIFS(Başvuru!$C:$C,C353,Başvuru!$L:$L,"GERİ ÇEKİLDİ",Başvuru!$A:$A,"&lt;&gt;"&amp;"",Başvuru!$F:$F,"&lt;&gt;"&amp;""))</f>
        <v/>
      </c>
      <c r="Q353" s="170" t="str">
        <f>IFERROR(INDEX(Başvuru!$C$2:$C$1851,MATCH(348,Başvuru!$AB$2:$AB$1851,0)),"")</f>
        <v/>
      </c>
      <c r="R353" s="171" t="str">
        <f>IF(Q353="","",COUNTIFS(Başvuru!$C:$C,Q353,Başvuru!$A:$A,"&lt;&gt;"&amp;"",Başvuru!$F:$F,"&lt;&gt;"&amp;""))</f>
        <v/>
      </c>
      <c r="S353" s="171" t="str">
        <f>IF(R353="","",RANK(R353,$R$6:$R$505,0)+COUNTIF($R$6:R353,R353)-1)</f>
        <v/>
      </c>
    </row>
    <row r="354" spans="2:19" ht="23.25" customHeight="1" x14ac:dyDescent="0.25">
      <c r="B354" s="159">
        <v>349</v>
      </c>
      <c r="C354" s="160" t="str">
        <f>IFERROR(INDEX($Q$6:$Q$505,MATCH(349,$S$6:$S$505,0)),"")</f>
        <v/>
      </c>
      <c r="D354" s="161" t="str">
        <f>IF(C354="","",COUNTIFS(Başvuru!$C:$C,C354,Başvuru!$A:$A,"&lt;&gt;"&amp;"",Başvuru!$F:$F,"&lt;&gt;"&amp;""))</f>
        <v/>
      </c>
      <c r="E354" s="159" t="str">
        <f>IF(C354="","-",IF(D354&gt;0,TEXT(D354/(COUNTIFS(Başvuru!$A:$A,"&lt;&gt;",Başvuru!$F:$F,"&lt;&gt;")-1)*100,"0.0")&amp;"%","-"))</f>
        <v>-</v>
      </c>
      <c r="F354" s="162" t="str">
        <f>IF(C354="","",COUNTIFS(Başvuru!$C:$C,C354,Başvuru!$G:$G,"Bireysel Araştırma",Başvuru!$A:$A,"&lt;&gt;"&amp;"",Başvuru!$F:$F,"&lt;&gt;"&amp;""))</f>
        <v/>
      </c>
      <c r="G354" s="162" t="str">
        <f>IF(C354="","",COUNTIFS(Başvuru!$C:$C,C354,Başvuru!$G:$G,"Uzmanlık Tezi",Başvuru!$A:$A,"&lt;&gt;"&amp;"",Başvuru!$F:$F,"&lt;&gt;"&amp;""))</f>
        <v/>
      </c>
      <c r="H354" s="162" t="str">
        <f>IF(C354="","",COUNTIFS(Başvuru!$C:$C,C354,Başvuru!$G:$G,"Doktora Tezi",Başvuru!$A:$A,"&lt;&gt;"&amp;"",Başvuru!$F:$F,"&lt;&gt;"&amp;""))</f>
        <v/>
      </c>
      <c r="I354" s="162" t="str">
        <f>IF(C354="","",COUNTIFS(Başvuru!$C:$C,C354,Başvuru!$G:$G,"Yüksek Lisans Tezi",Başvuru!$A:$A,"&lt;&gt;"&amp;"",Başvuru!$F:$F,"&lt;&gt;"&amp;""))</f>
        <v/>
      </c>
      <c r="J354" s="163" t="str">
        <f>IF(C354="","",COUNTIFS(Başvuru!$C:$C,C354,Başvuru!$L:$L,"ONAY",Başvuru!$A:$A,"&lt;&gt;"&amp;"",Başvuru!$F:$F,"&lt;&gt;"&amp;""))</f>
        <v/>
      </c>
      <c r="K354" s="164" t="str">
        <f>IF(C354="","",COUNTIFS(Başvuru!$C:$C,C354,Başvuru!$L:$L,"DÜZELTME",Başvuru!$A:$A,"&lt;&gt;"&amp;"",Başvuru!$F:$F,"&lt;&gt;"&amp;""))</f>
        <v/>
      </c>
      <c r="L354" s="165" t="str">
        <f>IF(C354="","",COUNTIFS(Başvuru!$C:$C,C354,Başvuru!$L:$L,"KAEK",Başvuru!$A:$A,"&lt;&gt;"&amp;"",Başvuru!$F:$F,"&lt;&gt;"&amp;""))</f>
        <v/>
      </c>
      <c r="M354" s="166" t="str">
        <f>IF(C354="","",COUNTIFS(Başvuru!$C:$C,C354,Başvuru!$L:$L,"GÖRÜŞ",Başvuru!$A:$A,"&lt;&gt;"&amp;"",Başvuru!$F:$F,"&lt;&gt;"&amp;""))</f>
        <v/>
      </c>
      <c r="N354" s="167" t="str">
        <f>IF(C354="","",COUNTIFS(Başvuru!$C:$C,C354,Başvuru!$L:$L,"RET",Başvuru!$A:$A,"&lt;&gt;"&amp;"",Başvuru!$F:$F,"&lt;&gt;"&amp;""))</f>
        <v/>
      </c>
      <c r="O354" s="168" t="str">
        <f>IF(C354="","",COUNTIFS(Başvuru!$C:$C,C354,Başvuru!$L:$L,"KAPSAM DIŞI",Başvuru!$A:$A,"&lt;&gt;"&amp;"",Başvuru!$F:$F,"&lt;&gt;"&amp;""))</f>
        <v/>
      </c>
      <c r="P354" s="169" t="str">
        <f>IF(C354="","",COUNTIFS(Başvuru!$C:$C,C354,Başvuru!$L:$L,"GERİ ÇEKİLDİ",Başvuru!$A:$A,"&lt;&gt;"&amp;"",Başvuru!$F:$F,"&lt;&gt;"&amp;""))</f>
        <v/>
      </c>
      <c r="Q354" s="170" t="str">
        <f>IFERROR(INDEX(Başvuru!$C$2:$C$1851,MATCH(349,Başvuru!$AB$2:$AB$1851,0)),"")</f>
        <v/>
      </c>
      <c r="R354" s="171" t="str">
        <f>IF(Q354="","",COUNTIFS(Başvuru!$C:$C,Q354,Başvuru!$A:$A,"&lt;&gt;"&amp;"",Başvuru!$F:$F,"&lt;&gt;"&amp;""))</f>
        <v/>
      </c>
      <c r="S354" s="171" t="str">
        <f>IF(R354="","",RANK(R354,$R$6:$R$505,0)+COUNTIF($R$6:R354,R354)-1)</f>
        <v/>
      </c>
    </row>
    <row r="355" spans="2:19" ht="23.25" customHeight="1" x14ac:dyDescent="0.25">
      <c r="B355" s="159">
        <v>350</v>
      </c>
      <c r="C355" s="160" t="str">
        <f>IFERROR(INDEX($Q$6:$Q$505,MATCH(350,$S$6:$S$505,0)),"")</f>
        <v/>
      </c>
      <c r="D355" s="161" t="str">
        <f>IF(C355="","",COUNTIFS(Başvuru!$C:$C,C355,Başvuru!$A:$A,"&lt;&gt;"&amp;"",Başvuru!$F:$F,"&lt;&gt;"&amp;""))</f>
        <v/>
      </c>
      <c r="E355" s="159" t="str">
        <f>IF(C355="","-",IF(D355&gt;0,TEXT(D355/(COUNTIFS(Başvuru!$A:$A,"&lt;&gt;",Başvuru!$F:$F,"&lt;&gt;")-1)*100,"0.0")&amp;"%","-"))</f>
        <v>-</v>
      </c>
      <c r="F355" s="162" t="str">
        <f>IF(C355="","",COUNTIFS(Başvuru!$C:$C,C355,Başvuru!$G:$G,"Bireysel Araştırma",Başvuru!$A:$A,"&lt;&gt;"&amp;"",Başvuru!$F:$F,"&lt;&gt;"&amp;""))</f>
        <v/>
      </c>
      <c r="G355" s="162" t="str">
        <f>IF(C355="","",COUNTIFS(Başvuru!$C:$C,C355,Başvuru!$G:$G,"Uzmanlık Tezi",Başvuru!$A:$A,"&lt;&gt;"&amp;"",Başvuru!$F:$F,"&lt;&gt;"&amp;""))</f>
        <v/>
      </c>
      <c r="H355" s="162" t="str">
        <f>IF(C355="","",COUNTIFS(Başvuru!$C:$C,C355,Başvuru!$G:$G,"Doktora Tezi",Başvuru!$A:$A,"&lt;&gt;"&amp;"",Başvuru!$F:$F,"&lt;&gt;"&amp;""))</f>
        <v/>
      </c>
      <c r="I355" s="162" t="str">
        <f>IF(C355="","",COUNTIFS(Başvuru!$C:$C,C355,Başvuru!$G:$G,"Yüksek Lisans Tezi",Başvuru!$A:$A,"&lt;&gt;"&amp;"",Başvuru!$F:$F,"&lt;&gt;"&amp;""))</f>
        <v/>
      </c>
      <c r="J355" s="163" t="str">
        <f>IF(C355="","",COUNTIFS(Başvuru!$C:$C,C355,Başvuru!$L:$L,"ONAY",Başvuru!$A:$A,"&lt;&gt;"&amp;"",Başvuru!$F:$F,"&lt;&gt;"&amp;""))</f>
        <v/>
      </c>
      <c r="K355" s="164" t="str">
        <f>IF(C355="","",COUNTIFS(Başvuru!$C:$C,C355,Başvuru!$L:$L,"DÜZELTME",Başvuru!$A:$A,"&lt;&gt;"&amp;"",Başvuru!$F:$F,"&lt;&gt;"&amp;""))</f>
        <v/>
      </c>
      <c r="L355" s="165" t="str">
        <f>IF(C355="","",COUNTIFS(Başvuru!$C:$C,C355,Başvuru!$L:$L,"KAEK",Başvuru!$A:$A,"&lt;&gt;"&amp;"",Başvuru!$F:$F,"&lt;&gt;"&amp;""))</f>
        <v/>
      </c>
      <c r="M355" s="166" t="str">
        <f>IF(C355="","",COUNTIFS(Başvuru!$C:$C,C355,Başvuru!$L:$L,"GÖRÜŞ",Başvuru!$A:$A,"&lt;&gt;"&amp;"",Başvuru!$F:$F,"&lt;&gt;"&amp;""))</f>
        <v/>
      </c>
      <c r="N355" s="167" t="str">
        <f>IF(C355="","",COUNTIFS(Başvuru!$C:$C,C355,Başvuru!$L:$L,"RET",Başvuru!$A:$A,"&lt;&gt;"&amp;"",Başvuru!$F:$F,"&lt;&gt;"&amp;""))</f>
        <v/>
      </c>
      <c r="O355" s="168" t="str">
        <f>IF(C355="","",COUNTIFS(Başvuru!$C:$C,C355,Başvuru!$L:$L,"KAPSAM DIŞI",Başvuru!$A:$A,"&lt;&gt;"&amp;"",Başvuru!$F:$F,"&lt;&gt;"&amp;""))</f>
        <v/>
      </c>
      <c r="P355" s="169" t="str">
        <f>IF(C355="","",COUNTIFS(Başvuru!$C:$C,C355,Başvuru!$L:$L,"GERİ ÇEKİLDİ",Başvuru!$A:$A,"&lt;&gt;"&amp;"",Başvuru!$F:$F,"&lt;&gt;"&amp;""))</f>
        <v/>
      </c>
      <c r="Q355" s="170" t="str">
        <f>IFERROR(INDEX(Başvuru!$C$2:$C$1851,MATCH(350,Başvuru!$AB$2:$AB$1851,0)),"")</f>
        <v/>
      </c>
      <c r="R355" s="171" t="str">
        <f>IF(Q355="","",COUNTIFS(Başvuru!$C:$C,Q355,Başvuru!$A:$A,"&lt;&gt;"&amp;"",Başvuru!$F:$F,"&lt;&gt;"&amp;""))</f>
        <v/>
      </c>
      <c r="S355" s="171" t="str">
        <f>IF(R355="","",RANK(R355,$R$6:$R$505,0)+COUNTIF($R$6:R355,R355)-1)</f>
        <v/>
      </c>
    </row>
    <row r="356" spans="2:19" ht="23.25" customHeight="1" x14ac:dyDescent="0.25">
      <c r="B356" s="159">
        <v>351</v>
      </c>
      <c r="C356" s="160" t="str">
        <f>IFERROR(INDEX($Q$6:$Q$505,MATCH(351,$S$6:$S$505,0)),"")</f>
        <v/>
      </c>
      <c r="D356" s="161" t="str">
        <f>IF(C356="","",COUNTIFS(Başvuru!$C:$C,C356,Başvuru!$A:$A,"&lt;&gt;"&amp;"",Başvuru!$F:$F,"&lt;&gt;"&amp;""))</f>
        <v/>
      </c>
      <c r="E356" s="159" t="str">
        <f>IF(C356="","-",IF(D356&gt;0,TEXT(D356/(COUNTIFS(Başvuru!$A:$A,"&lt;&gt;",Başvuru!$F:$F,"&lt;&gt;")-1)*100,"0.0")&amp;"%","-"))</f>
        <v>-</v>
      </c>
      <c r="F356" s="162" t="str">
        <f>IF(C356="","",COUNTIFS(Başvuru!$C:$C,C356,Başvuru!$G:$G,"Bireysel Araştırma",Başvuru!$A:$A,"&lt;&gt;"&amp;"",Başvuru!$F:$F,"&lt;&gt;"&amp;""))</f>
        <v/>
      </c>
      <c r="G356" s="162" t="str">
        <f>IF(C356="","",COUNTIFS(Başvuru!$C:$C,C356,Başvuru!$G:$G,"Uzmanlık Tezi",Başvuru!$A:$A,"&lt;&gt;"&amp;"",Başvuru!$F:$F,"&lt;&gt;"&amp;""))</f>
        <v/>
      </c>
      <c r="H356" s="162" t="str">
        <f>IF(C356="","",COUNTIFS(Başvuru!$C:$C,C356,Başvuru!$G:$G,"Doktora Tezi",Başvuru!$A:$A,"&lt;&gt;"&amp;"",Başvuru!$F:$F,"&lt;&gt;"&amp;""))</f>
        <v/>
      </c>
      <c r="I356" s="162" t="str">
        <f>IF(C356="","",COUNTIFS(Başvuru!$C:$C,C356,Başvuru!$G:$G,"Yüksek Lisans Tezi",Başvuru!$A:$A,"&lt;&gt;"&amp;"",Başvuru!$F:$F,"&lt;&gt;"&amp;""))</f>
        <v/>
      </c>
      <c r="J356" s="163" t="str">
        <f>IF(C356="","",COUNTIFS(Başvuru!$C:$C,C356,Başvuru!$L:$L,"ONAY",Başvuru!$A:$A,"&lt;&gt;"&amp;"",Başvuru!$F:$F,"&lt;&gt;"&amp;""))</f>
        <v/>
      </c>
      <c r="K356" s="164" t="str">
        <f>IF(C356="","",COUNTIFS(Başvuru!$C:$C,C356,Başvuru!$L:$L,"DÜZELTME",Başvuru!$A:$A,"&lt;&gt;"&amp;"",Başvuru!$F:$F,"&lt;&gt;"&amp;""))</f>
        <v/>
      </c>
      <c r="L356" s="165" t="str">
        <f>IF(C356="","",COUNTIFS(Başvuru!$C:$C,C356,Başvuru!$L:$L,"KAEK",Başvuru!$A:$A,"&lt;&gt;"&amp;"",Başvuru!$F:$F,"&lt;&gt;"&amp;""))</f>
        <v/>
      </c>
      <c r="M356" s="166" t="str">
        <f>IF(C356="","",COUNTIFS(Başvuru!$C:$C,C356,Başvuru!$L:$L,"GÖRÜŞ",Başvuru!$A:$A,"&lt;&gt;"&amp;"",Başvuru!$F:$F,"&lt;&gt;"&amp;""))</f>
        <v/>
      </c>
      <c r="N356" s="167" t="str">
        <f>IF(C356="","",COUNTIFS(Başvuru!$C:$C,C356,Başvuru!$L:$L,"RET",Başvuru!$A:$A,"&lt;&gt;"&amp;"",Başvuru!$F:$F,"&lt;&gt;"&amp;""))</f>
        <v/>
      </c>
      <c r="O356" s="168" t="str">
        <f>IF(C356="","",COUNTIFS(Başvuru!$C:$C,C356,Başvuru!$L:$L,"KAPSAM DIŞI",Başvuru!$A:$A,"&lt;&gt;"&amp;"",Başvuru!$F:$F,"&lt;&gt;"&amp;""))</f>
        <v/>
      </c>
      <c r="P356" s="169" t="str">
        <f>IF(C356="","",COUNTIFS(Başvuru!$C:$C,C356,Başvuru!$L:$L,"GERİ ÇEKİLDİ",Başvuru!$A:$A,"&lt;&gt;"&amp;"",Başvuru!$F:$F,"&lt;&gt;"&amp;""))</f>
        <v/>
      </c>
      <c r="Q356" s="170" t="str">
        <f>IFERROR(INDEX(Başvuru!$C$2:$C$1851,MATCH(351,Başvuru!$AB$2:$AB$1851,0)),"")</f>
        <v/>
      </c>
      <c r="R356" s="171" t="str">
        <f>IF(Q356="","",COUNTIFS(Başvuru!$C:$C,Q356,Başvuru!$A:$A,"&lt;&gt;"&amp;"",Başvuru!$F:$F,"&lt;&gt;"&amp;""))</f>
        <v/>
      </c>
      <c r="S356" s="171" t="str">
        <f>IF(R356="","",RANK(R356,$R$6:$R$505,0)+COUNTIF($R$6:R356,R356)-1)</f>
        <v/>
      </c>
    </row>
    <row r="357" spans="2:19" ht="23.25" customHeight="1" x14ac:dyDescent="0.25">
      <c r="B357" s="159">
        <v>352</v>
      </c>
      <c r="C357" s="160" t="str">
        <f>IFERROR(INDEX($Q$6:$Q$505,MATCH(352,$S$6:$S$505,0)),"")</f>
        <v/>
      </c>
      <c r="D357" s="161" t="str">
        <f>IF(C357="","",COUNTIFS(Başvuru!$C:$C,C357,Başvuru!$A:$A,"&lt;&gt;"&amp;"",Başvuru!$F:$F,"&lt;&gt;"&amp;""))</f>
        <v/>
      </c>
      <c r="E357" s="159" t="str">
        <f>IF(C357="","-",IF(D357&gt;0,TEXT(D357/(COUNTIFS(Başvuru!$A:$A,"&lt;&gt;",Başvuru!$F:$F,"&lt;&gt;")-1)*100,"0.0")&amp;"%","-"))</f>
        <v>-</v>
      </c>
      <c r="F357" s="162" t="str">
        <f>IF(C357="","",COUNTIFS(Başvuru!$C:$C,C357,Başvuru!$G:$G,"Bireysel Araştırma",Başvuru!$A:$A,"&lt;&gt;"&amp;"",Başvuru!$F:$F,"&lt;&gt;"&amp;""))</f>
        <v/>
      </c>
      <c r="G357" s="162" t="str">
        <f>IF(C357="","",COUNTIFS(Başvuru!$C:$C,C357,Başvuru!$G:$G,"Uzmanlık Tezi",Başvuru!$A:$A,"&lt;&gt;"&amp;"",Başvuru!$F:$F,"&lt;&gt;"&amp;""))</f>
        <v/>
      </c>
      <c r="H357" s="162" t="str">
        <f>IF(C357="","",COUNTIFS(Başvuru!$C:$C,C357,Başvuru!$G:$G,"Doktora Tezi",Başvuru!$A:$A,"&lt;&gt;"&amp;"",Başvuru!$F:$F,"&lt;&gt;"&amp;""))</f>
        <v/>
      </c>
      <c r="I357" s="162" t="str">
        <f>IF(C357="","",COUNTIFS(Başvuru!$C:$C,C357,Başvuru!$G:$G,"Yüksek Lisans Tezi",Başvuru!$A:$A,"&lt;&gt;"&amp;"",Başvuru!$F:$F,"&lt;&gt;"&amp;""))</f>
        <v/>
      </c>
      <c r="J357" s="163" t="str">
        <f>IF(C357="","",COUNTIFS(Başvuru!$C:$C,C357,Başvuru!$L:$L,"ONAY",Başvuru!$A:$A,"&lt;&gt;"&amp;"",Başvuru!$F:$F,"&lt;&gt;"&amp;""))</f>
        <v/>
      </c>
      <c r="K357" s="164" t="str">
        <f>IF(C357="","",COUNTIFS(Başvuru!$C:$C,C357,Başvuru!$L:$L,"DÜZELTME",Başvuru!$A:$A,"&lt;&gt;"&amp;"",Başvuru!$F:$F,"&lt;&gt;"&amp;""))</f>
        <v/>
      </c>
      <c r="L357" s="165" t="str">
        <f>IF(C357="","",COUNTIFS(Başvuru!$C:$C,C357,Başvuru!$L:$L,"KAEK",Başvuru!$A:$A,"&lt;&gt;"&amp;"",Başvuru!$F:$F,"&lt;&gt;"&amp;""))</f>
        <v/>
      </c>
      <c r="M357" s="166" t="str">
        <f>IF(C357="","",COUNTIFS(Başvuru!$C:$C,C357,Başvuru!$L:$L,"GÖRÜŞ",Başvuru!$A:$A,"&lt;&gt;"&amp;"",Başvuru!$F:$F,"&lt;&gt;"&amp;""))</f>
        <v/>
      </c>
      <c r="N357" s="167" t="str">
        <f>IF(C357="","",COUNTIFS(Başvuru!$C:$C,C357,Başvuru!$L:$L,"RET",Başvuru!$A:$A,"&lt;&gt;"&amp;"",Başvuru!$F:$F,"&lt;&gt;"&amp;""))</f>
        <v/>
      </c>
      <c r="O357" s="168" t="str">
        <f>IF(C357="","",COUNTIFS(Başvuru!$C:$C,C357,Başvuru!$L:$L,"KAPSAM DIŞI",Başvuru!$A:$A,"&lt;&gt;"&amp;"",Başvuru!$F:$F,"&lt;&gt;"&amp;""))</f>
        <v/>
      </c>
      <c r="P357" s="169" t="str">
        <f>IF(C357="","",COUNTIFS(Başvuru!$C:$C,C357,Başvuru!$L:$L,"GERİ ÇEKİLDİ",Başvuru!$A:$A,"&lt;&gt;"&amp;"",Başvuru!$F:$F,"&lt;&gt;"&amp;""))</f>
        <v/>
      </c>
      <c r="Q357" s="170" t="str">
        <f>IFERROR(INDEX(Başvuru!$C$2:$C$1851,MATCH(352,Başvuru!$AB$2:$AB$1851,0)),"")</f>
        <v/>
      </c>
      <c r="R357" s="171" t="str">
        <f>IF(Q357="","",COUNTIFS(Başvuru!$C:$C,Q357,Başvuru!$A:$A,"&lt;&gt;"&amp;"",Başvuru!$F:$F,"&lt;&gt;"&amp;""))</f>
        <v/>
      </c>
      <c r="S357" s="171" t="str">
        <f>IF(R357="","",RANK(R357,$R$6:$R$505,0)+COUNTIF($R$6:R357,R357)-1)</f>
        <v/>
      </c>
    </row>
    <row r="358" spans="2:19" ht="23.25" customHeight="1" x14ac:dyDescent="0.25">
      <c r="B358" s="159">
        <v>353</v>
      </c>
      <c r="C358" s="160" t="str">
        <f>IFERROR(INDEX($Q$6:$Q$505,MATCH(353,$S$6:$S$505,0)),"")</f>
        <v/>
      </c>
      <c r="D358" s="161" t="str">
        <f>IF(C358="","",COUNTIFS(Başvuru!$C:$C,C358,Başvuru!$A:$A,"&lt;&gt;"&amp;"",Başvuru!$F:$F,"&lt;&gt;"&amp;""))</f>
        <v/>
      </c>
      <c r="E358" s="159" t="str">
        <f>IF(C358="","-",IF(D358&gt;0,TEXT(D358/(COUNTIFS(Başvuru!$A:$A,"&lt;&gt;",Başvuru!$F:$F,"&lt;&gt;")-1)*100,"0.0")&amp;"%","-"))</f>
        <v>-</v>
      </c>
      <c r="F358" s="162" t="str">
        <f>IF(C358="","",COUNTIFS(Başvuru!$C:$C,C358,Başvuru!$G:$G,"Bireysel Araştırma",Başvuru!$A:$A,"&lt;&gt;"&amp;"",Başvuru!$F:$F,"&lt;&gt;"&amp;""))</f>
        <v/>
      </c>
      <c r="G358" s="162" t="str">
        <f>IF(C358="","",COUNTIFS(Başvuru!$C:$C,C358,Başvuru!$G:$G,"Uzmanlık Tezi",Başvuru!$A:$A,"&lt;&gt;"&amp;"",Başvuru!$F:$F,"&lt;&gt;"&amp;""))</f>
        <v/>
      </c>
      <c r="H358" s="162" t="str">
        <f>IF(C358="","",COUNTIFS(Başvuru!$C:$C,C358,Başvuru!$G:$G,"Doktora Tezi",Başvuru!$A:$A,"&lt;&gt;"&amp;"",Başvuru!$F:$F,"&lt;&gt;"&amp;""))</f>
        <v/>
      </c>
      <c r="I358" s="162" t="str">
        <f>IF(C358="","",COUNTIFS(Başvuru!$C:$C,C358,Başvuru!$G:$G,"Yüksek Lisans Tezi",Başvuru!$A:$A,"&lt;&gt;"&amp;"",Başvuru!$F:$F,"&lt;&gt;"&amp;""))</f>
        <v/>
      </c>
      <c r="J358" s="163" t="str">
        <f>IF(C358="","",COUNTIFS(Başvuru!$C:$C,C358,Başvuru!$L:$L,"ONAY",Başvuru!$A:$A,"&lt;&gt;"&amp;"",Başvuru!$F:$F,"&lt;&gt;"&amp;""))</f>
        <v/>
      </c>
      <c r="K358" s="164" t="str">
        <f>IF(C358="","",COUNTIFS(Başvuru!$C:$C,C358,Başvuru!$L:$L,"DÜZELTME",Başvuru!$A:$A,"&lt;&gt;"&amp;"",Başvuru!$F:$F,"&lt;&gt;"&amp;""))</f>
        <v/>
      </c>
      <c r="L358" s="165" t="str">
        <f>IF(C358="","",COUNTIFS(Başvuru!$C:$C,C358,Başvuru!$L:$L,"KAEK",Başvuru!$A:$A,"&lt;&gt;"&amp;"",Başvuru!$F:$F,"&lt;&gt;"&amp;""))</f>
        <v/>
      </c>
      <c r="M358" s="166" t="str">
        <f>IF(C358="","",COUNTIFS(Başvuru!$C:$C,C358,Başvuru!$L:$L,"GÖRÜŞ",Başvuru!$A:$A,"&lt;&gt;"&amp;"",Başvuru!$F:$F,"&lt;&gt;"&amp;""))</f>
        <v/>
      </c>
      <c r="N358" s="167" t="str">
        <f>IF(C358="","",COUNTIFS(Başvuru!$C:$C,C358,Başvuru!$L:$L,"RET",Başvuru!$A:$A,"&lt;&gt;"&amp;"",Başvuru!$F:$F,"&lt;&gt;"&amp;""))</f>
        <v/>
      </c>
      <c r="O358" s="168" t="str">
        <f>IF(C358="","",COUNTIFS(Başvuru!$C:$C,C358,Başvuru!$L:$L,"KAPSAM DIŞI",Başvuru!$A:$A,"&lt;&gt;"&amp;"",Başvuru!$F:$F,"&lt;&gt;"&amp;""))</f>
        <v/>
      </c>
      <c r="P358" s="169" t="str">
        <f>IF(C358="","",COUNTIFS(Başvuru!$C:$C,C358,Başvuru!$L:$L,"GERİ ÇEKİLDİ",Başvuru!$A:$A,"&lt;&gt;"&amp;"",Başvuru!$F:$F,"&lt;&gt;"&amp;""))</f>
        <v/>
      </c>
      <c r="Q358" s="170" t="str">
        <f>IFERROR(INDEX(Başvuru!$C$2:$C$1851,MATCH(353,Başvuru!$AB$2:$AB$1851,0)),"")</f>
        <v/>
      </c>
      <c r="R358" s="171" t="str">
        <f>IF(Q358="","",COUNTIFS(Başvuru!$C:$C,Q358,Başvuru!$A:$A,"&lt;&gt;"&amp;"",Başvuru!$F:$F,"&lt;&gt;"&amp;""))</f>
        <v/>
      </c>
      <c r="S358" s="171" t="str">
        <f>IF(R358="","",RANK(R358,$R$6:$R$505,0)+COUNTIF($R$6:R358,R358)-1)</f>
        <v/>
      </c>
    </row>
    <row r="359" spans="2:19" ht="23.25" customHeight="1" x14ac:dyDescent="0.25">
      <c r="B359" s="159">
        <v>354</v>
      </c>
      <c r="C359" s="160" t="str">
        <f>IFERROR(INDEX($Q$6:$Q$505,MATCH(354,$S$6:$S$505,0)),"")</f>
        <v/>
      </c>
      <c r="D359" s="161" t="str">
        <f>IF(C359="","",COUNTIFS(Başvuru!$C:$C,C359,Başvuru!$A:$A,"&lt;&gt;"&amp;"",Başvuru!$F:$F,"&lt;&gt;"&amp;""))</f>
        <v/>
      </c>
      <c r="E359" s="159" t="str">
        <f>IF(C359="","-",IF(D359&gt;0,TEXT(D359/(COUNTIFS(Başvuru!$A:$A,"&lt;&gt;",Başvuru!$F:$F,"&lt;&gt;")-1)*100,"0.0")&amp;"%","-"))</f>
        <v>-</v>
      </c>
      <c r="F359" s="162" t="str">
        <f>IF(C359="","",COUNTIFS(Başvuru!$C:$C,C359,Başvuru!$G:$G,"Bireysel Araştırma",Başvuru!$A:$A,"&lt;&gt;"&amp;"",Başvuru!$F:$F,"&lt;&gt;"&amp;""))</f>
        <v/>
      </c>
      <c r="G359" s="162" t="str">
        <f>IF(C359="","",COUNTIFS(Başvuru!$C:$C,C359,Başvuru!$G:$G,"Uzmanlık Tezi",Başvuru!$A:$A,"&lt;&gt;"&amp;"",Başvuru!$F:$F,"&lt;&gt;"&amp;""))</f>
        <v/>
      </c>
      <c r="H359" s="162" t="str">
        <f>IF(C359="","",COUNTIFS(Başvuru!$C:$C,C359,Başvuru!$G:$G,"Doktora Tezi",Başvuru!$A:$A,"&lt;&gt;"&amp;"",Başvuru!$F:$F,"&lt;&gt;"&amp;""))</f>
        <v/>
      </c>
      <c r="I359" s="162" t="str">
        <f>IF(C359="","",COUNTIFS(Başvuru!$C:$C,C359,Başvuru!$G:$G,"Yüksek Lisans Tezi",Başvuru!$A:$A,"&lt;&gt;"&amp;"",Başvuru!$F:$F,"&lt;&gt;"&amp;""))</f>
        <v/>
      </c>
      <c r="J359" s="163" t="str">
        <f>IF(C359="","",COUNTIFS(Başvuru!$C:$C,C359,Başvuru!$L:$L,"ONAY",Başvuru!$A:$A,"&lt;&gt;"&amp;"",Başvuru!$F:$F,"&lt;&gt;"&amp;""))</f>
        <v/>
      </c>
      <c r="K359" s="164" t="str">
        <f>IF(C359="","",COUNTIFS(Başvuru!$C:$C,C359,Başvuru!$L:$L,"DÜZELTME",Başvuru!$A:$A,"&lt;&gt;"&amp;"",Başvuru!$F:$F,"&lt;&gt;"&amp;""))</f>
        <v/>
      </c>
      <c r="L359" s="165" t="str">
        <f>IF(C359="","",COUNTIFS(Başvuru!$C:$C,C359,Başvuru!$L:$L,"KAEK",Başvuru!$A:$A,"&lt;&gt;"&amp;"",Başvuru!$F:$F,"&lt;&gt;"&amp;""))</f>
        <v/>
      </c>
      <c r="M359" s="166" t="str">
        <f>IF(C359="","",COUNTIFS(Başvuru!$C:$C,C359,Başvuru!$L:$L,"GÖRÜŞ",Başvuru!$A:$A,"&lt;&gt;"&amp;"",Başvuru!$F:$F,"&lt;&gt;"&amp;""))</f>
        <v/>
      </c>
      <c r="N359" s="167" t="str">
        <f>IF(C359="","",COUNTIFS(Başvuru!$C:$C,C359,Başvuru!$L:$L,"RET",Başvuru!$A:$A,"&lt;&gt;"&amp;"",Başvuru!$F:$F,"&lt;&gt;"&amp;""))</f>
        <v/>
      </c>
      <c r="O359" s="168" t="str">
        <f>IF(C359="","",COUNTIFS(Başvuru!$C:$C,C359,Başvuru!$L:$L,"KAPSAM DIŞI",Başvuru!$A:$A,"&lt;&gt;"&amp;"",Başvuru!$F:$F,"&lt;&gt;"&amp;""))</f>
        <v/>
      </c>
      <c r="P359" s="169" t="str">
        <f>IF(C359="","",COUNTIFS(Başvuru!$C:$C,C359,Başvuru!$L:$L,"GERİ ÇEKİLDİ",Başvuru!$A:$A,"&lt;&gt;"&amp;"",Başvuru!$F:$F,"&lt;&gt;"&amp;""))</f>
        <v/>
      </c>
      <c r="Q359" s="170" t="str">
        <f>IFERROR(INDEX(Başvuru!$C$2:$C$1851,MATCH(354,Başvuru!$AB$2:$AB$1851,0)),"")</f>
        <v/>
      </c>
      <c r="R359" s="171" t="str">
        <f>IF(Q359="","",COUNTIFS(Başvuru!$C:$C,Q359,Başvuru!$A:$A,"&lt;&gt;"&amp;"",Başvuru!$F:$F,"&lt;&gt;"&amp;""))</f>
        <v/>
      </c>
      <c r="S359" s="171" t="str">
        <f>IF(R359="","",RANK(R359,$R$6:$R$505,0)+COUNTIF($R$6:R359,R359)-1)</f>
        <v/>
      </c>
    </row>
    <row r="360" spans="2:19" ht="23.25" customHeight="1" x14ac:dyDescent="0.25">
      <c r="B360" s="159">
        <v>355</v>
      </c>
      <c r="C360" s="160" t="str">
        <f>IFERROR(INDEX($Q$6:$Q$505,MATCH(355,$S$6:$S$505,0)),"")</f>
        <v/>
      </c>
      <c r="D360" s="161" t="str">
        <f>IF(C360="","",COUNTIFS(Başvuru!$C:$C,C360,Başvuru!$A:$A,"&lt;&gt;"&amp;"",Başvuru!$F:$F,"&lt;&gt;"&amp;""))</f>
        <v/>
      </c>
      <c r="E360" s="159" t="str">
        <f>IF(C360="","-",IF(D360&gt;0,TEXT(D360/(COUNTIFS(Başvuru!$A:$A,"&lt;&gt;",Başvuru!$F:$F,"&lt;&gt;")-1)*100,"0.0")&amp;"%","-"))</f>
        <v>-</v>
      </c>
      <c r="F360" s="162" t="str">
        <f>IF(C360="","",COUNTIFS(Başvuru!$C:$C,C360,Başvuru!$G:$G,"Bireysel Araştırma",Başvuru!$A:$A,"&lt;&gt;"&amp;"",Başvuru!$F:$F,"&lt;&gt;"&amp;""))</f>
        <v/>
      </c>
      <c r="G360" s="162" t="str">
        <f>IF(C360="","",COUNTIFS(Başvuru!$C:$C,C360,Başvuru!$G:$G,"Uzmanlık Tezi",Başvuru!$A:$A,"&lt;&gt;"&amp;"",Başvuru!$F:$F,"&lt;&gt;"&amp;""))</f>
        <v/>
      </c>
      <c r="H360" s="162" t="str">
        <f>IF(C360="","",COUNTIFS(Başvuru!$C:$C,C360,Başvuru!$G:$G,"Doktora Tezi",Başvuru!$A:$A,"&lt;&gt;"&amp;"",Başvuru!$F:$F,"&lt;&gt;"&amp;""))</f>
        <v/>
      </c>
      <c r="I360" s="162" t="str">
        <f>IF(C360="","",COUNTIFS(Başvuru!$C:$C,C360,Başvuru!$G:$G,"Yüksek Lisans Tezi",Başvuru!$A:$A,"&lt;&gt;"&amp;"",Başvuru!$F:$F,"&lt;&gt;"&amp;""))</f>
        <v/>
      </c>
      <c r="J360" s="163" t="str">
        <f>IF(C360="","",COUNTIFS(Başvuru!$C:$C,C360,Başvuru!$L:$L,"ONAY",Başvuru!$A:$A,"&lt;&gt;"&amp;"",Başvuru!$F:$F,"&lt;&gt;"&amp;""))</f>
        <v/>
      </c>
      <c r="K360" s="164" t="str">
        <f>IF(C360="","",COUNTIFS(Başvuru!$C:$C,C360,Başvuru!$L:$L,"DÜZELTME",Başvuru!$A:$A,"&lt;&gt;"&amp;"",Başvuru!$F:$F,"&lt;&gt;"&amp;""))</f>
        <v/>
      </c>
      <c r="L360" s="165" t="str">
        <f>IF(C360="","",COUNTIFS(Başvuru!$C:$C,C360,Başvuru!$L:$L,"KAEK",Başvuru!$A:$A,"&lt;&gt;"&amp;"",Başvuru!$F:$F,"&lt;&gt;"&amp;""))</f>
        <v/>
      </c>
      <c r="M360" s="166" t="str">
        <f>IF(C360="","",COUNTIFS(Başvuru!$C:$C,C360,Başvuru!$L:$L,"GÖRÜŞ",Başvuru!$A:$A,"&lt;&gt;"&amp;"",Başvuru!$F:$F,"&lt;&gt;"&amp;""))</f>
        <v/>
      </c>
      <c r="N360" s="167" t="str">
        <f>IF(C360="","",COUNTIFS(Başvuru!$C:$C,C360,Başvuru!$L:$L,"RET",Başvuru!$A:$A,"&lt;&gt;"&amp;"",Başvuru!$F:$F,"&lt;&gt;"&amp;""))</f>
        <v/>
      </c>
      <c r="O360" s="168" t="str">
        <f>IF(C360="","",COUNTIFS(Başvuru!$C:$C,C360,Başvuru!$L:$L,"KAPSAM DIŞI",Başvuru!$A:$A,"&lt;&gt;"&amp;"",Başvuru!$F:$F,"&lt;&gt;"&amp;""))</f>
        <v/>
      </c>
      <c r="P360" s="169" t="str">
        <f>IF(C360="","",COUNTIFS(Başvuru!$C:$C,C360,Başvuru!$L:$L,"GERİ ÇEKİLDİ",Başvuru!$A:$A,"&lt;&gt;"&amp;"",Başvuru!$F:$F,"&lt;&gt;"&amp;""))</f>
        <v/>
      </c>
      <c r="Q360" s="170" t="str">
        <f>IFERROR(INDEX(Başvuru!$C$2:$C$1851,MATCH(355,Başvuru!$AB$2:$AB$1851,0)),"")</f>
        <v/>
      </c>
      <c r="R360" s="171" t="str">
        <f>IF(Q360="","",COUNTIFS(Başvuru!$C:$C,Q360,Başvuru!$A:$A,"&lt;&gt;"&amp;"",Başvuru!$F:$F,"&lt;&gt;"&amp;""))</f>
        <v/>
      </c>
      <c r="S360" s="171" t="str">
        <f>IF(R360="","",RANK(R360,$R$6:$R$505,0)+COUNTIF($R$6:R360,R360)-1)</f>
        <v/>
      </c>
    </row>
    <row r="361" spans="2:19" ht="23.25" customHeight="1" x14ac:dyDescent="0.25">
      <c r="B361" s="159">
        <v>356</v>
      </c>
      <c r="C361" s="160" t="str">
        <f>IFERROR(INDEX($Q$6:$Q$505,MATCH(356,$S$6:$S$505,0)),"")</f>
        <v/>
      </c>
      <c r="D361" s="161" t="str">
        <f>IF(C361="","",COUNTIFS(Başvuru!$C:$C,C361,Başvuru!$A:$A,"&lt;&gt;"&amp;"",Başvuru!$F:$F,"&lt;&gt;"&amp;""))</f>
        <v/>
      </c>
      <c r="E361" s="159" t="str">
        <f>IF(C361="","-",IF(D361&gt;0,TEXT(D361/(COUNTIFS(Başvuru!$A:$A,"&lt;&gt;",Başvuru!$F:$F,"&lt;&gt;")-1)*100,"0.0")&amp;"%","-"))</f>
        <v>-</v>
      </c>
      <c r="F361" s="162" t="str">
        <f>IF(C361="","",COUNTIFS(Başvuru!$C:$C,C361,Başvuru!$G:$G,"Bireysel Araştırma",Başvuru!$A:$A,"&lt;&gt;"&amp;"",Başvuru!$F:$F,"&lt;&gt;"&amp;""))</f>
        <v/>
      </c>
      <c r="G361" s="162" t="str">
        <f>IF(C361="","",COUNTIFS(Başvuru!$C:$C,C361,Başvuru!$G:$G,"Uzmanlık Tezi",Başvuru!$A:$A,"&lt;&gt;"&amp;"",Başvuru!$F:$F,"&lt;&gt;"&amp;""))</f>
        <v/>
      </c>
      <c r="H361" s="162" t="str">
        <f>IF(C361="","",COUNTIFS(Başvuru!$C:$C,C361,Başvuru!$G:$G,"Doktora Tezi",Başvuru!$A:$A,"&lt;&gt;"&amp;"",Başvuru!$F:$F,"&lt;&gt;"&amp;""))</f>
        <v/>
      </c>
      <c r="I361" s="162" t="str">
        <f>IF(C361="","",COUNTIFS(Başvuru!$C:$C,C361,Başvuru!$G:$G,"Yüksek Lisans Tezi",Başvuru!$A:$A,"&lt;&gt;"&amp;"",Başvuru!$F:$F,"&lt;&gt;"&amp;""))</f>
        <v/>
      </c>
      <c r="J361" s="163" t="str">
        <f>IF(C361="","",COUNTIFS(Başvuru!$C:$C,C361,Başvuru!$L:$L,"ONAY",Başvuru!$A:$A,"&lt;&gt;"&amp;"",Başvuru!$F:$F,"&lt;&gt;"&amp;""))</f>
        <v/>
      </c>
      <c r="K361" s="164" t="str">
        <f>IF(C361="","",COUNTIFS(Başvuru!$C:$C,C361,Başvuru!$L:$L,"DÜZELTME",Başvuru!$A:$A,"&lt;&gt;"&amp;"",Başvuru!$F:$F,"&lt;&gt;"&amp;""))</f>
        <v/>
      </c>
      <c r="L361" s="165" t="str">
        <f>IF(C361="","",COUNTIFS(Başvuru!$C:$C,C361,Başvuru!$L:$L,"KAEK",Başvuru!$A:$A,"&lt;&gt;"&amp;"",Başvuru!$F:$F,"&lt;&gt;"&amp;""))</f>
        <v/>
      </c>
      <c r="M361" s="166" t="str">
        <f>IF(C361="","",COUNTIFS(Başvuru!$C:$C,C361,Başvuru!$L:$L,"GÖRÜŞ",Başvuru!$A:$A,"&lt;&gt;"&amp;"",Başvuru!$F:$F,"&lt;&gt;"&amp;""))</f>
        <v/>
      </c>
      <c r="N361" s="167" t="str">
        <f>IF(C361="","",COUNTIFS(Başvuru!$C:$C,C361,Başvuru!$L:$L,"RET",Başvuru!$A:$A,"&lt;&gt;"&amp;"",Başvuru!$F:$F,"&lt;&gt;"&amp;""))</f>
        <v/>
      </c>
      <c r="O361" s="168" t="str">
        <f>IF(C361="","",COUNTIFS(Başvuru!$C:$C,C361,Başvuru!$L:$L,"KAPSAM DIŞI",Başvuru!$A:$A,"&lt;&gt;"&amp;"",Başvuru!$F:$F,"&lt;&gt;"&amp;""))</f>
        <v/>
      </c>
      <c r="P361" s="169" t="str">
        <f>IF(C361="","",COUNTIFS(Başvuru!$C:$C,C361,Başvuru!$L:$L,"GERİ ÇEKİLDİ",Başvuru!$A:$A,"&lt;&gt;"&amp;"",Başvuru!$F:$F,"&lt;&gt;"&amp;""))</f>
        <v/>
      </c>
      <c r="Q361" s="170" t="str">
        <f>IFERROR(INDEX(Başvuru!$C$2:$C$1851,MATCH(356,Başvuru!$AB$2:$AB$1851,0)),"")</f>
        <v/>
      </c>
      <c r="R361" s="171" t="str">
        <f>IF(Q361="","",COUNTIFS(Başvuru!$C:$C,Q361,Başvuru!$A:$A,"&lt;&gt;"&amp;"",Başvuru!$F:$F,"&lt;&gt;"&amp;""))</f>
        <v/>
      </c>
      <c r="S361" s="171" t="str">
        <f>IF(R361="","",RANK(R361,$R$6:$R$505,0)+COUNTIF($R$6:R361,R361)-1)</f>
        <v/>
      </c>
    </row>
    <row r="362" spans="2:19" ht="23.25" customHeight="1" x14ac:dyDescent="0.25">
      <c r="B362" s="159">
        <v>357</v>
      </c>
      <c r="C362" s="160" t="str">
        <f>IFERROR(INDEX($Q$6:$Q$505,MATCH(357,$S$6:$S$505,0)),"")</f>
        <v/>
      </c>
      <c r="D362" s="161" t="str">
        <f>IF(C362="","",COUNTIFS(Başvuru!$C:$C,C362,Başvuru!$A:$A,"&lt;&gt;"&amp;"",Başvuru!$F:$F,"&lt;&gt;"&amp;""))</f>
        <v/>
      </c>
      <c r="E362" s="159" t="str">
        <f>IF(C362="","-",IF(D362&gt;0,TEXT(D362/(COUNTIFS(Başvuru!$A:$A,"&lt;&gt;",Başvuru!$F:$F,"&lt;&gt;")-1)*100,"0.0")&amp;"%","-"))</f>
        <v>-</v>
      </c>
      <c r="F362" s="162" t="str">
        <f>IF(C362="","",COUNTIFS(Başvuru!$C:$C,C362,Başvuru!$G:$G,"Bireysel Araştırma",Başvuru!$A:$A,"&lt;&gt;"&amp;"",Başvuru!$F:$F,"&lt;&gt;"&amp;""))</f>
        <v/>
      </c>
      <c r="G362" s="162" t="str">
        <f>IF(C362="","",COUNTIFS(Başvuru!$C:$C,C362,Başvuru!$G:$G,"Uzmanlık Tezi",Başvuru!$A:$A,"&lt;&gt;"&amp;"",Başvuru!$F:$F,"&lt;&gt;"&amp;""))</f>
        <v/>
      </c>
      <c r="H362" s="162" t="str">
        <f>IF(C362="","",COUNTIFS(Başvuru!$C:$C,C362,Başvuru!$G:$G,"Doktora Tezi",Başvuru!$A:$A,"&lt;&gt;"&amp;"",Başvuru!$F:$F,"&lt;&gt;"&amp;""))</f>
        <v/>
      </c>
      <c r="I362" s="162" t="str">
        <f>IF(C362="","",COUNTIFS(Başvuru!$C:$C,C362,Başvuru!$G:$G,"Yüksek Lisans Tezi",Başvuru!$A:$A,"&lt;&gt;"&amp;"",Başvuru!$F:$F,"&lt;&gt;"&amp;""))</f>
        <v/>
      </c>
      <c r="J362" s="163" t="str">
        <f>IF(C362="","",COUNTIFS(Başvuru!$C:$C,C362,Başvuru!$L:$L,"ONAY",Başvuru!$A:$A,"&lt;&gt;"&amp;"",Başvuru!$F:$F,"&lt;&gt;"&amp;""))</f>
        <v/>
      </c>
      <c r="K362" s="164" t="str">
        <f>IF(C362="","",COUNTIFS(Başvuru!$C:$C,C362,Başvuru!$L:$L,"DÜZELTME",Başvuru!$A:$A,"&lt;&gt;"&amp;"",Başvuru!$F:$F,"&lt;&gt;"&amp;""))</f>
        <v/>
      </c>
      <c r="L362" s="165" t="str">
        <f>IF(C362="","",COUNTIFS(Başvuru!$C:$C,C362,Başvuru!$L:$L,"KAEK",Başvuru!$A:$A,"&lt;&gt;"&amp;"",Başvuru!$F:$F,"&lt;&gt;"&amp;""))</f>
        <v/>
      </c>
      <c r="M362" s="166" t="str">
        <f>IF(C362="","",COUNTIFS(Başvuru!$C:$C,C362,Başvuru!$L:$L,"GÖRÜŞ",Başvuru!$A:$A,"&lt;&gt;"&amp;"",Başvuru!$F:$F,"&lt;&gt;"&amp;""))</f>
        <v/>
      </c>
      <c r="N362" s="167" t="str">
        <f>IF(C362="","",COUNTIFS(Başvuru!$C:$C,C362,Başvuru!$L:$L,"RET",Başvuru!$A:$A,"&lt;&gt;"&amp;"",Başvuru!$F:$F,"&lt;&gt;"&amp;""))</f>
        <v/>
      </c>
      <c r="O362" s="168" t="str">
        <f>IF(C362="","",COUNTIFS(Başvuru!$C:$C,C362,Başvuru!$L:$L,"KAPSAM DIŞI",Başvuru!$A:$A,"&lt;&gt;"&amp;"",Başvuru!$F:$F,"&lt;&gt;"&amp;""))</f>
        <v/>
      </c>
      <c r="P362" s="169" t="str">
        <f>IF(C362="","",COUNTIFS(Başvuru!$C:$C,C362,Başvuru!$L:$L,"GERİ ÇEKİLDİ",Başvuru!$A:$A,"&lt;&gt;"&amp;"",Başvuru!$F:$F,"&lt;&gt;"&amp;""))</f>
        <v/>
      </c>
      <c r="Q362" s="170" t="str">
        <f>IFERROR(INDEX(Başvuru!$C$2:$C$1851,MATCH(357,Başvuru!$AB$2:$AB$1851,0)),"")</f>
        <v/>
      </c>
      <c r="R362" s="171" t="str">
        <f>IF(Q362="","",COUNTIFS(Başvuru!$C:$C,Q362,Başvuru!$A:$A,"&lt;&gt;"&amp;"",Başvuru!$F:$F,"&lt;&gt;"&amp;""))</f>
        <v/>
      </c>
      <c r="S362" s="171" t="str">
        <f>IF(R362="","",RANK(R362,$R$6:$R$505,0)+COUNTIF($R$6:R362,R362)-1)</f>
        <v/>
      </c>
    </row>
    <row r="363" spans="2:19" ht="23.25" customHeight="1" x14ac:dyDescent="0.25">
      <c r="B363" s="159">
        <v>358</v>
      </c>
      <c r="C363" s="160" t="str">
        <f>IFERROR(INDEX($Q$6:$Q$505,MATCH(358,$S$6:$S$505,0)),"")</f>
        <v/>
      </c>
      <c r="D363" s="161" t="str">
        <f>IF(C363="","",COUNTIFS(Başvuru!$C:$C,C363,Başvuru!$A:$A,"&lt;&gt;"&amp;"",Başvuru!$F:$F,"&lt;&gt;"&amp;""))</f>
        <v/>
      </c>
      <c r="E363" s="159" t="str">
        <f>IF(C363="","-",IF(D363&gt;0,TEXT(D363/(COUNTIFS(Başvuru!$A:$A,"&lt;&gt;",Başvuru!$F:$F,"&lt;&gt;")-1)*100,"0.0")&amp;"%","-"))</f>
        <v>-</v>
      </c>
      <c r="F363" s="162" t="str">
        <f>IF(C363="","",COUNTIFS(Başvuru!$C:$C,C363,Başvuru!$G:$G,"Bireysel Araştırma",Başvuru!$A:$A,"&lt;&gt;"&amp;"",Başvuru!$F:$F,"&lt;&gt;"&amp;""))</f>
        <v/>
      </c>
      <c r="G363" s="162" t="str">
        <f>IF(C363="","",COUNTIFS(Başvuru!$C:$C,C363,Başvuru!$G:$G,"Uzmanlık Tezi",Başvuru!$A:$A,"&lt;&gt;"&amp;"",Başvuru!$F:$F,"&lt;&gt;"&amp;""))</f>
        <v/>
      </c>
      <c r="H363" s="162" t="str">
        <f>IF(C363="","",COUNTIFS(Başvuru!$C:$C,C363,Başvuru!$G:$G,"Doktora Tezi",Başvuru!$A:$A,"&lt;&gt;"&amp;"",Başvuru!$F:$F,"&lt;&gt;"&amp;""))</f>
        <v/>
      </c>
      <c r="I363" s="162" t="str">
        <f>IF(C363="","",COUNTIFS(Başvuru!$C:$C,C363,Başvuru!$G:$G,"Yüksek Lisans Tezi",Başvuru!$A:$A,"&lt;&gt;"&amp;"",Başvuru!$F:$F,"&lt;&gt;"&amp;""))</f>
        <v/>
      </c>
      <c r="J363" s="163" t="str">
        <f>IF(C363="","",COUNTIFS(Başvuru!$C:$C,C363,Başvuru!$L:$L,"ONAY",Başvuru!$A:$A,"&lt;&gt;"&amp;"",Başvuru!$F:$F,"&lt;&gt;"&amp;""))</f>
        <v/>
      </c>
      <c r="K363" s="164" t="str">
        <f>IF(C363="","",COUNTIFS(Başvuru!$C:$C,C363,Başvuru!$L:$L,"DÜZELTME",Başvuru!$A:$A,"&lt;&gt;"&amp;"",Başvuru!$F:$F,"&lt;&gt;"&amp;""))</f>
        <v/>
      </c>
      <c r="L363" s="165" t="str">
        <f>IF(C363="","",COUNTIFS(Başvuru!$C:$C,C363,Başvuru!$L:$L,"KAEK",Başvuru!$A:$A,"&lt;&gt;"&amp;"",Başvuru!$F:$F,"&lt;&gt;"&amp;""))</f>
        <v/>
      </c>
      <c r="M363" s="166" t="str">
        <f>IF(C363="","",COUNTIFS(Başvuru!$C:$C,C363,Başvuru!$L:$L,"GÖRÜŞ",Başvuru!$A:$A,"&lt;&gt;"&amp;"",Başvuru!$F:$F,"&lt;&gt;"&amp;""))</f>
        <v/>
      </c>
      <c r="N363" s="167" t="str">
        <f>IF(C363="","",COUNTIFS(Başvuru!$C:$C,C363,Başvuru!$L:$L,"RET",Başvuru!$A:$A,"&lt;&gt;"&amp;"",Başvuru!$F:$F,"&lt;&gt;"&amp;""))</f>
        <v/>
      </c>
      <c r="O363" s="168" t="str">
        <f>IF(C363="","",COUNTIFS(Başvuru!$C:$C,C363,Başvuru!$L:$L,"KAPSAM DIŞI",Başvuru!$A:$A,"&lt;&gt;"&amp;"",Başvuru!$F:$F,"&lt;&gt;"&amp;""))</f>
        <v/>
      </c>
      <c r="P363" s="169" t="str">
        <f>IF(C363="","",COUNTIFS(Başvuru!$C:$C,C363,Başvuru!$L:$L,"GERİ ÇEKİLDİ",Başvuru!$A:$A,"&lt;&gt;"&amp;"",Başvuru!$F:$F,"&lt;&gt;"&amp;""))</f>
        <v/>
      </c>
      <c r="Q363" s="170" t="str">
        <f>IFERROR(INDEX(Başvuru!$C$2:$C$1851,MATCH(358,Başvuru!$AB$2:$AB$1851,0)),"")</f>
        <v/>
      </c>
      <c r="R363" s="171" t="str">
        <f>IF(Q363="","",COUNTIFS(Başvuru!$C:$C,Q363,Başvuru!$A:$A,"&lt;&gt;"&amp;"",Başvuru!$F:$F,"&lt;&gt;"&amp;""))</f>
        <v/>
      </c>
      <c r="S363" s="171" t="str">
        <f>IF(R363="","",RANK(R363,$R$6:$R$505,0)+COUNTIF($R$6:R363,R363)-1)</f>
        <v/>
      </c>
    </row>
    <row r="364" spans="2:19" ht="23.25" customHeight="1" x14ac:dyDescent="0.25">
      <c r="B364" s="159">
        <v>359</v>
      </c>
      <c r="C364" s="160" t="str">
        <f>IFERROR(INDEX($Q$6:$Q$505,MATCH(359,$S$6:$S$505,0)),"")</f>
        <v/>
      </c>
      <c r="D364" s="161" t="str">
        <f>IF(C364="","",COUNTIFS(Başvuru!$C:$C,C364,Başvuru!$A:$A,"&lt;&gt;"&amp;"",Başvuru!$F:$F,"&lt;&gt;"&amp;""))</f>
        <v/>
      </c>
      <c r="E364" s="159" t="str">
        <f>IF(C364="","-",IF(D364&gt;0,TEXT(D364/(COUNTIFS(Başvuru!$A:$A,"&lt;&gt;",Başvuru!$F:$F,"&lt;&gt;")-1)*100,"0.0")&amp;"%","-"))</f>
        <v>-</v>
      </c>
      <c r="F364" s="162" t="str">
        <f>IF(C364="","",COUNTIFS(Başvuru!$C:$C,C364,Başvuru!$G:$G,"Bireysel Araştırma",Başvuru!$A:$A,"&lt;&gt;"&amp;"",Başvuru!$F:$F,"&lt;&gt;"&amp;""))</f>
        <v/>
      </c>
      <c r="G364" s="162" t="str">
        <f>IF(C364="","",COUNTIFS(Başvuru!$C:$C,C364,Başvuru!$G:$G,"Uzmanlık Tezi",Başvuru!$A:$A,"&lt;&gt;"&amp;"",Başvuru!$F:$F,"&lt;&gt;"&amp;""))</f>
        <v/>
      </c>
      <c r="H364" s="162" t="str">
        <f>IF(C364="","",COUNTIFS(Başvuru!$C:$C,C364,Başvuru!$G:$G,"Doktora Tezi",Başvuru!$A:$A,"&lt;&gt;"&amp;"",Başvuru!$F:$F,"&lt;&gt;"&amp;""))</f>
        <v/>
      </c>
      <c r="I364" s="162" t="str">
        <f>IF(C364="","",COUNTIFS(Başvuru!$C:$C,C364,Başvuru!$G:$G,"Yüksek Lisans Tezi",Başvuru!$A:$A,"&lt;&gt;"&amp;"",Başvuru!$F:$F,"&lt;&gt;"&amp;""))</f>
        <v/>
      </c>
      <c r="J364" s="163" t="str">
        <f>IF(C364="","",COUNTIFS(Başvuru!$C:$C,C364,Başvuru!$L:$L,"ONAY",Başvuru!$A:$A,"&lt;&gt;"&amp;"",Başvuru!$F:$F,"&lt;&gt;"&amp;""))</f>
        <v/>
      </c>
      <c r="K364" s="164" t="str">
        <f>IF(C364="","",COUNTIFS(Başvuru!$C:$C,C364,Başvuru!$L:$L,"DÜZELTME",Başvuru!$A:$A,"&lt;&gt;"&amp;"",Başvuru!$F:$F,"&lt;&gt;"&amp;""))</f>
        <v/>
      </c>
      <c r="L364" s="165" t="str">
        <f>IF(C364="","",COUNTIFS(Başvuru!$C:$C,C364,Başvuru!$L:$L,"KAEK",Başvuru!$A:$A,"&lt;&gt;"&amp;"",Başvuru!$F:$F,"&lt;&gt;"&amp;""))</f>
        <v/>
      </c>
      <c r="M364" s="166" t="str">
        <f>IF(C364="","",COUNTIFS(Başvuru!$C:$C,C364,Başvuru!$L:$L,"GÖRÜŞ",Başvuru!$A:$A,"&lt;&gt;"&amp;"",Başvuru!$F:$F,"&lt;&gt;"&amp;""))</f>
        <v/>
      </c>
      <c r="N364" s="167" t="str">
        <f>IF(C364="","",COUNTIFS(Başvuru!$C:$C,C364,Başvuru!$L:$L,"RET",Başvuru!$A:$A,"&lt;&gt;"&amp;"",Başvuru!$F:$F,"&lt;&gt;"&amp;""))</f>
        <v/>
      </c>
      <c r="O364" s="168" t="str">
        <f>IF(C364="","",COUNTIFS(Başvuru!$C:$C,C364,Başvuru!$L:$L,"KAPSAM DIŞI",Başvuru!$A:$A,"&lt;&gt;"&amp;"",Başvuru!$F:$F,"&lt;&gt;"&amp;""))</f>
        <v/>
      </c>
      <c r="P364" s="169" t="str">
        <f>IF(C364="","",COUNTIFS(Başvuru!$C:$C,C364,Başvuru!$L:$L,"GERİ ÇEKİLDİ",Başvuru!$A:$A,"&lt;&gt;"&amp;"",Başvuru!$F:$F,"&lt;&gt;"&amp;""))</f>
        <v/>
      </c>
      <c r="Q364" s="170" t="str">
        <f>IFERROR(INDEX(Başvuru!$C$2:$C$1851,MATCH(359,Başvuru!$AB$2:$AB$1851,0)),"")</f>
        <v/>
      </c>
      <c r="R364" s="171" t="str">
        <f>IF(Q364="","",COUNTIFS(Başvuru!$C:$C,Q364,Başvuru!$A:$A,"&lt;&gt;"&amp;"",Başvuru!$F:$F,"&lt;&gt;"&amp;""))</f>
        <v/>
      </c>
      <c r="S364" s="171" t="str">
        <f>IF(R364="","",RANK(R364,$R$6:$R$505,0)+COUNTIF($R$6:R364,R364)-1)</f>
        <v/>
      </c>
    </row>
    <row r="365" spans="2:19" ht="23.25" customHeight="1" x14ac:dyDescent="0.25">
      <c r="B365" s="159">
        <v>360</v>
      </c>
      <c r="C365" s="160" t="str">
        <f>IFERROR(INDEX($Q$6:$Q$505,MATCH(360,$S$6:$S$505,0)),"")</f>
        <v/>
      </c>
      <c r="D365" s="161" t="str">
        <f>IF(C365="","",COUNTIFS(Başvuru!$C:$C,C365,Başvuru!$A:$A,"&lt;&gt;"&amp;"",Başvuru!$F:$F,"&lt;&gt;"&amp;""))</f>
        <v/>
      </c>
      <c r="E365" s="159" t="str">
        <f>IF(C365="","-",IF(D365&gt;0,TEXT(D365/(COUNTIFS(Başvuru!$A:$A,"&lt;&gt;",Başvuru!$F:$F,"&lt;&gt;")-1)*100,"0.0")&amp;"%","-"))</f>
        <v>-</v>
      </c>
      <c r="F365" s="162" t="str">
        <f>IF(C365="","",COUNTIFS(Başvuru!$C:$C,C365,Başvuru!$G:$G,"Bireysel Araştırma",Başvuru!$A:$A,"&lt;&gt;"&amp;"",Başvuru!$F:$F,"&lt;&gt;"&amp;""))</f>
        <v/>
      </c>
      <c r="G365" s="162" t="str">
        <f>IF(C365="","",COUNTIFS(Başvuru!$C:$C,C365,Başvuru!$G:$G,"Uzmanlık Tezi",Başvuru!$A:$A,"&lt;&gt;"&amp;"",Başvuru!$F:$F,"&lt;&gt;"&amp;""))</f>
        <v/>
      </c>
      <c r="H365" s="162" t="str">
        <f>IF(C365="","",COUNTIFS(Başvuru!$C:$C,C365,Başvuru!$G:$G,"Doktora Tezi",Başvuru!$A:$A,"&lt;&gt;"&amp;"",Başvuru!$F:$F,"&lt;&gt;"&amp;""))</f>
        <v/>
      </c>
      <c r="I365" s="162" t="str">
        <f>IF(C365="","",COUNTIFS(Başvuru!$C:$C,C365,Başvuru!$G:$G,"Yüksek Lisans Tezi",Başvuru!$A:$A,"&lt;&gt;"&amp;"",Başvuru!$F:$F,"&lt;&gt;"&amp;""))</f>
        <v/>
      </c>
      <c r="J365" s="163" t="str">
        <f>IF(C365="","",COUNTIFS(Başvuru!$C:$C,C365,Başvuru!$L:$L,"ONAY",Başvuru!$A:$A,"&lt;&gt;"&amp;"",Başvuru!$F:$F,"&lt;&gt;"&amp;""))</f>
        <v/>
      </c>
      <c r="K365" s="164" t="str">
        <f>IF(C365="","",COUNTIFS(Başvuru!$C:$C,C365,Başvuru!$L:$L,"DÜZELTME",Başvuru!$A:$A,"&lt;&gt;"&amp;"",Başvuru!$F:$F,"&lt;&gt;"&amp;""))</f>
        <v/>
      </c>
      <c r="L365" s="165" t="str">
        <f>IF(C365="","",COUNTIFS(Başvuru!$C:$C,C365,Başvuru!$L:$L,"KAEK",Başvuru!$A:$A,"&lt;&gt;"&amp;"",Başvuru!$F:$F,"&lt;&gt;"&amp;""))</f>
        <v/>
      </c>
      <c r="M365" s="166" t="str">
        <f>IF(C365="","",COUNTIFS(Başvuru!$C:$C,C365,Başvuru!$L:$L,"GÖRÜŞ",Başvuru!$A:$A,"&lt;&gt;"&amp;"",Başvuru!$F:$F,"&lt;&gt;"&amp;""))</f>
        <v/>
      </c>
      <c r="N365" s="167" t="str">
        <f>IF(C365="","",COUNTIFS(Başvuru!$C:$C,C365,Başvuru!$L:$L,"RET",Başvuru!$A:$A,"&lt;&gt;"&amp;"",Başvuru!$F:$F,"&lt;&gt;"&amp;""))</f>
        <v/>
      </c>
      <c r="O365" s="168" t="str">
        <f>IF(C365="","",COUNTIFS(Başvuru!$C:$C,C365,Başvuru!$L:$L,"KAPSAM DIŞI",Başvuru!$A:$A,"&lt;&gt;"&amp;"",Başvuru!$F:$F,"&lt;&gt;"&amp;""))</f>
        <v/>
      </c>
      <c r="P365" s="169" t="str">
        <f>IF(C365="","",COUNTIFS(Başvuru!$C:$C,C365,Başvuru!$L:$L,"GERİ ÇEKİLDİ",Başvuru!$A:$A,"&lt;&gt;"&amp;"",Başvuru!$F:$F,"&lt;&gt;"&amp;""))</f>
        <v/>
      </c>
      <c r="Q365" s="170" t="str">
        <f>IFERROR(INDEX(Başvuru!$C$2:$C$1851,MATCH(360,Başvuru!$AB$2:$AB$1851,0)),"")</f>
        <v/>
      </c>
      <c r="R365" s="171" t="str">
        <f>IF(Q365="","",COUNTIFS(Başvuru!$C:$C,Q365,Başvuru!$A:$A,"&lt;&gt;"&amp;"",Başvuru!$F:$F,"&lt;&gt;"&amp;""))</f>
        <v/>
      </c>
      <c r="S365" s="171" t="str">
        <f>IF(R365="","",RANK(R365,$R$6:$R$505,0)+COUNTIF($R$6:R365,R365)-1)</f>
        <v/>
      </c>
    </row>
    <row r="366" spans="2:19" ht="23.25" customHeight="1" x14ac:dyDescent="0.25">
      <c r="B366" s="159">
        <v>361</v>
      </c>
      <c r="C366" s="160" t="str">
        <f>IFERROR(INDEX($Q$6:$Q$505,MATCH(361,$S$6:$S$505,0)),"")</f>
        <v/>
      </c>
      <c r="D366" s="161" t="str">
        <f>IF(C366="","",COUNTIFS(Başvuru!$C:$C,C366,Başvuru!$A:$A,"&lt;&gt;"&amp;"",Başvuru!$F:$F,"&lt;&gt;"&amp;""))</f>
        <v/>
      </c>
      <c r="E366" s="159" t="str">
        <f>IF(C366="","-",IF(D366&gt;0,TEXT(D366/(COUNTIFS(Başvuru!$A:$A,"&lt;&gt;",Başvuru!$F:$F,"&lt;&gt;")-1)*100,"0.0")&amp;"%","-"))</f>
        <v>-</v>
      </c>
      <c r="F366" s="162" t="str">
        <f>IF(C366="","",COUNTIFS(Başvuru!$C:$C,C366,Başvuru!$G:$G,"Bireysel Araştırma",Başvuru!$A:$A,"&lt;&gt;"&amp;"",Başvuru!$F:$F,"&lt;&gt;"&amp;""))</f>
        <v/>
      </c>
      <c r="G366" s="162" t="str">
        <f>IF(C366="","",COUNTIFS(Başvuru!$C:$C,C366,Başvuru!$G:$G,"Uzmanlık Tezi",Başvuru!$A:$A,"&lt;&gt;"&amp;"",Başvuru!$F:$F,"&lt;&gt;"&amp;""))</f>
        <v/>
      </c>
      <c r="H366" s="162" t="str">
        <f>IF(C366="","",COUNTIFS(Başvuru!$C:$C,C366,Başvuru!$G:$G,"Doktora Tezi",Başvuru!$A:$A,"&lt;&gt;"&amp;"",Başvuru!$F:$F,"&lt;&gt;"&amp;""))</f>
        <v/>
      </c>
      <c r="I366" s="162" t="str">
        <f>IF(C366="","",COUNTIFS(Başvuru!$C:$C,C366,Başvuru!$G:$G,"Yüksek Lisans Tezi",Başvuru!$A:$A,"&lt;&gt;"&amp;"",Başvuru!$F:$F,"&lt;&gt;"&amp;""))</f>
        <v/>
      </c>
      <c r="J366" s="163" t="str">
        <f>IF(C366="","",COUNTIFS(Başvuru!$C:$C,C366,Başvuru!$L:$L,"ONAY",Başvuru!$A:$A,"&lt;&gt;"&amp;"",Başvuru!$F:$F,"&lt;&gt;"&amp;""))</f>
        <v/>
      </c>
      <c r="K366" s="164" t="str">
        <f>IF(C366="","",COUNTIFS(Başvuru!$C:$C,C366,Başvuru!$L:$L,"DÜZELTME",Başvuru!$A:$A,"&lt;&gt;"&amp;"",Başvuru!$F:$F,"&lt;&gt;"&amp;""))</f>
        <v/>
      </c>
      <c r="L366" s="165" t="str">
        <f>IF(C366="","",COUNTIFS(Başvuru!$C:$C,C366,Başvuru!$L:$L,"KAEK",Başvuru!$A:$A,"&lt;&gt;"&amp;"",Başvuru!$F:$F,"&lt;&gt;"&amp;""))</f>
        <v/>
      </c>
      <c r="M366" s="166" t="str">
        <f>IF(C366="","",COUNTIFS(Başvuru!$C:$C,C366,Başvuru!$L:$L,"GÖRÜŞ",Başvuru!$A:$A,"&lt;&gt;"&amp;"",Başvuru!$F:$F,"&lt;&gt;"&amp;""))</f>
        <v/>
      </c>
      <c r="N366" s="167" t="str">
        <f>IF(C366="","",COUNTIFS(Başvuru!$C:$C,C366,Başvuru!$L:$L,"RET",Başvuru!$A:$A,"&lt;&gt;"&amp;"",Başvuru!$F:$F,"&lt;&gt;"&amp;""))</f>
        <v/>
      </c>
      <c r="O366" s="168" t="str">
        <f>IF(C366="","",COUNTIFS(Başvuru!$C:$C,C366,Başvuru!$L:$L,"KAPSAM DIŞI",Başvuru!$A:$A,"&lt;&gt;"&amp;"",Başvuru!$F:$F,"&lt;&gt;"&amp;""))</f>
        <v/>
      </c>
      <c r="P366" s="169" t="str">
        <f>IF(C366="","",COUNTIFS(Başvuru!$C:$C,C366,Başvuru!$L:$L,"GERİ ÇEKİLDİ",Başvuru!$A:$A,"&lt;&gt;"&amp;"",Başvuru!$F:$F,"&lt;&gt;"&amp;""))</f>
        <v/>
      </c>
      <c r="Q366" s="170" t="str">
        <f>IFERROR(INDEX(Başvuru!$C$2:$C$1851,MATCH(361,Başvuru!$AB$2:$AB$1851,0)),"")</f>
        <v/>
      </c>
      <c r="R366" s="171" t="str">
        <f>IF(Q366="","",COUNTIFS(Başvuru!$C:$C,Q366,Başvuru!$A:$A,"&lt;&gt;"&amp;"",Başvuru!$F:$F,"&lt;&gt;"&amp;""))</f>
        <v/>
      </c>
      <c r="S366" s="171" t="str">
        <f>IF(R366="","",RANK(R366,$R$6:$R$505,0)+COUNTIF($R$6:R366,R366)-1)</f>
        <v/>
      </c>
    </row>
    <row r="367" spans="2:19" ht="23.25" customHeight="1" x14ac:dyDescent="0.25">
      <c r="B367" s="159">
        <v>362</v>
      </c>
      <c r="C367" s="160" t="str">
        <f>IFERROR(INDEX($Q$6:$Q$505,MATCH(362,$S$6:$S$505,0)),"")</f>
        <v/>
      </c>
      <c r="D367" s="161" t="str">
        <f>IF(C367="","",COUNTIFS(Başvuru!$C:$C,C367,Başvuru!$A:$A,"&lt;&gt;"&amp;"",Başvuru!$F:$F,"&lt;&gt;"&amp;""))</f>
        <v/>
      </c>
      <c r="E367" s="159" t="str">
        <f>IF(C367="","-",IF(D367&gt;0,TEXT(D367/(COUNTIFS(Başvuru!$A:$A,"&lt;&gt;",Başvuru!$F:$F,"&lt;&gt;")-1)*100,"0.0")&amp;"%","-"))</f>
        <v>-</v>
      </c>
      <c r="F367" s="162" t="str">
        <f>IF(C367="","",COUNTIFS(Başvuru!$C:$C,C367,Başvuru!$G:$G,"Bireysel Araştırma",Başvuru!$A:$A,"&lt;&gt;"&amp;"",Başvuru!$F:$F,"&lt;&gt;"&amp;""))</f>
        <v/>
      </c>
      <c r="G367" s="162" t="str">
        <f>IF(C367="","",COUNTIFS(Başvuru!$C:$C,C367,Başvuru!$G:$G,"Uzmanlık Tezi",Başvuru!$A:$A,"&lt;&gt;"&amp;"",Başvuru!$F:$F,"&lt;&gt;"&amp;""))</f>
        <v/>
      </c>
      <c r="H367" s="162" t="str">
        <f>IF(C367="","",COUNTIFS(Başvuru!$C:$C,C367,Başvuru!$G:$G,"Doktora Tezi",Başvuru!$A:$A,"&lt;&gt;"&amp;"",Başvuru!$F:$F,"&lt;&gt;"&amp;""))</f>
        <v/>
      </c>
      <c r="I367" s="162" t="str">
        <f>IF(C367="","",COUNTIFS(Başvuru!$C:$C,C367,Başvuru!$G:$G,"Yüksek Lisans Tezi",Başvuru!$A:$A,"&lt;&gt;"&amp;"",Başvuru!$F:$F,"&lt;&gt;"&amp;""))</f>
        <v/>
      </c>
      <c r="J367" s="163" t="str">
        <f>IF(C367="","",COUNTIFS(Başvuru!$C:$C,C367,Başvuru!$L:$L,"ONAY",Başvuru!$A:$A,"&lt;&gt;"&amp;"",Başvuru!$F:$F,"&lt;&gt;"&amp;""))</f>
        <v/>
      </c>
      <c r="K367" s="164" t="str">
        <f>IF(C367="","",COUNTIFS(Başvuru!$C:$C,C367,Başvuru!$L:$L,"DÜZELTME",Başvuru!$A:$A,"&lt;&gt;"&amp;"",Başvuru!$F:$F,"&lt;&gt;"&amp;""))</f>
        <v/>
      </c>
      <c r="L367" s="165" t="str">
        <f>IF(C367="","",COUNTIFS(Başvuru!$C:$C,C367,Başvuru!$L:$L,"KAEK",Başvuru!$A:$A,"&lt;&gt;"&amp;"",Başvuru!$F:$F,"&lt;&gt;"&amp;""))</f>
        <v/>
      </c>
      <c r="M367" s="166" t="str">
        <f>IF(C367="","",COUNTIFS(Başvuru!$C:$C,C367,Başvuru!$L:$L,"GÖRÜŞ",Başvuru!$A:$A,"&lt;&gt;"&amp;"",Başvuru!$F:$F,"&lt;&gt;"&amp;""))</f>
        <v/>
      </c>
      <c r="N367" s="167" t="str">
        <f>IF(C367="","",COUNTIFS(Başvuru!$C:$C,C367,Başvuru!$L:$L,"RET",Başvuru!$A:$A,"&lt;&gt;"&amp;"",Başvuru!$F:$F,"&lt;&gt;"&amp;""))</f>
        <v/>
      </c>
      <c r="O367" s="168" t="str">
        <f>IF(C367="","",COUNTIFS(Başvuru!$C:$C,C367,Başvuru!$L:$L,"KAPSAM DIŞI",Başvuru!$A:$A,"&lt;&gt;"&amp;"",Başvuru!$F:$F,"&lt;&gt;"&amp;""))</f>
        <v/>
      </c>
      <c r="P367" s="169" t="str">
        <f>IF(C367="","",COUNTIFS(Başvuru!$C:$C,C367,Başvuru!$L:$L,"GERİ ÇEKİLDİ",Başvuru!$A:$A,"&lt;&gt;"&amp;"",Başvuru!$F:$F,"&lt;&gt;"&amp;""))</f>
        <v/>
      </c>
      <c r="Q367" s="170" t="str">
        <f>IFERROR(INDEX(Başvuru!$C$2:$C$1851,MATCH(362,Başvuru!$AB$2:$AB$1851,0)),"")</f>
        <v/>
      </c>
      <c r="R367" s="171" t="str">
        <f>IF(Q367="","",COUNTIFS(Başvuru!$C:$C,Q367,Başvuru!$A:$A,"&lt;&gt;"&amp;"",Başvuru!$F:$F,"&lt;&gt;"&amp;""))</f>
        <v/>
      </c>
      <c r="S367" s="171" t="str">
        <f>IF(R367="","",RANK(R367,$R$6:$R$505,0)+COUNTIF($R$6:R367,R367)-1)</f>
        <v/>
      </c>
    </row>
    <row r="368" spans="2:19" ht="23.25" customHeight="1" x14ac:dyDescent="0.25">
      <c r="B368" s="159">
        <v>363</v>
      </c>
      <c r="C368" s="160" t="str">
        <f>IFERROR(INDEX($Q$6:$Q$505,MATCH(363,$S$6:$S$505,0)),"")</f>
        <v/>
      </c>
      <c r="D368" s="161" t="str">
        <f>IF(C368="","",COUNTIFS(Başvuru!$C:$C,C368,Başvuru!$A:$A,"&lt;&gt;"&amp;"",Başvuru!$F:$F,"&lt;&gt;"&amp;""))</f>
        <v/>
      </c>
      <c r="E368" s="159" t="str">
        <f>IF(C368="","-",IF(D368&gt;0,TEXT(D368/(COUNTIFS(Başvuru!$A:$A,"&lt;&gt;",Başvuru!$F:$F,"&lt;&gt;")-1)*100,"0.0")&amp;"%","-"))</f>
        <v>-</v>
      </c>
      <c r="F368" s="162" t="str">
        <f>IF(C368="","",COUNTIFS(Başvuru!$C:$C,C368,Başvuru!$G:$G,"Bireysel Araştırma",Başvuru!$A:$A,"&lt;&gt;"&amp;"",Başvuru!$F:$F,"&lt;&gt;"&amp;""))</f>
        <v/>
      </c>
      <c r="G368" s="162" t="str">
        <f>IF(C368="","",COUNTIFS(Başvuru!$C:$C,C368,Başvuru!$G:$G,"Uzmanlık Tezi",Başvuru!$A:$A,"&lt;&gt;"&amp;"",Başvuru!$F:$F,"&lt;&gt;"&amp;""))</f>
        <v/>
      </c>
      <c r="H368" s="162" t="str">
        <f>IF(C368="","",COUNTIFS(Başvuru!$C:$C,C368,Başvuru!$G:$G,"Doktora Tezi",Başvuru!$A:$A,"&lt;&gt;"&amp;"",Başvuru!$F:$F,"&lt;&gt;"&amp;""))</f>
        <v/>
      </c>
      <c r="I368" s="162" t="str">
        <f>IF(C368="","",COUNTIFS(Başvuru!$C:$C,C368,Başvuru!$G:$G,"Yüksek Lisans Tezi",Başvuru!$A:$A,"&lt;&gt;"&amp;"",Başvuru!$F:$F,"&lt;&gt;"&amp;""))</f>
        <v/>
      </c>
      <c r="J368" s="163" t="str">
        <f>IF(C368="","",COUNTIFS(Başvuru!$C:$C,C368,Başvuru!$L:$L,"ONAY",Başvuru!$A:$A,"&lt;&gt;"&amp;"",Başvuru!$F:$F,"&lt;&gt;"&amp;""))</f>
        <v/>
      </c>
      <c r="K368" s="164" t="str">
        <f>IF(C368="","",COUNTIFS(Başvuru!$C:$C,C368,Başvuru!$L:$L,"DÜZELTME",Başvuru!$A:$A,"&lt;&gt;"&amp;"",Başvuru!$F:$F,"&lt;&gt;"&amp;""))</f>
        <v/>
      </c>
      <c r="L368" s="165" t="str">
        <f>IF(C368="","",COUNTIFS(Başvuru!$C:$C,C368,Başvuru!$L:$L,"KAEK",Başvuru!$A:$A,"&lt;&gt;"&amp;"",Başvuru!$F:$F,"&lt;&gt;"&amp;""))</f>
        <v/>
      </c>
      <c r="M368" s="166" t="str">
        <f>IF(C368="","",COUNTIFS(Başvuru!$C:$C,C368,Başvuru!$L:$L,"GÖRÜŞ",Başvuru!$A:$A,"&lt;&gt;"&amp;"",Başvuru!$F:$F,"&lt;&gt;"&amp;""))</f>
        <v/>
      </c>
      <c r="N368" s="167" t="str">
        <f>IF(C368="","",COUNTIFS(Başvuru!$C:$C,C368,Başvuru!$L:$L,"RET",Başvuru!$A:$A,"&lt;&gt;"&amp;"",Başvuru!$F:$F,"&lt;&gt;"&amp;""))</f>
        <v/>
      </c>
      <c r="O368" s="168" t="str">
        <f>IF(C368="","",COUNTIFS(Başvuru!$C:$C,C368,Başvuru!$L:$L,"KAPSAM DIŞI",Başvuru!$A:$A,"&lt;&gt;"&amp;"",Başvuru!$F:$F,"&lt;&gt;"&amp;""))</f>
        <v/>
      </c>
      <c r="P368" s="169" t="str">
        <f>IF(C368="","",COUNTIFS(Başvuru!$C:$C,C368,Başvuru!$L:$L,"GERİ ÇEKİLDİ",Başvuru!$A:$A,"&lt;&gt;"&amp;"",Başvuru!$F:$F,"&lt;&gt;"&amp;""))</f>
        <v/>
      </c>
      <c r="Q368" s="170" t="str">
        <f>IFERROR(INDEX(Başvuru!$C$2:$C$1851,MATCH(363,Başvuru!$AB$2:$AB$1851,0)),"")</f>
        <v/>
      </c>
      <c r="R368" s="171" t="str">
        <f>IF(Q368="","",COUNTIFS(Başvuru!$C:$C,Q368,Başvuru!$A:$A,"&lt;&gt;"&amp;"",Başvuru!$F:$F,"&lt;&gt;"&amp;""))</f>
        <v/>
      </c>
      <c r="S368" s="171" t="str">
        <f>IF(R368="","",RANK(R368,$R$6:$R$505,0)+COUNTIF($R$6:R368,R368)-1)</f>
        <v/>
      </c>
    </row>
    <row r="369" spans="2:19" ht="23.25" customHeight="1" x14ac:dyDescent="0.25">
      <c r="B369" s="159">
        <v>364</v>
      </c>
      <c r="C369" s="160" t="str">
        <f>IFERROR(INDEX($Q$6:$Q$505,MATCH(364,$S$6:$S$505,0)),"")</f>
        <v/>
      </c>
      <c r="D369" s="161" t="str">
        <f>IF(C369="","",COUNTIFS(Başvuru!$C:$C,C369,Başvuru!$A:$A,"&lt;&gt;"&amp;"",Başvuru!$F:$F,"&lt;&gt;"&amp;""))</f>
        <v/>
      </c>
      <c r="E369" s="159" t="str">
        <f>IF(C369="","-",IF(D369&gt;0,TEXT(D369/(COUNTIFS(Başvuru!$A:$A,"&lt;&gt;",Başvuru!$F:$F,"&lt;&gt;")-1)*100,"0.0")&amp;"%","-"))</f>
        <v>-</v>
      </c>
      <c r="F369" s="162" t="str">
        <f>IF(C369="","",COUNTIFS(Başvuru!$C:$C,C369,Başvuru!$G:$G,"Bireysel Araştırma",Başvuru!$A:$A,"&lt;&gt;"&amp;"",Başvuru!$F:$F,"&lt;&gt;"&amp;""))</f>
        <v/>
      </c>
      <c r="G369" s="162" t="str">
        <f>IF(C369="","",COUNTIFS(Başvuru!$C:$C,C369,Başvuru!$G:$G,"Uzmanlık Tezi",Başvuru!$A:$A,"&lt;&gt;"&amp;"",Başvuru!$F:$F,"&lt;&gt;"&amp;""))</f>
        <v/>
      </c>
      <c r="H369" s="162" t="str">
        <f>IF(C369="","",COUNTIFS(Başvuru!$C:$C,C369,Başvuru!$G:$G,"Doktora Tezi",Başvuru!$A:$A,"&lt;&gt;"&amp;"",Başvuru!$F:$F,"&lt;&gt;"&amp;""))</f>
        <v/>
      </c>
      <c r="I369" s="162" t="str">
        <f>IF(C369="","",COUNTIFS(Başvuru!$C:$C,C369,Başvuru!$G:$G,"Yüksek Lisans Tezi",Başvuru!$A:$A,"&lt;&gt;"&amp;"",Başvuru!$F:$F,"&lt;&gt;"&amp;""))</f>
        <v/>
      </c>
      <c r="J369" s="163" t="str">
        <f>IF(C369="","",COUNTIFS(Başvuru!$C:$C,C369,Başvuru!$L:$L,"ONAY",Başvuru!$A:$A,"&lt;&gt;"&amp;"",Başvuru!$F:$F,"&lt;&gt;"&amp;""))</f>
        <v/>
      </c>
      <c r="K369" s="164" t="str">
        <f>IF(C369="","",COUNTIFS(Başvuru!$C:$C,C369,Başvuru!$L:$L,"DÜZELTME",Başvuru!$A:$A,"&lt;&gt;"&amp;"",Başvuru!$F:$F,"&lt;&gt;"&amp;""))</f>
        <v/>
      </c>
      <c r="L369" s="165" t="str">
        <f>IF(C369="","",COUNTIFS(Başvuru!$C:$C,C369,Başvuru!$L:$L,"KAEK",Başvuru!$A:$A,"&lt;&gt;"&amp;"",Başvuru!$F:$F,"&lt;&gt;"&amp;""))</f>
        <v/>
      </c>
      <c r="M369" s="166" t="str">
        <f>IF(C369="","",COUNTIFS(Başvuru!$C:$C,C369,Başvuru!$L:$L,"GÖRÜŞ",Başvuru!$A:$A,"&lt;&gt;"&amp;"",Başvuru!$F:$F,"&lt;&gt;"&amp;""))</f>
        <v/>
      </c>
      <c r="N369" s="167" t="str">
        <f>IF(C369="","",COUNTIFS(Başvuru!$C:$C,C369,Başvuru!$L:$L,"RET",Başvuru!$A:$A,"&lt;&gt;"&amp;"",Başvuru!$F:$F,"&lt;&gt;"&amp;""))</f>
        <v/>
      </c>
      <c r="O369" s="168" t="str">
        <f>IF(C369="","",COUNTIFS(Başvuru!$C:$C,C369,Başvuru!$L:$L,"KAPSAM DIŞI",Başvuru!$A:$A,"&lt;&gt;"&amp;"",Başvuru!$F:$F,"&lt;&gt;"&amp;""))</f>
        <v/>
      </c>
      <c r="P369" s="169" t="str">
        <f>IF(C369="","",COUNTIFS(Başvuru!$C:$C,C369,Başvuru!$L:$L,"GERİ ÇEKİLDİ",Başvuru!$A:$A,"&lt;&gt;"&amp;"",Başvuru!$F:$F,"&lt;&gt;"&amp;""))</f>
        <v/>
      </c>
      <c r="Q369" s="170" t="str">
        <f>IFERROR(INDEX(Başvuru!$C$2:$C$1851,MATCH(364,Başvuru!$AB$2:$AB$1851,0)),"")</f>
        <v/>
      </c>
      <c r="R369" s="171" t="str">
        <f>IF(Q369="","",COUNTIFS(Başvuru!$C:$C,Q369,Başvuru!$A:$A,"&lt;&gt;"&amp;"",Başvuru!$F:$F,"&lt;&gt;"&amp;""))</f>
        <v/>
      </c>
      <c r="S369" s="171" t="str">
        <f>IF(R369="","",RANK(R369,$R$6:$R$505,0)+COUNTIF($R$6:R369,R369)-1)</f>
        <v/>
      </c>
    </row>
    <row r="370" spans="2:19" ht="23.25" customHeight="1" x14ac:dyDescent="0.25">
      <c r="B370" s="159">
        <v>365</v>
      </c>
      <c r="C370" s="160" t="str">
        <f>IFERROR(INDEX($Q$6:$Q$505,MATCH(365,$S$6:$S$505,0)),"")</f>
        <v/>
      </c>
      <c r="D370" s="161" t="str">
        <f>IF(C370="","",COUNTIFS(Başvuru!$C:$C,C370,Başvuru!$A:$A,"&lt;&gt;"&amp;"",Başvuru!$F:$F,"&lt;&gt;"&amp;""))</f>
        <v/>
      </c>
      <c r="E370" s="159" t="str">
        <f>IF(C370="","-",IF(D370&gt;0,TEXT(D370/(COUNTIFS(Başvuru!$A:$A,"&lt;&gt;",Başvuru!$F:$F,"&lt;&gt;")-1)*100,"0.0")&amp;"%","-"))</f>
        <v>-</v>
      </c>
      <c r="F370" s="162" t="str">
        <f>IF(C370="","",COUNTIFS(Başvuru!$C:$C,C370,Başvuru!$G:$G,"Bireysel Araştırma",Başvuru!$A:$A,"&lt;&gt;"&amp;"",Başvuru!$F:$F,"&lt;&gt;"&amp;""))</f>
        <v/>
      </c>
      <c r="G370" s="162" t="str">
        <f>IF(C370="","",COUNTIFS(Başvuru!$C:$C,C370,Başvuru!$G:$G,"Uzmanlık Tezi",Başvuru!$A:$A,"&lt;&gt;"&amp;"",Başvuru!$F:$F,"&lt;&gt;"&amp;""))</f>
        <v/>
      </c>
      <c r="H370" s="162" t="str">
        <f>IF(C370="","",COUNTIFS(Başvuru!$C:$C,C370,Başvuru!$G:$G,"Doktora Tezi",Başvuru!$A:$A,"&lt;&gt;"&amp;"",Başvuru!$F:$F,"&lt;&gt;"&amp;""))</f>
        <v/>
      </c>
      <c r="I370" s="162" t="str">
        <f>IF(C370="","",COUNTIFS(Başvuru!$C:$C,C370,Başvuru!$G:$G,"Yüksek Lisans Tezi",Başvuru!$A:$A,"&lt;&gt;"&amp;"",Başvuru!$F:$F,"&lt;&gt;"&amp;""))</f>
        <v/>
      </c>
      <c r="J370" s="163" t="str">
        <f>IF(C370="","",COUNTIFS(Başvuru!$C:$C,C370,Başvuru!$L:$L,"ONAY",Başvuru!$A:$A,"&lt;&gt;"&amp;"",Başvuru!$F:$F,"&lt;&gt;"&amp;""))</f>
        <v/>
      </c>
      <c r="K370" s="164" t="str">
        <f>IF(C370="","",COUNTIFS(Başvuru!$C:$C,C370,Başvuru!$L:$L,"DÜZELTME",Başvuru!$A:$A,"&lt;&gt;"&amp;"",Başvuru!$F:$F,"&lt;&gt;"&amp;""))</f>
        <v/>
      </c>
      <c r="L370" s="165" t="str">
        <f>IF(C370="","",COUNTIFS(Başvuru!$C:$C,C370,Başvuru!$L:$L,"KAEK",Başvuru!$A:$A,"&lt;&gt;"&amp;"",Başvuru!$F:$F,"&lt;&gt;"&amp;""))</f>
        <v/>
      </c>
      <c r="M370" s="166" t="str">
        <f>IF(C370="","",COUNTIFS(Başvuru!$C:$C,C370,Başvuru!$L:$L,"GÖRÜŞ",Başvuru!$A:$A,"&lt;&gt;"&amp;"",Başvuru!$F:$F,"&lt;&gt;"&amp;""))</f>
        <v/>
      </c>
      <c r="N370" s="167" t="str">
        <f>IF(C370="","",COUNTIFS(Başvuru!$C:$C,C370,Başvuru!$L:$L,"RET",Başvuru!$A:$A,"&lt;&gt;"&amp;"",Başvuru!$F:$F,"&lt;&gt;"&amp;""))</f>
        <v/>
      </c>
      <c r="O370" s="168" t="str">
        <f>IF(C370="","",COUNTIFS(Başvuru!$C:$C,C370,Başvuru!$L:$L,"KAPSAM DIŞI",Başvuru!$A:$A,"&lt;&gt;"&amp;"",Başvuru!$F:$F,"&lt;&gt;"&amp;""))</f>
        <v/>
      </c>
      <c r="P370" s="169" t="str">
        <f>IF(C370="","",COUNTIFS(Başvuru!$C:$C,C370,Başvuru!$L:$L,"GERİ ÇEKİLDİ",Başvuru!$A:$A,"&lt;&gt;"&amp;"",Başvuru!$F:$F,"&lt;&gt;"&amp;""))</f>
        <v/>
      </c>
      <c r="Q370" s="170" t="str">
        <f>IFERROR(INDEX(Başvuru!$C$2:$C$1851,MATCH(365,Başvuru!$AB$2:$AB$1851,0)),"")</f>
        <v/>
      </c>
      <c r="R370" s="171" t="str">
        <f>IF(Q370="","",COUNTIFS(Başvuru!$C:$C,Q370,Başvuru!$A:$A,"&lt;&gt;"&amp;"",Başvuru!$F:$F,"&lt;&gt;"&amp;""))</f>
        <v/>
      </c>
      <c r="S370" s="171" t="str">
        <f>IF(R370="","",RANK(R370,$R$6:$R$505,0)+COUNTIF($R$6:R370,R370)-1)</f>
        <v/>
      </c>
    </row>
    <row r="371" spans="2:19" ht="23.25" customHeight="1" x14ac:dyDescent="0.25">
      <c r="B371" s="159">
        <v>366</v>
      </c>
      <c r="C371" s="160" t="str">
        <f>IFERROR(INDEX($Q$6:$Q$505,MATCH(366,$S$6:$S$505,0)),"")</f>
        <v/>
      </c>
      <c r="D371" s="161" t="str">
        <f>IF(C371="","",COUNTIFS(Başvuru!$C:$C,C371,Başvuru!$A:$A,"&lt;&gt;"&amp;"",Başvuru!$F:$F,"&lt;&gt;"&amp;""))</f>
        <v/>
      </c>
      <c r="E371" s="159" t="str">
        <f>IF(C371="","-",IF(D371&gt;0,TEXT(D371/(COUNTIFS(Başvuru!$A:$A,"&lt;&gt;",Başvuru!$F:$F,"&lt;&gt;")-1)*100,"0.0")&amp;"%","-"))</f>
        <v>-</v>
      </c>
      <c r="F371" s="162" t="str">
        <f>IF(C371="","",COUNTIFS(Başvuru!$C:$C,C371,Başvuru!$G:$G,"Bireysel Araştırma",Başvuru!$A:$A,"&lt;&gt;"&amp;"",Başvuru!$F:$F,"&lt;&gt;"&amp;""))</f>
        <v/>
      </c>
      <c r="G371" s="162" t="str">
        <f>IF(C371="","",COUNTIFS(Başvuru!$C:$C,C371,Başvuru!$G:$G,"Uzmanlık Tezi",Başvuru!$A:$A,"&lt;&gt;"&amp;"",Başvuru!$F:$F,"&lt;&gt;"&amp;""))</f>
        <v/>
      </c>
      <c r="H371" s="162" t="str">
        <f>IF(C371="","",COUNTIFS(Başvuru!$C:$C,C371,Başvuru!$G:$G,"Doktora Tezi",Başvuru!$A:$A,"&lt;&gt;"&amp;"",Başvuru!$F:$F,"&lt;&gt;"&amp;""))</f>
        <v/>
      </c>
      <c r="I371" s="162" t="str">
        <f>IF(C371="","",COUNTIFS(Başvuru!$C:$C,C371,Başvuru!$G:$G,"Yüksek Lisans Tezi",Başvuru!$A:$A,"&lt;&gt;"&amp;"",Başvuru!$F:$F,"&lt;&gt;"&amp;""))</f>
        <v/>
      </c>
      <c r="J371" s="163" t="str">
        <f>IF(C371="","",COUNTIFS(Başvuru!$C:$C,C371,Başvuru!$L:$L,"ONAY",Başvuru!$A:$A,"&lt;&gt;"&amp;"",Başvuru!$F:$F,"&lt;&gt;"&amp;""))</f>
        <v/>
      </c>
      <c r="K371" s="164" t="str">
        <f>IF(C371="","",COUNTIFS(Başvuru!$C:$C,C371,Başvuru!$L:$L,"DÜZELTME",Başvuru!$A:$A,"&lt;&gt;"&amp;"",Başvuru!$F:$F,"&lt;&gt;"&amp;""))</f>
        <v/>
      </c>
      <c r="L371" s="165" t="str">
        <f>IF(C371="","",COUNTIFS(Başvuru!$C:$C,C371,Başvuru!$L:$L,"KAEK",Başvuru!$A:$A,"&lt;&gt;"&amp;"",Başvuru!$F:$F,"&lt;&gt;"&amp;""))</f>
        <v/>
      </c>
      <c r="M371" s="166" t="str">
        <f>IF(C371="","",COUNTIFS(Başvuru!$C:$C,C371,Başvuru!$L:$L,"GÖRÜŞ",Başvuru!$A:$A,"&lt;&gt;"&amp;"",Başvuru!$F:$F,"&lt;&gt;"&amp;""))</f>
        <v/>
      </c>
      <c r="N371" s="167" t="str">
        <f>IF(C371="","",COUNTIFS(Başvuru!$C:$C,C371,Başvuru!$L:$L,"RET",Başvuru!$A:$A,"&lt;&gt;"&amp;"",Başvuru!$F:$F,"&lt;&gt;"&amp;""))</f>
        <v/>
      </c>
      <c r="O371" s="168" t="str">
        <f>IF(C371="","",COUNTIFS(Başvuru!$C:$C,C371,Başvuru!$L:$L,"KAPSAM DIŞI",Başvuru!$A:$A,"&lt;&gt;"&amp;"",Başvuru!$F:$F,"&lt;&gt;"&amp;""))</f>
        <v/>
      </c>
      <c r="P371" s="169" t="str">
        <f>IF(C371="","",COUNTIFS(Başvuru!$C:$C,C371,Başvuru!$L:$L,"GERİ ÇEKİLDİ",Başvuru!$A:$A,"&lt;&gt;"&amp;"",Başvuru!$F:$F,"&lt;&gt;"&amp;""))</f>
        <v/>
      </c>
      <c r="Q371" s="170" t="str">
        <f>IFERROR(INDEX(Başvuru!$C$2:$C$1851,MATCH(366,Başvuru!$AB$2:$AB$1851,0)),"")</f>
        <v/>
      </c>
      <c r="R371" s="171" t="str">
        <f>IF(Q371="","",COUNTIFS(Başvuru!$C:$C,Q371,Başvuru!$A:$A,"&lt;&gt;"&amp;"",Başvuru!$F:$F,"&lt;&gt;"&amp;""))</f>
        <v/>
      </c>
      <c r="S371" s="171" t="str">
        <f>IF(R371="","",RANK(R371,$R$6:$R$505,0)+COUNTIF($R$6:R371,R371)-1)</f>
        <v/>
      </c>
    </row>
    <row r="372" spans="2:19" ht="23.25" customHeight="1" x14ac:dyDescent="0.25">
      <c r="B372" s="159">
        <v>367</v>
      </c>
      <c r="C372" s="160" t="str">
        <f>IFERROR(INDEX($Q$6:$Q$505,MATCH(367,$S$6:$S$505,0)),"")</f>
        <v/>
      </c>
      <c r="D372" s="161" t="str">
        <f>IF(C372="","",COUNTIFS(Başvuru!$C:$C,C372,Başvuru!$A:$A,"&lt;&gt;"&amp;"",Başvuru!$F:$F,"&lt;&gt;"&amp;""))</f>
        <v/>
      </c>
      <c r="E372" s="159" t="str">
        <f>IF(C372="","-",IF(D372&gt;0,TEXT(D372/(COUNTIFS(Başvuru!$A:$A,"&lt;&gt;",Başvuru!$F:$F,"&lt;&gt;")-1)*100,"0.0")&amp;"%","-"))</f>
        <v>-</v>
      </c>
      <c r="F372" s="162" t="str">
        <f>IF(C372="","",COUNTIFS(Başvuru!$C:$C,C372,Başvuru!$G:$G,"Bireysel Araştırma",Başvuru!$A:$A,"&lt;&gt;"&amp;"",Başvuru!$F:$F,"&lt;&gt;"&amp;""))</f>
        <v/>
      </c>
      <c r="G372" s="162" t="str">
        <f>IF(C372="","",COUNTIFS(Başvuru!$C:$C,C372,Başvuru!$G:$G,"Uzmanlık Tezi",Başvuru!$A:$A,"&lt;&gt;"&amp;"",Başvuru!$F:$F,"&lt;&gt;"&amp;""))</f>
        <v/>
      </c>
      <c r="H372" s="162" t="str">
        <f>IF(C372="","",COUNTIFS(Başvuru!$C:$C,C372,Başvuru!$G:$G,"Doktora Tezi",Başvuru!$A:$A,"&lt;&gt;"&amp;"",Başvuru!$F:$F,"&lt;&gt;"&amp;""))</f>
        <v/>
      </c>
      <c r="I372" s="162" t="str">
        <f>IF(C372="","",COUNTIFS(Başvuru!$C:$C,C372,Başvuru!$G:$G,"Yüksek Lisans Tezi",Başvuru!$A:$A,"&lt;&gt;"&amp;"",Başvuru!$F:$F,"&lt;&gt;"&amp;""))</f>
        <v/>
      </c>
      <c r="J372" s="163" t="str">
        <f>IF(C372="","",COUNTIFS(Başvuru!$C:$C,C372,Başvuru!$L:$L,"ONAY",Başvuru!$A:$A,"&lt;&gt;"&amp;"",Başvuru!$F:$F,"&lt;&gt;"&amp;""))</f>
        <v/>
      </c>
      <c r="K372" s="164" t="str">
        <f>IF(C372="","",COUNTIFS(Başvuru!$C:$C,C372,Başvuru!$L:$L,"DÜZELTME",Başvuru!$A:$A,"&lt;&gt;"&amp;"",Başvuru!$F:$F,"&lt;&gt;"&amp;""))</f>
        <v/>
      </c>
      <c r="L372" s="165" t="str">
        <f>IF(C372="","",COUNTIFS(Başvuru!$C:$C,C372,Başvuru!$L:$L,"KAEK",Başvuru!$A:$A,"&lt;&gt;"&amp;"",Başvuru!$F:$F,"&lt;&gt;"&amp;""))</f>
        <v/>
      </c>
      <c r="M372" s="166" t="str">
        <f>IF(C372="","",COUNTIFS(Başvuru!$C:$C,C372,Başvuru!$L:$L,"GÖRÜŞ",Başvuru!$A:$A,"&lt;&gt;"&amp;"",Başvuru!$F:$F,"&lt;&gt;"&amp;""))</f>
        <v/>
      </c>
      <c r="N372" s="167" t="str">
        <f>IF(C372="","",COUNTIFS(Başvuru!$C:$C,C372,Başvuru!$L:$L,"RET",Başvuru!$A:$A,"&lt;&gt;"&amp;"",Başvuru!$F:$F,"&lt;&gt;"&amp;""))</f>
        <v/>
      </c>
      <c r="O372" s="168" t="str">
        <f>IF(C372="","",COUNTIFS(Başvuru!$C:$C,C372,Başvuru!$L:$L,"KAPSAM DIŞI",Başvuru!$A:$A,"&lt;&gt;"&amp;"",Başvuru!$F:$F,"&lt;&gt;"&amp;""))</f>
        <v/>
      </c>
      <c r="P372" s="169" t="str">
        <f>IF(C372="","",COUNTIFS(Başvuru!$C:$C,C372,Başvuru!$L:$L,"GERİ ÇEKİLDİ",Başvuru!$A:$A,"&lt;&gt;"&amp;"",Başvuru!$F:$F,"&lt;&gt;"&amp;""))</f>
        <v/>
      </c>
      <c r="Q372" s="170" t="str">
        <f>IFERROR(INDEX(Başvuru!$C$2:$C$1851,MATCH(367,Başvuru!$AB$2:$AB$1851,0)),"")</f>
        <v/>
      </c>
      <c r="R372" s="171" t="str">
        <f>IF(Q372="","",COUNTIFS(Başvuru!$C:$C,Q372,Başvuru!$A:$A,"&lt;&gt;"&amp;"",Başvuru!$F:$F,"&lt;&gt;"&amp;""))</f>
        <v/>
      </c>
      <c r="S372" s="171" t="str">
        <f>IF(R372="","",RANK(R372,$R$6:$R$505,0)+COUNTIF($R$6:R372,R372)-1)</f>
        <v/>
      </c>
    </row>
    <row r="373" spans="2:19" ht="23.25" customHeight="1" x14ac:dyDescent="0.25">
      <c r="B373" s="159">
        <v>368</v>
      </c>
      <c r="C373" s="160" t="str">
        <f>IFERROR(INDEX($Q$6:$Q$505,MATCH(368,$S$6:$S$505,0)),"")</f>
        <v/>
      </c>
      <c r="D373" s="161" t="str">
        <f>IF(C373="","",COUNTIFS(Başvuru!$C:$C,C373,Başvuru!$A:$A,"&lt;&gt;"&amp;"",Başvuru!$F:$F,"&lt;&gt;"&amp;""))</f>
        <v/>
      </c>
      <c r="E373" s="159" t="str">
        <f>IF(C373="","-",IF(D373&gt;0,TEXT(D373/(COUNTIFS(Başvuru!$A:$A,"&lt;&gt;",Başvuru!$F:$F,"&lt;&gt;")-1)*100,"0.0")&amp;"%","-"))</f>
        <v>-</v>
      </c>
      <c r="F373" s="162" t="str">
        <f>IF(C373="","",COUNTIFS(Başvuru!$C:$C,C373,Başvuru!$G:$G,"Bireysel Araştırma",Başvuru!$A:$A,"&lt;&gt;"&amp;"",Başvuru!$F:$F,"&lt;&gt;"&amp;""))</f>
        <v/>
      </c>
      <c r="G373" s="162" t="str">
        <f>IF(C373="","",COUNTIFS(Başvuru!$C:$C,C373,Başvuru!$G:$G,"Uzmanlık Tezi",Başvuru!$A:$A,"&lt;&gt;"&amp;"",Başvuru!$F:$F,"&lt;&gt;"&amp;""))</f>
        <v/>
      </c>
      <c r="H373" s="162" t="str">
        <f>IF(C373="","",COUNTIFS(Başvuru!$C:$C,C373,Başvuru!$G:$G,"Doktora Tezi",Başvuru!$A:$A,"&lt;&gt;"&amp;"",Başvuru!$F:$F,"&lt;&gt;"&amp;""))</f>
        <v/>
      </c>
      <c r="I373" s="162" t="str">
        <f>IF(C373="","",COUNTIFS(Başvuru!$C:$C,C373,Başvuru!$G:$G,"Yüksek Lisans Tezi",Başvuru!$A:$A,"&lt;&gt;"&amp;"",Başvuru!$F:$F,"&lt;&gt;"&amp;""))</f>
        <v/>
      </c>
      <c r="J373" s="163" t="str">
        <f>IF(C373="","",COUNTIFS(Başvuru!$C:$C,C373,Başvuru!$L:$L,"ONAY",Başvuru!$A:$A,"&lt;&gt;"&amp;"",Başvuru!$F:$F,"&lt;&gt;"&amp;""))</f>
        <v/>
      </c>
      <c r="K373" s="164" t="str">
        <f>IF(C373="","",COUNTIFS(Başvuru!$C:$C,C373,Başvuru!$L:$L,"DÜZELTME",Başvuru!$A:$A,"&lt;&gt;"&amp;"",Başvuru!$F:$F,"&lt;&gt;"&amp;""))</f>
        <v/>
      </c>
      <c r="L373" s="165" t="str">
        <f>IF(C373="","",COUNTIFS(Başvuru!$C:$C,C373,Başvuru!$L:$L,"KAEK",Başvuru!$A:$A,"&lt;&gt;"&amp;"",Başvuru!$F:$F,"&lt;&gt;"&amp;""))</f>
        <v/>
      </c>
      <c r="M373" s="166" t="str">
        <f>IF(C373="","",COUNTIFS(Başvuru!$C:$C,C373,Başvuru!$L:$L,"GÖRÜŞ",Başvuru!$A:$A,"&lt;&gt;"&amp;"",Başvuru!$F:$F,"&lt;&gt;"&amp;""))</f>
        <v/>
      </c>
      <c r="N373" s="167" t="str">
        <f>IF(C373="","",COUNTIFS(Başvuru!$C:$C,C373,Başvuru!$L:$L,"RET",Başvuru!$A:$A,"&lt;&gt;"&amp;"",Başvuru!$F:$F,"&lt;&gt;"&amp;""))</f>
        <v/>
      </c>
      <c r="O373" s="168" t="str">
        <f>IF(C373="","",COUNTIFS(Başvuru!$C:$C,C373,Başvuru!$L:$L,"KAPSAM DIŞI",Başvuru!$A:$A,"&lt;&gt;"&amp;"",Başvuru!$F:$F,"&lt;&gt;"&amp;""))</f>
        <v/>
      </c>
      <c r="P373" s="169" t="str">
        <f>IF(C373="","",COUNTIFS(Başvuru!$C:$C,C373,Başvuru!$L:$L,"GERİ ÇEKİLDİ",Başvuru!$A:$A,"&lt;&gt;"&amp;"",Başvuru!$F:$F,"&lt;&gt;"&amp;""))</f>
        <v/>
      </c>
      <c r="Q373" s="170" t="str">
        <f>IFERROR(INDEX(Başvuru!$C$2:$C$1851,MATCH(368,Başvuru!$AB$2:$AB$1851,0)),"")</f>
        <v/>
      </c>
      <c r="R373" s="171" t="str">
        <f>IF(Q373="","",COUNTIFS(Başvuru!$C:$C,Q373,Başvuru!$A:$A,"&lt;&gt;"&amp;"",Başvuru!$F:$F,"&lt;&gt;"&amp;""))</f>
        <v/>
      </c>
      <c r="S373" s="171" t="str">
        <f>IF(R373="","",RANK(R373,$R$6:$R$505,0)+COUNTIF($R$6:R373,R373)-1)</f>
        <v/>
      </c>
    </row>
    <row r="374" spans="2:19" ht="23.25" customHeight="1" x14ac:dyDescent="0.25">
      <c r="B374" s="159">
        <v>369</v>
      </c>
      <c r="C374" s="160" t="str">
        <f>IFERROR(INDEX($Q$6:$Q$505,MATCH(369,$S$6:$S$505,0)),"")</f>
        <v/>
      </c>
      <c r="D374" s="161" t="str">
        <f>IF(C374="","",COUNTIFS(Başvuru!$C:$C,C374,Başvuru!$A:$A,"&lt;&gt;"&amp;"",Başvuru!$F:$F,"&lt;&gt;"&amp;""))</f>
        <v/>
      </c>
      <c r="E374" s="159" t="str">
        <f>IF(C374="","-",IF(D374&gt;0,TEXT(D374/(COUNTIFS(Başvuru!$A:$A,"&lt;&gt;",Başvuru!$F:$F,"&lt;&gt;")-1)*100,"0.0")&amp;"%","-"))</f>
        <v>-</v>
      </c>
      <c r="F374" s="162" t="str">
        <f>IF(C374="","",COUNTIFS(Başvuru!$C:$C,C374,Başvuru!$G:$G,"Bireysel Araştırma",Başvuru!$A:$A,"&lt;&gt;"&amp;"",Başvuru!$F:$F,"&lt;&gt;"&amp;""))</f>
        <v/>
      </c>
      <c r="G374" s="162" t="str">
        <f>IF(C374="","",COUNTIFS(Başvuru!$C:$C,C374,Başvuru!$G:$G,"Uzmanlık Tezi",Başvuru!$A:$A,"&lt;&gt;"&amp;"",Başvuru!$F:$F,"&lt;&gt;"&amp;""))</f>
        <v/>
      </c>
      <c r="H374" s="162" t="str">
        <f>IF(C374="","",COUNTIFS(Başvuru!$C:$C,C374,Başvuru!$G:$G,"Doktora Tezi",Başvuru!$A:$A,"&lt;&gt;"&amp;"",Başvuru!$F:$F,"&lt;&gt;"&amp;""))</f>
        <v/>
      </c>
      <c r="I374" s="162" t="str">
        <f>IF(C374="","",COUNTIFS(Başvuru!$C:$C,C374,Başvuru!$G:$G,"Yüksek Lisans Tezi",Başvuru!$A:$A,"&lt;&gt;"&amp;"",Başvuru!$F:$F,"&lt;&gt;"&amp;""))</f>
        <v/>
      </c>
      <c r="J374" s="163" t="str">
        <f>IF(C374="","",COUNTIFS(Başvuru!$C:$C,C374,Başvuru!$L:$L,"ONAY",Başvuru!$A:$A,"&lt;&gt;"&amp;"",Başvuru!$F:$F,"&lt;&gt;"&amp;""))</f>
        <v/>
      </c>
      <c r="K374" s="164" t="str">
        <f>IF(C374="","",COUNTIFS(Başvuru!$C:$C,C374,Başvuru!$L:$L,"DÜZELTME",Başvuru!$A:$A,"&lt;&gt;"&amp;"",Başvuru!$F:$F,"&lt;&gt;"&amp;""))</f>
        <v/>
      </c>
      <c r="L374" s="165" t="str">
        <f>IF(C374="","",COUNTIFS(Başvuru!$C:$C,C374,Başvuru!$L:$L,"KAEK",Başvuru!$A:$A,"&lt;&gt;"&amp;"",Başvuru!$F:$F,"&lt;&gt;"&amp;""))</f>
        <v/>
      </c>
      <c r="M374" s="166" t="str">
        <f>IF(C374="","",COUNTIFS(Başvuru!$C:$C,C374,Başvuru!$L:$L,"GÖRÜŞ",Başvuru!$A:$A,"&lt;&gt;"&amp;"",Başvuru!$F:$F,"&lt;&gt;"&amp;""))</f>
        <v/>
      </c>
      <c r="N374" s="167" t="str">
        <f>IF(C374="","",COUNTIFS(Başvuru!$C:$C,C374,Başvuru!$L:$L,"RET",Başvuru!$A:$A,"&lt;&gt;"&amp;"",Başvuru!$F:$F,"&lt;&gt;"&amp;""))</f>
        <v/>
      </c>
      <c r="O374" s="168" t="str">
        <f>IF(C374="","",COUNTIFS(Başvuru!$C:$C,C374,Başvuru!$L:$L,"KAPSAM DIŞI",Başvuru!$A:$A,"&lt;&gt;"&amp;"",Başvuru!$F:$F,"&lt;&gt;"&amp;""))</f>
        <v/>
      </c>
      <c r="P374" s="169" t="str">
        <f>IF(C374="","",COUNTIFS(Başvuru!$C:$C,C374,Başvuru!$L:$L,"GERİ ÇEKİLDİ",Başvuru!$A:$A,"&lt;&gt;"&amp;"",Başvuru!$F:$F,"&lt;&gt;"&amp;""))</f>
        <v/>
      </c>
      <c r="Q374" s="170" t="str">
        <f>IFERROR(INDEX(Başvuru!$C$2:$C$1851,MATCH(369,Başvuru!$AB$2:$AB$1851,0)),"")</f>
        <v/>
      </c>
      <c r="R374" s="171" t="str">
        <f>IF(Q374="","",COUNTIFS(Başvuru!$C:$C,Q374,Başvuru!$A:$A,"&lt;&gt;"&amp;"",Başvuru!$F:$F,"&lt;&gt;"&amp;""))</f>
        <v/>
      </c>
      <c r="S374" s="171" t="str">
        <f>IF(R374="","",RANK(R374,$R$6:$R$505,0)+COUNTIF($R$6:R374,R374)-1)</f>
        <v/>
      </c>
    </row>
    <row r="375" spans="2:19" ht="23.25" customHeight="1" x14ac:dyDescent="0.25">
      <c r="B375" s="159">
        <v>370</v>
      </c>
      <c r="C375" s="160" t="str">
        <f>IFERROR(INDEX($Q$6:$Q$505,MATCH(370,$S$6:$S$505,0)),"")</f>
        <v/>
      </c>
      <c r="D375" s="161" t="str">
        <f>IF(C375="","",COUNTIFS(Başvuru!$C:$C,C375,Başvuru!$A:$A,"&lt;&gt;"&amp;"",Başvuru!$F:$F,"&lt;&gt;"&amp;""))</f>
        <v/>
      </c>
      <c r="E375" s="159" t="str">
        <f>IF(C375="","-",IF(D375&gt;0,TEXT(D375/(COUNTIFS(Başvuru!$A:$A,"&lt;&gt;",Başvuru!$F:$F,"&lt;&gt;")-1)*100,"0.0")&amp;"%","-"))</f>
        <v>-</v>
      </c>
      <c r="F375" s="162" t="str">
        <f>IF(C375="","",COUNTIFS(Başvuru!$C:$C,C375,Başvuru!$G:$G,"Bireysel Araştırma",Başvuru!$A:$A,"&lt;&gt;"&amp;"",Başvuru!$F:$F,"&lt;&gt;"&amp;""))</f>
        <v/>
      </c>
      <c r="G375" s="162" t="str">
        <f>IF(C375="","",COUNTIFS(Başvuru!$C:$C,C375,Başvuru!$G:$G,"Uzmanlık Tezi",Başvuru!$A:$A,"&lt;&gt;"&amp;"",Başvuru!$F:$F,"&lt;&gt;"&amp;""))</f>
        <v/>
      </c>
      <c r="H375" s="162" t="str">
        <f>IF(C375="","",COUNTIFS(Başvuru!$C:$C,C375,Başvuru!$G:$G,"Doktora Tezi",Başvuru!$A:$A,"&lt;&gt;"&amp;"",Başvuru!$F:$F,"&lt;&gt;"&amp;""))</f>
        <v/>
      </c>
      <c r="I375" s="162" t="str">
        <f>IF(C375="","",COUNTIFS(Başvuru!$C:$C,C375,Başvuru!$G:$G,"Yüksek Lisans Tezi",Başvuru!$A:$A,"&lt;&gt;"&amp;"",Başvuru!$F:$F,"&lt;&gt;"&amp;""))</f>
        <v/>
      </c>
      <c r="J375" s="163" t="str">
        <f>IF(C375="","",COUNTIFS(Başvuru!$C:$C,C375,Başvuru!$L:$L,"ONAY",Başvuru!$A:$A,"&lt;&gt;"&amp;"",Başvuru!$F:$F,"&lt;&gt;"&amp;""))</f>
        <v/>
      </c>
      <c r="K375" s="164" t="str">
        <f>IF(C375="","",COUNTIFS(Başvuru!$C:$C,C375,Başvuru!$L:$L,"DÜZELTME",Başvuru!$A:$A,"&lt;&gt;"&amp;"",Başvuru!$F:$F,"&lt;&gt;"&amp;""))</f>
        <v/>
      </c>
      <c r="L375" s="165" t="str">
        <f>IF(C375="","",COUNTIFS(Başvuru!$C:$C,C375,Başvuru!$L:$L,"KAEK",Başvuru!$A:$A,"&lt;&gt;"&amp;"",Başvuru!$F:$F,"&lt;&gt;"&amp;""))</f>
        <v/>
      </c>
      <c r="M375" s="166" t="str">
        <f>IF(C375="","",COUNTIFS(Başvuru!$C:$C,C375,Başvuru!$L:$L,"GÖRÜŞ",Başvuru!$A:$A,"&lt;&gt;"&amp;"",Başvuru!$F:$F,"&lt;&gt;"&amp;""))</f>
        <v/>
      </c>
      <c r="N375" s="167" t="str">
        <f>IF(C375="","",COUNTIFS(Başvuru!$C:$C,C375,Başvuru!$L:$L,"RET",Başvuru!$A:$A,"&lt;&gt;"&amp;"",Başvuru!$F:$F,"&lt;&gt;"&amp;""))</f>
        <v/>
      </c>
      <c r="O375" s="168" t="str">
        <f>IF(C375="","",COUNTIFS(Başvuru!$C:$C,C375,Başvuru!$L:$L,"KAPSAM DIŞI",Başvuru!$A:$A,"&lt;&gt;"&amp;"",Başvuru!$F:$F,"&lt;&gt;"&amp;""))</f>
        <v/>
      </c>
      <c r="P375" s="169" t="str">
        <f>IF(C375="","",COUNTIFS(Başvuru!$C:$C,C375,Başvuru!$L:$L,"GERİ ÇEKİLDİ",Başvuru!$A:$A,"&lt;&gt;"&amp;"",Başvuru!$F:$F,"&lt;&gt;"&amp;""))</f>
        <v/>
      </c>
      <c r="Q375" s="170" t="str">
        <f>IFERROR(INDEX(Başvuru!$C$2:$C$1851,MATCH(370,Başvuru!$AB$2:$AB$1851,0)),"")</f>
        <v/>
      </c>
      <c r="R375" s="171" t="str">
        <f>IF(Q375="","",COUNTIFS(Başvuru!$C:$C,Q375,Başvuru!$A:$A,"&lt;&gt;"&amp;"",Başvuru!$F:$F,"&lt;&gt;"&amp;""))</f>
        <v/>
      </c>
      <c r="S375" s="171" t="str">
        <f>IF(R375="","",RANK(R375,$R$6:$R$505,0)+COUNTIF($R$6:R375,R375)-1)</f>
        <v/>
      </c>
    </row>
    <row r="376" spans="2:19" ht="23.25" customHeight="1" x14ac:dyDescent="0.25">
      <c r="B376" s="159">
        <v>371</v>
      </c>
      <c r="C376" s="160" t="str">
        <f>IFERROR(INDEX($Q$6:$Q$505,MATCH(371,$S$6:$S$505,0)),"")</f>
        <v/>
      </c>
      <c r="D376" s="161" t="str">
        <f>IF(C376="","",COUNTIFS(Başvuru!$C:$C,C376,Başvuru!$A:$A,"&lt;&gt;"&amp;"",Başvuru!$F:$F,"&lt;&gt;"&amp;""))</f>
        <v/>
      </c>
      <c r="E376" s="159" t="str">
        <f>IF(C376="","-",IF(D376&gt;0,TEXT(D376/(COUNTIFS(Başvuru!$A:$A,"&lt;&gt;",Başvuru!$F:$F,"&lt;&gt;")-1)*100,"0.0")&amp;"%","-"))</f>
        <v>-</v>
      </c>
      <c r="F376" s="162" t="str">
        <f>IF(C376="","",COUNTIFS(Başvuru!$C:$C,C376,Başvuru!$G:$G,"Bireysel Araştırma",Başvuru!$A:$A,"&lt;&gt;"&amp;"",Başvuru!$F:$F,"&lt;&gt;"&amp;""))</f>
        <v/>
      </c>
      <c r="G376" s="162" t="str">
        <f>IF(C376="","",COUNTIFS(Başvuru!$C:$C,C376,Başvuru!$G:$G,"Uzmanlık Tezi",Başvuru!$A:$A,"&lt;&gt;"&amp;"",Başvuru!$F:$F,"&lt;&gt;"&amp;""))</f>
        <v/>
      </c>
      <c r="H376" s="162" t="str">
        <f>IF(C376="","",COUNTIFS(Başvuru!$C:$C,C376,Başvuru!$G:$G,"Doktora Tezi",Başvuru!$A:$A,"&lt;&gt;"&amp;"",Başvuru!$F:$F,"&lt;&gt;"&amp;""))</f>
        <v/>
      </c>
      <c r="I376" s="162" t="str">
        <f>IF(C376="","",COUNTIFS(Başvuru!$C:$C,C376,Başvuru!$G:$G,"Yüksek Lisans Tezi",Başvuru!$A:$A,"&lt;&gt;"&amp;"",Başvuru!$F:$F,"&lt;&gt;"&amp;""))</f>
        <v/>
      </c>
      <c r="J376" s="163" t="str">
        <f>IF(C376="","",COUNTIFS(Başvuru!$C:$C,C376,Başvuru!$L:$L,"ONAY",Başvuru!$A:$A,"&lt;&gt;"&amp;"",Başvuru!$F:$F,"&lt;&gt;"&amp;""))</f>
        <v/>
      </c>
      <c r="K376" s="164" t="str">
        <f>IF(C376="","",COUNTIFS(Başvuru!$C:$C,C376,Başvuru!$L:$L,"DÜZELTME",Başvuru!$A:$A,"&lt;&gt;"&amp;"",Başvuru!$F:$F,"&lt;&gt;"&amp;""))</f>
        <v/>
      </c>
      <c r="L376" s="165" t="str">
        <f>IF(C376="","",COUNTIFS(Başvuru!$C:$C,C376,Başvuru!$L:$L,"KAEK",Başvuru!$A:$A,"&lt;&gt;"&amp;"",Başvuru!$F:$F,"&lt;&gt;"&amp;""))</f>
        <v/>
      </c>
      <c r="M376" s="166" t="str">
        <f>IF(C376="","",COUNTIFS(Başvuru!$C:$C,C376,Başvuru!$L:$L,"GÖRÜŞ",Başvuru!$A:$A,"&lt;&gt;"&amp;"",Başvuru!$F:$F,"&lt;&gt;"&amp;""))</f>
        <v/>
      </c>
      <c r="N376" s="167" t="str">
        <f>IF(C376="","",COUNTIFS(Başvuru!$C:$C,C376,Başvuru!$L:$L,"RET",Başvuru!$A:$A,"&lt;&gt;"&amp;"",Başvuru!$F:$F,"&lt;&gt;"&amp;""))</f>
        <v/>
      </c>
      <c r="O376" s="168" t="str">
        <f>IF(C376="","",COUNTIFS(Başvuru!$C:$C,C376,Başvuru!$L:$L,"KAPSAM DIŞI",Başvuru!$A:$A,"&lt;&gt;"&amp;"",Başvuru!$F:$F,"&lt;&gt;"&amp;""))</f>
        <v/>
      </c>
      <c r="P376" s="169" t="str">
        <f>IF(C376="","",COUNTIFS(Başvuru!$C:$C,C376,Başvuru!$L:$L,"GERİ ÇEKİLDİ",Başvuru!$A:$A,"&lt;&gt;"&amp;"",Başvuru!$F:$F,"&lt;&gt;"&amp;""))</f>
        <v/>
      </c>
      <c r="Q376" s="170" t="str">
        <f>IFERROR(INDEX(Başvuru!$C$2:$C$1851,MATCH(371,Başvuru!$AB$2:$AB$1851,0)),"")</f>
        <v/>
      </c>
      <c r="R376" s="171" t="str">
        <f>IF(Q376="","",COUNTIFS(Başvuru!$C:$C,Q376,Başvuru!$A:$A,"&lt;&gt;"&amp;"",Başvuru!$F:$F,"&lt;&gt;"&amp;""))</f>
        <v/>
      </c>
      <c r="S376" s="171" t="str">
        <f>IF(R376="","",RANK(R376,$R$6:$R$505,0)+COUNTIF($R$6:R376,R376)-1)</f>
        <v/>
      </c>
    </row>
    <row r="377" spans="2:19" ht="23.25" customHeight="1" x14ac:dyDescent="0.25">
      <c r="B377" s="159">
        <v>372</v>
      </c>
      <c r="C377" s="160" t="str">
        <f>IFERROR(INDEX($Q$6:$Q$505,MATCH(372,$S$6:$S$505,0)),"")</f>
        <v/>
      </c>
      <c r="D377" s="161" t="str">
        <f>IF(C377="","",COUNTIFS(Başvuru!$C:$C,C377,Başvuru!$A:$A,"&lt;&gt;"&amp;"",Başvuru!$F:$F,"&lt;&gt;"&amp;""))</f>
        <v/>
      </c>
      <c r="E377" s="159" t="str">
        <f>IF(C377="","-",IF(D377&gt;0,TEXT(D377/(COUNTIFS(Başvuru!$A:$A,"&lt;&gt;",Başvuru!$F:$F,"&lt;&gt;")-1)*100,"0.0")&amp;"%","-"))</f>
        <v>-</v>
      </c>
      <c r="F377" s="162" t="str">
        <f>IF(C377="","",COUNTIFS(Başvuru!$C:$C,C377,Başvuru!$G:$G,"Bireysel Araştırma",Başvuru!$A:$A,"&lt;&gt;"&amp;"",Başvuru!$F:$F,"&lt;&gt;"&amp;""))</f>
        <v/>
      </c>
      <c r="G377" s="162" t="str">
        <f>IF(C377="","",COUNTIFS(Başvuru!$C:$C,C377,Başvuru!$G:$G,"Uzmanlık Tezi",Başvuru!$A:$A,"&lt;&gt;"&amp;"",Başvuru!$F:$F,"&lt;&gt;"&amp;""))</f>
        <v/>
      </c>
      <c r="H377" s="162" t="str">
        <f>IF(C377="","",COUNTIFS(Başvuru!$C:$C,C377,Başvuru!$G:$G,"Doktora Tezi",Başvuru!$A:$A,"&lt;&gt;"&amp;"",Başvuru!$F:$F,"&lt;&gt;"&amp;""))</f>
        <v/>
      </c>
      <c r="I377" s="162" t="str">
        <f>IF(C377="","",COUNTIFS(Başvuru!$C:$C,C377,Başvuru!$G:$G,"Yüksek Lisans Tezi",Başvuru!$A:$A,"&lt;&gt;"&amp;"",Başvuru!$F:$F,"&lt;&gt;"&amp;""))</f>
        <v/>
      </c>
      <c r="J377" s="163" t="str">
        <f>IF(C377="","",COUNTIFS(Başvuru!$C:$C,C377,Başvuru!$L:$L,"ONAY",Başvuru!$A:$A,"&lt;&gt;"&amp;"",Başvuru!$F:$F,"&lt;&gt;"&amp;""))</f>
        <v/>
      </c>
      <c r="K377" s="164" t="str">
        <f>IF(C377="","",COUNTIFS(Başvuru!$C:$C,C377,Başvuru!$L:$L,"DÜZELTME",Başvuru!$A:$A,"&lt;&gt;"&amp;"",Başvuru!$F:$F,"&lt;&gt;"&amp;""))</f>
        <v/>
      </c>
      <c r="L377" s="165" t="str">
        <f>IF(C377="","",COUNTIFS(Başvuru!$C:$C,C377,Başvuru!$L:$L,"KAEK",Başvuru!$A:$A,"&lt;&gt;"&amp;"",Başvuru!$F:$F,"&lt;&gt;"&amp;""))</f>
        <v/>
      </c>
      <c r="M377" s="166" t="str">
        <f>IF(C377="","",COUNTIFS(Başvuru!$C:$C,C377,Başvuru!$L:$L,"GÖRÜŞ",Başvuru!$A:$A,"&lt;&gt;"&amp;"",Başvuru!$F:$F,"&lt;&gt;"&amp;""))</f>
        <v/>
      </c>
      <c r="N377" s="167" t="str">
        <f>IF(C377="","",COUNTIFS(Başvuru!$C:$C,C377,Başvuru!$L:$L,"RET",Başvuru!$A:$A,"&lt;&gt;"&amp;"",Başvuru!$F:$F,"&lt;&gt;"&amp;""))</f>
        <v/>
      </c>
      <c r="O377" s="168" t="str">
        <f>IF(C377="","",COUNTIFS(Başvuru!$C:$C,C377,Başvuru!$L:$L,"KAPSAM DIŞI",Başvuru!$A:$A,"&lt;&gt;"&amp;"",Başvuru!$F:$F,"&lt;&gt;"&amp;""))</f>
        <v/>
      </c>
      <c r="P377" s="169" t="str">
        <f>IF(C377="","",COUNTIFS(Başvuru!$C:$C,C377,Başvuru!$L:$L,"GERİ ÇEKİLDİ",Başvuru!$A:$A,"&lt;&gt;"&amp;"",Başvuru!$F:$F,"&lt;&gt;"&amp;""))</f>
        <v/>
      </c>
      <c r="Q377" s="170" t="str">
        <f>IFERROR(INDEX(Başvuru!$C$2:$C$1851,MATCH(372,Başvuru!$AB$2:$AB$1851,0)),"")</f>
        <v/>
      </c>
      <c r="R377" s="171" t="str">
        <f>IF(Q377="","",COUNTIFS(Başvuru!$C:$C,Q377,Başvuru!$A:$A,"&lt;&gt;"&amp;"",Başvuru!$F:$F,"&lt;&gt;"&amp;""))</f>
        <v/>
      </c>
      <c r="S377" s="171" t="str">
        <f>IF(R377="","",RANK(R377,$R$6:$R$505,0)+COUNTIF($R$6:R377,R377)-1)</f>
        <v/>
      </c>
    </row>
    <row r="378" spans="2:19" ht="23.25" customHeight="1" x14ac:dyDescent="0.25">
      <c r="B378" s="159">
        <v>373</v>
      </c>
      <c r="C378" s="160" t="str">
        <f>IFERROR(INDEX($Q$6:$Q$505,MATCH(373,$S$6:$S$505,0)),"")</f>
        <v/>
      </c>
      <c r="D378" s="161" t="str">
        <f>IF(C378="","",COUNTIFS(Başvuru!$C:$C,C378,Başvuru!$A:$A,"&lt;&gt;"&amp;"",Başvuru!$F:$F,"&lt;&gt;"&amp;""))</f>
        <v/>
      </c>
      <c r="E378" s="159" t="str">
        <f>IF(C378="","-",IF(D378&gt;0,TEXT(D378/(COUNTIFS(Başvuru!$A:$A,"&lt;&gt;",Başvuru!$F:$F,"&lt;&gt;")-1)*100,"0.0")&amp;"%","-"))</f>
        <v>-</v>
      </c>
      <c r="F378" s="162" t="str">
        <f>IF(C378="","",COUNTIFS(Başvuru!$C:$C,C378,Başvuru!$G:$G,"Bireysel Araştırma",Başvuru!$A:$A,"&lt;&gt;"&amp;"",Başvuru!$F:$F,"&lt;&gt;"&amp;""))</f>
        <v/>
      </c>
      <c r="G378" s="162" t="str">
        <f>IF(C378="","",COUNTIFS(Başvuru!$C:$C,C378,Başvuru!$G:$G,"Uzmanlık Tezi",Başvuru!$A:$A,"&lt;&gt;"&amp;"",Başvuru!$F:$F,"&lt;&gt;"&amp;""))</f>
        <v/>
      </c>
      <c r="H378" s="162" t="str">
        <f>IF(C378="","",COUNTIFS(Başvuru!$C:$C,C378,Başvuru!$G:$G,"Doktora Tezi",Başvuru!$A:$A,"&lt;&gt;"&amp;"",Başvuru!$F:$F,"&lt;&gt;"&amp;""))</f>
        <v/>
      </c>
      <c r="I378" s="162" t="str">
        <f>IF(C378="","",COUNTIFS(Başvuru!$C:$C,C378,Başvuru!$G:$G,"Yüksek Lisans Tezi",Başvuru!$A:$A,"&lt;&gt;"&amp;"",Başvuru!$F:$F,"&lt;&gt;"&amp;""))</f>
        <v/>
      </c>
      <c r="J378" s="163" t="str">
        <f>IF(C378="","",COUNTIFS(Başvuru!$C:$C,C378,Başvuru!$L:$L,"ONAY",Başvuru!$A:$A,"&lt;&gt;"&amp;"",Başvuru!$F:$F,"&lt;&gt;"&amp;""))</f>
        <v/>
      </c>
      <c r="K378" s="164" t="str">
        <f>IF(C378="","",COUNTIFS(Başvuru!$C:$C,C378,Başvuru!$L:$L,"DÜZELTME",Başvuru!$A:$A,"&lt;&gt;"&amp;"",Başvuru!$F:$F,"&lt;&gt;"&amp;""))</f>
        <v/>
      </c>
      <c r="L378" s="165" t="str">
        <f>IF(C378="","",COUNTIFS(Başvuru!$C:$C,C378,Başvuru!$L:$L,"KAEK",Başvuru!$A:$A,"&lt;&gt;"&amp;"",Başvuru!$F:$F,"&lt;&gt;"&amp;""))</f>
        <v/>
      </c>
      <c r="M378" s="166" t="str">
        <f>IF(C378="","",COUNTIFS(Başvuru!$C:$C,C378,Başvuru!$L:$L,"GÖRÜŞ",Başvuru!$A:$A,"&lt;&gt;"&amp;"",Başvuru!$F:$F,"&lt;&gt;"&amp;""))</f>
        <v/>
      </c>
      <c r="N378" s="167" t="str">
        <f>IF(C378="","",COUNTIFS(Başvuru!$C:$C,C378,Başvuru!$L:$L,"RET",Başvuru!$A:$A,"&lt;&gt;"&amp;"",Başvuru!$F:$F,"&lt;&gt;"&amp;""))</f>
        <v/>
      </c>
      <c r="O378" s="168" t="str">
        <f>IF(C378="","",COUNTIFS(Başvuru!$C:$C,C378,Başvuru!$L:$L,"KAPSAM DIŞI",Başvuru!$A:$A,"&lt;&gt;"&amp;"",Başvuru!$F:$F,"&lt;&gt;"&amp;""))</f>
        <v/>
      </c>
      <c r="P378" s="169" t="str">
        <f>IF(C378="","",COUNTIFS(Başvuru!$C:$C,C378,Başvuru!$L:$L,"GERİ ÇEKİLDİ",Başvuru!$A:$A,"&lt;&gt;"&amp;"",Başvuru!$F:$F,"&lt;&gt;"&amp;""))</f>
        <v/>
      </c>
      <c r="Q378" s="170" t="str">
        <f>IFERROR(INDEX(Başvuru!$C$2:$C$1851,MATCH(373,Başvuru!$AB$2:$AB$1851,0)),"")</f>
        <v/>
      </c>
      <c r="R378" s="171" t="str">
        <f>IF(Q378="","",COUNTIFS(Başvuru!$C:$C,Q378,Başvuru!$A:$A,"&lt;&gt;"&amp;"",Başvuru!$F:$F,"&lt;&gt;"&amp;""))</f>
        <v/>
      </c>
      <c r="S378" s="171" t="str">
        <f>IF(R378="","",RANK(R378,$R$6:$R$505,0)+COUNTIF($R$6:R378,R378)-1)</f>
        <v/>
      </c>
    </row>
    <row r="379" spans="2:19" ht="23.25" customHeight="1" x14ac:dyDescent="0.25">
      <c r="B379" s="159">
        <v>374</v>
      </c>
      <c r="C379" s="160" t="str">
        <f>IFERROR(INDEX($Q$6:$Q$505,MATCH(374,$S$6:$S$505,0)),"")</f>
        <v/>
      </c>
      <c r="D379" s="161" t="str">
        <f>IF(C379="","",COUNTIFS(Başvuru!$C:$C,C379,Başvuru!$A:$A,"&lt;&gt;"&amp;"",Başvuru!$F:$F,"&lt;&gt;"&amp;""))</f>
        <v/>
      </c>
      <c r="E379" s="159" t="str">
        <f>IF(C379="","-",IF(D379&gt;0,TEXT(D379/(COUNTIFS(Başvuru!$A:$A,"&lt;&gt;",Başvuru!$F:$F,"&lt;&gt;")-1)*100,"0.0")&amp;"%","-"))</f>
        <v>-</v>
      </c>
      <c r="F379" s="162" t="str">
        <f>IF(C379="","",COUNTIFS(Başvuru!$C:$C,C379,Başvuru!$G:$G,"Bireysel Araştırma",Başvuru!$A:$A,"&lt;&gt;"&amp;"",Başvuru!$F:$F,"&lt;&gt;"&amp;""))</f>
        <v/>
      </c>
      <c r="G379" s="162" t="str">
        <f>IF(C379="","",COUNTIFS(Başvuru!$C:$C,C379,Başvuru!$G:$G,"Uzmanlık Tezi",Başvuru!$A:$A,"&lt;&gt;"&amp;"",Başvuru!$F:$F,"&lt;&gt;"&amp;""))</f>
        <v/>
      </c>
      <c r="H379" s="162" t="str">
        <f>IF(C379="","",COUNTIFS(Başvuru!$C:$C,C379,Başvuru!$G:$G,"Doktora Tezi",Başvuru!$A:$A,"&lt;&gt;"&amp;"",Başvuru!$F:$F,"&lt;&gt;"&amp;""))</f>
        <v/>
      </c>
      <c r="I379" s="162" t="str">
        <f>IF(C379="","",COUNTIFS(Başvuru!$C:$C,C379,Başvuru!$G:$G,"Yüksek Lisans Tezi",Başvuru!$A:$A,"&lt;&gt;"&amp;"",Başvuru!$F:$F,"&lt;&gt;"&amp;""))</f>
        <v/>
      </c>
      <c r="J379" s="163" t="str">
        <f>IF(C379="","",COUNTIFS(Başvuru!$C:$C,C379,Başvuru!$L:$L,"ONAY",Başvuru!$A:$A,"&lt;&gt;"&amp;"",Başvuru!$F:$F,"&lt;&gt;"&amp;""))</f>
        <v/>
      </c>
      <c r="K379" s="164" t="str">
        <f>IF(C379="","",COUNTIFS(Başvuru!$C:$C,C379,Başvuru!$L:$L,"DÜZELTME",Başvuru!$A:$A,"&lt;&gt;"&amp;"",Başvuru!$F:$F,"&lt;&gt;"&amp;""))</f>
        <v/>
      </c>
      <c r="L379" s="165" t="str">
        <f>IF(C379="","",COUNTIFS(Başvuru!$C:$C,C379,Başvuru!$L:$L,"KAEK",Başvuru!$A:$A,"&lt;&gt;"&amp;"",Başvuru!$F:$F,"&lt;&gt;"&amp;""))</f>
        <v/>
      </c>
      <c r="M379" s="166" t="str">
        <f>IF(C379="","",COUNTIFS(Başvuru!$C:$C,C379,Başvuru!$L:$L,"GÖRÜŞ",Başvuru!$A:$A,"&lt;&gt;"&amp;"",Başvuru!$F:$F,"&lt;&gt;"&amp;""))</f>
        <v/>
      </c>
      <c r="N379" s="167" t="str">
        <f>IF(C379="","",COUNTIFS(Başvuru!$C:$C,C379,Başvuru!$L:$L,"RET",Başvuru!$A:$A,"&lt;&gt;"&amp;"",Başvuru!$F:$F,"&lt;&gt;"&amp;""))</f>
        <v/>
      </c>
      <c r="O379" s="168" t="str">
        <f>IF(C379="","",COUNTIFS(Başvuru!$C:$C,C379,Başvuru!$L:$L,"KAPSAM DIŞI",Başvuru!$A:$A,"&lt;&gt;"&amp;"",Başvuru!$F:$F,"&lt;&gt;"&amp;""))</f>
        <v/>
      </c>
      <c r="P379" s="169" t="str">
        <f>IF(C379="","",COUNTIFS(Başvuru!$C:$C,C379,Başvuru!$L:$L,"GERİ ÇEKİLDİ",Başvuru!$A:$A,"&lt;&gt;"&amp;"",Başvuru!$F:$F,"&lt;&gt;"&amp;""))</f>
        <v/>
      </c>
      <c r="Q379" s="170" t="str">
        <f>IFERROR(INDEX(Başvuru!$C$2:$C$1851,MATCH(374,Başvuru!$AB$2:$AB$1851,0)),"")</f>
        <v/>
      </c>
      <c r="R379" s="171" t="str">
        <f>IF(Q379="","",COUNTIFS(Başvuru!$C:$C,Q379,Başvuru!$A:$A,"&lt;&gt;"&amp;"",Başvuru!$F:$F,"&lt;&gt;"&amp;""))</f>
        <v/>
      </c>
      <c r="S379" s="171" t="str">
        <f>IF(R379="","",RANK(R379,$R$6:$R$505,0)+COUNTIF($R$6:R379,R379)-1)</f>
        <v/>
      </c>
    </row>
    <row r="380" spans="2:19" ht="23.25" customHeight="1" x14ac:dyDescent="0.25">
      <c r="B380" s="159">
        <v>375</v>
      </c>
      <c r="C380" s="160" t="str">
        <f>IFERROR(INDEX($Q$6:$Q$505,MATCH(375,$S$6:$S$505,0)),"")</f>
        <v/>
      </c>
      <c r="D380" s="161" t="str">
        <f>IF(C380="","",COUNTIFS(Başvuru!$C:$C,C380,Başvuru!$A:$A,"&lt;&gt;"&amp;"",Başvuru!$F:$F,"&lt;&gt;"&amp;""))</f>
        <v/>
      </c>
      <c r="E380" s="159" t="str">
        <f>IF(C380="","-",IF(D380&gt;0,TEXT(D380/(COUNTIFS(Başvuru!$A:$A,"&lt;&gt;",Başvuru!$F:$F,"&lt;&gt;")-1)*100,"0.0")&amp;"%","-"))</f>
        <v>-</v>
      </c>
      <c r="F380" s="162" t="str">
        <f>IF(C380="","",COUNTIFS(Başvuru!$C:$C,C380,Başvuru!$G:$G,"Bireysel Araştırma",Başvuru!$A:$A,"&lt;&gt;"&amp;"",Başvuru!$F:$F,"&lt;&gt;"&amp;""))</f>
        <v/>
      </c>
      <c r="G380" s="162" t="str">
        <f>IF(C380="","",COUNTIFS(Başvuru!$C:$C,C380,Başvuru!$G:$G,"Uzmanlık Tezi",Başvuru!$A:$A,"&lt;&gt;"&amp;"",Başvuru!$F:$F,"&lt;&gt;"&amp;""))</f>
        <v/>
      </c>
      <c r="H380" s="162" t="str">
        <f>IF(C380="","",COUNTIFS(Başvuru!$C:$C,C380,Başvuru!$G:$G,"Doktora Tezi",Başvuru!$A:$A,"&lt;&gt;"&amp;"",Başvuru!$F:$F,"&lt;&gt;"&amp;""))</f>
        <v/>
      </c>
      <c r="I380" s="162" t="str">
        <f>IF(C380="","",COUNTIFS(Başvuru!$C:$C,C380,Başvuru!$G:$G,"Yüksek Lisans Tezi",Başvuru!$A:$A,"&lt;&gt;"&amp;"",Başvuru!$F:$F,"&lt;&gt;"&amp;""))</f>
        <v/>
      </c>
      <c r="J380" s="163" t="str">
        <f>IF(C380="","",COUNTIFS(Başvuru!$C:$C,C380,Başvuru!$L:$L,"ONAY",Başvuru!$A:$A,"&lt;&gt;"&amp;"",Başvuru!$F:$F,"&lt;&gt;"&amp;""))</f>
        <v/>
      </c>
      <c r="K380" s="164" t="str">
        <f>IF(C380="","",COUNTIFS(Başvuru!$C:$C,C380,Başvuru!$L:$L,"DÜZELTME",Başvuru!$A:$A,"&lt;&gt;"&amp;"",Başvuru!$F:$F,"&lt;&gt;"&amp;""))</f>
        <v/>
      </c>
      <c r="L380" s="165" t="str">
        <f>IF(C380="","",COUNTIFS(Başvuru!$C:$C,C380,Başvuru!$L:$L,"KAEK",Başvuru!$A:$A,"&lt;&gt;"&amp;"",Başvuru!$F:$F,"&lt;&gt;"&amp;""))</f>
        <v/>
      </c>
      <c r="M380" s="166" t="str">
        <f>IF(C380="","",COUNTIFS(Başvuru!$C:$C,C380,Başvuru!$L:$L,"GÖRÜŞ",Başvuru!$A:$A,"&lt;&gt;"&amp;"",Başvuru!$F:$F,"&lt;&gt;"&amp;""))</f>
        <v/>
      </c>
      <c r="N380" s="167" t="str">
        <f>IF(C380="","",COUNTIFS(Başvuru!$C:$C,C380,Başvuru!$L:$L,"RET",Başvuru!$A:$A,"&lt;&gt;"&amp;"",Başvuru!$F:$F,"&lt;&gt;"&amp;""))</f>
        <v/>
      </c>
      <c r="O380" s="168" t="str">
        <f>IF(C380="","",COUNTIFS(Başvuru!$C:$C,C380,Başvuru!$L:$L,"KAPSAM DIŞI",Başvuru!$A:$A,"&lt;&gt;"&amp;"",Başvuru!$F:$F,"&lt;&gt;"&amp;""))</f>
        <v/>
      </c>
      <c r="P380" s="169" t="str">
        <f>IF(C380="","",COUNTIFS(Başvuru!$C:$C,C380,Başvuru!$L:$L,"GERİ ÇEKİLDİ",Başvuru!$A:$A,"&lt;&gt;"&amp;"",Başvuru!$F:$F,"&lt;&gt;"&amp;""))</f>
        <v/>
      </c>
      <c r="Q380" s="170" t="str">
        <f>IFERROR(INDEX(Başvuru!$C$2:$C$1851,MATCH(375,Başvuru!$AB$2:$AB$1851,0)),"")</f>
        <v/>
      </c>
      <c r="R380" s="171" t="str">
        <f>IF(Q380="","",COUNTIFS(Başvuru!$C:$C,Q380,Başvuru!$A:$A,"&lt;&gt;"&amp;"",Başvuru!$F:$F,"&lt;&gt;"&amp;""))</f>
        <v/>
      </c>
      <c r="S380" s="171" t="str">
        <f>IF(R380="","",RANK(R380,$R$6:$R$505,0)+COUNTIF($R$6:R380,R380)-1)</f>
        <v/>
      </c>
    </row>
    <row r="381" spans="2:19" ht="23.25" customHeight="1" x14ac:dyDescent="0.25">
      <c r="B381" s="159">
        <v>376</v>
      </c>
      <c r="C381" s="160" t="str">
        <f>IFERROR(INDEX($Q$6:$Q$505,MATCH(376,$S$6:$S$505,0)),"")</f>
        <v/>
      </c>
      <c r="D381" s="161" t="str">
        <f>IF(C381="","",COUNTIFS(Başvuru!$C:$C,C381,Başvuru!$A:$A,"&lt;&gt;"&amp;"",Başvuru!$F:$F,"&lt;&gt;"&amp;""))</f>
        <v/>
      </c>
      <c r="E381" s="159" t="str">
        <f>IF(C381="","-",IF(D381&gt;0,TEXT(D381/(COUNTIFS(Başvuru!$A:$A,"&lt;&gt;",Başvuru!$F:$F,"&lt;&gt;")-1)*100,"0.0")&amp;"%","-"))</f>
        <v>-</v>
      </c>
      <c r="F381" s="162" t="str">
        <f>IF(C381="","",COUNTIFS(Başvuru!$C:$C,C381,Başvuru!$G:$G,"Bireysel Araştırma",Başvuru!$A:$A,"&lt;&gt;"&amp;"",Başvuru!$F:$F,"&lt;&gt;"&amp;""))</f>
        <v/>
      </c>
      <c r="G381" s="162" t="str">
        <f>IF(C381="","",COUNTIFS(Başvuru!$C:$C,C381,Başvuru!$G:$G,"Uzmanlık Tezi",Başvuru!$A:$A,"&lt;&gt;"&amp;"",Başvuru!$F:$F,"&lt;&gt;"&amp;""))</f>
        <v/>
      </c>
      <c r="H381" s="162" t="str">
        <f>IF(C381="","",COUNTIFS(Başvuru!$C:$C,C381,Başvuru!$G:$G,"Doktora Tezi",Başvuru!$A:$A,"&lt;&gt;"&amp;"",Başvuru!$F:$F,"&lt;&gt;"&amp;""))</f>
        <v/>
      </c>
      <c r="I381" s="162" t="str">
        <f>IF(C381="","",COUNTIFS(Başvuru!$C:$C,C381,Başvuru!$G:$G,"Yüksek Lisans Tezi",Başvuru!$A:$A,"&lt;&gt;"&amp;"",Başvuru!$F:$F,"&lt;&gt;"&amp;""))</f>
        <v/>
      </c>
      <c r="J381" s="163" t="str">
        <f>IF(C381="","",COUNTIFS(Başvuru!$C:$C,C381,Başvuru!$L:$L,"ONAY",Başvuru!$A:$A,"&lt;&gt;"&amp;"",Başvuru!$F:$F,"&lt;&gt;"&amp;""))</f>
        <v/>
      </c>
      <c r="K381" s="164" t="str">
        <f>IF(C381="","",COUNTIFS(Başvuru!$C:$C,C381,Başvuru!$L:$L,"DÜZELTME",Başvuru!$A:$A,"&lt;&gt;"&amp;"",Başvuru!$F:$F,"&lt;&gt;"&amp;""))</f>
        <v/>
      </c>
      <c r="L381" s="165" t="str">
        <f>IF(C381="","",COUNTIFS(Başvuru!$C:$C,C381,Başvuru!$L:$L,"KAEK",Başvuru!$A:$A,"&lt;&gt;"&amp;"",Başvuru!$F:$F,"&lt;&gt;"&amp;""))</f>
        <v/>
      </c>
      <c r="M381" s="166" t="str">
        <f>IF(C381="","",COUNTIFS(Başvuru!$C:$C,C381,Başvuru!$L:$L,"GÖRÜŞ",Başvuru!$A:$A,"&lt;&gt;"&amp;"",Başvuru!$F:$F,"&lt;&gt;"&amp;""))</f>
        <v/>
      </c>
      <c r="N381" s="167" t="str">
        <f>IF(C381="","",COUNTIFS(Başvuru!$C:$C,C381,Başvuru!$L:$L,"RET",Başvuru!$A:$A,"&lt;&gt;"&amp;"",Başvuru!$F:$F,"&lt;&gt;"&amp;""))</f>
        <v/>
      </c>
      <c r="O381" s="168" t="str">
        <f>IF(C381="","",COUNTIFS(Başvuru!$C:$C,C381,Başvuru!$L:$L,"KAPSAM DIŞI",Başvuru!$A:$A,"&lt;&gt;"&amp;"",Başvuru!$F:$F,"&lt;&gt;"&amp;""))</f>
        <v/>
      </c>
      <c r="P381" s="169" t="str">
        <f>IF(C381="","",COUNTIFS(Başvuru!$C:$C,C381,Başvuru!$L:$L,"GERİ ÇEKİLDİ",Başvuru!$A:$A,"&lt;&gt;"&amp;"",Başvuru!$F:$F,"&lt;&gt;"&amp;""))</f>
        <v/>
      </c>
      <c r="Q381" s="170" t="str">
        <f>IFERROR(INDEX(Başvuru!$C$2:$C$1851,MATCH(376,Başvuru!$AB$2:$AB$1851,0)),"")</f>
        <v/>
      </c>
      <c r="R381" s="171" t="str">
        <f>IF(Q381="","",COUNTIFS(Başvuru!$C:$C,Q381,Başvuru!$A:$A,"&lt;&gt;"&amp;"",Başvuru!$F:$F,"&lt;&gt;"&amp;""))</f>
        <v/>
      </c>
      <c r="S381" s="171" t="str">
        <f>IF(R381="","",RANK(R381,$R$6:$R$505,0)+COUNTIF($R$6:R381,R381)-1)</f>
        <v/>
      </c>
    </row>
    <row r="382" spans="2:19" ht="23.25" customHeight="1" x14ac:dyDescent="0.25">
      <c r="B382" s="159">
        <v>377</v>
      </c>
      <c r="C382" s="160" t="str">
        <f>IFERROR(INDEX($Q$6:$Q$505,MATCH(377,$S$6:$S$505,0)),"")</f>
        <v/>
      </c>
      <c r="D382" s="161" t="str">
        <f>IF(C382="","",COUNTIFS(Başvuru!$C:$C,C382,Başvuru!$A:$A,"&lt;&gt;"&amp;"",Başvuru!$F:$F,"&lt;&gt;"&amp;""))</f>
        <v/>
      </c>
      <c r="E382" s="159" t="str">
        <f>IF(C382="","-",IF(D382&gt;0,TEXT(D382/(COUNTIFS(Başvuru!$A:$A,"&lt;&gt;",Başvuru!$F:$F,"&lt;&gt;")-1)*100,"0.0")&amp;"%","-"))</f>
        <v>-</v>
      </c>
      <c r="F382" s="162" t="str">
        <f>IF(C382="","",COUNTIFS(Başvuru!$C:$C,C382,Başvuru!$G:$G,"Bireysel Araştırma",Başvuru!$A:$A,"&lt;&gt;"&amp;"",Başvuru!$F:$F,"&lt;&gt;"&amp;""))</f>
        <v/>
      </c>
      <c r="G382" s="162" t="str">
        <f>IF(C382="","",COUNTIFS(Başvuru!$C:$C,C382,Başvuru!$G:$G,"Uzmanlık Tezi",Başvuru!$A:$A,"&lt;&gt;"&amp;"",Başvuru!$F:$F,"&lt;&gt;"&amp;""))</f>
        <v/>
      </c>
      <c r="H382" s="162" t="str">
        <f>IF(C382="","",COUNTIFS(Başvuru!$C:$C,C382,Başvuru!$G:$G,"Doktora Tezi",Başvuru!$A:$A,"&lt;&gt;"&amp;"",Başvuru!$F:$F,"&lt;&gt;"&amp;""))</f>
        <v/>
      </c>
      <c r="I382" s="162" t="str">
        <f>IF(C382="","",COUNTIFS(Başvuru!$C:$C,C382,Başvuru!$G:$G,"Yüksek Lisans Tezi",Başvuru!$A:$A,"&lt;&gt;"&amp;"",Başvuru!$F:$F,"&lt;&gt;"&amp;""))</f>
        <v/>
      </c>
      <c r="J382" s="163" t="str">
        <f>IF(C382="","",COUNTIFS(Başvuru!$C:$C,C382,Başvuru!$L:$L,"ONAY",Başvuru!$A:$A,"&lt;&gt;"&amp;"",Başvuru!$F:$F,"&lt;&gt;"&amp;""))</f>
        <v/>
      </c>
      <c r="K382" s="164" t="str">
        <f>IF(C382="","",COUNTIFS(Başvuru!$C:$C,C382,Başvuru!$L:$L,"DÜZELTME",Başvuru!$A:$A,"&lt;&gt;"&amp;"",Başvuru!$F:$F,"&lt;&gt;"&amp;""))</f>
        <v/>
      </c>
      <c r="L382" s="165" t="str">
        <f>IF(C382="","",COUNTIFS(Başvuru!$C:$C,C382,Başvuru!$L:$L,"KAEK",Başvuru!$A:$A,"&lt;&gt;"&amp;"",Başvuru!$F:$F,"&lt;&gt;"&amp;""))</f>
        <v/>
      </c>
      <c r="M382" s="166" t="str">
        <f>IF(C382="","",COUNTIFS(Başvuru!$C:$C,C382,Başvuru!$L:$L,"GÖRÜŞ",Başvuru!$A:$A,"&lt;&gt;"&amp;"",Başvuru!$F:$F,"&lt;&gt;"&amp;""))</f>
        <v/>
      </c>
      <c r="N382" s="167" t="str">
        <f>IF(C382="","",COUNTIFS(Başvuru!$C:$C,C382,Başvuru!$L:$L,"RET",Başvuru!$A:$A,"&lt;&gt;"&amp;"",Başvuru!$F:$F,"&lt;&gt;"&amp;""))</f>
        <v/>
      </c>
      <c r="O382" s="168" t="str">
        <f>IF(C382="","",COUNTIFS(Başvuru!$C:$C,C382,Başvuru!$L:$L,"KAPSAM DIŞI",Başvuru!$A:$A,"&lt;&gt;"&amp;"",Başvuru!$F:$F,"&lt;&gt;"&amp;""))</f>
        <v/>
      </c>
      <c r="P382" s="169" t="str">
        <f>IF(C382="","",COUNTIFS(Başvuru!$C:$C,C382,Başvuru!$L:$L,"GERİ ÇEKİLDİ",Başvuru!$A:$A,"&lt;&gt;"&amp;"",Başvuru!$F:$F,"&lt;&gt;"&amp;""))</f>
        <v/>
      </c>
      <c r="Q382" s="170" t="str">
        <f>IFERROR(INDEX(Başvuru!$C$2:$C$1851,MATCH(377,Başvuru!$AB$2:$AB$1851,0)),"")</f>
        <v/>
      </c>
      <c r="R382" s="171" t="str">
        <f>IF(Q382="","",COUNTIFS(Başvuru!$C:$C,Q382,Başvuru!$A:$A,"&lt;&gt;"&amp;"",Başvuru!$F:$F,"&lt;&gt;"&amp;""))</f>
        <v/>
      </c>
      <c r="S382" s="171" t="str">
        <f>IF(R382="","",RANK(R382,$R$6:$R$505,0)+COUNTIF($R$6:R382,R382)-1)</f>
        <v/>
      </c>
    </row>
    <row r="383" spans="2:19" ht="23.25" customHeight="1" x14ac:dyDescent="0.25">
      <c r="B383" s="159">
        <v>378</v>
      </c>
      <c r="C383" s="160" t="str">
        <f>IFERROR(INDEX($Q$6:$Q$505,MATCH(378,$S$6:$S$505,0)),"")</f>
        <v/>
      </c>
      <c r="D383" s="161" t="str">
        <f>IF(C383="","",COUNTIFS(Başvuru!$C:$C,C383,Başvuru!$A:$A,"&lt;&gt;"&amp;"",Başvuru!$F:$F,"&lt;&gt;"&amp;""))</f>
        <v/>
      </c>
      <c r="E383" s="159" t="str">
        <f>IF(C383="","-",IF(D383&gt;0,TEXT(D383/(COUNTIFS(Başvuru!$A:$A,"&lt;&gt;",Başvuru!$F:$F,"&lt;&gt;")-1)*100,"0.0")&amp;"%","-"))</f>
        <v>-</v>
      </c>
      <c r="F383" s="162" t="str">
        <f>IF(C383="","",COUNTIFS(Başvuru!$C:$C,C383,Başvuru!$G:$G,"Bireysel Araştırma",Başvuru!$A:$A,"&lt;&gt;"&amp;"",Başvuru!$F:$F,"&lt;&gt;"&amp;""))</f>
        <v/>
      </c>
      <c r="G383" s="162" t="str">
        <f>IF(C383="","",COUNTIFS(Başvuru!$C:$C,C383,Başvuru!$G:$G,"Uzmanlık Tezi",Başvuru!$A:$A,"&lt;&gt;"&amp;"",Başvuru!$F:$F,"&lt;&gt;"&amp;""))</f>
        <v/>
      </c>
      <c r="H383" s="162" t="str">
        <f>IF(C383="","",COUNTIFS(Başvuru!$C:$C,C383,Başvuru!$G:$G,"Doktora Tezi",Başvuru!$A:$A,"&lt;&gt;"&amp;"",Başvuru!$F:$F,"&lt;&gt;"&amp;""))</f>
        <v/>
      </c>
      <c r="I383" s="162" t="str">
        <f>IF(C383="","",COUNTIFS(Başvuru!$C:$C,C383,Başvuru!$G:$G,"Yüksek Lisans Tezi",Başvuru!$A:$A,"&lt;&gt;"&amp;"",Başvuru!$F:$F,"&lt;&gt;"&amp;""))</f>
        <v/>
      </c>
      <c r="J383" s="163" t="str">
        <f>IF(C383="","",COUNTIFS(Başvuru!$C:$C,C383,Başvuru!$L:$L,"ONAY",Başvuru!$A:$A,"&lt;&gt;"&amp;"",Başvuru!$F:$F,"&lt;&gt;"&amp;""))</f>
        <v/>
      </c>
      <c r="K383" s="164" t="str">
        <f>IF(C383="","",COUNTIFS(Başvuru!$C:$C,C383,Başvuru!$L:$L,"DÜZELTME",Başvuru!$A:$A,"&lt;&gt;"&amp;"",Başvuru!$F:$F,"&lt;&gt;"&amp;""))</f>
        <v/>
      </c>
      <c r="L383" s="165" t="str">
        <f>IF(C383="","",COUNTIFS(Başvuru!$C:$C,C383,Başvuru!$L:$L,"KAEK",Başvuru!$A:$A,"&lt;&gt;"&amp;"",Başvuru!$F:$F,"&lt;&gt;"&amp;""))</f>
        <v/>
      </c>
      <c r="M383" s="166" t="str">
        <f>IF(C383="","",COUNTIFS(Başvuru!$C:$C,C383,Başvuru!$L:$L,"GÖRÜŞ",Başvuru!$A:$A,"&lt;&gt;"&amp;"",Başvuru!$F:$F,"&lt;&gt;"&amp;""))</f>
        <v/>
      </c>
      <c r="N383" s="167" t="str">
        <f>IF(C383="","",COUNTIFS(Başvuru!$C:$C,C383,Başvuru!$L:$L,"RET",Başvuru!$A:$A,"&lt;&gt;"&amp;"",Başvuru!$F:$F,"&lt;&gt;"&amp;""))</f>
        <v/>
      </c>
      <c r="O383" s="168" t="str">
        <f>IF(C383="","",COUNTIFS(Başvuru!$C:$C,C383,Başvuru!$L:$L,"KAPSAM DIŞI",Başvuru!$A:$A,"&lt;&gt;"&amp;"",Başvuru!$F:$F,"&lt;&gt;"&amp;""))</f>
        <v/>
      </c>
      <c r="P383" s="169" t="str">
        <f>IF(C383="","",COUNTIFS(Başvuru!$C:$C,C383,Başvuru!$L:$L,"GERİ ÇEKİLDİ",Başvuru!$A:$A,"&lt;&gt;"&amp;"",Başvuru!$F:$F,"&lt;&gt;"&amp;""))</f>
        <v/>
      </c>
      <c r="Q383" s="170" t="str">
        <f>IFERROR(INDEX(Başvuru!$C$2:$C$1851,MATCH(378,Başvuru!$AB$2:$AB$1851,0)),"")</f>
        <v/>
      </c>
      <c r="R383" s="171" t="str">
        <f>IF(Q383="","",COUNTIFS(Başvuru!$C:$C,Q383,Başvuru!$A:$A,"&lt;&gt;"&amp;"",Başvuru!$F:$F,"&lt;&gt;"&amp;""))</f>
        <v/>
      </c>
      <c r="S383" s="171" t="str">
        <f>IF(R383="","",RANK(R383,$R$6:$R$505,0)+COUNTIF($R$6:R383,R383)-1)</f>
        <v/>
      </c>
    </row>
    <row r="384" spans="2:19" ht="23.25" customHeight="1" x14ac:dyDescent="0.25">
      <c r="B384" s="159">
        <v>379</v>
      </c>
      <c r="C384" s="160" t="str">
        <f>IFERROR(INDEX($Q$6:$Q$505,MATCH(379,$S$6:$S$505,0)),"")</f>
        <v/>
      </c>
      <c r="D384" s="161" t="str">
        <f>IF(C384="","",COUNTIFS(Başvuru!$C:$C,C384,Başvuru!$A:$A,"&lt;&gt;"&amp;"",Başvuru!$F:$F,"&lt;&gt;"&amp;""))</f>
        <v/>
      </c>
      <c r="E384" s="159" t="str">
        <f>IF(C384="","-",IF(D384&gt;0,TEXT(D384/(COUNTIFS(Başvuru!$A:$A,"&lt;&gt;",Başvuru!$F:$F,"&lt;&gt;")-1)*100,"0.0")&amp;"%","-"))</f>
        <v>-</v>
      </c>
      <c r="F384" s="162" t="str">
        <f>IF(C384="","",COUNTIFS(Başvuru!$C:$C,C384,Başvuru!$G:$G,"Bireysel Araştırma",Başvuru!$A:$A,"&lt;&gt;"&amp;"",Başvuru!$F:$F,"&lt;&gt;"&amp;""))</f>
        <v/>
      </c>
      <c r="G384" s="162" t="str">
        <f>IF(C384="","",COUNTIFS(Başvuru!$C:$C,C384,Başvuru!$G:$G,"Uzmanlık Tezi",Başvuru!$A:$A,"&lt;&gt;"&amp;"",Başvuru!$F:$F,"&lt;&gt;"&amp;""))</f>
        <v/>
      </c>
      <c r="H384" s="162" t="str">
        <f>IF(C384="","",COUNTIFS(Başvuru!$C:$C,C384,Başvuru!$G:$G,"Doktora Tezi",Başvuru!$A:$A,"&lt;&gt;"&amp;"",Başvuru!$F:$F,"&lt;&gt;"&amp;""))</f>
        <v/>
      </c>
      <c r="I384" s="162" t="str">
        <f>IF(C384="","",COUNTIFS(Başvuru!$C:$C,C384,Başvuru!$G:$G,"Yüksek Lisans Tezi",Başvuru!$A:$A,"&lt;&gt;"&amp;"",Başvuru!$F:$F,"&lt;&gt;"&amp;""))</f>
        <v/>
      </c>
      <c r="J384" s="163" t="str">
        <f>IF(C384="","",COUNTIFS(Başvuru!$C:$C,C384,Başvuru!$L:$L,"ONAY",Başvuru!$A:$A,"&lt;&gt;"&amp;"",Başvuru!$F:$F,"&lt;&gt;"&amp;""))</f>
        <v/>
      </c>
      <c r="K384" s="164" t="str">
        <f>IF(C384="","",COUNTIFS(Başvuru!$C:$C,C384,Başvuru!$L:$L,"DÜZELTME",Başvuru!$A:$A,"&lt;&gt;"&amp;"",Başvuru!$F:$F,"&lt;&gt;"&amp;""))</f>
        <v/>
      </c>
      <c r="L384" s="165" t="str">
        <f>IF(C384="","",COUNTIFS(Başvuru!$C:$C,C384,Başvuru!$L:$L,"KAEK",Başvuru!$A:$A,"&lt;&gt;"&amp;"",Başvuru!$F:$F,"&lt;&gt;"&amp;""))</f>
        <v/>
      </c>
      <c r="M384" s="166" t="str">
        <f>IF(C384="","",COUNTIFS(Başvuru!$C:$C,C384,Başvuru!$L:$L,"GÖRÜŞ",Başvuru!$A:$A,"&lt;&gt;"&amp;"",Başvuru!$F:$F,"&lt;&gt;"&amp;""))</f>
        <v/>
      </c>
      <c r="N384" s="167" t="str">
        <f>IF(C384="","",COUNTIFS(Başvuru!$C:$C,C384,Başvuru!$L:$L,"RET",Başvuru!$A:$A,"&lt;&gt;"&amp;"",Başvuru!$F:$F,"&lt;&gt;"&amp;""))</f>
        <v/>
      </c>
      <c r="O384" s="168" t="str">
        <f>IF(C384="","",COUNTIFS(Başvuru!$C:$C,C384,Başvuru!$L:$L,"KAPSAM DIŞI",Başvuru!$A:$A,"&lt;&gt;"&amp;"",Başvuru!$F:$F,"&lt;&gt;"&amp;""))</f>
        <v/>
      </c>
      <c r="P384" s="169" t="str">
        <f>IF(C384="","",COUNTIFS(Başvuru!$C:$C,C384,Başvuru!$L:$L,"GERİ ÇEKİLDİ",Başvuru!$A:$A,"&lt;&gt;"&amp;"",Başvuru!$F:$F,"&lt;&gt;"&amp;""))</f>
        <v/>
      </c>
      <c r="Q384" s="170" t="str">
        <f>IFERROR(INDEX(Başvuru!$C$2:$C$1851,MATCH(379,Başvuru!$AB$2:$AB$1851,0)),"")</f>
        <v/>
      </c>
      <c r="R384" s="171" t="str">
        <f>IF(Q384="","",COUNTIFS(Başvuru!$C:$C,Q384,Başvuru!$A:$A,"&lt;&gt;"&amp;"",Başvuru!$F:$F,"&lt;&gt;"&amp;""))</f>
        <v/>
      </c>
      <c r="S384" s="171" t="str">
        <f>IF(R384="","",RANK(R384,$R$6:$R$505,0)+COUNTIF($R$6:R384,R384)-1)</f>
        <v/>
      </c>
    </row>
    <row r="385" spans="2:19" ht="23.25" customHeight="1" x14ac:dyDescent="0.25">
      <c r="B385" s="159">
        <v>380</v>
      </c>
      <c r="C385" s="160" t="str">
        <f>IFERROR(INDEX($Q$6:$Q$505,MATCH(380,$S$6:$S$505,0)),"")</f>
        <v/>
      </c>
      <c r="D385" s="161" t="str">
        <f>IF(C385="","",COUNTIFS(Başvuru!$C:$C,C385,Başvuru!$A:$A,"&lt;&gt;"&amp;"",Başvuru!$F:$F,"&lt;&gt;"&amp;""))</f>
        <v/>
      </c>
      <c r="E385" s="159" t="str">
        <f>IF(C385="","-",IF(D385&gt;0,TEXT(D385/(COUNTIFS(Başvuru!$A:$A,"&lt;&gt;",Başvuru!$F:$F,"&lt;&gt;")-1)*100,"0.0")&amp;"%","-"))</f>
        <v>-</v>
      </c>
      <c r="F385" s="162" t="str">
        <f>IF(C385="","",COUNTIFS(Başvuru!$C:$C,C385,Başvuru!$G:$G,"Bireysel Araştırma",Başvuru!$A:$A,"&lt;&gt;"&amp;"",Başvuru!$F:$F,"&lt;&gt;"&amp;""))</f>
        <v/>
      </c>
      <c r="G385" s="162" t="str">
        <f>IF(C385="","",COUNTIFS(Başvuru!$C:$C,C385,Başvuru!$G:$G,"Uzmanlık Tezi",Başvuru!$A:$A,"&lt;&gt;"&amp;"",Başvuru!$F:$F,"&lt;&gt;"&amp;""))</f>
        <v/>
      </c>
      <c r="H385" s="162" t="str">
        <f>IF(C385="","",COUNTIFS(Başvuru!$C:$C,C385,Başvuru!$G:$G,"Doktora Tezi",Başvuru!$A:$A,"&lt;&gt;"&amp;"",Başvuru!$F:$F,"&lt;&gt;"&amp;""))</f>
        <v/>
      </c>
      <c r="I385" s="162" t="str">
        <f>IF(C385="","",COUNTIFS(Başvuru!$C:$C,C385,Başvuru!$G:$G,"Yüksek Lisans Tezi",Başvuru!$A:$A,"&lt;&gt;"&amp;"",Başvuru!$F:$F,"&lt;&gt;"&amp;""))</f>
        <v/>
      </c>
      <c r="J385" s="163" t="str">
        <f>IF(C385="","",COUNTIFS(Başvuru!$C:$C,C385,Başvuru!$L:$L,"ONAY",Başvuru!$A:$A,"&lt;&gt;"&amp;"",Başvuru!$F:$F,"&lt;&gt;"&amp;""))</f>
        <v/>
      </c>
      <c r="K385" s="164" t="str">
        <f>IF(C385="","",COUNTIFS(Başvuru!$C:$C,C385,Başvuru!$L:$L,"DÜZELTME",Başvuru!$A:$A,"&lt;&gt;"&amp;"",Başvuru!$F:$F,"&lt;&gt;"&amp;""))</f>
        <v/>
      </c>
      <c r="L385" s="165" t="str">
        <f>IF(C385="","",COUNTIFS(Başvuru!$C:$C,C385,Başvuru!$L:$L,"KAEK",Başvuru!$A:$A,"&lt;&gt;"&amp;"",Başvuru!$F:$F,"&lt;&gt;"&amp;""))</f>
        <v/>
      </c>
      <c r="M385" s="166" t="str">
        <f>IF(C385="","",COUNTIFS(Başvuru!$C:$C,C385,Başvuru!$L:$L,"GÖRÜŞ",Başvuru!$A:$A,"&lt;&gt;"&amp;"",Başvuru!$F:$F,"&lt;&gt;"&amp;""))</f>
        <v/>
      </c>
      <c r="N385" s="167" t="str">
        <f>IF(C385="","",COUNTIFS(Başvuru!$C:$C,C385,Başvuru!$L:$L,"RET",Başvuru!$A:$A,"&lt;&gt;"&amp;"",Başvuru!$F:$F,"&lt;&gt;"&amp;""))</f>
        <v/>
      </c>
      <c r="O385" s="168" t="str">
        <f>IF(C385="","",COUNTIFS(Başvuru!$C:$C,C385,Başvuru!$L:$L,"KAPSAM DIŞI",Başvuru!$A:$A,"&lt;&gt;"&amp;"",Başvuru!$F:$F,"&lt;&gt;"&amp;""))</f>
        <v/>
      </c>
      <c r="P385" s="169" t="str">
        <f>IF(C385="","",COUNTIFS(Başvuru!$C:$C,C385,Başvuru!$L:$L,"GERİ ÇEKİLDİ",Başvuru!$A:$A,"&lt;&gt;"&amp;"",Başvuru!$F:$F,"&lt;&gt;"&amp;""))</f>
        <v/>
      </c>
      <c r="Q385" s="170" t="str">
        <f>IFERROR(INDEX(Başvuru!$C$2:$C$1851,MATCH(380,Başvuru!$AB$2:$AB$1851,0)),"")</f>
        <v/>
      </c>
      <c r="R385" s="171" t="str">
        <f>IF(Q385="","",COUNTIFS(Başvuru!$C:$C,Q385,Başvuru!$A:$A,"&lt;&gt;"&amp;"",Başvuru!$F:$F,"&lt;&gt;"&amp;""))</f>
        <v/>
      </c>
      <c r="S385" s="171" t="str">
        <f>IF(R385="","",RANK(R385,$R$6:$R$505,0)+COUNTIF($R$6:R385,R385)-1)</f>
        <v/>
      </c>
    </row>
    <row r="386" spans="2:19" ht="23.25" customHeight="1" x14ac:dyDescent="0.25">
      <c r="B386" s="159">
        <v>381</v>
      </c>
      <c r="C386" s="160" t="str">
        <f>IFERROR(INDEX($Q$6:$Q$505,MATCH(381,$S$6:$S$505,0)),"")</f>
        <v/>
      </c>
      <c r="D386" s="161" t="str">
        <f>IF(C386="","",COUNTIFS(Başvuru!$C:$C,C386,Başvuru!$A:$A,"&lt;&gt;"&amp;"",Başvuru!$F:$F,"&lt;&gt;"&amp;""))</f>
        <v/>
      </c>
      <c r="E386" s="159" t="str">
        <f>IF(C386="","-",IF(D386&gt;0,TEXT(D386/(COUNTIFS(Başvuru!$A:$A,"&lt;&gt;",Başvuru!$F:$F,"&lt;&gt;")-1)*100,"0.0")&amp;"%","-"))</f>
        <v>-</v>
      </c>
      <c r="F386" s="162" t="str">
        <f>IF(C386="","",COUNTIFS(Başvuru!$C:$C,C386,Başvuru!$G:$G,"Bireysel Araştırma",Başvuru!$A:$A,"&lt;&gt;"&amp;"",Başvuru!$F:$F,"&lt;&gt;"&amp;""))</f>
        <v/>
      </c>
      <c r="G386" s="162" t="str">
        <f>IF(C386="","",COUNTIFS(Başvuru!$C:$C,C386,Başvuru!$G:$G,"Uzmanlık Tezi",Başvuru!$A:$A,"&lt;&gt;"&amp;"",Başvuru!$F:$F,"&lt;&gt;"&amp;""))</f>
        <v/>
      </c>
      <c r="H386" s="162" t="str">
        <f>IF(C386="","",COUNTIFS(Başvuru!$C:$C,C386,Başvuru!$G:$G,"Doktora Tezi",Başvuru!$A:$A,"&lt;&gt;"&amp;"",Başvuru!$F:$F,"&lt;&gt;"&amp;""))</f>
        <v/>
      </c>
      <c r="I386" s="162" t="str">
        <f>IF(C386="","",COUNTIFS(Başvuru!$C:$C,C386,Başvuru!$G:$G,"Yüksek Lisans Tezi",Başvuru!$A:$A,"&lt;&gt;"&amp;"",Başvuru!$F:$F,"&lt;&gt;"&amp;""))</f>
        <v/>
      </c>
      <c r="J386" s="163" t="str">
        <f>IF(C386="","",COUNTIFS(Başvuru!$C:$C,C386,Başvuru!$L:$L,"ONAY",Başvuru!$A:$A,"&lt;&gt;"&amp;"",Başvuru!$F:$F,"&lt;&gt;"&amp;""))</f>
        <v/>
      </c>
      <c r="K386" s="164" t="str">
        <f>IF(C386="","",COUNTIFS(Başvuru!$C:$C,C386,Başvuru!$L:$L,"DÜZELTME",Başvuru!$A:$A,"&lt;&gt;"&amp;"",Başvuru!$F:$F,"&lt;&gt;"&amp;""))</f>
        <v/>
      </c>
      <c r="L386" s="165" t="str">
        <f>IF(C386="","",COUNTIFS(Başvuru!$C:$C,C386,Başvuru!$L:$L,"KAEK",Başvuru!$A:$A,"&lt;&gt;"&amp;"",Başvuru!$F:$F,"&lt;&gt;"&amp;""))</f>
        <v/>
      </c>
      <c r="M386" s="166" t="str">
        <f>IF(C386="","",COUNTIFS(Başvuru!$C:$C,C386,Başvuru!$L:$L,"GÖRÜŞ",Başvuru!$A:$A,"&lt;&gt;"&amp;"",Başvuru!$F:$F,"&lt;&gt;"&amp;""))</f>
        <v/>
      </c>
      <c r="N386" s="167" t="str">
        <f>IF(C386="","",COUNTIFS(Başvuru!$C:$C,C386,Başvuru!$L:$L,"RET",Başvuru!$A:$A,"&lt;&gt;"&amp;"",Başvuru!$F:$F,"&lt;&gt;"&amp;""))</f>
        <v/>
      </c>
      <c r="O386" s="168" t="str">
        <f>IF(C386="","",COUNTIFS(Başvuru!$C:$C,C386,Başvuru!$L:$L,"KAPSAM DIŞI",Başvuru!$A:$A,"&lt;&gt;"&amp;"",Başvuru!$F:$F,"&lt;&gt;"&amp;""))</f>
        <v/>
      </c>
      <c r="P386" s="169" t="str">
        <f>IF(C386="","",COUNTIFS(Başvuru!$C:$C,C386,Başvuru!$L:$L,"GERİ ÇEKİLDİ",Başvuru!$A:$A,"&lt;&gt;"&amp;"",Başvuru!$F:$F,"&lt;&gt;"&amp;""))</f>
        <v/>
      </c>
      <c r="Q386" s="170" t="str">
        <f>IFERROR(INDEX(Başvuru!$C$2:$C$1851,MATCH(381,Başvuru!$AB$2:$AB$1851,0)),"")</f>
        <v/>
      </c>
      <c r="R386" s="171" t="str">
        <f>IF(Q386="","",COUNTIFS(Başvuru!$C:$C,Q386,Başvuru!$A:$A,"&lt;&gt;"&amp;"",Başvuru!$F:$F,"&lt;&gt;"&amp;""))</f>
        <v/>
      </c>
      <c r="S386" s="171" t="str">
        <f>IF(R386="","",RANK(R386,$R$6:$R$505,0)+COUNTIF($R$6:R386,R386)-1)</f>
        <v/>
      </c>
    </row>
    <row r="387" spans="2:19" ht="23.25" customHeight="1" x14ac:dyDescent="0.25">
      <c r="B387" s="159">
        <v>382</v>
      </c>
      <c r="C387" s="160" t="str">
        <f>IFERROR(INDEX($Q$6:$Q$505,MATCH(382,$S$6:$S$505,0)),"")</f>
        <v/>
      </c>
      <c r="D387" s="161" t="str">
        <f>IF(C387="","",COUNTIFS(Başvuru!$C:$C,C387,Başvuru!$A:$A,"&lt;&gt;"&amp;"",Başvuru!$F:$F,"&lt;&gt;"&amp;""))</f>
        <v/>
      </c>
      <c r="E387" s="159" t="str">
        <f>IF(C387="","-",IF(D387&gt;0,TEXT(D387/(COUNTIFS(Başvuru!$A:$A,"&lt;&gt;",Başvuru!$F:$F,"&lt;&gt;")-1)*100,"0.0")&amp;"%","-"))</f>
        <v>-</v>
      </c>
      <c r="F387" s="162" t="str">
        <f>IF(C387="","",COUNTIFS(Başvuru!$C:$C,C387,Başvuru!$G:$G,"Bireysel Araştırma",Başvuru!$A:$A,"&lt;&gt;"&amp;"",Başvuru!$F:$F,"&lt;&gt;"&amp;""))</f>
        <v/>
      </c>
      <c r="G387" s="162" t="str">
        <f>IF(C387="","",COUNTIFS(Başvuru!$C:$C,C387,Başvuru!$G:$G,"Uzmanlık Tezi",Başvuru!$A:$A,"&lt;&gt;"&amp;"",Başvuru!$F:$F,"&lt;&gt;"&amp;""))</f>
        <v/>
      </c>
      <c r="H387" s="162" t="str">
        <f>IF(C387="","",COUNTIFS(Başvuru!$C:$C,C387,Başvuru!$G:$G,"Doktora Tezi",Başvuru!$A:$A,"&lt;&gt;"&amp;"",Başvuru!$F:$F,"&lt;&gt;"&amp;""))</f>
        <v/>
      </c>
      <c r="I387" s="162" t="str">
        <f>IF(C387="","",COUNTIFS(Başvuru!$C:$C,C387,Başvuru!$G:$G,"Yüksek Lisans Tezi",Başvuru!$A:$A,"&lt;&gt;"&amp;"",Başvuru!$F:$F,"&lt;&gt;"&amp;""))</f>
        <v/>
      </c>
      <c r="J387" s="163" t="str">
        <f>IF(C387="","",COUNTIFS(Başvuru!$C:$C,C387,Başvuru!$L:$L,"ONAY",Başvuru!$A:$A,"&lt;&gt;"&amp;"",Başvuru!$F:$F,"&lt;&gt;"&amp;""))</f>
        <v/>
      </c>
      <c r="K387" s="164" t="str">
        <f>IF(C387="","",COUNTIFS(Başvuru!$C:$C,C387,Başvuru!$L:$L,"DÜZELTME",Başvuru!$A:$A,"&lt;&gt;"&amp;"",Başvuru!$F:$F,"&lt;&gt;"&amp;""))</f>
        <v/>
      </c>
      <c r="L387" s="165" t="str">
        <f>IF(C387="","",COUNTIFS(Başvuru!$C:$C,C387,Başvuru!$L:$L,"KAEK",Başvuru!$A:$A,"&lt;&gt;"&amp;"",Başvuru!$F:$F,"&lt;&gt;"&amp;""))</f>
        <v/>
      </c>
      <c r="M387" s="166" t="str">
        <f>IF(C387="","",COUNTIFS(Başvuru!$C:$C,C387,Başvuru!$L:$L,"GÖRÜŞ",Başvuru!$A:$A,"&lt;&gt;"&amp;"",Başvuru!$F:$F,"&lt;&gt;"&amp;""))</f>
        <v/>
      </c>
      <c r="N387" s="167" t="str">
        <f>IF(C387="","",COUNTIFS(Başvuru!$C:$C,C387,Başvuru!$L:$L,"RET",Başvuru!$A:$A,"&lt;&gt;"&amp;"",Başvuru!$F:$F,"&lt;&gt;"&amp;""))</f>
        <v/>
      </c>
      <c r="O387" s="168" t="str">
        <f>IF(C387="","",COUNTIFS(Başvuru!$C:$C,C387,Başvuru!$L:$L,"KAPSAM DIŞI",Başvuru!$A:$A,"&lt;&gt;"&amp;"",Başvuru!$F:$F,"&lt;&gt;"&amp;""))</f>
        <v/>
      </c>
      <c r="P387" s="169" t="str">
        <f>IF(C387="","",COUNTIFS(Başvuru!$C:$C,C387,Başvuru!$L:$L,"GERİ ÇEKİLDİ",Başvuru!$A:$A,"&lt;&gt;"&amp;"",Başvuru!$F:$F,"&lt;&gt;"&amp;""))</f>
        <v/>
      </c>
      <c r="Q387" s="170" t="str">
        <f>IFERROR(INDEX(Başvuru!$C$2:$C$1851,MATCH(382,Başvuru!$AB$2:$AB$1851,0)),"")</f>
        <v/>
      </c>
      <c r="R387" s="171" t="str">
        <f>IF(Q387="","",COUNTIFS(Başvuru!$C:$C,Q387,Başvuru!$A:$A,"&lt;&gt;"&amp;"",Başvuru!$F:$F,"&lt;&gt;"&amp;""))</f>
        <v/>
      </c>
      <c r="S387" s="171" t="str">
        <f>IF(R387="","",RANK(R387,$R$6:$R$505,0)+COUNTIF($R$6:R387,R387)-1)</f>
        <v/>
      </c>
    </row>
    <row r="388" spans="2:19" ht="23.25" customHeight="1" x14ac:dyDescent="0.25">
      <c r="B388" s="159">
        <v>383</v>
      </c>
      <c r="C388" s="160" t="str">
        <f>IFERROR(INDEX($Q$6:$Q$505,MATCH(383,$S$6:$S$505,0)),"")</f>
        <v/>
      </c>
      <c r="D388" s="161" t="str">
        <f>IF(C388="","",COUNTIFS(Başvuru!$C:$C,C388,Başvuru!$A:$A,"&lt;&gt;"&amp;"",Başvuru!$F:$F,"&lt;&gt;"&amp;""))</f>
        <v/>
      </c>
      <c r="E388" s="159" t="str">
        <f>IF(C388="","-",IF(D388&gt;0,TEXT(D388/(COUNTIFS(Başvuru!$A:$A,"&lt;&gt;",Başvuru!$F:$F,"&lt;&gt;")-1)*100,"0.0")&amp;"%","-"))</f>
        <v>-</v>
      </c>
      <c r="F388" s="162" t="str">
        <f>IF(C388="","",COUNTIFS(Başvuru!$C:$C,C388,Başvuru!$G:$G,"Bireysel Araştırma",Başvuru!$A:$A,"&lt;&gt;"&amp;"",Başvuru!$F:$F,"&lt;&gt;"&amp;""))</f>
        <v/>
      </c>
      <c r="G388" s="162" t="str">
        <f>IF(C388="","",COUNTIFS(Başvuru!$C:$C,C388,Başvuru!$G:$G,"Uzmanlık Tezi",Başvuru!$A:$A,"&lt;&gt;"&amp;"",Başvuru!$F:$F,"&lt;&gt;"&amp;""))</f>
        <v/>
      </c>
      <c r="H388" s="162" t="str">
        <f>IF(C388="","",COUNTIFS(Başvuru!$C:$C,C388,Başvuru!$G:$G,"Doktora Tezi",Başvuru!$A:$A,"&lt;&gt;"&amp;"",Başvuru!$F:$F,"&lt;&gt;"&amp;""))</f>
        <v/>
      </c>
      <c r="I388" s="162" t="str">
        <f>IF(C388="","",COUNTIFS(Başvuru!$C:$C,C388,Başvuru!$G:$G,"Yüksek Lisans Tezi",Başvuru!$A:$A,"&lt;&gt;"&amp;"",Başvuru!$F:$F,"&lt;&gt;"&amp;""))</f>
        <v/>
      </c>
      <c r="J388" s="163" t="str">
        <f>IF(C388="","",COUNTIFS(Başvuru!$C:$C,C388,Başvuru!$L:$L,"ONAY",Başvuru!$A:$A,"&lt;&gt;"&amp;"",Başvuru!$F:$F,"&lt;&gt;"&amp;""))</f>
        <v/>
      </c>
      <c r="K388" s="164" t="str">
        <f>IF(C388="","",COUNTIFS(Başvuru!$C:$C,C388,Başvuru!$L:$L,"DÜZELTME",Başvuru!$A:$A,"&lt;&gt;"&amp;"",Başvuru!$F:$F,"&lt;&gt;"&amp;""))</f>
        <v/>
      </c>
      <c r="L388" s="165" t="str">
        <f>IF(C388="","",COUNTIFS(Başvuru!$C:$C,C388,Başvuru!$L:$L,"KAEK",Başvuru!$A:$A,"&lt;&gt;"&amp;"",Başvuru!$F:$F,"&lt;&gt;"&amp;""))</f>
        <v/>
      </c>
      <c r="M388" s="166" t="str">
        <f>IF(C388="","",COUNTIFS(Başvuru!$C:$C,C388,Başvuru!$L:$L,"GÖRÜŞ",Başvuru!$A:$A,"&lt;&gt;"&amp;"",Başvuru!$F:$F,"&lt;&gt;"&amp;""))</f>
        <v/>
      </c>
      <c r="N388" s="167" t="str">
        <f>IF(C388="","",COUNTIFS(Başvuru!$C:$C,C388,Başvuru!$L:$L,"RET",Başvuru!$A:$A,"&lt;&gt;"&amp;"",Başvuru!$F:$F,"&lt;&gt;"&amp;""))</f>
        <v/>
      </c>
      <c r="O388" s="168" t="str">
        <f>IF(C388="","",COUNTIFS(Başvuru!$C:$C,C388,Başvuru!$L:$L,"KAPSAM DIŞI",Başvuru!$A:$A,"&lt;&gt;"&amp;"",Başvuru!$F:$F,"&lt;&gt;"&amp;""))</f>
        <v/>
      </c>
      <c r="P388" s="169" t="str">
        <f>IF(C388="","",COUNTIFS(Başvuru!$C:$C,C388,Başvuru!$L:$L,"GERİ ÇEKİLDİ",Başvuru!$A:$A,"&lt;&gt;"&amp;"",Başvuru!$F:$F,"&lt;&gt;"&amp;""))</f>
        <v/>
      </c>
      <c r="Q388" s="170" t="str">
        <f>IFERROR(INDEX(Başvuru!$C$2:$C$1851,MATCH(383,Başvuru!$AB$2:$AB$1851,0)),"")</f>
        <v/>
      </c>
      <c r="R388" s="171" t="str">
        <f>IF(Q388="","",COUNTIFS(Başvuru!$C:$C,Q388,Başvuru!$A:$A,"&lt;&gt;"&amp;"",Başvuru!$F:$F,"&lt;&gt;"&amp;""))</f>
        <v/>
      </c>
      <c r="S388" s="171" t="str">
        <f>IF(R388="","",RANK(R388,$R$6:$R$505,0)+COUNTIF($R$6:R388,R388)-1)</f>
        <v/>
      </c>
    </row>
    <row r="389" spans="2:19" ht="23.25" customHeight="1" x14ac:dyDescent="0.25">
      <c r="B389" s="159">
        <v>384</v>
      </c>
      <c r="C389" s="160" t="str">
        <f>IFERROR(INDEX($Q$6:$Q$505,MATCH(384,$S$6:$S$505,0)),"")</f>
        <v/>
      </c>
      <c r="D389" s="161" t="str">
        <f>IF(C389="","",COUNTIFS(Başvuru!$C:$C,C389,Başvuru!$A:$A,"&lt;&gt;"&amp;"",Başvuru!$F:$F,"&lt;&gt;"&amp;""))</f>
        <v/>
      </c>
      <c r="E389" s="159" t="str">
        <f>IF(C389="","-",IF(D389&gt;0,TEXT(D389/(COUNTIFS(Başvuru!$A:$A,"&lt;&gt;",Başvuru!$F:$F,"&lt;&gt;")-1)*100,"0.0")&amp;"%","-"))</f>
        <v>-</v>
      </c>
      <c r="F389" s="162" t="str">
        <f>IF(C389="","",COUNTIFS(Başvuru!$C:$C,C389,Başvuru!$G:$G,"Bireysel Araştırma",Başvuru!$A:$A,"&lt;&gt;"&amp;"",Başvuru!$F:$F,"&lt;&gt;"&amp;""))</f>
        <v/>
      </c>
      <c r="G389" s="162" t="str">
        <f>IF(C389="","",COUNTIFS(Başvuru!$C:$C,C389,Başvuru!$G:$G,"Uzmanlık Tezi",Başvuru!$A:$A,"&lt;&gt;"&amp;"",Başvuru!$F:$F,"&lt;&gt;"&amp;""))</f>
        <v/>
      </c>
      <c r="H389" s="162" t="str">
        <f>IF(C389="","",COUNTIFS(Başvuru!$C:$C,C389,Başvuru!$G:$G,"Doktora Tezi",Başvuru!$A:$A,"&lt;&gt;"&amp;"",Başvuru!$F:$F,"&lt;&gt;"&amp;""))</f>
        <v/>
      </c>
      <c r="I389" s="162" t="str">
        <f>IF(C389="","",COUNTIFS(Başvuru!$C:$C,C389,Başvuru!$G:$G,"Yüksek Lisans Tezi",Başvuru!$A:$A,"&lt;&gt;"&amp;"",Başvuru!$F:$F,"&lt;&gt;"&amp;""))</f>
        <v/>
      </c>
      <c r="J389" s="163" t="str">
        <f>IF(C389="","",COUNTIFS(Başvuru!$C:$C,C389,Başvuru!$L:$L,"ONAY",Başvuru!$A:$A,"&lt;&gt;"&amp;"",Başvuru!$F:$F,"&lt;&gt;"&amp;""))</f>
        <v/>
      </c>
      <c r="K389" s="164" t="str">
        <f>IF(C389="","",COUNTIFS(Başvuru!$C:$C,C389,Başvuru!$L:$L,"DÜZELTME",Başvuru!$A:$A,"&lt;&gt;"&amp;"",Başvuru!$F:$F,"&lt;&gt;"&amp;""))</f>
        <v/>
      </c>
      <c r="L389" s="165" t="str">
        <f>IF(C389="","",COUNTIFS(Başvuru!$C:$C,C389,Başvuru!$L:$L,"KAEK",Başvuru!$A:$A,"&lt;&gt;"&amp;"",Başvuru!$F:$F,"&lt;&gt;"&amp;""))</f>
        <v/>
      </c>
      <c r="M389" s="166" t="str">
        <f>IF(C389="","",COUNTIFS(Başvuru!$C:$C,C389,Başvuru!$L:$L,"GÖRÜŞ",Başvuru!$A:$A,"&lt;&gt;"&amp;"",Başvuru!$F:$F,"&lt;&gt;"&amp;""))</f>
        <v/>
      </c>
      <c r="N389" s="167" t="str">
        <f>IF(C389="","",COUNTIFS(Başvuru!$C:$C,C389,Başvuru!$L:$L,"RET",Başvuru!$A:$A,"&lt;&gt;"&amp;"",Başvuru!$F:$F,"&lt;&gt;"&amp;""))</f>
        <v/>
      </c>
      <c r="O389" s="168" t="str">
        <f>IF(C389="","",COUNTIFS(Başvuru!$C:$C,C389,Başvuru!$L:$L,"KAPSAM DIŞI",Başvuru!$A:$A,"&lt;&gt;"&amp;"",Başvuru!$F:$F,"&lt;&gt;"&amp;""))</f>
        <v/>
      </c>
      <c r="P389" s="169" t="str">
        <f>IF(C389="","",COUNTIFS(Başvuru!$C:$C,C389,Başvuru!$L:$L,"GERİ ÇEKİLDİ",Başvuru!$A:$A,"&lt;&gt;"&amp;"",Başvuru!$F:$F,"&lt;&gt;"&amp;""))</f>
        <v/>
      </c>
      <c r="Q389" s="170" t="str">
        <f>IFERROR(INDEX(Başvuru!$C$2:$C$1851,MATCH(384,Başvuru!$AB$2:$AB$1851,0)),"")</f>
        <v/>
      </c>
      <c r="R389" s="171" t="str">
        <f>IF(Q389="","",COUNTIFS(Başvuru!$C:$C,Q389,Başvuru!$A:$A,"&lt;&gt;"&amp;"",Başvuru!$F:$F,"&lt;&gt;"&amp;""))</f>
        <v/>
      </c>
      <c r="S389" s="171" t="str">
        <f>IF(R389="","",RANK(R389,$R$6:$R$505,0)+COUNTIF($R$6:R389,R389)-1)</f>
        <v/>
      </c>
    </row>
    <row r="390" spans="2:19" ht="23.25" customHeight="1" x14ac:dyDescent="0.25">
      <c r="B390" s="159">
        <v>385</v>
      </c>
      <c r="C390" s="160" t="str">
        <f>IFERROR(INDEX($Q$6:$Q$505,MATCH(385,$S$6:$S$505,0)),"")</f>
        <v/>
      </c>
      <c r="D390" s="161" t="str">
        <f>IF(C390="","",COUNTIFS(Başvuru!$C:$C,C390,Başvuru!$A:$A,"&lt;&gt;"&amp;"",Başvuru!$F:$F,"&lt;&gt;"&amp;""))</f>
        <v/>
      </c>
      <c r="E390" s="159" t="str">
        <f>IF(C390="","-",IF(D390&gt;0,TEXT(D390/(COUNTIFS(Başvuru!$A:$A,"&lt;&gt;",Başvuru!$F:$F,"&lt;&gt;")-1)*100,"0.0")&amp;"%","-"))</f>
        <v>-</v>
      </c>
      <c r="F390" s="162" t="str">
        <f>IF(C390="","",COUNTIFS(Başvuru!$C:$C,C390,Başvuru!$G:$G,"Bireysel Araştırma",Başvuru!$A:$A,"&lt;&gt;"&amp;"",Başvuru!$F:$F,"&lt;&gt;"&amp;""))</f>
        <v/>
      </c>
      <c r="G390" s="162" t="str">
        <f>IF(C390="","",COUNTIFS(Başvuru!$C:$C,C390,Başvuru!$G:$G,"Uzmanlık Tezi",Başvuru!$A:$A,"&lt;&gt;"&amp;"",Başvuru!$F:$F,"&lt;&gt;"&amp;""))</f>
        <v/>
      </c>
      <c r="H390" s="162" t="str">
        <f>IF(C390="","",COUNTIFS(Başvuru!$C:$C,C390,Başvuru!$G:$G,"Doktora Tezi",Başvuru!$A:$A,"&lt;&gt;"&amp;"",Başvuru!$F:$F,"&lt;&gt;"&amp;""))</f>
        <v/>
      </c>
      <c r="I390" s="162" t="str">
        <f>IF(C390="","",COUNTIFS(Başvuru!$C:$C,C390,Başvuru!$G:$G,"Yüksek Lisans Tezi",Başvuru!$A:$A,"&lt;&gt;"&amp;"",Başvuru!$F:$F,"&lt;&gt;"&amp;""))</f>
        <v/>
      </c>
      <c r="J390" s="163" t="str">
        <f>IF(C390="","",COUNTIFS(Başvuru!$C:$C,C390,Başvuru!$L:$L,"ONAY",Başvuru!$A:$A,"&lt;&gt;"&amp;"",Başvuru!$F:$F,"&lt;&gt;"&amp;""))</f>
        <v/>
      </c>
      <c r="K390" s="164" t="str">
        <f>IF(C390="","",COUNTIFS(Başvuru!$C:$C,C390,Başvuru!$L:$L,"DÜZELTME",Başvuru!$A:$A,"&lt;&gt;"&amp;"",Başvuru!$F:$F,"&lt;&gt;"&amp;""))</f>
        <v/>
      </c>
      <c r="L390" s="165" t="str">
        <f>IF(C390="","",COUNTIFS(Başvuru!$C:$C,C390,Başvuru!$L:$L,"KAEK",Başvuru!$A:$A,"&lt;&gt;"&amp;"",Başvuru!$F:$F,"&lt;&gt;"&amp;""))</f>
        <v/>
      </c>
      <c r="M390" s="166" t="str">
        <f>IF(C390="","",COUNTIFS(Başvuru!$C:$C,C390,Başvuru!$L:$L,"GÖRÜŞ",Başvuru!$A:$A,"&lt;&gt;"&amp;"",Başvuru!$F:$F,"&lt;&gt;"&amp;""))</f>
        <v/>
      </c>
      <c r="N390" s="167" t="str">
        <f>IF(C390="","",COUNTIFS(Başvuru!$C:$C,C390,Başvuru!$L:$L,"RET",Başvuru!$A:$A,"&lt;&gt;"&amp;"",Başvuru!$F:$F,"&lt;&gt;"&amp;""))</f>
        <v/>
      </c>
      <c r="O390" s="168" t="str">
        <f>IF(C390="","",COUNTIFS(Başvuru!$C:$C,C390,Başvuru!$L:$L,"KAPSAM DIŞI",Başvuru!$A:$A,"&lt;&gt;"&amp;"",Başvuru!$F:$F,"&lt;&gt;"&amp;""))</f>
        <v/>
      </c>
      <c r="P390" s="169" t="str">
        <f>IF(C390="","",COUNTIFS(Başvuru!$C:$C,C390,Başvuru!$L:$L,"GERİ ÇEKİLDİ",Başvuru!$A:$A,"&lt;&gt;"&amp;"",Başvuru!$F:$F,"&lt;&gt;"&amp;""))</f>
        <v/>
      </c>
      <c r="Q390" s="170" t="str">
        <f>IFERROR(INDEX(Başvuru!$C$2:$C$1851,MATCH(385,Başvuru!$AB$2:$AB$1851,0)),"")</f>
        <v/>
      </c>
      <c r="R390" s="171" t="str">
        <f>IF(Q390="","",COUNTIFS(Başvuru!$C:$C,Q390,Başvuru!$A:$A,"&lt;&gt;"&amp;"",Başvuru!$F:$F,"&lt;&gt;"&amp;""))</f>
        <v/>
      </c>
      <c r="S390" s="171" t="str">
        <f>IF(R390="","",RANK(R390,$R$6:$R$505,0)+COUNTIF($R$6:R390,R390)-1)</f>
        <v/>
      </c>
    </row>
    <row r="391" spans="2:19" ht="23.25" customHeight="1" x14ac:dyDescent="0.25">
      <c r="B391" s="159">
        <v>386</v>
      </c>
      <c r="C391" s="160" t="str">
        <f>IFERROR(INDEX($Q$6:$Q$505,MATCH(386,$S$6:$S$505,0)),"")</f>
        <v/>
      </c>
      <c r="D391" s="161" t="str">
        <f>IF(C391="","",COUNTIFS(Başvuru!$C:$C,C391,Başvuru!$A:$A,"&lt;&gt;"&amp;"",Başvuru!$F:$F,"&lt;&gt;"&amp;""))</f>
        <v/>
      </c>
      <c r="E391" s="159" t="str">
        <f>IF(C391="","-",IF(D391&gt;0,TEXT(D391/(COUNTIFS(Başvuru!$A:$A,"&lt;&gt;",Başvuru!$F:$F,"&lt;&gt;")-1)*100,"0.0")&amp;"%","-"))</f>
        <v>-</v>
      </c>
      <c r="F391" s="162" t="str">
        <f>IF(C391="","",COUNTIFS(Başvuru!$C:$C,C391,Başvuru!$G:$G,"Bireysel Araştırma",Başvuru!$A:$A,"&lt;&gt;"&amp;"",Başvuru!$F:$F,"&lt;&gt;"&amp;""))</f>
        <v/>
      </c>
      <c r="G391" s="162" t="str">
        <f>IF(C391="","",COUNTIFS(Başvuru!$C:$C,C391,Başvuru!$G:$G,"Uzmanlık Tezi",Başvuru!$A:$A,"&lt;&gt;"&amp;"",Başvuru!$F:$F,"&lt;&gt;"&amp;""))</f>
        <v/>
      </c>
      <c r="H391" s="162" t="str">
        <f>IF(C391="","",COUNTIFS(Başvuru!$C:$C,C391,Başvuru!$G:$G,"Doktora Tezi",Başvuru!$A:$A,"&lt;&gt;"&amp;"",Başvuru!$F:$F,"&lt;&gt;"&amp;""))</f>
        <v/>
      </c>
      <c r="I391" s="162" t="str">
        <f>IF(C391="","",COUNTIFS(Başvuru!$C:$C,C391,Başvuru!$G:$G,"Yüksek Lisans Tezi",Başvuru!$A:$A,"&lt;&gt;"&amp;"",Başvuru!$F:$F,"&lt;&gt;"&amp;""))</f>
        <v/>
      </c>
      <c r="J391" s="163" t="str">
        <f>IF(C391="","",COUNTIFS(Başvuru!$C:$C,C391,Başvuru!$L:$L,"ONAY",Başvuru!$A:$A,"&lt;&gt;"&amp;"",Başvuru!$F:$F,"&lt;&gt;"&amp;""))</f>
        <v/>
      </c>
      <c r="K391" s="164" t="str">
        <f>IF(C391="","",COUNTIFS(Başvuru!$C:$C,C391,Başvuru!$L:$L,"DÜZELTME",Başvuru!$A:$A,"&lt;&gt;"&amp;"",Başvuru!$F:$F,"&lt;&gt;"&amp;""))</f>
        <v/>
      </c>
      <c r="L391" s="165" t="str">
        <f>IF(C391="","",COUNTIFS(Başvuru!$C:$C,C391,Başvuru!$L:$L,"KAEK",Başvuru!$A:$A,"&lt;&gt;"&amp;"",Başvuru!$F:$F,"&lt;&gt;"&amp;""))</f>
        <v/>
      </c>
      <c r="M391" s="166" t="str">
        <f>IF(C391="","",COUNTIFS(Başvuru!$C:$C,C391,Başvuru!$L:$L,"GÖRÜŞ",Başvuru!$A:$A,"&lt;&gt;"&amp;"",Başvuru!$F:$F,"&lt;&gt;"&amp;""))</f>
        <v/>
      </c>
      <c r="N391" s="167" t="str">
        <f>IF(C391="","",COUNTIFS(Başvuru!$C:$C,C391,Başvuru!$L:$L,"RET",Başvuru!$A:$A,"&lt;&gt;"&amp;"",Başvuru!$F:$F,"&lt;&gt;"&amp;""))</f>
        <v/>
      </c>
      <c r="O391" s="168" t="str">
        <f>IF(C391="","",COUNTIFS(Başvuru!$C:$C,C391,Başvuru!$L:$L,"KAPSAM DIŞI",Başvuru!$A:$A,"&lt;&gt;"&amp;"",Başvuru!$F:$F,"&lt;&gt;"&amp;""))</f>
        <v/>
      </c>
      <c r="P391" s="169" t="str">
        <f>IF(C391="","",COUNTIFS(Başvuru!$C:$C,C391,Başvuru!$L:$L,"GERİ ÇEKİLDİ",Başvuru!$A:$A,"&lt;&gt;"&amp;"",Başvuru!$F:$F,"&lt;&gt;"&amp;""))</f>
        <v/>
      </c>
      <c r="Q391" s="170" t="str">
        <f>IFERROR(INDEX(Başvuru!$C$2:$C$1851,MATCH(386,Başvuru!$AB$2:$AB$1851,0)),"")</f>
        <v/>
      </c>
      <c r="R391" s="171" t="str">
        <f>IF(Q391="","",COUNTIFS(Başvuru!$C:$C,Q391,Başvuru!$A:$A,"&lt;&gt;"&amp;"",Başvuru!$F:$F,"&lt;&gt;"&amp;""))</f>
        <v/>
      </c>
      <c r="S391" s="171" t="str">
        <f>IF(R391="","",RANK(R391,$R$6:$R$505,0)+COUNTIF($R$6:R391,R391)-1)</f>
        <v/>
      </c>
    </row>
    <row r="392" spans="2:19" ht="23.25" customHeight="1" x14ac:dyDescent="0.25">
      <c r="B392" s="159">
        <v>387</v>
      </c>
      <c r="C392" s="160" t="str">
        <f>IFERROR(INDEX($Q$6:$Q$505,MATCH(387,$S$6:$S$505,0)),"")</f>
        <v/>
      </c>
      <c r="D392" s="161" t="str">
        <f>IF(C392="","",COUNTIFS(Başvuru!$C:$C,C392,Başvuru!$A:$A,"&lt;&gt;"&amp;"",Başvuru!$F:$F,"&lt;&gt;"&amp;""))</f>
        <v/>
      </c>
      <c r="E392" s="159" t="str">
        <f>IF(C392="","-",IF(D392&gt;0,TEXT(D392/(COUNTIFS(Başvuru!$A:$A,"&lt;&gt;",Başvuru!$F:$F,"&lt;&gt;")-1)*100,"0.0")&amp;"%","-"))</f>
        <v>-</v>
      </c>
      <c r="F392" s="162" t="str">
        <f>IF(C392="","",COUNTIFS(Başvuru!$C:$C,C392,Başvuru!$G:$G,"Bireysel Araştırma",Başvuru!$A:$A,"&lt;&gt;"&amp;"",Başvuru!$F:$F,"&lt;&gt;"&amp;""))</f>
        <v/>
      </c>
      <c r="G392" s="162" t="str">
        <f>IF(C392="","",COUNTIFS(Başvuru!$C:$C,C392,Başvuru!$G:$G,"Uzmanlık Tezi",Başvuru!$A:$A,"&lt;&gt;"&amp;"",Başvuru!$F:$F,"&lt;&gt;"&amp;""))</f>
        <v/>
      </c>
      <c r="H392" s="162" t="str">
        <f>IF(C392="","",COUNTIFS(Başvuru!$C:$C,C392,Başvuru!$G:$G,"Doktora Tezi",Başvuru!$A:$A,"&lt;&gt;"&amp;"",Başvuru!$F:$F,"&lt;&gt;"&amp;""))</f>
        <v/>
      </c>
      <c r="I392" s="162" t="str">
        <f>IF(C392="","",COUNTIFS(Başvuru!$C:$C,C392,Başvuru!$G:$G,"Yüksek Lisans Tezi",Başvuru!$A:$A,"&lt;&gt;"&amp;"",Başvuru!$F:$F,"&lt;&gt;"&amp;""))</f>
        <v/>
      </c>
      <c r="J392" s="163" t="str">
        <f>IF(C392="","",COUNTIFS(Başvuru!$C:$C,C392,Başvuru!$L:$L,"ONAY",Başvuru!$A:$A,"&lt;&gt;"&amp;"",Başvuru!$F:$F,"&lt;&gt;"&amp;""))</f>
        <v/>
      </c>
      <c r="K392" s="164" t="str">
        <f>IF(C392="","",COUNTIFS(Başvuru!$C:$C,C392,Başvuru!$L:$L,"DÜZELTME",Başvuru!$A:$A,"&lt;&gt;"&amp;"",Başvuru!$F:$F,"&lt;&gt;"&amp;""))</f>
        <v/>
      </c>
      <c r="L392" s="165" t="str">
        <f>IF(C392="","",COUNTIFS(Başvuru!$C:$C,C392,Başvuru!$L:$L,"KAEK",Başvuru!$A:$A,"&lt;&gt;"&amp;"",Başvuru!$F:$F,"&lt;&gt;"&amp;""))</f>
        <v/>
      </c>
      <c r="M392" s="166" t="str">
        <f>IF(C392="","",COUNTIFS(Başvuru!$C:$C,C392,Başvuru!$L:$L,"GÖRÜŞ",Başvuru!$A:$A,"&lt;&gt;"&amp;"",Başvuru!$F:$F,"&lt;&gt;"&amp;""))</f>
        <v/>
      </c>
      <c r="N392" s="167" t="str">
        <f>IF(C392="","",COUNTIFS(Başvuru!$C:$C,C392,Başvuru!$L:$L,"RET",Başvuru!$A:$A,"&lt;&gt;"&amp;"",Başvuru!$F:$F,"&lt;&gt;"&amp;""))</f>
        <v/>
      </c>
      <c r="O392" s="168" t="str">
        <f>IF(C392="","",COUNTIFS(Başvuru!$C:$C,C392,Başvuru!$L:$L,"KAPSAM DIŞI",Başvuru!$A:$A,"&lt;&gt;"&amp;"",Başvuru!$F:$F,"&lt;&gt;"&amp;""))</f>
        <v/>
      </c>
      <c r="P392" s="169" t="str">
        <f>IF(C392="","",COUNTIFS(Başvuru!$C:$C,C392,Başvuru!$L:$L,"GERİ ÇEKİLDİ",Başvuru!$A:$A,"&lt;&gt;"&amp;"",Başvuru!$F:$F,"&lt;&gt;"&amp;""))</f>
        <v/>
      </c>
      <c r="Q392" s="170" t="str">
        <f>IFERROR(INDEX(Başvuru!$C$2:$C$1851,MATCH(387,Başvuru!$AB$2:$AB$1851,0)),"")</f>
        <v/>
      </c>
      <c r="R392" s="171" t="str">
        <f>IF(Q392="","",COUNTIFS(Başvuru!$C:$C,Q392,Başvuru!$A:$A,"&lt;&gt;"&amp;"",Başvuru!$F:$F,"&lt;&gt;"&amp;""))</f>
        <v/>
      </c>
      <c r="S392" s="171" t="str">
        <f>IF(R392="","",RANK(R392,$R$6:$R$505,0)+COUNTIF($R$6:R392,R392)-1)</f>
        <v/>
      </c>
    </row>
    <row r="393" spans="2:19" ht="23.25" customHeight="1" x14ac:dyDescent="0.25">
      <c r="B393" s="159">
        <v>388</v>
      </c>
      <c r="C393" s="160" t="str">
        <f>IFERROR(INDEX($Q$6:$Q$505,MATCH(388,$S$6:$S$505,0)),"")</f>
        <v/>
      </c>
      <c r="D393" s="161" t="str">
        <f>IF(C393="","",COUNTIFS(Başvuru!$C:$C,C393,Başvuru!$A:$A,"&lt;&gt;"&amp;"",Başvuru!$F:$F,"&lt;&gt;"&amp;""))</f>
        <v/>
      </c>
      <c r="E393" s="159" t="str">
        <f>IF(C393="","-",IF(D393&gt;0,TEXT(D393/(COUNTIFS(Başvuru!$A:$A,"&lt;&gt;",Başvuru!$F:$F,"&lt;&gt;")-1)*100,"0.0")&amp;"%","-"))</f>
        <v>-</v>
      </c>
      <c r="F393" s="162" t="str">
        <f>IF(C393="","",COUNTIFS(Başvuru!$C:$C,C393,Başvuru!$G:$G,"Bireysel Araştırma",Başvuru!$A:$A,"&lt;&gt;"&amp;"",Başvuru!$F:$F,"&lt;&gt;"&amp;""))</f>
        <v/>
      </c>
      <c r="G393" s="162" t="str">
        <f>IF(C393="","",COUNTIFS(Başvuru!$C:$C,C393,Başvuru!$G:$G,"Uzmanlık Tezi",Başvuru!$A:$A,"&lt;&gt;"&amp;"",Başvuru!$F:$F,"&lt;&gt;"&amp;""))</f>
        <v/>
      </c>
      <c r="H393" s="162" t="str">
        <f>IF(C393="","",COUNTIFS(Başvuru!$C:$C,C393,Başvuru!$G:$G,"Doktora Tezi",Başvuru!$A:$A,"&lt;&gt;"&amp;"",Başvuru!$F:$F,"&lt;&gt;"&amp;""))</f>
        <v/>
      </c>
      <c r="I393" s="162" t="str">
        <f>IF(C393="","",COUNTIFS(Başvuru!$C:$C,C393,Başvuru!$G:$G,"Yüksek Lisans Tezi",Başvuru!$A:$A,"&lt;&gt;"&amp;"",Başvuru!$F:$F,"&lt;&gt;"&amp;""))</f>
        <v/>
      </c>
      <c r="J393" s="163" t="str">
        <f>IF(C393="","",COUNTIFS(Başvuru!$C:$C,C393,Başvuru!$L:$L,"ONAY",Başvuru!$A:$A,"&lt;&gt;"&amp;"",Başvuru!$F:$F,"&lt;&gt;"&amp;""))</f>
        <v/>
      </c>
      <c r="K393" s="164" t="str">
        <f>IF(C393="","",COUNTIFS(Başvuru!$C:$C,C393,Başvuru!$L:$L,"DÜZELTME",Başvuru!$A:$A,"&lt;&gt;"&amp;"",Başvuru!$F:$F,"&lt;&gt;"&amp;""))</f>
        <v/>
      </c>
      <c r="L393" s="165" t="str">
        <f>IF(C393="","",COUNTIFS(Başvuru!$C:$C,C393,Başvuru!$L:$L,"KAEK",Başvuru!$A:$A,"&lt;&gt;"&amp;"",Başvuru!$F:$F,"&lt;&gt;"&amp;""))</f>
        <v/>
      </c>
      <c r="M393" s="166" t="str">
        <f>IF(C393="","",COUNTIFS(Başvuru!$C:$C,C393,Başvuru!$L:$L,"GÖRÜŞ",Başvuru!$A:$A,"&lt;&gt;"&amp;"",Başvuru!$F:$F,"&lt;&gt;"&amp;""))</f>
        <v/>
      </c>
      <c r="N393" s="167" t="str">
        <f>IF(C393="","",COUNTIFS(Başvuru!$C:$C,C393,Başvuru!$L:$L,"RET",Başvuru!$A:$A,"&lt;&gt;"&amp;"",Başvuru!$F:$F,"&lt;&gt;"&amp;""))</f>
        <v/>
      </c>
      <c r="O393" s="168" t="str">
        <f>IF(C393="","",COUNTIFS(Başvuru!$C:$C,C393,Başvuru!$L:$L,"KAPSAM DIŞI",Başvuru!$A:$A,"&lt;&gt;"&amp;"",Başvuru!$F:$F,"&lt;&gt;"&amp;""))</f>
        <v/>
      </c>
      <c r="P393" s="169" t="str">
        <f>IF(C393="","",COUNTIFS(Başvuru!$C:$C,C393,Başvuru!$L:$L,"GERİ ÇEKİLDİ",Başvuru!$A:$A,"&lt;&gt;"&amp;"",Başvuru!$F:$F,"&lt;&gt;"&amp;""))</f>
        <v/>
      </c>
      <c r="Q393" s="170" t="str">
        <f>IFERROR(INDEX(Başvuru!$C$2:$C$1851,MATCH(388,Başvuru!$AB$2:$AB$1851,0)),"")</f>
        <v/>
      </c>
      <c r="R393" s="171" t="str">
        <f>IF(Q393="","",COUNTIFS(Başvuru!$C:$C,Q393,Başvuru!$A:$A,"&lt;&gt;"&amp;"",Başvuru!$F:$F,"&lt;&gt;"&amp;""))</f>
        <v/>
      </c>
      <c r="S393" s="171" t="str">
        <f>IF(R393="","",RANK(R393,$R$6:$R$505,0)+COUNTIF($R$6:R393,R393)-1)</f>
        <v/>
      </c>
    </row>
    <row r="394" spans="2:19" ht="23.25" customHeight="1" x14ac:dyDescent="0.25">
      <c r="B394" s="159">
        <v>389</v>
      </c>
      <c r="C394" s="160" t="str">
        <f>IFERROR(INDEX($Q$6:$Q$505,MATCH(389,$S$6:$S$505,0)),"")</f>
        <v/>
      </c>
      <c r="D394" s="161" t="str">
        <f>IF(C394="","",COUNTIFS(Başvuru!$C:$C,C394,Başvuru!$A:$A,"&lt;&gt;"&amp;"",Başvuru!$F:$F,"&lt;&gt;"&amp;""))</f>
        <v/>
      </c>
      <c r="E394" s="159" t="str">
        <f>IF(C394="","-",IF(D394&gt;0,TEXT(D394/(COUNTIFS(Başvuru!$A:$A,"&lt;&gt;",Başvuru!$F:$F,"&lt;&gt;")-1)*100,"0.0")&amp;"%","-"))</f>
        <v>-</v>
      </c>
      <c r="F394" s="162" t="str">
        <f>IF(C394="","",COUNTIFS(Başvuru!$C:$C,C394,Başvuru!$G:$G,"Bireysel Araştırma",Başvuru!$A:$A,"&lt;&gt;"&amp;"",Başvuru!$F:$F,"&lt;&gt;"&amp;""))</f>
        <v/>
      </c>
      <c r="G394" s="162" t="str">
        <f>IF(C394="","",COUNTIFS(Başvuru!$C:$C,C394,Başvuru!$G:$G,"Uzmanlık Tezi",Başvuru!$A:$A,"&lt;&gt;"&amp;"",Başvuru!$F:$F,"&lt;&gt;"&amp;""))</f>
        <v/>
      </c>
      <c r="H394" s="162" t="str">
        <f>IF(C394="","",COUNTIFS(Başvuru!$C:$C,C394,Başvuru!$G:$G,"Doktora Tezi",Başvuru!$A:$A,"&lt;&gt;"&amp;"",Başvuru!$F:$F,"&lt;&gt;"&amp;""))</f>
        <v/>
      </c>
      <c r="I394" s="162" t="str">
        <f>IF(C394="","",COUNTIFS(Başvuru!$C:$C,C394,Başvuru!$G:$G,"Yüksek Lisans Tezi",Başvuru!$A:$A,"&lt;&gt;"&amp;"",Başvuru!$F:$F,"&lt;&gt;"&amp;""))</f>
        <v/>
      </c>
      <c r="J394" s="163" t="str">
        <f>IF(C394="","",COUNTIFS(Başvuru!$C:$C,C394,Başvuru!$L:$L,"ONAY",Başvuru!$A:$A,"&lt;&gt;"&amp;"",Başvuru!$F:$F,"&lt;&gt;"&amp;""))</f>
        <v/>
      </c>
      <c r="K394" s="164" t="str">
        <f>IF(C394="","",COUNTIFS(Başvuru!$C:$C,C394,Başvuru!$L:$L,"DÜZELTME",Başvuru!$A:$A,"&lt;&gt;"&amp;"",Başvuru!$F:$F,"&lt;&gt;"&amp;""))</f>
        <v/>
      </c>
      <c r="L394" s="165" t="str">
        <f>IF(C394="","",COUNTIFS(Başvuru!$C:$C,C394,Başvuru!$L:$L,"KAEK",Başvuru!$A:$A,"&lt;&gt;"&amp;"",Başvuru!$F:$F,"&lt;&gt;"&amp;""))</f>
        <v/>
      </c>
      <c r="M394" s="166" t="str">
        <f>IF(C394="","",COUNTIFS(Başvuru!$C:$C,C394,Başvuru!$L:$L,"GÖRÜŞ",Başvuru!$A:$A,"&lt;&gt;"&amp;"",Başvuru!$F:$F,"&lt;&gt;"&amp;""))</f>
        <v/>
      </c>
      <c r="N394" s="167" t="str">
        <f>IF(C394="","",COUNTIFS(Başvuru!$C:$C,C394,Başvuru!$L:$L,"RET",Başvuru!$A:$A,"&lt;&gt;"&amp;"",Başvuru!$F:$F,"&lt;&gt;"&amp;""))</f>
        <v/>
      </c>
      <c r="O394" s="168" t="str">
        <f>IF(C394="","",COUNTIFS(Başvuru!$C:$C,C394,Başvuru!$L:$L,"KAPSAM DIŞI",Başvuru!$A:$A,"&lt;&gt;"&amp;"",Başvuru!$F:$F,"&lt;&gt;"&amp;""))</f>
        <v/>
      </c>
      <c r="P394" s="169" t="str">
        <f>IF(C394="","",COUNTIFS(Başvuru!$C:$C,C394,Başvuru!$L:$L,"GERİ ÇEKİLDİ",Başvuru!$A:$A,"&lt;&gt;"&amp;"",Başvuru!$F:$F,"&lt;&gt;"&amp;""))</f>
        <v/>
      </c>
      <c r="Q394" s="170" t="str">
        <f>IFERROR(INDEX(Başvuru!$C$2:$C$1851,MATCH(389,Başvuru!$AB$2:$AB$1851,0)),"")</f>
        <v/>
      </c>
      <c r="R394" s="171" t="str">
        <f>IF(Q394="","",COUNTIFS(Başvuru!$C:$C,Q394,Başvuru!$A:$A,"&lt;&gt;"&amp;"",Başvuru!$F:$F,"&lt;&gt;"&amp;""))</f>
        <v/>
      </c>
      <c r="S394" s="171" t="str">
        <f>IF(R394="","",RANK(R394,$R$6:$R$505,0)+COUNTIF($R$6:R394,R394)-1)</f>
        <v/>
      </c>
    </row>
    <row r="395" spans="2:19" ht="23.25" customHeight="1" x14ac:dyDescent="0.25">
      <c r="B395" s="159">
        <v>390</v>
      </c>
      <c r="C395" s="160" t="str">
        <f>IFERROR(INDEX($Q$6:$Q$505,MATCH(390,$S$6:$S$505,0)),"")</f>
        <v/>
      </c>
      <c r="D395" s="161" t="str">
        <f>IF(C395="","",COUNTIFS(Başvuru!$C:$C,C395,Başvuru!$A:$A,"&lt;&gt;"&amp;"",Başvuru!$F:$F,"&lt;&gt;"&amp;""))</f>
        <v/>
      </c>
      <c r="E395" s="159" t="str">
        <f>IF(C395="","-",IF(D395&gt;0,TEXT(D395/(COUNTIFS(Başvuru!$A:$A,"&lt;&gt;",Başvuru!$F:$F,"&lt;&gt;")-1)*100,"0.0")&amp;"%","-"))</f>
        <v>-</v>
      </c>
      <c r="F395" s="162" t="str">
        <f>IF(C395="","",COUNTIFS(Başvuru!$C:$C,C395,Başvuru!$G:$G,"Bireysel Araştırma",Başvuru!$A:$A,"&lt;&gt;"&amp;"",Başvuru!$F:$F,"&lt;&gt;"&amp;""))</f>
        <v/>
      </c>
      <c r="G395" s="162" t="str">
        <f>IF(C395="","",COUNTIFS(Başvuru!$C:$C,C395,Başvuru!$G:$G,"Uzmanlık Tezi",Başvuru!$A:$A,"&lt;&gt;"&amp;"",Başvuru!$F:$F,"&lt;&gt;"&amp;""))</f>
        <v/>
      </c>
      <c r="H395" s="162" t="str">
        <f>IF(C395="","",COUNTIFS(Başvuru!$C:$C,C395,Başvuru!$G:$G,"Doktora Tezi",Başvuru!$A:$A,"&lt;&gt;"&amp;"",Başvuru!$F:$F,"&lt;&gt;"&amp;""))</f>
        <v/>
      </c>
      <c r="I395" s="162" t="str">
        <f>IF(C395="","",COUNTIFS(Başvuru!$C:$C,C395,Başvuru!$G:$G,"Yüksek Lisans Tezi",Başvuru!$A:$A,"&lt;&gt;"&amp;"",Başvuru!$F:$F,"&lt;&gt;"&amp;""))</f>
        <v/>
      </c>
      <c r="J395" s="163" t="str">
        <f>IF(C395="","",COUNTIFS(Başvuru!$C:$C,C395,Başvuru!$L:$L,"ONAY",Başvuru!$A:$A,"&lt;&gt;"&amp;"",Başvuru!$F:$F,"&lt;&gt;"&amp;""))</f>
        <v/>
      </c>
      <c r="K395" s="164" t="str">
        <f>IF(C395="","",COUNTIFS(Başvuru!$C:$C,C395,Başvuru!$L:$L,"DÜZELTME",Başvuru!$A:$A,"&lt;&gt;"&amp;"",Başvuru!$F:$F,"&lt;&gt;"&amp;""))</f>
        <v/>
      </c>
      <c r="L395" s="165" t="str">
        <f>IF(C395="","",COUNTIFS(Başvuru!$C:$C,C395,Başvuru!$L:$L,"KAEK",Başvuru!$A:$A,"&lt;&gt;"&amp;"",Başvuru!$F:$F,"&lt;&gt;"&amp;""))</f>
        <v/>
      </c>
      <c r="M395" s="166" t="str">
        <f>IF(C395="","",COUNTIFS(Başvuru!$C:$C,C395,Başvuru!$L:$L,"GÖRÜŞ",Başvuru!$A:$A,"&lt;&gt;"&amp;"",Başvuru!$F:$F,"&lt;&gt;"&amp;""))</f>
        <v/>
      </c>
      <c r="N395" s="167" t="str">
        <f>IF(C395="","",COUNTIFS(Başvuru!$C:$C,C395,Başvuru!$L:$L,"RET",Başvuru!$A:$A,"&lt;&gt;"&amp;"",Başvuru!$F:$F,"&lt;&gt;"&amp;""))</f>
        <v/>
      </c>
      <c r="O395" s="168" t="str">
        <f>IF(C395="","",COUNTIFS(Başvuru!$C:$C,C395,Başvuru!$L:$L,"KAPSAM DIŞI",Başvuru!$A:$A,"&lt;&gt;"&amp;"",Başvuru!$F:$F,"&lt;&gt;"&amp;""))</f>
        <v/>
      </c>
      <c r="P395" s="169" t="str">
        <f>IF(C395="","",COUNTIFS(Başvuru!$C:$C,C395,Başvuru!$L:$L,"GERİ ÇEKİLDİ",Başvuru!$A:$A,"&lt;&gt;"&amp;"",Başvuru!$F:$F,"&lt;&gt;"&amp;""))</f>
        <v/>
      </c>
      <c r="Q395" s="170" t="str">
        <f>IFERROR(INDEX(Başvuru!$C$2:$C$1851,MATCH(390,Başvuru!$AB$2:$AB$1851,0)),"")</f>
        <v/>
      </c>
      <c r="R395" s="171" t="str">
        <f>IF(Q395="","",COUNTIFS(Başvuru!$C:$C,Q395,Başvuru!$A:$A,"&lt;&gt;"&amp;"",Başvuru!$F:$F,"&lt;&gt;"&amp;""))</f>
        <v/>
      </c>
      <c r="S395" s="171" t="str">
        <f>IF(R395="","",RANK(R395,$R$6:$R$505,0)+COUNTIF($R$6:R395,R395)-1)</f>
        <v/>
      </c>
    </row>
    <row r="396" spans="2:19" ht="23.25" customHeight="1" x14ac:dyDescent="0.25">
      <c r="B396" s="159">
        <v>391</v>
      </c>
      <c r="C396" s="160" t="str">
        <f>IFERROR(INDEX($Q$6:$Q$505,MATCH(391,$S$6:$S$505,0)),"")</f>
        <v/>
      </c>
      <c r="D396" s="161" t="str">
        <f>IF(C396="","",COUNTIFS(Başvuru!$C:$C,C396,Başvuru!$A:$A,"&lt;&gt;"&amp;"",Başvuru!$F:$F,"&lt;&gt;"&amp;""))</f>
        <v/>
      </c>
      <c r="E396" s="159" t="str">
        <f>IF(C396="","-",IF(D396&gt;0,TEXT(D396/(COUNTIFS(Başvuru!$A:$A,"&lt;&gt;",Başvuru!$F:$F,"&lt;&gt;")-1)*100,"0.0")&amp;"%","-"))</f>
        <v>-</v>
      </c>
      <c r="F396" s="162" t="str">
        <f>IF(C396="","",COUNTIFS(Başvuru!$C:$C,C396,Başvuru!$G:$G,"Bireysel Araştırma",Başvuru!$A:$A,"&lt;&gt;"&amp;"",Başvuru!$F:$F,"&lt;&gt;"&amp;""))</f>
        <v/>
      </c>
      <c r="G396" s="162" t="str">
        <f>IF(C396="","",COUNTIFS(Başvuru!$C:$C,C396,Başvuru!$G:$G,"Uzmanlık Tezi",Başvuru!$A:$A,"&lt;&gt;"&amp;"",Başvuru!$F:$F,"&lt;&gt;"&amp;""))</f>
        <v/>
      </c>
      <c r="H396" s="162" t="str">
        <f>IF(C396="","",COUNTIFS(Başvuru!$C:$C,C396,Başvuru!$G:$G,"Doktora Tezi",Başvuru!$A:$A,"&lt;&gt;"&amp;"",Başvuru!$F:$F,"&lt;&gt;"&amp;""))</f>
        <v/>
      </c>
      <c r="I396" s="162" t="str">
        <f>IF(C396="","",COUNTIFS(Başvuru!$C:$C,C396,Başvuru!$G:$G,"Yüksek Lisans Tezi",Başvuru!$A:$A,"&lt;&gt;"&amp;"",Başvuru!$F:$F,"&lt;&gt;"&amp;""))</f>
        <v/>
      </c>
      <c r="J396" s="163" t="str">
        <f>IF(C396="","",COUNTIFS(Başvuru!$C:$C,C396,Başvuru!$L:$L,"ONAY",Başvuru!$A:$A,"&lt;&gt;"&amp;"",Başvuru!$F:$F,"&lt;&gt;"&amp;""))</f>
        <v/>
      </c>
      <c r="K396" s="164" t="str">
        <f>IF(C396="","",COUNTIFS(Başvuru!$C:$C,C396,Başvuru!$L:$L,"DÜZELTME",Başvuru!$A:$A,"&lt;&gt;"&amp;"",Başvuru!$F:$F,"&lt;&gt;"&amp;""))</f>
        <v/>
      </c>
      <c r="L396" s="165" t="str">
        <f>IF(C396="","",COUNTIFS(Başvuru!$C:$C,C396,Başvuru!$L:$L,"KAEK",Başvuru!$A:$A,"&lt;&gt;"&amp;"",Başvuru!$F:$F,"&lt;&gt;"&amp;""))</f>
        <v/>
      </c>
      <c r="M396" s="166" t="str">
        <f>IF(C396="","",COUNTIFS(Başvuru!$C:$C,C396,Başvuru!$L:$L,"GÖRÜŞ",Başvuru!$A:$A,"&lt;&gt;"&amp;"",Başvuru!$F:$F,"&lt;&gt;"&amp;""))</f>
        <v/>
      </c>
      <c r="N396" s="167" t="str">
        <f>IF(C396="","",COUNTIFS(Başvuru!$C:$C,C396,Başvuru!$L:$L,"RET",Başvuru!$A:$A,"&lt;&gt;"&amp;"",Başvuru!$F:$F,"&lt;&gt;"&amp;""))</f>
        <v/>
      </c>
      <c r="O396" s="168" t="str">
        <f>IF(C396="","",COUNTIFS(Başvuru!$C:$C,C396,Başvuru!$L:$L,"KAPSAM DIŞI",Başvuru!$A:$A,"&lt;&gt;"&amp;"",Başvuru!$F:$F,"&lt;&gt;"&amp;""))</f>
        <v/>
      </c>
      <c r="P396" s="169" t="str">
        <f>IF(C396="","",COUNTIFS(Başvuru!$C:$C,C396,Başvuru!$L:$L,"GERİ ÇEKİLDİ",Başvuru!$A:$A,"&lt;&gt;"&amp;"",Başvuru!$F:$F,"&lt;&gt;"&amp;""))</f>
        <v/>
      </c>
      <c r="Q396" s="170" t="str">
        <f>IFERROR(INDEX(Başvuru!$C$2:$C$1851,MATCH(391,Başvuru!$AB$2:$AB$1851,0)),"")</f>
        <v/>
      </c>
      <c r="R396" s="171" t="str">
        <f>IF(Q396="","",COUNTIFS(Başvuru!$C:$C,Q396,Başvuru!$A:$A,"&lt;&gt;"&amp;"",Başvuru!$F:$F,"&lt;&gt;"&amp;""))</f>
        <v/>
      </c>
      <c r="S396" s="171" t="str">
        <f>IF(R396="","",RANK(R396,$R$6:$R$505,0)+COUNTIF($R$6:R396,R396)-1)</f>
        <v/>
      </c>
    </row>
    <row r="397" spans="2:19" ht="23.25" customHeight="1" x14ac:dyDescent="0.25">
      <c r="B397" s="159">
        <v>392</v>
      </c>
      <c r="C397" s="160" t="str">
        <f>IFERROR(INDEX($Q$6:$Q$505,MATCH(392,$S$6:$S$505,0)),"")</f>
        <v/>
      </c>
      <c r="D397" s="161" t="str">
        <f>IF(C397="","",COUNTIFS(Başvuru!$C:$C,C397,Başvuru!$A:$A,"&lt;&gt;"&amp;"",Başvuru!$F:$F,"&lt;&gt;"&amp;""))</f>
        <v/>
      </c>
      <c r="E397" s="159" t="str">
        <f>IF(C397="","-",IF(D397&gt;0,TEXT(D397/(COUNTIFS(Başvuru!$A:$A,"&lt;&gt;",Başvuru!$F:$F,"&lt;&gt;")-1)*100,"0.0")&amp;"%","-"))</f>
        <v>-</v>
      </c>
      <c r="F397" s="162" t="str">
        <f>IF(C397="","",COUNTIFS(Başvuru!$C:$C,C397,Başvuru!$G:$G,"Bireysel Araştırma",Başvuru!$A:$A,"&lt;&gt;"&amp;"",Başvuru!$F:$F,"&lt;&gt;"&amp;""))</f>
        <v/>
      </c>
      <c r="G397" s="162" t="str">
        <f>IF(C397="","",COUNTIFS(Başvuru!$C:$C,C397,Başvuru!$G:$G,"Uzmanlık Tezi",Başvuru!$A:$A,"&lt;&gt;"&amp;"",Başvuru!$F:$F,"&lt;&gt;"&amp;""))</f>
        <v/>
      </c>
      <c r="H397" s="162" t="str">
        <f>IF(C397="","",COUNTIFS(Başvuru!$C:$C,C397,Başvuru!$G:$G,"Doktora Tezi",Başvuru!$A:$A,"&lt;&gt;"&amp;"",Başvuru!$F:$F,"&lt;&gt;"&amp;""))</f>
        <v/>
      </c>
      <c r="I397" s="162" t="str">
        <f>IF(C397="","",COUNTIFS(Başvuru!$C:$C,C397,Başvuru!$G:$G,"Yüksek Lisans Tezi",Başvuru!$A:$A,"&lt;&gt;"&amp;"",Başvuru!$F:$F,"&lt;&gt;"&amp;""))</f>
        <v/>
      </c>
      <c r="J397" s="163" t="str">
        <f>IF(C397="","",COUNTIFS(Başvuru!$C:$C,C397,Başvuru!$L:$L,"ONAY",Başvuru!$A:$A,"&lt;&gt;"&amp;"",Başvuru!$F:$F,"&lt;&gt;"&amp;""))</f>
        <v/>
      </c>
      <c r="K397" s="164" t="str">
        <f>IF(C397="","",COUNTIFS(Başvuru!$C:$C,C397,Başvuru!$L:$L,"DÜZELTME",Başvuru!$A:$A,"&lt;&gt;"&amp;"",Başvuru!$F:$F,"&lt;&gt;"&amp;""))</f>
        <v/>
      </c>
      <c r="L397" s="165" t="str">
        <f>IF(C397="","",COUNTIFS(Başvuru!$C:$C,C397,Başvuru!$L:$L,"KAEK",Başvuru!$A:$A,"&lt;&gt;"&amp;"",Başvuru!$F:$F,"&lt;&gt;"&amp;""))</f>
        <v/>
      </c>
      <c r="M397" s="166" t="str">
        <f>IF(C397="","",COUNTIFS(Başvuru!$C:$C,C397,Başvuru!$L:$L,"GÖRÜŞ",Başvuru!$A:$A,"&lt;&gt;"&amp;"",Başvuru!$F:$F,"&lt;&gt;"&amp;""))</f>
        <v/>
      </c>
      <c r="N397" s="167" t="str">
        <f>IF(C397="","",COUNTIFS(Başvuru!$C:$C,C397,Başvuru!$L:$L,"RET",Başvuru!$A:$A,"&lt;&gt;"&amp;"",Başvuru!$F:$F,"&lt;&gt;"&amp;""))</f>
        <v/>
      </c>
      <c r="O397" s="168" t="str">
        <f>IF(C397="","",COUNTIFS(Başvuru!$C:$C,C397,Başvuru!$L:$L,"KAPSAM DIŞI",Başvuru!$A:$A,"&lt;&gt;"&amp;"",Başvuru!$F:$F,"&lt;&gt;"&amp;""))</f>
        <v/>
      </c>
      <c r="P397" s="169" t="str">
        <f>IF(C397="","",COUNTIFS(Başvuru!$C:$C,C397,Başvuru!$L:$L,"GERİ ÇEKİLDİ",Başvuru!$A:$A,"&lt;&gt;"&amp;"",Başvuru!$F:$F,"&lt;&gt;"&amp;""))</f>
        <v/>
      </c>
      <c r="Q397" s="170" t="str">
        <f>IFERROR(INDEX(Başvuru!$C$2:$C$1851,MATCH(392,Başvuru!$AB$2:$AB$1851,0)),"")</f>
        <v/>
      </c>
      <c r="R397" s="171" t="str">
        <f>IF(Q397="","",COUNTIFS(Başvuru!$C:$C,Q397,Başvuru!$A:$A,"&lt;&gt;"&amp;"",Başvuru!$F:$F,"&lt;&gt;"&amp;""))</f>
        <v/>
      </c>
      <c r="S397" s="171" t="str">
        <f>IF(R397="","",RANK(R397,$R$6:$R$505,0)+COUNTIF($R$6:R397,R397)-1)</f>
        <v/>
      </c>
    </row>
    <row r="398" spans="2:19" ht="23.25" customHeight="1" x14ac:dyDescent="0.25">
      <c r="B398" s="159">
        <v>393</v>
      </c>
      <c r="C398" s="160" t="str">
        <f>IFERROR(INDEX($Q$6:$Q$505,MATCH(393,$S$6:$S$505,0)),"")</f>
        <v/>
      </c>
      <c r="D398" s="161" t="str">
        <f>IF(C398="","",COUNTIFS(Başvuru!$C:$C,C398,Başvuru!$A:$A,"&lt;&gt;"&amp;"",Başvuru!$F:$F,"&lt;&gt;"&amp;""))</f>
        <v/>
      </c>
      <c r="E398" s="159" t="str">
        <f>IF(C398="","-",IF(D398&gt;0,TEXT(D398/(COUNTIFS(Başvuru!$A:$A,"&lt;&gt;",Başvuru!$F:$F,"&lt;&gt;")-1)*100,"0.0")&amp;"%","-"))</f>
        <v>-</v>
      </c>
      <c r="F398" s="162" t="str">
        <f>IF(C398="","",COUNTIFS(Başvuru!$C:$C,C398,Başvuru!$G:$G,"Bireysel Araştırma",Başvuru!$A:$A,"&lt;&gt;"&amp;"",Başvuru!$F:$F,"&lt;&gt;"&amp;""))</f>
        <v/>
      </c>
      <c r="G398" s="162" t="str">
        <f>IF(C398="","",COUNTIFS(Başvuru!$C:$C,C398,Başvuru!$G:$G,"Uzmanlık Tezi",Başvuru!$A:$A,"&lt;&gt;"&amp;"",Başvuru!$F:$F,"&lt;&gt;"&amp;""))</f>
        <v/>
      </c>
      <c r="H398" s="162" t="str">
        <f>IF(C398="","",COUNTIFS(Başvuru!$C:$C,C398,Başvuru!$G:$G,"Doktora Tezi",Başvuru!$A:$A,"&lt;&gt;"&amp;"",Başvuru!$F:$F,"&lt;&gt;"&amp;""))</f>
        <v/>
      </c>
      <c r="I398" s="162" t="str">
        <f>IF(C398="","",COUNTIFS(Başvuru!$C:$C,C398,Başvuru!$G:$G,"Yüksek Lisans Tezi",Başvuru!$A:$A,"&lt;&gt;"&amp;"",Başvuru!$F:$F,"&lt;&gt;"&amp;""))</f>
        <v/>
      </c>
      <c r="J398" s="163" t="str">
        <f>IF(C398="","",COUNTIFS(Başvuru!$C:$C,C398,Başvuru!$L:$L,"ONAY",Başvuru!$A:$A,"&lt;&gt;"&amp;"",Başvuru!$F:$F,"&lt;&gt;"&amp;""))</f>
        <v/>
      </c>
      <c r="K398" s="164" t="str">
        <f>IF(C398="","",COUNTIFS(Başvuru!$C:$C,C398,Başvuru!$L:$L,"DÜZELTME",Başvuru!$A:$A,"&lt;&gt;"&amp;"",Başvuru!$F:$F,"&lt;&gt;"&amp;""))</f>
        <v/>
      </c>
      <c r="L398" s="165" t="str">
        <f>IF(C398="","",COUNTIFS(Başvuru!$C:$C,C398,Başvuru!$L:$L,"KAEK",Başvuru!$A:$A,"&lt;&gt;"&amp;"",Başvuru!$F:$F,"&lt;&gt;"&amp;""))</f>
        <v/>
      </c>
      <c r="M398" s="166" t="str">
        <f>IF(C398="","",COUNTIFS(Başvuru!$C:$C,C398,Başvuru!$L:$L,"GÖRÜŞ",Başvuru!$A:$A,"&lt;&gt;"&amp;"",Başvuru!$F:$F,"&lt;&gt;"&amp;""))</f>
        <v/>
      </c>
      <c r="N398" s="167" t="str">
        <f>IF(C398="","",COUNTIFS(Başvuru!$C:$C,C398,Başvuru!$L:$L,"RET",Başvuru!$A:$A,"&lt;&gt;"&amp;"",Başvuru!$F:$F,"&lt;&gt;"&amp;""))</f>
        <v/>
      </c>
      <c r="O398" s="168" t="str">
        <f>IF(C398="","",COUNTIFS(Başvuru!$C:$C,C398,Başvuru!$L:$L,"KAPSAM DIŞI",Başvuru!$A:$A,"&lt;&gt;"&amp;"",Başvuru!$F:$F,"&lt;&gt;"&amp;""))</f>
        <v/>
      </c>
      <c r="P398" s="169" t="str">
        <f>IF(C398="","",COUNTIFS(Başvuru!$C:$C,C398,Başvuru!$L:$L,"GERİ ÇEKİLDİ",Başvuru!$A:$A,"&lt;&gt;"&amp;"",Başvuru!$F:$F,"&lt;&gt;"&amp;""))</f>
        <v/>
      </c>
      <c r="Q398" s="170" t="str">
        <f>IFERROR(INDEX(Başvuru!$C$2:$C$1851,MATCH(393,Başvuru!$AB$2:$AB$1851,0)),"")</f>
        <v/>
      </c>
      <c r="R398" s="171" t="str">
        <f>IF(Q398="","",COUNTIFS(Başvuru!$C:$C,Q398,Başvuru!$A:$A,"&lt;&gt;"&amp;"",Başvuru!$F:$F,"&lt;&gt;"&amp;""))</f>
        <v/>
      </c>
      <c r="S398" s="171" t="str">
        <f>IF(R398="","",RANK(R398,$R$6:$R$505,0)+COUNTIF($R$6:R398,R398)-1)</f>
        <v/>
      </c>
    </row>
    <row r="399" spans="2:19" ht="23.25" customHeight="1" x14ac:dyDescent="0.25">
      <c r="B399" s="159">
        <v>394</v>
      </c>
      <c r="C399" s="160" t="str">
        <f>IFERROR(INDEX($Q$6:$Q$505,MATCH(394,$S$6:$S$505,0)),"")</f>
        <v/>
      </c>
      <c r="D399" s="161" t="str">
        <f>IF(C399="","",COUNTIFS(Başvuru!$C:$C,C399,Başvuru!$A:$A,"&lt;&gt;"&amp;"",Başvuru!$F:$F,"&lt;&gt;"&amp;""))</f>
        <v/>
      </c>
      <c r="E399" s="159" t="str">
        <f>IF(C399="","-",IF(D399&gt;0,TEXT(D399/(COUNTIFS(Başvuru!$A:$A,"&lt;&gt;",Başvuru!$F:$F,"&lt;&gt;")-1)*100,"0.0")&amp;"%","-"))</f>
        <v>-</v>
      </c>
      <c r="F399" s="162" t="str">
        <f>IF(C399="","",COUNTIFS(Başvuru!$C:$C,C399,Başvuru!$G:$G,"Bireysel Araştırma",Başvuru!$A:$A,"&lt;&gt;"&amp;"",Başvuru!$F:$F,"&lt;&gt;"&amp;""))</f>
        <v/>
      </c>
      <c r="G399" s="162" t="str">
        <f>IF(C399="","",COUNTIFS(Başvuru!$C:$C,C399,Başvuru!$G:$G,"Uzmanlık Tezi",Başvuru!$A:$A,"&lt;&gt;"&amp;"",Başvuru!$F:$F,"&lt;&gt;"&amp;""))</f>
        <v/>
      </c>
      <c r="H399" s="162" t="str">
        <f>IF(C399="","",COUNTIFS(Başvuru!$C:$C,C399,Başvuru!$G:$G,"Doktora Tezi",Başvuru!$A:$A,"&lt;&gt;"&amp;"",Başvuru!$F:$F,"&lt;&gt;"&amp;""))</f>
        <v/>
      </c>
      <c r="I399" s="162" t="str">
        <f>IF(C399="","",COUNTIFS(Başvuru!$C:$C,C399,Başvuru!$G:$G,"Yüksek Lisans Tezi",Başvuru!$A:$A,"&lt;&gt;"&amp;"",Başvuru!$F:$F,"&lt;&gt;"&amp;""))</f>
        <v/>
      </c>
      <c r="J399" s="163" t="str">
        <f>IF(C399="","",COUNTIFS(Başvuru!$C:$C,C399,Başvuru!$L:$L,"ONAY",Başvuru!$A:$A,"&lt;&gt;"&amp;"",Başvuru!$F:$F,"&lt;&gt;"&amp;""))</f>
        <v/>
      </c>
      <c r="K399" s="164" t="str">
        <f>IF(C399="","",COUNTIFS(Başvuru!$C:$C,C399,Başvuru!$L:$L,"DÜZELTME",Başvuru!$A:$A,"&lt;&gt;"&amp;"",Başvuru!$F:$F,"&lt;&gt;"&amp;""))</f>
        <v/>
      </c>
      <c r="L399" s="165" t="str">
        <f>IF(C399="","",COUNTIFS(Başvuru!$C:$C,C399,Başvuru!$L:$L,"KAEK",Başvuru!$A:$A,"&lt;&gt;"&amp;"",Başvuru!$F:$F,"&lt;&gt;"&amp;""))</f>
        <v/>
      </c>
      <c r="M399" s="166" t="str">
        <f>IF(C399="","",COUNTIFS(Başvuru!$C:$C,C399,Başvuru!$L:$L,"GÖRÜŞ",Başvuru!$A:$A,"&lt;&gt;"&amp;"",Başvuru!$F:$F,"&lt;&gt;"&amp;""))</f>
        <v/>
      </c>
      <c r="N399" s="167" t="str">
        <f>IF(C399="","",COUNTIFS(Başvuru!$C:$C,C399,Başvuru!$L:$L,"RET",Başvuru!$A:$A,"&lt;&gt;"&amp;"",Başvuru!$F:$F,"&lt;&gt;"&amp;""))</f>
        <v/>
      </c>
      <c r="O399" s="168" t="str">
        <f>IF(C399="","",COUNTIFS(Başvuru!$C:$C,C399,Başvuru!$L:$L,"KAPSAM DIŞI",Başvuru!$A:$A,"&lt;&gt;"&amp;"",Başvuru!$F:$F,"&lt;&gt;"&amp;""))</f>
        <v/>
      </c>
      <c r="P399" s="169" t="str">
        <f>IF(C399="","",COUNTIFS(Başvuru!$C:$C,C399,Başvuru!$L:$L,"GERİ ÇEKİLDİ",Başvuru!$A:$A,"&lt;&gt;"&amp;"",Başvuru!$F:$F,"&lt;&gt;"&amp;""))</f>
        <v/>
      </c>
      <c r="Q399" s="170" t="str">
        <f>IFERROR(INDEX(Başvuru!$C$2:$C$1851,MATCH(394,Başvuru!$AB$2:$AB$1851,0)),"")</f>
        <v/>
      </c>
      <c r="R399" s="171" t="str">
        <f>IF(Q399="","",COUNTIFS(Başvuru!$C:$C,Q399,Başvuru!$A:$A,"&lt;&gt;"&amp;"",Başvuru!$F:$F,"&lt;&gt;"&amp;""))</f>
        <v/>
      </c>
      <c r="S399" s="171" t="str">
        <f>IF(R399="","",RANK(R399,$R$6:$R$505,0)+COUNTIF($R$6:R399,R399)-1)</f>
        <v/>
      </c>
    </row>
    <row r="400" spans="2:19" ht="23.25" customHeight="1" x14ac:dyDescent="0.25">
      <c r="B400" s="159">
        <v>395</v>
      </c>
      <c r="C400" s="160" t="str">
        <f>IFERROR(INDEX($Q$6:$Q$505,MATCH(395,$S$6:$S$505,0)),"")</f>
        <v/>
      </c>
      <c r="D400" s="161" t="str">
        <f>IF(C400="","",COUNTIFS(Başvuru!$C:$C,C400,Başvuru!$A:$A,"&lt;&gt;"&amp;"",Başvuru!$F:$F,"&lt;&gt;"&amp;""))</f>
        <v/>
      </c>
      <c r="E400" s="159" t="str">
        <f>IF(C400="","-",IF(D400&gt;0,TEXT(D400/(COUNTIFS(Başvuru!$A:$A,"&lt;&gt;",Başvuru!$F:$F,"&lt;&gt;")-1)*100,"0.0")&amp;"%","-"))</f>
        <v>-</v>
      </c>
      <c r="F400" s="162" t="str">
        <f>IF(C400="","",COUNTIFS(Başvuru!$C:$C,C400,Başvuru!$G:$G,"Bireysel Araştırma",Başvuru!$A:$A,"&lt;&gt;"&amp;"",Başvuru!$F:$F,"&lt;&gt;"&amp;""))</f>
        <v/>
      </c>
      <c r="G400" s="162" t="str">
        <f>IF(C400="","",COUNTIFS(Başvuru!$C:$C,C400,Başvuru!$G:$G,"Uzmanlık Tezi",Başvuru!$A:$A,"&lt;&gt;"&amp;"",Başvuru!$F:$F,"&lt;&gt;"&amp;""))</f>
        <v/>
      </c>
      <c r="H400" s="162" t="str">
        <f>IF(C400="","",COUNTIFS(Başvuru!$C:$C,C400,Başvuru!$G:$G,"Doktora Tezi",Başvuru!$A:$A,"&lt;&gt;"&amp;"",Başvuru!$F:$F,"&lt;&gt;"&amp;""))</f>
        <v/>
      </c>
      <c r="I400" s="162" t="str">
        <f>IF(C400="","",COUNTIFS(Başvuru!$C:$C,C400,Başvuru!$G:$G,"Yüksek Lisans Tezi",Başvuru!$A:$A,"&lt;&gt;"&amp;"",Başvuru!$F:$F,"&lt;&gt;"&amp;""))</f>
        <v/>
      </c>
      <c r="J400" s="163" t="str">
        <f>IF(C400="","",COUNTIFS(Başvuru!$C:$C,C400,Başvuru!$L:$L,"ONAY",Başvuru!$A:$A,"&lt;&gt;"&amp;"",Başvuru!$F:$F,"&lt;&gt;"&amp;""))</f>
        <v/>
      </c>
      <c r="K400" s="164" t="str">
        <f>IF(C400="","",COUNTIFS(Başvuru!$C:$C,C400,Başvuru!$L:$L,"DÜZELTME",Başvuru!$A:$A,"&lt;&gt;"&amp;"",Başvuru!$F:$F,"&lt;&gt;"&amp;""))</f>
        <v/>
      </c>
      <c r="L400" s="165" t="str">
        <f>IF(C400="","",COUNTIFS(Başvuru!$C:$C,C400,Başvuru!$L:$L,"KAEK",Başvuru!$A:$A,"&lt;&gt;"&amp;"",Başvuru!$F:$F,"&lt;&gt;"&amp;""))</f>
        <v/>
      </c>
      <c r="M400" s="166" t="str">
        <f>IF(C400="","",COUNTIFS(Başvuru!$C:$C,C400,Başvuru!$L:$L,"GÖRÜŞ",Başvuru!$A:$A,"&lt;&gt;"&amp;"",Başvuru!$F:$F,"&lt;&gt;"&amp;""))</f>
        <v/>
      </c>
      <c r="N400" s="167" t="str">
        <f>IF(C400="","",COUNTIFS(Başvuru!$C:$C,C400,Başvuru!$L:$L,"RET",Başvuru!$A:$A,"&lt;&gt;"&amp;"",Başvuru!$F:$F,"&lt;&gt;"&amp;""))</f>
        <v/>
      </c>
      <c r="O400" s="168" t="str">
        <f>IF(C400="","",COUNTIFS(Başvuru!$C:$C,C400,Başvuru!$L:$L,"KAPSAM DIŞI",Başvuru!$A:$A,"&lt;&gt;"&amp;"",Başvuru!$F:$F,"&lt;&gt;"&amp;""))</f>
        <v/>
      </c>
      <c r="P400" s="169" t="str">
        <f>IF(C400="","",COUNTIFS(Başvuru!$C:$C,C400,Başvuru!$L:$L,"GERİ ÇEKİLDİ",Başvuru!$A:$A,"&lt;&gt;"&amp;"",Başvuru!$F:$F,"&lt;&gt;"&amp;""))</f>
        <v/>
      </c>
      <c r="Q400" s="170" t="str">
        <f>IFERROR(INDEX(Başvuru!$C$2:$C$1851,MATCH(395,Başvuru!$AB$2:$AB$1851,0)),"")</f>
        <v/>
      </c>
      <c r="R400" s="171" t="str">
        <f>IF(Q400="","",COUNTIFS(Başvuru!$C:$C,Q400,Başvuru!$A:$A,"&lt;&gt;"&amp;"",Başvuru!$F:$F,"&lt;&gt;"&amp;""))</f>
        <v/>
      </c>
      <c r="S400" s="171" t="str">
        <f>IF(R400="","",RANK(R400,$R$6:$R$505,0)+COUNTIF($R$6:R400,R400)-1)</f>
        <v/>
      </c>
    </row>
    <row r="401" spans="2:19" ht="23.25" customHeight="1" x14ac:dyDescent="0.25">
      <c r="B401" s="159">
        <v>396</v>
      </c>
      <c r="C401" s="160" t="str">
        <f>IFERROR(INDEX($Q$6:$Q$505,MATCH(396,$S$6:$S$505,0)),"")</f>
        <v/>
      </c>
      <c r="D401" s="161" t="str">
        <f>IF(C401="","",COUNTIFS(Başvuru!$C:$C,C401,Başvuru!$A:$A,"&lt;&gt;"&amp;"",Başvuru!$F:$F,"&lt;&gt;"&amp;""))</f>
        <v/>
      </c>
      <c r="E401" s="159" t="str">
        <f>IF(C401="","-",IF(D401&gt;0,TEXT(D401/(COUNTIFS(Başvuru!$A:$A,"&lt;&gt;",Başvuru!$F:$F,"&lt;&gt;")-1)*100,"0.0")&amp;"%","-"))</f>
        <v>-</v>
      </c>
      <c r="F401" s="162" t="str">
        <f>IF(C401="","",COUNTIFS(Başvuru!$C:$C,C401,Başvuru!$G:$G,"Bireysel Araştırma",Başvuru!$A:$A,"&lt;&gt;"&amp;"",Başvuru!$F:$F,"&lt;&gt;"&amp;""))</f>
        <v/>
      </c>
      <c r="G401" s="162" t="str">
        <f>IF(C401="","",COUNTIFS(Başvuru!$C:$C,C401,Başvuru!$G:$G,"Uzmanlık Tezi",Başvuru!$A:$A,"&lt;&gt;"&amp;"",Başvuru!$F:$F,"&lt;&gt;"&amp;""))</f>
        <v/>
      </c>
      <c r="H401" s="162" t="str">
        <f>IF(C401="","",COUNTIFS(Başvuru!$C:$C,C401,Başvuru!$G:$G,"Doktora Tezi",Başvuru!$A:$A,"&lt;&gt;"&amp;"",Başvuru!$F:$F,"&lt;&gt;"&amp;""))</f>
        <v/>
      </c>
      <c r="I401" s="162" t="str">
        <f>IF(C401="","",COUNTIFS(Başvuru!$C:$C,C401,Başvuru!$G:$G,"Yüksek Lisans Tezi",Başvuru!$A:$A,"&lt;&gt;"&amp;"",Başvuru!$F:$F,"&lt;&gt;"&amp;""))</f>
        <v/>
      </c>
      <c r="J401" s="163" t="str">
        <f>IF(C401="","",COUNTIFS(Başvuru!$C:$C,C401,Başvuru!$L:$L,"ONAY",Başvuru!$A:$A,"&lt;&gt;"&amp;"",Başvuru!$F:$F,"&lt;&gt;"&amp;""))</f>
        <v/>
      </c>
      <c r="K401" s="164" t="str">
        <f>IF(C401="","",COUNTIFS(Başvuru!$C:$C,C401,Başvuru!$L:$L,"DÜZELTME",Başvuru!$A:$A,"&lt;&gt;"&amp;"",Başvuru!$F:$F,"&lt;&gt;"&amp;""))</f>
        <v/>
      </c>
      <c r="L401" s="165" t="str">
        <f>IF(C401="","",COUNTIFS(Başvuru!$C:$C,C401,Başvuru!$L:$L,"KAEK",Başvuru!$A:$A,"&lt;&gt;"&amp;"",Başvuru!$F:$F,"&lt;&gt;"&amp;""))</f>
        <v/>
      </c>
      <c r="M401" s="166" t="str">
        <f>IF(C401="","",COUNTIFS(Başvuru!$C:$C,C401,Başvuru!$L:$L,"GÖRÜŞ",Başvuru!$A:$A,"&lt;&gt;"&amp;"",Başvuru!$F:$F,"&lt;&gt;"&amp;""))</f>
        <v/>
      </c>
      <c r="N401" s="167" t="str">
        <f>IF(C401="","",COUNTIFS(Başvuru!$C:$C,C401,Başvuru!$L:$L,"RET",Başvuru!$A:$A,"&lt;&gt;"&amp;"",Başvuru!$F:$F,"&lt;&gt;"&amp;""))</f>
        <v/>
      </c>
      <c r="O401" s="168" t="str">
        <f>IF(C401="","",COUNTIFS(Başvuru!$C:$C,C401,Başvuru!$L:$L,"KAPSAM DIŞI",Başvuru!$A:$A,"&lt;&gt;"&amp;"",Başvuru!$F:$F,"&lt;&gt;"&amp;""))</f>
        <v/>
      </c>
      <c r="P401" s="169" t="str">
        <f>IF(C401="","",COUNTIFS(Başvuru!$C:$C,C401,Başvuru!$L:$L,"GERİ ÇEKİLDİ",Başvuru!$A:$A,"&lt;&gt;"&amp;"",Başvuru!$F:$F,"&lt;&gt;"&amp;""))</f>
        <v/>
      </c>
      <c r="Q401" s="170" t="str">
        <f>IFERROR(INDEX(Başvuru!$C$2:$C$1851,MATCH(396,Başvuru!$AB$2:$AB$1851,0)),"")</f>
        <v/>
      </c>
      <c r="R401" s="171" t="str">
        <f>IF(Q401="","",COUNTIFS(Başvuru!$C:$C,Q401,Başvuru!$A:$A,"&lt;&gt;"&amp;"",Başvuru!$F:$F,"&lt;&gt;"&amp;""))</f>
        <v/>
      </c>
      <c r="S401" s="171" t="str">
        <f>IF(R401="","",RANK(R401,$R$6:$R$505,0)+COUNTIF($R$6:R401,R401)-1)</f>
        <v/>
      </c>
    </row>
    <row r="402" spans="2:19" ht="23.25" customHeight="1" x14ac:dyDescent="0.25">
      <c r="B402" s="159">
        <v>397</v>
      </c>
      <c r="C402" s="160" t="str">
        <f>IFERROR(INDEX($Q$6:$Q$505,MATCH(397,$S$6:$S$505,0)),"")</f>
        <v/>
      </c>
      <c r="D402" s="161" t="str">
        <f>IF(C402="","",COUNTIFS(Başvuru!$C:$C,C402,Başvuru!$A:$A,"&lt;&gt;"&amp;"",Başvuru!$F:$F,"&lt;&gt;"&amp;""))</f>
        <v/>
      </c>
      <c r="E402" s="159" t="str">
        <f>IF(C402="","-",IF(D402&gt;0,TEXT(D402/(COUNTIFS(Başvuru!$A:$A,"&lt;&gt;",Başvuru!$F:$F,"&lt;&gt;")-1)*100,"0.0")&amp;"%","-"))</f>
        <v>-</v>
      </c>
      <c r="F402" s="162" t="str">
        <f>IF(C402="","",COUNTIFS(Başvuru!$C:$C,C402,Başvuru!$G:$G,"Bireysel Araştırma",Başvuru!$A:$A,"&lt;&gt;"&amp;"",Başvuru!$F:$F,"&lt;&gt;"&amp;""))</f>
        <v/>
      </c>
      <c r="G402" s="162" t="str">
        <f>IF(C402="","",COUNTIFS(Başvuru!$C:$C,C402,Başvuru!$G:$G,"Uzmanlık Tezi",Başvuru!$A:$A,"&lt;&gt;"&amp;"",Başvuru!$F:$F,"&lt;&gt;"&amp;""))</f>
        <v/>
      </c>
      <c r="H402" s="162" t="str">
        <f>IF(C402="","",COUNTIFS(Başvuru!$C:$C,C402,Başvuru!$G:$G,"Doktora Tezi",Başvuru!$A:$A,"&lt;&gt;"&amp;"",Başvuru!$F:$F,"&lt;&gt;"&amp;""))</f>
        <v/>
      </c>
      <c r="I402" s="162" t="str">
        <f>IF(C402="","",COUNTIFS(Başvuru!$C:$C,C402,Başvuru!$G:$G,"Yüksek Lisans Tezi",Başvuru!$A:$A,"&lt;&gt;"&amp;"",Başvuru!$F:$F,"&lt;&gt;"&amp;""))</f>
        <v/>
      </c>
      <c r="J402" s="163" t="str">
        <f>IF(C402="","",COUNTIFS(Başvuru!$C:$C,C402,Başvuru!$L:$L,"ONAY",Başvuru!$A:$A,"&lt;&gt;"&amp;"",Başvuru!$F:$F,"&lt;&gt;"&amp;""))</f>
        <v/>
      </c>
      <c r="K402" s="164" t="str">
        <f>IF(C402="","",COUNTIFS(Başvuru!$C:$C,C402,Başvuru!$L:$L,"DÜZELTME",Başvuru!$A:$A,"&lt;&gt;"&amp;"",Başvuru!$F:$F,"&lt;&gt;"&amp;""))</f>
        <v/>
      </c>
      <c r="L402" s="165" t="str">
        <f>IF(C402="","",COUNTIFS(Başvuru!$C:$C,C402,Başvuru!$L:$L,"KAEK",Başvuru!$A:$A,"&lt;&gt;"&amp;"",Başvuru!$F:$F,"&lt;&gt;"&amp;""))</f>
        <v/>
      </c>
      <c r="M402" s="166" t="str">
        <f>IF(C402="","",COUNTIFS(Başvuru!$C:$C,C402,Başvuru!$L:$L,"GÖRÜŞ",Başvuru!$A:$A,"&lt;&gt;"&amp;"",Başvuru!$F:$F,"&lt;&gt;"&amp;""))</f>
        <v/>
      </c>
      <c r="N402" s="167" t="str">
        <f>IF(C402="","",COUNTIFS(Başvuru!$C:$C,C402,Başvuru!$L:$L,"RET",Başvuru!$A:$A,"&lt;&gt;"&amp;"",Başvuru!$F:$F,"&lt;&gt;"&amp;""))</f>
        <v/>
      </c>
      <c r="O402" s="168" t="str">
        <f>IF(C402="","",COUNTIFS(Başvuru!$C:$C,C402,Başvuru!$L:$L,"KAPSAM DIŞI",Başvuru!$A:$A,"&lt;&gt;"&amp;"",Başvuru!$F:$F,"&lt;&gt;"&amp;""))</f>
        <v/>
      </c>
      <c r="P402" s="169" t="str">
        <f>IF(C402="","",COUNTIFS(Başvuru!$C:$C,C402,Başvuru!$L:$L,"GERİ ÇEKİLDİ",Başvuru!$A:$A,"&lt;&gt;"&amp;"",Başvuru!$F:$F,"&lt;&gt;"&amp;""))</f>
        <v/>
      </c>
      <c r="Q402" s="170" t="str">
        <f>IFERROR(INDEX(Başvuru!$C$2:$C$1851,MATCH(397,Başvuru!$AB$2:$AB$1851,0)),"")</f>
        <v/>
      </c>
      <c r="R402" s="171" t="str">
        <f>IF(Q402="","",COUNTIFS(Başvuru!$C:$C,Q402,Başvuru!$A:$A,"&lt;&gt;"&amp;"",Başvuru!$F:$F,"&lt;&gt;"&amp;""))</f>
        <v/>
      </c>
      <c r="S402" s="171" t="str">
        <f>IF(R402="","",RANK(R402,$R$6:$R$505,0)+COUNTIF($R$6:R402,R402)-1)</f>
        <v/>
      </c>
    </row>
    <row r="403" spans="2:19" ht="23.25" customHeight="1" x14ac:dyDescent="0.25">
      <c r="B403" s="159">
        <v>398</v>
      </c>
      <c r="C403" s="160" t="str">
        <f>IFERROR(INDEX($Q$6:$Q$505,MATCH(398,$S$6:$S$505,0)),"")</f>
        <v/>
      </c>
      <c r="D403" s="161" t="str">
        <f>IF(C403="","",COUNTIFS(Başvuru!$C:$C,C403,Başvuru!$A:$A,"&lt;&gt;"&amp;"",Başvuru!$F:$F,"&lt;&gt;"&amp;""))</f>
        <v/>
      </c>
      <c r="E403" s="159" t="str">
        <f>IF(C403="","-",IF(D403&gt;0,TEXT(D403/(COUNTIFS(Başvuru!$A:$A,"&lt;&gt;",Başvuru!$F:$F,"&lt;&gt;")-1)*100,"0.0")&amp;"%","-"))</f>
        <v>-</v>
      </c>
      <c r="F403" s="162" t="str">
        <f>IF(C403="","",COUNTIFS(Başvuru!$C:$C,C403,Başvuru!$G:$G,"Bireysel Araştırma",Başvuru!$A:$A,"&lt;&gt;"&amp;"",Başvuru!$F:$F,"&lt;&gt;"&amp;""))</f>
        <v/>
      </c>
      <c r="G403" s="162" t="str">
        <f>IF(C403="","",COUNTIFS(Başvuru!$C:$C,C403,Başvuru!$G:$G,"Uzmanlık Tezi",Başvuru!$A:$A,"&lt;&gt;"&amp;"",Başvuru!$F:$F,"&lt;&gt;"&amp;""))</f>
        <v/>
      </c>
      <c r="H403" s="162" t="str">
        <f>IF(C403="","",COUNTIFS(Başvuru!$C:$C,C403,Başvuru!$G:$G,"Doktora Tezi",Başvuru!$A:$A,"&lt;&gt;"&amp;"",Başvuru!$F:$F,"&lt;&gt;"&amp;""))</f>
        <v/>
      </c>
      <c r="I403" s="162" t="str">
        <f>IF(C403="","",COUNTIFS(Başvuru!$C:$C,C403,Başvuru!$G:$G,"Yüksek Lisans Tezi",Başvuru!$A:$A,"&lt;&gt;"&amp;"",Başvuru!$F:$F,"&lt;&gt;"&amp;""))</f>
        <v/>
      </c>
      <c r="J403" s="163" t="str">
        <f>IF(C403="","",COUNTIFS(Başvuru!$C:$C,C403,Başvuru!$L:$L,"ONAY",Başvuru!$A:$A,"&lt;&gt;"&amp;"",Başvuru!$F:$F,"&lt;&gt;"&amp;""))</f>
        <v/>
      </c>
      <c r="K403" s="164" t="str">
        <f>IF(C403="","",COUNTIFS(Başvuru!$C:$C,C403,Başvuru!$L:$L,"DÜZELTME",Başvuru!$A:$A,"&lt;&gt;"&amp;"",Başvuru!$F:$F,"&lt;&gt;"&amp;""))</f>
        <v/>
      </c>
      <c r="L403" s="165" t="str">
        <f>IF(C403="","",COUNTIFS(Başvuru!$C:$C,C403,Başvuru!$L:$L,"KAEK",Başvuru!$A:$A,"&lt;&gt;"&amp;"",Başvuru!$F:$F,"&lt;&gt;"&amp;""))</f>
        <v/>
      </c>
      <c r="M403" s="166" t="str">
        <f>IF(C403="","",COUNTIFS(Başvuru!$C:$C,C403,Başvuru!$L:$L,"GÖRÜŞ",Başvuru!$A:$A,"&lt;&gt;"&amp;"",Başvuru!$F:$F,"&lt;&gt;"&amp;""))</f>
        <v/>
      </c>
      <c r="N403" s="167" t="str">
        <f>IF(C403="","",COUNTIFS(Başvuru!$C:$C,C403,Başvuru!$L:$L,"RET",Başvuru!$A:$A,"&lt;&gt;"&amp;"",Başvuru!$F:$F,"&lt;&gt;"&amp;""))</f>
        <v/>
      </c>
      <c r="O403" s="168" t="str">
        <f>IF(C403="","",COUNTIFS(Başvuru!$C:$C,C403,Başvuru!$L:$L,"KAPSAM DIŞI",Başvuru!$A:$A,"&lt;&gt;"&amp;"",Başvuru!$F:$F,"&lt;&gt;"&amp;""))</f>
        <v/>
      </c>
      <c r="P403" s="169" t="str">
        <f>IF(C403="","",COUNTIFS(Başvuru!$C:$C,C403,Başvuru!$L:$L,"GERİ ÇEKİLDİ",Başvuru!$A:$A,"&lt;&gt;"&amp;"",Başvuru!$F:$F,"&lt;&gt;"&amp;""))</f>
        <v/>
      </c>
      <c r="Q403" s="170" t="str">
        <f>IFERROR(INDEX(Başvuru!$C$2:$C$1851,MATCH(398,Başvuru!$AB$2:$AB$1851,0)),"")</f>
        <v/>
      </c>
      <c r="R403" s="171" t="str">
        <f>IF(Q403="","",COUNTIFS(Başvuru!$C:$C,Q403,Başvuru!$A:$A,"&lt;&gt;"&amp;"",Başvuru!$F:$F,"&lt;&gt;"&amp;""))</f>
        <v/>
      </c>
      <c r="S403" s="171" t="str">
        <f>IF(R403="","",RANK(R403,$R$6:$R$505,0)+COUNTIF($R$6:R403,R403)-1)</f>
        <v/>
      </c>
    </row>
    <row r="404" spans="2:19" ht="23.25" customHeight="1" x14ac:dyDescent="0.25">
      <c r="B404" s="159">
        <v>399</v>
      </c>
      <c r="C404" s="160" t="str">
        <f>IFERROR(INDEX($Q$6:$Q$505,MATCH(399,$S$6:$S$505,0)),"")</f>
        <v/>
      </c>
      <c r="D404" s="161" t="str">
        <f>IF(C404="","",COUNTIFS(Başvuru!$C:$C,C404,Başvuru!$A:$A,"&lt;&gt;"&amp;"",Başvuru!$F:$F,"&lt;&gt;"&amp;""))</f>
        <v/>
      </c>
      <c r="E404" s="159" t="str">
        <f>IF(C404="","-",IF(D404&gt;0,TEXT(D404/(COUNTIFS(Başvuru!$A:$A,"&lt;&gt;",Başvuru!$F:$F,"&lt;&gt;")-1)*100,"0.0")&amp;"%","-"))</f>
        <v>-</v>
      </c>
      <c r="F404" s="162" t="str">
        <f>IF(C404="","",COUNTIFS(Başvuru!$C:$C,C404,Başvuru!$G:$G,"Bireysel Araştırma",Başvuru!$A:$A,"&lt;&gt;"&amp;"",Başvuru!$F:$F,"&lt;&gt;"&amp;""))</f>
        <v/>
      </c>
      <c r="G404" s="162" t="str">
        <f>IF(C404="","",COUNTIFS(Başvuru!$C:$C,C404,Başvuru!$G:$G,"Uzmanlık Tezi",Başvuru!$A:$A,"&lt;&gt;"&amp;"",Başvuru!$F:$F,"&lt;&gt;"&amp;""))</f>
        <v/>
      </c>
      <c r="H404" s="162" t="str">
        <f>IF(C404="","",COUNTIFS(Başvuru!$C:$C,C404,Başvuru!$G:$G,"Doktora Tezi",Başvuru!$A:$A,"&lt;&gt;"&amp;"",Başvuru!$F:$F,"&lt;&gt;"&amp;""))</f>
        <v/>
      </c>
      <c r="I404" s="162" t="str">
        <f>IF(C404="","",COUNTIFS(Başvuru!$C:$C,C404,Başvuru!$G:$G,"Yüksek Lisans Tezi",Başvuru!$A:$A,"&lt;&gt;"&amp;"",Başvuru!$F:$F,"&lt;&gt;"&amp;""))</f>
        <v/>
      </c>
      <c r="J404" s="163" t="str">
        <f>IF(C404="","",COUNTIFS(Başvuru!$C:$C,C404,Başvuru!$L:$L,"ONAY",Başvuru!$A:$A,"&lt;&gt;"&amp;"",Başvuru!$F:$F,"&lt;&gt;"&amp;""))</f>
        <v/>
      </c>
      <c r="K404" s="164" t="str">
        <f>IF(C404="","",COUNTIFS(Başvuru!$C:$C,C404,Başvuru!$L:$L,"DÜZELTME",Başvuru!$A:$A,"&lt;&gt;"&amp;"",Başvuru!$F:$F,"&lt;&gt;"&amp;""))</f>
        <v/>
      </c>
      <c r="L404" s="165" t="str">
        <f>IF(C404="","",COUNTIFS(Başvuru!$C:$C,C404,Başvuru!$L:$L,"KAEK",Başvuru!$A:$A,"&lt;&gt;"&amp;"",Başvuru!$F:$F,"&lt;&gt;"&amp;""))</f>
        <v/>
      </c>
      <c r="M404" s="166" t="str">
        <f>IF(C404="","",COUNTIFS(Başvuru!$C:$C,C404,Başvuru!$L:$L,"GÖRÜŞ",Başvuru!$A:$A,"&lt;&gt;"&amp;"",Başvuru!$F:$F,"&lt;&gt;"&amp;""))</f>
        <v/>
      </c>
      <c r="N404" s="167" t="str">
        <f>IF(C404="","",COUNTIFS(Başvuru!$C:$C,C404,Başvuru!$L:$L,"RET",Başvuru!$A:$A,"&lt;&gt;"&amp;"",Başvuru!$F:$F,"&lt;&gt;"&amp;""))</f>
        <v/>
      </c>
      <c r="O404" s="168" t="str">
        <f>IF(C404="","",COUNTIFS(Başvuru!$C:$C,C404,Başvuru!$L:$L,"KAPSAM DIŞI",Başvuru!$A:$A,"&lt;&gt;"&amp;"",Başvuru!$F:$F,"&lt;&gt;"&amp;""))</f>
        <v/>
      </c>
      <c r="P404" s="169" t="str">
        <f>IF(C404="","",COUNTIFS(Başvuru!$C:$C,C404,Başvuru!$L:$L,"GERİ ÇEKİLDİ",Başvuru!$A:$A,"&lt;&gt;"&amp;"",Başvuru!$F:$F,"&lt;&gt;"&amp;""))</f>
        <v/>
      </c>
      <c r="Q404" s="170" t="str">
        <f>IFERROR(INDEX(Başvuru!$C$2:$C$1851,MATCH(399,Başvuru!$AB$2:$AB$1851,0)),"")</f>
        <v/>
      </c>
      <c r="R404" s="171" t="str">
        <f>IF(Q404="","",COUNTIFS(Başvuru!$C:$C,Q404,Başvuru!$A:$A,"&lt;&gt;"&amp;"",Başvuru!$F:$F,"&lt;&gt;"&amp;""))</f>
        <v/>
      </c>
      <c r="S404" s="171" t="str">
        <f>IF(R404="","",RANK(R404,$R$6:$R$505,0)+COUNTIF($R$6:R404,R404)-1)</f>
        <v/>
      </c>
    </row>
    <row r="405" spans="2:19" ht="23.25" customHeight="1" x14ac:dyDescent="0.25">
      <c r="B405" s="159">
        <v>400</v>
      </c>
      <c r="C405" s="160" t="str">
        <f>IFERROR(INDEX($Q$6:$Q$505,MATCH(400,$S$6:$S$505,0)),"")</f>
        <v/>
      </c>
      <c r="D405" s="161" t="str">
        <f>IF(C405="","",COUNTIFS(Başvuru!$C:$C,C405,Başvuru!$A:$A,"&lt;&gt;"&amp;"",Başvuru!$F:$F,"&lt;&gt;"&amp;""))</f>
        <v/>
      </c>
      <c r="E405" s="159" t="str">
        <f>IF(C405="","-",IF(D405&gt;0,TEXT(D405/(COUNTIFS(Başvuru!$A:$A,"&lt;&gt;",Başvuru!$F:$F,"&lt;&gt;")-1)*100,"0.0")&amp;"%","-"))</f>
        <v>-</v>
      </c>
      <c r="F405" s="162" t="str">
        <f>IF(C405="","",COUNTIFS(Başvuru!$C:$C,C405,Başvuru!$G:$G,"Bireysel Araştırma",Başvuru!$A:$A,"&lt;&gt;"&amp;"",Başvuru!$F:$F,"&lt;&gt;"&amp;""))</f>
        <v/>
      </c>
      <c r="G405" s="162" t="str">
        <f>IF(C405="","",COUNTIFS(Başvuru!$C:$C,C405,Başvuru!$G:$G,"Uzmanlık Tezi",Başvuru!$A:$A,"&lt;&gt;"&amp;"",Başvuru!$F:$F,"&lt;&gt;"&amp;""))</f>
        <v/>
      </c>
      <c r="H405" s="162" t="str">
        <f>IF(C405="","",COUNTIFS(Başvuru!$C:$C,C405,Başvuru!$G:$G,"Doktora Tezi",Başvuru!$A:$A,"&lt;&gt;"&amp;"",Başvuru!$F:$F,"&lt;&gt;"&amp;""))</f>
        <v/>
      </c>
      <c r="I405" s="162" t="str">
        <f>IF(C405="","",COUNTIFS(Başvuru!$C:$C,C405,Başvuru!$G:$G,"Yüksek Lisans Tezi",Başvuru!$A:$A,"&lt;&gt;"&amp;"",Başvuru!$F:$F,"&lt;&gt;"&amp;""))</f>
        <v/>
      </c>
      <c r="J405" s="163" t="str">
        <f>IF(C405="","",COUNTIFS(Başvuru!$C:$C,C405,Başvuru!$L:$L,"ONAY",Başvuru!$A:$A,"&lt;&gt;"&amp;"",Başvuru!$F:$F,"&lt;&gt;"&amp;""))</f>
        <v/>
      </c>
      <c r="K405" s="164" t="str">
        <f>IF(C405="","",COUNTIFS(Başvuru!$C:$C,C405,Başvuru!$L:$L,"DÜZELTME",Başvuru!$A:$A,"&lt;&gt;"&amp;"",Başvuru!$F:$F,"&lt;&gt;"&amp;""))</f>
        <v/>
      </c>
      <c r="L405" s="165" t="str">
        <f>IF(C405="","",COUNTIFS(Başvuru!$C:$C,C405,Başvuru!$L:$L,"KAEK",Başvuru!$A:$A,"&lt;&gt;"&amp;"",Başvuru!$F:$F,"&lt;&gt;"&amp;""))</f>
        <v/>
      </c>
      <c r="M405" s="166" t="str">
        <f>IF(C405="","",COUNTIFS(Başvuru!$C:$C,C405,Başvuru!$L:$L,"GÖRÜŞ",Başvuru!$A:$A,"&lt;&gt;"&amp;"",Başvuru!$F:$F,"&lt;&gt;"&amp;""))</f>
        <v/>
      </c>
      <c r="N405" s="167" t="str">
        <f>IF(C405="","",COUNTIFS(Başvuru!$C:$C,C405,Başvuru!$L:$L,"RET",Başvuru!$A:$A,"&lt;&gt;"&amp;"",Başvuru!$F:$F,"&lt;&gt;"&amp;""))</f>
        <v/>
      </c>
      <c r="O405" s="168" t="str">
        <f>IF(C405="","",COUNTIFS(Başvuru!$C:$C,C405,Başvuru!$L:$L,"KAPSAM DIŞI",Başvuru!$A:$A,"&lt;&gt;"&amp;"",Başvuru!$F:$F,"&lt;&gt;"&amp;""))</f>
        <v/>
      </c>
      <c r="P405" s="169" t="str">
        <f>IF(C405="","",COUNTIFS(Başvuru!$C:$C,C405,Başvuru!$L:$L,"GERİ ÇEKİLDİ",Başvuru!$A:$A,"&lt;&gt;"&amp;"",Başvuru!$F:$F,"&lt;&gt;"&amp;""))</f>
        <v/>
      </c>
      <c r="Q405" s="170" t="str">
        <f>IFERROR(INDEX(Başvuru!$C$2:$C$1851,MATCH(400,Başvuru!$AB$2:$AB$1851,0)),"")</f>
        <v/>
      </c>
      <c r="R405" s="171" t="str">
        <f>IF(Q405="","",COUNTIFS(Başvuru!$C:$C,Q405,Başvuru!$A:$A,"&lt;&gt;"&amp;"",Başvuru!$F:$F,"&lt;&gt;"&amp;""))</f>
        <v/>
      </c>
      <c r="S405" s="171" t="str">
        <f>IF(R405="","",RANK(R405,$R$6:$R$505,0)+COUNTIF($R$6:R405,R405)-1)</f>
        <v/>
      </c>
    </row>
    <row r="406" spans="2:19" ht="23.25" customHeight="1" x14ac:dyDescent="0.25">
      <c r="B406" s="159">
        <v>401</v>
      </c>
      <c r="C406" s="160" t="str">
        <f>IFERROR(INDEX($Q$6:$Q$505,MATCH(401,$S$6:$S$505,0)),"")</f>
        <v/>
      </c>
      <c r="D406" s="161" t="str">
        <f>IF(C406="","",COUNTIFS(Başvuru!$C:$C,C406,Başvuru!$A:$A,"&lt;&gt;"&amp;"",Başvuru!$F:$F,"&lt;&gt;"&amp;""))</f>
        <v/>
      </c>
      <c r="E406" s="159" t="str">
        <f>IF(C406="","-",IF(D406&gt;0,TEXT(D406/(COUNTIFS(Başvuru!$A:$A,"&lt;&gt;",Başvuru!$F:$F,"&lt;&gt;")-1)*100,"0.0")&amp;"%","-"))</f>
        <v>-</v>
      </c>
      <c r="F406" s="162" t="str">
        <f>IF(C406="","",COUNTIFS(Başvuru!$C:$C,C406,Başvuru!$G:$G,"Bireysel Araştırma",Başvuru!$A:$A,"&lt;&gt;"&amp;"",Başvuru!$F:$F,"&lt;&gt;"&amp;""))</f>
        <v/>
      </c>
      <c r="G406" s="162" t="str">
        <f>IF(C406="","",COUNTIFS(Başvuru!$C:$C,C406,Başvuru!$G:$G,"Uzmanlık Tezi",Başvuru!$A:$A,"&lt;&gt;"&amp;"",Başvuru!$F:$F,"&lt;&gt;"&amp;""))</f>
        <v/>
      </c>
      <c r="H406" s="162" t="str">
        <f>IF(C406="","",COUNTIFS(Başvuru!$C:$C,C406,Başvuru!$G:$G,"Doktora Tezi",Başvuru!$A:$A,"&lt;&gt;"&amp;"",Başvuru!$F:$F,"&lt;&gt;"&amp;""))</f>
        <v/>
      </c>
      <c r="I406" s="162" t="str">
        <f>IF(C406="","",COUNTIFS(Başvuru!$C:$C,C406,Başvuru!$G:$G,"Yüksek Lisans Tezi",Başvuru!$A:$A,"&lt;&gt;"&amp;"",Başvuru!$F:$F,"&lt;&gt;"&amp;""))</f>
        <v/>
      </c>
      <c r="J406" s="163" t="str">
        <f>IF(C406="","",COUNTIFS(Başvuru!$C:$C,C406,Başvuru!$L:$L,"ONAY",Başvuru!$A:$A,"&lt;&gt;"&amp;"",Başvuru!$F:$F,"&lt;&gt;"&amp;""))</f>
        <v/>
      </c>
      <c r="K406" s="164" t="str">
        <f>IF(C406="","",COUNTIFS(Başvuru!$C:$C,C406,Başvuru!$L:$L,"DÜZELTME",Başvuru!$A:$A,"&lt;&gt;"&amp;"",Başvuru!$F:$F,"&lt;&gt;"&amp;""))</f>
        <v/>
      </c>
      <c r="L406" s="165" t="str">
        <f>IF(C406="","",COUNTIFS(Başvuru!$C:$C,C406,Başvuru!$L:$L,"KAEK",Başvuru!$A:$A,"&lt;&gt;"&amp;"",Başvuru!$F:$F,"&lt;&gt;"&amp;""))</f>
        <v/>
      </c>
      <c r="M406" s="166" t="str">
        <f>IF(C406="","",COUNTIFS(Başvuru!$C:$C,C406,Başvuru!$L:$L,"GÖRÜŞ",Başvuru!$A:$A,"&lt;&gt;"&amp;"",Başvuru!$F:$F,"&lt;&gt;"&amp;""))</f>
        <v/>
      </c>
      <c r="N406" s="167" t="str">
        <f>IF(C406="","",COUNTIFS(Başvuru!$C:$C,C406,Başvuru!$L:$L,"RET",Başvuru!$A:$A,"&lt;&gt;"&amp;"",Başvuru!$F:$F,"&lt;&gt;"&amp;""))</f>
        <v/>
      </c>
      <c r="O406" s="168" t="str">
        <f>IF(C406="","",COUNTIFS(Başvuru!$C:$C,C406,Başvuru!$L:$L,"KAPSAM DIŞI",Başvuru!$A:$A,"&lt;&gt;"&amp;"",Başvuru!$F:$F,"&lt;&gt;"&amp;""))</f>
        <v/>
      </c>
      <c r="P406" s="169" t="str">
        <f>IF(C406="","",COUNTIFS(Başvuru!$C:$C,C406,Başvuru!$L:$L,"GERİ ÇEKİLDİ",Başvuru!$A:$A,"&lt;&gt;"&amp;"",Başvuru!$F:$F,"&lt;&gt;"&amp;""))</f>
        <v/>
      </c>
      <c r="Q406" s="170" t="str">
        <f>IFERROR(INDEX(Başvuru!$C$2:$C$1851,MATCH(401,Başvuru!$AB$2:$AB$1851,0)),"")</f>
        <v/>
      </c>
      <c r="R406" s="171" t="str">
        <f>IF(Q406="","",COUNTIFS(Başvuru!$C:$C,Q406,Başvuru!$A:$A,"&lt;&gt;"&amp;"",Başvuru!$F:$F,"&lt;&gt;"&amp;""))</f>
        <v/>
      </c>
      <c r="S406" s="171" t="str">
        <f>IF(R406="","",RANK(R406,$R$6:$R$505,0)+COUNTIF($R$6:R406,R406)-1)</f>
        <v/>
      </c>
    </row>
    <row r="407" spans="2:19" ht="23.25" customHeight="1" x14ac:dyDescent="0.25">
      <c r="B407" s="159">
        <v>402</v>
      </c>
      <c r="C407" s="160" t="str">
        <f>IFERROR(INDEX($Q$6:$Q$505,MATCH(402,$S$6:$S$505,0)),"")</f>
        <v/>
      </c>
      <c r="D407" s="161" t="str">
        <f>IF(C407="","",COUNTIFS(Başvuru!$C:$C,C407,Başvuru!$A:$A,"&lt;&gt;"&amp;"",Başvuru!$F:$F,"&lt;&gt;"&amp;""))</f>
        <v/>
      </c>
      <c r="E407" s="159" t="str">
        <f>IF(C407="","-",IF(D407&gt;0,TEXT(D407/(COUNTIFS(Başvuru!$A:$A,"&lt;&gt;",Başvuru!$F:$F,"&lt;&gt;")-1)*100,"0.0")&amp;"%","-"))</f>
        <v>-</v>
      </c>
      <c r="F407" s="162" t="str">
        <f>IF(C407="","",COUNTIFS(Başvuru!$C:$C,C407,Başvuru!$G:$G,"Bireysel Araştırma",Başvuru!$A:$A,"&lt;&gt;"&amp;"",Başvuru!$F:$F,"&lt;&gt;"&amp;""))</f>
        <v/>
      </c>
      <c r="G407" s="162" t="str">
        <f>IF(C407="","",COUNTIFS(Başvuru!$C:$C,C407,Başvuru!$G:$G,"Uzmanlık Tezi",Başvuru!$A:$A,"&lt;&gt;"&amp;"",Başvuru!$F:$F,"&lt;&gt;"&amp;""))</f>
        <v/>
      </c>
      <c r="H407" s="162" t="str">
        <f>IF(C407="","",COUNTIFS(Başvuru!$C:$C,C407,Başvuru!$G:$G,"Doktora Tezi",Başvuru!$A:$A,"&lt;&gt;"&amp;"",Başvuru!$F:$F,"&lt;&gt;"&amp;""))</f>
        <v/>
      </c>
      <c r="I407" s="162" t="str">
        <f>IF(C407="","",COUNTIFS(Başvuru!$C:$C,C407,Başvuru!$G:$G,"Yüksek Lisans Tezi",Başvuru!$A:$A,"&lt;&gt;"&amp;"",Başvuru!$F:$F,"&lt;&gt;"&amp;""))</f>
        <v/>
      </c>
      <c r="J407" s="163" t="str">
        <f>IF(C407="","",COUNTIFS(Başvuru!$C:$C,C407,Başvuru!$L:$L,"ONAY",Başvuru!$A:$A,"&lt;&gt;"&amp;"",Başvuru!$F:$F,"&lt;&gt;"&amp;""))</f>
        <v/>
      </c>
      <c r="K407" s="164" t="str">
        <f>IF(C407="","",COUNTIFS(Başvuru!$C:$C,C407,Başvuru!$L:$L,"DÜZELTME",Başvuru!$A:$A,"&lt;&gt;"&amp;"",Başvuru!$F:$F,"&lt;&gt;"&amp;""))</f>
        <v/>
      </c>
      <c r="L407" s="165" t="str">
        <f>IF(C407="","",COUNTIFS(Başvuru!$C:$C,C407,Başvuru!$L:$L,"KAEK",Başvuru!$A:$A,"&lt;&gt;"&amp;"",Başvuru!$F:$F,"&lt;&gt;"&amp;""))</f>
        <v/>
      </c>
      <c r="M407" s="166" t="str">
        <f>IF(C407="","",COUNTIFS(Başvuru!$C:$C,C407,Başvuru!$L:$L,"GÖRÜŞ",Başvuru!$A:$A,"&lt;&gt;"&amp;"",Başvuru!$F:$F,"&lt;&gt;"&amp;""))</f>
        <v/>
      </c>
      <c r="N407" s="167" t="str">
        <f>IF(C407="","",COUNTIFS(Başvuru!$C:$C,C407,Başvuru!$L:$L,"RET",Başvuru!$A:$A,"&lt;&gt;"&amp;"",Başvuru!$F:$F,"&lt;&gt;"&amp;""))</f>
        <v/>
      </c>
      <c r="O407" s="168" t="str">
        <f>IF(C407="","",COUNTIFS(Başvuru!$C:$C,C407,Başvuru!$L:$L,"KAPSAM DIŞI",Başvuru!$A:$A,"&lt;&gt;"&amp;"",Başvuru!$F:$F,"&lt;&gt;"&amp;""))</f>
        <v/>
      </c>
      <c r="P407" s="169" t="str">
        <f>IF(C407="","",COUNTIFS(Başvuru!$C:$C,C407,Başvuru!$L:$L,"GERİ ÇEKİLDİ",Başvuru!$A:$A,"&lt;&gt;"&amp;"",Başvuru!$F:$F,"&lt;&gt;"&amp;""))</f>
        <v/>
      </c>
      <c r="Q407" s="170" t="str">
        <f>IFERROR(INDEX(Başvuru!$C$2:$C$1851,MATCH(402,Başvuru!$AB$2:$AB$1851,0)),"")</f>
        <v/>
      </c>
      <c r="R407" s="171" t="str">
        <f>IF(Q407="","",COUNTIFS(Başvuru!$C:$C,Q407,Başvuru!$A:$A,"&lt;&gt;"&amp;"",Başvuru!$F:$F,"&lt;&gt;"&amp;""))</f>
        <v/>
      </c>
      <c r="S407" s="171" t="str">
        <f>IF(R407="","",RANK(R407,$R$6:$R$505,0)+COUNTIF($R$6:R407,R407)-1)</f>
        <v/>
      </c>
    </row>
    <row r="408" spans="2:19" ht="23.25" customHeight="1" x14ac:dyDescent="0.25">
      <c r="B408" s="159">
        <v>403</v>
      </c>
      <c r="C408" s="160" t="str">
        <f>IFERROR(INDEX($Q$6:$Q$505,MATCH(403,$S$6:$S$505,0)),"")</f>
        <v/>
      </c>
      <c r="D408" s="161" t="str">
        <f>IF(C408="","",COUNTIFS(Başvuru!$C:$C,C408,Başvuru!$A:$A,"&lt;&gt;"&amp;"",Başvuru!$F:$F,"&lt;&gt;"&amp;""))</f>
        <v/>
      </c>
      <c r="E408" s="159" t="str">
        <f>IF(C408="","-",IF(D408&gt;0,TEXT(D408/(COUNTIFS(Başvuru!$A:$A,"&lt;&gt;",Başvuru!$F:$F,"&lt;&gt;")-1)*100,"0.0")&amp;"%","-"))</f>
        <v>-</v>
      </c>
      <c r="F408" s="162" t="str">
        <f>IF(C408="","",COUNTIFS(Başvuru!$C:$C,C408,Başvuru!$G:$G,"Bireysel Araştırma",Başvuru!$A:$A,"&lt;&gt;"&amp;"",Başvuru!$F:$F,"&lt;&gt;"&amp;""))</f>
        <v/>
      </c>
      <c r="G408" s="162" t="str">
        <f>IF(C408="","",COUNTIFS(Başvuru!$C:$C,C408,Başvuru!$G:$G,"Uzmanlık Tezi",Başvuru!$A:$A,"&lt;&gt;"&amp;"",Başvuru!$F:$F,"&lt;&gt;"&amp;""))</f>
        <v/>
      </c>
      <c r="H408" s="162" t="str">
        <f>IF(C408="","",COUNTIFS(Başvuru!$C:$C,C408,Başvuru!$G:$G,"Doktora Tezi",Başvuru!$A:$A,"&lt;&gt;"&amp;"",Başvuru!$F:$F,"&lt;&gt;"&amp;""))</f>
        <v/>
      </c>
      <c r="I408" s="162" t="str">
        <f>IF(C408="","",COUNTIFS(Başvuru!$C:$C,C408,Başvuru!$G:$G,"Yüksek Lisans Tezi",Başvuru!$A:$A,"&lt;&gt;"&amp;"",Başvuru!$F:$F,"&lt;&gt;"&amp;""))</f>
        <v/>
      </c>
      <c r="J408" s="163" t="str">
        <f>IF(C408="","",COUNTIFS(Başvuru!$C:$C,C408,Başvuru!$L:$L,"ONAY",Başvuru!$A:$A,"&lt;&gt;"&amp;"",Başvuru!$F:$F,"&lt;&gt;"&amp;""))</f>
        <v/>
      </c>
      <c r="K408" s="164" t="str">
        <f>IF(C408="","",COUNTIFS(Başvuru!$C:$C,C408,Başvuru!$L:$L,"DÜZELTME",Başvuru!$A:$A,"&lt;&gt;"&amp;"",Başvuru!$F:$F,"&lt;&gt;"&amp;""))</f>
        <v/>
      </c>
      <c r="L408" s="165" t="str">
        <f>IF(C408="","",COUNTIFS(Başvuru!$C:$C,C408,Başvuru!$L:$L,"KAEK",Başvuru!$A:$A,"&lt;&gt;"&amp;"",Başvuru!$F:$F,"&lt;&gt;"&amp;""))</f>
        <v/>
      </c>
      <c r="M408" s="166" t="str">
        <f>IF(C408="","",COUNTIFS(Başvuru!$C:$C,C408,Başvuru!$L:$L,"GÖRÜŞ",Başvuru!$A:$A,"&lt;&gt;"&amp;"",Başvuru!$F:$F,"&lt;&gt;"&amp;""))</f>
        <v/>
      </c>
      <c r="N408" s="167" t="str">
        <f>IF(C408="","",COUNTIFS(Başvuru!$C:$C,C408,Başvuru!$L:$L,"RET",Başvuru!$A:$A,"&lt;&gt;"&amp;"",Başvuru!$F:$F,"&lt;&gt;"&amp;""))</f>
        <v/>
      </c>
      <c r="O408" s="168" t="str">
        <f>IF(C408="","",COUNTIFS(Başvuru!$C:$C,C408,Başvuru!$L:$L,"KAPSAM DIŞI",Başvuru!$A:$A,"&lt;&gt;"&amp;"",Başvuru!$F:$F,"&lt;&gt;"&amp;""))</f>
        <v/>
      </c>
      <c r="P408" s="169" t="str">
        <f>IF(C408="","",COUNTIFS(Başvuru!$C:$C,C408,Başvuru!$L:$L,"GERİ ÇEKİLDİ",Başvuru!$A:$A,"&lt;&gt;"&amp;"",Başvuru!$F:$F,"&lt;&gt;"&amp;""))</f>
        <v/>
      </c>
      <c r="Q408" s="170" t="str">
        <f>IFERROR(INDEX(Başvuru!$C$2:$C$1851,MATCH(403,Başvuru!$AB$2:$AB$1851,0)),"")</f>
        <v/>
      </c>
      <c r="R408" s="171" t="str">
        <f>IF(Q408="","",COUNTIFS(Başvuru!$C:$C,Q408,Başvuru!$A:$A,"&lt;&gt;"&amp;"",Başvuru!$F:$F,"&lt;&gt;"&amp;""))</f>
        <v/>
      </c>
      <c r="S408" s="171" t="str">
        <f>IF(R408="","",RANK(R408,$R$6:$R$505,0)+COUNTIF($R$6:R408,R408)-1)</f>
        <v/>
      </c>
    </row>
    <row r="409" spans="2:19" ht="23.25" customHeight="1" x14ac:dyDescent="0.25">
      <c r="B409" s="159">
        <v>404</v>
      </c>
      <c r="C409" s="160" t="str">
        <f>IFERROR(INDEX($Q$6:$Q$505,MATCH(404,$S$6:$S$505,0)),"")</f>
        <v/>
      </c>
      <c r="D409" s="161" t="str">
        <f>IF(C409="","",COUNTIFS(Başvuru!$C:$C,C409,Başvuru!$A:$A,"&lt;&gt;"&amp;"",Başvuru!$F:$F,"&lt;&gt;"&amp;""))</f>
        <v/>
      </c>
      <c r="E409" s="159" t="str">
        <f>IF(C409="","-",IF(D409&gt;0,TEXT(D409/(COUNTIFS(Başvuru!$A:$A,"&lt;&gt;",Başvuru!$F:$F,"&lt;&gt;")-1)*100,"0.0")&amp;"%","-"))</f>
        <v>-</v>
      </c>
      <c r="F409" s="162" t="str">
        <f>IF(C409="","",COUNTIFS(Başvuru!$C:$C,C409,Başvuru!$G:$G,"Bireysel Araştırma",Başvuru!$A:$A,"&lt;&gt;"&amp;"",Başvuru!$F:$F,"&lt;&gt;"&amp;""))</f>
        <v/>
      </c>
      <c r="G409" s="162" t="str">
        <f>IF(C409="","",COUNTIFS(Başvuru!$C:$C,C409,Başvuru!$G:$G,"Uzmanlık Tezi",Başvuru!$A:$A,"&lt;&gt;"&amp;"",Başvuru!$F:$F,"&lt;&gt;"&amp;""))</f>
        <v/>
      </c>
      <c r="H409" s="162" t="str">
        <f>IF(C409="","",COUNTIFS(Başvuru!$C:$C,C409,Başvuru!$G:$G,"Doktora Tezi",Başvuru!$A:$A,"&lt;&gt;"&amp;"",Başvuru!$F:$F,"&lt;&gt;"&amp;""))</f>
        <v/>
      </c>
      <c r="I409" s="162" t="str">
        <f>IF(C409="","",COUNTIFS(Başvuru!$C:$C,C409,Başvuru!$G:$G,"Yüksek Lisans Tezi",Başvuru!$A:$A,"&lt;&gt;"&amp;"",Başvuru!$F:$F,"&lt;&gt;"&amp;""))</f>
        <v/>
      </c>
      <c r="J409" s="163" t="str">
        <f>IF(C409="","",COUNTIFS(Başvuru!$C:$C,C409,Başvuru!$L:$L,"ONAY",Başvuru!$A:$A,"&lt;&gt;"&amp;"",Başvuru!$F:$F,"&lt;&gt;"&amp;""))</f>
        <v/>
      </c>
      <c r="K409" s="164" t="str">
        <f>IF(C409="","",COUNTIFS(Başvuru!$C:$C,C409,Başvuru!$L:$L,"DÜZELTME",Başvuru!$A:$A,"&lt;&gt;"&amp;"",Başvuru!$F:$F,"&lt;&gt;"&amp;""))</f>
        <v/>
      </c>
      <c r="L409" s="165" t="str">
        <f>IF(C409="","",COUNTIFS(Başvuru!$C:$C,C409,Başvuru!$L:$L,"KAEK",Başvuru!$A:$A,"&lt;&gt;"&amp;"",Başvuru!$F:$F,"&lt;&gt;"&amp;""))</f>
        <v/>
      </c>
      <c r="M409" s="166" t="str">
        <f>IF(C409="","",COUNTIFS(Başvuru!$C:$C,C409,Başvuru!$L:$L,"GÖRÜŞ",Başvuru!$A:$A,"&lt;&gt;"&amp;"",Başvuru!$F:$F,"&lt;&gt;"&amp;""))</f>
        <v/>
      </c>
      <c r="N409" s="167" t="str">
        <f>IF(C409="","",COUNTIFS(Başvuru!$C:$C,C409,Başvuru!$L:$L,"RET",Başvuru!$A:$A,"&lt;&gt;"&amp;"",Başvuru!$F:$F,"&lt;&gt;"&amp;""))</f>
        <v/>
      </c>
      <c r="O409" s="168" t="str">
        <f>IF(C409="","",COUNTIFS(Başvuru!$C:$C,C409,Başvuru!$L:$L,"KAPSAM DIŞI",Başvuru!$A:$A,"&lt;&gt;"&amp;"",Başvuru!$F:$F,"&lt;&gt;"&amp;""))</f>
        <v/>
      </c>
      <c r="P409" s="169" t="str">
        <f>IF(C409="","",COUNTIFS(Başvuru!$C:$C,C409,Başvuru!$L:$L,"GERİ ÇEKİLDİ",Başvuru!$A:$A,"&lt;&gt;"&amp;"",Başvuru!$F:$F,"&lt;&gt;"&amp;""))</f>
        <v/>
      </c>
      <c r="Q409" s="170" t="str">
        <f>IFERROR(INDEX(Başvuru!$C$2:$C$1851,MATCH(404,Başvuru!$AB$2:$AB$1851,0)),"")</f>
        <v/>
      </c>
      <c r="R409" s="171" t="str">
        <f>IF(Q409="","",COUNTIFS(Başvuru!$C:$C,Q409,Başvuru!$A:$A,"&lt;&gt;"&amp;"",Başvuru!$F:$F,"&lt;&gt;"&amp;""))</f>
        <v/>
      </c>
      <c r="S409" s="171" t="str">
        <f>IF(R409="","",RANK(R409,$R$6:$R$505,0)+COUNTIF($R$6:R409,R409)-1)</f>
        <v/>
      </c>
    </row>
    <row r="410" spans="2:19" ht="23.25" customHeight="1" x14ac:dyDescent="0.25">
      <c r="B410" s="159">
        <v>405</v>
      </c>
      <c r="C410" s="160" t="str">
        <f>IFERROR(INDEX($Q$6:$Q$505,MATCH(405,$S$6:$S$505,0)),"")</f>
        <v/>
      </c>
      <c r="D410" s="161" t="str">
        <f>IF(C410="","",COUNTIFS(Başvuru!$C:$C,C410,Başvuru!$A:$A,"&lt;&gt;"&amp;"",Başvuru!$F:$F,"&lt;&gt;"&amp;""))</f>
        <v/>
      </c>
      <c r="E410" s="159" t="str">
        <f>IF(C410="","-",IF(D410&gt;0,TEXT(D410/(COUNTIFS(Başvuru!$A:$A,"&lt;&gt;",Başvuru!$F:$F,"&lt;&gt;")-1)*100,"0.0")&amp;"%","-"))</f>
        <v>-</v>
      </c>
      <c r="F410" s="162" t="str">
        <f>IF(C410="","",COUNTIFS(Başvuru!$C:$C,C410,Başvuru!$G:$G,"Bireysel Araştırma",Başvuru!$A:$A,"&lt;&gt;"&amp;"",Başvuru!$F:$F,"&lt;&gt;"&amp;""))</f>
        <v/>
      </c>
      <c r="G410" s="162" t="str">
        <f>IF(C410="","",COUNTIFS(Başvuru!$C:$C,C410,Başvuru!$G:$G,"Uzmanlık Tezi",Başvuru!$A:$A,"&lt;&gt;"&amp;"",Başvuru!$F:$F,"&lt;&gt;"&amp;""))</f>
        <v/>
      </c>
      <c r="H410" s="162" t="str">
        <f>IF(C410="","",COUNTIFS(Başvuru!$C:$C,C410,Başvuru!$G:$G,"Doktora Tezi",Başvuru!$A:$A,"&lt;&gt;"&amp;"",Başvuru!$F:$F,"&lt;&gt;"&amp;""))</f>
        <v/>
      </c>
      <c r="I410" s="162" t="str">
        <f>IF(C410="","",COUNTIFS(Başvuru!$C:$C,C410,Başvuru!$G:$G,"Yüksek Lisans Tezi",Başvuru!$A:$A,"&lt;&gt;"&amp;"",Başvuru!$F:$F,"&lt;&gt;"&amp;""))</f>
        <v/>
      </c>
      <c r="J410" s="163" t="str">
        <f>IF(C410="","",COUNTIFS(Başvuru!$C:$C,C410,Başvuru!$L:$L,"ONAY",Başvuru!$A:$A,"&lt;&gt;"&amp;"",Başvuru!$F:$F,"&lt;&gt;"&amp;""))</f>
        <v/>
      </c>
      <c r="K410" s="164" t="str">
        <f>IF(C410="","",COUNTIFS(Başvuru!$C:$C,C410,Başvuru!$L:$L,"DÜZELTME",Başvuru!$A:$A,"&lt;&gt;"&amp;"",Başvuru!$F:$F,"&lt;&gt;"&amp;""))</f>
        <v/>
      </c>
      <c r="L410" s="165" t="str">
        <f>IF(C410="","",COUNTIFS(Başvuru!$C:$C,C410,Başvuru!$L:$L,"KAEK",Başvuru!$A:$A,"&lt;&gt;"&amp;"",Başvuru!$F:$F,"&lt;&gt;"&amp;""))</f>
        <v/>
      </c>
      <c r="M410" s="166" t="str">
        <f>IF(C410="","",COUNTIFS(Başvuru!$C:$C,C410,Başvuru!$L:$L,"GÖRÜŞ",Başvuru!$A:$A,"&lt;&gt;"&amp;"",Başvuru!$F:$F,"&lt;&gt;"&amp;""))</f>
        <v/>
      </c>
      <c r="N410" s="167" t="str">
        <f>IF(C410="","",COUNTIFS(Başvuru!$C:$C,C410,Başvuru!$L:$L,"RET",Başvuru!$A:$A,"&lt;&gt;"&amp;"",Başvuru!$F:$F,"&lt;&gt;"&amp;""))</f>
        <v/>
      </c>
      <c r="O410" s="168" t="str">
        <f>IF(C410="","",COUNTIFS(Başvuru!$C:$C,C410,Başvuru!$L:$L,"KAPSAM DIŞI",Başvuru!$A:$A,"&lt;&gt;"&amp;"",Başvuru!$F:$F,"&lt;&gt;"&amp;""))</f>
        <v/>
      </c>
      <c r="P410" s="169" t="str">
        <f>IF(C410="","",COUNTIFS(Başvuru!$C:$C,C410,Başvuru!$L:$L,"GERİ ÇEKİLDİ",Başvuru!$A:$A,"&lt;&gt;"&amp;"",Başvuru!$F:$F,"&lt;&gt;"&amp;""))</f>
        <v/>
      </c>
      <c r="Q410" s="170" t="str">
        <f>IFERROR(INDEX(Başvuru!$C$2:$C$1851,MATCH(405,Başvuru!$AB$2:$AB$1851,0)),"")</f>
        <v/>
      </c>
      <c r="R410" s="171" t="str">
        <f>IF(Q410="","",COUNTIFS(Başvuru!$C:$C,Q410,Başvuru!$A:$A,"&lt;&gt;"&amp;"",Başvuru!$F:$F,"&lt;&gt;"&amp;""))</f>
        <v/>
      </c>
      <c r="S410" s="171" t="str">
        <f>IF(R410="","",RANK(R410,$R$6:$R$505,0)+COUNTIF($R$6:R410,R410)-1)</f>
        <v/>
      </c>
    </row>
    <row r="411" spans="2:19" ht="23.25" customHeight="1" x14ac:dyDescent="0.25">
      <c r="B411" s="159">
        <v>406</v>
      </c>
      <c r="C411" s="160" t="str">
        <f>IFERROR(INDEX($Q$6:$Q$505,MATCH(406,$S$6:$S$505,0)),"")</f>
        <v/>
      </c>
      <c r="D411" s="161" t="str">
        <f>IF(C411="","",COUNTIFS(Başvuru!$C:$C,C411,Başvuru!$A:$A,"&lt;&gt;"&amp;"",Başvuru!$F:$F,"&lt;&gt;"&amp;""))</f>
        <v/>
      </c>
      <c r="E411" s="159" t="str">
        <f>IF(C411="","-",IF(D411&gt;0,TEXT(D411/(COUNTIFS(Başvuru!$A:$A,"&lt;&gt;",Başvuru!$F:$F,"&lt;&gt;")-1)*100,"0.0")&amp;"%","-"))</f>
        <v>-</v>
      </c>
      <c r="F411" s="162" t="str">
        <f>IF(C411="","",COUNTIFS(Başvuru!$C:$C,C411,Başvuru!$G:$G,"Bireysel Araştırma",Başvuru!$A:$A,"&lt;&gt;"&amp;"",Başvuru!$F:$F,"&lt;&gt;"&amp;""))</f>
        <v/>
      </c>
      <c r="G411" s="162" t="str">
        <f>IF(C411="","",COUNTIFS(Başvuru!$C:$C,C411,Başvuru!$G:$G,"Uzmanlık Tezi",Başvuru!$A:$A,"&lt;&gt;"&amp;"",Başvuru!$F:$F,"&lt;&gt;"&amp;""))</f>
        <v/>
      </c>
      <c r="H411" s="162" t="str">
        <f>IF(C411="","",COUNTIFS(Başvuru!$C:$C,C411,Başvuru!$G:$G,"Doktora Tezi",Başvuru!$A:$A,"&lt;&gt;"&amp;"",Başvuru!$F:$F,"&lt;&gt;"&amp;""))</f>
        <v/>
      </c>
      <c r="I411" s="162" t="str">
        <f>IF(C411="","",COUNTIFS(Başvuru!$C:$C,C411,Başvuru!$G:$G,"Yüksek Lisans Tezi",Başvuru!$A:$A,"&lt;&gt;"&amp;"",Başvuru!$F:$F,"&lt;&gt;"&amp;""))</f>
        <v/>
      </c>
      <c r="J411" s="163" t="str">
        <f>IF(C411="","",COUNTIFS(Başvuru!$C:$C,C411,Başvuru!$L:$L,"ONAY",Başvuru!$A:$A,"&lt;&gt;"&amp;"",Başvuru!$F:$F,"&lt;&gt;"&amp;""))</f>
        <v/>
      </c>
      <c r="K411" s="164" t="str">
        <f>IF(C411="","",COUNTIFS(Başvuru!$C:$C,C411,Başvuru!$L:$L,"DÜZELTME",Başvuru!$A:$A,"&lt;&gt;"&amp;"",Başvuru!$F:$F,"&lt;&gt;"&amp;""))</f>
        <v/>
      </c>
      <c r="L411" s="165" t="str">
        <f>IF(C411="","",COUNTIFS(Başvuru!$C:$C,C411,Başvuru!$L:$L,"KAEK",Başvuru!$A:$A,"&lt;&gt;"&amp;"",Başvuru!$F:$F,"&lt;&gt;"&amp;""))</f>
        <v/>
      </c>
      <c r="M411" s="166" t="str">
        <f>IF(C411="","",COUNTIFS(Başvuru!$C:$C,C411,Başvuru!$L:$L,"GÖRÜŞ",Başvuru!$A:$A,"&lt;&gt;"&amp;"",Başvuru!$F:$F,"&lt;&gt;"&amp;""))</f>
        <v/>
      </c>
      <c r="N411" s="167" t="str">
        <f>IF(C411="","",COUNTIFS(Başvuru!$C:$C,C411,Başvuru!$L:$L,"RET",Başvuru!$A:$A,"&lt;&gt;"&amp;"",Başvuru!$F:$F,"&lt;&gt;"&amp;""))</f>
        <v/>
      </c>
      <c r="O411" s="168" t="str">
        <f>IF(C411="","",COUNTIFS(Başvuru!$C:$C,C411,Başvuru!$L:$L,"KAPSAM DIŞI",Başvuru!$A:$A,"&lt;&gt;"&amp;"",Başvuru!$F:$F,"&lt;&gt;"&amp;""))</f>
        <v/>
      </c>
      <c r="P411" s="169" t="str">
        <f>IF(C411="","",COUNTIFS(Başvuru!$C:$C,C411,Başvuru!$L:$L,"GERİ ÇEKİLDİ",Başvuru!$A:$A,"&lt;&gt;"&amp;"",Başvuru!$F:$F,"&lt;&gt;"&amp;""))</f>
        <v/>
      </c>
      <c r="Q411" s="170" t="str">
        <f>IFERROR(INDEX(Başvuru!$C$2:$C$1851,MATCH(406,Başvuru!$AB$2:$AB$1851,0)),"")</f>
        <v/>
      </c>
      <c r="R411" s="171" t="str">
        <f>IF(Q411="","",COUNTIFS(Başvuru!$C:$C,Q411,Başvuru!$A:$A,"&lt;&gt;"&amp;"",Başvuru!$F:$F,"&lt;&gt;"&amp;""))</f>
        <v/>
      </c>
      <c r="S411" s="171" t="str">
        <f>IF(R411="","",RANK(R411,$R$6:$R$505,0)+COUNTIF($R$6:R411,R411)-1)</f>
        <v/>
      </c>
    </row>
    <row r="412" spans="2:19" ht="23.25" customHeight="1" x14ac:dyDescent="0.25">
      <c r="B412" s="159">
        <v>407</v>
      </c>
      <c r="C412" s="160" t="str">
        <f>IFERROR(INDEX($Q$6:$Q$505,MATCH(407,$S$6:$S$505,0)),"")</f>
        <v/>
      </c>
      <c r="D412" s="161" t="str">
        <f>IF(C412="","",COUNTIFS(Başvuru!$C:$C,C412,Başvuru!$A:$A,"&lt;&gt;"&amp;"",Başvuru!$F:$F,"&lt;&gt;"&amp;""))</f>
        <v/>
      </c>
      <c r="E412" s="159" t="str">
        <f>IF(C412="","-",IF(D412&gt;0,TEXT(D412/(COUNTIFS(Başvuru!$A:$A,"&lt;&gt;",Başvuru!$F:$F,"&lt;&gt;")-1)*100,"0.0")&amp;"%","-"))</f>
        <v>-</v>
      </c>
      <c r="F412" s="162" t="str">
        <f>IF(C412="","",COUNTIFS(Başvuru!$C:$C,C412,Başvuru!$G:$G,"Bireysel Araştırma",Başvuru!$A:$A,"&lt;&gt;"&amp;"",Başvuru!$F:$F,"&lt;&gt;"&amp;""))</f>
        <v/>
      </c>
      <c r="G412" s="162" t="str">
        <f>IF(C412="","",COUNTIFS(Başvuru!$C:$C,C412,Başvuru!$G:$G,"Uzmanlık Tezi",Başvuru!$A:$A,"&lt;&gt;"&amp;"",Başvuru!$F:$F,"&lt;&gt;"&amp;""))</f>
        <v/>
      </c>
      <c r="H412" s="162" t="str">
        <f>IF(C412="","",COUNTIFS(Başvuru!$C:$C,C412,Başvuru!$G:$G,"Doktora Tezi",Başvuru!$A:$A,"&lt;&gt;"&amp;"",Başvuru!$F:$F,"&lt;&gt;"&amp;""))</f>
        <v/>
      </c>
      <c r="I412" s="162" t="str">
        <f>IF(C412="","",COUNTIFS(Başvuru!$C:$C,C412,Başvuru!$G:$G,"Yüksek Lisans Tezi",Başvuru!$A:$A,"&lt;&gt;"&amp;"",Başvuru!$F:$F,"&lt;&gt;"&amp;""))</f>
        <v/>
      </c>
      <c r="J412" s="163" t="str">
        <f>IF(C412="","",COUNTIFS(Başvuru!$C:$C,C412,Başvuru!$L:$L,"ONAY",Başvuru!$A:$A,"&lt;&gt;"&amp;"",Başvuru!$F:$F,"&lt;&gt;"&amp;""))</f>
        <v/>
      </c>
      <c r="K412" s="164" t="str">
        <f>IF(C412="","",COUNTIFS(Başvuru!$C:$C,C412,Başvuru!$L:$L,"DÜZELTME",Başvuru!$A:$A,"&lt;&gt;"&amp;"",Başvuru!$F:$F,"&lt;&gt;"&amp;""))</f>
        <v/>
      </c>
      <c r="L412" s="165" t="str">
        <f>IF(C412="","",COUNTIFS(Başvuru!$C:$C,C412,Başvuru!$L:$L,"KAEK",Başvuru!$A:$A,"&lt;&gt;"&amp;"",Başvuru!$F:$F,"&lt;&gt;"&amp;""))</f>
        <v/>
      </c>
      <c r="M412" s="166" t="str">
        <f>IF(C412="","",COUNTIFS(Başvuru!$C:$C,C412,Başvuru!$L:$L,"GÖRÜŞ",Başvuru!$A:$A,"&lt;&gt;"&amp;"",Başvuru!$F:$F,"&lt;&gt;"&amp;""))</f>
        <v/>
      </c>
      <c r="N412" s="167" t="str">
        <f>IF(C412="","",COUNTIFS(Başvuru!$C:$C,C412,Başvuru!$L:$L,"RET",Başvuru!$A:$A,"&lt;&gt;"&amp;"",Başvuru!$F:$F,"&lt;&gt;"&amp;""))</f>
        <v/>
      </c>
      <c r="O412" s="168" t="str">
        <f>IF(C412="","",COUNTIFS(Başvuru!$C:$C,C412,Başvuru!$L:$L,"KAPSAM DIŞI",Başvuru!$A:$A,"&lt;&gt;"&amp;"",Başvuru!$F:$F,"&lt;&gt;"&amp;""))</f>
        <v/>
      </c>
      <c r="P412" s="169" t="str">
        <f>IF(C412="","",COUNTIFS(Başvuru!$C:$C,C412,Başvuru!$L:$L,"GERİ ÇEKİLDİ",Başvuru!$A:$A,"&lt;&gt;"&amp;"",Başvuru!$F:$F,"&lt;&gt;"&amp;""))</f>
        <v/>
      </c>
      <c r="Q412" s="170" t="str">
        <f>IFERROR(INDEX(Başvuru!$C$2:$C$1851,MATCH(407,Başvuru!$AB$2:$AB$1851,0)),"")</f>
        <v/>
      </c>
      <c r="R412" s="171" t="str">
        <f>IF(Q412="","",COUNTIFS(Başvuru!$C:$C,Q412,Başvuru!$A:$A,"&lt;&gt;"&amp;"",Başvuru!$F:$F,"&lt;&gt;"&amp;""))</f>
        <v/>
      </c>
      <c r="S412" s="171" t="str">
        <f>IF(R412="","",RANK(R412,$R$6:$R$505,0)+COUNTIF($R$6:R412,R412)-1)</f>
        <v/>
      </c>
    </row>
    <row r="413" spans="2:19" ht="23.25" customHeight="1" x14ac:dyDescent="0.25">
      <c r="B413" s="159">
        <v>408</v>
      </c>
      <c r="C413" s="160" t="str">
        <f>IFERROR(INDEX($Q$6:$Q$505,MATCH(408,$S$6:$S$505,0)),"")</f>
        <v/>
      </c>
      <c r="D413" s="161" t="str">
        <f>IF(C413="","",COUNTIFS(Başvuru!$C:$C,C413,Başvuru!$A:$A,"&lt;&gt;"&amp;"",Başvuru!$F:$F,"&lt;&gt;"&amp;""))</f>
        <v/>
      </c>
      <c r="E413" s="159" t="str">
        <f>IF(C413="","-",IF(D413&gt;0,TEXT(D413/(COUNTIFS(Başvuru!$A:$A,"&lt;&gt;",Başvuru!$F:$F,"&lt;&gt;")-1)*100,"0.0")&amp;"%","-"))</f>
        <v>-</v>
      </c>
      <c r="F413" s="162" t="str">
        <f>IF(C413="","",COUNTIFS(Başvuru!$C:$C,C413,Başvuru!$G:$G,"Bireysel Araştırma",Başvuru!$A:$A,"&lt;&gt;"&amp;"",Başvuru!$F:$F,"&lt;&gt;"&amp;""))</f>
        <v/>
      </c>
      <c r="G413" s="162" t="str">
        <f>IF(C413="","",COUNTIFS(Başvuru!$C:$C,C413,Başvuru!$G:$G,"Uzmanlık Tezi",Başvuru!$A:$A,"&lt;&gt;"&amp;"",Başvuru!$F:$F,"&lt;&gt;"&amp;""))</f>
        <v/>
      </c>
      <c r="H413" s="162" t="str">
        <f>IF(C413="","",COUNTIFS(Başvuru!$C:$C,C413,Başvuru!$G:$G,"Doktora Tezi",Başvuru!$A:$A,"&lt;&gt;"&amp;"",Başvuru!$F:$F,"&lt;&gt;"&amp;""))</f>
        <v/>
      </c>
      <c r="I413" s="162" t="str">
        <f>IF(C413="","",COUNTIFS(Başvuru!$C:$C,C413,Başvuru!$G:$G,"Yüksek Lisans Tezi",Başvuru!$A:$A,"&lt;&gt;"&amp;"",Başvuru!$F:$F,"&lt;&gt;"&amp;""))</f>
        <v/>
      </c>
      <c r="J413" s="163" t="str">
        <f>IF(C413="","",COUNTIFS(Başvuru!$C:$C,C413,Başvuru!$L:$L,"ONAY",Başvuru!$A:$A,"&lt;&gt;"&amp;"",Başvuru!$F:$F,"&lt;&gt;"&amp;""))</f>
        <v/>
      </c>
      <c r="K413" s="164" t="str">
        <f>IF(C413="","",COUNTIFS(Başvuru!$C:$C,C413,Başvuru!$L:$L,"DÜZELTME",Başvuru!$A:$A,"&lt;&gt;"&amp;"",Başvuru!$F:$F,"&lt;&gt;"&amp;""))</f>
        <v/>
      </c>
      <c r="L413" s="165" t="str">
        <f>IF(C413="","",COUNTIFS(Başvuru!$C:$C,C413,Başvuru!$L:$L,"KAEK",Başvuru!$A:$A,"&lt;&gt;"&amp;"",Başvuru!$F:$F,"&lt;&gt;"&amp;""))</f>
        <v/>
      </c>
      <c r="M413" s="166" t="str">
        <f>IF(C413="","",COUNTIFS(Başvuru!$C:$C,C413,Başvuru!$L:$L,"GÖRÜŞ",Başvuru!$A:$A,"&lt;&gt;"&amp;"",Başvuru!$F:$F,"&lt;&gt;"&amp;""))</f>
        <v/>
      </c>
      <c r="N413" s="167" t="str">
        <f>IF(C413="","",COUNTIFS(Başvuru!$C:$C,C413,Başvuru!$L:$L,"RET",Başvuru!$A:$A,"&lt;&gt;"&amp;"",Başvuru!$F:$F,"&lt;&gt;"&amp;""))</f>
        <v/>
      </c>
      <c r="O413" s="168" t="str">
        <f>IF(C413="","",COUNTIFS(Başvuru!$C:$C,C413,Başvuru!$L:$L,"KAPSAM DIŞI",Başvuru!$A:$A,"&lt;&gt;"&amp;"",Başvuru!$F:$F,"&lt;&gt;"&amp;""))</f>
        <v/>
      </c>
      <c r="P413" s="169" t="str">
        <f>IF(C413="","",COUNTIFS(Başvuru!$C:$C,C413,Başvuru!$L:$L,"GERİ ÇEKİLDİ",Başvuru!$A:$A,"&lt;&gt;"&amp;"",Başvuru!$F:$F,"&lt;&gt;"&amp;""))</f>
        <v/>
      </c>
      <c r="Q413" s="170" t="str">
        <f>IFERROR(INDEX(Başvuru!$C$2:$C$1851,MATCH(408,Başvuru!$AB$2:$AB$1851,0)),"")</f>
        <v/>
      </c>
      <c r="R413" s="171" t="str">
        <f>IF(Q413="","",COUNTIFS(Başvuru!$C:$C,Q413,Başvuru!$A:$A,"&lt;&gt;"&amp;"",Başvuru!$F:$F,"&lt;&gt;"&amp;""))</f>
        <v/>
      </c>
      <c r="S413" s="171" t="str">
        <f>IF(R413="","",RANK(R413,$R$6:$R$505,0)+COUNTIF($R$6:R413,R413)-1)</f>
        <v/>
      </c>
    </row>
    <row r="414" spans="2:19" ht="23.25" customHeight="1" x14ac:dyDescent="0.25">
      <c r="B414" s="159">
        <v>409</v>
      </c>
      <c r="C414" s="160" t="str">
        <f>IFERROR(INDEX($Q$6:$Q$505,MATCH(409,$S$6:$S$505,0)),"")</f>
        <v/>
      </c>
      <c r="D414" s="161" t="str">
        <f>IF(C414="","",COUNTIFS(Başvuru!$C:$C,C414,Başvuru!$A:$A,"&lt;&gt;"&amp;"",Başvuru!$F:$F,"&lt;&gt;"&amp;""))</f>
        <v/>
      </c>
      <c r="E414" s="159" t="str">
        <f>IF(C414="","-",IF(D414&gt;0,TEXT(D414/(COUNTIFS(Başvuru!$A:$A,"&lt;&gt;",Başvuru!$F:$F,"&lt;&gt;")-1)*100,"0.0")&amp;"%","-"))</f>
        <v>-</v>
      </c>
      <c r="F414" s="162" t="str">
        <f>IF(C414="","",COUNTIFS(Başvuru!$C:$C,C414,Başvuru!$G:$G,"Bireysel Araştırma",Başvuru!$A:$A,"&lt;&gt;"&amp;"",Başvuru!$F:$F,"&lt;&gt;"&amp;""))</f>
        <v/>
      </c>
      <c r="G414" s="162" t="str">
        <f>IF(C414="","",COUNTIFS(Başvuru!$C:$C,C414,Başvuru!$G:$G,"Uzmanlık Tezi",Başvuru!$A:$A,"&lt;&gt;"&amp;"",Başvuru!$F:$F,"&lt;&gt;"&amp;""))</f>
        <v/>
      </c>
      <c r="H414" s="162" t="str">
        <f>IF(C414="","",COUNTIFS(Başvuru!$C:$C,C414,Başvuru!$G:$G,"Doktora Tezi",Başvuru!$A:$A,"&lt;&gt;"&amp;"",Başvuru!$F:$F,"&lt;&gt;"&amp;""))</f>
        <v/>
      </c>
      <c r="I414" s="162" t="str">
        <f>IF(C414="","",COUNTIFS(Başvuru!$C:$C,C414,Başvuru!$G:$G,"Yüksek Lisans Tezi",Başvuru!$A:$A,"&lt;&gt;"&amp;"",Başvuru!$F:$F,"&lt;&gt;"&amp;""))</f>
        <v/>
      </c>
      <c r="J414" s="163" t="str">
        <f>IF(C414="","",COUNTIFS(Başvuru!$C:$C,C414,Başvuru!$L:$L,"ONAY",Başvuru!$A:$A,"&lt;&gt;"&amp;"",Başvuru!$F:$F,"&lt;&gt;"&amp;""))</f>
        <v/>
      </c>
      <c r="K414" s="164" t="str">
        <f>IF(C414="","",COUNTIFS(Başvuru!$C:$C,C414,Başvuru!$L:$L,"DÜZELTME",Başvuru!$A:$A,"&lt;&gt;"&amp;"",Başvuru!$F:$F,"&lt;&gt;"&amp;""))</f>
        <v/>
      </c>
      <c r="L414" s="165" t="str">
        <f>IF(C414="","",COUNTIFS(Başvuru!$C:$C,C414,Başvuru!$L:$L,"KAEK",Başvuru!$A:$A,"&lt;&gt;"&amp;"",Başvuru!$F:$F,"&lt;&gt;"&amp;""))</f>
        <v/>
      </c>
      <c r="M414" s="166" t="str">
        <f>IF(C414="","",COUNTIFS(Başvuru!$C:$C,C414,Başvuru!$L:$L,"GÖRÜŞ",Başvuru!$A:$A,"&lt;&gt;"&amp;"",Başvuru!$F:$F,"&lt;&gt;"&amp;""))</f>
        <v/>
      </c>
      <c r="N414" s="167" t="str">
        <f>IF(C414="","",COUNTIFS(Başvuru!$C:$C,C414,Başvuru!$L:$L,"RET",Başvuru!$A:$A,"&lt;&gt;"&amp;"",Başvuru!$F:$F,"&lt;&gt;"&amp;""))</f>
        <v/>
      </c>
      <c r="O414" s="168" t="str">
        <f>IF(C414="","",COUNTIFS(Başvuru!$C:$C,C414,Başvuru!$L:$L,"KAPSAM DIŞI",Başvuru!$A:$A,"&lt;&gt;"&amp;"",Başvuru!$F:$F,"&lt;&gt;"&amp;""))</f>
        <v/>
      </c>
      <c r="P414" s="169" t="str">
        <f>IF(C414="","",COUNTIFS(Başvuru!$C:$C,C414,Başvuru!$L:$L,"GERİ ÇEKİLDİ",Başvuru!$A:$A,"&lt;&gt;"&amp;"",Başvuru!$F:$F,"&lt;&gt;"&amp;""))</f>
        <v/>
      </c>
      <c r="Q414" s="170" t="str">
        <f>IFERROR(INDEX(Başvuru!$C$2:$C$1851,MATCH(409,Başvuru!$AB$2:$AB$1851,0)),"")</f>
        <v/>
      </c>
      <c r="R414" s="171" t="str">
        <f>IF(Q414="","",COUNTIFS(Başvuru!$C:$C,Q414,Başvuru!$A:$A,"&lt;&gt;"&amp;"",Başvuru!$F:$F,"&lt;&gt;"&amp;""))</f>
        <v/>
      </c>
      <c r="S414" s="171" t="str">
        <f>IF(R414="","",RANK(R414,$R$6:$R$505,0)+COUNTIF($R$6:R414,R414)-1)</f>
        <v/>
      </c>
    </row>
    <row r="415" spans="2:19" ht="23.25" customHeight="1" x14ac:dyDescent="0.25">
      <c r="B415" s="159">
        <v>410</v>
      </c>
      <c r="C415" s="160" t="str">
        <f>IFERROR(INDEX($Q$6:$Q$505,MATCH(410,$S$6:$S$505,0)),"")</f>
        <v/>
      </c>
      <c r="D415" s="161" t="str">
        <f>IF(C415="","",COUNTIFS(Başvuru!$C:$C,C415,Başvuru!$A:$A,"&lt;&gt;"&amp;"",Başvuru!$F:$F,"&lt;&gt;"&amp;""))</f>
        <v/>
      </c>
      <c r="E415" s="159" t="str">
        <f>IF(C415="","-",IF(D415&gt;0,TEXT(D415/(COUNTIFS(Başvuru!$A:$A,"&lt;&gt;",Başvuru!$F:$F,"&lt;&gt;")-1)*100,"0.0")&amp;"%","-"))</f>
        <v>-</v>
      </c>
      <c r="F415" s="162" t="str">
        <f>IF(C415="","",COUNTIFS(Başvuru!$C:$C,C415,Başvuru!$G:$G,"Bireysel Araştırma",Başvuru!$A:$A,"&lt;&gt;"&amp;"",Başvuru!$F:$F,"&lt;&gt;"&amp;""))</f>
        <v/>
      </c>
      <c r="G415" s="162" t="str">
        <f>IF(C415="","",COUNTIFS(Başvuru!$C:$C,C415,Başvuru!$G:$G,"Uzmanlık Tezi",Başvuru!$A:$A,"&lt;&gt;"&amp;"",Başvuru!$F:$F,"&lt;&gt;"&amp;""))</f>
        <v/>
      </c>
      <c r="H415" s="162" t="str">
        <f>IF(C415="","",COUNTIFS(Başvuru!$C:$C,C415,Başvuru!$G:$G,"Doktora Tezi",Başvuru!$A:$A,"&lt;&gt;"&amp;"",Başvuru!$F:$F,"&lt;&gt;"&amp;""))</f>
        <v/>
      </c>
      <c r="I415" s="162" t="str">
        <f>IF(C415="","",COUNTIFS(Başvuru!$C:$C,C415,Başvuru!$G:$G,"Yüksek Lisans Tezi",Başvuru!$A:$A,"&lt;&gt;"&amp;"",Başvuru!$F:$F,"&lt;&gt;"&amp;""))</f>
        <v/>
      </c>
      <c r="J415" s="163" t="str">
        <f>IF(C415="","",COUNTIFS(Başvuru!$C:$C,C415,Başvuru!$L:$L,"ONAY",Başvuru!$A:$A,"&lt;&gt;"&amp;"",Başvuru!$F:$F,"&lt;&gt;"&amp;""))</f>
        <v/>
      </c>
      <c r="K415" s="164" t="str">
        <f>IF(C415="","",COUNTIFS(Başvuru!$C:$C,C415,Başvuru!$L:$L,"DÜZELTME",Başvuru!$A:$A,"&lt;&gt;"&amp;"",Başvuru!$F:$F,"&lt;&gt;"&amp;""))</f>
        <v/>
      </c>
      <c r="L415" s="165" t="str">
        <f>IF(C415="","",COUNTIFS(Başvuru!$C:$C,C415,Başvuru!$L:$L,"KAEK",Başvuru!$A:$A,"&lt;&gt;"&amp;"",Başvuru!$F:$F,"&lt;&gt;"&amp;""))</f>
        <v/>
      </c>
      <c r="M415" s="166" t="str">
        <f>IF(C415="","",COUNTIFS(Başvuru!$C:$C,C415,Başvuru!$L:$L,"GÖRÜŞ",Başvuru!$A:$A,"&lt;&gt;"&amp;"",Başvuru!$F:$F,"&lt;&gt;"&amp;""))</f>
        <v/>
      </c>
      <c r="N415" s="167" t="str">
        <f>IF(C415="","",COUNTIFS(Başvuru!$C:$C,C415,Başvuru!$L:$L,"RET",Başvuru!$A:$A,"&lt;&gt;"&amp;"",Başvuru!$F:$F,"&lt;&gt;"&amp;""))</f>
        <v/>
      </c>
      <c r="O415" s="168" t="str">
        <f>IF(C415="","",COUNTIFS(Başvuru!$C:$C,C415,Başvuru!$L:$L,"KAPSAM DIŞI",Başvuru!$A:$A,"&lt;&gt;"&amp;"",Başvuru!$F:$F,"&lt;&gt;"&amp;""))</f>
        <v/>
      </c>
      <c r="P415" s="169" t="str">
        <f>IF(C415="","",COUNTIFS(Başvuru!$C:$C,C415,Başvuru!$L:$L,"GERİ ÇEKİLDİ",Başvuru!$A:$A,"&lt;&gt;"&amp;"",Başvuru!$F:$F,"&lt;&gt;"&amp;""))</f>
        <v/>
      </c>
      <c r="Q415" s="170" t="str">
        <f>IFERROR(INDEX(Başvuru!$C$2:$C$1851,MATCH(410,Başvuru!$AB$2:$AB$1851,0)),"")</f>
        <v/>
      </c>
      <c r="R415" s="171" t="str">
        <f>IF(Q415="","",COUNTIFS(Başvuru!$C:$C,Q415,Başvuru!$A:$A,"&lt;&gt;"&amp;"",Başvuru!$F:$F,"&lt;&gt;"&amp;""))</f>
        <v/>
      </c>
      <c r="S415" s="171" t="str">
        <f>IF(R415="","",RANK(R415,$R$6:$R$505,0)+COUNTIF($R$6:R415,R415)-1)</f>
        <v/>
      </c>
    </row>
    <row r="416" spans="2:19" ht="23.25" customHeight="1" x14ac:dyDescent="0.25">
      <c r="B416" s="159">
        <v>411</v>
      </c>
      <c r="C416" s="160" t="str">
        <f>IFERROR(INDEX($Q$6:$Q$505,MATCH(411,$S$6:$S$505,0)),"")</f>
        <v/>
      </c>
      <c r="D416" s="161" t="str">
        <f>IF(C416="","",COUNTIFS(Başvuru!$C:$C,C416,Başvuru!$A:$A,"&lt;&gt;"&amp;"",Başvuru!$F:$F,"&lt;&gt;"&amp;""))</f>
        <v/>
      </c>
      <c r="E416" s="159" t="str">
        <f>IF(C416="","-",IF(D416&gt;0,TEXT(D416/(COUNTIFS(Başvuru!$A:$A,"&lt;&gt;",Başvuru!$F:$F,"&lt;&gt;")-1)*100,"0.0")&amp;"%","-"))</f>
        <v>-</v>
      </c>
      <c r="F416" s="162" t="str">
        <f>IF(C416="","",COUNTIFS(Başvuru!$C:$C,C416,Başvuru!$G:$G,"Bireysel Araştırma",Başvuru!$A:$A,"&lt;&gt;"&amp;"",Başvuru!$F:$F,"&lt;&gt;"&amp;""))</f>
        <v/>
      </c>
      <c r="G416" s="162" t="str">
        <f>IF(C416="","",COUNTIFS(Başvuru!$C:$C,C416,Başvuru!$G:$G,"Uzmanlık Tezi",Başvuru!$A:$A,"&lt;&gt;"&amp;"",Başvuru!$F:$F,"&lt;&gt;"&amp;""))</f>
        <v/>
      </c>
      <c r="H416" s="162" t="str">
        <f>IF(C416="","",COUNTIFS(Başvuru!$C:$C,C416,Başvuru!$G:$G,"Doktora Tezi",Başvuru!$A:$A,"&lt;&gt;"&amp;"",Başvuru!$F:$F,"&lt;&gt;"&amp;""))</f>
        <v/>
      </c>
      <c r="I416" s="162" t="str">
        <f>IF(C416="","",COUNTIFS(Başvuru!$C:$C,C416,Başvuru!$G:$G,"Yüksek Lisans Tezi",Başvuru!$A:$A,"&lt;&gt;"&amp;"",Başvuru!$F:$F,"&lt;&gt;"&amp;""))</f>
        <v/>
      </c>
      <c r="J416" s="163" t="str">
        <f>IF(C416="","",COUNTIFS(Başvuru!$C:$C,C416,Başvuru!$L:$L,"ONAY",Başvuru!$A:$A,"&lt;&gt;"&amp;"",Başvuru!$F:$F,"&lt;&gt;"&amp;""))</f>
        <v/>
      </c>
      <c r="K416" s="164" t="str">
        <f>IF(C416="","",COUNTIFS(Başvuru!$C:$C,C416,Başvuru!$L:$L,"DÜZELTME",Başvuru!$A:$A,"&lt;&gt;"&amp;"",Başvuru!$F:$F,"&lt;&gt;"&amp;""))</f>
        <v/>
      </c>
      <c r="L416" s="165" t="str">
        <f>IF(C416="","",COUNTIFS(Başvuru!$C:$C,C416,Başvuru!$L:$L,"KAEK",Başvuru!$A:$A,"&lt;&gt;"&amp;"",Başvuru!$F:$F,"&lt;&gt;"&amp;""))</f>
        <v/>
      </c>
      <c r="M416" s="166" t="str">
        <f>IF(C416="","",COUNTIFS(Başvuru!$C:$C,C416,Başvuru!$L:$L,"GÖRÜŞ",Başvuru!$A:$A,"&lt;&gt;"&amp;"",Başvuru!$F:$F,"&lt;&gt;"&amp;""))</f>
        <v/>
      </c>
      <c r="N416" s="167" t="str">
        <f>IF(C416="","",COUNTIFS(Başvuru!$C:$C,C416,Başvuru!$L:$L,"RET",Başvuru!$A:$A,"&lt;&gt;"&amp;"",Başvuru!$F:$F,"&lt;&gt;"&amp;""))</f>
        <v/>
      </c>
      <c r="O416" s="168" t="str">
        <f>IF(C416="","",COUNTIFS(Başvuru!$C:$C,C416,Başvuru!$L:$L,"KAPSAM DIŞI",Başvuru!$A:$A,"&lt;&gt;"&amp;"",Başvuru!$F:$F,"&lt;&gt;"&amp;""))</f>
        <v/>
      </c>
      <c r="P416" s="169" t="str">
        <f>IF(C416="","",COUNTIFS(Başvuru!$C:$C,C416,Başvuru!$L:$L,"GERİ ÇEKİLDİ",Başvuru!$A:$A,"&lt;&gt;"&amp;"",Başvuru!$F:$F,"&lt;&gt;"&amp;""))</f>
        <v/>
      </c>
      <c r="Q416" s="170" t="str">
        <f>IFERROR(INDEX(Başvuru!$C$2:$C$1851,MATCH(411,Başvuru!$AB$2:$AB$1851,0)),"")</f>
        <v/>
      </c>
      <c r="R416" s="171" t="str">
        <f>IF(Q416="","",COUNTIFS(Başvuru!$C:$C,Q416,Başvuru!$A:$A,"&lt;&gt;"&amp;"",Başvuru!$F:$F,"&lt;&gt;"&amp;""))</f>
        <v/>
      </c>
      <c r="S416" s="171" t="str">
        <f>IF(R416="","",RANK(R416,$R$6:$R$505,0)+COUNTIF($R$6:R416,R416)-1)</f>
        <v/>
      </c>
    </row>
    <row r="417" spans="2:19" ht="23.25" customHeight="1" x14ac:dyDescent="0.25">
      <c r="B417" s="159">
        <v>412</v>
      </c>
      <c r="C417" s="160" t="str">
        <f>IFERROR(INDEX($Q$6:$Q$505,MATCH(412,$S$6:$S$505,0)),"")</f>
        <v/>
      </c>
      <c r="D417" s="161" t="str">
        <f>IF(C417="","",COUNTIFS(Başvuru!$C:$C,C417,Başvuru!$A:$A,"&lt;&gt;"&amp;"",Başvuru!$F:$F,"&lt;&gt;"&amp;""))</f>
        <v/>
      </c>
      <c r="E417" s="159" t="str">
        <f>IF(C417="","-",IF(D417&gt;0,TEXT(D417/(COUNTIFS(Başvuru!$A:$A,"&lt;&gt;",Başvuru!$F:$F,"&lt;&gt;")-1)*100,"0.0")&amp;"%","-"))</f>
        <v>-</v>
      </c>
      <c r="F417" s="162" t="str">
        <f>IF(C417="","",COUNTIFS(Başvuru!$C:$C,C417,Başvuru!$G:$G,"Bireysel Araştırma",Başvuru!$A:$A,"&lt;&gt;"&amp;"",Başvuru!$F:$F,"&lt;&gt;"&amp;""))</f>
        <v/>
      </c>
      <c r="G417" s="162" t="str">
        <f>IF(C417="","",COUNTIFS(Başvuru!$C:$C,C417,Başvuru!$G:$G,"Uzmanlık Tezi",Başvuru!$A:$A,"&lt;&gt;"&amp;"",Başvuru!$F:$F,"&lt;&gt;"&amp;""))</f>
        <v/>
      </c>
      <c r="H417" s="162" t="str">
        <f>IF(C417="","",COUNTIFS(Başvuru!$C:$C,C417,Başvuru!$G:$G,"Doktora Tezi",Başvuru!$A:$A,"&lt;&gt;"&amp;"",Başvuru!$F:$F,"&lt;&gt;"&amp;""))</f>
        <v/>
      </c>
      <c r="I417" s="162" t="str">
        <f>IF(C417="","",COUNTIFS(Başvuru!$C:$C,C417,Başvuru!$G:$G,"Yüksek Lisans Tezi",Başvuru!$A:$A,"&lt;&gt;"&amp;"",Başvuru!$F:$F,"&lt;&gt;"&amp;""))</f>
        <v/>
      </c>
      <c r="J417" s="163" t="str">
        <f>IF(C417="","",COUNTIFS(Başvuru!$C:$C,C417,Başvuru!$L:$L,"ONAY",Başvuru!$A:$A,"&lt;&gt;"&amp;"",Başvuru!$F:$F,"&lt;&gt;"&amp;""))</f>
        <v/>
      </c>
      <c r="K417" s="164" t="str">
        <f>IF(C417="","",COUNTIFS(Başvuru!$C:$C,C417,Başvuru!$L:$L,"DÜZELTME",Başvuru!$A:$A,"&lt;&gt;"&amp;"",Başvuru!$F:$F,"&lt;&gt;"&amp;""))</f>
        <v/>
      </c>
      <c r="L417" s="165" t="str">
        <f>IF(C417="","",COUNTIFS(Başvuru!$C:$C,C417,Başvuru!$L:$L,"KAEK",Başvuru!$A:$A,"&lt;&gt;"&amp;"",Başvuru!$F:$F,"&lt;&gt;"&amp;""))</f>
        <v/>
      </c>
      <c r="M417" s="166" t="str">
        <f>IF(C417="","",COUNTIFS(Başvuru!$C:$C,C417,Başvuru!$L:$L,"GÖRÜŞ",Başvuru!$A:$A,"&lt;&gt;"&amp;"",Başvuru!$F:$F,"&lt;&gt;"&amp;""))</f>
        <v/>
      </c>
      <c r="N417" s="167" t="str">
        <f>IF(C417="","",COUNTIFS(Başvuru!$C:$C,C417,Başvuru!$L:$L,"RET",Başvuru!$A:$A,"&lt;&gt;"&amp;"",Başvuru!$F:$F,"&lt;&gt;"&amp;""))</f>
        <v/>
      </c>
      <c r="O417" s="168" t="str">
        <f>IF(C417="","",COUNTIFS(Başvuru!$C:$C,C417,Başvuru!$L:$L,"KAPSAM DIŞI",Başvuru!$A:$A,"&lt;&gt;"&amp;"",Başvuru!$F:$F,"&lt;&gt;"&amp;""))</f>
        <v/>
      </c>
      <c r="P417" s="169" t="str">
        <f>IF(C417="","",COUNTIFS(Başvuru!$C:$C,C417,Başvuru!$L:$L,"GERİ ÇEKİLDİ",Başvuru!$A:$A,"&lt;&gt;"&amp;"",Başvuru!$F:$F,"&lt;&gt;"&amp;""))</f>
        <v/>
      </c>
      <c r="Q417" s="170" t="str">
        <f>IFERROR(INDEX(Başvuru!$C$2:$C$1851,MATCH(412,Başvuru!$AB$2:$AB$1851,0)),"")</f>
        <v/>
      </c>
      <c r="R417" s="171" t="str">
        <f>IF(Q417="","",COUNTIFS(Başvuru!$C:$C,Q417,Başvuru!$A:$A,"&lt;&gt;"&amp;"",Başvuru!$F:$F,"&lt;&gt;"&amp;""))</f>
        <v/>
      </c>
      <c r="S417" s="171" t="str">
        <f>IF(R417="","",RANK(R417,$R$6:$R$505,0)+COUNTIF($R$6:R417,R417)-1)</f>
        <v/>
      </c>
    </row>
    <row r="418" spans="2:19" ht="23.25" customHeight="1" x14ac:dyDescent="0.25">
      <c r="B418" s="159">
        <v>413</v>
      </c>
      <c r="C418" s="160" t="str">
        <f>IFERROR(INDEX($Q$6:$Q$505,MATCH(413,$S$6:$S$505,0)),"")</f>
        <v/>
      </c>
      <c r="D418" s="161" t="str">
        <f>IF(C418="","",COUNTIFS(Başvuru!$C:$C,C418,Başvuru!$A:$A,"&lt;&gt;"&amp;"",Başvuru!$F:$F,"&lt;&gt;"&amp;""))</f>
        <v/>
      </c>
      <c r="E418" s="159" t="str">
        <f>IF(C418="","-",IF(D418&gt;0,TEXT(D418/(COUNTIFS(Başvuru!$A:$A,"&lt;&gt;",Başvuru!$F:$F,"&lt;&gt;")-1)*100,"0.0")&amp;"%","-"))</f>
        <v>-</v>
      </c>
      <c r="F418" s="162" t="str">
        <f>IF(C418="","",COUNTIFS(Başvuru!$C:$C,C418,Başvuru!$G:$G,"Bireysel Araştırma",Başvuru!$A:$A,"&lt;&gt;"&amp;"",Başvuru!$F:$F,"&lt;&gt;"&amp;""))</f>
        <v/>
      </c>
      <c r="G418" s="162" t="str">
        <f>IF(C418="","",COUNTIFS(Başvuru!$C:$C,C418,Başvuru!$G:$G,"Uzmanlık Tezi",Başvuru!$A:$A,"&lt;&gt;"&amp;"",Başvuru!$F:$F,"&lt;&gt;"&amp;""))</f>
        <v/>
      </c>
      <c r="H418" s="162" t="str">
        <f>IF(C418="","",COUNTIFS(Başvuru!$C:$C,C418,Başvuru!$G:$G,"Doktora Tezi",Başvuru!$A:$A,"&lt;&gt;"&amp;"",Başvuru!$F:$F,"&lt;&gt;"&amp;""))</f>
        <v/>
      </c>
      <c r="I418" s="162" t="str">
        <f>IF(C418="","",COUNTIFS(Başvuru!$C:$C,C418,Başvuru!$G:$G,"Yüksek Lisans Tezi",Başvuru!$A:$A,"&lt;&gt;"&amp;"",Başvuru!$F:$F,"&lt;&gt;"&amp;""))</f>
        <v/>
      </c>
      <c r="J418" s="163" t="str">
        <f>IF(C418="","",COUNTIFS(Başvuru!$C:$C,C418,Başvuru!$L:$L,"ONAY",Başvuru!$A:$A,"&lt;&gt;"&amp;"",Başvuru!$F:$F,"&lt;&gt;"&amp;""))</f>
        <v/>
      </c>
      <c r="K418" s="164" t="str">
        <f>IF(C418="","",COUNTIFS(Başvuru!$C:$C,C418,Başvuru!$L:$L,"DÜZELTME",Başvuru!$A:$A,"&lt;&gt;"&amp;"",Başvuru!$F:$F,"&lt;&gt;"&amp;""))</f>
        <v/>
      </c>
      <c r="L418" s="165" t="str">
        <f>IF(C418="","",COUNTIFS(Başvuru!$C:$C,C418,Başvuru!$L:$L,"KAEK",Başvuru!$A:$A,"&lt;&gt;"&amp;"",Başvuru!$F:$F,"&lt;&gt;"&amp;""))</f>
        <v/>
      </c>
      <c r="M418" s="166" t="str">
        <f>IF(C418="","",COUNTIFS(Başvuru!$C:$C,C418,Başvuru!$L:$L,"GÖRÜŞ",Başvuru!$A:$A,"&lt;&gt;"&amp;"",Başvuru!$F:$F,"&lt;&gt;"&amp;""))</f>
        <v/>
      </c>
      <c r="N418" s="167" t="str">
        <f>IF(C418="","",COUNTIFS(Başvuru!$C:$C,C418,Başvuru!$L:$L,"RET",Başvuru!$A:$A,"&lt;&gt;"&amp;"",Başvuru!$F:$F,"&lt;&gt;"&amp;""))</f>
        <v/>
      </c>
      <c r="O418" s="168" t="str">
        <f>IF(C418="","",COUNTIFS(Başvuru!$C:$C,C418,Başvuru!$L:$L,"KAPSAM DIŞI",Başvuru!$A:$A,"&lt;&gt;"&amp;"",Başvuru!$F:$F,"&lt;&gt;"&amp;""))</f>
        <v/>
      </c>
      <c r="P418" s="169" t="str">
        <f>IF(C418="","",COUNTIFS(Başvuru!$C:$C,C418,Başvuru!$L:$L,"GERİ ÇEKİLDİ",Başvuru!$A:$A,"&lt;&gt;"&amp;"",Başvuru!$F:$F,"&lt;&gt;"&amp;""))</f>
        <v/>
      </c>
      <c r="Q418" s="170" t="str">
        <f>IFERROR(INDEX(Başvuru!$C$2:$C$1851,MATCH(413,Başvuru!$AB$2:$AB$1851,0)),"")</f>
        <v/>
      </c>
      <c r="R418" s="171" t="str">
        <f>IF(Q418="","",COUNTIFS(Başvuru!$C:$C,Q418,Başvuru!$A:$A,"&lt;&gt;"&amp;"",Başvuru!$F:$F,"&lt;&gt;"&amp;""))</f>
        <v/>
      </c>
      <c r="S418" s="171" t="str">
        <f>IF(R418="","",RANK(R418,$R$6:$R$505,0)+COUNTIF($R$6:R418,R418)-1)</f>
        <v/>
      </c>
    </row>
    <row r="419" spans="2:19" ht="23.25" customHeight="1" x14ac:dyDescent="0.25">
      <c r="B419" s="159">
        <v>414</v>
      </c>
      <c r="C419" s="160" t="str">
        <f>IFERROR(INDEX($Q$6:$Q$505,MATCH(414,$S$6:$S$505,0)),"")</f>
        <v/>
      </c>
      <c r="D419" s="161" t="str">
        <f>IF(C419="","",COUNTIFS(Başvuru!$C:$C,C419,Başvuru!$A:$A,"&lt;&gt;"&amp;"",Başvuru!$F:$F,"&lt;&gt;"&amp;""))</f>
        <v/>
      </c>
      <c r="E419" s="159" t="str">
        <f>IF(C419="","-",IF(D419&gt;0,TEXT(D419/(COUNTIFS(Başvuru!$A:$A,"&lt;&gt;",Başvuru!$F:$F,"&lt;&gt;")-1)*100,"0.0")&amp;"%","-"))</f>
        <v>-</v>
      </c>
      <c r="F419" s="162" t="str">
        <f>IF(C419="","",COUNTIFS(Başvuru!$C:$C,C419,Başvuru!$G:$G,"Bireysel Araştırma",Başvuru!$A:$A,"&lt;&gt;"&amp;"",Başvuru!$F:$F,"&lt;&gt;"&amp;""))</f>
        <v/>
      </c>
      <c r="G419" s="162" t="str">
        <f>IF(C419="","",COUNTIFS(Başvuru!$C:$C,C419,Başvuru!$G:$G,"Uzmanlık Tezi",Başvuru!$A:$A,"&lt;&gt;"&amp;"",Başvuru!$F:$F,"&lt;&gt;"&amp;""))</f>
        <v/>
      </c>
      <c r="H419" s="162" t="str">
        <f>IF(C419="","",COUNTIFS(Başvuru!$C:$C,C419,Başvuru!$G:$G,"Doktora Tezi",Başvuru!$A:$A,"&lt;&gt;"&amp;"",Başvuru!$F:$F,"&lt;&gt;"&amp;""))</f>
        <v/>
      </c>
      <c r="I419" s="162" t="str">
        <f>IF(C419="","",COUNTIFS(Başvuru!$C:$C,C419,Başvuru!$G:$G,"Yüksek Lisans Tezi",Başvuru!$A:$A,"&lt;&gt;"&amp;"",Başvuru!$F:$F,"&lt;&gt;"&amp;""))</f>
        <v/>
      </c>
      <c r="J419" s="163" t="str">
        <f>IF(C419="","",COUNTIFS(Başvuru!$C:$C,C419,Başvuru!$L:$L,"ONAY",Başvuru!$A:$A,"&lt;&gt;"&amp;"",Başvuru!$F:$F,"&lt;&gt;"&amp;""))</f>
        <v/>
      </c>
      <c r="K419" s="164" t="str">
        <f>IF(C419="","",COUNTIFS(Başvuru!$C:$C,C419,Başvuru!$L:$L,"DÜZELTME",Başvuru!$A:$A,"&lt;&gt;"&amp;"",Başvuru!$F:$F,"&lt;&gt;"&amp;""))</f>
        <v/>
      </c>
      <c r="L419" s="165" t="str">
        <f>IF(C419="","",COUNTIFS(Başvuru!$C:$C,C419,Başvuru!$L:$L,"KAEK",Başvuru!$A:$A,"&lt;&gt;"&amp;"",Başvuru!$F:$F,"&lt;&gt;"&amp;""))</f>
        <v/>
      </c>
      <c r="M419" s="166" t="str">
        <f>IF(C419="","",COUNTIFS(Başvuru!$C:$C,C419,Başvuru!$L:$L,"GÖRÜŞ",Başvuru!$A:$A,"&lt;&gt;"&amp;"",Başvuru!$F:$F,"&lt;&gt;"&amp;""))</f>
        <v/>
      </c>
      <c r="N419" s="167" t="str">
        <f>IF(C419="","",COUNTIFS(Başvuru!$C:$C,C419,Başvuru!$L:$L,"RET",Başvuru!$A:$A,"&lt;&gt;"&amp;"",Başvuru!$F:$F,"&lt;&gt;"&amp;""))</f>
        <v/>
      </c>
      <c r="O419" s="168" t="str">
        <f>IF(C419="","",COUNTIFS(Başvuru!$C:$C,C419,Başvuru!$L:$L,"KAPSAM DIŞI",Başvuru!$A:$A,"&lt;&gt;"&amp;"",Başvuru!$F:$F,"&lt;&gt;"&amp;""))</f>
        <v/>
      </c>
      <c r="P419" s="169" t="str">
        <f>IF(C419="","",COUNTIFS(Başvuru!$C:$C,C419,Başvuru!$L:$L,"GERİ ÇEKİLDİ",Başvuru!$A:$A,"&lt;&gt;"&amp;"",Başvuru!$F:$F,"&lt;&gt;"&amp;""))</f>
        <v/>
      </c>
      <c r="Q419" s="170" t="str">
        <f>IFERROR(INDEX(Başvuru!$C$2:$C$1851,MATCH(414,Başvuru!$AB$2:$AB$1851,0)),"")</f>
        <v/>
      </c>
      <c r="R419" s="171" t="str">
        <f>IF(Q419="","",COUNTIFS(Başvuru!$C:$C,Q419,Başvuru!$A:$A,"&lt;&gt;"&amp;"",Başvuru!$F:$F,"&lt;&gt;"&amp;""))</f>
        <v/>
      </c>
      <c r="S419" s="171" t="str">
        <f>IF(R419="","",RANK(R419,$R$6:$R$505,0)+COUNTIF($R$6:R419,R419)-1)</f>
        <v/>
      </c>
    </row>
    <row r="420" spans="2:19" ht="23.25" customHeight="1" x14ac:dyDescent="0.25">
      <c r="B420" s="159">
        <v>415</v>
      </c>
      <c r="C420" s="160" t="str">
        <f>IFERROR(INDEX($Q$6:$Q$505,MATCH(415,$S$6:$S$505,0)),"")</f>
        <v/>
      </c>
      <c r="D420" s="161" t="str">
        <f>IF(C420="","",COUNTIFS(Başvuru!$C:$C,C420,Başvuru!$A:$A,"&lt;&gt;"&amp;"",Başvuru!$F:$F,"&lt;&gt;"&amp;""))</f>
        <v/>
      </c>
      <c r="E420" s="159" t="str">
        <f>IF(C420="","-",IF(D420&gt;0,TEXT(D420/(COUNTIFS(Başvuru!$A:$A,"&lt;&gt;",Başvuru!$F:$F,"&lt;&gt;")-1)*100,"0.0")&amp;"%","-"))</f>
        <v>-</v>
      </c>
      <c r="F420" s="162" t="str">
        <f>IF(C420="","",COUNTIFS(Başvuru!$C:$C,C420,Başvuru!$G:$G,"Bireysel Araştırma",Başvuru!$A:$A,"&lt;&gt;"&amp;"",Başvuru!$F:$F,"&lt;&gt;"&amp;""))</f>
        <v/>
      </c>
      <c r="G420" s="162" t="str">
        <f>IF(C420="","",COUNTIFS(Başvuru!$C:$C,C420,Başvuru!$G:$G,"Uzmanlık Tezi",Başvuru!$A:$A,"&lt;&gt;"&amp;"",Başvuru!$F:$F,"&lt;&gt;"&amp;""))</f>
        <v/>
      </c>
      <c r="H420" s="162" t="str">
        <f>IF(C420="","",COUNTIFS(Başvuru!$C:$C,C420,Başvuru!$G:$G,"Doktora Tezi",Başvuru!$A:$A,"&lt;&gt;"&amp;"",Başvuru!$F:$F,"&lt;&gt;"&amp;""))</f>
        <v/>
      </c>
      <c r="I420" s="162" t="str">
        <f>IF(C420="","",COUNTIFS(Başvuru!$C:$C,C420,Başvuru!$G:$G,"Yüksek Lisans Tezi",Başvuru!$A:$A,"&lt;&gt;"&amp;"",Başvuru!$F:$F,"&lt;&gt;"&amp;""))</f>
        <v/>
      </c>
      <c r="J420" s="163" t="str">
        <f>IF(C420="","",COUNTIFS(Başvuru!$C:$C,C420,Başvuru!$L:$L,"ONAY",Başvuru!$A:$A,"&lt;&gt;"&amp;"",Başvuru!$F:$F,"&lt;&gt;"&amp;""))</f>
        <v/>
      </c>
      <c r="K420" s="164" t="str">
        <f>IF(C420="","",COUNTIFS(Başvuru!$C:$C,C420,Başvuru!$L:$L,"DÜZELTME",Başvuru!$A:$A,"&lt;&gt;"&amp;"",Başvuru!$F:$F,"&lt;&gt;"&amp;""))</f>
        <v/>
      </c>
      <c r="L420" s="165" t="str">
        <f>IF(C420="","",COUNTIFS(Başvuru!$C:$C,C420,Başvuru!$L:$L,"KAEK",Başvuru!$A:$A,"&lt;&gt;"&amp;"",Başvuru!$F:$F,"&lt;&gt;"&amp;""))</f>
        <v/>
      </c>
      <c r="M420" s="166" t="str">
        <f>IF(C420="","",COUNTIFS(Başvuru!$C:$C,C420,Başvuru!$L:$L,"GÖRÜŞ",Başvuru!$A:$A,"&lt;&gt;"&amp;"",Başvuru!$F:$F,"&lt;&gt;"&amp;""))</f>
        <v/>
      </c>
      <c r="N420" s="167" t="str">
        <f>IF(C420="","",COUNTIFS(Başvuru!$C:$C,C420,Başvuru!$L:$L,"RET",Başvuru!$A:$A,"&lt;&gt;"&amp;"",Başvuru!$F:$F,"&lt;&gt;"&amp;""))</f>
        <v/>
      </c>
      <c r="O420" s="168" t="str">
        <f>IF(C420="","",COUNTIFS(Başvuru!$C:$C,C420,Başvuru!$L:$L,"KAPSAM DIŞI",Başvuru!$A:$A,"&lt;&gt;"&amp;"",Başvuru!$F:$F,"&lt;&gt;"&amp;""))</f>
        <v/>
      </c>
      <c r="P420" s="169" t="str">
        <f>IF(C420="","",COUNTIFS(Başvuru!$C:$C,C420,Başvuru!$L:$L,"GERİ ÇEKİLDİ",Başvuru!$A:$A,"&lt;&gt;"&amp;"",Başvuru!$F:$F,"&lt;&gt;"&amp;""))</f>
        <v/>
      </c>
      <c r="Q420" s="170" t="str">
        <f>IFERROR(INDEX(Başvuru!$C$2:$C$1851,MATCH(415,Başvuru!$AB$2:$AB$1851,0)),"")</f>
        <v/>
      </c>
      <c r="R420" s="171" t="str">
        <f>IF(Q420="","",COUNTIFS(Başvuru!$C:$C,Q420,Başvuru!$A:$A,"&lt;&gt;"&amp;"",Başvuru!$F:$F,"&lt;&gt;"&amp;""))</f>
        <v/>
      </c>
      <c r="S420" s="171" t="str">
        <f>IF(R420="","",RANK(R420,$R$6:$R$505,0)+COUNTIF($R$6:R420,R420)-1)</f>
        <v/>
      </c>
    </row>
    <row r="421" spans="2:19" ht="23.25" customHeight="1" x14ac:dyDescent="0.25">
      <c r="B421" s="159">
        <v>416</v>
      </c>
      <c r="C421" s="160" t="str">
        <f>IFERROR(INDEX($Q$6:$Q$505,MATCH(416,$S$6:$S$505,0)),"")</f>
        <v/>
      </c>
      <c r="D421" s="161" t="str">
        <f>IF(C421="","",COUNTIFS(Başvuru!$C:$C,C421,Başvuru!$A:$A,"&lt;&gt;"&amp;"",Başvuru!$F:$F,"&lt;&gt;"&amp;""))</f>
        <v/>
      </c>
      <c r="E421" s="159" t="str">
        <f>IF(C421="","-",IF(D421&gt;0,TEXT(D421/(COUNTIFS(Başvuru!$A:$A,"&lt;&gt;",Başvuru!$F:$F,"&lt;&gt;")-1)*100,"0.0")&amp;"%","-"))</f>
        <v>-</v>
      </c>
      <c r="F421" s="162" t="str">
        <f>IF(C421="","",COUNTIFS(Başvuru!$C:$C,C421,Başvuru!$G:$G,"Bireysel Araştırma",Başvuru!$A:$A,"&lt;&gt;"&amp;"",Başvuru!$F:$F,"&lt;&gt;"&amp;""))</f>
        <v/>
      </c>
      <c r="G421" s="162" t="str">
        <f>IF(C421="","",COUNTIFS(Başvuru!$C:$C,C421,Başvuru!$G:$G,"Uzmanlık Tezi",Başvuru!$A:$A,"&lt;&gt;"&amp;"",Başvuru!$F:$F,"&lt;&gt;"&amp;""))</f>
        <v/>
      </c>
      <c r="H421" s="162" t="str">
        <f>IF(C421="","",COUNTIFS(Başvuru!$C:$C,C421,Başvuru!$G:$G,"Doktora Tezi",Başvuru!$A:$A,"&lt;&gt;"&amp;"",Başvuru!$F:$F,"&lt;&gt;"&amp;""))</f>
        <v/>
      </c>
      <c r="I421" s="162" t="str">
        <f>IF(C421="","",COUNTIFS(Başvuru!$C:$C,C421,Başvuru!$G:$G,"Yüksek Lisans Tezi",Başvuru!$A:$A,"&lt;&gt;"&amp;"",Başvuru!$F:$F,"&lt;&gt;"&amp;""))</f>
        <v/>
      </c>
      <c r="J421" s="163" t="str">
        <f>IF(C421="","",COUNTIFS(Başvuru!$C:$C,C421,Başvuru!$L:$L,"ONAY",Başvuru!$A:$A,"&lt;&gt;"&amp;"",Başvuru!$F:$F,"&lt;&gt;"&amp;""))</f>
        <v/>
      </c>
      <c r="K421" s="164" t="str">
        <f>IF(C421="","",COUNTIFS(Başvuru!$C:$C,C421,Başvuru!$L:$L,"DÜZELTME",Başvuru!$A:$A,"&lt;&gt;"&amp;"",Başvuru!$F:$F,"&lt;&gt;"&amp;""))</f>
        <v/>
      </c>
      <c r="L421" s="165" t="str">
        <f>IF(C421="","",COUNTIFS(Başvuru!$C:$C,C421,Başvuru!$L:$L,"KAEK",Başvuru!$A:$A,"&lt;&gt;"&amp;"",Başvuru!$F:$F,"&lt;&gt;"&amp;""))</f>
        <v/>
      </c>
      <c r="M421" s="166" t="str">
        <f>IF(C421="","",COUNTIFS(Başvuru!$C:$C,C421,Başvuru!$L:$L,"GÖRÜŞ",Başvuru!$A:$A,"&lt;&gt;"&amp;"",Başvuru!$F:$F,"&lt;&gt;"&amp;""))</f>
        <v/>
      </c>
      <c r="N421" s="167" t="str">
        <f>IF(C421="","",COUNTIFS(Başvuru!$C:$C,C421,Başvuru!$L:$L,"RET",Başvuru!$A:$A,"&lt;&gt;"&amp;"",Başvuru!$F:$F,"&lt;&gt;"&amp;""))</f>
        <v/>
      </c>
      <c r="O421" s="168" t="str">
        <f>IF(C421="","",COUNTIFS(Başvuru!$C:$C,C421,Başvuru!$L:$L,"KAPSAM DIŞI",Başvuru!$A:$A,"&lt;&gt;"&amp;"",Başvuru!$F:$F,"&lt;&gt;"&amp;""))</f>
        <v/>
      </c>
      <c r="P421" s="169" t="str">
        <f>IF(C421="","",COUNTIFS(Başvuru!$C:$C,C421,Başvuru!$L:$L,"GERİ ÇEKİLDİ",Başvuru!$A:$A,"&lt;&gt;"&amp;"",Başvuru!$F:$F,"&lt;&gt;"&amp;""))</f>
        <v/>
      </c>
      <c r="Q421" s="170" t="str">
        <f>IFERROR(INDEX(Başvuru!$C$2:$C$1851,MATCH(416,Başvuru!$AB$2:$AB$1851,0)),"")</f>
        <v/>
      </c>
      <c r="R421" s="171" t="str">
        <f>IF(Q421="","",COUNTIFS(Başvuru!$C:$C,Q421,Başvuru!$A:$A,"&lt;&gt;"&amp;"",Başvuru!$F:$F,"&lt;&gt;"&amp;""))</f>
        <v/>
      </c>
      <c r="S421" s="171" t="str">
        <f>IF(R421="","",RANK(R421,$R$6:$R$505,0)+COUNTIF($R$6:R421,R421)-1)</f>
        <v/>
      </c>
    </row>
    <row r="422" spans="2:19" ht="23.25" customHeight="1" x14ac:dyDescent="0.25">
      <c r="B422" s="159">
        <v>417</v>
      </c>
      <c r="C422" s="160" t="str">
        <f>IFERROR(INDEX($Q$6:$Q$505,MATCH(417,$S$6:$S$505,0)),"")</f>
        <v/>
      </c>
      <c r="D422" s="161" t="str">
        <f>IF(C422="","",COUNTIFS(Başvuru!$C:$C,C422,Başvuru!$A:$A,"&lt;&gt;"&amp;"",Başvuru!$F:$F,"&lt;&gt;"&amp;""))</f>
        <v/>
      </c>
      <c r="E422" s="159" t="str">
        <f>IF(C422="","-",IF(D422&gt;0,TEXT(D422/(COUNTIFS(Başvuru!$A:$A,"&lt;&gt;",Başvuru!$F:$F,"&lt;&gt;")-1)*100,"0.0")&amp;"%","-"))</f>
        <v>-</v>
      </c>
      <c r="F422" s="162" t="str">
        <f>IF(C422="","",COUNTIFS(Başvuru!$C:$C,C422,Başvuru!$G:$G,"Bireysel Araştırma",Başvuru!$A:$A,"&lt;&gt;"&amp;"",Başvuru!$F:$F,"&lt;&gt;"&amp;""))</f>
        <v/>
      </c>
      <c r="G422" s="162" t="str">
        <f>IF(C422="","",COUNTIFS(Başvuru!$C:$C,C422,Başvuru!$G:$G,"Uzmanlık Tezi",Başvuru!$A:$A,"&lt;&gt;"&amp;"",Başvuru!$F:$F,"&lt;&gt;"&amp;""))</f>
        <v/>
      </c>
      <c r="H422" s="162" t="str">
        <f>IF(C422="","",COUNTIFS(Başvuru!$C:$C,C422,Başvuru!$G:$G,"Doktora Tezi",Başvuru!$A:$A,"&lt;&gt;"&amp;"",Başvuru!$F:$F,"&lt;&gt;"&amp;""))</f>
        <v/>
      </c>
      <c r="I422" s="162" t="str">
        <f>IF(C422="","",COUNTIFS(Başvuru!$C:$C,C422,Başvuru!$G:$G,"Yüksek Lisans Tezi",Başvuru!$A:$A,"&lt;&gt;"&amp;"",Başvuru!$F:$F,"&lt;&gt;"&amp;""))</f>
        <v/>
      </c>
      <c r="J422" s="163" t="str">
        <f>IF(C422="","",COUNTIFS(Başvuru!$C:$C,C422,Başvuru!$L:$L,"ONAY",Başvuru!$A:$A,"&lt;&gt;"&amp;"",Başvuru!$F:$F,"&lt;&gt;"&amp;""))</f>
        <v/>
      </c>
      <c r="K422" s="164" t="str">
        <f>IF(C422="","",COUNTIFS(Başvuru!$C:$C,C422,Başvuru!$L:$L,"DÜZELTME",Başvuru!$A:$A,"&lt;&gt;"&amp;"",Başvuru!$F:$F,"&lt;&gt;"&amp;""))</f>
        <v/>
      </c>
      <c r="L422" s="165" t="str">
        <f>IF(C422="","",COUNTIFS(Başvuru!$C:$C,C422,Başvuru!$L:$L,"KAEK",Başvuru!$A:$A,"&lt;&gt;"&amp;"",Başvuru!$F:$F,"&lt;&gt;"&amp;""))</f>
        <v/>
      </c>
      <c r="M422" s="166" t="str">
        <f>IF(C422="","",COUNTIFS(Başvuru!$C:$C,C422,Başvuru!$L:$L,"GÖRÜŞ",Başvuru!$A:$A,"&lt;&gt;"&amp;"",Başvuru!$F:$F,"&lt;&gt;"&amp;""))</f>
        <v/>
      </c>
      <c r="N422" s="167" t="str">
        <f>IF(C422="","",COUNTIFS(Başvuru!$C:$C,C422,Başvuru!$L:$L,"RET",Başvuru!$A:$A,"&lt;&gt;"&amp;"",Başvuru!$F:$F,"&lt;&gt;"&amp;""))</f>
        <v/>
      </c>
      <c r="O422" s="168" t="str">
        <f>IF(C422="","",COUNTIFS(Başvuru!$C:$C,C422,Başvuru!$L:$L,"KAPSAM DIŞI",Başvuru!$A:$A,"&lt;&gt;"&amp;"",Başvuru!$F:$F,"&lt;&gt;"&amp;""))</f>
        <v/>
      </c>
      <c r="P422" s="169" t="str">
        <f>IF(C422="","",COUNTIFS(Başvuru!$C:$C,C422,Başvuru!$L:$L,"GERİ ÇEKİLDİ",Başvuru!$A:$A,"&lt;&gt;"&amp;"",Başvuru!$F:$F,"&lt;&gt;"&amp;""))</f>
        <v/>
      </c>
      <c r="Q422" s="170" t="str">
        <f>IFERROR(INDEX(Başvuru!$C$2:$C$1851,MATCH(417,Başvuru!$AB$2:$AB$1851,0)),"")</f>
        <v/>
      </c>
      <c r="R422" s="171" t="str">
        <f>IF(Q422="","",COUNTIFS(Başvuru!$C:$C,Q422,Başvuru!$A:$A,"&lt;&gt;"&amp;"",Başvuru!$F:$F,"&lt;&gt;"&amp;""))</f>
        <v/>
      </c>
      <c r="S422" s="171" t="str">
        <f>IF(R422="","",RANK(R422,$R$6:$R$505,0)+COUNTIF($R$6:R422,R422)-1)</f>
        <v/>
      </c>
    </row>
    <row r="423" spans="2:19" ht="23.25" customHeight="1" x14ac:dyDescent="0.25">
      <c r="B423" s="159">
        <v>418</v>
      </c>
      <c r="C423" s="160" t="str">
        <f>IFERROR(INDEX($Q$6:$Q$505,MATCH(418,$S$6:$S$505,0)),"")</f>
        <v/>
      </c>
      <c r="D423" s="161" t="str">
        <f>IF(C423="","",COUNTIFS(Başvuru!$C:$C,C423,Başvuru!$A:$A,"&lt;&gt;"&amp;"",Başvuru!$F:$F,"&lt;&gt;"&amp;""))</f>
        <v/>
      </c>
      <c r="E423" s="159" t="str">
        <f>IF(C423="","-",IF(D423&gt;0,TEXT(D423/(COUNTIFS(Başvuru!$A:$A,"&lt;&gt;",Başvuru!$F:$F,"&lt;&gt;")-1)*100,"0.0")&amp;"%","-"))</f>
        <v>-</v>
      </c>
      <c r="F423" s="162" t="str">
        <f>IF(C423="","",COUNTIFS(Başvuru!$C:$C,C423,Başvuru!$G:$G,"Bireysel Araştırma",Başvuru!$A:$A,"&lt;&gt;"&amp;"",Başvuru!$F:$F,"&lt;&gt;"&amp;""))</f>
        <v/>
      </c>
      <c r="G423" s="162" t="str">
        <f>IF(C423="","",COUNTIFS(Başvuru!$C:$C,C423,Başvuru!$G:$G,"Uzmanlık Tezi",Başvuru!$A:$A,"&lt;&gt;"&amp;"",Başvuru!$F:$F,"&lt;&gt;"&amp;""))</f>
        <v/>
      </c>
      <c r="H423" s="162" t="str">
        <f>IF(C423="","",COUNTIFS(Başvuru!$C:$C,C423,Başvuru!$G:$G,"Doktora Tezi",Başvuru!$A:$A,"&lt;&gt;"&amp;"",Başvuru!$F:$F,"&lt;&gt;"&amp;""))</f>
        <v/>
      </c>
      <c r="I423" s="162" t="str">
        <f>IF(C423="","",COUNTIFS(Başvuru!$C:$C,C423,Başvuru!$G:$G,"Yüksek Lisans Tezi",Başvuru!$A:$A,"&lt;&gt;"&amp;"",Başvuru!$F:$F,"&lt;&gt;"&amp;""))</f>
        <v/>
      </c>
      <c r="J423" s="163" t="str">
        <f>IF(C423="","",COUNTIFS(Başvuru!$C:$C,C423,Başvuru!$L:$L,"ONAY",Başvuru!$A:$A,"&lt;&gt;"&amp;"",Başvuru!$F:$F,"&lt;&gt;"&amp;""))</f>
        <v/>
      </c>
      <c r="K423" s="164" t="str">
        <f>IF(C423="","",COUNTIFS(Başvuru!$C:$C,C423,Başvuru!$L:$L,"DÜZELTME",Başvuru!$A:$A,"&lt;&gt;"&amp;"",Başvuru!$F:$F,"&lt;&gt;"&amp;""))</f>
        <v/>
      </c>
      <c r="L423" s="165" t="str">
        <f>IF(C423="","",COUNTIFS(Başvuru!$C:$C,C423,Başvuru!$L:$L,"KAEK",Başvuru!$A:$A,"&lt;&gt;"&amp;"",Başvuru!$F:$F,"&lt;&gt;"&amp;""))</f>
        <v/>
      </c>
      <c r="M423" s="166" t="str">
        <f>IF(C423="","",COUNTIFS(Başvuru!$C:$C,C423,Başvuru!$L:$L,"GÖRÜŞ",Başvuru!$A:$A,"&lt;&gt;"&amp;"",Başvuru!$F:$F,"&lt;&gt;"&amp;""))</f>
        <v/>
      </c>
      <c r="N423" s="167" t="str">
        <f>IF(C423="","",COUNTIFS(Başvuru!$C:$C,C423,Başvuru!$L:$L,"RET",Başvuru!$A:$A,"&lt;&gt;"&amp;"",Başvuru!$F:$F,"&lt;&gt;"&amp;""))</f>
        <v/>
      </c>
      <c r="O423" s="168" t="str">
        <f>IF(C423="","",COUNTIFS(Başvuru!$C:$C,C423,Başvuru!$L:$L,"KAPSAM DIŞI",Başvuru!$A:$A,"&lt;&gt;"&amp;"",Başvuru!$F:$F,"&lt;&gt;"&amp;""))</f>
        <v/>
      </c>
      <c r="P423" s="169" t="str">
        <f>IF(C423="","",COUNTIFS(Başvuru!$C:$C,C423,Başvuru!$L:$L,"GERİ ÇEKİLDİ",Başvuru!$A:$A,"&lt;&gt;"&amp;"",Başvuru!$F:$F,"&lt;&gt;"&amp;""))</f>
        <v/>
      </c>
      <c r="Q423" s="170" t="str">
        <f>IFERROR(INDEX(Başvuru!$C$2:$C$1851,MATCH(418,Başvuru!$AB$2:$AB$1851,0)),"")</f>
        <v/>
      </c>
      <c r="R423" s="171" t="str">
        <f>IF(Q423="","",COUNTIFS(Başvuru!$C:$C,Q423,Başvuru!$A:$A,"&lt;&gt;"&amp;"",Başvuru!$F:$F,"&lt;&gt;"&amp;""))</f>
        <v/>
      </c>
      <c r="S423" s="171" t="str">
        <f>IF(R423="","",RANK(R423,$R$6:$R$505,0)+COUNTIF($R$6:R423,R423)-1)</f>
        <v/>
      </c>
    </row>
    <row r="424" spans="2:19" ht="23.25" customHeight="1" x14ac:dyDescent="0.25">
      <c r="B424" s="159">
        <v>419</v>
      </c>
      <c r="C424" s="160" t="str">
        <f>IFERROR(INDEX($Q$6:$Q$505,MATCH(419,$S$6:$S$505,0)),"")</f>
        <v/>
      </c>
      <c r="D424" s="161" t="str">
        <f>IF(C424="","",COUNTIFS(Başvuru!$C:$C,C424,Başvuru!$A:$A,"&lt;&gt;"&amp;"",Başvuru!$F:$F,"&lt;&gt;"&amp;""))</f>
        <v/>
      </c>
      <c r="E424" s="159" t="str">
        <f>IF(C424="","-",IF(D424&gt;0,TEXT(D424/(COUNTIFS(Başvuru!$A:$A,"&lt;&gt;",Başvuru!$F:$F,"&lt;&gt;")-1)*100,"0.0")&amp;"%","-"))</f>
        <v>-</v>
      </c>
      <c r="F424" s="162" t="str">
        <f>IF(C424="","",COUNTIFS(Başvuru!$C:$C,C424,Başvuru!$G:$G,"Bireysel Araştırma",Başvuru!$A:$A,"&lt;&gt;"&amp;"",Başvuru!$F:$F,"&lt;&gt;"&amp;""))</f>
        <v/>
      </c>
      <c r="G424" s="162" t="str">
        <f>IF(C424="","",COUNTIFS(Başvuru!$C:$C,C424,Başvuru!$G:$G,"Uzmanlık Tezi",Başvuru!$A:$A,"&lt;&gt;"&amp;"",Başvuru!$F:$F,"&lt;&gt;"&amp;""))</f>
        <v/>
      </c>
      <c r="H424" s="162" t="str">
        <f>IF(C424="","",COUNTIFS(Başvuru!$C:$C,C424,Başvuru!$G:$G,"Doktora Tezi",Başvuru!$A:$A,"&lt;&gt;"&amp;"",Başvuru!$F:$F,"&lt;&gt;"&amp;""))</f>
        <v/>
      </c>
      <c r="I424" s="162" t="str">
        <f>IF(C424="","",COUNTIFS(Başvuru!$C:$C,C424,Başvuru!$G:$G,"Yüksek Lisans Tezi",Başvuru!$A:$A,"&lt;&gt;"&amp;"",Başvuru!$F:$F,"&lt;&gt;"&amp;""))</f>
        <v/>
      </c>
      <c r="J424" s="163" t="str">
        <f>IF(C424="","",COUNTIFS(Başvuru!$C:$C,C424,Başvuru!$L:$L,"ONAY",Başvuru!$A:$A,"&lt;&gt;"&amp;"",Başvuru!$F:$F,"&lt;&gt;"&amp;""))</f>
        <v/>
      </c>
      <c r="K424" s="164" t="str">
        <f>IF(C424="","",COUNTIFS(Başvuru!$C:$C,C424,Başvuru!$L:$L,"DÜZELTME",Başvuru!$A:$A,"&lt;&gt;"&amp;"",Başvuru!$F:$F,"&lt;&gt;"&amp;""))</f>
        <v/>
      </c>
      <c r="L424" s="165" t="str">
        <f>IF(C424="","",COUNTIFS(Başvuru!$C:$C,C424,Başvuru!$L:$L,"KAEK",Başvuru!$A:$A,"&lt;&gt;"&amp;"",Başvuru!$F:$F,"&lt;&gt;"&amp;""))</f>
        <v/>
      </c>
      <c r="M424" s="166" t="str">
        <f>IF(C424="","",COUNTIFS(Başvuru!$C:$C,C424,Başvuru!$L:$L,"GÖRÜŞ",Başvuru!$A:$A,"&lt;&gt;"&amp;"",Başvuru!$F:$F,"&lt;&gt;"&amp;""))</f>
        <v/>
      </c>
      <c r="N424" s="167" t="str">
        <f>IF(C424="","",COUNTIFS(Başvuru!$C:$C,C424,Başvuru!$L:$L,"RET",Başvuru!$A:$A,"&lt;&gt;"&amp;"",Başvuru!$F:$F,"&lt;&gt;"&amp;""))</f>
        <v/>
      </c>
      <c r="O424" s="168" t="str">
        <f>IF(C424="","",COUNTIFS(Başvuru!$C:$C,C424,Başvuru!$L:$L,"KAPSAM DIŞI",Başvuru!$A:$A,"&lt;&gt;"&amp;"",Başvuru!$F:$F,"&lt;&gt;"&amp;""))</f>
        <v/>
      </c>
      <c r="P424" s="169" t="str">
        <f>IF(C424="","",COUNTIFS(Başvuru!$C:$C,C424,Başvuru!$L:$L,"GERİ ÇEKİLDİ",Başvuru!$A:$A,"&lt;&gt;"&amp;"",Başvuru!$F:$F,"&lt;&gt;"&amp;""))</f>
        <v/>
      </c>
      <c r="Q424" s="170" t="str">
        <f>IFERROR(INDEX(Başvuru!$C$2:$C$1851,MATCH(419,Başvuru!$AB$2:$AB$1851,0)),"")</f>
        <v/>
      </c>
      <c r="R424" s="171" t="str">
        <f>IF(Q424="","",COUNTIFS(Başvuru!$C:$C,Q424,Başvuru!$A:$A,"&lt;&gt;"&amp;"",Başvuru!$F:$F,"&lt;&gt;"&amp;""))</f>
        <v/>
      </c>
      <c r="S424" s="171" t="str">
        <f>IF(R424="","",RANK(R424,$R$6:$R$505,0)+COUNTIF($R$6:R424,R424)-1)</f>
        <v/>
      </c>
    </row>
    <row r="425" spans="2:19" ht="23.25" customHeight="1" x14ac:dyDescent="0.25">
      <c r="B425" s="159">
        <v>420</v>
      </c>
      <c r="C425" s="160" t="str">
        <f>IFERROR(INDEX($Q$6:$Q$505,MATCH(420,$S$6:$S$505,0)),"")</f>
        <v/>
      </c>
      <c r="D425" s="161" t="str">
        <f>IF(C425="","",COUNTIFS(Başvuru!$C:$C,C425,Başvuru!$A:$A,"&lt;&gt;"&amp;"",Başvuru!$F:$F,"&lt;&gt;"&amp;""))</f>
        <v/>
      </c>
      <c r="E425" s="159" t="str">
        <f>IF(C425="","-",IF(D425&gt;0,TEXT(D425/(COUNTIFS(Başvuru!$A:$A,"&lt;&gt;",Başvuru!$F:$F,"&lt;&gt;")-1)*100,"0.0")&amp;"%","-"))</f>
        <v>-</v>
      </c>
      <c r="F425" s="162" t="str">
        <f>IF(C425="","",COUNTIFS(Başvuru!$C:$C,C425,Başvuru!$G:$G,"Bireysel Araştırma",Başvuru!$A:$A,"&lt;&gt;"&amp;"",Başvuru!$F:$F,"&lt;&gt;"&amp;""))</f>
        <v/>
      </c>
      <c r="G425" s="162" t="str">
        <f>IF(C425="","",COUNTIFS(Başvuru!$C:$C,C425,Başvuru!$G:$G,"Uzmanlık Tezi",Başvuru!$A:$A,"&lt;&gt;"&amp;"",Başvuru!$F:$F,"&lt;&gt;"&amp;""))</f>
        <v/>
      </c>
      <c r="H425" s="162" t="str">
        <f>IF(C425="","",COUNTIFS(Başvuru!$C:$C,C425,Başvuru!$G:$G,"Doktora Tezi",Başvuru!$A:$A,"&lt;&gt;"&amp;"",Başvuru!$F:$F,"&lt;&gt;"&amp;""))</f>
        <v/>
      </c>
      <c r="I425" s="162" t="str">
        <f>IF(C425="","",COUNTIFS(Başvuru!$C:$C,C425,Başvuru!$G:$G,"Yüksek Lisans Tezi",Başvuru!$A:$A,"&lt;&gt;"&amp;"",Başvuru!$F:$F,"&lt;&gt;"&amp;""))</f>
        <v/>
      </c>
      <c r="J425" s="163" t="str">
        <f>IF(C425="","",COUNTIFS(Başvuru!$C:$C,C425,Başvuru!$L:$L,"ONAY",Başvuru!$A:$A,"&lt;&gt;"&amp;"",Başvuru!$F:$F,"&lt;&gt;"&amp;""))</f>
        <v/>
      </c>
      <c r="K425" s="164" t="str">
        <f>IF(C425="","",COUNTIFS(Başvuru!$C:$C,C425,Başvuru!$L:$L,"DÜZELTME",Başvuru!$A:$A,"&lt;&gt;"&amp;"",Başvuru!$F:$F,"&lt;&gt;"&amp;""))</f>
        <v/>
      </c>
      <c r="L425" s="165" t="str">
        <f>IF(C425="","",COUNTIFS(Başvuru!$C:$C,C425,Başvuru!$L:$L,"KAEK",Başvuru!$A:$A,"&lt;&gt;"&amp;"",Başvuru!$F:$F,"&lt;&gt;"&amp;""))</f>
        <v/>
      </c>
      <c r="M425" s="166" t="str">
        <f>IF(C425="","",COUNTIFS(Başvuru!$C:$C,C425,Başvuru!$L:$L,"GÖRÜŞ",Başvuru!$A:$A,"&lt;&gt;"&amp;"",Başvuru!$F:$F,"&lt;&gt;"&amp;""))</f>
        <v/>
      </c>
      <c r="N425" s="167" t="str">
        <f>IF(C425="","",COUNTIFS(Başvuru!$C:$C,C425,Başvuru!$L:$L,"RET",Başvuru!$A:$A,"&lt;&gt;"&amp;"",Başvuru!$F:$F,"&lt;&gt;"&amp;""))</f>
        <v/>
      </c>
      <c r="O425" s="168" t="str">
        <f>IF(C425="","",COUNTIFS(Başvuru!$C:$C,C425,Başvuru!$L:$L,"KAPSAM DIŞI",Başvuru!$A:$A,"&lt;&gt;"&amp;"",Başvuru!$F:$F,"&lt;&gt;"&amp;""))</f>
        <v/>
      </c>
      <c r="P425" s="169" t="str">
        <f>IF(C425="","",COUNTIFS(Başvuru!$C:$C,C425,Başvuru!$L:$L,"GERİ ÇEKİLDİ",Başvuru!$A:$A,"&lt;&gt;"&amp;"",Başvuru!$F:$F,"&lt;&gt;"&amp;""))</f>
        <v/>
      </c>
      <c r="Q425" s="170" t="str">
        <f>IFERROR(INDEX(Başvuru!$C$2:$C$1851,MATCH(420,Başvuru!$AB$2:$AB$1851,0)),"")</f>
        <v/>
      </c>
      <c r="R425" s="171" t="str">
        <f>IF(Q425="","",COUNTIFS(Başvuru!$C:$C,Q425,Başvuru!$A:$A,"&lt;&gt;"&amp;"",Başvuru!$F:$F,"&lt;&gt;"&amp;""))</f>
        <v/>
      </c>
      <c r="S425" s="171" t="str">
        <f>IF(R425="","",RANK(R425,$R$6:$R$505,0)+COUNTIF($R$6:R425,R425)-1)</f>
        <v/>
      </c>
    </row>
    <row r="426" spans="2:19" ht="23.25" customHeight="1" x14ac:dyDescent="0.25">
      <c r="B426" s="159">
        <v>421</v>
      </c>
      <c r="C426" s="160" t="str">
        <f>IFERROR(INDEX($Q$6:$Q$505,MATCH(421,$S$6:$S$505,0)),"")</f>
        <v/>
      </c>
      <c r="D426" s="161" t="str">
        <f>IF(C426="","",COUNTIFS(Başvuru!$C:$C,C426,Başvuru!$A:$A,"&lt;&gt;"&amp;"",Başvuru!$F:$F,"&lt;&gt;"&amp;""))</f>
        <v/>
      </c>
      <c r="E426" s="159" t="str">
        <f>IF(C426="","-",IF(D426&gt;0,TEXT(D426/(COUNTIFS(Başvuru!$A:$A,"&lt;&gt;",Başvuru!$F:$F,"&lt;&gt;")-1)*100,"0.0")&amp;"%","-"))</f>
        <v>-</v>
      </c>
      <c r="F426" s="162" t="str">
        <f>IF(C426="","",COUNTIFS(Başvuru!$C:$C,C426,Başvuru!$G:$G,"Bireysel Araştırma",Başvuru!$A:$A,"&lt;&gt;"&amp;"",Başvuru!$F:$F,"&lt;&gt;"&amp;""))</f>
        <v/>
      </c>
      <c r="G426" s="162" t="str">
        <f>IF(C426="","",COUNTIFS(Başvuru!$C:$C,C426,Başvuru!$G:$G,"Uzmanlık Tezi",Başvuru!$A:$A,"&lt;&gt;"&amp;"",Başvuru!$F:$F,"&lt;&gt;"&amp;""))</f>
        <v/>
      </c>
      <c r="H426" s="162" t="str">
        <f>IF(C426="","",COUNTIFS(Başvuru!$C:$C,C426,Başvuru!$G:$G,"Doktora Tezi",Başvuru!$A:$A,"&lt;&gt;"&amp;"",Başvuru!$F:$F,"&lt;&gt;"&amp;""))</f>
        <v/>
      </c>
      <c r="I426" s="162" t="str">
        <f>IF(C426="","",COUNTIFS(Başvuru!$C:$C,C426,Başvuru!$G:$G,"Yüksek Lisans Tezi",Başvuru!$A:$A,"&lt;&gt;"&amp;"",Başvuru!$F:$F,"&lt;&gt;"&amp;""))</f>
        <v/>
      </c>
      <c r="J426" s="163" t="str">
        <f>IF(C426="","",COUNTIFS(Başvuru!$C:$C,C426,Başvuru!$L:$L,"ONAY",Başvuru!$A:$A,"&lt;&gt;"&amp;"",Başvuru!$F:$F,"&lt;&gt;"&amp;""))</f>
        <v/>
      </c>
      <c r="K426" s="164" t="str">
        <f>IF(C426="","",COUNTIFS(Başvuru!$C:$C,C426,Başvuru!$L:$L,"DÜZELTME",Başvuru!$A:$A,"&lt;&gt;"&amp;"",Başvuru!$F:$F,"&lt;&gt;"&amp;""))</f>
        <v/>
      </c>
      <c r="L426" s="165" t="str">
        <f>IF(C426="","",COUNTIFS(Başvuru!$C:$C,C426,Başvuru!$L:$L,"KAEK",Başvuru!$A:$A,"&lt;&gt;"&amp;"",Başvuru!$F:$F,"&lt;&gt;"&amp;""))</f>
        <v/>
      </c>
      <c r="M426" s="166" t="str">
        <f>IF(C426="","",COUNTIFS(Başvuru!$C:$C,C426,Başvuru!$L:$L,"GÖRÜŞ",Başvuru!$A:$A,"&lt;&gt;"&amp;"",Başvuru!$F:$F,"&lt;&gt;"&amp;""))</f>
        <v/>
      </c>
      <c r="N426" s="167" t="str">
        <f>IF(C426="","",COUNTIFS(Başvuru!$C:$C,C426,Başvuru!$L:$L,"RET",Başvuru!$A:$A,"&lt;&gt;"&amp;"",Başvuru!$F:$F,"&lt;&gt;"&amp;""))</f>
        <v/>
      </c>
      <c r="O426" s="168" t="str">
        <f>IF(C426="","",COUNTIFS(Başvuru!$C:$C,C426,Başvuru!$L:$L,"KAPSAM DIŞI",Başvuru!$A:$A,"&lt;&gt;"&amp;"",Başvuru!$F:$F,"&lt;&gt;"&amp;""))</f>
        <v/>
      </c>
      <c r="P426" s="169" t="str">
        <f>IF(C426="","",COUNTIFS(Başvuru!$C:$C,C426,Başvuru!$L:$L,"GERİ ÇEKİLDİ",Başvuru!$A:$A,"&lt;&gt;"&amp;"",Başvuru!$F:$F,"&lt;&gt;"&amp;""))</f>
        <v/>
      </c>
      <c r="Q426" s="170" t="str">
        <f>IFERROR(INDEX(Başvuru!$C$2:$C$1851,MATCH(421,Başvuru!$AB$2:$AB$1851,0)),"")</f>
        <v/>
      </c>
      <c r="R426" s="171" t="str">
        <f>IF(Q426="","",COUNTIFS(Başvuru!$C:$C,Q426,Başvuru!$A:$A,"&lt;&gt;"&amp;"",Başvuru!$F:$F,"&lt;&gt;"&amp;""))</f>
        <v/>
      </c>
      <c r="S426" s="171" t="str">
        <f>IF(R426="","",RANK(R426,$R$6:$R$505,0)+COUNTIF($R$6:R426,R426)-1)</f>
        <v/>
      </c>
    </row>
    <row r="427" spans="2:19" ht="23.25" customHeight="1" x14ac:dyDescent="0.25">
      <c r="B427" s="159">
        <v>422</v>
      </c>
      <c r="C427" s="160" t="str">
        <f>IFERROR(INDEX($Q$6:$Q$505,MATCH(422,$S$6:$S$505,0)),"")</f>
        <v/>
      </c>
      <c r="D427" s="161" t="str">
        <f>IF(C427="","",COUNTIFS(Başvuru!$C:$C,C427,Başvuru!$A:$A,"&lt;&gt;"&amp;"",Başvuru!$F:$F,"&lt;&gt;"&amp;""))</f>
        <v/>
      </c>
      <c r="E427" s="159" t="str">
        <f>IF(C427="","-",IF(D427&gt;0,TEXT(D427/(COUNTIFS(Başvuru!$A:$A,"&lt;&gt;",Başvuru!$F:$F,"&lt;&gt;")-1)*100,"0.0")&amp;"%","-"))</f>
        <v>-</v>
      </c>
      <c r="F427" s="162" t="str">
        <f>IF(C427="","",COUNTIFS(Başvuru!$C:$C,C427,Başvuru!$G:$G,"Bireysel Araştırma",Başvuru!$A:$A,"&lt;&gt;"&amp;"",Başvuru!$F:$F,"&lt;&gt;"&amp;""))</f>
        <v/>
      </c>
      <c r="G427" s="162" t="str">
        <f>IF(C427="","",COUNTIFS(Başvuru!$C:$C,C427,Başvuru!$G:$G,"Uzmanlık Tezi",Başvuru!$A:$A,"&lt;&gt;"&amp;"",Başvuru!$F:$F,"&lt;&gt;"&amp;""))</f>
        <v/>
      </c>
      <c r="H427" s="162" t="str">
        <f>IF(C427="","",COUNTIFS(Başvuru!$C:$C,C427,Başvuru!$G:$G,"Doktora Tezi",Başvuru!$A:$A,"&lt;&gt;"&amp;"",Başvuru!$F:$F,"&lt;&gt;"&amp;""))</f>
        <v/>
      </c>
      <c r="I427" s="162" t="str">
        <f>IF(C427="","",COUNTIFS(Başvuru!$C:$C,C427,Başvuru!$G:$G,"Yüksek Lisans Tezi",Başvuru!$A:$A,"&lt;&gt;"&amp;"",Başvuru!$F:$F,"&lt;&gt;"&amp;""))</f>
        <v/>
      </c>
      <c r="J427" s="163" t="str">
        <f>IF(C427="","",COUNTIFS(Başvuru!$C:$C,C427,Başvuru!$L:$L,"ONAY",Başvuru!$A:$A,"&lt;&gt;"&amp;"",Başvuru!$F:$F,"&lt;&gt;"&amp;""))</f>
        <v/>
      </c>
      <c r="K427" s="164" t="str">
        <f>IF(C427="","",COUNTIFS(Başvuru!$C:$C,C427,Başvuru!$L:$L,"DÜZELTME",Başvuru!$A:$A,"&lt;&gt;"&amp;"",Başvuru!$F:$F,"&lt;&gt;"&amp;""))</f>
        <v/>
      </c>
      <c r="L427" s="165" t="str">
        <f>IF(C427="","",COUNTIFS(Başvuru!$C:$C,C427,Başvuru!$L:$L,"KAEK",Başvuru!$A:$A,"&lt;&gt;"&amp;"",Başvuru!$F:$F,"&lt;&gt;"&amp;""))</f>
        <v/>
      </c>
      <c r="M427" s="166" t="str">
        <f>IF(C427="","",COUNTIFS(Başvuru!$C:$C,C427,Başvuru!$L:$L,"GÖRÜŞ",Başvuru!$A:$A,"&lt;&gt;"&amp;"",Başvuru!$F:$F,"&lt;&gt;"&amp;""))</f>
        <v/>
      </c>
      <c r="N427" s="167" t="str">
        <f>IF(C427="","",COUNTIFS(Başvuru!$C:$C,C427,Başvuru!$L:$L,"RET",Başvuru!$A:$A,"&lt;&gt;"&amp;"",Başvuru!$F:$F,"&lt;&gt;"&amp;""))</f>
        <v/>
      </c>
      <c r="O427" s="168" t="str">
        <f>IF(C427="","",COUNTIFS(Başvuru!$C:$C,C427,Başvuru!$L:$L,"KAPSAM DIŞI",Başvuru!$A:$A,"&lt;&gt;"&amp;"",Başvuru!$F:$F,"&lt;&gt;"&amp;""))</f>
        <v/>
      </c>
      <c r="P427" s="169" t="str">
        <f>IF(C427="","",COUNTIFS(Başvuru!$C:$C,C427,Başvuru!$L:$L,"GERİ ÇEKİLDİ",Başvuru!$A:$A,"&lt;&gt;"&amp;"",Başvuru!$F:$F,"&lt;&gt;"&amp;""))</f>
        <v/>
      </c>
      <c r="Q427" s="170" t="str">
        <f>IFERROR(INDEX(Başvuru!$C$2:$C$1851,MATCH(422,Başvuru!$AB$2:$AB$1851,0)),"")</f>
        <v/>
      </c>
      <c r="R427" s="171" t="str">
        <f>IF(Q427="","",COUNTIFS(Başvuru!$C:$C,Q427,Başvuru!$A:$A,"&lt;&gt;"&amp;"",Başvuru!$F:$F,"&lt;&gt;"&amp;""))</f>
        <v/>
      </c>
      <c r="S427" s="171" t="str">
        <f>IF(R427="","",RANK(R427,$R$6:$R$505,0)+COUNTIF($R$6:R427,R427)-1)</f>
        <v/>
      </c>
    </row>
    <row r="428" spans="2:19" ht="23.25" customHeight="1" x14ac:dyDescent="0.25">
      <c r="B428" s="159">
        <v>423</v>
      </c>
      <c r="C428" s="160" t="str">
        <f>IFERROR(INDEX($Q$6:$Q$505,MATCH(423,$S$6:$S$505,0)),"")</f>
        <v/>
      </c>
      <c r="D428" s="161" t="str">
        <f>IF(C428="","",COUNTIFS(Başvuru!$C:$C,C428,Başvuru!$A:$A,"&lt;&gt;"&amp;"",Başvuru!$F:$F,"&lt;&gt;"&amp;""))</f>
        <v/>
      </c>
      <c r="E428" s="159" t="str">
        <f>IF(C428="","-",IF(D428&gt;0,TEXT(D428/(COUNTIFS(Başvuru!$A:$A,"&lt;&gt;",Başvuru!$F:$F,"&lt;&gt;")-1)*100,"0.0")&amp;"%","-"))</f>
        <v>-</v>
      </c>
      <c r="F428" s="162" t="str">
        <f>IF(C428="","",COUNTIFS(Başvuru!$C:$C,C428,Başvuru!$G:$G,"Bireysel Araştırma",Başvuru!$A:$A,"&lt;&gt;"&amp;"",Başvuru!$F:$F,"&lt;&gt;"&amp;""))</f>
        <v/>
      </c>
      <c r="G428" s="162" t="str">
        <f>IF(C428="","",COUNTIFS(Başvuru!$C:$C,C428,Başvuru!$G:$G,"Uzmanlık Tezi",Başvuru!$A:$A,"&lt;&gt;"&amp;"",Başvuru!$F:$F,"&lt;&gt;"&amp;""))</f>
        <v/>
      </c>
      <c r="H428" s="162" t="str">
        <f>IF(C428="","",COUNTIFS(Başvuru!$C:$C,C428,Başvuru!$G:$G,"Doktora Tezi",Başvuru!$A:$A,"&lt;&gt;"&amp;"",Başvuru!$F:$F,"&lt;&gt;"&amp;""))</f>
        <v/>
      </c>
      <c r="I428" s="162" t="str">
        <f>IF(C428="","",COUNTIFS(Başvuru!$C:$C,C428,Başvuru!$G:$G,"Yüksek Lisans Tezi",Başvuru!$A:$A,"&lt;&gt;"&amp;"",Başvuru!$F:$F,"&lt;&gt;"&amp;""))</f>
        <v/>
      </c>
      <c r="J428" s="163" t="str">
        <f>IF(C428="","",COUNTIFS(Başvuru!$C:$C,C428,Başvuru!$L:$L,"ONAY",Başvuru!$A:$A,"&lt;&gt;"&amp;"",Başvuru!$F:$F,"&lt;&gt;"&amp;""))</f>
        <v/>
      </c>
      <c r="K428" s="164" t="str">
        <f>IF(C428="","",COUNTIFS(Başvuru!$C:$C,C428,Başvuru!$L:$L,"DÜZELTME",Başvuru!$A:$A,"&lt;&gt;"&amp;"",Başvuru!$F:$F,"&lt;&gt;"&amp;""))</f>
        <v/>
      </c>
      <c r="L428" s="165" t="str">
        <f>IF(C428="","",COUNTIFS(Başvuru!$C:$C,C428,Başvuru!$L:$L,"KAEK",Başvuru!$A:$A,"&lt;&gt;"&amp;"",Başvuru!$F:$F,"&lt;&gt;"&amp;""))</f>
        <v/>
      </c>
      <c r="M428" s="166" t="str">
        <f>IF(C428="","",COUNTIFS(Başvuru!$C:$C,C428,Başvuru!$L:$L,"GÖRÜŞ",Başvuru!$A:$A,"&lt;&gt;"&amp;"",Başvuru!$F:$F,"&lt;&gt;"&amp;""))</f>
        <v/>
      </c>
      <c r="N428" s="167" t="str">
        <f>IF(C428="","",COUNTIFS(Başvuru!$C:$C,C428,Başvuru!$L:$L,"RET",Başvuru!$A:$A,"&lt;&gt;"&amp;"",Başvuru!$F:$F,"&lt;&gt;"&amp;""))</f>
        <v/>
      </c>
      <c r="O428" s="168" t="str">
        <f>IF(C428="","",COUNTIFS(Başvuru!$C:$C,C428,Başvuru!$L:$L,"KAPSAM DIŞI",Başvuru!$A:$A,"&lt;&gt;"&amp;"",Başvuru!$F:$F,"&lt;&gt;"&amp;""))</f>
        <v/>
      </c>
      <c r="P428" s="169" t="str">
        <f>IF(C428="","",COUNTIFS(Başvuru!$C:$C,C428,Başvuru!$L:$L,"GERİ ÇEKİLDİ",Başvuru!$A:$A,"&lt;&gt;"&amp;"",Başvuru!$F:$F,"&lt;&gt;"&amp;""))</f>
        <v/>
      </c>
      <c r="Q428" s="170" t="str">
        <f>IFERROR(INDEX(Başvuru!$C$2:$C$1851,MATCH(423,Başvuru!$AB$2:$AB$1851,0)),"")</f>
        <v/>
      </c>
      <c r="R428" s="171" t="str">
        <f>IF(Q428="","",COUNTIFS(Başvuru!$C:$C,Q428,Başvuru!$A:$A,"&lt;&gt;"&amp;"",Başvuru!$F:$F,"&lt;&gt;"&amp;""))</f>
        <v/>
      </c>
      <c r="S428" s="171" t="str">
        <f>IF(R428="","",RANK(R428,$R$6:$R$505,0)+COUNTIF($R$6:R428,R428)-1)</f>
        <v/>
      </c>
    </row>
    <row r="429" spans="2:19" ht="23.25" customHeight="1" x14ac:dyDescent="0.25">
      <c r="B429" s="159">
        <v>424</v>
      </c>
      <c r="C429" s="160" t="str">
        <f>IFERROR(INDEX($Q$6:$Q$505,MATCH(424,$S$6:$S$505,0)),"")</f>
        <v/>
      </c>
      <c r="D429" s="161" t="str">
        <f>IF(C429="","",COUNTIFS(Başvuru!$C:$C,C429,Başvuru!$A:$A,"&lt;&gt;"&amp;"",Başvuru!$F:$F,"&lt;&gt;"&amp;""))</f>
        <v/>
      </c>
      <c r="E429" s="159" t="str">
        <f>IF(C429="","-",IF(D429&gt;0,TEXT(D429/(COUNTIFS(Başvuru!$A:$A,"&lt;&gt;",Başvuru!$F:$F,"&lt;&gt;")-1)*100,"0.0")&amp;"%","-"))</f>
        <v>-</v>
      </c>
      <c r="F429" s="162" t="str">
        <f>IF(C429="","",COUNTIFS(Başvuru!$C:$C,C429,Başvuru!$G:$G,"Bireysel Araştırma",Başvuru!$A:$A,"&lt;&gt;"&amp;"",Başvuru!$F:$F,"&lt;&gt;"&amp;""))</f>
        <v/>
      </c>
      <c r="G429" s="162" t="str">
        <f>IF(C429="","",COUNTIFS(Başvuru!$C:$C,C429,Başvuru!$G:$G,"Uzmanlık Tezi",Başvuru!$A:$A,"&lt;&gt;"&amp;"",Başvuru!$F:$F,"&lt;&gt;"&amp;""))</f>
        <v/>
      </c>
      <c r="H429" s="162" t="str">
        <f>IF(C429="","",COUNTIFS(Başvuru!$C:$C,C429,Başvuru!$G:$G,"Doktora Tezi",Başvuru!$A:$A,"&lt;&gt;"&amp;"",Başvuru!$F:$F,"&lt;&gt;"&amp;""))</f>
        <v/>
      </c>
      <c r="I429" s="162" t="str">
        <f>IF(C429="","",COUNTIFS(Başvuru!$C:$C,C429,Başvuru!$G:$G,"Yüksek Lisans Tezi",Başvuru!$A:$A,"&lt;&gt;"&amp;"",Başvuru!$F:$F,"&lt;&gt;"&amp;""))</f>
        <v/>
      </c>
      <c r="J429" s="163" t="str">
        <f>IF(C429="","",COUNTIFS(Başvuru!$C:$C,C429,Başvuru!$L:$L,"ONAY",Başvuru!$A:$A,"&lt;&gt;"&amp;"",Başvuru!$F:$F,"&lt;&gt;"&amp;""))</f>
        <v/>
      </c>
      <c r="K429" s="164" t="str">
        <f>IF(C429="","",COUNTIFS(Başvuru!$C:$C,C429,Başvuru!$L:$L,"DÜZELTME",Başvuru!$A:$A,"&lt;&gt;"&amp;"",Başvuru!$F:$F,"&lt;&gt;"&amp;""))</f>
        <v/>
      </c>
      <c r="L429" s="165" t="str">
        <f>IF(C429="","",COUNTIFS(Başvuru!$C:$C,C429,Başvuru!$L:$L,"KAEK",Başvuru!$A:$A,"&lt;&gt;"&amp;"",Başvuru!$F:$F,"&lt;&gt;"&amp;""))</f>
        <v/>
      </c>
      <c r="M429" s="166" t="str">
        <f>IF(C429="","",COUNTIFS(Başvuru!$C:$C,C429,Başvuru!$L:$L,"GÖRÜŞ",Başvuru!$A:$A,"&lt;&gt;"&amp;"",Başvuru!$F:$F,"&lt;&gt;"&amp;""))</f>
        <v/>
      </c>
      <c r="N429" s="167" t="str">
        <f>IF(C429="","",COUNTIFS(Başvuru!$C:$C,C429,Başvuru!$L:$L,"RET",Başvuru!$A:$A,"&lt;&gt;"&amp;"",Başvuru!$F:$F,"&lt;&gt;"&amp;""))</f>
        <v/>
      </c>
      <c r="O429" s="168" t="str">
        <f>IF(C429="","",COUNTIFS(Başvuru!$C:$C,C429,Başvuru!$L:$L,"KAPSAM DIŞI",Başvuru!$A:$A,"&lt;&gt;"&amp;"",Başvuru!$F:$F,"&lt;&gt;"&amp;""))</f>
        <v/>
      </c>
      <c r="P429" s="169" t="str">
        <f>IF(C429="","",COUNTIFS(Başvuru!$C:$C,C429,Başvuru!$L:$L,"GERİ ÇEKİLDİ",Başvuru!$A:$A,"&lt;&gt;"&amp;"",Başvuru!$F:$F,"&lt;&gt;"&amp;""))</f>
        <v/>
      </c>
      <c r="Q429" s="170" t="str">
        <f>IFERROR(INDEX(Başvuru!$C$2:$C$1851,MATCH(424,Başvuru!$AB$2:$AB$1851,0)),"")</f>
        <v/>
      </c>
      <c r="R429" s="171" t="str">
        <f>IF(Q429="","",COUNTIFS(Başvuru!$C:$C,Q429,Başvuru!$A:$A,"&lt;&gt;"&amp;"",Başvuru!$F:$F,"&lt;&gt;"&amp;""))</f>
        <v/>
      </c>
      <c r="S429" s="171" t="str">
        <f>IF(R429="","",RANK(R429,$R$6:$R$505,0)+COUNTIF($R$6:R429,R429)-1)</f>
        <v/>
      </c>
    </row>
    <row r="430" spans="2:19" ht="23.25" customHeight="1" x14ac:dyDescent="0.25">
      <c r="B430" s="159">
        <v>425</v>
      </c>
      <c r="C430" s="160" t="str">
        <f>IFERROR(INDEX($Q$6:$Q$505,MATCH(425,$S$6:$S$505,0)),"")</f>
        <v/>
      </c>
      <c r="D430" s="161" t="str">
        <f>IF(C430="","",COUNTIFS(Başvuru!$C:$C,C430,Başvuru!$A:$A,"&lt;&gt;"&amp;"",Başvuru!$F:$F,"&lt;&gt;"&amp;""))</f>
        <v/>
      </c>
      <c r="E430" s="159" t="str">
        <f>IF(C430="","-",IF(D430&gt;0,TEXT(D430/(COUNTIFS(Başvuru!$A:$A,"&lt;&gt;",Başvuru!$F:$F,"&lt;&gt;")-1)*100,"0.0")&amp;"%","-"))</f>
        <v>-</v>
      </c>
      <c r="F430" s="162" t="str">
        <f>IF(C430="","",COUNTIFS(Başvuru!$C:$C,C430,Başvuru!$G:$G,"Bireysel Araştırma",Başvuru!$A:$A,"&lt;&gt;"&amp;"",Başvuru!$F:$F,"&lt;&gt;"&amp;""))</f>
        <v/>
      </c>
      <c r="G430" s="162" t="str">
        <f>IF(C430="","",COUNTIFS(Başvuru!$C:$C,C430,Başvuru!$G:$G,"Uzmanlık Tezi",Başvuru!$A:$A,"&lt;&gt;"&amp;"",Başvuru!$F:$F,"&lt;&gt;"&amp;""))</f>
        <v/>
      </c>
      <c r="H430" s="162" t="str">
        <f>IF(C430="","",COUNTIFS(Başvuru!$C:$C,C430,Başvuru!$G:$G,"Doktora Tezi",Başvuru!$A:$A,"&lt;&gt;"&amp;"",Başvuru!$F:$F,"&lt;&gt;"&amp;""))</f>
        <v/>
      </c>
      <c r="I430" s="162" t="str">
        <f>IF(C430="","",COUNTIFS(Başvuru!$C:$C,C430,Başvuru!$G:$G,"Yüksek Lisans Tezi",Başvuru!$A:$A,"&lt;&gt;"&amp;"",Başvuru!$F:$F,"&lt;&gt;"&amp;""))</f>
        <v/>
      </c>
      <c r="J430" s="163" t="str">
        <f>IF(C430="","",COUNTIFS(Başvuru!$C:$C,C430,Başvuru!$L:$L,"ONAY",Başvuru!$A:$A,"&lt;&gt;"&amp;"",Başvuru!$F:$F,"&lt;&gt;"&amp;""))</f>
        <v/>
      </c>
      <c r="K430" s="164" t="str">
        <f>IF(C430="","",COUNTIFS(Başvuru!$C:$C,C430,Başvuru!$L:$L,"DÜZELTME",Başvuru!$A:$A,"&lt;&gt;"&amp;"",Başvuru!$F:$F,"&lt;&gt;"&amp;""))</f>
        <v/>
      </c>
      <c r="L430" s="165" t="str">
        <f>IF(C430="","",COUNTIFS(Başvuru!$C:$C,C430,Başvuru!$L:$L,"KAEK",Başvuru!$A:$A,"&lt;&gt;"&amp;"",Başvuru!$F:$F,"&lt;&gt;"&amp;""))</f>
        <v/>
      </c>
      <c r="M430" s="166" t="str">
        <f>IF(C430="","",COUNTIFS(Başvuru!$C:$C,C430,Başvuru!$L:$L,"GÖRÜŞ",Başvuru!$A:$A,"&lt;&gt;"&amp;"",Başvuru!$F:$F,"&lt;&gt;"&amp;""))</f>
        <v/>
      </c>
      <c r="N430" s="167" t="str">
        <f>IF(C430="","",COUNTIFS(Başvuru!$C:$C,C430,Başvuru!$L:$L,"RET",Başvuru!$A:$A,"&lt;&gt;"&amp;"",Başvuru!$F:$F,"&lt;&gt;"&amp;""))</f>
        <v/>
      </c>
      <c r="O430" s="168" t="str">
        <f>IF(C430="","",COUNTIFS(Başvuru!$C:$C,C430,Başvuru!$L:$L,"KAPSAM DIŞI",Başvuru!$A:$A,"&lt;&gt;"&amp;"",Başvuru!$F:$F,"&lt;&gt;"&amp;""))</f>
        <v/>
      </c>
      <c r="P430" s="169" t="str">
        <f>IF(C430="","",COUNTIFS(Başvuru!$C:$C,C430,Başvuru!$L:$L,"GERİ ÇEKİLDİ",Başvuru!$A:$A,"&lt;&gt;"&amp;"",Başvuru!$F:$F,"&lt;&gt;"&amp;""))</f>
        <v/>
      </c>
      <c r="Q430" s="170" t="str">
        <f>IFERROR(INDEX(Başvuru!$C$2:$C$1851,MATCH(425,Başvuru!$AB$2:$AB$1851,0)),"")</f>
        <v/>
      </c>
      <c r="R430" s="171" t="str">
        <f>IF(Q430="","",COUNTIFS(Başvuru!$C:$C,Q430,Başvuru!$A:$A,"&lt;&gt;"&amp;"",Başvuru!$F:$F,"&lt;&gt;"&amp;""))</f>
        <v/>
      </c>
      <c r="S430" s="171" t="str">
        <f>IF(R430="","",RANK(R430,$R$6:$R$505,0)+COUNTIF($R$6:R430,R430)-1)</f>
        <v/>
      </c>
    </row>
    <row r="431" spans="2:19" ht="23.25" customHeight="1" x14ac:dyDescent="0.25">
      <c r="B431" s="159">
        <v>426</v>
      </c>
      <c r="C431" s="160" t="str">
        <f>IFERROR(INDEX($Q$6:$Q$505,MATCH(426,$S$6:$S$505,0)),"")</f>
        <v/>
      </c>
      <c r="D431" s="161" t="str">
        <f>IF(C431="","",COUNTIFS(Başvuru!$C:$C,C431,Başvuru!$A:$A,"&lt;&gt;"&amp;"",Başvuru!$F:$F,"&lt;&gt;"&amp;""))</f>
        <v/>
      </c>
      <c r="E431" s="159" t="str">
        <f>IF(C431="","-",IF(D431&gt;0,TEXT(D431/(COUNTIFS(Başvuru!$A:$A,"&lt;&gt;",Başvuru!$F:$F,"&lt;&gt;")-1)*100,"0.0")&amp;"%","-"))</f>
        <v>-</v>
      </c>
      <c r="F431" s="162" t="str">
        <f>IF(C431="","",COUNTIFS(Başvuru!$C:$C,C431,Başvuru!$G:$G,"Bireysel Araştırma",Başvuru!$A:$A,"&lt;&gt;"&amp;"",Başvuru!$F:$F,"&lt;&gt;"&amp;""))</f>
        <v/>
      </c>
      <c r="G431" s="162" t="str">
        <f>IF(C431="","",COUNTIFS(Başvuru!$C:$C,C431,Başvuru!$G:$G,"Uzmanlık Tezi",Başvuru!$A:$A,"&lt;&gt;"&amp;"",Başvuru!$F:$F,"&lt;&gt;"&amp;""))</f>
        <v/>
      </c>
      <c r="H431" s="162" t="str">
        <f>IF(C431="","",COUNTIFS(Başvuru!$C:$C,C431,Başvuru!$G:$G,"Doktora Tezi",Başvuru!$A:$A,"&lt;&gt;"&amp;"",Başvuru!$F:$F,"&lt;&gt;"&amp;""))</f>
        <v/>
      </c>
      <c r="I431" s="162" t="str">
        <f>IF(C431="","",COUNTIFS(Başvuru!$C:$C,C431,Başvuru!$G:$G,"Yüksek Lisans Tezi",Başvuru!$A:$A,"&lt;&gt;"&amp;"",Başvuru!$F:$F,"&lt;&gt;"&amp;""))</f>
        <v/>
      </c>
      <c r="J431" s="163" t="str">
        <f>IF(C431="","",COUNTIFS(Başvuru!$C:$C,C431,Başvuru!$L:$L,"ONAY",Başvuru!$A:$A,"&lt;&gt;"&amp;"",Başvuru!$F:$F,"&lt;&gt;"&amp;""))</f>
        <v/>
      </c>
      <c r="K431" s="164" t="str">
        <f>IF(C431="","",COUNTIFS(Başvuru!$C:$C,C431,Başvuru!$L:$L,"DÜZELTME",Başvuru!$A:$A,"&lt;&gt;"&amp;"",Başvuru!$F:$F,"&lt;&gt;"&amp;""))</f>
        <v/>
      </c>
      <c r="L431" s="165" t="str">
        <f>IF(C431="","",COUNTIFS(Başvuru!$C:$C,C431,Başvuru!$L:$L,"KAEK",Başvuru!$A:$A,"&lt;&gt;"&amp;"",Başvuru!$F:$F,"&lt;&gt;"&amp;""))</f>
        <v/>
      </c>
      <c r="M431" s="166" t="str">
        <f>IF(C431="","",COUNTIFS(Başvuru!$C:$C,C431,Başvuru!$L:$L,"GÖRÜŞ",Başvuru!$A:$A,"&lt;&gt;"&amp;"",Başvuru!$F:$F,"&lt;&gt;"&amp;""))</f>
        <v/>
      </c>
      <c r="N431" s="167" t="str">
        <f>IF(C431="","",COUNTIFS(Başvuru!$C:$C,C431,Başvuru!$L:$L,"RET",Başvuru!$A:$A,"&lt;&gt;"&amp;"",Başvuru!$F:$F,"&lt;&gt;"&amp;""))</f>
        <v/>
      </c>
      <c r="O431" s="168" t="str">
        <f>IF(C431="","",COUNTIFS(Başvuru!$C:$C,C431,Başvuru!$L:$L,"KAPSAM DIŞI",Başvuru!$A:$A,"&lt;&gt;"&amp;"",Başvuru!$F:$F,"&lt;&gt;"&amp;""))</f>
        <v/>
      </c>
      <c r="P431" s="169" t="str">
        <f>IF(C431="","",COUNTIFS(Başvuru!$C:$C,C431,Başvuru!$L:$L,"GERİ ÇEKİLDİ",Başvuru!$A:$A,"&lt;&gt;"&amp;"",Başvuru!$F:$F,"&lt;&gt;"&amp;""))</f>
        <v/>
      </c>
      <c r="Q431" s="170" t="str">
        <f>IFERROR(INDEX(Başvuru!$C$2:$C$1851,MATCH(426,Başvuru!$AB$2:$AB$1851,0)),"")</f>
        <v/>
      </c>
      <c r="R431" s="171" t="str">
        <f>IF(Q431="","",COUNTIFS(Başvuru!$C:$C,Q431,Başvuru!$A:$A,"&lt;&gt;"&amp;"",Başvuru!$F:$F,"&lt;&gt;"&amp;""))</f>
        <v/>
      </c>
      <c r="S431" s="171" t="str">
        <f>IF(R431="","",RANK(R431,$R$6:$R$505,0)+COUNTIF($R$6:R431,R431)-1)</f>
        <v/>
      </c>
    </row>
    <row r="432" spans="2:19" ht="23.25" customHeight="1" x14ac:dyDescent="0.25">
      <c r="B432" s="159">
        <v>427</v>
      </c>
      <c r="C432" s="160" t="str">
        <f>IFERROR(INDEX($Q$6:$Q$505,MATCH(427,$S$6:$S$505,0)),"")</f>
        <v/>
      </c>
      <c r="D432" s="161" t="str">
        <f>IF(C432="","",COUNTIFS(Başvuru!$C:$C,C432,Başvuru!$A:$A,"&lt;&gt;"&amp;"",Başvuru!$F:$F,"&lt;&gt;"&amp;""))</f>
        <v/>
      </c>
      <c r="E432" s="159" t="str">
        <f>IF(C432="","-",IF(D432&gt;0,TEXT(D432/(COUNTIFS(Başvuru!$A:$A,"&lt;&gt;",Başvuru!$F:$F,"&lt;&gt;")-1)*100,"0.0")&amp;"%","-"))</f>
        <v>-</v>
      </c>
      <c r="F432" s="162" t="str">
        <f>IF(C432="","",COUNTIFS(Başvuru!$C:$C,C432,Başvuru!$G:$G,"Bireysel Araştırma",Başvuru!$A:$A,"&lt;&gt;"&amp;"",Başvuru!$F:$F,"&lt;&gt;"&amp;""))</f>
        <v/>
      </c>
      <c r="G432" s="162" t="str">
        <f>IF(C432="","",COUNTIFS(Başvuru!$C:$C,C432,Başvuru!$G:$G,"Uzmanlık Tezi",Başvuru!$A:$A,"&lt;&gt;"&amp;"",Başvuru!$F:$F,"&lt;&gt;"&amp;""))</f>
        <v/>
      </c>
      <c r="H432" s="162" t="str">
        <f>IF(C432="","",COUNTIFS(Başvuru!$C:$C,C432,Başvuru!$G:$G,"Doktora Tezi",Başvuru!$A:$A,"&lt;&gt;"&amp;"",Başvuru!$F:$F,"&lt;&gt;"&amp;""))</f>
        <v/>
      </c>
      <c r="I432" s="162" t="str">
        <f>IF(C432="","",COUNTIFS(Başvuru!$C:$C,C432,Başvuru!$G:$G,"Yüksek Lisans Tezi",Başvuru!$A:$A,"&lt;&gt;"&amp;"",Başvuru!$F:$F,"&lt;&gt;"&amp;""))</f>
        <v/>
      </c>
      <c r="J432" s="163" t="str">
        <f>IF(C432="","",COUNTIFS(Başvuru!$C:$C,C432,Başvuru!$L:$L,"ONAY",Başvuru!$A:$A,"&lt;&gt;"&amp;"",Başvuru!$F:$F,"&lt;&gt;"&amp;""))</f>
        <v/>
      </c>
      <c r="K432" s="164" t="str">
        <f>IF(C432="","",COUNTIFS(Başvuru!$C:$C,C432,Başvuru!$L:$L,"DÜZELTME",Başvuru!$A:$A,"&lt;&gt;"&amp;"",Başvuru!$F:$F,"&lt;&gt;"&amp;""))</f>
        <v/>
      </c>
      <c r="L432" s="165" t="str">
        <f>IF(C432="","",COUNTIFS(Başvuru!$C:$C,C432,Başvuru!$L:$L,"KAEK",Başvuru!$A:$A,"&lt;&gt;"&amp;"",Başvuru!$F:$F,"&lt;&gt;"&amp;""))</f>
        <v/>
      </c>
      <c r="M432" s="166" t="str">
        <f>IF(C432="","",COUNTIFS(Başvuru!$C:$C,C432,Başvuru!$L:$L,"GÖRÜŞ",Başvuru!$A:$A,"&lt;&gt;"&amp;"",Başvuru!$F:$F,"&lt;&gt;"&amp;""))</f>
        <v/>
      </c>
      <c r="N432" s="167" t="str">
        <f>IF(C432="","",COUNTIFS(Başvuru!$C:$C,C432,Başvuru!$L:$L,"RET",Başvuru!$A:$A,"&lt;&gt;"&amp;"",Başvuru!$F:$F,"&lt;&gt;"&amp;""))</f>
        <v/>
      </c>
      <c r="O432" s="168" t="str">
        <f>IF(C432="","",COUNTIFS(Başvuru!$C:$C,C432,Başvuru!$L:$L,"KAPSAM DIŞI",Başvuru!$A:$A,"&lt;&gt;"&amp;"",Başvuru!$F:$F,"&lt;&gt;"&amp;""))</f>
        <v/>
      </c>
      <c r="P432" s="169" t="str">
        <f>IF(C432="","",COUNTIFS(Başvuru!$C:$C,C432,Başvuru!$L:$L,"GERİ ÇEKİLDİ",Başvuru!$A:$A,"&lt;&gt;"&amp;"",Başvuru!$F:$F,"&lt;&gt;"&amp;""))</f>
        <v/>
      </c>
      <c r="Q432" s="170" t="str">
        <f>IFERROR(INDEX(Başvuru!$C$2:$C$1851,MATCH(427,Başvuru!$AB$2:$AB$1851,0)),"")</f>
        <v/>
      </c>
      <c r="R432" s="171" t="str">
        <f>IF(Q432="","",COUNTIFS(Başvuru!$C:$C,Q432,Başvuru!$A:$A,"&lt;&gt;"&amp;"",Başvuru!$F:$F,"&lt;&gt;"&amp;""))</f>
        <v/>
      </c>
      <c r="S432" s="171" t="str">
        <f>IF(R432="","",RANK(R432,$R$6:$R$505,0)+COUNTIF($R$6:R432,R432)-1)</f>
        <v/>
      </c>
    </row>
    <row r="433" spans="2:19" ht="23.25" customHeight="1" x14ac:dyDescent="0.25">
      <c r="B433" s="159">
        <v>428</v>
      </c>
      <c r="C433" s="160" t="str">
        <f>IFERROR(INDEX($Q$6:$Q$505,MATCH(428,$S$6:$S$505,0)),"")</f>
        <v/>
      </c>
      <c r="D433" s="161" t="str">
        <f>IF(C433="","",COUNTIFS(Başvuru!$C:$C,C433,Başvuru!$A:$A,"&lt;&gt;"&amp;"",Başvuru!$F:$F,"&lt;&gt;"&amp;""))</f>
        <v/>
      </c>
      <c r="E433" s="159" t="str">
        <f>IF(C433="","-",IF(D433&gt;0,TEXT(D433/(COUNTIFS(Başvuru!$A:$A,"&lt;&gt;",Başvuru!$F:$F,"&lt;&gt;")-1)*100,"0.0")&amp;"%","-"))</f>
        <v>-</v>
      </c>
      <c r="F433" s="162" t="str">
        <f>IF(C433="","",COUNTIFS(Başvuru!$C:$C,C433,Başvuru!$G:$G,"Bireysel Araştırma",Başvuru!$A:$A,"&lt;&gt;"&amp;"",Başvuru!$F:$F,"&lt;&gt;"&amp;""))</f>
        <v/>
      </c>
      <c r="G433" s="162" t="str">
        <f>IF(C433="","",COUNTIFS(Başvuru!$C:$C,C433,Başvuru!$G:$G,"Uzmanlık Tezi",Başvuru!$A:$A,"&lt;&gt;"&amp;"",Başvuru!$F:$F,"&lt;&gt;"&amp;""))</f>
        <v/>
      </c>
      <c r="H433" s="162" t="str">
        <f>IF(C433="","",COUNTIFS(Başvuru!$C:$C,C433,Başvuru!$G:$G,"Doktora Tezi",Başvuru!$A:$A,"&lt;&gt;"&amp;"",Başvuru!$F:$F,"&lt;&gt;"&amp;""))</f>
        <v/>
      </c>
      <c r="I433" s="162" t="str">
        <f>IF(C433="","",COUNTIFS(Başvuru!$C:$C,C433,Başvuru!$G:$G,"Yüksek Lisans Tezi",Başvuru!$A:$A,"&lt;&gt;"&amp;"",Başvuru!$F:$F,"&lt;&gt;"&amp;""))</f>
        <v/>
      </c>
      <c r="J433" s="163" t="str">
        <f>IF(C433="","",COUNTIFS(Başvuru!$C:$C,C433,Başvuru!$L:$L,"ONAY",Başvuru!$A:$A,"&lt;&gt;"&amp;"",Başvuru!$F:$F,"&lt;&gt;"&amp;""))</f>
        <v/>
      </c>
      <c r="K433" s="164" t="str">
        <f>IF(C433="","",COUNTIFS(Başvuru!$C:$C,C433,Başvuru!$L:$L,"DÜZELTME",Başvuru!$A:$A,"&lt;&gt;"&amp;"",Başvuru!$F:$F,"&lt;&gt;"&amp;""))</f>
        <v/>
      </c>
      <c r="L433" s="165" t="str">
        <f>IF(C433="","",COUNTIFS(Başvuru!$C:$C,C433,Başvuru!$L:$L,"KAEK",Başvuru!$A:$A,"&lt;&gt;"&amp;"",Başvuru!$F:$F,"&lt;&gt;"&amp;""))</f>
        <v/>
      </c>
      <c r="M433" s="166" t="str">
        <f>IF(C433="","",COUNTIFS(Başvuru!$C:$C,C433,Başvuru!$L:$L,"GÖRÜŞ",Başvuru!$A:$A,"&lt;&gt;"&amp;"",Başvuru!$F:$F,"&lt;&gt;"&amp;""))</f>
        <v/>
      </c>
      <c r="N433" s="167" t="str">
        <f>IF(C433="","",COUNTIFS(Başvuru!$C:$C,C433,Başvuru!$L:$L,"RET",Başvuru!$A:$A,"&lt;&gt;"&amp;"",Başvuru!$F:$F,"&lt;&gt;"&amp;""))</f>
        <v/>
      </c>
      <c r="O433" s="168" t="str">
        <f>IF(C433="","",COUNTIFS(Başvuru!$C:$C,C433,Başvuru!$L:$L,"KAPSAM DIŞI",Başvuru!$A:$A,"&lt;&gt;"&amp;"",Başvuru!$F:$F,"&lt;&gt;"&amp;""))</f>
        <v/>
      </c>
      <c r="P433" s="169" t="str">
        <f>IF(C433="","",COUNTIFS(Başvuru!$C:$C,C433,Başvuru!$L:$L,"GERİ ÇEKİLDİ",Başvuru!$A:$A,"&lt;&gt;"&amp;"",Başvuru!$F:$F,"&lt;&gt;"&amp;""))</f>
        <v/>
      </c>
      <c r="Q433" s="170" t="str">
        <f>IFERROR(INDEX(Başvuru!$C$2:$C$1851,MATCH(428,Başvuru!$AB$2:$AB$1851,0)),"")</f>
        <v/>
      </c>
      <c r="R433" s="171" t="str">
        <f>IF(Q433="","",COUNTIFS(Başvuru!$C:$C,Q433,Başvuru!$A:$A,"&lt;&gt;"&amp;"",Başvuru!$F:$F,"&lt;&gt;"&amp;""))</f>
        <v/>
      </c>
      <c r="S433" s="171" t="str">
        <f>IF(R433="","",RANK(R433,$R$6:$R$505,0)+COUNTIF($R$6:R433,R433)-1)</f>
        <v/>
      </c>
    </row>
    <row r="434" spans="2:19" ht="23.25" customHeight="1" x14ac:dyDescent="0.25">
      <c r="B434" s="159">
        <v>429</v>
      </c>
      <c r="C434" s="160" t="str">
        <f>IFERROR(INDEX($Q$6:$Q$505,MATCH(429,$S$6:$S$505,0)),"")</f>
        <v/>
      </c>
      <c r="D434" s="161" t="str">
        <f>IF(C434="","",COUNTIFS(Başvuru!$C:$C,C434,Başvuru!$A:$A,"&lt;&gt;"&amp;"",Başvuru!$F:$F,"&lt;&gt;"&amp;""))</f>
        <v/>
      </c>
      <c r="E434" s="159" t="str">
        <f>IF(C434="","-",IF(D434&gt;0,TEXT(D434/(COUNTIFS(Başvuru!$A:$A,"&lt;&gt;",Başvuru!$F:$F,"&lt;&gt;")-1)*100,"0.0")&amp;"%","-"))</f>
        <v>-</v>
      </c>
      <c r="F434" s="162" t="str">
        <f>IF(C434="","",COUNTIFS(Başvuru!$C:$C,C434,Başvuru!$G:$G,"Bireysel Araştırma",Başvuru!$A:$A,"&lt;&gt;"&amp;"",Başvuru!$F:$F,"&lt;&gt;"&amp;""))</f>
        <v/>
      </c>
      <c r="G434" s="162" t="str">
        <f>IF(C434="","",COUNTIFS(Başvuru!$C:$C,C434,Başvuru!$G:$G,"Uzmanlık Tezi",Başvuru!$A:$A,"&lt;&gt;"&amp;"",Başvuru!$F:$F,"&lt;&gt;"&amp;""))</f>
        <v/>
      </c>
      <c r="H434" s="162" t="str">
        <f>IF(C434="","",COUNTIFS(Başvuru!$C:$C,C434,Başvuru!$G:$G,"Doktora Tezi",Başvuru!$A:$A,"&lt;&gt;"&amp;"",Başvuru!$F:$F,"&lt;&gt;"&amp;""))</f>
        <v/>
      </c>
      <c r="I434" s="162" t="str">
        <f>IF(C434="","",COUNTIFS(Başvuru!$C:$C,C434,Başvuru!$G:$G,"Yüksek Lisans Tezi",Başvuru!$A:$A,"&lt;&gt;"&amp;"",Başvuru!$F:$F,"&lt;&gt;"&amp;""))</f>
        <v/>
      </c>
      <c r="J434" s="163" t="str">
        <f>IF(C434="","",COUNTIFS(Başvuru!$C:$C,C434,Başvuru!$L:$L,"ONAY",Başvuru!$A:$A,"&lt;&gt;"&amp;"",Başvuru!$F:$F,"&lt;&gt;"&amp;""))</f>
        <v/>
      </c>
      <c r="K434" s="164" t="str">
        <f>IF(C434="","",COUNTIFS(Başvuru!$C:$C,C434,Başvuru!$L:$L,"DÜZELTME",Başvuru!$A:$A,"&lt;&gt;"&amp;"",Başvuru!$F:$F,"&lt;&gt;"&amp;""))</f>
        <v/>
      </c>
      <c r="L434" s="165" t="str">
        <f>IF(C434="","",COUNTIFS(Başvuru!$C:$C,C434,Başvuru!$L:$L,"KAEK",Başvuru!$A:$A,"&lt;&gt;"&amp;"",Başvuru!$F:$F,"&lt;&gt;"&amp;""))</f>
        <v/>
      </c>
      <c r="M434" s="166" t="str">
        <f>IF(C434="","",COUNTIFS(Başvuru!$C:$C,C434,Başvuru!$L:$L,"GÖRÜŞ",Başvuru!$A:$A,"&lt;&gt;"&amp;"",Başvuru!$F:$F,"&lt;&gt;"&amp;""))</f>
        <v/>
      </c>
      <c r="N434" s="167" t="str">
        <f>IF(C434="","",COUNTIFS(Başvuru!$C:$C,C434,Başvuru!$L:$L,"RET",Başvuru!$A:$A,"&lt;&gt;"&amp;"",Başvuru!$F:$F,"&lt;&gt;"&amp;""))</f>
        <v/>
      </c>
      <c r="O434" s="168" t="str">
        <f>IF(C434="","",COUNTIFS(Başvuru!$C:$C,C434,Başvuru!$L:$L,"KAPSAM DIŞI",Başvuru!$A:$A,"&lt;&gt;"&amp;"",Başvuru!$F:$F,"&lt;&gt;"&amp;""))</f>
        <v/>
      </c>
      <c r="P434" s="169" t="str">
        <f>IF(C434="","",COUNTIFS(Başvuru!$C:$C,C434,Başvuru!$L:$L,"GERİ ÇEKİLDİ",Başvuru!$A:$A,"&lt;&gt;"&amp;"",Başvuru!$F:$F,"&lt;&gt;"&amp;""))</f>
        <v/>
      </c>
      <c r="Q434" s="170" t="str">
        <f>IFERROR(INDEX(Başvuru!$C$2:$C$1851,MATCH(429,Başvuru!$AB$2:$AB$1851,0)),"")</f>
        <v/>
      </c>
      <c r="R434" s="171" t="str">
        <f>IF(Q434="","",COUNTIFS(Başvuru!$C:$C,Q434,Başvuru!$A:$A,"&lt;&gt;"&amp;"",Başvuru!$F:$F,"&lt;&gt;"&amp;""))</f>
        <v/>
      </c>
      <c r="S434" s="171" t="str">
        <f>IF(R434="","",RANK(R434,$R$6:$R$505,0)+COUNTIF($R$6:R434,R434)-1)</f>
        <v/>
      </c>
    </row>
    <row r="435" spans="2:19" ht="23.25" customHeight="1" x14ac:dyDescent="0.25">
      <c r="B435" s="159">
        <v>430</v>
      </c>
      <c r="C435" s="160" t="str">
        <f>IFERROR(INDEX($Q$6:$Q$505,MATCH(430,$S$6:$S$505,0)),"")</f>
        <v/>
      </c>
      <c r="D435" s="161" t="str">
        <f>IF(C435="","",COUNTIFS(Başvuru!$C:$C,C435,Başvuru!$A:$A,"&lt;&gt;"&amp;"",Başvuru!$F:$F,"&lt;&gt;"&amp;""))</f>
        <v/>
      </c>
      <c r="E435" s="159" t="str">
        <f>IF(C435="","-",IF(D435&gt;0,TEXT(D435/(COUNTIFS(Başvuru!$A:$A,"&lt;&gt;",Başvuru!$F:$F,"&lt;&gt;")-1)*100,"0.0")&amp;"%","-"))</f>
        <v>-</v>
      </c>
      <c r="F435" s="162" t="str">
        <f>IF(C435="","",COUNTIFS(Başvuru!$C:$C,C435,Başvuru!$G:$G,"Bireysel Araştırma",Başvuru!$A:$A,"&lt;&gt;"&amp;"",Başvuru!$F:$F,"&lt;&gt;"&amp;""))</f>
        <v/>
      </c>
      <c r="G435" s="162" t="str">
        <f>IF(C435="","",COUNTIFS(Başvuru!$C:$C,C435,Başvuru!$G:$G,"Uzmanlık Tezi",Başvuru!$A:$A,"&lt;&gt;"&amp;"",Başvuru!$F:$F,"&lt;&gt;"&amp;""))</f>
        <v/>
      </c>
      <c r="H435" s="162" t="str">
        <f>IF(C435="","",COUNTIFS(Başvuru!$C:$C,C435,Başvuru!$G:$G,"Doktora Tezi",Başvuru!$A:$A,"&lt;&gt;"&amp;"",Başvuru!$F:$F,"&lt;&gt;"&amp;""))</f>
        <v/>
      </c>
      <c r="I435" s="162" t="str">
        <f>IF(C435="","",COUNTIFS(Başvuru!$C:$C,C435,Başvuru!$G:$G,"Yüksek Lisans Tezi",Başvuru!$A:$A,"&lt;&gt;"&amp;"",Başvuru!$F:$F,"&lt;&gt;"&amp;""))</f>
        <v/>
      </c>
      <c r="J435" s="163" t="str">
        <f>IF(C435="","",COUNTIFS(Başvuru!$C:$C,C435,Başvuru!$L:$L,"ONAY",Başvuru!$A:$A,"&lt;&gt;"&amp;"",Başvuru!$F:$F,"&lt;&gt;"&amp;""))</f>
        <v/>
      </c>
      <c r="K435" s="164" t="str">
        <f>IF(C435="","",COUNTIFS(Başvuru!$C:$C,C435,Başvuru!$L:$L,"DÜZELTME",Başvuru!$A:$A,"&lt;&gt;"&amp;"",Başvuru!$F:$F,"&lt;&gt;"&amp;""))</f>
        <v/>
      </c>
      <c r="L435" s="165" t="str">
        <f>IF(C435="","",COUNTIFS(Başvuru!$C:$C,C435,Başvuru!$L:$L,"KAEK",Başvuru!$A:$A,"&lt;&gt;"&amp;"",Başvuru!$F:$F,"&lt;&gt;"&amp;""))</f>
        <v/>
      </c>
      <c r="M435" s="166" t="str">
        <f>IF(C435="","",COUNTIFS(Başvuru!$C:$C,C435,Başvuru!$L:$L,"GÖRÜŞ",Başvuru!$A:$A,"&lt;&gt;"&amp;"",Başvuru!$F:$F,"&lt;&gt;"&amp;""))</f>
        <v/>
      </c>
      <c r="N435" s="167" t="str">
        <f>IF(C435="","",COUNTIFS(Başvuru!$C:$C,C435,Başvuru!$L:$L,"RET",Başvuru!$A:$A,"&lt;&gt;"&amp;"",Başvuru!$F:$F,"&lt;&gt;"&amp;""))</f>
        <v/>
      </c>
      <c r="O435" s="168" t="str">
        <f>IF(C435="","",COUNTIFS(Başvuru!$C:$C,C435,Başvuru!$L:$L,"KAPSAM DIŞI",Başvuru!$A:$A,"&lt;&gt;"&amp;"",Başvuru!$F:$F,"&lt;&gt;"&amp;""))</f>
        <v/>
      </c>
      <c r="P435" s="169" t="str">
        <f>IF(C435="","",COUNTIFS(Başvuru!$C:$C,C435,Başvuru!$L:$L,"GERİ ÇEKİLDİ",Başvuru!$A:$A,"&lt;&gt;"&amp;"",Başvuru!$F:$F,"&lt;&gt;"&amp;""))</f>
        <v/>
      </c>
      <c r="Q435" s="170" t="str">
        <f>IFERROR(INDEX(Başvuru!$C$2:$C$1851,MATCH(430,Başvuru!$AB$2:$AB$1851,0)),"")</f>
        <v/>
      </c>
      <c r="R435" s="171" t="str">
        <f>IF(Q435="","",COUNTIFS(Başvuru!$C:$C,Q435,Başvuru!$A:$A,"&lt;&gt;"&amp;"",Başvuru!$F:$F,"&lt;&gt;"&amp;""))</f>
        <v/>
      </c>
      <c r="S435" s="171" t="str">
        <f>IF(R435="","",RANK(R435,$R$6:$R$505,0)+COUNTIF($R$6:R435,R435)-1)</f>
        <v/>
      </c>
    </row>
    <row r="436" spans="2:19" ht="23.25" customHeight="1" x14ac:dyDescent="0.25">
      <c r="B436" s="159">
        <v>431</v>
      </c>
      <c r="C436" s="160" t="str">
        <f>IFERROR(INDEX($Q$6:$Q$505,MATCH(431,$S$6:$S$505,0)),"")</f>
        <v/>
      </c>
      <c r="D436" s="161" t="str">
        <f>IF(C436="","",COUNTIFS(Başvuru!$C:$C,C436,Başvuru!$A:$A,"&lt;&gt;"&amp;"",Başvuru!$F:$F,"&lt;&gt;"&amp;""))</f>
        <v/>
      </c>
      <c r="E436" s="159" t="str">
        <f>IF(C436="","-",IF(D436&gt;0,TEXT(D436/(COUNTIFS(Başvuru!$A:$A,"&lt;&gt;",Başvuru!$F:$F,"&lt;&gt;")-1)*100,"0.0")&amp;"%","-"))</f>
        <v>-</v>
      </c>
      <c r="F436" s="162" t="str">
        <f>IF(C436="","",COUNTIFS(Başvuru!$C:$C,C436,Başvuru!$G:$G,"Bireysel Araştırma",Başvuru!$A:$A,"&lt;&gt;"&amp;"",Başvuru!$F:$F,"&lt;&gt;"&amp;""))</f>
        <v/>
      </c>
      <c r="G436" s="162" t="str">
        <f>IF(C436="","",COUNTIFS(Başvuru!$C:$C,C436,Başvuru!$G:$G,"Uzmanlık Tezi",Başvuru!$A:$A,"&lt;&gt;"&amp;"",Başvuru!$F:$F,"&lt;&gt;"&amp;""))</f>
        <v/>
      </c>
      <c r="H436" s="162" t="str">
        <f>IF(C436="","",COUNTIFS(Başvuru!$C:$C,C436,Başvuru!$G:$G,"Doktora Tezi",Başvuru!$A:$A,"&lt;&gt;"&amp;"",Başvuru!$F:$F,"&lt;&gt;"&amp;""))</f>
        <v/>
      </c>
      <c r="I436" s="162" t="str">
        <f>IF(C436="","",COUNTIFS(Başvuru!$C:$C,C436,Başvuru!$G:$G,"Yüksek Lisans Tezi",Başvuru!$A:$A,"&lt;&gt;"&amp;"",Başvuru!$F:$F,"&lt;&gt;"&amp;""))</f>
        <v/>
      </c>
      <c r="J436" s="163" t="str">
        <f>IF(C436="","",COUNTIFS(Başvuru!$C:$C,C436,Başvuru!$L:$L,"ONAY",Başvuru!$A:$A,"&lt;&gt;"&amp;"",Başvuru!$F:$F,"&lt;&gt;"&amp;""))</f>
        <v/>
      </c>
      <c r="K436" s="164" t="str">
        <f>IF(C436="","",COUNTIFS(Başvuru!$C:$C,C436,Başvuru!$L:$L,"DÜZELTME",Başvuru!$A:$A,"&lt;&gt;"&amp;"",Başvuru!$F:$F,"&lt;&gt;"&amp;""))</f>
        <v/>
      </c>
      <c r="L436" s="165" t="str">
        <f>IF(C436="","",COUNTIFS(Başvuru!$C:$C,C436,Başvuru!$L:$L,"KAEK",Başvuru!$A:$A,"&lt;&gt;"&amp;"",Başvuru!$F:$F,"&lt;&gt;"&amp;""))</f>
        <v/>
      </c>
      <c r="M436" s="166" t="str">
        <f>IF(C436="","",COUNTIFS(Başvuru!$C:$C,C436,Başvuru!$L:$L,"GÖRÜŞ",Başvuru!$A:$A,"&lt;&gt;"&amp;"",Başvuru!$F:$F,"&lt;&gt;"&amp;""))</f>
        <v/>
      </c>
      <c r="N436" s="167" t="str">
        <f>IF(C436="","",COUNTIFS(Başvuru!$C:$C,C436,Başvuru!$L:$L,"RET",Başvuru!$A:$A,"&lt;&gt;"&amp;"",Başvuru!$F:$F,"&lt;&gt;"&amp;""))</f>
        <v/>
      </c>
      <c r="O436" s="168" t="str">
        <f>IF(C436="","",COUNTIFS(Başvuru!$C:$C,C436,Başvuru!$L:$L,"KAPSAM DIŞI",Başvuru!$A:$A,"&lt;&gt;"&amp;"",Başvuru!$F:$F,"&lt;&gt;"&amp;""))</f>
        <v/>
      </c>
      <c r="P436" s="169" t="str">
        <f>IF(C436="","",COUNTIFS(Başvuru!$C:$C,C436,Başvuru!$L:$L,"GERİ ÇEKİLDİ",Başvuru!$A:$A,"&lt;&gt;"&amp;"",Başvuru!$F:$F,"&lt;&gt;"&amp;""))</f>
        <v/>
      </c>
      <c r="Q436" s="170" t="str">
        <f>IFERROR(INDEX(Başvuru!$C$2:$C$1851,MATCH(431,Başvuru!$AB$2:$AB$1851,0)),"")</f>
        <v/>
      </c>
      <c r="R436" s="171" t="str">
        <f>IF(Q436="","",COUNTIFS(Başvuru!$C:$C,Q436,Başvuru!$A:$A,"&lt;&gt;"&amp;"",Başvuru!$F:$F,"&lt;&gt;"&amp;""))</f>
        <v/>
      </c>
      <c r="S436" s="171" t="str">
        <f>IF(R436="","",RANK(R436,$R$6:$R$505,0)+COUNTIF($R$6:R436,R436)-1)</f>
        <v/>
      </c>
    </row>
    <row r="437" spans="2:19" ht="23.25" customHeight="1" x14ac:dyDescent="0.25">
      <c r="B437" s="159">
        <v>432</v>
      </c>
      <c r="C437" s="160" t="str">
        <f>IFERROR(INDEX($Q$6:$Q$505,MATCH(432,$S$6:$S$505,0)),"")</f>
        <v/>
      </c>
      <c r="D437" s="161" t="str">
        <f>IF(C437="","",COUNTIFS(Başvuru!$C:$C,C437,Başvuru!$A:$A,"&lt;&gt;"&amp;"",Başvuru!$F:$F,"&lt;&gt;"&amp;""))</f>
        <v/>
      </c>
      <c r="E437" s="159" t="str">
        <f>IF(C437="","-",IF(D437&gt;0,TEXT(D437/(COUNTIFS(Başvuru!$A:$A,"&lt;&gt;",Başvuru!$F:$F,"&lt;&gt;")-1)*100,"0.0")&amp;"%","-"))</f>
        <v>-</v>
      </c>
      <c r="F437" s="162" t="str">
        <f>IF(C437="","",COUNTIFS(Başvuru!$C:$C,C437,Başvuru!$G:$G,"Bireysel Araştırma",Başvuru!$A:$A,"&lt;&gt;"&amp;"",Başvuru!$F:$F,"&lt;&gt;"&amp;""))</f>
        <v/>
      </c>
      <c r="G437" s="162" t="str">
        <f>IF(C437="","",COUNTIFS(Başvuru!$C:$C,C437,Başvuru!$G:$G,"Uzmanlık Tezi",Başvuru!$A:$A,"&lt;&gt;"&amp;"",Başvuru!$F:$F,"&lt;&gt;"&amp;""))</f>
        <v/>
      </c>
      <c r="H437" s="162" t="str">
        <f>IF(C437="","",COUNTIFS(Başvuru!$C:$C,C437,Başvuru!$G:$G,"Doktora Tezi",Başvuru!$A:$A,"&lt;&gt;"&amp;"",Başvuru!$F:$F,"&lt;&gt;"&amp;""))</f>
        <v/>
      </c>
      <c r="I437" s="162" t="str">
        <f>IF(C437="","",COUNTIFS(Başvuru!$C:$C,C437,Başvuru!$G:$G,"Yüksek Lisans Tezi",Başvuru!$A:$A,"&lt;&gt;"&amp;"",Başvuru!$F:$F,"&lt;&gt;"&amp;""))</f>
        <v/>
      </c>
      <c r="J437" s="163" t="str">
        <f>IF(C437="","",COUNTIFS(Başvuru!$C:$C,C437,Başvuru!$L:$L,"ONAY",Başvuru!$A:$A,"&lt;&gt;"&amp;"",Başvuru!$F:$F,"&lt;&gt;"&amp;""))</f>
        <v/>
      </c>
      <c r="K437" s="164" t="str">
        <f>IF(C437="","",COUNTIFS(Başvuru!$C:$C,C437,Başvuru!$L:$L,"DÜZELTME",Başvuru!$A:$A,"&lt;&gt;"&amp;"",Başvuru!$F:$F,"&lt;&gt;"&amp;""))</f>
        <v/>
      </c>
      <c r="L437" s="165" t="str">
        <f>IF(C437="","",COUNTIFS(Başvuru!$C:$C,C437,Başvuru!$L:$L,"KAEK",Başvuru!$A:$A,"&lt;&gt;"&amp;"",Başvuru!$F:$F,"&lt;&gt;"&amp;""))</f>
        <v/>
      </c>
      <c r="M437" s="166" t="str">
        <f>IF(C437="","",COUNTIFS(Başvuru!$C:$C,C437,Başvuru!$L:$L,"GÖRÜŞ",Başvuru!$A:$A,"&lt;&gt;"&amp;"",Başvuru!$F:$F,"&lt;&gt;"&amp;""))</f>
        <v/>
      </c>
      <c r="N437" s="167" t="str">
        <f>IF(C437="","",COUNTIFS(Başvuru!$C:$C,C437,Başvuru!$L:$L,"RET",Başvuru!$A:$A,"&lt;&gt;"&amp;"",Başvuru!$F:$F,"&lt;&gt;"&amp;""))</f>
        <v/>
      </c>
      <c r="O437" s="168" t="str">
        <f>IF(C437="","",COUNTIFS(Başvuru!$C:$C,C437,Başvuru!$L:$L,"KAPSAM DIŞI",Başvuru!$A:$A,"&lt;&gt;"&amp;"",Başvuru!$F:$F,"&lt;&gt;"&amp;""))</f>
        <v/>
      </c>
      <c r="P437" s="169" t="str">
        <f>IF(C437="","",COUNTIFS(Başvuru!$C:$C,C437,Başvuru!$L:$L,"GERİ ÇEKİLDİ",Başvuru!$A:$A,"&lt;&gt;"&amp;"",Başvuru!$F:$F,"&lt;&gt;"&amp;""))</f>
        <v/>
      </c>
      <c r="Q437" s="170" t="str">
        <f>IFERROR(INDEX(Başvuru!$C$2:$C$1851,MATCH(432,Başvuru!$AB$2:$AB$1851,0)),"")</f>
        <v/>
      </c>
      <c r="R437" s="171" t="str">
        <f>IF(Q437="","",COUNTIFS(Başvuru!$C:$C,Q437,Başvuru!$A:$A,"&lt;&gt;"&amp;"",Başvuru!$F:$F,"&lt;&gt;"&amp;""))</f>
        <v/>
      </c>
      <c r="S437" s="171" t="str">
        <f>IF(R437="","",RANK(R437,$R$6:$R$505,0)+COUNTIF($R$6:R437,R437)-1)</f>
        <v/>
      </c>
    </row>
    <row r="438" spans="2:19" ht="23.25" customHeight="1" x14ac:dyDescent="0.25">
      <c r="B438" s="159">
        <v>433</v>
      </c>
      <c r="C438" s="160" t="str">
        <f>IFERROR(INDEX($Q$6:$Q$505,MATCH(433,$S$6:$S$505,0)),"")</f>
        <v/>
      </c>
      <c r="D438" s="161" t="str">
        <f>IF(C438="","",COUNTIFS(Başvuru!$C:$C,C438,Başvuru!$A:$A,"&lt;&gt;"&amp;"",Başvuru!$F:$F,"&lt;&gt;"&amp;""))</f>
        <v/>
      </c>
      <c r="E438" s="159" t="str">
        <f>IF(C438="","-",IF(D438&gt;0,TEXT(D438/(COUNTIFS(Başvuru!$A:$A,"&lt;&gt;",Başvuru!$F:$F,"&lt;&gt;")-1)*100,"0.0")&amp;"%","-"))</f>
        <v>-</v>
      </c>
      <c r="F438" s="162" t="str">
        <f>IF(C438="","",COUNTIFS(Başvuru!$C:$C,C438,Başvuru!$G:$G,"Bireysel Araştırma",Başvuru!$A:$A,"&lt;&gt;"&amp;"",Başvuru!$F:$F,"&lt;&gt;"&amp;""))</f>
        <v/>
      </c>
      <c r="G438" s="162" t="str">
        <f>IF(C438="","",COUNTIFS(Başvuru!$C:$C,C438,Başvuru!$G:$G,"Uzmanlık Tezi",Başvuru!$A:$A,"&lt;&gt;"&amp;"",Başvuru!$F:$F,"&lt;&gt;"&amp;""))</f>
        <v/>
      </c>
      <c r="H438" s="162" t="str">
        <f>IF(C438="","",COUNTIFS(Başvuru!$C:$C,C438,Başvuru!$G:$G,"Doktora Tezi",Başvuru!$A:$A,"&lt;&gt;"&amp;"",Başvuru!$F:$F,"&lt;&gt;"&amp;""))</f>
        <v/>
      </c>
      <c r="I438" s="162" t="str">
        <f>IF(C438="","",COUNTIFS(Başvuru!$C:$C,C438,Başvuru!$G:$G,"Yüksek Lisans Tezi",Başvuru!$A:$A,"&lt;&gt;"&amp;"",Başvuru!$F:$F,"&lt;&gt;"&amp;""))</f>
        <v/>
      </c>
      <c r="J438" s="163" t="str">
        <f>IF(C438="","",COUNTIFS(Başvuru!$C:$C,C438,Başvuru!$L:$L,"ONAY",Başvuru!$A:$A,"&lt;&gt;"&amp;"",Başvuru!$F:$F,"&lt;&gt;"&amp;""))</f>
        <v/>
      </c>
      <c r="K438" s="164" t="str">
        <f>IF(C438="","",COUNTIFS(Başvuru!$C:$C,C438,Başvuru!$L:$L,"DÜZELTME",Başvuru!$A:$A,"&lt;&gt;"&amp;"",Başvuru!$F:$F,"&lt;&gt;"&amp;""))</f>
        <v/>
      </c>
      <c r="L438" s="165" t="str">
        <f>IF(C438="","",COUNTIFS(Başvuru!$C:$C,C438,Başvuru!$L:$L,"KAEK",Başvuru!$A:$A,"&lt;&gt;"&amp;"",Başvuru!$F:$F,"&lt;&gt;"&amp;""))</f>
        <v/>
      </c>
      <c r="M438" s="166" t="str">
        <f>IF(C438="","",COUNTIFS(Başvuru!$C:$C,C438,Başvuru!$L:$L,"GÖRÜŞ",Başvuru!$A:$A,"&lt;&gt;"&amp;"",Başvuru!$F:$F,"&lt;&gt;"&amp;""))</f>
        <v/>
      </c>
      <c r="N438" s="167" t="str">
        <f>IF(C438="","",COUNTIFS(Başvuru!$C:$C,C438,Başvuru!$L:$L,"RET",Başvuru!$A:$A,"&lt;&gt;"&amp;"",Başvuru!$F:$F,"&lt;&gt;"&amp;""))</f>
        <v/>
      </c>
      <c r="O438" s="168" t="str">
        <f>IF(C438="","",COUNTIFS(Başvuru!$C:$C,C438,Başvuru!$L:$L,"KAPSAM DIŞI",Başvuru!$A:$A,"&lt;&gt;"&amp;"",Başvuru!$F:$F,"&lt;&gt;"&amp;""))</f>
        <v/>
      </c>
      <c r="P438" s="169" t="str">
        <f>IF(C438="","",COUNTIFS(Başvuru!$C:$C,C438,Başvuru!$L:$L,"GERİ ÇEKİLDİ",Başvuru!$A:$A,"&lt;&gt;"&amp;"",Başvuru!$F:$F,"&lt;&gt;"&amp;""))</f>
        <v/>
      </c>
      <c r="Q438" s="170" t="str">
        <f>IFERROR(INDEX(Başvuru!$C$2:$C$1851,MATCH(433,Başvuru!$AB$2:$AB$1851,0)),"")</f>
        <v/>
      </c>
      <c r="R438" s="171" t="str">
        <f>IF(Q438="","",COUNTIFS(Başvuru!$C:$C,Q438,Başvuru!$A:$A,"&lt;&gt;"&amp;"",Başvuru!$F:$F,"&lt;&gt;"&amp;""))</f>
        <v/>
      </c>
      <c r="S438" s="171" t="str">
        <f>IF(R438="","",RANK(R438,$R$6:$R$505,0)+COUNTIF($R$6:R438,R438)-1)</f>
        <v/>
      </c>
    </row>
    <row r="439" spans="2:19" ht="23.25" customHeight="1" x14ac:dyDescent="0.25">
      <c r="B439" s="159">
        <v>434</v>
      </c>
      <c r="C439" s="160" t="str">
        <f>IFERROR(INDEX($Q$6:$Q$505,MATCH(434,$S$6:$S$505,0)),"")</f>
        <v/>
      </c>
      <c r="D439" s="161" t="str">
        <f>IF(C439="","",COUNTIFS(Başvuru!$C:$C,C439,Başvuru!$A:$A,"&lt;&gt;"&amp;"",Başvuru!$F:$F,"&lt;&gt;"&amp;""))</f>
        <v/>
      </c>
      <c r="E439" s="159" t="str">
        <f>IF(C439="","-",IF(D439&gt;0,TEXT(D439/(COUNTIFS(Başvuru!$A:$A,"&lt;&gt;",Başvuru!$F:$F,"&lt;&gt;")-1)*100,"0.0")&amp;"%","-"))</f>
        <v>-</v>
      </c>
      <c r="F439" s="162" t="str">
        <f>IF(C439="","",COUNTIFS(Başvuru!$C:$C,C439,Başvuru!$G:$G,"Bireysel Araştırma",Başvuru!$A:$A,"&lt;&gt;"&amp;"",Başvuru!$F:$F,"&lt;&gt;"&amp;""))</f>
        <v/>
      </c>
      <c r="G439" s="162" t="str">
        <f>IF(C439="","",COUNTIFS(Başvuru!$C:$C,C439,Başvuru!$G:$G,"Uzmanlık Tezi",Başvuru!$A:$A,"&lt;&gt;"&amp;"",Başvuru!$F:$F,"&lt;&gt;"&amp;""))</f>
        <v/>
      </c>
      <c r="H439" s="162" t="str">
        <f>IF(C439="","",COUNTIFS(Başvuru!$C:$C,C439,Başvuru!$G:$G,"Doktora Tezi",Başvuru!$A:$A,"&lt;&gt;"&amp;"",Başvuru!$F:$F,"&lt;&gt;"&amp;""))</f>
        <v/>
      </c>
      <c r="I439" s="162" t="str">
        <f>IF(C439="","",COUNTIFS(Başvuru!$C:$C,C439,Başvuru!$G:$G,"Yüksek Lisans Tezi",Başvuru!$A:$A,"&lt;&gt;"&amp;"",Başvuru!$F:$F,"&lt;&gt;"&amp;""))</f>
        <v/>
      </c>
      <c r="J439" s="163" t="str">
        <f>IF(C439="","",COUNTIFS(Başvuru!$C:$C,C439,Başvuru!$L:$L,"ONAY",Başvuru!$A:$A,"&lt;&gt;"&amp;"",Başvuru!$F:$F,"&lt;&gt;"&amp;""))</f>
        <v/>
      </c>
      <c r="K439" s="164" t="str">
        <f>IF(C439="","",COUNTIFS(Başvuru!$C:$C,C439,Başvuru!$L:$L,"DÜZELTME",Başvuru!$A:$A,"&lt;&gt;"&amp;"",Başvuru!$F:$F,"&lt;&gt;"&amp;""))</f>
        <v/>
      </c>
      <c r="L439" s="165" t="str">
        <f>IF(C439="","",COUNTIFS(Başvuru!$C:$C,C439,Başvuru!$L:$L,"KAEK",Başvuru!$A:$A,"&lt;&gt;"&amp;"",Başvuru!$F:$F,"&lt;&gt;"&amp;""))</f>
        <v/>
      </c>
      <c r="M439" s="166" t="str">
        <f>IF(C439="","",COUNTIFS(Başvuru!$C:$C,C439,Başvuru!$L:$L,"GÖRÜŞ",Başvuru!$A:$A,"&lt;&gt;"&amp;"",Başvuru!$F:$F,"&lt;&gt;"&amp;""))</f>
        <v/>
      </c>
      <c r="N439" s="167" t="str">
        <f>IF(C439="","",COUNTIFS(Başvuru!$C:$C,C439,Başvuru!$L:$L,"RET",Başvuru!$A:$A,"&lt;&gt;"&amp;"",Başvuru!$F:$F,"&lt;&gt;"&amp;""))</f>
        <v/>
      </c>
      <c r="O439" s="168" t="str">
        <f>IF(C439="","",COUNTIFS(Başvuru!$C:$C,C439,Başvuru!$L:$L,"KAPSAM DIŞI",Başvuru!$A:$A,"&lt;&gt;"&amp;"",Başvuru!$F:$F,"&lt;&gt;"&amp;""))</f>
        <v/>
      </c>
      <c r="P439" s="169" t="str">
        <f>IF(C439="","",COUNTIFS(Başvuru!$C:$C,C439,Başvuru!$L:$L,"GERİ ÇEKİLDİ",Başvuru!$A:$A,"&lt;&gt;"&amp;"",Başvuru!$F:$F,"&lt;&gt;"&amp;""))</f>
        <v/>
      </c>
      <c r="Q439" s="170" t="str">
        <f>IFERROR(INDEX(Başvuru!$C$2:$C$1851,MATCH(434,Başvuru!$AB$2:$AB$1851,0)),"")</f>
        <v/>
      </c>
      <c r="R439" s="171" t="str">
        <f>IF(Q439="","",COUNTIFS(Başvuru!$C:$C,Q439,Başvuru!$A:$A,"&lt;&gt;"&amp;"",Başvuru!$F:$F,"&lt;&gt;"&amp;""))</f>
        <v/>
      </c>
      <c r="S439" s="171" t="str">
        <f>IF(R439="","",RANK(R439,$R$6:$R$505,0)+COUNTIF($R$6:R439,R439)-1)</f>
        <v/>
      </c>
    </row>
    <row r="440" spans="2:19" ht="23.25" customHeight="1" x14ac:dyDescent="0.25">
      <c r="B440" s="159">
        <v>435</v>
      </c>
      <c r="C440" s="160" t="str">
        <f>IFERROR(INDEX($Q$6:$Q$505,MATCH(435,$S$6:$S$505,0)),"")</f>
        <v/>
      </c>
      <c r="D440" s="161" t="str">
        <f>IF(C440="","",COUNTIFS(Başvuru!$C:$C,C440,Başvuru!$A:$A,"&lt;&gt;"&amp;"",Başvuru!$F:$F,"&lt;&gt;"&amp;""))</f>
        <v/>
      </c>
      <c r="E440" s="159" t="str">
        <f>IF(C440="","-",IF(D440&gt;0,TEXT(D440/(COUNTIFS(Başvuru!$A:$A,"&lt;&gt;",Başvuru!$F:$F,"&lt;&gt;")-1)*100,"0.0")&amp;"%","-"))</f>
        <v>-</v>
      </c>
      <c r="F440" s="162" t="str">
        <f>IF(C440="","",COUNTIFS(Başvuru!$C:$C,C440,Başvuru!$G:$G,"Bireysel Araştırma",Başvuru!$A:$A,"&lt;&gt;"&amp;"",Başvuru!$F:$F,"&lt;&gt;"&amp;""))</f>
        <v/>
      </c>
      <c r="G440" s="162" t="str">
        <f>IF(C440="","",COUNTIFS(Başvuru!$C:$C,C440,Başvuru!$G:$G,"Uzmanlık Tezi",Başvuru!$A:$A,"&lt;&gt;"&amp;"",Başvuru!$F:$F,"&lt;&gt;"&amp;""))</f>
        <v/>
      </c>
      <c r="H440" s="162" t="str">
        <f>IF(C440="","",COUNTIFS(Başvuru!$C:$C,C440,Başvuru!$G:$G,"Doktora Tezi",Başvuru!$A:$A,"&lt;&gt;"&amp;"",Başvuru!$F:$F,"&lt;&gt;"&amp;""))</f>
        <v/>
      </c>
      <c r="I440" s="162" t="str">
        <f>IF(C440="","",COUNTIFS(Başvuru!$C:$C,C440,Başvuru!$G:$G,"Yüksek Lisans Tezi",Başvuru!$A:$A,"&lt;&gt;"&amp;"",Başvuru!$F:$F,"&lt;&gt;"&amp;""))</f>
        <v/>
      </c>
      <c r="J440" s="163" t="str">
        <f>IF(C440="","",COUNTIFS(Başvuru!$C:$C,C440,Başvuru!$L:$L,"ONAY",Başvuru!$A:$A,"&lt;&gt;"&amp;"",Başvuru!$F:$F,"&lt;&gt;"&amp;""))</f>
        <v/>
      </c>
      <c r="K440" s="164" t="str">
        <f>IF(C440="","",COUNTIFS(Başvuru!$C:$C,C440,Başvuru!$L:$L,"DÜZELTME",Başvuru!$A:$A,"&lt;&gt;"&amp;"",Başvuru!$F:$F,"&lt;&gt;"&amp;""))</f>
        <v/>
      </c>
      <c r="L440" s="165" t="str">
        <f>IF(C440="","",COUNTIFS(Başvuru!$C:$C,C440,Başvuru!$L:$L,"KAEK",Başvuru!$A:$A,"&lt;&gt;"&amp;"",Başvuru!$F:$F,"&lt;&gt;"&amp;""))</f>
        <v/>
      </c>
      <c r="M440" s="166" t="str">
        <f>IF(C440="","",COUNTIFS(Başvuru!$C:$C,C440,Başvuru!$L:$L,"GÖRÜŞ",Başvuru!$A:$A,"&lt;&gt;"&amp;"",Başvuru!$F:$F,"&lt;&gt;"&amp;""))</f>
        <v/>
      </c>
      <c r="N440" s="167" t="str">
        <f>IF(C440="","",COUNTIFS(Başvuru!$C:$C,C440,Başvuru!$L:$L,"RET",Başvuru!$A:$A,"&lt;&gt;"&amp;"",Başvuru!$F:$F,"&lt;&gt;"&amp;""))</f>
        <v/>
      </c>
      <c r="O440" s="168" t="str">
        <f>IF(C440="","",COUNTIFS(Başvuru!$C:$C,C440,Başvuru!$L:$L,"KAPSAM DIŞI",Başvuru!$A:$A,"&lt;&gt;"&amp;"",Başvuru!$F:$F,"&lt;&gt;"&amp;""))</f>
        <v/>
      </c>
      <c r="P440" s="169" t="str">
        <f>IF(C440="","",COUNTIFS(Başvuru!$C:$C,C440,Başvuru!$L:$L,"GERİ ÇEKİLDİ",Başvuru!$A:$A,"&lt;&gt;"&amp;"",Başvuru!$F:$F,"&lt;&gt;"&amp;""))</f>
        <v/>
      </c>
      <c r="Q440" s="170" t="str">
        <f>IFERROR(INDEX(Başvuru!$C$2:$C$1851,MATCH(435,Başvuru!$AB$2:$AB$1851,0)),"")</f>
        <v/>
      </c>
      <c r="R440" s="171" t="str">
        <f>IF(Q440="","",COUNTIFS(Başvuru!$C:$C,Q440,Başvuru!$A:$A,"&lt;&gt;"&amp;"",Başvuru!$F:$F,"&lt;&gt;"&amp;""))</f>
        <v/>
      </c>
      <c r="S440" s="171" t="str">
        <f>IF(R440="","",RANK(R440,$R$6:$R$505,0)+COUNTIF($R$6:R440,R440)-1)</f>
        <v/>
      </c>
    </row>
    <row r="441" spans="2:19" ht="23.25" customHeight="1" x14ac:dyDescent="0.25">
      <c r="B441" s="159">
        <v>436</v>
      </c>
      <c r="C441" s="160" t="str">
        <f>IFERROR(INDEX($Q$6:$Q$505,MATCH(436,$S$6:$S$505,0)),"")</f>
        <v/>
      </c>
      <c r="D441" s="161" t="str">
        <f>IF(C441="","",COUNTIFS(Başvuru!$C:$C,C441,Başvuru!$A:$A,"&lt;&gt;"&amp;"",Başvuru!$F:$F,"&lt;&gt;"&amp;""))</f>
        <v/>
      </c>
      <c r="E441" s="159" t="str">
        <f>IF(C441="","-",IF(D441&gt;0,TEXT(D441/(COUNTIFS(Başvuru!$A:$A,"&lt;&gt;",Başvuru!$F:$F,"&lt;&gt;")-1)*100,"0.0")&amp;"%","-"))</f>
        <v>-</v>
      </c>
      <c r="F441" s="162" t="str">
        <f>IF(C441="","",COUNTIFS(Başvuru!$C:$C,C441,Başvuru!$G:$G,"Bireysel Araştırma",Başvuru!$A:$A,"&lt;&gt;"&amp;"",Başvuru!$F:$F,"&lt;&gt;"&amp;""))</f>
        <v/>
      </c>
      <c r="G441" s="162" t="str">
        <f>IF(C441="","",COUNTIFS(Başvuru!$C:$C,C441,Başvuru!$G:$G,"Uzmanlık Tezi",Başvuru!$A:$A,"&lt;&gt;"&amp;"",Başvuru!$F:$F,"&lt;&gt;"&amp;""))</f>
        <v/>
      </c>
      <c r="H441" s="162" t="str">
        <f>IF(C441="","",COUNTIFS(Başvuru!$C:$C,C441,Başvuru!$G:$G,"Doktora Tezi",Başvuru!$A:$A,"&lt;&gt;"&amp;"",Başvuru!$F:$F,"&lt;&gt;"&amp;""))</f>
        <v/>
      </c>
      <c r="I441" s="162" t="str">
        <f>IF(C441="","",COUNTIFS(Başvuru!$C:$C,C441,Başvuru!$G:$G,"Yüksek Lisans Tezi",Başvuru!$A:$A,"&lt;&gt;"&amp;"",Başvuru!$F:$F,"&lt;&gt;"&amp;""))</f>
        <v/>
      </c>
      <c r="J441" s="163" t="str">
        <f>IF(C441="","",COUNTIFS(Başvuru!$C:$C,C441,Başvuru!$L:$L,"ONAY",Başvuru!$A:$A,"&lt;&gt;"&amp;"",Başvuru!$F:$F,"&lt;&gt;"&amp;""))</f>
        <v/>
      </c>
      <c r="K441" s="164" t="str">
        <f>IF(C441="","",COUNTIFS(Başvuru!$C:$C,C441,Başvuru!$L:$L,"DÜZELTME",Başvuru!$A:$A,"&lt;&gt;"&amp;"",Başvuru!$F:$F,"&lt;&gt;"&amp;""))</f>
        <v/>
      </c>
      <c r="L441" s="165" t="str">
        <f>IF(C441="","",COUNTIFS(Başvuru!$C:$C,C441,Başvuru!$L:$L,"KAEK",Başvuru!$A:$A,"&lt;&gt;"&amp;"",Başvuru!$F:$F,"&lt;&gt;"&amp;""))</f>
        <v/>
      </c>
      <c r="M441" s="166" t="str">
        <f>IF(C441="","",COUNTIFS(Başvuru!$C:$C,C441,Başvuru!$L:$L,"GÖRÜŞ",Başvuru!$A:$A,"&lt;&gt;"&amp;"",Başvuru!$F:$F,"&lt;&gt;"&amp;""))</f>
        <v/>
      </c>
      <c r="N441" s="167" t="str">
        <f>IF(C441="","",COUNTIFS(Başvuru!$C:$C,C441,Başvuru!$L:$L,"RET",Başvuru!$A:$A,"&lt;&gt;"&amp;"",Başvuru!$F:$F,"&lt;&gt;"&amp;""))</f>
        <v/>
      </c>
      <c r="O441" s="168" t="str">
        <f>IF(C441="","",COUNTIFS(Başvuru!$C:$C,C441,Başvuru!$L:$L,"KAPSAM DIŞI",Başvuru!$A:$A,"&lt;&gt;"&amp;"",Başvuru!$F:$F,"&lt;&gt;"&amp;""))</f>
        <v/>
      </c>
      <c r="P441" s="169" t="str">
        <f>IF(C441="","",COUNTIFS(Başvuru!$C:$C,C441,Başvuru!$L:$L,"GERİ ÇEKİLDİ",Başvuru!$A:$A,"&lt;&gt;"&amp;"",Başvuru!$F:$F,"&lt;&gt;"&amp;""))</f>
        <v/>
      </c>
      <c r="Q441" s="170" t="str">
        <f>IFERROR(INDEX(Başvuru!$C$2:$C$1851,MATCH(436,Başvuru!$AB$2:$AB$1851,0)),"")</f>
        <v/>
      </c>
      <c r="R441" s="171" t="str">
        <f>IF(Q441="","",COUNTIFS(Başvuru!$C:$C,Q441,Başvuru!$A:$A,"&lt;&gt;"&amp;"",Başvuru!$F:$F,"&lt;&gt;"&amp;""))</f>
        <v/>
      </c>
      <c r="S441" s="171" t="str">
        <f>IF(R441="","",RANK(R441,$R$6:$R$505,0)+COUNTIF($R$6:R441,R441)-1)</f>
        <v/>
      </c>
    </row>
    <row r="442" spans="2:19" ht="23.25" customHeight="1" x14ac:dyDescent="0.25">
      <c r="B442" s="159">
        <v>437</v>
      </c>
      <c r="C442" s="160" t="str">
        <f>IFERROR(INDEX($Q$6:$Q$505,MATCH(437,$S$6:$S$505,0)),"")</f>
        <v/>
      </c>
      <c r="D442" s="161" t="str">
        <f>IF(C442="","",COUNTIFS(Başvuru!$C:$C,C442,Başvuru!$A:$A,"&lt;&gt;"&amp;"",Başvuru!$F:$F,"&lt;&gt;"&amp;""))</f>
        <v/>
      </c>
      <c r="E442" s="159" t="str">
        <f>IF(C442="","-",IF(D442&gt;0,TEXT(D442/(COUNTIFS(Başvuru!$A:$A,"&lt;&gt;",Başvuru!$F:$F,"&lt;&gt;")-1)*100,"0.0")&amp;"%","-"))</f>
        <v>-</v>
      </c>
      <c r="F442" s="162" t="str">
        <f>IF(C442="","",COUNTIFS(Başvuru!$C:$C,C442,Başvuru!$G:$G,"Bireysel Araştırma",Başvuru!$A:$A,"&lt;&gt;"&amp;"",Başvuru!$F:$F,"&lt;&gt;"&amp;""))</f>
        <v/>
      </c>
      <c r="G442" s="162" t="str">
        <f>IF(C442="","",COUNTIFS(Başvuru!$C:$C,C442,Başvuru!$G:$G,"Uzmanlık Tezi",Başvuru!$A:$A,"&lt;&gt;"&amp;"",Başvuru!$F:$F,"&lt;&gt;"&amp;""))</f>
        <v/>
      </c>
      <c r="H442" s="162" t="str">
        <f>IF(C442="","",COUNTIFS(Başvuru!$C:$C,C442,Başvuru!$G:$G,"Doktora Tezi",Başvuru!$A:$A,"&lt;&gt;"&amp;"",Başvuru!$F:$F,"&lt;&gt;"&amp;""))</f>
        <v/>
      </c>
      <c r="I442" s="162" t="str">
        <f>IF(C442="","",COUNTIFS(Başvuru!$C:$C,C442,Başvuru!$G:$G,"Yüksek Lisans Tezi",Başvuru!$A:$A,"&lt;&gt;"&amp;"",Başvuru!$F:$F,"&lt;&gt;"&amp;""))</f>
        <v/>
      </c>
      <c r="J442" s="163" t="str">
        <f>IF(C442="","",COUNTIFS(Başvuru!$C:$C,C442,Başvuru!$L:$L,"ONAY",Başvuru!$A:$A,"&lt;&gt;"&amp;"",Başvuru!$F:$F,"&lt;&gt;"&amp;""))</f>
        <v/>
      </c>
      <c r="K442" s="164" t="str">
        <f>IF(C442="","",COUNTIFS(Başvuru!$C:$C,C442,Başvuru!$L:$L,"DÜZELTME",Başvuru!$A:$A,"&lt;&gt;"&amp;"",Başvuru!$F:$F,"&lt;&gt;"&amp;""))</f>
        <v/>
      </c>
      <c r="L442" s="165" t="str">
        <f>IF(C442="","",COUNTIFS(Başvuru!$C:$C,C442,Başvuru!$L:$L,"KAEK",Başvuru!$A:$A,"&lt;&gt;"&amp;"",Başvuru!$F:$F,"&lt;&gt;"&amp;""))</f>
        <v/>
      </c>
      <c r="M442" s="166" t="str">
        <f>IF(C442="","",COUNTIFS(Başvuru!$C:$C,C442,Başvuru!$L:$L,"GÖRÜŞ",Başvuru!$A:$A,"&lt;&gt;"&amp;"",Başvuru!$F:$F,"&lt;&gt;"&amp;""))</f>
        <v/>
      </c>
      <c r="N442" s="167" t="str">
        <f>IF(C442="","",COUNTIFS(Başvuru!$C:$C,C442,Başvuru!$L:$L,"RET",Başvuru!$A:$A,"&lt;&gt;"&amp;"",Başvuru!$F:$F,"&lt;&gt;"&amp;""))</f>
        <v/>
      </c>
      <c r="O442" s="168" t="str">
        <f>IF(C442="","",COUNTIFS(Başvuru!$C:$C,C442,Başvuru!$L:$L,"KAPSAM DIŞI",Başvuru!$A:$A,"&lt;&gt;"&amp;"",Başvuru!$F:$F,"&lt;&gt;"&amp;""))</f>
        <v/>
      </c>
      <c r="P442" s="169" t="str">
        <f>IF(C442="","",COUNTIFS(Başvuru!$C:$C,C442,Başvuru!$L:$L,"GERİ ÇEKİLDİ",Başvuru!$A:$A,"&lt;&gt;"&amp;"",Başvuru!$F:$F,"&lt;&gt;"&amp;""))</f>
        <v/>
      </c>
      <c r="Q442" s="170" t="str">
        <f>IFERROR(INDEX(Başvuru!$C$2:$C$1851,MATCH(437,Başvuru!$AB$2:$AB$1851,0)),"")</f>
        <v/>
      </c>
      <c r="R442" s="171" t="str">
        <f>IF(Q442="","",COUNTIFS(Başvuru!$C:$C,Q442,Başvuru!$A:$A,"&lt;&gt;"&amp;"",Başvuru!$F:$F,"&lt;&gt;"&amp;""))</f>
        <v/>
      </c>
      <c r="S442" s="171" t="str">
        <f>IF(R442="","",RANK(R442,$R$6:$R$505,0)+COUNTIF($R$6:R442,R442)-1)</f>
        <v/>
      </c>
    </row>
    <row r="443" spans="2:19" ht="23.25" customHeight="1" x14ac:dyDescent="0.25">
      <c r="B443" s="159">
        <v>438</v>
      </c>
      <c r="C443" s="160" t="str">
        <f>IFERROR(INDEX($Q$6:$Q$505,MATCH(438,$S$6:$S$505,0)),"")</f>
        <v/>
      </c>
      <c r="D443" s="161" t="str">
        <f>IF(C443="","",COUNTIFS(Başvuru!$C:$C,C443,Başvuru!$A:$A,"&lt;&gt;"&amp;"",Başvuru!$F:$F,"&lt;&gt;"&amp;""))</f>
        <v/>
      </c>
      <c r="E443" s="159" t="str">
        <f>IF(C443="","-",IF(D443&gt;0,TEXT(D443/(COUNTIFS(Başvuru!$A:$A,"&lt;&gt;",Başvuru!$F:$F,"&lt;&gt;")-1)*100,"0.0")&amp;"%","-"))</f>
        <v>-</v>
      </c>
      <c r="F443" s="162" t="str">
        <f>IF(C443="","",COUNTIFS(Başvuru!$C:$C,C443,Başvuru!$G:$G,"Bireysel Araştırma",Başvuru!$A:$A,"&lt;&gt;"&amp;"",Başvuru!$F:$F,"&lt;&gt;"&amp;""))</f>
        <v/>
      </c>
      <c r="G443" s="162" t="str">
        <f>IF(C443="","",COUNTIFS(Başvuru!$C:$C,C443,Başvuru!$G:$G,"Uzmanlık Tezi",Başvuru!$A:$A,"&lt;&gt;"&amp;"",Başvuru!$F:$F,"&lt;&gt;"&amp;""))</f>
        <v/>
      </c>
      <c r="H443" s="162" t="str">
        <f>IF(C443="","",COUNTIFS(Başvuru!$C:$C,C443,Başvuru!$G:$G,"Doktora Tezi",Başvuru!$A:$A,"&lt;&gt;"&amp;"",Başvuru!$F:$F,"&lt;&gt;"&amp;""))</f>
        <v/>
      </c>
      <c r="I443" s="162" t="str">
        <f>IF(C443="","",COUNTIFS(Başvuru!$C:$C,C443,Başvuru!$G:$G,"Yüksek Lisans Tezi",Başvuru!$A:$A,"&lt;&gt;"&amp;"",Başvuru!$F:$F,"&lt;&gt;"&amp;""))</f>
        <v/>
      </c>
      <c r="J443" s="163" t="str">
        <f>IF(C443="","",COUNTIFS(Başvuru!$C:$C,C443,Başvuru!$L:$L,"ONAY",Başvuru!$A:$A,"&lt;&gt;"&amp;"",Başvuru!$F:$F,"&lt;&gt;"&amp;""))</f>
        <v/>
      </c>
      <c r="K443" s="164" t="str">
        <f>IF(C443="","",COUNTIFS(Başvuru!$C:$C,C443,Başvuru!$L:$L,"DÜZELTME",Başvuru!$A:$A,"&lt;&gt;"&amp;"",Başvuru!$F:$F,"&lt;&gt;"&amp;""))</f>
        <v/>
      </c>
      <c r="L443" s="165" t="str">
        <f>IF(C443="","",COUNTIFS(Başvuru!$C:$C,C443,Başvuru!$L:$L,"KAEK",Başvuru!$A:$A,"&lt;&gt;"&amp;"",Başvuru!$F:$F,"&lt;&gt;"&amp;""))</f>
        <v/>
      </c>
      <c r="M443" s="166" t="str">
        <f>IF(C443="","",COUNTIFS(Başvuru!$C:$C,C443,Başvuru!$L:$L,"GÖRÜŞ",Başvuru!$A:$A,"&lt;&gt;"&amp;"",Başvuru!$F:$F,"&lt;&gt;"&amp;""))</f>
        <v/>
      </c>
      <c r="N443" s="167" t="str">
        <f>IF(C443="","",COUNTIFS(Başvuru!$C:$C,C443,Başvuru!$L:$L,"RET",Başvuru!$A:$A,"&lt;&gt;"&amp;"",Başvuru!$F:$F,"&lt;&gt;"&amp;""))</f>
        <v/>
      </c>
      <c r="O443" s="168" t="str">
        <f>IF(C443="","",COUNTIFS(Başvuru!$C:$C,C443,Başvuru!$L:$L,"KAPSAM DIŞI",Başvuru!$A:$A,"&lt;&gt;"&amp;"",Başvuru!$F:$F,"&lt;&gt;"&amp;""))</f>
        <v/>
      </c>
      <c r="P443" s="169" t="str">
        <f>IF(C443="","",COUNTIFS(Başvuru!$C:$C,C443,Başvuru!$L:$L,"GERİ ÇEKİLDİ",Başvuru!$A:$A,"&lt;&gt;"&amp;"",Başvuru!$F:$F,"&lt;&gt;"&amp;""))</f>
        <v/>
      </c>
      <c r="Q443" s="170" t="str">
        <f>IFERROR(INDEX(Başvuru!$C$2:$C$1851,MATCH(438,Başvuru!$AB$2:$AB$1851,0)),"")</f>
        <v/>
      </c>
      <c r="R443" s="171" t="str">
        <f>IF(Q443="","",COUNTIFS(Başvuru!$C:$C,Q443,Başvuru!$A:$A,"&lt;&gt;"&amp;"",Başvuru!$F:$F,"&lt;&gt;"&amp;""))</f>
        <v/>
      </c>
      <c r="S443" s="171" t="str">
        <f>IF(R443="","",RANK(R443,$R$6:$R$505,0)+COUNTIF($R$6:R443,R443)-1)</f>
        <v/>
      </c>
    </row>
    <row r="444" spans="2:19" ht="23.25" customHeight="1" x14ac:dyDescent="0.25">
      <c r="B444" s="159">
        <v>439</v>
      </c>
      <c r="C444" s="160" t="str">
        <f>IFERROR(INDEX($Q$6:$Q$505,MATCH(439,$S$6:$S$505,0)),"")</f>
        <v/>
      </c>
      <c r="D444" s="161" t="str">
        <f>IF(C444="","",COUNTIFS(Başvuru!$C:$C,C444,Başvuru!$A:$A,"&lt;&gt;"&amp;"",Başvuru!$F:$F,"&lt;&gt;"&amp;""))</f>
        <v/>
      </c>
      <c r="E444" s="159" t="str">
        <f>IF(C444="","-",IF(D444&gt;0,TEXT(D444/(COUNTIFS(Başvuru!$A:$A,"&lt;&gt;",Başvuru!$F:$F,"&lt;&gt;")-1)*100,"0.0")&amp;"%","-"))</f>
        <v>-</v>
      </c>
      <c r="F444" s="162" t="str">
        <f>IF(C444="","",COUNTIFS(Başvuru!$C:$C,C444,Başvuru!$G:$G,"Bireysel Araştırma",Başvuru!$A:$A,"&lt;&gt;"&amp;"",Başvuru!$F:$F,"&lt;&gt;"&amp;""))</f>
        <v/>
      </c>
      <c r="G444" s="162" t="str">
        <f>IF(C444="","",COUNTIFS(Başvuru!$C:$C,C444,Başvuru!$G:$G,"Uzmanlık Tezi",Başvuru!$A:$A,"&lt;&gt;"&amp;"",Başvuru!$F:$F,"&lt;&gt;"&amp;""))</f>
        <v/>
      </c>
      <c r="H444" s="162" t="str">
        <f>IF(C444="","",COUNTIFS(Başvuru!$C:$C,C444,Başvuru!$G:$G,"Doktora Tezi",Başvuru!$A:$A,"&lt;&gt;"&amp;"",Başvuru!$F:$F,"&lt;&gt;"&amp;""))</f>
        <v/>
      </c>
      <c r="I444" s="162" t="str">
        <f>IF(C444="","",COUNTIFS(Başvuru!$C:$C,C444,Başvuru!$G:$G,"Yüksek Lisans Tezi",Başvuru!$A:$A,"&lt;&gt;"&amp;"",Başvuru!$F:$F,"&lt;&gt;"&amp;""))</f>
        <v/>
      </c>
      <c r="J444" s="163" t="str">
        <f>IF(C444="","",COUNTIFS(Başvuru!$C:$C,C444,Başvuru!$L:$L,"ONAY",Başvuru!$A:$A,"&lt;&gt;"&amp;"",Başvuru!$F:$F,"&lt;&gt;"&amp;""))</f>
        <v/>
      </c>
      <c r="K444" s="164" t="str">
        <f>IF(C444="","",COUNTIFS(Başvuru!$C:$C,C444,Başvuru!$L:$L,"DÜZELTME",Başvuru!$A:$A,"&lt;&gt;"&amp;"",Başvuru!$F:$F,"&lt;&gt;"&amp;""))</f>
        <v/>
      </c>
      <c r="L444" s="165" t="str">
        <f>IF(C444="","",COUNTIFS(Başvuru!$C:$C,C444,Başvuru!$L:$L,"KAEK",Başvuru!$A:$A,"&lt;&gt;"&amp;"",Başvuru!$F:$F,"&lt;&gt;"&amp;""))</f>
        <v/>
      </c>
      <c r="M444" s="166" t="str">
        <f>IF(C444="","",COUNTIFS(Başvuru!$C:$C,C444,Başvuru!$L:$L,"GÖRÜŞ",Başvuru!$A:$A,"&lt;&gt;"&amp;"",Başvuru!$F:$F,"&lt;&gt;"&amp;""))</f>
        <v/>
      </c>
      <c r="N444" s="167" t="str">
        <f>IF(C444="","",COUNTIFS(Başvuru!$C:$C,C444,Başvuru!$L:$L,"RET",Başvuru!$A:$A,"&lt;&gt;"&amp;"",Başvuru!$F:$F,"&lt;&gt;"&amp;""))</f>
        <v/>
      </c>
      <c r="O444" s="168" t="str">
        <f>IF(C444="","",COUNTIFS(Başvuru!$C:$C,C444,Başvuru!$L:$L,"KAPSAM DIŞI",Başvuru!$A:$A,"&lt;&gt;"&amp;"",Başvuru!$F:$F,"&lt;&gt;"&amp;""))</f>
        <v/>
      </c>
      <c r="P444" s="169" t="str">
        <f>IF(C444="","",COUNTIFS(Başvuru!$C:$C,C444,Başvuru!$L:$L,"GERİ ÇEKİLDİ",Başvuru!$A:$A,"&lt;&gt;"&amp;"",Başvuru!$F:$F,"&lt;&gt;"&amp;""))</f>
        <v/>
      </c>
      <c r="Q444" s="170" t="str">
        <f>IFERROR(INDEX(Başvuru!$C$2:$C$1851,MATCH(439,Başvuru!$AB$2:$AB$1851,0)),"")</f>
        <v/>
      </c>
      <c r="R444" s="171" t="str">
        <f>IF(Q444="","",COUNTIFS(Başvuru!$C:$C,Q444,Başvuru!$A:$A,"&lt;&gt;"&amp;"",Başvuru!$F:$F,"&lt;&gt;"&amp;""))</f>
        <v/>
      </c>
      <c r="S444" s="171" t="str">
        <f>IF(R444="","",RANK(R444,$R$6:$R$505,0)+COUNTIF($R$6:R444,R444)-1)</f>
        <v/>
      </c>
    </row>
    <row r="445" spans="2:19" ht="23.25" customHeight="1" x14ac:dyDescent="0.25">
      <c r="B445" s="159">
        <v>440</v>
      </c>
      <c r="C445" s="160" t="str">
        <f>IFERROR(INDEX($Q$6:$Q$505,MATCH(440,$S$6:$S$505,0)),"")</f>
        <v/>
      </c>
      <c r="D445" s="161" t="str">
        <f>IF(C445="","",COUNTIFS(Başvuru!$C:$C,C445,Başvuru!$A:$A,"&lt;&gt;"&amp;"",Başvuru!$F:$F,"&lt;&gt;"&amp;""))</f>
        <v/>
      </c>
      <c r="E445" s="159" t="str">
        <f>IF(C445="","-",IF(D445&gt;0,TEXT(D445/(COUNTIFS(Başvuru!$A:$A,"&lt;&gt;",Başvuru!$F:$F,"&lt;&gt;")-1)*100,"0.0")&amp;"%","-"))</f>
        <v>-</v>
      </c>
      <c r="F445" s="162" t="str">
        <f>IF(C445="","",COUNTIFS(Başvuru!$C:$C,C445,Başvuru!$G:$G,"Bireysel Araştırma",Başvuru!$A:$A,"&lt;&gt;"&amp;"",Başvuru!$F:$F,"&lt;&gt;"&amp;""))</f>
        <v/>
      </c>
      <c r="G445" s="162" t="str">
        <f>IF(C445="","",COUNTIFS(Başvuru!$C:$C,C445,Başvuru!$G:$G,"Uzmanlık Tezi",Başvuru!$A:$A,"&lt;&gt;"&amp;"",Başvuru!$F:$F,"&lt;&gt;"&amp;""))</f>
        <v/>
      </c>
      <c r="H445" s="162" t="str">
        <f>IF(C445="","",COUNTIFS(Başvuru!$C:$C,C445,Başvuru!$G:$G,"Doktora Tezi",Başvuru!$A:$A,"&lt;&gt;"&amp;"",Başvuru!$F:$F,"&lt;&gt;"&amp;""))</f>
        <v/>
      </c>
      <c r="I445" s="162" t="str">
        <f>IF(C445="","",COUNTIFS(Başvuru!$C:$C,C445,Başvuru!$G:$G,"Yüksek Lisans Tezi",Başvuru!$A:$A,"&lt;&gt;"&amp;"",Başvuru!$F:$F,"&lt;&gt;"&amp;""))</f>
        <v/>
      </c>
      <c r="J445" s="163" t="str">
        <f>IF(C445="","",COUNTIFS(Başvuru!$C:$C,C445,Başvuru!$L:$L,"ONAY",Başvuru!$A:$A,"&lt;&gt;"&amp;"",Başvuru!$F:$F,"&lt;&gt;"&amp;""))</f>
        <v/>
      </c>
      <c r="K445" s="164" t="str">
        <f>IF(C445="","",COUNTIFS(Başvuru!$C:$C,C445,Başvuru!$L:$L,"DÜZELTME",Başvuru!$A:$A,"&lt;&gt;"&amp;"",Başvuru!$F:$F,"&lt;&gt;"&amp;""))</f>
        <v/>
      </c>
      <c r="L445" s="165" t="str">
        <f>IF(C445="","",COUNTIFS(Başvuru!$C:$C,C445,Başvuru!$L:$L,"KAEK",Başvuru!$A:$A,"&lt;&gt;"&amp;"",Başvuru!$F:$F,"&lt;&gt;"&amp;""))</f>
        <v/>
      </c>
      <c r="M445" s="166" t="str">
        <f>IF(C445="","",COUNTIFS(Başvuru!$C:$C,C445,Başvuru!$L:$L,"GÖRÜŞ",Başvuru!$A:$A,"&lt;&gt;"&amp;"",Başvuru!$F:$F,"&lt;&gt;"&amp;""))</f>
        <v/>
      </c>
      <c r="N445" s="167" t="str">
        <f>IF(C445="","",COUNTIFS(Başvuru!$C:$C,C445,Başvuru!$L:$L,"RET",Başvuru!$A:$A,"&lt;&gt;"&amp;"",Başvuru!$F:$F,"&lt;&gt;"&amp;""))</f>
        <v/>
      </c>
      <c r="O445" s="168" t="str">
        <f>IF(C445="","",COUNTIFS(Başvuru!$C:$C,C445,Başvuru!$L:$L,"KAPSAM DIŞI",Başvuru!$A:$A,"&lt;&gt;"&amp;"",Başvuru!$F:$F,"&lt;&gt;"&amp;""))</f>
        <v/>
      </c>
      <c r="P445" s="169" t="str">
        <f>IF(C445="","",COUNTIFS(Başvuru!$C:$C,C445,Başvuru!$L:$L,"GERİ ÇEKİLDİ",Başvuru!$A:$A,"&lt;&gt;"&amp;"",Başvuru!$F:$F,"&lt;&gt;"&amp;""))</f>
        <v/>
      </c>
      <c r="Q445" s="170" t="str">
        <f>IFERROR(INDEX(Başvuru!$C$2:$C$1851,MATCH(440,Başvuru!$AB$2:$AB$1851,0)),"")</f>
        <v/>
      </c>
      <c r="R445" s="171" t="str">
        <f>IF(Q445="","",COUNTIFS(Başvuru!$C:$C,Q445,Başvuru!$A:$A,"&lt;&gt;"&amp;"",Başvuru!$F:$F,"&lt;&gt;"&amp;""))</f>
        <v/>
      </c>
      <c r="S445" s="171" t="str">
        <f>IF(R445="","",RANK(R445,$R$6:$R$505,0)+COUNTIF($R$6:R445,R445)-1)</f>
        <v/>
      </c>
    </row>
    <row r="446" spans="2:19" ht="23.25" customHeight="1" x14ac:dyDescent="0.25">
      <c r="B446" s="159">
        <v>441</v>
      </c>
      <c r="C446" s="160" t="str">
        <f>IFERROR(INDEX($Q$6:$Q$505,MATCH(441,$S$6:$S$505,0)),"")</f>
        <v/>
      </c>
      <c r="D446" s="161" t="str">
        <f>IF(C446="","",COUNTIFS(Başvuru!$C:$C,C446,Başvuru!$A:$A,"&lt;&gt;"&amp;"",Başvuru!$F:$F,"&lt;&gt;"&amp;""))</f>
        <v/>
      </c>
      <c r="E446" s="159" t="str">
        <f>IF(C446="","-",IF(D446&gt;0,TEXT(D446/(COUNTIFS(Başvuru!$A:$A,"&lt;&gt;",Başvuru!$F:$F,"&lt;&gt;")-1)*100,"0.0")&amp;"%","-"))</f>
        <v>-</v>
      </c>
      <c r="F446" s="162" t="str">
        <f>IF(C446="","",COUNTIFS(Başvuru!$C:$C,C446,Başvuru!$G:$G,"Bireysel Araştırma",Başvuru!$A:$A,"&lt;&gt;"&amp;"",Başvuru!$F:$F,"&lt;&gt;"&amp;""))</f>
        <v/>
      </c>
      <c r="G446" s="162" t="str">
        <f>IF(C446="","",COUNTIFS(Başvuru!$C:$C,C446,Başvuru!$G:$G,"Uzmanlık Tezi",Başvuru!$A:$A,"&lt;&gt;"&amp;"",Başvuru!$F:$F,"&lt;&gt;"&amp;""))</f>
        <v/>
      </c>
      <c r="H446" s="162" t="str">
        <f>IF(C446="","",COUNTIFS(Başvuru!$C:$C,C446,Başvuru!$G:$G,"Doktora Tezi",Başvuru!$A:$A,"&lt;&gt;"&amp;"",Başvuru!$F:$F,"&lt;&gt;"&amp;""))</f>
        <v/>
      </c>
      <c r="I446" s="162" t="str">
        <f>IF(C446="","",COUNTIFS(Başvuru!$C:$C,C446,Başvuru!$G:$G,"Yüksek Lisans Tezi",Başvuru!$A:$A,"&lt;&gt;"&amp;"",Başvuru!$F:$F,"&lt;&gt;"&amp;""))</f>
        <v/>
      </c>
      <c r="J446" s="163" t="str">
        <f>IF(C446="","",COUNTIFS(Başvuru!$C:$C,C446,Başvuru!$L:$L,"ONAY",Başvuru!$A:$A,"&lt;&gt;"&amp;"",Başvuru!$F:$F,"&lt;&gt;"&amp;""))</f>
        <v/>
      </c>
      <c r="K446" s="164" t="str">
        <f>IF(C446="","",COUNTIFS(Başvuru!$C:$C,C446,Başvuru!$L:$L,"DÜZELTME",Başvuru!$A:$A,"&lt;&gt;"&amp;"",Başvuru!$F:$F,"&lt;&gt;"&amp;""))</f>
        <v/>
      </c>
      <c r="L446" s="165" t="str">
        <f>IF(C446="","",COUNTIFS(Başvuru!$C:$C,C446,Başvuru!$L:$L,"KAEK",Başvuru!$A:$A,"&lt;&gt;"&amp;"",Başvuru!$F:$F,"&lt;&gt;"&amp;""))</f>
        <v/>
      </c>
      <c r="M446" s="166" t="str">
        <f>IF(C446="","",COUNTIFS(Başvuru!$C:$C,C446,Başvuru!$L:$L,"GÖRÜŞ",Başvuru!$A:$A,"&lt;&gt;"&amp;"",Başvuru!$F:$F,"&lt;&gt;"&amp;""))</f>
        <v/>
      </c>
      <c r="N446" s="167" t="str">
        <f>IF(C446="","",COUNTIFS(Başvuru!$C:$C,C446,Başvuru!$L:$L,"RET",Başvuru!$A:$A,"&lt;&gt;"&amp;"",Başvuru!$F:$F,"&lt;&gt;"&amp;""))</f>
        <v/>
      </c>
      <c r="O446" s="168" t="str">
        <f>IF(C446="","",COUNTIFS(Başvuru!$C:$C,C446,Başvuru!$L:$L,"KAPSAM DIŞI",Başvuru!$A:$A,"&lt;&gt;"&amp;"",Başvuru!$F:$F,"&lt;&gt;"&amp;""))</f>
        <v/>
      </c>
      <c r="P446" s="169" t="str">
        <f>IF(C446="","",COUNTIFS(Başvuru!$C:$C,C446,Başvuru!$L:$L,"GERİ ÇEKİLDİ",Başvuru!$A:$A,"&lt;&gt;"&amp;"",Başvuru!$F:$F,"&lt;&gt;"&amp;""))</f>
        <v/>
      </c>
      <c r="Q446" s="170" t="str">
        <f>IFERROR(INDEX(Başvuru!$C$2:$C$1851,MATCH(441,Başvuru!$AB$2:$AB$1851,0)),"")</f>
        <v/>
      </c>
      <c r="R446" s="171" t="str">
        <f>IF(Q446="","",COUNTIFS(Başvuru!$C:$C,Q446,Başvuru!$A:$A,"&lt;&gt;"&amp;"",Başvuru!$F:$F,"&lt;&gt;"&amp;""))</f>
        <v/>
      </c>
      <c r="S446" s="171" t="str">
        <f>IF(R446="","",RANK(R446,$R$6:$R$505,0)+COUNTIF($R$6:R446,R446)-1)</f>
        <v/>
      </c>
    </row>
    <row r="447" spans="2:19" ht="23.25" customHeight="1" x14ac:dyDescent="0.25">
      <c r="B447" s="159">
        <v>442</v>
      </c>
      <c r="C447" s="160" t="str">
        <f>IFERROR(INDEX($Q$6:$Q$505,MATCH(442,$S$6:$S$505,0)),"")</f>
        <v/>
      </c>
      <c r="D447" s="161" t="str">
        <f>IF(C447="","",COUNTIFS(Başvuru!$C:$C,C447,Başvuru!$A:$A,"&lt;&gt;"&amp;"",Başvuru!$F:$F,"&lt;&gt;"&amp;""))</f>
        <v/>
      </c>
      <c r="E447" s="159" t="str">
        <f>IF(C447="","-",IF(D447&gt;0,TEXT(D447/(COUNTIFS(Başvuru!$A:$A,"&lt;&gt;",Başvuru!$F:$F,"&lt;&gt;")-1)*100,"0.0")&amp;"%","-"))</f>
        <v>-</v>
      </c>
      <c r="F447" s="162" t="str">
        <f>IF(C447="","",COUNTIFS(Başvuru!$C:$C,C447,Başvuru!$G:$G,"Bireysel Araştırma",Başvuru!$A:$A,"&lt;&gt;"&amp;"",Başvuru!$F:$F,"&lt;&gt;"&amp;""))</f>
        <v/>
      </c>
      <c r="G447" s="162" t="str">
        <f>IF(C447="","",COUNTIFS(Başvuru!$C:$C,C447,Başvuru!$G:$G,"Uzmanlık Tezi",Başvuru!$A:$A,"&lt;&gt;"&amp;"",Başvuru!$F:$F,"&lt;&gt;"&amp;""))</f>
        <v/>
      </c>
      <c r="H447" s="162" t="str">
        <f>IF(C447="","",COUNTIFS(Başvuru!$C:$C,C447,Başvuru!$G:$G,"Doktora Tezi",Başvuru!$A:$A,"&lt;&gt;"&amp;"",Başvuru!$F:$F,"&lt;&gt;"&amp;""))</f>
        <v/>
      </c>
      <c r="I447" s="162" t="str">
        <f>IF(C447="","",COUNTIFS(Başvuru!$C:$C,C447,Başvuru!$G:$G,"Yüksek Lisans Tezi",Başvuru!$A:$A,"&lt;&gt;"&amp;"",Başvuru!$F:$F,"&lt;&gt;"&amp;""))</f>
        <v/>
      </c>
      <c r="J447" s="163" t="str">
        <f>IF(C447="","",COUNTIFS(Başvuru!$C:$C,C447,Başvuru!$L:$L,"ONAY",Başvuru!$A:$A,"&lt;&gt;"&amp;"",Başvuru!$F:$F,"&lt;&gt;"&amp;""))</f>
        <v/>
      </c>
      <c r="K447" s="164" t="str">
        <f>IF(C447="","",COUNTIFS(Başvuru!$C:$C,C447,Başvuru!$L:$L,"DÜZELTME",Başvuru!$A:$A,"&lt;&gt;"&amp;"",Başvuru!$F:$F,"&lt;&gt;"&amp;""))</f>
        <v/>
      </c>
      <c r="L447" s="165" t="str">
        <f>IF(C447="","",COUNTIFS(Başvuru!$C:$C,C447,Başvuru!$L:$L,"KAEK",Başvuru!$A:$A,"&lt;&gt;"&amp;"",Başvuru!$F:$F,"&lt;&gt;"&amp;""))</f>
        <v/>
      </c>
      <c r="M447" s="166" t="str">
        <f>IF(C447="","",COUNTIFS(Başvuru!$C:$C,C447,Başvuru!$L:$L,"GÖRÜŞ",Başvuru!$A:$A,"&lt;&gt;"&amp;"",Başvuru!$F:$F,"&lt;&gt;"&amp;""))</f>
        <v/>
      </c>
      <c r="N447" s="167" t="str">
        <f>IF(C447="","",COUNTIFS(Başvuru!$C:$C,C447,Başvuru!$L:$L,"RET",Başvuru!$A:$A,"&lt;&gt;"&amp;"",Başvuru!$F:$F,"&lt;&gt;"&amp;""))</f>
        <v/>
      </c>
      <c r="O447" s="168" t="str">
        <f>IF(C447="","",COUNTIFS(Başvuru!$C:$C,C447,Başvuru!$L:$L,"KAPSAM DIŞI",Başvuru!$A:$A,"&lt;&gt;"&amp;"",Başvuru!$F:$F,"&lt;&gt;"&amp;""))</f>
        <v/>
      </c>
      <c r="P447" s="169" t="str">
        <f>IF(C447="","",COUNTIFS(Başvuru!$C:$C,C447,Başvuru!$L:$L,"GERİ ÇEKİLDİ",Başvuru!$A:$A,"&lt;&gt;"&amp;"",Başvuru!$F:$F,"&lt;&gt;"&amp;""))</f>
        <v/>
      </c>
      <c r="Q447" s="170" t="str">
        <f>IFERROR(INDEX(Başvuru!$C$2:$C$1851,MATCH(442,Başvuru!$AB$2:$AB$1851,0)),"")</f>
        <v/>
      </c>
      <c r="R447" s="171" t="str">
        <f>IF(Q447="","",COUNTIFS(Başvuru!$C:$C,Q447,Başvuru!$A:$A,"&lt;&gt;"&amp;"",Başvuru!$F:$F,"&lt;&gt;"&amp;""))</f>
        <v/>
      </c>
      <c r="S447" s="171" t="str">
        <f>IF(R447="","",RANK(R447,$R$6:$R$505,0)+COUNTIF($R$6:R447,R447)-1)</f>
        <v/>
      </c>
    </row>
    <row r="448" spans="2:19" ht="23.25" customHeight="1" x14ac:dyDescent="0.25">
      <c r="B448" s="159">
        <v>443</v>
      </c>
      <c r="C448" s="160" t="str">
        <f>IFERROR(INDEX($Q$6:$Q$505,MATCH(443,$S$6:$S$505,0)),"")</f>
        <v/>
      </c>
      <c r="D448" s="161" t="str">
        <f>IF(C448="","",COUNTIFS(Başvuru!$C:$C,C448,Başvuru!$A:$A,"&lt;&gt;"&amp;"",Başvuru!$F:$F,"&lt;&gt;"&amp;""))</f>
        <v/>
      </c>
      <c r="E448" s="159" t="str">
        <f>IF(C448="","-",IF(D448&gt;0,TEXT(D448/(COUNTIFS(Başvuru!$A:$A,"&lt;&gt;",Başvuru!$F:$F,"&lt;&gt;")-1)*100,"0.0")&amp;"%","-"))</f>
        <v>-</v>
      </c>
      <c r="F448" s="162" t="str">
        <f>IF(C448="","",COUNTIFS(Başvuru!$C:$C,C448,Başvuru!$G:$G,"Bireysel Araştırma",Başvuru!$A:$A,"&lt;&gt;"&amp;"",Başvuru!$F:$F,"&lt;&gt;"&amp;""))</f>
        <v/>
      </c>
      <c r="G448" s="162" t="str">
        <f>IF(C448="","",COUNTIFS(Başvuru!$C:$C,C448,Başvuru!$G:$G,"Uzmanlık Tezi",Başvuru!$A:$A,"&lt;&gt;"&amp;"",Başvuru!$F:$F,"&lt;&gt;"&amp;""))</f>
        <v/>
      </c>
      <c r="H448" s="162" t="str">
        <f>IF(C448="","",COUNTIFS(Başvuru!$C:$C,C448,Başvuru!$G:$G,"Doktora Tezi",Başvuru!$A:$A,"&lt;&gt;"&amp;"",Başvuru!$F:$F,"&lt;&gt;"&amp;""))</f>
        <v/>
      </c>
      <c r="I448" s="162" t="str">
        <f>IF(C448="","",COUNTIFS(Başvuru!$C:$C,C448,Başvuru!$G:$G,"Yüksek Lisans Tezi",Başvuru!$A:$A,"&lt;&gt;"&amp;"",Başvuru!$F:$F,"&lt;&gt;"&amp;""))</f>
        <v/>
      </c>
      <c r="J448" s="163" t="str">
        <f>IF(C448="","",COUNTIFS(Başvuru!$C:$C,C448,Başvuru!$L:$L,"ONAY",Başvuru!$A:$A,"&lt;&gt;"&amp;"",Başvuru!$F:$F,"&lt;&gt;"&amp;""))</f>
        <v/>
      </c>
      <c r="K448" s="164" t="str">
        <f>IF(C448="","",COUNTIFS(Başvuru!$C:$C,C448,Başvuru!$L:$L,"DÜZELTME",Başvuru!$A:$A,"&lt;&gt;"&amp;"",Başvuru!$F:$F,"&lt;&gt;"&amp;""))</f>
        <v/>
      </c>
      <c r="L448" s="165" t="str">
        <f>IF(C448="","",COUNTIFS(Başvuru!$C:$C,C448,Başvuru!$L:$L,"KAEK",Başvuru!$A:$A,"&lt;&gt;"&amp;"",Başvuru!$F:$F,"&lt;&gt;"&amp;""))</f>
        <v/>
      </c>
      <c r="M448" s="166" t="str">
        <f>IF(C448="","",COUNTIFS(Başvuru!$C:$C,C448,Başvuru!$L:$L,"GÖRÜŞ",Başvuru!$A:$A,"&lt;&gt;"&amp;"",Başvuru!$F:$F,"&lt;&gt;"&amp;""))</f>
        <v/>
      </c>
      <c r="N448" s="167" t="str">
        <f>IF(C448="","",COUNTIFS(Başvuru!$C:$C,C448,Başvuru!$L:$L,"RET",Başvuru!$A:$A,"&lt;&gt;"&amp;"",Başvuru!$F:$F,"&lt;&gt;"&amp;""))</f>
        <v/>
      </c>
      <c r="O448" s="168" t="str">
        <f>IF(C448="","",COUNTIFS(Başvuru!$C:$C,C448,Başvuru!$L:$L,"KAPSAM DIŞI",Başvuru!$A:$A,"&lt;&gt;"&amp;"",Başvuru!$F:$F,"&lt;&gt;"&amp;""))</f>
        <v/>
      </c>
      <c r="P448" s="169" t="str">
        <f>IF(C448="","",COUNTIFS(Başvuru!$C:$C,C448,Başvuru!$L:$L,"GERİ ÇEKİLDİ",Başvuru!$A:$A,"&lt;&gt;"&amp;"",Başvuru!$F:$F,"&lt;&gt;"&amp;""))</f>
        <v/>
      </c>
      <c r="Q448" s="170" t="str">
        <f>IFERROR(INDEX(Başvuru!$C$2:$C$1851,MATCH(443,Başvuru!$AB$2:$AB$1851,0)),"")</f>
        <v/>
      </c>
      <c r="R448" s="171" t="str">
        <f>IF(Q448="","",COUNTIFS(Başvuru!$C:$C,Q448,Başvuru!$A:$A,"&lt;&gt;"&amp;"",Başvuru!$F:$F,"&lt;&gt;"&amp;""))</f>
        <v/>
      </c>
      <c r="S448" s="171" t="str">
        <f>IF(R448="","",RANK(R448,$R$6:$R$505,0)+COUNTIF($R$6:R448,R448)-1)</f>
        <v/>
      </c>
    </row>
    <row r="449" spans="2:19" ht="23.25" customHeight="1" x14ac:dyDescent="0.25">
      <c r="B449" s="159">
        <v>444</v>
      </c>
      <c r="C449" s="160" t="str">
        <f>IFERROR(INDEX($Q$6:$Q$505,MATCH(444,$S$6:$S$505,0)),"")</f>
        <v/>
      </c>
      <c r="D449" s="161" t="str">
        <f>IF(C449="","",COUNTIFS(Başvuru!$C:$C,C449,Başvuru!$A:$A,"&lt;&gt;"&amp;"",Başvuru!$F:$F,"&lt;&gt;"&amp;""))</f>
        <v/>
      </c>
      <c r="E449" s="159" t="str">
        <f>IF(C449="","-",IF(D449&gt;0,TEXT(D449/(COUNTIFS(Başvuru!$A:$A,"&lt;&gt;",Başvuru!$F:$F,"&lt;&gt;")-1)*100,"0.0")&amp;"%","-"))</f>
        <v>-</v>
      </c>
      <c r="F449" s="162" t="str">
        <f>IF(C449="","",COUNTIFS(Başvuru!$C:$C,C449,Başvuru!$G:$G,"Bireysel Araştırma",Başvuru!$A:$A,"&lt;&gt;"&amp;"",Başvuru!$F:$F,"&lt;&gt;"&amp;""))</f>
        <v/>
      </c>
      <c r="G449" s="162" t="str">
        <f>IF(C449="","",COUNTIFS(Başvuru!$C:$C,C449,Başvuru!$G:$G,"Uzmanlık Tezi",Başvuru!$A:$A,"&lt;&gt;"&amp;"",Başvuru!$F:$F,"&lt;&gt;"&amp;""))</f>
        <v/>
      </c>
      <c r="H449" s="162" t="str">
        <f>IF(C449="","",COUNTIFS(Başvuru!$C:$C,C449,Başvuru!$G:$G,"Doktora Tezi",Başvuru!$A:$A,"&lt;&gt;"&amp;"",Başvuru!$F:$F,"&lt;&gt;"&amp;""))</f>
        <v/>
      </c>
      <c r="I449" s="162" t="str">
        <f>IF(C449="","",COUNTIFS(Başvuru!$C:$C,C449,Başvuru!$G:$G,"Yüksek Lisans Tezi",Başvuru!$A:$A,"&lt;&gt;"&amp;"",Başvuru!$F:$F,"&lt;&gt;"&amp;""))</f>
        <v/>
      </c>
      <c r="J449" s="163" t="str">
        <f>IF(C449="","",COUNTIFS(Başvuru!$C:$C,C449,Başvuru!$L:$L,"ONAY",Başvuru!$A:$A,"&lt;&gt;"&amp;"",Başvuru!$F:$F,"&lt;&gt;"&amp;""))</f>
        <v/>
      </c>
      <c r="K449" s="164" t="str">
        <f>IF(C449="","",COUNTIFS(Başvuru!$C:$C,C449,Başvuru!$L:$L,"DÜZELTME",Başvuru!$A:$A,"&lt;&gt;"&amp;"",Başvuru!$F:$F,"&lt;&gt;"&amp;""))</f>
        <v/>
      </c>
      <c r="L449" s="165" t="str">
        <f>IF(C449="","",COUNTIFS(Başvuru!$C:$C,C449,Başvuru!$L:$L,"KAEK",Başvuru!$A:$A,"&lt;&gt;"&amp;"",Başvuru!$F:$F,"&lt;&gt;"&amp;""))</f>
        <v/>
      </c>
      <c r="M449" s="166" t="str">
        <f>IF(C449="","",COUNTIFS(Başvuru!$C:$C,C449,Başvuru!$L:$L,"GÖRÜŞ",Başvuru!$A:$A,"&lt;&gt;"&amp;"",Başvuru!$F:$F,"&lt;&gt;"&amp;""))</f>
        <v/>
      </c>
      <c r="N449" s="167" t="str">
        <f>IF(C449="","",COUNTIFS(Başvuru!$C:$C,C449,Başvuru!$L:$L,"RET",Başvuru!$A:$A,"&lt;&gt;"&amp;"",Başvuru!$F:$F,"&lt;&gt;"&amp;""))</f>
        <v/>
      </c>
      <c r="O449" s="168" t="str">
        <f>IF(C449="","",COUNTIFS(Başvuru!$C:$C,C449,Başvuru!$L:$L,"KAPSAM DIŞI",Başvuru!$A:$A,"&lt;&gt;"&amp;"",Başvuru!$F:$F,"&lt;&gt;"&amp;""))</f>
        <v/>
      </c>
      <c r="P449" s="169" t="str">
        <f>IF(C449="","",COUNTIFS(Başvuru!$C:$C,C449,Başvuru!$L:$L,"GERİ ÇEKİLDİ",Başvuru!$A:$A,"&lt;&gt;"&amp;"",Başvuru!$F:$F,"&lt;&gt;"&amp;""))</f>
        <v/>
      </c>
      <c r="Q449" s="170" t="str">
        <f>IFERROR(INDEX(Başvuru!$C$2:$C$1851,MATCH(444,Başvuru!$AB$2:$AB$1851,0)),"")</f>
        <v/>
      </c>
      <c r="R449" s="171" t="str">
        <f>IF(Q449="","",COUNTIFS(Başvuru!$C:$C,Q449,Başvuru!$A:$A,"&lt;&gt;"&amp;"",Başvuru!$F:$F,"&lt;&gt;"&amp;""))</f>
        <v/>
      </c>
      <c r="S449" s="171" t="str">
        <f>IF(R449="","",RANK(R449,$R$6:$R$505,0)+COUNTIF($R$6:R449,R449)-1)</f>
        <v/>
      </c>
    </row>
    <row r="450" spans="2:19" ht="23.25" customHeight="1" x14ac:dyDescent="0.25">
      <c r="B450" s="159">
        <v>445</v>
      </c>
      <c r="C450" s="160" t="str">
        <f>IFERROR(INDEX($Q$6:$Q$505,MATCH(445,$S$6:$S$505,0)),"")</f>
        <v/>
      </c>
      <c r="D450" s="161" t="str">
        <f>IF(C450="","",COUNTIFS(Başvuru!$C:$C,C450,Başvuru!$A:$A,"&lt;&gt;"&amp;"",Başvuru!$F:$F,"&lt;&gt;"&amp;""))</f>
        <v/>
      </c>
      <c r="E450" s="159" t="str">
        <f>IF(C450="","-",IF(D450&gt;0,TEXT(D450/(COUNTIFS(Başvuru!$A:$A,"&lt;&gt;",Başvuru!$F:$F,"&lt;&gt;")-1)*100,"0.0")&amp;"%","-"))</f>
        <v>-</v>
      </c>
      <c r="F450" s="162" t="str">
        <f>IF(C450="","",COUNTIFS(Başvuru!$C:$C,C450,Başvuru!$G:$G,"Bireysel Araştırma",Başvuru!$A:$A,"&lt;&gt;"&amp;"",Başvuru!$F:$F,"&lt;&gt;"&amp;""))</f>
        <v/>
      </c>
      <c r="G450" s="162" t="str">
        <f>IF(C450="","",COUNTIFS(Başvuru!$C:$C,C450,Başvuru!$G:$G,"Uzmanlık Tezi",Başvuru!$A:$A,"&lt;&gt;"&amp;"",Başvuru!$F:$F,"&lt;&gt;"&amp;""))</f>
        <v/>
      </c>
      <c r="H450" s="162" t="str">
        <f>IF(C450="","",COUNTIFS(Başvuru!$C:$C,C450,Başvuru!$G:$G,"Doktora Tezi",Başvuru!$A:$A,"&lt;&gt;"&amp;"",Başvuru!$F:$F,"&lt;&gt;"&amp;""))</f>
        <v/>
      </c>
      <c r="I450" s="162" t="str">
        <f>IF(C450="","",COUNTIFS(Başvuru!$C:$C,C450,Başvuru!$G:$G,"Yüksek Lisans Tezi",Başvuru!$A:$A,"&lt;&gt;"&amp;"",Başvuru!$F:$F,"&lt;&gt;"&amp;""))</f>
        <v/>
      </c>
      <c r="J450" s="163" t="str">
        <f>IF(C450="","",COUNTIFS(Başvuru!$C:$C,C450,Başvuru!$L:$L,"ONAY",Başvuru!$A:$A,"&lt;&gt;"&amp;"",Başvuru!$F:$F,"&lt;&gt;"&amp;""))</f>
        <v/>
      </c>
      <c r="K450" s="164" t="str">
        <f>IF(C450="","",COUNTIFS(Başvuru!$C:$C,C450,Başvuru!$L:$L,"DÜZELTME",Başvuru!$A:$A,"&lt;&gt;"&amp;"",Başvuru!$F:$F,"&lt;&gt;"&amp;""))</f>
        <v/>
      </c>
      <c r="L450" s="165" t="str">
        <f>IF(C450="","",COUNTIFS(Başvuru!$C:$C,C450,Başvuru!$L:$L,"KAEK",Başvuru!$A:$A,"&lt;&gt;"&amp;"",Başvuru!$F:$F,"&lt;&gt;"&amp;""))</f>
        <v/>
      </c>
      <c r="M450" s="166" t="str">
        <f>IF(C450="","",COUNTIFS(Başvuru!$C:$C,C450,Başvuru!$L:$L,"GÖRÜŞ",Başvuru!$A:$A,"&lt;&gt;"&amp;"",Başvuru!$F:$F,"&lt;&gt;"&amp;""))</f>
        <v/>
      </c>
      <c r="N450" s="167" t="str">
        <f>IF(C450="","",COUNTIFS(Başvuru!$C:$C,C450,Başvuru!$L:$L,"RET",Başvuru!$A:$A,"&lt;&gt;"&amp;"",Başvuru!$F:$F,"&lt;&gt;"&amp;""))</f>
        <v/>
      </c>
      <c r="O450" s="168" t="str">
        <f>IF(C450="","",COUNTIFS(Başvuru!$C:$C,C450,Başvuru!$L:$L,"KAPSAM DIŞI",Başvuru!$A:$A,"&lt;&gt;"&amp;"",Başvuru!$F:$F,"&lt;&gt;"&amp;""))</f>
        <v/>
      </c>
      <c r="P450" s="169" t="str">
        <f>IF(C450="","",COUNTIFS(Başvuru!$C:$C,C450,Başvuru!$L:$L,"GERİ ÇEKİLDİ",Başvuru!$A:$A,"&lt;&gt;"&amp;"",Başvuru!$F:$F,"&lt;&gt;"&amp;""))</f>
        <v/>
      </c>
      <c r="Q450" s="170" t="str">
        <f>IFERROR(INDEX(Başvuru!$C$2:$C$1851,MATCH(445,Başvuru!$AB$2:$AB$1851,0)),"")</f>
        <v/>
      </c>
      <c r="R450" s="171" t="str">
        <f>IF(Q450="","",COUNTIFS(Başvuru!$C:$C,Q450,Başvuru!$A:$A,"&lt;&gt;"&amp;"",Başvuru!$F:$F,"&lt;&gt;"&amp;""))</f>
        <v/>
      </c>
      <c r="S450" s="171" t="str">
        <f>IF(R450="","",RANK(R450,$R$6:$R$505,0)+COUNTIF($R$6:R450,R450)-1)</f>
        <v/>
      </c>
    </row>
    <row r="451" spans="2:19" ht="23.25" customHeight="1" x14ac:dyDescent="0.25">
      <c r="B451" s="159">
        <v>446</v>
      </c>
      <c r="C451" s="160" t="str">
        <f>IFERROR(INDEX($Q$6:$Q$505,MATCH(446,$S$6:$S$505,0)),"")</f>
        <v/>
      </c>
      <c r="D451" s="161" t="str">
        <f>IF(C451="","",COUNTIFS(Başvuru!$C:$C,C451,Başvuru!$A:$A,"&lt;&gt;"&amp;"",Başvuru!$F:$F,"&lt;&gt;"&amp;""))</f>
        <v/>
      </c>
      <c r="E451" s="159" t="str">
        <f>IF(C451="","-",IF(D451&gt;0,TEXT(D451/(COUNTIFS(Başvuru!$A:$A,"&lt;&gt;",Başvuru!$F:$F,"&lt;&gt;")-1)*100,"0.0")&amp;"%","-"))</f>
        <v>-</v>
      </c>
      <c r="F451" s="162" t="str">
        <f>IF(C451="","",COUNTIFS(Başvuru!$C:$C,C451,Başvuru!$G:$G,"Bireysel Araştırma",Başvuru!$A:$A,"&lt;&gt;"&amp;"",Başvuru!$F:$F,"&lt;&gt;"&amp;""))</f>
        <v/>
      </c>
      <c r="G451" s="162" t="str">
        <f>IF(C451="","",COUNTIFS(Başvuru!$C:$C,C451,Başvuru!$G:$G,"Uzmanlık Tezi",Başvuru!$A:$A,"&lt;&gt;"&amp;"",Başvuru!$F:$F,"&lt;&gt;"&amp;""))</f>
        <v/>
      </c>
      <c r="H451" s="162" t="str">
        <f>IF(C451="","",COUNTIFS(Başvuru!$C:$C,C451,Başvuru!$G:$G,"Doktora Tezi",Başvuru!$A:$A,"&lt;&gt;"&amp;"",Başvuru!$F:$F,"&lt;&gt;"&amp;""))</f>
        <v/>
      </c>
      <c r="I451" s="162" t="str">
        <f>IF(C451="","",COUNTIFS(Başvuru!$C:$C,C451,Başvuru!$G:$G,"Yüksek Lisans Tezi",Başvuru!$A:$A,"&lt;&gt;"&amp;"",Başvuru!$F:$F,"&lt;&gt;"&amp;""))</f>
        <v/>
      </c>
      <c r="J451" s="163" t="str">
        <f>IF(C451="","",COUNTIFS(Başvuru!$C:$C,C451,Başvuru!$L:$L,"ONAY",Başvuru!$A:$A,"&lt;&gt;"&amp;"",Başvuru!$F:$F,"&lt;&gt;"&amp;""))</f>
        <v/>
      </c>
      <c r="K451" s="164" t="str">
        <f>IF(C451="","",COUNTIFS(Başvuru!$C:$C,C451,Başvuru!$L:$L,"DÜZELTME",Başvuru!$A:$A,"&lt;&gt;"&amp;"",Başvuru!$F:$F,"&lt;&gt;"&amp;""))</f>
        <v/>
      </c>
      <c r="L451" s="165" t="str">
        <f>IF(C451="","",COUNTIFS(Başvuru!$C:$C,C451,Başvuru!$L:$L,"KAEK",Başvuru!$A:$A,"&lt;&gt;"&amp;"",Başvuru!$F:$F,"&lt;&gt;"&amp;""))</f>
        <v/>
      </c>
      <c r="M451" s="166" t="str">
        <f>IF(C451="","",COUNTIFS(Başvuru!$C:$C,C451,Başvuru!$L:$L,"GÖRÜŞ",Başvuru!$A:$A,"&lt;&gt;"&amp;"",Başvuru!$F:$F,"&lt;&gt;"&amp;""))</f>
        <v/>
      </c>
      <c r="N451" s="167" t="str">
        <f>IF(C451="","",COUNTIFS(Başvuru!$C:$C,C451,Başvuru!$L:$L,"RET",Başvuru!$A:$A,"&lt;&gt;"&amp;"",Başvuru!$F:$F,"&lt;&gt;"&amp;""))</f>
        <v/>
      </c>
      <c r="O451" s="168" t="str">
        <f>IF(C451="","",COUNTIFS(Başvuru!$C:$C,C451,Başvuru!$L:$L,"KAPSAM DIŞI",Başvuru!$A:$A,"&lt;&gt;"&amp;"",Başvuru!$F:$F,"&lt;&gt;"&amp;""))</f>
        <v/>
      </c>
      <c r="P451" s="169" t="str">
        <f>IF(C451="","",COUNTIFS(Başvuru!$C:$C,C451,Başvuru!$L:$L,"GERİ ÇEKİLDİ",Başvuru!$A:$A,"&lt;&gt;"&amp;"",Başvuru!$F:$F,"&lt;&gt;"&amp;""))</f>
        <v/>
      </c>
      <c r="Q451" s="170" t="str">
        <f>IFERROR(INDEX(Başvuru!$C$2:$C$1851,MATCH(446,Başvuru!$AB$2:$AB$1851,0)),"")</f>
        <v/>
      </c>
      <c r="R451" s="171" t="str">
        <f>IF(Q451="","",COUNTIFS(Başvuru!$C:$C,Q451,Başvuru!$A:$A,"&lt;&gt;"&amp;"",Başvuru!$F:$F,"&lt;&gt;"&amp;""))</f>
        <v/>
      </c>
      <c r="S451" s="171" t="str">
        <f>IF(R451="","",RANK(R451,$R$6:$R$505,0)+COUNTIF($R$6:R451,R451)-1)</f>
        <v/>
      </c>
    </row>
    <row r="452" spans="2:19" ht="23.25" customHeight="1" x14ac:dyDescent="0.25">
      <c r="B452" s="159">
        <v>447</v>
      </c>
      <c r="C452" s="160" t="str">
        <f>IFERROR(INDEX($Q$6:$Q$505,MATCH(447,$S$6:$S$505,0)),"")</f>
        <v/>
      </c>
      <c r="D452" s="161" t="str">
        <f>IF(C452="","",COUNTIFS(Başvuru!$C:$C,C452,Başvuru!$A:$A,"&lt;&gt;"&amp;"",Başvuru!$F:$F,"&lt;&gt;"&amp;""))</f>
        <v/>
      </c>
      <c r="E452" s="159" t="str">
        <f>IF(C452="","-",IF(D452&gt;0,TEXT(D452/(COUNTIFS(Başvuru!$A:$A,"&lt;&gt;",Başvuru!$F:$F,"&lt;&gt;")-1)*100,"0.0")&amp;"%","-"))</f>
        <v>-</v>
      </c>
      <c r="F452" s="162" t="str">
        <f>IF(C452="","",COUNTIFS(Başvuru!$C:$C,C452,Başvuru!$G:$G,"Bireysel Araştırma",Başvuru!$A:$A,"&lt;&gt;"&amp;"",Başvuru!$F:$F,"&lt;&gt;"&amp;""))</f>
        <v/>
      </c>
      <c r="G452" s="162" t="str">
        <f>IF(C452="","",COUNTIFS(Başvuru!$C:$C,C452,Başvuru!$G:$G,"Uzmanlık Tezi",Başvuru!$A:$A,"&lt;&gt;"&amp;"",Başvuru!$F:$F,"&lt;&gt;"&amp;""))</f>
        <v/>
      </c>
      <c r="H452" s="162" t="str">
        <f>IF(C452="","",COUNTIFS(Başvuru!$C:$C,C452,Başvuru!$G:$G,"Doktora Tezi",Başvuru!$A:$A,"&lt;&gt;"&amp;"",Başvuru!$F:$F,"&lt;&gt;"&amp;""))</f>
        <v/>
      </c>
      <c r="I452" s="162" t="str">
        <f>IF(C452="","",COUNTIFS(Başvuru!$C:$C,C452,Başvuru!$G:$G,"Yüksek Lisans Tezi",Başvuru!$A:$A,"&lt;&gt;"&amp;"",Başvuru!$F:$F,"&lt;&gt;"&amp;""))</f>
        <v/>
      </c>
      <c r="J452" s="163" t="str">
        <f>IF(C452="","",COUNTIFS(Başvuru!$C:$C,C452,Başvuru!$L:$L,"ONAY",Başvuru!$A:$A,"&lt;&gt;"&amp;"",Başvuru!$F:$F,"&lt;&gt;"&amp;""))</f>
        <v/>
      </c>
      <c r="K452" s="164" t="str">
        <f>IF(C452="","",COUNTIFS(Başvuru!$C:$C,C452,Başvuru!$L:$L,"DÜZELTME",Başvuru!$A:$A,"&lt;&gt;"&amp;"",Başvuru!$F:$F,"&lt;&gt;"&amp;""))</f>
        <v/>
      </c>
      <c r="L452" s="165" t="str">
        <f>IF(C452="","",COUNTIFS(Başvuru!$C:$C,C452,Başvuru!$L:$L,"KAEK",Başvuru!$A:$A,"&lt;&gt;"&amp;"",Başvuru!$F:$F,"&lt;&gt;"&amp;""))</f>
        <v/>
      </c>
      <c r="M452" s="166" t="str">
        <f>IF(C452="","",COUNTIFS(Başvuru!$C:$C,C452,Başvuru!$L:$L,"GÖRÜŞ",Başvuru!$A:$A,"&lt;&gt;"&amp;"",Başvuru!$F:$F,"&lt;&gt;"&amp;""))</f>
        <v/>
      </c>
      <c r="N452" s="167" t="str">
        <f>IF(C452="","",COUNTIFS(Başvuru!$C:$C,C452,Başvuru!$L:$L,"RET",Başvuru!$A:$A,"&lt;&gt;"&amp;"",Başvuru!$F:$F,"&lt;&gt;"&amp;""))</f>
        <v/>
      </c>
      <c r="O452" s="168" t="str">
        <f>IF(C452="","",COUNTIFS(Başvuru!$C:$C,C452,Başvuru!$L:$L,"KAPSAM DIŞI",Başvuru!$A:$A,"&lt;&gt;"&amp;"",Başvuru!$F:$F,"&lt;&gt;"&amp;""))</f>
        <v/>
      </c>
      <c r="P452" s="169" t="str">
        <f>IF(C452="","",COUNTIFS(Başvuru!$C:$C,C452,Başvuru!$L:$L,"GERİ ÇEKİLDİ",Başvuru!$A:$A,"&lt;&gt;"&amp;"",Başvuru!$F:$F,"&lt;&gt;"&amp;""))</f>
        <v/>
      </c>
      <c r="Q452" s="170" t="str">
        <f>IFERROR(INDEX(Başvuru!$C$2:$C$1851,MATCH(447,Başvuru!$AB$2:$AB$1851,0)),"")</f>
        <v/>
      </c>
      <c r="R452" s="171" t="str">
        <f>IF(Q452="","",COUNTIFS(Başvuru!$C:$C,Q452,Başvuru!$A:$A,"&lt;&gt;"&amp;"",Başvuru!$F:$F,"&lt;&gt;"&amp;""))</f>
        <v/>
      </c>
      <c r="S452" s="171" t="str">
        <f>IF(R452="","",RANK(R452,$R$6:$R$505,0)+COUNTIF($R$6:R452,R452)-1)</f>
        <v/>
      </c>
    </row>
    <row r="453" spans="2:19" ht="23.25" customHeight="1" x14ac:dyDescent="0.25">
      <c r="B453" s="159">
        <v>448</v>
      </c>
      <c r="C453" s="160" t="str">
        <f>IFERROR(INDEX($Q$6:$Q$505,MATCH(448,$S$6:$S$505,0)),"")</f>
        <v/>
      </c>
      <c r="D453" s="161" t="str">
        <f>IF(C453="","",COUNTIFS(Başvuru!$C:$C,C453,Başvuru!$A:$A,"&lt;&gt;"&amp;"",Başvuru!$F:$F,"&lt;&gt;"&amp;""))</f>
        <v/>
      </c>
      <c r="E453" s="159" t="str">
        <f>IF(C453="","-",IF(D453&gt;0,TEXT(D453/(COUNTIFS(Başvuru!$A:$A,"&lt;&gt;",Başvuru!$F:$F,"&lt;&gt;")-1)*100,"0.0")&amp;"%","-"))</f>
        <v>-</v>
      </c>
      <c r="F453" s="162" t="str">
        <f>IF(C453="","",COUNTIFS(Başvuru!$C:$C,C453,Başvuru!$G:$G,"Bireysel Araştırma",Başvuru!$A:$A,"&lt;&gt;"&amp;"",Başvuru!$F:$F,"&lt;&gt;"&amp;""))</f>
        <v/>
      </c>
      <c r="G453" s="162" t="str">
        <f>IF(C453="","",COUNTIFS(Başvuru!$C:$C,C453,Başvuru!$G:$G,"Uzmanlık Tezi",Başvuru!$A:$A,"&lt;&gt;"&amp;"",Başvuru!$F:$F,"&lt;&gt;"&amp;""))</f>
        <v/>
      </c>
      <c r="H453" s="162" t="str">
        <f>IF(C453="","",COUNTIFS(Başvuru!$C:$C,C453,Başvuru!$G:$G,"Doktora Tezi",Başvuru!$A:$A,"&lt;&gt;"&amp;"",Başvuru!$F:$F,"&lt;&gt;"&amp;""))</f>
        <v/>
      </c>
      <c r="I453" s="162" t="str">
        <f>IF(C453="","",COUNTIFS(Başvuru!$C:$C,C453,Başvuru!$G:$G,"Yüksek Lisans Tezi",Başvuru!$A:$A,"&lt;&gt;"&amp;"",Başvuru!$F:$F,"&lt;&gt;"&amp;""))</f>
        <v/>
      </c>
      <c r="J453" s="163" t="str">
        <f>IF(C453="","",COUNTIFS(Başvuru!$C:$C,C453,Başvuru!$L:$L,"ONAY",Başvuru!$A:$A,"&lt;&gt;"&amp;"",Başvuru!$F:$F,"&lt;&gt;"&amp;""))</f>
        <v/>
      </c>
      <c r="K453" s="164" t="str">
        <f>IF(C453="","",COUNTIFS(Başvuru!$C:$C,C453,Başvuru!$L:$L,"DÜZELTME",Başvuru!$A:$A,"&lt;&gt;"&amp;"",Başvuru!$F:$F,"&lt;&gt;"&amp;""))</f>
        <v/>
      </c>
      <c r="L453" s="165" t="str">
        <f>IF(C453="","",COUNTIFS(Başvuru!$C:$C,C453,Başvuru!$L:$L,"KAEK",Başvuru!$A:$A,"&lt;&gt;"&amp;"",Başvuru!$F:$F,"&lt;&gt;"&amp;""))</f>
        <v/>
      </c>
      <c r="M453" s="166" t="str">
        <f>IF(C453="","",COUNTIFS(Başvuru!$C:$C,C453,Başvuru!$L:$L,"GÖRÜŞ",Başvuru!$A:$A,"&lt;&gt;"&amp;"",Başvuru!$F:$F,"&lt;&gt;"&amp;""))</f>
        <v/>
      </c>
      <c r="N453" s="167" t="str">
        <f>IF(C453="","",COUNTIFS(Başvuru!$C:$C,C453,Başvuru!$L:$L,"RET",Başvuru!$A:$A,"&lt;&gt;"&amp;"",Başvuru!$F:$F,"&lt;&gt;"&amp;""))</f>
        <v/>
      </c>
      <c r="O453" s="168" t="str">
        <f>IF(C453="","",COUNTIFS(Başvuru!$C:$C,C453,Başvuru!$L:$L,"KAPSAM DIŞI",Başvuru!$A:$A,"&lt;&gt;"&amp;"",Başvuru!$F:$F,"&lt;&gt;"&amp;""))</f>
        <v/>
      </c>
      <c r="P453" s="169" t="str">
        <f>IF(C453="","",COUNTIFS(Başvuru!$C:$C,C453,Başvuru!$L:$L,"GERİ ÇEKİLDİ",Başvuru!$A:$A,"&lt;&gt;"&amp;"",Başvuru!$F:$F,"&lt;&gt;"&amp;""))</f>
        <v/>
      </c>
      <c r="Q453" s="170" t="str">
        <f>IFERROR(INDEX(Başvuru!$C$2:$C$1851,MATCH(448,Başvuru!$AB$2:$AB$1851,0)),"")</f>
        <v/>
      </c>
      <c r="R453" s="171" t="str">
        <f>IF(Q453="","",COUNTIFS(Başvuru!$C:$C,Q453,Başvuru!$A:$A,"&lt;&gt;"&amp;"",Başvuru!$F:$F,"&lt;&gt;"&amp;""))</f>
        <v/>
      </c>
      <c r="S453" s="171" t="str">
        <f>IF(R453="","",RANK(R453,$R$6:$R$505,0)+COUNTIF($R$6:R453,R453)-1)</f>
        <v/>
      </c>
    </row>
    <row r="454" spans="2:19" ht="23.25" customHeight="1" x14ac:dyDescent="0.25">
      <c r="B454" s="159">
        <v>449</v>
      </c>
      <c r="C454" s="160" t="str">
        <f>IFERROR(INDEX($Q$6:$Q$505,MATCH(449,$S$6:$S$505,0)),"")</f>
        <v/>
      </c>
      <c r="D454" s="161" t="str">
        <f>IF(C454="","",COUNTIFS(Başvuru!$C:$C,C454,Başvuru!$A:$A,"&lt;&gt;"&amp;"",Başvuru!$F:$F,"&lt;&gt;"&amp;""))</f>
        <v/>
      </c>
      <c r="E454" s="159" t="str">
        <f>IF(C454="","-",IF(D454&gt;0,TEXT(D454/(COUNTIFS(Başvuru!$A:$A,"&lt;&gt;",Başvuru!$F:$F,"&lt;&gt;")-1)*100,"0.0")&amp;"%","-"))</f>
        <v>-</v>
      </c>
      <c r="F454" s="162" t="str">
        <f>IF(C454="","",COUNTIFS(Başvuru!$C:$C,C454,Başvuru!$G:$G,"Bireysel Araştırma",Başvuru!$A:$A,"&lt;&gt;"&amp;"",Başvuru!$F:$F,"&lt;&gt;"&amp;""))</f>
        <v/>
      </c>
      <c r="G454" s="162" t="str">
        <f>IF(C454="","",COUNTIFS(Başvuru!$C:$C,C454,Başvuru!$G:$G,"Uzmanlık Tezi",Başvuru!$A:$A,"&lt;&gt;"&amp;"",Başvuru!$F:$F,"&lt;&gt;"&amp;""))</f>
        <v/>
      </c>
      <c r="H454" s="162" t="str">
        <f>IF(C454="","",COUNTIFS(Başvuru!$C:$C,C454,Başvuru!$G:$G,"Doktora Tezi",Başvuru!$A:$A,"&lt;&gt;"&amp;"",Başvuru!$F:$F,"&lt;&gt;"&amp;""))</f>
        <v/>
      </c>
      <c r="I454" s="162" t="str">
        <f>IF(C454="","",COUNTIFS(Başvuru!$C:$C,C454,Başvuru!$G:$G,"Yüksek Lisans Tezi",Başvuru!$A:$A,"&lt;&gt;"&amp;"",Başvuru!$F:$F,"&lt;&gt;"&amp;""))</f>
        <v/>
      </c>
      <c r="J454" s="163" t="str">
        <f>IF(C454="","",COUNTIFS(Başvuru!$C:$C,C454,Başvuru!$L:$L,"ONAY",Başvuru!$A:$A,"&lt;&gt;"&amp;"",Başvuru!$F:$F,"&lt;&gt;"&amp;""))</f>
        <v/>
      </c>
      <c r="K454" s="164" t="str">
        <f>IF(C454="","",COUNTIFS(Başvuru!$C:$C,C454,Başvuru!$L:$L,"DÜZELTME",Başvuru!$A:$A,"&lt;&gt;"&amp;"",Başvuru!$F:$F,"&lt;&gt;"&amp;""))</f>
        <v/>
      </c>
      <c r="L454" s="165" t="str">
        <f>IF(C454="","",COUNTIFS(Başvuru!$C:$C,C454,Başvuru!$L:$L,"KAEK",Başvuru!$A:$A,"&lt;&gt;"&amp;"",Başvuru!$F:$F,"&lt;&gt;"&amp;""))</f>
        <v/>
      </c>
      <c r="M454" s="166" t="str">
        <f>IF(C454="","",COUNTIFS(Başvuru!$C:$C,C454,Başvuru!$L:$L,"GÖRÜŞ",Başvuru!$A:$A,"&lt;&gt;"&amp;"",Başvuru!$F:$F,"&lt;&gt;"&amp;""))</f>
        <v/>
      </c>
      <c r="N454" s="167" t="str">
        <f>IF(C454="","",COUNTIFS(Başvuru!$C:$C,C454,Başvuru!$L:$L,"RET",Başvuru!$A:$A,"&lt;&gt;"&amp;"",Başvuru!$F:$F,"&lt;&gt;"&amp;""))</f>
        <v/>
      </c>
      <c r="O454" s="168" t="str">
        <f>IF(C454="","",COUNTIFS(Başvuru!$C:$C,C454,Başvuru!$L:$L,"KAPSAM DIŞI",Başvuru!$A:$A,"&lt;&gt;"&amp;"",Başvuru!$F:$F,"&lt;&gt;"&amp;""))</f>
        <v/>
      </c>
      <c r="P454" s="169" t="str">
        <f>IF(C454="","",COUNTIFS(Başvuru!$C:$C,C454,Başvuru!$L:$L,"GERİ ÇEKİLDİ",Başvuru!$A:$A,"&lt;&gt;"&amp;"",Başvuru!$F:$F,"&lt;&gt;"&amp;""))</f>
        <v/>
      </c>
      <c r="Q454" s="170" t="str">
        <f>IFERROR(INDEX(Başvuru!$C$2:$C$1851,MATCH(449,Başvuru!$AB$2:$AB$1851,0)),"")</f>
        <v/>
      </c>
      <c r="R454" s="171" t="str">
        <f>IF(Q454="","",COUNTIFS(Başvuru!$C:$C,Q454,Başvuru!$A:$A,"&lt;&gt;"&amp;"",Başvuru!$F:$F,"&lt;&gt;"&amp;""))</f>
        <v/>
      </c>
      <c r="S454" s="171" t="str">
        <f>IF(R454="","",RANK(R454,$R$6:$R$505,0)+COUNTIF($R$6:R454,R454)-1)</f>
        <v/>
      </c>
    </row>
    <row r="455" spans="2:19" ht="23.25" customHeight="1" x14ac:dyDescent="0.25">
      <c r="B455" s="159">
        <v>450</v>
      </c>
      <c r="C455" s="160" t="str">
        <f>IFERROR(INDEX($Q$6:$Q$505,MATCH(450,$S$6:$S$505,0)),"")</f>
        <v/>
      </c>
      <c r="D455" s="161" t="str">
        <f>IF(C455="","",COUNTIFS(Başvuru!$C:$C,C455,Başvuru!$A:$A,"&lt;&gt;"&amp;"",Başvuru!$F:$F,"&lt;&gt;"&amp;""))</f>
        <v/>
      </c>
      <c r="E455" s="159" t="str">
        <f>IF(C455="","-",IF(D455&gt;0,TEXT(D455/(COUNTIFS(Başvuru!$A:$A,"&lt;&gt;",Başvuru!$F:$F,"&lt;&gt;")-1)*100,"0.0")&amp;"%","-"))</f>
        <v>-</v>
      </c>
      <c r="F455" s="162" t="str">
        <f>IF(C455="","",COUNTIFS(Başvuru!$C:$C,C455,Başvuru!$G:$G,"Bireysel Araştırma",Başvuru!$A:$A,"&lt;&gt;"&amp;"",Başvuru!$F:$F,"&lt;&gt;"&amp;""))</f>
        <v/>
      </c>
      <c r="G455" s="162" t="str">
        <f>IF(C455="","",COUNTIFS(Başvuru!$C:$C,C455,Başvuru!$G:$G,"Uzmanlık Tezi",Başvuru!$A:$A,"&lt;&gt;"&amp;"",Başvuru!$F:$F,"&lt;&gt;"&amp;""))</f>
        <v/>
      </c>
      <c r="H455" s="162" t="str">
        <f>IF(C455="","",COUNTIFS(Başvuru!$C:$C,C455,Başvuru!$G:$G,"Doktora Tezi",Başvuru!$A:$A,"&lt;&gt;"&amp;"",Başvuru!$F:$F,"&lt;&gt;"&amp;""))</f>
        <v/>
      </c>
      <c r="I455" s="162" t="str">
        <f>IF(C455="","",COUNTIFS(Başvuru!$C:$C,C455,Başvuru!$G:$G,"Yüksek Lisans Tezi",Başvuru!$A:$A,"&lt;&gt;"&amp;"",Başvuru!$F:$F,"&lt;&gt;"&amp;""))</f>
        <v/>
      </c>
      <c r="J455" s="163" t="str">
        <f>IF(C455="","",COUNTIFS(Başvuru!$C:$C,C455,Başvuru!$L:$L,"ONAY",Başvuru!$A:$A,"&lt;&gt;"&amp;"",Başvuru!$F:$F,"&lt;&gt;"&amp;""))</f>
        <v/>
      </c>
      <c r="K455" s="164" t="str">
        <f>IF(C455="","",COUNTIFS(Başvuru!$C:$C,C455,Başvuru!$L:$L,"DÜZELTME",Başvuru!$A:$A,"&lt;&gt;"&amp;"",Başvuru!$F:$F,"&lt;&gt;"&amp;""))</f>
        <v/>
      </c>
      <c r="L455" s="165" t="str">
        <f>IF(C455="","",COUNTIFS(Başvuru!$C:$C,C455,Başvuru!$L:$L,"KAEK",Başvuru!$A:$A,"&lt;&gt;"&amp;"",Başvuru!$F:$F,"&lt;&gt;"&amp;""))</f>
        <v/>
      </c>
      <c r="M455" s="166" t="str">
        <f>IF(C455="","",COUNTIFS(Başvuru!$C:$C,C455,Başvuru!$L:$L,"GÖRÜŞ",Başvuru!$A:$A,"&lt;&gt;"&amp;"",Başvuru!$F:$F,"&lt;&gt;"&amp;""))</f>
        <v/>
      </c>
      <c r="N455" s="167" t="str">
        <f>IF(C455="","",COUNTIFS(Başvuru!$C:$C,C455,Başvuru!$L:$L,"RET",Başvuru!$A:$A,"&lt;&gt;"&amp;"",Başvuru!$F:$F,"&lt;&gt;"&amp;""))</f>
        <v/>
      </c>
      <c r="O455" s="168" t="str">
        <f>IF(C455="","",COUNTIFS(Başvuru!$C:$C,C455,Başvuru!$L:$L,"KAPSAM DIŞI",Başvuru!$A:$A,"&lt;&gt;"&amp;"",Başvuru!$F:$F,"&lt;&gt;"&amp;""))</f>
        <v/>
      </c>
      <c r="P455" s="169" t="str">
        <f>IF(C455="","",COUNTIFS(Başvuru!$C:$C,C455,Başvuru!$L:$L,"GERİ ÇEKİLDİ",Başvuru!$A:$A,"&lt;&gt;"&amp;"",Başvuru!$F:$F,"&lt;&gt;"&amp;""))</f>
        <v/>
      </c>
      <c r="Q455" s="170" t="str">
        <f>IFERROR(INDEX(Başvuru!$C$2:$C$1851,MATCH(450,Başvuru!$AB$2:$AB$1851,0)),"")</f>
        <v/>
      </c>
      <c r="R455" s="171" t="str">
        <f>IF(Q455="","",COUNTIFS(Başvuru!$C:$C,Q455,Başvuru!$A:$A,"&lt;&gt;"&amp;"",Başvuru!$F:$F,"&lt;&gt;"&amp;""))</f>
        <v/>
      </c>
      <c r="S455" s="171" t="str">
        <f>IF(R455="","",RANK(R455,$R$6:$R$505,0)+COUNTIF($R$6:R455,R455)-1)</f>
        <v/>
      </c>
    </row>
    <row r="456" spans="2:19" ht="23.25" customHeight="1" x14ac:dyDescent="0.25">
      <c r="B456" s="159">
        <v>451</v>
      </c>
      <c r="C456" s="160" t="str">
        <f>IFERROR(INDEX($Q$6:$Q$505,MATCH(451,$S$6:$S$505,0)),"")</f>
        <v/>
      </c>
      <c r="D456" s="161" t="str">
        <f>IF(C456="","",COUNTIFS(Başvuru!$C:$C,C456,Başvuru!$A:$A,"&lt;&gt;"&amp;"",Başvuru!$F:$F,"&lt;&gt;"&amp;""))</f>
        <v/>
      </c>
      <c r="E456" s="159" t="str">
        <f>IF(C456="","-",IF(D456&gt;0,TEXT(D456/(COUNTIFS(Başvuru!$A:$A,"&lt;&gt;",Başvuru!$F:$F,"&lt;&gt;")-1)*100,"0.0")&amp;"%","-"))</f>
        <v>-</v>
      </c>
      <c r="F456" s="162" t="str">
        <f>IF(C456="","",COUNTIFS(Başvuru!$C:$C,C456,Başvuru!$G:$G,"Bireysel Araştırma",Başvuru!$A:$A,"&lt;&gt;"&amp;"",Başvuru!$F:$F,"&lt;&gt;"&amp;""))</f>
        <v/>
      </c>
      <c r="G456" s="162" t="str">
        <f>IF(C456="","",COUNTIFS(Başvuru!$C:$C,C456,Başvuru!$G:$G,"Uzmanlık Tezi",Başvuru!$A:$A,"&lt;&gt;"&amp;"",Başvuru!$F:$F,"&lt;&gt;"&amp;""))</f>
        <v/>
      </c>
      <c r="H456" s="162" t="str">
        <f>IF(C456="","",COUNTIFS(Başvuru!$C:$C,C456,Başvuru!$G:$G,"Doktora Tezi",Başvuru!$A:$A,"&lt;&gt;"&amp;"",Başvuru!$F:$F,"&lt;&gt;"&amp;""))</f>
        <v/>
      </c>
      <c r="I456" s="162" t="str">
        <f>IF(C456="","",COUNTIFS(Başvuru!$C:$C,C456,Başvuru!$G:$G,"Yüksek Lisans Tezi",Başvuru!$A:$A,"&lt;&gt;"&amp;"",Başvuru!$F:$F,"&lt;&gt;"&amp;""))</f>
        <v/>
      </c>
      <c r="J456" s="163" t="str">
        <f>IF(C456="","",COUNTIFS(Başvuru!$C:$C,C456,Başvuru!$L:$L,"ONAY",Başvuru!$A:$A,"&lt;&gt;"&amp;"",Başvuru!$F:$F,"&lt;&gt;"&amp;""))</f>
        <v/>
      </c>
      <c r="K456" s="164" t="str">
        <f>IF(C456="","",COUNTIFS(Başvuru!$C:$C,C456,Başvuru!$L:$L,"DÜZELTME",Başvuru!$A:$A,"&lt;&gt;"&amp;"",Başvuru!$F:$F,"&lt;&gt;"&amp;""))</f>
        <v/>
      </c>
      <c r="L456" s="165" t="str">
        <f>IF(C456="","",COUNTIFS(Başvuru!$C:$C,C456,Başvuru!$L:$L,"KAEK",Başvuru!$A:$A,"&lt;&gt;"&amp;"",Başvuru!$F:$F,"&lt;&gt;"&amp;""))</f>
        <v/>
      </c>
      <c r="M456" s="166" t="str">
        <f>IF(C456="","",COUNTIFS(Başvuru!$C:$C,C456,Başvuru!$L:$L,"GÖRÜŞ",Başvuru!$A:$A,"&lt;&gt;"&amp;"",Başvuru!$F:$F,"&lt;&gt;"&amp;""))</f>
        <v/>
      </c>
      <c r="N456" s="167" t="str">
        <f>IF(C456="","",COUNTIFS(Başvuru!$C:$C,C456,Başvuru!$L:$L,"RET",Başvuru!$A:$A,"&lt;&gt;"&amp;"",Başvuru!$F:$F,"&lt;&gt;"&amp;""))</f>
        <v/>
      </c>
      <c r="O456" s="168" t="str">
        <f>IF(C456="","",COUNTIFS(Başvuru!$C:$C,C456,Başvuru!$L:$L,"KAPSAM DIŞI",Başvuru!$A:$A,"&lt;&gt;"&amp;"",Başvuru!$F:$F,"&lt;&gt;"&amp;""))</f>
        <v/>
      </c>
      <c r="P456" s="169" t="str">
        <f>IF(C456="","",COUNTIFS(Başvuru!$C:$C,C456,Başvuru!$L:$L,"GERİ ÇEKİLDİ",Başvuru!$A:$A,"&lt;&gt;"&amp;"",Başvuru!$F:$F,"&lt;&gt;"&amp;""))</f>
        <v/>
      </c>
      <c r="Q456" s="170" t="str">
        <f>IFERROR(INDEX(Başvuru!$C$2:$C$1851,MATCH(451,Başvuru!$AB$2:$AB$1851,0)),"")</f>
        <v/>
      </c>
      <c r="R456" s="171" t="str">
        <f>IF(Q456="","",COUNTIFS(Başvuru!$C:$C,Q456,Başvuru!$A:$A,"&lt;&gt;"&amp;"",Başvuru!$F:$F,"&lt;&gt;"&amp;""))</f>
        <v/>
      </c>
      <c r="S456" s="171" t="str">
        <f>IF(R456="","",RANK(R456,$R$6:$R$505,0)+COUNTIF($R$6:R456,R456)-1)</f>
        <v/>
      </c>
    </row>
    <row r="457" spans="2:19" ht="23.25" customHeight="1" x14ac:dyDescent="0.25">
      <c r="B457" s="159">
        <v>452</v>
      </c>
      <c r="C457" s="160" t="str">
        <f>IFERROR(INDEX($Q$6:$Q$505,MATCH(452,$S$6:$S$505,0)),"")</f>
        <v/>
      </c>
      <c r="D457" s="161" t="str">
        <f>IF(C457="","",COUNTIFS(Başvuru!$C:$C,C457,Başvuru!$A:$A,"&lt;&gt;"&amp;"",Başvuru!$F:$F,"&lt;&gt;"&amp;""))</f>
        <v/>
      </c>
      <c r="E457" s="159" t="str">
        <f>IF(C457="","-",IF(D457&gt;0,TEXT(D457/(COUNTIFS(Başvuru!$A:$A,"&lt;&gt;",Başvuru!$F:$F,"&lt;&gt;")-1)*100,"0.0")&amp;"%","-"))</f>
        <v>-</v>
      </c>
      <c r="F457" s="162" t="str">
        <f>IF(C457="","",COUNTIFS(Başvuru!$C:$C,C457,Başvuru!$G:$G,"Bireysel Araştırma",Başvuru!$A:$A,"&lt;&gt;"&amp;"",Başvuru!$F:$F,"&lt;&gt;"&amp;""))</f>
        <v/>
      </c>
      <c r="G457" s="162" t="str">
        <f>IF(C457="","",COUNTIFS(Başvuru!$C:$C,C457,Başvuru!$G:$G,"Uzmanlık Tezi",Başvuru!$A:$A,"&lt;&gt;"&amp;"",Başvuru!$F:$F,"&lt;&gt;"&amp;""))</f>
        <v/>
      </c>
      <c r="H457" s="162" t="str">
        <f>IF(C457="","",COUNTIFS(Başvuru!$C:$C,C457,Başvuru!$G:$G,"Doktora Tezi",Başvuru!$A:$A,"&lt;&gt;"&amp;"",Başvuru!$F:$F,"&lt;&gt;"&amp;""))</f>
        <v/>
      </c>
      <c r="I457" s="162" t="str">
        <f>IF(C457="","",COUNTIFS(Başvuru!$C:$C,C457,Başvuru!$G:$G,"Yüksek Lisans Tezi",Başvuru!$A:$A,"&lt;&gt;"&amp;"",Başvuru!$F:$F,"&lt;&gt;"&amp;""))</f>
        <v/>
      </c>
      <c r="J457" s="163" t="str">
        <f>IF(C457="","",COUNTIFS(Başvuru!$C:$C,C457,Başvuru!$L:$L,"ONAY",Başvuru!$A:$A,"&lt;&gt;"&amp;"",Başvuru!$F:$F,"&lt;&gt;"&amp;""))</f>
        <v/>
      </c>
      <c r="K457" s="164" t="str">
        <f>IF(C457="","",COUNTIFS(Başvuru!$C:$C,C457,Başvuru!$L:$L,"DÜZELTME",Başvuru!$A:$A,"&lt;&gt;"&amp;"",Başvuru!$F:$F,"&lt;&gt;"&amp;""))</f>
        <v/>
      </c>
      <c r="L457" s="165" t="str">
        <f>IF(C457="","",COUNTIFS(Başvuru!$C:$C,C457,Başvuru!$L:$L,"KAEK",Başvuru!$A:$A,"&lt;&gt;"&amp;"",Başvuru!$F:$F,"&lt;&gt;"&amp;""))</f>
        <v/>
      </c>
      <c r="M457" s="166" t="str">
        <f>IF(C457="","",COUNTIFS(Başvuru!$C:$C,C457,Başvuru!$L:$L,"GÖRÜŞ",Başvuru!$A:$A,"&lt;&gt;"&amp;"",Başvuru!$F:$F,"&lt;&gt;"&amp;""))</f>
        <v/>
      </c>
      <c r="N457" s="167" t="str">
        <f>IF(C457="","",COUNTIFS(Başvuru!$C:$C,C457,Başvuru!$L:$L,"RET",Başvuru!$A:$A,"&lt;&gt;"&amp;"",Başvuru!$F:$F,"&lt;&gt;"&amp;""))</f>
        <v/>
      </c>
      <c r="O457" s="168" t="str">
        <f>IF(C457="","",COUNTIFS(Başvuru!$C:$C,C457,Başvuru!$L:$L,"KAPSAM DIŞI",Başvuru!$A:$A,"&lt;&gt;"&amp;"",Başvuru!$F:$F,"&lt;&gt;"&amp;""))</f>
        <v/>
      </c>
      <c r="P457" s="169" t="str">
        <f>IF(C457="","",COUNTIFS(Başvuru!$C:$C,C457,Başvuru!$L:$L,"GERİ ÇEKİLDİ",Başvuru!$A:$A,"&lt;&gt;"&amp;"",Başvuru!$F:$F,"&lt;&gt;"&amp;""))</f>
        <v/>
      </c>
      <c r="Q457" s="170" t="str">
        <f>IFERROR(INDEX(Başvuru!$C$2:$C$1851,MATCH(452,Başvuru!$AB$2:$AB$1851,0)),"")</f>
        <v/>
      </c>
      <c r="R457" s="171" t="str">
        <f>IF(Q457="","",COUNTIFS(Başvuru!$C:$C,Q457,Başvuru!$A:$A,"&lt;&gt;"&amp;"",Başvuru!$F:$F,"&lt;&gt;"&amp;""))</f>
        <v/>
      </c>
      <c r="S457" s="171" t="str">
        <f>IF(R457="","",RANK(R457,$R$6:$R$505,0)+COUNTIF($R$6:R457,R457)-1)</f>
        <v/>
      </c>
    </row>
    <row r="458" spans="2:19" ht="23.25" customHeight="1" x14ac:dyDescent="0.25">
      <c r="B458" s="159">
        <v>453</v>
      </c>
      <c r="C458" s="160" t="str">
        <f>IFERROR(INDEX($Q$6:$Q$505,MATCH(453,$S$6:$S$505,0)),"")</f>
        <v/>
      </c>
      <c r="D458" s="161" t="str">
        <f>IF(C458="","",COUNTIFS(Başvuru!$C:$C,C458,Başvuru!$A:$A,"&lt;&gt;"&amp;"",Başvuru!$F:$F,"&lt;&gt;"&amp;""))</f>
        <v/>
      </c>
      <c r="E458" s="159" t="str">
        <f>IF(C458="","-",IF(D458&gt;0,TEXT(D458/(COUNTIFS(Başvuru!$A:$A,"&lt;&gt;",Başvuru!$F:$F,"&lt;&gt;")-1)*100,"0.0")&amp;"%","-"))</f>
        <v>-</v>
      </c>
      <c r="F458" s="162" t="str">
        <f>IF(C458="","",COUNTIFS(Başvuru!$C:$C,C458,Başvuru!$G:$G,"Bireysel Araştırma",Başvuru!$A:$A,"&lt;&gt;"&amp;"",Başvuru!$F:$F,"&lt;&gt;"&amp;""))</f>
        <v/>
      </c>
      <c r="G458" s="162" t="str">
        <f>IF(C458="","",COUNTIFS(Başvuru!$C:$C,C458,Başvuru!$G:$G,"Uzmanlık Tezi",Başvuru!$A:$A,"&lt;&gt;"&amp;"",Başvuru!$F:$F,"&lt;&gt;"&amp;""))</f>
        <v/>
      </c>
      <c r="H458" s="162" t="str">
        <f>IF(C458="","",COUNTIFS(Başvuru!$C:$C,C458,Başvuru!$G:$G,"Doktora Tezi",Başvuru!$A:$A,"&lt;&gt;"&amp;"",Başvuru!$F:$F,"&lt;&gt;"&amp;""))</f>
        <v/>
      </c>
      <c r="I458" s="162" t="str">
        <f>IF(C458="","",COUNTIFS(Başvuru!$C:$C,C458,Başvuru!$G:$G,"Yüksek Lisans Tezi",Başvuru!$A:$A,"&lt;&gt;"&amp;"",Başvuru!$F:$F,"&lt;&gt;"&amp;""))</f>
        <v/>
      </c>
      <c r="J458" s="163" t="str">
        <f>IF(C458="","",COUNTIFS(Başvuru!$C:$C,C458,Başvuru!$L:$L,"ONAY",Başvuru!$A:$A,"&lt;&gt;"&amp;"",Başvuru!$F:$F,"&lt;&gt;"&amp;""))</f>
        <v/>
      </c>
      <c r="K458" s="164" t="str">
        <f>IF(C458="","",COUNTIFS(Başvuru!$C:$C,C458,Başvuru!$L:$L,"DÜZELTME",Başvuru!$A:$A,"&lt;&gt;"&amp;"",Başvuru!$F:$F,"&lt;&gt;"&amp;""))</f>
        <v/>
      </c>
      <c r="L458" s="165" t="str">
        <f>IF(C458="","",COUNTIFS(Başvuru!$C:$C,C458,Başvuru!$L:$L,"KAEK",Başvuru!$A:$A,"&lt;&gt;"&amp;"",Başvuru!$F:$F,"&lt;&gt;"&amp;""))</f>
        <v/>
      </c>
      <c r="M458" s="166" t="str">
        <f>IF(C458="","",COUNTIFS(Başvuru!$C:$C,C458,Başvuru!$L:$L,"GÖRÜŞ",Başvuru!$A:$A,"&lt;&gt;"&amp;"",Başvuru!$F:$F,"&lt;&gt;"&amp;""))</f>
        <v/>
      </c>
      <c r="N458" s="167" t="str">
        <f>IF(C458="","",COUNTIFS(Başvuru!$C:$C,C458,Başvuru!$L:$L,"RET",Başvuru!$A:$A,"&lt;&gt;"&amp;"",Başvuru!$F:$F,"&lt;&gt;"&amp;""))</f>
        <v/>
      </c>
      <c r="O458" s="168" t="str">
        <f>IF(C458="","",COUNTIFS(Başvuru!$C:$C,C458,Başvuru!$L:$L,"KAPSAM DIŞI",Başvuru!$A:$A,"&lt;&gt;"&amp;"",Başvuru!$F:$F,"&lt;&gt;"&amp;""))</f>
        <v/>
      </c>
      <c r="P458" s="169" t="str">
        <f>IF(C458="","",COUNTIFS(Başvuru!$C:$C,C458,Başvuru!$L:$L,"GERİ ÇEKİLDİ",Başvuru!$A:$A,"&lt;&gt;"&amp;"",Başvuru!$F:$F,"&lt;&gt;"&amp;""))</f>
        <v/>
      </c>
      <c r="Q458" s="170" t="str">
        <f>IFERROR(INDEX(Başvuru!$C$2:$C$1851,MATCH(453,Başvuru!$AB$2:$AB$1851,0)),"")</f>
        <v/>
      </c>
      <c r="R458" s="171" t="str">
        <f>IF(Q458="","",COUNTIFS(Başvuru!$C:$C,Q458,Başvuru!$A:$A,"&lt;&gt;"&amp;"",Başvuru!$F:$F,"&lt;&gt;"&amp;""))</f>
        <v/>
      </c>
      <c r="S458" s="171" t="str">
        <f>IF(R458="","",RANK(R458,$R$6:$R$505,0)+COUNTIF($R$6:R458,R458)-1)</f>
        <v/>
      </c>
    </row>
    <row r="459" spans="2:19" ht="23.25" customHeight="1" x14ac:dyDescent="0.25">
      <c r="B459" s="159">
        <v>454</v>
      </c>
      <c r="C459" s="160" t="str">
        <f>IFERROR(INDEX($Q$6:$Q$505,MATCH(454,$S$6:$S$505,0)),"")</f>
        <v/>
      </c>
      <c r="D459" s="161" t="str">
        <f>IF(C459="","",COUNTIFS(Başvuru!$C:$C,C459,Başvuru!$A:$A,"&lt;&gt;"&amp;"",Başvuru!$F:$F,"&lt;&gt;"&amp;""))</f>
        <v/>
      </c>
      <c r="E459" s="159" t="str">
        <f>IF(C459="","-",IF(D459&gt;0,TEXT(D459/(COUNTIFS(Başvuru!$A:$A,"&lt;&gt;",Başvuru!$F:$F,"&lt;&gt;")-1)*100,"0.0")&amp;"%","-"))</f>
        <v>-</v>
      </c>
      <c r="F459" s="162" t="str">
        <f>IF(C459="","",COUNTIFS(Başvuru!$C:$C,C459,Başvuru!$G:$G,"Bireysel Araştırma",Başvuru!$A:$A,"&lt;&gt;"&amp;"",Başvuru!$F:$F,"&lt;&gt;"&amp;""))</f>
        <v/>
      </c>
      <c r="G459" s="162" t="str">
        <f>IF(C459="","",COUNTIFS(Başvuru!$C:$C,C459,Başvuru!$G:$G,"Uzmanlık Tezi",Başvuru!$A:$A,"&lt;&gt;"&amp;"",Başvuru!$F:$F,"&lt;&gt;"&amp;""))</f>
        <v/>
      </c>
      <c r="H459" s="162" t="str">
        <f>IF(C459="","",COUNTIFS(Başvuru!$C:$C,C459,Başvuru!$G:$G,"Doktora Tezi",Başvuru!$A:$A,"&lt;&gt;"&amp;"",Başvuru!$F:$F,"&lt;&gt;"&amp;""))</f>
        <v/>
      </c>
      <c r="I459" s="162" t="str">
        <f>IF(C459="","",COUNTIFS(Başvuru!$C:$C,C459,Başvuru!$G:$G,"Yüksek Lisans Tezi",Başvuru!$A:$A,"&lt;&gt;"&amp;"",Başvuru!$F:$F,"&lt;&gt;"&amp;""))</f>
        <v/>
      </c>
      <c r="J459" s="163" t="str">
        <f>IF(C459="","",COUNTIFS(Başvuru!$C:$C,C459,Başvuru!$L:$L,"ONAY",Başvuru!$A:$A,"&lt;&gt;"&amp;"",Başvuru!$F:$F,"&lt;&gt;"&amp;""))</f>
        <v/>
      </c>
      <c r="K459" s="164" t="str">
        <f>IF(C459="","",COUNTIFS(Başvuru!$C:$C,C459,Başvuru!$L:$L,"DÜZELTME",Başvuru!$A:$A,"&lt;&gt;"&amp;"",Başvuru!$F:$F,"&lt;&gt;"&amp;""))</f>
        <v/>
      </c>
      <c r="L459" s="165" t="str">
        <f>IF(C459="","",COUNTIFS(Başvuru!$C:$C,C459,Başvuru!$L:$L,"KAEK",Başvuru!$A:$A,"&lt;&gt;"&amp;"",Başvuru!$F:$F,"&lt;&gt;"&amp;""))</f>
        <v/>
      </c>
      <c r="M459" s="166" t="str">
        <f>IF(C459="","",COUNTIFS(Başvuru!$C:$C,C459,Başvuru!$L:$L,"GÖRÜŞ",Başvuru!$A:$A,"&lt;&gt;"&amp;"",Başvuru!$F:$F,"&lt;&gt;"&amp;""))</f>
        <v/>
      </c>
      <c r="N459" s="167" t="str">
        <f>IF(C459="","",COUNTIFS(Başvuru!$C:$C,C459,Başvuru!$L:$L,"RET",Başvuru!$A:$A,"&lt;&gt;"&amp;"",Başvuru!$F:$F,"&lt;&gt;"&amp;""))</f>
        <v/>
      </c>
      <c r="O459" s="168" t="str">
        <f>IF(C459="","",COUNTIFS(Başvuru!$C:$C,C459,Başvuru!$L:$L,"KAPSAM DIŞI",Başvuru!$A:$A,"&lt;&gt;"&amp;"",Başvuru!$F:$F,"&lt;&gt;"&amp;""))</f>
        <v/>
      </c>
      <c r="P459" s="169" t="str">
        <f>IF(C459="","",COUNTIFS(Başvuru!$C:$C,C459,Başvuru!$L:$L,"GERİ ÇEKİLDİ",Başvuru!$A:$A,"&lt;&gt;"&amp;"",Başvuru!$F:$F,"&lt;&gt;"&amp;""))</f>
        <v/>
      </c>
      <c r="Q459" s="170" t="str">
        <f>IFERROR(INDEX(Başvuru!$C$2:$C$1851,MATCH(454,Başvuru!$AB$2:$AB$1851,0)),"")</f>
        <v/>
      </c>
      <c r="R459" s="171" t="str">
        <f>IF(Q459="","",COUNTIFS(Başvuru!$C:$C,Q459,Başvuru!$A:$A,"&lt;&gt;"&amp;"",Başvuru!$F:$F,"&lt;&gt;"&amp;""))</f>
        <v/>
      </c>
      <c r="S459" s="171" t="str">
        <f>IF(R459="","",RANK(R459,$R$6:$R$505,0)+COUNTIF($R$6:R459,R459)-1)</f>
        <v/>
      </c>
    </row>
    <row r="460" spans="2:19" ht="23.25" customHeight="1" x14ac:dyDescent="0.25">
      <c r="B460" s="159">
        <v>455</v>
      </c>
      <c r="C460" s="160" t="str">
        <f>IFERROR(INDEX($Q$6:$Q$505,MATCH(455,$S$6:$S$505,0)),"")</f>
        <v/>
      </c>
      <c r="D460" s="161" t="str">
        <f>IF(C460="","",COUNTIFS(Başvuru!$C:$C,C460,Başvuru!$A:$A,"&lt;&gt;"&amp;"",Başvuru!$F:$F,"&lt;&gt;"&amp;""))</f>
        <v/>
      </c>
      <c r="E460" s="159" t="str">
        <f>IF(C460="","-",IF(D460&gt;0,TEXT(D460/(COUNTIFS(Başvuru!$A:$A,"&lt;&gt;",Başvuru!$F:$F,"&lt;&gt;")-1)*100,"0.0")&amp;"%","-"))</f>
        <v>-</v>
      </c>
      <c r="F460" s="162" t="str">
        <f>IF(C460="","",COUNTIFS(Başvuru!$C:$C,C460,Başvuru!$G:$G,"Bireysel Araştırma",Başvuru!$A:$A,"&lt;&gt;"&amp;"",Başvuru!$F:$F,"&lt;&gt;"&amp;""))</f>
        <v/>
      </c>
      <c r="G460" s="162" t="str">
        <f>IF(C460="","",COUNTIFS(Başvuru!$C:$C,C460,Başvuru!$G:$G,"Uzmanlık Tezi",Başvuru!$A:$A,"&lt;&gt;"&amp;"",Başvuru!$F:$F,"&lt;&gt;"&amp;""))</f>
        <v/>
      </c>
      <c r="H460" s="162" t="str">
        <f>IF(C460="","",COUNTIFS(Başvuru!$C:$C,C460,Başvuru!$G:$G,"Doktora Tezi",Başvuru!$A:$A,"&lt;&gt;"&amp;"",Başvuru!$F:$F,"&lt;&gt;"&amp;""))</f>
        <v/>
      </c>
      <c r="I460" s="162" t="str">
        <f>IF(C460="","",COUNTIFS(Başvuru!$C:$C,C460,Başvuru!$G:$G,"Yüksek Lisans Tezi",Başvuru!$A:$A,"&lt;&gt;"&amp;"",Başvuru!$F:$F,"&lt;&gt;"&amp;""))</f>
        <v/>
      </c>
      <c r="J460" s="163" t="str">
        <f>IF(C460="","",COUNTIFS(Başvuru!$C:$C,C460,Başvuru!$L:$L,"ONAY",Başvuru!$A:$A,"&lt;&gt;"&amp;"",Başvuru!$F:$F,"&lt;&gt;"&amp;""))</f>
        <v/>
      </c>
      <c r="K460" s="164" t="str">
        <f>IF(C460="","",COUNTIFS(Başvuru!$C:$C,C460,Başvuru!$L:$L,"DÜZELTME",Başvuru!$A:$A,"&lt;&gt;"&amp;"",Başvuru!$F:$F,"&lt;&gt;"&amp;""))</f>
        <v/>
      </c>
      <c r="L460" s="165" t="str">
        <f>IF(C460="","",COUNTIFS(Başvuru!$C:$C,C460,Başvuru!$L:$L,"KAEK",Başvuru!$A:$A,"&lt;&gt;"&amp;"",Başvuru!$F:$F,"&lt;&gt;"&amp;""))</f>
        <v/>
      </c>
      <c r="M460" s="166" t="str">
        <f>IF(C460="","",COUNTIFS(Başvuru!$C:$C,C460,Başvuru!$L:$L,"GÖRÜŞ",Başvuru!$A:$A,"&lt;&gt;"&amp;"",Başvuru!$F:$F,"&lt;&gt;"&amp;""))</f>
        <v/>
      </c>
      <c r="N460" s="167" t="str">
        <f>IF(C460="","",COUNTIFS(Başvuru!$C:$C,C460,Başvuru!$L:$L,"RET",Başvuru!$A:$A,"&lt;&gt;"&amp;"",Başvuru!$F:$F,"&lt;&gt;"&amp;""))</f>
        <v/>
      </c>
      <c r="O460" s="168" t="str">
        <f>IF(C460="","",COUNTIFS(Başvuru!$C:$C,C460,Başvuru!$L:$L,"KAPSAM DIŞI",Başvuru!$A:$A,"&lt;&gt;"&amp;"",Başvuru!$F:$F,"&lt;&gt;"&amp;""))</f>
        <v/>
      </c>
      <c r="P460" s="169" t="str">
        <f>IF(C460="","",COUNTIFS(Başvuru!$C:$C,C460,Başvuru!$L:$L,"GERİ ÇEKİLDİ",Başvuru!$A:$A,"&lt;&gt;"&amp;"",Başvuru!$F:$F,"&lt;&gt;"&amp;""))</f>
        <v/>
      </c>
      <c r="Q460" s="170" t="str">
        <f>IFERROR(INDEX(Başvuru!$C$2:$C$1851,MATCH(455,Başvuru!$AB$2:$AB$1851,0)),"")</f>
        <v/>
      </c>
      <c r="R460" s="171" t="str">
        <f>IF(Q460="","",COUNTIFS(Başvuru!$C:$C,Q460,Başvuru!$A:$A,"&lt;&gt;"&amp;"",Başvuru!$F:$F,"&lt;&gt;"&amp;""))</f>
        <v/>
      </c>
      <c r="S460" s="171" t="str">
        <f>IF(R460="","",RANK(R460,$R$6:$R$505,0)+COUNTIF($R$6:R460,R460)-1)</f>
        <v/>
      </c>
    </row>
    <row r="461" spans="2:19" ht="23.25" customHeight="1" x14ac:dyDescent="0.25">
      <c r="B461" s="159">
        <v>456</v>
      </c>
      <c r="C461" s="160" t="str">
        <f>IFERROR(INDEX($Q$6:$Q$505,MATCH(456,$S$6:$S$505,0)),"")</f>
        <v/>
      </c>
      <c r="D461" s="161" t="str">
        <f>IF(C461="","",COUNTIFS(Başvuru!$C:$C,C461,Başvuru!$A:$A,"&lt;&gt;"&amp;"",Başvuru!$F:$F,"&lt;&gt;"&amp;""))</f>
        <v/>
      </c>
      <c r="E461" s="159" t="str">
        <f>IF(C461="","-",IF(D461&gt;0,TEXT(D461/(COUNTIFS(Başvuru!$A:$A,"&lt;&gt;",Başvuru!$F:$F,"&lt;&gt;")-1)*100,"0.0")&amp;"%","-"))</f>
        <v>-</v>
      </c>
      <c r="F461" s="162" t="str">
        <f>IF(C461="","",COUNTIFS(Başvuru!$C:$C,C461,Başvuru!$G:$G,"Bireysel Araştırma",Başvuru!$A:$A,"&lt;&gt;"&amp;"",Başvuru!$F:$F,"&lt;&gt;"&amp;""))</f>
        <v/>
      </c>
      <c r="G461" s="162" t="str">
        <f>IF(C461="","",COUNTIFS(Başvuru!$C:$C,C461,Başvuru!$G:$G,"Uzmanlık Tezi",Başvuru!$A:$A,"&lt;&gt;"&amp;"",Başvuru!$F:$F,"&lt;&gt;"&amp;""))</f>
        <v/>
      </c>
      <c r="H461" s="162" t="str">
        <f>IF(C461="","",COUNTIFS(Başvuru!$C:$C,C461,Başvuru!$G:$G,"Doktora Tezi",Başvuru!$A:$A,"&lt;&gt;"&amp;"",Başvuru!$F:$F,"&lt;&gt;"&amp;""))</f>
        <v/>
      </c>
      <c r="I461" s="162" t="str">
        <f>IF(C461="","",COUNTIFS(Başvuru!$C:$C,C461,Başvuru!$G:$G,"Yüksek Lisans Tezi",Başvuru!$A:$A,"&lt;&gt;"&amp;"",Başvuru!$F:$F,"&lt;&gt;"&amp;""))</f>
        <v/>
      </c>
      <c r="J461" s="163" t="str">
        <f>IF(C461="","",COUNTIFS(Başvuru!$C:$C,C461,Başvuru!$L:$L,"ONAY",Başvuru!$A:$A,"&lt;&gt;"&amp;"",Başvuru!$F:$F,"&lt;&gt;"&amp;""))</f>
        <v/>
      </c>
      <c r="K461" s="164" t="str">
        <f>IF(C461="","",COUNTIFS(Başvuru!$C:$C,C461,Başvuru!$L:$L,"DÜZELTME",Başvuru!$A:$A,"&lt;&gt;"&amp;"",Başvuru!$F:$F,"&lt;&gt;"&amp;""))</f>
        <v/>
      </c>
      <c r="L461" s="165" t="str">
        <f>IF(C461="","",COUNTIFS(Başvuru!$C:$C,C461,Başvuru!$L:$L,"KAEK",Başvuru!$A:$A,"&lt;&gt;"&amp;"",Başvuru!$F:$F,"&lt;&gt;"&amp;""))</f>
        <v/>
      </c>
      <c r="M461" s="166" t="str">
        <f>IF(C461="","",COUNTIFS(Başvuru!$C:$C,C461,Başvuru!$L:$L,"GÖRÜŞ",Başvuru!$A:$A,"&lt;&gt;"&amp;"",Başvuru!$F:$F,"&lt;&gt;"&amp;""))</f>
        <v/>
      </c>
      <c r="N461" s="167" t="str">
        <f>IF(C461="","",COUNTIFS(Başvuru!$C:$C,C461,Başvuru!$L:$L,"RET",Başvuru!$A:$A,"&lt;&gt;"&amp;"",Başvuru!$F:$F,"&lt;&gt;"&amp;""))</f>
        <v/>
      </c>
      <c r="O461" s="168" t="str">
        <f>IF(C461="","",COUNTIFS(Başvuru!$C:$C,C461,Başvuru!$L:$L,"KAPSAM DIŞI",Başvuru!$A:$A,"&lt;&gt;"&amp;"",Başvuru!$F:$F,"&lt;&gt;"&amp;""))</f>
        <v/>
      </c>
      <c r="P461" s="169" t="str">
        <f>IF(C461="","",COUNTIFS(Başvuru!$C:$C,C461,Başvuru!$L:$L,"GERİ ÇEKİLDİ",Başvuru!$A:$A,"&lt;&gt;"&amp;"",Başvuru!$F:$F,"&lt;&gt;"&amp;""))</f>
        <v/>
      </c>
      <c r="Q461" s="170" t="str">
        <f>IFERROR(INDEX(Başvuru!$C$2:$C$1851,MATCH(456,Başvuru!$AB$2:$AB$1851,0)),"")</f>
        <v/>
      </c>
      <c r="R461" s="171" t="str">
        <f>IF(Q461="","",COUNTIFS(Başvuru!$C:$C,Q461,Başvuru!$A:$A,"&lt;&gt;"&amp;"",Başvuru!$F:$F,"&lt;&gt;"&amp;""))</f>
        <v/>
      </c>
      <c r="S461" s="171" t="str">
        <f>IF(R461="","",RANK(R461,$R$6:$R$505,0)+COUNTIF($R$6:R461,R461)-1)</f>
        <v/>
      </c>
    </row>
    <row r="462" spans="2:19" ht="23.25" customHeight="1" x14ac:dyDescent="0.25">
      <c r="B462" s="159">
        <v>457</v>
      </c>
      <c r="C462" s="160" t="str">
        <f>IFERROR(INDEX($Q$6:$Q$505,MATCH(457,$S$6:$S$505,0)),"")</f>
        <v/>
      </c>
      <c r="D462" s="161" t="str">
        <f>IF(C462="","",COUNTIFS(Başvuru!$C:$C,C462,Başvuru!$A:$A,"&lt;&gt;"&amp;"",Başvuru!$F:$F,"&lt;&gt;"&amp;""))</f>
        <v/>
      </c>
      <c r="E462" s="159" t="str">
        <f>IF(C462="","-",IF(D462&gt;0,TEXT(D462/(COUNTIFS(Başvuru!$A:$A,"&lt;&gt;",Başvuru!$F:$F,"&lt;&gt;")-1)*100,"0.0")&amp;"%","-"))</f>
        <v>-</v>
      </c>
      <c r="F462" s="162" t="str">
        <f>IF(C462="","",COUNTIFS(Başvuru!$C:$C,C462,Başvuru!$G:$G,"Bireysel Araştırma",Başvuru!$A:$A,"&lt;&gt;"&amp;"",Başvuru!$F:$F,"&lt;&gt;"&amp;""))</f>
        <v/>
      </c>
      <c r="G462" s="162" t="str">
        <f>IF(C462="","",COUNTIFS(Başvuru!$C:$C,C462,Başvuru!$G:$G,"Uzmanlık Tezi",Başvuru!$A:$A,"&lt;&gt;"&amp;"",Başvuru!$F:$F,"&lt;&gt;"&amp;""))</f>
        <v/>
      </c>
      <c r="H462" s="162" t="str">
        <f>IF(C462="","",COUNTIFS(Başvuru!$C:$C,C462,Başvuru!$G:$G,"Doktora Tezi",Başvuru!$A:$A,"&lt;&gt;"&amp;"",Başvuru!$F:$F,"&lt;&gt;"&amp;""))</f>
        <v/>
      </c>
      <c r="I462" s="162" t="str">
        <f>IF(C462="","",COUNTIFS(Başvuru!$C:$C,C462,Başvuru!$G:$G,"Yüksek Lisans Tezi",Başvuru!$A:$A,"&lt;&gt;"&amp;"",Başvuru!$F:$F,"&lt;&gt;"&amp;""))</f>
        <v/>
      </c>
      <c r="J462" s="163" t="str">
        <f>IF(C462="","",COUNTIFS(Başvuru!$C:$C,C462,Başvuru!$L:$L,"ONAY",Başvuru!$A:$A,"&lt;&gt;"&amp;"",Başvuru!$F:$F,"&lt;&gt;"&amp;""))</f>
        <v/>
      </c>
      <c r="K462" s="164" t="str">
        <f>IF(C462="","",COUNTIFS(Başvuru!$C:$C,C462,Başvuru!$L:$L,"DÜZELTME",Başvuru!$A:$A,"&lt;&gt;"&amp;"",Başvuru!$F:$F,"&lt;&gt;"&amp;""))</f>
        <v/>
      </c>
      <c r="L462" s="165" t="str">
        <f>IF(C462="","",COUNTIFS(Başvuru!$C:$C,C462,Başvuru!$L:$L,"KAEK",Başvuru!$A:$A,"&lt;&gt;"&amp;"",Başvuru!$F:$F,"&lt;&gt;"&amp;""))</f>
        <v/>
      </c>
      <c r="M462" s="166" t="str">
        <f>IF(C462="","",COUNTIFS(Başvuru!$C:$C,C462,Başvuru!$L:$L,"GÖRÜŞ",Başvuru!$A:$A,"&lt;&gt;"&amp;"",Başvuru!$F:$F,"&lt;&gt;"&amp;""))</f>
        <v/>
      </c>
      <c r="N462" s="167" t="str">
        <f>IF(C462="","",COUNTIFS(Başvuru!$C:$C,C462,Başvuru!$L:$L,"RET",Başvuru!$A:$A,"&lt;&gt;"&amp;"",Başvuru!$F:$F,"&lt;&gt;"&amp;""))</f>
        <v/>
      </c>
      <c r="O462" s="168" t="str">
        <f>IF(C462="","",COUNTIFS(Başvuru!$C:$C,C462,Başvuru!$L:$L,"KAPSAM DIŞI",Başvuru!$A:$A,"&lt;&gt;"&amp;"",Başvuru!$F:$F,"&lt;&gt;"&amp;""))</f>
        <v/>
      </c>
      <c r="P462" s="169" t="str">
        <f>IF(C462="","",COUNTIFS(Başvuru!$C:$C,C462,Başvuru!$L:$L,"GERİ ÇEKİLDİ",Başvuru!$A:$A,"&lt;&gt;"&amp;"",Başvuru!$F:$F,"&lt;&gt;"&amp;""))</f>
        <v/>
      </c>
      <c r="Q462" s="170" t="str">
        <f>IFERROR(INDEX(Başvuru!$C$2:$C$1851,MATCH(457,Başvuru!$AB$2:$AB$1851,0)),"")</f>
        <v/>
      </c>
      <c r="R462" s="171" t="str">
        <f>IF(Q462="","",COUNTIFS(Başvuru!$C:$C,Q462,Başvuru!$A:$A,"&lt;&gt;"&amp;"",Başvuru!$F:$F,"&lt;&gt;"&amp;""))</f>
        <v/>
      </c>
      <c r="S462" s="171" t="str">
        <f>IF(R462="","",RANK(R462,$R$6:$R$505,0)+COUNTIF($R$6:R462,R462)-1)</f>
        <v/>
      </c>
    </row>
    <row r="463" spans="2:19" ht="23.25" customHeight="1" x14ac:dyDescent="0.25">
      <c r="B463" s="159">
        <v>458</v>
      </c>
      <c r="C463" s="160" t="str">
        <f>IFERROR(INDEX($Q$6:$Q$505,MATCH(458,$S$6:$S$505,0)),"")</f>
        <v/>
      </c>
      <c r="D463" s="161" t="str">
        <f>IF(C463="","",COUNTIFS(Başvuru!$C:$C,C463,Başvuru!$A:$A,"&lt;&gt;"&amp;"",Başvuru!$F:$F,"&lt;&gt;"&amp;""))</f>
        <v/>
      </c>
      <c r="E463" s="159" t="str">
        <f>IF(C463="","-",IF(D463&gt;0,TEXT(D463/(COUNTIFS(Başvuru!$A:$A,"&lt;&gt;",Başvuru!$F:$F,"&lt;&gt;")-1)*100,"0.0")&amp;"%","-"))</f>
        <v>-</v>
      </c>
      <c r="F463" s="162" t="str">
        <f>IF(C463="","",COUNTIFS(Başvuru!$C:$C,C463,Başvuru!$G:$G,"Bireysel Araştırma",Başvuru!$A:$A,"&lt;&gt;"&amp;"",Başvuru!$F:$F,"&lt;&gt;"&amp;""))</f>
        <v/>
      </c>
      <c r="G463" s="162" t="str">
        <f>IF(C463="","",COUNTIFS(Başvuru!$C:$C,C463,Başvuru!$G:$G,"Uzmanlık Tezi",Başvuru!$A:$A,"&lt;&gt;"&amp;"",Başvuru!$F:$F,"&lt;&gt;"&amp;""))</f>
        <v/>
      </c>
      <c r="H463" s="162" t="str">
        <f>IF(C463="","",COUNTIFS(Başvuru!$C:$C,C463,Başvuru!$G:$G,"Doktora Tezi",Başvuru!$A:$A,"&lt;&gt;"&amp;"",Başvuru!$F:$F,"&lt;&gt;"&amp;""))</f>
        <v/>
      </c>
      <c r="I463" s="162" t="str">
        <f>IF(C463="","",COUNTIFS(Başvuru!$C:$C,C463,Başvuru!$G:$G,"Yüksek Lisans Tezi",Başvuru!$A:$A,"&lt;&gt;"&amp;"",Başvuru!$F:$F,"&lt;&gt;"&amp;""))</f>
        <v/>
      </c>
      <c r="J463" s="163" t="str">
        <f>IF(C463="","",COUNTIFS(Başvuru!$C:$C,C463,Başvuru!$L:$L,"ONAY",Başvuru!$A:$A,"&lt;&gt;"&amp;"",Başvuru!$F:$F,"&lt;&gt;"&amp;""))</f>
        <v/>
      </c>
      <c r="K463" s="164" t="str">
        <f>IF(C463="","",COUNTIFS(Başvuru!$C:$C,C463,Başvuru!$L:$L,"DÜZELTME",Başvuru!$A:$A,"&lt;&gt;"&amp;"",Başvuru!$F:$F,"&lt;&gt;"&amp;""))</f>
        <v/>
      </c>
      <c r="L463" s="165" t="str">
        <f>IF(C463="","",COUNTIFS(Başvuru!$C:$C,C463,Başvuru!$L:$L,"KAEK",Başvuru!$A:$A,"&lt;&gt;"&amp;"",Başvuru!$F:$F,"&lt;&gt;"&amp;""))</f>
        <v/>
      </c>
      <c r="M463" s="166" t="str">
        <f>IF(C463="","",COUNTIFS(Başvuru!$C:$C,C463,Başvuru!$L:$L,"GÖRÜŞ",Başvuru!$A:$A,"&lt;&gt;"&amp;"",Başvuru!$F:$F,"&lt;&gt;"&amp;""))</f>
        <v/>
      </c>
      <c r="N463" s="167" t="str">
        <f>IF(C463="","",COUNTIFS(Başvuru!$C:$C,C463,Başvuru!$L:$L,"RET",Başvuru!$A:$A,"&lt;&gt;"&amp;"",Başvuru!$F:$F,"&lt;&gt;"&amp;""))</f>
        <v/>
      </c>
      <c r="O463" s="168" t="str">
        <f>IF(C463="","",COUNTIFS(Başvuru!$C:$C,C463,Başvuru!$L:$L,"KAPSAM DIŞI",Başvuru!$A:$A,"&lt;&gt;"&amp;"",Başvuru!$F:$F,"&lt;&gt;"&amp;""))</f>
        <v/>
      </c>
      <c r="P463" s="169" t="str">
        <f>IF(C463="","",COUNTIFS(Başvuru!$C:$C,C463,Başvuru!$L:$L,"GERİ ÇEKİLDİ",Başvuru!$A:$A,"&lt;&gt;"&amp;"",Başvuru!$F:$F,"&lt;&gt;"&amp;""))</f>
        <v/>
      </c>
      <c r="Q463" s="170" t="str">
        <f>IFERROR(INDEX(Başvuru!$C$2:$C$1851,MATCH(458,Başvuru!$AB$2:$AB$1851,0)),"")</f>
        <v/>
      </c>
      <c r="R463" s="171" t="str">
        <f>IF(Q463="","",COUNTIFS(Başvuru!$C:$C,Q463,Başvuru!$A:$A,"&lt;&gt;"&amp;"",Başvuru!$F:$F,"&lt;&gt;"&amp;""))</f>
        <v/>
      </c>
      <c r="S463" s="171" t="str">
        <f>IF(R463="","",RANK(R463,$R$6:$R$505,0)+COUNTIF($R$6:R463,R463)-1)</f>
        <v/>
      </c>
    </row>
    <row r="464" spans="2:19" ht="23.25" customHeight="1" x14ac:dyDescent="0.25">
      <c r="B464" s="159">
        <v>459</v>
      </c>
      <c r="C464" s="160" t="str">
        <f>IFERROR(INDEX($Q$6:$Q$505,MATCH(459,$S$6:$S$505,0)),"")</f>
        <v/>
      </c>
      <c r="D464" s="161" t="str">
        <f>IF(C464="","",COUNTIFS(Başvuru!$C:$C,C464,Başvuru!$A:$A,"&lt;&gt;"&amp;"",Başvuru!$F:$F,"&lt;&gt;"&amp;""))</f>
        <v/>
      </c>
      <c r="E464" s="159" t="str">
        <f>IF(C464="","-",IF(D464&gt;0,TEXT(D464/(COUNTIFS(Başvuru!$A:$A,"&lt;&gt;",Başvuru!$F:$F,"&lt;&gt;")-1)*100,"0.0")&amp;"%","-"))</f>
        <v>-</v>
      </c>
      <c r="F464" s="162" t="str">
        <f>IF(C464="","",COUNTIFS(Başvuru!$C:$C,C464,Başvuru!$G:$G,"Bireysel Araştırma",Başvuru!$A:$A,"&lt;&gt;"&amp;"",Başvuru!$F:$F,"&lt;&gt;"&amp;""))</f>
        <v/>
      </c>
      <c r="G464" s="162" t="str">
        <f>IF(C464="","",COUNTIFS(Başvuru!$C:$C,C464,Başvuru!$G:$G,"Uzmanlık Tezi",Başvuru!$A:$A,"&lt;&gt;"&amp;"",Başvuru!$F:$F,"&lt;&gt;"&amp;""))</f>
        <v/>
      </c>
      <c r="H464" s="162" t="str">
        <f>IF(C464="","",COUNTIFS(Başvuru!$C:$C,C464,Başvuru!$G:$G,"Doktora Tezi",Başvuru!$A:$A,"&lt;&gt;"&amp;"",Başvuru!$F:$F,"&lt;&gt;"&amp;""))</f>
        <v/>
      </c>
      <c r="I464" s="162" t="str">
        <f>IF(C464="","",COUNTIFS(Başvuru!$C:$C,C464,Başvuru!$G:$G,"Yüksek Lisans Tezi",Başvuru!$A:$A,"&lt;&gt;"&amp;"",Başvuru!$F:$F,"&lt;&gt;"&amp;""))</f>
        <v/>
      </c>
      <c r="J464" s="163" t="str">
        <f>IF(C464="","",COUNTIFS(Başvuru!$C:$C,C464,Başvuru!$L:$L,"ONAY",Başvuru!$A:$A,"&lt;&gt;"&amp;"",Başvuru!$F:$F,"&lt;&gt;"&amp;""))</f>
        <v/>
      </c>
      <c r="K464" s="164" t="str">
        <f>IF(C464="","",COUNTIFS(Başvuru!$C:$C,C464,Başvuru!$L:$L,"DÜZELTME",Başvuru!$A:$A,"&lt;&gt;"&amp;"",Başvuru!$F:$F,"&lt;&gt;"&amp;""))</f>
        <v/>
      </c>
      <c r="L464" s="165" t="str">
        <f>IF(C464="","",COUNTIFS(Başvuru!$C:$C,C464,Başvuru!$L:$L,"KAEK",Başvuru!$A:$A,"&lt;&gt;"&amp;"",Başvuru!$F:$F,"&lt;&gt;"&amp;""))</f>
        <v/>
      </c>
      <c r="M464" s="166" t="str">
        <f>IF(C464="","",COUNTIFS(Başvuru!$C:$C,C464,Başvuru!$L:$L,"GÖRÜŞ",Başvuru!$A:$A,"&lt;&gt;"&amp;"",Başvuru!$F:$F,"&lt;&gt;"&amp;""))</f>
        <v/>
      </c>
      <c r="N464" s="167" t="str">
        <f>IF(C464="","",COUNTIFS(Başvuru!$C:$C,C464,Başvuru!$L:$L,"RET",Başvuru!$A:$A,"&lt;&gt;"&amp;"",Başvuru!$F:$F,"&lt;&gt;"&amp;""))</f>
        <v/>
      </c>
      <c r="O464" s="168" t="str">
        <f>IF(C464="","",COUNTIFS(Başvuru!$C:$C,C464,Başvuru!$L:$L,"KAPSAM DIŞI",Başvuru!$A:$A,"&lt;&gt;"&amp;"",Başvuru!$F:$F,"&lt;&gt;"&amp;""))</f>
        <v/>
      </c>
      <c r="P464" s="169" t="str">
        <f>IF(C464="","",COUNTIFS(Başvuru!$C:$C,C464,Başvuru!$L:$L,"GERİ ÇEKİLDİ",Başvuru!$A:$A,"&lt;&gt;"&amp;"",Başvuru!$F:$F,"&lt;&gt;"&amp;""))</f>
        <v/>
      </c>
      <c r="Q464" s="170" t="str">
        <f>IFERROR(INDEX(Başvuru!$C$2:$C$1851,MATCH(459,Başvuru!$AB$2:$AB$1851,0)),"")</f>
        <v/>
      </c>
      <c r="R464" s="171" t="str">
        <f>IF(Q464="","",COUNTIFS(Başvuru!$C:$C,Q464,Başvuru!$A:$A,"&lt;&gt;"&amp;"",Başvuru!$F:$F,"&lt;&gt;"&amp;""))</f>
        <v/>
      </c>
      <c r="S464" s="171" t="str">
        <f>IF(R464="","",RANK(R464,$R$6:$R$505,0)+COUNTIF($R$6:R464,R464)-1)</f>
        <v/>
      </c>
    </row>
    <row r="465" spans="2:19" ht="23.25" customHeight="1" x14ac:dyDescent="0.25">
      <c r="B465" s="159">
        <v>460</v>
      </c>
      <c r="C465" s="160" t="str">
        <f>IFERROR(INDEX($Q$6:$Q$505,MATCH(460,$S$6:$S$505,0)),"")</f>
        <v/>
      </c>
      <c r="D465" s="161" t="str">
        <f>IF(C465="","",COUNTIFS(Başvuru!$C:$C,C465,Başvuru!$A:$A,"&lt;&gt;"&amp;"",Başvuru!$F:$F,"&lt;&gt;"&amp;""))</f>
        <v/>
      </c>
      <c r="E465" s="159" t="str">
        <f>IF(C465="","-",IF(D465&gt;0,TEXT(D465/(COUNTIFS(Başvuru!$A:$A,"&lt;&gt;",Başvuru!$F:$F,"&lt;&gt;")-1)*100,"0.0")&amp;"%","-"))</f>
        <v>-</v>
      </c>
      <c r="F465" s="162" t="str">
        <f>IF(C465="","",COUNTIFS(Başvuru!$C:$C,C465,Başvuru!$G:$G,"Bireysel Araştırma",Başvuru!$A:$A,"&lt;&gt;"&amp;"",Başvuru!$F:$F,"&lt;&gt;"&amp;""))</f>
        <v/>
      </c>
      <c r="G465" s="162" t="str">
        <f>IF(C465="","",COUNTIFS(Başvuru!$C:$C,C465,Başvuru!$G:$G,"Uzmanlık Tezi",Başvuru!$A:$A,"&lt;&gt;"&amp;"",Başvuru!$F:$F,"&lt;&gt;"&amp;""))</f>
        <v/>
      </c>
      <c r="H465" s="162" t="str">
        <f>IF(C465="","",COUNTIFS(Başvuru!$C:$C,C465,Başvuru!$G:$G,"Doktora Tezi",Başvuru!$A:$A,"&lt;&gt;"&amp;"",Başvuru!$F:$F,"&lt;&gt;"&amp;""))</f>
        <v/>
      </c>
      <c r="I465" s="162" t="str">
        <f>IF(C465="","",COUNTIFS(Başvuru!$C:$C,C465,Başvuru!$G:$G,"Yüksek Lisans Tezi",Başvuru!$A:$A,"&lt;&gt;"&amp;"",Başvuru!$F:$F,"&lt;&gt;"&amp;""))</f>
        <v/>
      </c>
      <c r="J465" s="163" t="str">
        <f>IF(C465="","",COUNTIFS(Başvuru!$C:$C,C465,Başvuru!$L:$L,"ONAY",Başvuru!$A:$A,"&lt;&gt;"&amp;"",Başvuru!$F:$F,"&lt;&gt;"&amp;""))</f>
        <v/>
      </c>
      <c r="K465" s="164" t="str">
        <f>IF(C465="","",COUNTIFS(Başvuru!$C:$C,C465,Başvuru!$L:$L,"DÜZELTME",Başvuru!$A:$A,"&lt;&gt;"&amp;"",Başvuru!$F:$F,"&lt;&gt;"&amp;""))</f>
        <v/>
      </c>
      <c r="L465" s="165" t="str">
        <f>IF(C465="","",COUNTIFS(Başvuru!$C:$C,C465,Başvuru!$L:$L,"KAEK",Başvuru!$A:$A,"&lt;&gt;"&amp;"",Başvuru!$F:$F,"&lt;&gt;"&amp;""))</f>
        <v/>
      </c>
      <c r="M465" s="166" t="str">
        <f>IF(C465="","",COUNTIFS(Başvuru!$C:$C,C465,Başvuru!$L:$L,"GÖRÜŞ",Başvuru!$A:$A,"&lt;&gt;"&amp;"",Başvuru!$F:$F,"&lt;&gt;"&amp;""))</f>
        <v/>
      </c>
      <c r="N465" s="167" t="str">
        <f>IF(C465="","",COUNTIFS(Başvuru!$C:$C,C465,Başvuru!$L:$L,"RET",Başvuru!$A:$A,"&lt;&gt;"&amp;"",Başvuru!$F:$F,"&lt;&gt;"&amp;""))</f>
        <v/>
      </c>
      <c r="O465" s="168" t="str">
        <f>IF(C465="","",COUNTIFS(Başvuru!$C:$C,C465,Başvuru!$L:$L,"KAPSAM DIŞI",Başvuru!$A:$A,"&lt;&gt;"&amp;"",Başvuru!$F:$F,"&lt;&gt;"&amp;""))</f>
        <v/>
      </c>
      <c r="P465" s="169" t="str">
        <f>IF(C465="","",COUNTIFS(Başvuru!$C:$C,C465,Başvuru!$L:$L,"GERİ ÇEKİLDİ",Başvuru!$A:$A,"&lt;&gt;"&amp;"",Başvuru!$F:$F,"&lt;&gt;"&amp;""))</f>
        <v/>
      </c>
      <c r="Q465" s="170" t="str">
        <f>IFERROR(INDEX(Başvuru!$C$2:$C$1851,MATCH(460,Başvuru!$AB$2:$AB$1851,0)),"")</f>
        <v/>
      </c>
      <c r="R465" s="171" t="str">
        <f>IF(Q465="","",COUNTIFS(Başvuru!$C:$C,Q465,Başvuru!$A:$A,"&lt;&gt;"&amp;"",Başvuru!$F:$F,"&lt;&gt;"&amp;""))</f>
        <v/>
      </c>
      <c r="S465" s="171" t="str">
        <f>IF(R465="","",RANK(R465,$R$6:$R$505,0)+COUNTIF($R$6:R465,R465)-1)</f>
        <v/>
      </c>
    </row>
    <row r="466" spans="2:19" ht="23.25" customHeight="1" x14ac:dyDescent="0.25">
      <c r="B466" s="159">
        <v>461</v>
      </c>
      <c r="C466" s="160" t="str">
        <f>IFERROR(INDEX($Q$6:$Q$505,MATCH(461,$S$6:$S$505,0)),"")</f>
        <v/>
      </c>
      <c r="D466" s="161" t="str">
        <f>IF(C466="","",COUNTIFS(Başvuru!$C:$C,C466,Başvuru!$A:$A,"&lt;&gt;"&amp;"",Başvuru!$F:$F,"&lt;&gt;"&amp;""))</f>
        <v/>
      </c>
      <c r="E466" s="159" t="str">
        <f>IF(C466="","-",IF(D466&gt;0,TEXT(D466/(COUNTIFS(Başvuru!$A:$A,"&lt;&gt;",Başvuru!$F:$F,"&lt;&gt;")-1)*100,"0.0")&amp;"%","-"))</f>
        <v>-</v>
      </c>
      <c r="F466" s="162" t="str">
        <f>IF(C466="","",COUNTIFS(Başvuru!$C:$C,C466,Başvuru!$G:$G,"Bireysel Araştırma",Başvuru!$A:$A,"&lt;&gt;"&amp;"",Başvuru!$F:$F,"&lt;&gt;"&amp;""))</f>
        <v/>
      </c>
      <c r="G466" s="162" t="str">
        <f>IF(C466="","",COUNTIFS(Başvuru!$C:$C,C466,Başvuru!$G:$G,"Uzmanlık Tezi",Başvuru!$A:$A,"&lt;&gt;"&amp;"",Başvuru!$F:$F,"&lt;&gt;"&amp;""))</f>
        <v/>
      </c>
      <c r="H466" s="162" t="str">
        <f>IF(C466="","",COUNTIFS(Başvuru!$C:$C,C466,Başvuru!$G:$G,"Doktora Tezi",Başvuru!$A:$A,"&lt;&gt;"&amp;"",Başvuru!$F:$F,"&lt;&gt;"&amp;""))</f>
        <v/>
      </c>
      <c r="I466" s="162" t="str">
        <f>IF(C466="","",COUNTIFS(Başvuru!$C:$C,C466,Başvuru!$G:$G,"Yüksek Lisans Tezi",Başvuru!$A:$A,"&lt;&gt;"&amp;"",Başvuru!$F:$F,"&lt;&gt;"&amp;""))</f>
        <v/>
      </c>
      <c r="J466" s="163" t="str">
        <f>IF(C466="","",COUNTIFS(Başvuru!$C:$C,C466,Başvuru!$L:$L,"ONAY",Başvuru!$A:$A,"&lt;&gt;"&amp;"",Başvuru!$F:$F,"&lt;&gt;"&amp;""))</f>
        <v/>
      </c>
      <c r="K466" s="164" t="str">
        <f>IF(C466="","",COUNTIFS(Başvuru!$C:$C,C466,Başvuru!$L:$L,"DÜZELTME",Başvuru!$A:$A,"&lt;&gt;"&amp;"",Başvuru!$F:$F,"&lt;&gt;"&amp;""))</f>
        <v/>
      </c>
      <c r="L466" s="165" t="str">
        <f>IF(C466="","",COUNTIFS(Başvuru!$C:$C,C466,Başvuru!$L:$L,"KAEK",Başvuru!$A:$A,"&lt;&gt;"&amp;"",Başvuru!$F:$F,"&lt;&gt;"&amp;""))</f>
        <v/>
      </c>
      <c r="M466" s="166" t="str">
        <f>IF(C466="","",COUNTIFS(Başvuru!$C:$C,C466,Başvuru!$L:$L,"GÖRÜŞ",Başvuru!$A:$A,"&lt;&gt;"&amp;"",Başvuru!$F:$F,"&lt;&gt;"&amp;""))</f>
        <v/>
      </c>
      <c r="N466" s="167" t="str">
        <f>IF(C466="","",COUNTIFS(Başvuru!$C:$C,C466,Başvuru!$L:$L,"RET",Başvuru!$A:$A,"&lt;&gt;"&amp;"",Başvuru!$F:$F,"&lt;&gt;"&amp;""))</f>
        <v/>
      </c>
      <c r="O466" s="168" t="str">
        <f>IF(C466="","",COUNTIFS(Başvuru!$C:$C,C466,Başvuru!$L:$L,"KAPSAM DIŞI",Başvuru!$A:$A,"&lt;&gt;"&amp;"",Başvuru!$F:$F,"&lt;&gt;"&amp;""))</f>
        <v/>
      </c>
      <c r="P466" s="169" t="str">
        <f>IF(C466="","",COUNTIFS(Başvuru!$C:$C,C466,Başvuru!$L:$L,"GERİ ÇEKİLDİ",Başvuru!$A:$A,"&lt;&gt;"&amp;"",Başvuru!$F:$F,"&lt;&gt;"&amp;""))</f>
        <v/>
      </c>
      <c r="Q466" s="170" t="str">
        <f>IFERROR(INDEX(Başvuru!$C$2:$C$1851,MATCH(461,Başvuru!$AB$2:$AB$1851,0)),"")</f>
        <v/>
      </c>
      <c r="R466" s="171" t="str">
        <f>IF(Q466="","",COUNTIFS(Başvuru!$C:$C,Q466,Başvuru!$A:$A,"&lt;&gt;"&amp;"",Başvuru!$F:$F,"&lt;&gt;"&amp;""))</f>
        <v/>
      </c>
      <c r="S466" s="171" t="str">
        <f>IF(R466="","",RANK(R466,$R$6:$R$505,0)+COUNTIF($R$6:R466,R466)-1)</f>
        <v/>
      </c>
    </row>
    <row r="467" spans="2:19" ht="23.25" customHeight="1" x14ac:dyDescent="0.25">
      <c r="B467" s="159">
        <v>462</v>
      </c>
      <c r="C467" s="160" t="str">
        <f>IFERROR(INDEX($Q$6:$Q$505,MATCH(462,$S$6:$S$505,0)),"")</f>
        <v/>
      </c>
      <c r="D467" s="161" t="str">
        <f>IF(C467="","",COUNTIFS(Başvuru!$C:$C,C467,Başvuru!$A:$A,"&lt;&gt;"&amp;"",Başvuru!$F:$F,"&lt;&gt;"&amp;""))</f>
        <v/>
      </c>
      <c r="E467" s="159" t="str">
        <f>IF(C467="","-",IF(D467&gt;0,TEXT(D467/(COUNTIFS(Başvuru!$A:$A,"&lt;&gt;",Başvuru!$F:$F,"&lt;&gt;")-1)*100,"0.0")&amp;"%","-"))</f>
        <v>-</v>
      </c>
      <c r="F467" s="162" t="str">
        <f>IF(C467="","",COUNTIFS(Başvuru!$C:$C,C467,Başvuru!$G:$G,"Bireysel Araştırma",Başvuru!$A:$A,"&lt;&gt;"&amp;"",Başvuru!$F:$F,"&lt;&gt;"&amp;""))</f>
        <v/>
      </c>
      <c r="G467" s="162" t="str">
        <f>IF(C467="","",COUNTIFS(Başvuru!$C:$C,C467,Başvuru!$G:$G,"Uzmanlık Tezi",Başvuru!$A:$A,"&lt;&gt;"&amp;"",Başvuru!$F:$F,"&lt;&gt;"&amp;""))</f>
        <v/>
      </c>
      <c r="H467" s="162" t="str">
        <f>IF(C467="","",COUNTIFS(Başvuru!$C:$C,C467,Başvuru!$G:$G,"Doktora Tezi",Başvuru!$A:$A,"&lt;&gt;"&amp;"",Başvuru!$F:$F,"&lt;&gt;"&amp;""))</f>
        <v/>
      </c>
      <c r="I467" s="162" t="str">
        <f>IF(C467="","",COUNTIFS(Başvuru!$C:$C,C467,Başvuru!$G:$G,"Yüksek Lisans Tezi",Başvuru!$A:$A,"&lt;&gt;"&amp;"",Başvuru!$F:$F,"&lt;&gt;"&amp;""))</f>
        <v/>
      </c>
      <c r="J467" s="163" t="str">
        <f>IF(C467="","",COUNTIFS(Başvuru!$C:$C,C467,Başvuru!$L:$L,"ONAY",Başvuru!$A:$A,"&lt;&gt;"&amp;"",Başvuru!$F:$F,"&lt;&gt;"&amp;""))</f>
        <v/>
      </c>
      <c r="K467" s="164" t="str">
        <f>IF(C467="","",COUNTIFS(Başvuru!$C:$C,C467,Başvuru!$L:$L,"DÜZELTME",Başvuru!$A:$A,"&lt;&gt;"&amp;"",Başvuru!$F:$F,"&lt;&gt;"&amp;""))</f>
        <v/>
      </c>
      <c r="L467" s="165" t="str">
        <f>IF(C467="","",COUNTIFS(Başvuru!$C:$C,C467,Başvuru!$L:$L,"KAEK",Başvuru!$A:$A,"&lt;&gt;"&amp;"",Başvuru!$F:$F,"&lt;&gt;"&amp;""))</f>
        <v/>
      </c>
      <c r="M467" s="166" t="str">
        <f>IF(C467="","",COUNTIFS(Başvuru!$C:$C,C467,Başvuru!$L:$L,"GÖRÜŞ",Başvuru!$A:$A,"&lt;&gt;"&amp;"",Başvuru!$F:$F,"&lt;&gt;"&amp;""))</f>
        <v/>
      </c>
      <c r="N467" s="167" t="str">
        <f>IF(C467="","",COUNTIFS(Başvuru!$C:$C,C467,Başvuru!$L:$L,"RET",Başvuru!$A:$A,"&lt;&gt;"&amp;"",Başvuru!$F:$F,"&lt;&gt;"&amp;""))</f>
        <v/>
      </c>
      <c r="O467" s="168" t="str">
        <f>IF(C467="","",COUNTIFS(Başvuru!$C:$C,C467,Başvuru!$L:$L,"KAPSAM DIŞI",Başvuru!$A:$A,"&lt;&gt;"&amp;"",Başvuru!$F:$F,"&lt;&gt;"&amp;""))</f>
        <v/>
      </c>
      <c r="P467" s="169" t="str">
        <f>IF(C467="","",COUNTIFS(Başvuru!$C:$C,C467,Başvuru!$L:$L,"GERİ ÇEKİLDİ",Başvuru!$A:$A,"&lt;&gt;"&amp;"",Başvuru!$F:$F,"&lt;&gt;"&amp;""))</f>
        <v/>
      </c>
      <c r="Q467" s="170" t="str">
        <f>IFERROR(INDEX(Başvuru!$C$2:$C$1851,MATCH(462,Başvuru!$AB$2:$AB$1851,0)),"")</f>
        <v/>
      </c>
      <c r="R467" s="171" t="str">
        <f>IF(Q467="","",COUNTIFS(Başvuru!$C:$C,Q467,Başvuru!$A:$A,"&lt;&gt;"&amp;"",Başvuru!$F:$F,"&lt;&gt;"&amp;""))</f>
        <v/>
      </c>
      <c r="S467" s="171" t="str">
        <f>IF(R467="","",RANK(R467,$R$6:$R$505,0)+COUNTIF($R$6:R467,R467)-1)</f>
        <v/>
      </c>
    </row>
    <row r="468" spans="2:19" ht="23.25" customHeight="1" x14ac:dyDescent="0.25">
      <c r="B468" s="159">
        <v>463</v>
      </c>
      <c r="C468" s="160" t="str">
        <f>IFERROR(INDEX($Q$6:$Q$505,MATCH(463,$S$6:$S$505,0)),"")</f>
        <v/>
      </c>
      <c r="D468" s="161" t="str">
        <f>IF(C468="","",COUNTIFS(Başvuru!$C:$C,C468,Başvuru!$A:$A,"&lt;&gt;"&amp;"",Başvuru!$F:$F,"&lt;&gt;"&amp;""))</f>
        <v/>
      </c>
      <c r="E468" s="159" t="str">
        <f>IF(C468="","-",IF(D468&gt;0,TEXT(D468/(COUNTIFS(Başvuru!$A:$A,"&lt;&gt;",Başvuru!$F:$F,"&lt;&gt;")-1)*100,"0.0")&amp;"%","-"))</f>
        <v>-</v>
      </c>
      <c r="F468" s="162" t="str">
        <f>IF(C468="","",COUNTIFS(Başvuru!$C:$C,C468,Başvuru!$G:$G,"Bireysel Araştırma",Başvuru!$A:$A,"&lt;&gt;"&amp;"",Başvuru!$F:$F,"&lt;&gt;"&amp;""))</f>
        <v/>
      </c>
      <c r="G468" s="162" t="str">
        <f>IF(C468="","",COUNTIFS(Başvuru!$C:$C,C468,Başvuru!$G:$G,"Uzmanlık Tezi",Başvuru!$A:$A,"&lt;&gt;"&amp;"",Başvuru!$F:$F,"&lt;&gt;"&amp;""))</f>
        <v/>
      </c>
      <c r="H468" s="162" t="str">
        <f>IF(C468="","",COUNTIFS(Başvuru!$C:$C,C468,Başvuru!$G:$G,"Doktora Tezi",Başvuru!$A:$A,"&lt;&gt;"&amp;"",Başvuru!$F:$F,"&lt;&gt;"&amp;""))</f>
        <v/>
      </c>
      <c r="I468" s="162" t="str">
        <f>IF(C468="","",COUNTIFS(Başvuru!$C:$C,C468,Başvuru!$G:$G,"Yüksek Lisans Tezi",Başvuru!$A:$A,"&lt;&gt;"&amp;"",Başvuru!$F:$F,"&lt;&gt;"&amp;""))</f>
        <v/>
      </c>
      <c r="J468" s="163" t="str">
        <f>IF(C468="","",COUNTIFS(Başvuru!$C:$C,C468,Başvuru!$L:$L,"ONAY",Başvuru!$A:$A,"&lt;&gt;"&amp;"",Başvuru!$F:$F,"&lt;&gt;"&amp;""))</f>
        <v/>
      </c>
      <c r="K468" s="164" t="str">
        <f>IF(C468="","",COUNTIFS(Başvuru!$C:$C,C468,Başvuru!$L:$L,"DÜZELTME",Başvuru!$A:$A,"&lt;&gt;"&amp;"",Başvuru!$F:$F,"&lt;&gt;"&amp;""))</f>
        <v/>
      </c>
      <c r="L468" s="165" t="str">
        <f>IF(C468="","",COUNTIFS(Başvuru!$C:$C,C468,Başvuru!$L:$L,"KAEK",Başvuru!$A:$A,"&lt;&gt;"&amp;"",Başvuru!$F:$F,"&lt;&gt;"&amp;""))</f>
        <v/>
      </c>
      <c r="M468" s="166" t="str">
        <f>IF(C468="","",COUNTIFS(Başvuru!$C:$C,C468,Başvuru!$L:$L,"GÖRÜŞ",Başvuru!$A:$A,"&lt;&gt;"&amp;"",Başvuru!$F:$F,"&lt;&gt;"&amp;""))</f>
        <v/>
      </c>
      <c r="N468" s="167" t="str">
        <f>IF(C468="","",COUNTIFS(Başvuru!$C:$C,C468,Başvuru!$L:$L,"RET",Başvuru!$A:$A,"&lt;&gt;"&amp;"",Başvuru!$F:$F,"&lt;&gt;"&amp;""))</f>
        <v/>
      </c>
      <c r="O468" s="168" t="str">
        <f>IF(C468="","",COUNTIFS(Başvuru!$C:$C,C468,Başvuru!$L:$L,"KAPSAM DIŞI",Başvuru!$A:$A,"&lt;&gt;"&amp;"",Başvuru!$F:$F,"&lt;&gt;"&amp;""))</f>
        <v/>
      </c>
      <c r="P468" s="169" t="str">
        <f>IF(C468="","",COUNTIFS(Başvuru!$C:$C,C468,Başvuru!$L:$L,"GERİ ÇEKİLDİ",Başvuru!$A:$A,"&lt;&gt;"&amp;"",Başvuru!$F:$F,"&lt;&gt;"&amp;""))</f>
        <v/>
      </c>
      <c r="Q468" s="170" t="str">
        <f>IFERROR(INDEX(Başvuru!$C$2:$C$1851,MATCH(463,Başvuru!$AB$2:$AB$1851,0)),"")</f>
        <v/>
      </c>
      <c r="R468" s="171" t="str">
        <f>IF(Q468="","",COUNTIFS(Başvuru!$C:$C,Q468,Başvuru!$A:$A,"&lt;&gt;"&amp;"",Başvuru!$F:$F,"&lt;&gt;"&amp;""))</f>
        <v/>
      </c>
      <c r="S468" s="171" t="str">
        <f>IF(R468="","",RANK(R468,$R$6:$R$505,0)+COUNTIF($R$6:R468,R468)-1)</f>
        <v/>
      </c>
    </row>
    <row r="469" spans="2:19" ht="23.25" customHeight="1" x14ac:dyDescent="0.25">
      <c r="B469" s="159">
        <v>464</v>
      </c>
      <c r="C469" s="160" t="str">
        <f>IFERROR(INDEX($Q$6:$Q$505,MATCH(464,$S$6:$S$505,0)),"")</f>
        <v/>
      </c>
      <c r="D469" s="161" t="str">
        <f>IF(C469="","",COUNTIFS(Başvuru!$C:$C,C469,Başvuru!$A:$A,"&lt;&gt;"&amp;"",Başvuru!$F:$F,"&lt;&gt;"&amp;""))</f>
        <v/>
      </c>
      <c r="E469" s="159" t="str">
        <f>IF(C469="","-",IF(D469&gt;0,TEXT(D469/(COUNTIFS(Başvuru!$A:$A,"&lt;&gt;",Başvuru!$F:$F,"&lt;&gt;")-1)*100,"0.0")&amp;"%","-"))</f>
        <v>-</v>
      </c>
      <c r="F469" s="162" t="str">
        <f>IF(C469="","",COUNTIFS(Başvuru!$C:$C,C469,Başvuru!$G:$G,"Bireysel Araştırma",Başvuru!$A:$A,"&lt;&gt;"&amp;"",Başvuru!$F:$F,"&lt;&gt;"&amp;""))</f>
        <v/>
      </c>
      <c r="G469" s="162" t="str">
        <f>IF(C469="","",COUNTIFS(Başvuru!$C:$C,C469,Başvuru!$G:$G,"Uzmanlık Tezi",Başvuru!$A:$A,"&lt;&gt;"&amp;"",Başvuru!$F:$F,"&lt;&gt;"&amp;""))</f>
        <v/>
      </c>
      <c r="H469" s="162" t="str">
        <f>IF(C469="","",COUNTIFS(Başvuru!$C:$C,C469,Başvuru!$G:$G,"Doktora Tezi",Başvuru!$A:$A,"&lt;&gt;"&amp;"",Başvuru!$F:$F,"&lt;&gt;"&amp;""))</f>
        <v/>
      </c>
      <c r="I469" s="162" t="str">
        <f>IF(C469="","",COUNTIFS(Başvuru!$C:$C,C469,Başvuru!$G:$G,"Yüksek Lisans Tezi",Başvuru!$A:$A,"&lt;&gt;"&amp;"",Başvuru!$F:$F,"&lt;&gt;"&amp;""))</f>
        <v/>
      </c>
      <c r="J469" s="163" t="str">
        <f>IF(C469="","",COUNTIFS(Başvuru!$C:$C,C469,Başvuru!$L:$L,"ONAY",Başvuru!$A:$A,"&lt;&gt;"&amp;"",Başvuru!$F:$F,"&lt;&gt;"&amp;""))</f>
        <v/>
      </c>
      <c r="K469" s="164" t="str">
        <f>IF(C469="","",COUNTIFS(Başvuru!$C:$C,C469,Başvuru!$L:$L,"DÜZELTME",Başvuru!$A:$A,"&lt;&gt;"&amp;"",Başvuru!$F:$F,"&lt;&gt;"&amp;""))</f>
        <v/>
      </c>
      <c r="L469" s="165" t="str">
        <f>IF(C469="","",COUNTIFS(Başvuru!$C:$C,C469,Başvuru!$L:$L,"KAEK",Başvuru!$A:$A,"&lt;&gt;"&amp;"",Başvuru!$F:$F,"&lt;&gt;"&amp;""))</f>
        <v/>
      </c>
      <c r="M469" s="166" t="str">
        <f>IF(C469="","",COUNTIFS(Başvuru!$C:$C,C469,Başvuru!$L:$L,"GÖRÜŞ",Başvuru!$A:$A,"&lt;&gt;"&amp;"",Başvuru!$F:$F,"&lt;&gt;"&amp;""))</f>
        <v/>
      </c>
      <c r="N469" s="167" t="str">
        <f>IF(C469="","",COUNTIFS(Başvuru!$C:$C,C469,Başvuru!$L:$L,"RET",Başvuru!$A:$A,"&lt;&gt;"&amp;"",Başvuru!$F:$F,"&lt;&gt;"&amp;""))</f>
        <v/>
      </c>
      <c r="O469" s="168" t="str">
        <f>IF(C469="","",COUNTIFS(Başvuru!$C:$C,C469,Başvuru!$L:$L,"KAPSAM DIŞI",Başvuru!$A:$A,"&lt;&gt;"&amp;"",Başvuru!$F:$F,"&lt;&gt;"&amp;""))</f>
        <v/>
      </c>
      <c r="P469" s="169" t="str">
        <f>IF(C469="","",COUNTIFS(Başvuru!$C:$C,C469,Başvuru!$L:$L,"GERİ ÇEKİLDİ",Başvuru!$A:$A,"&lt;&gt;"&amp;"",Başvuru!$F:$F,"&lt;&gt;"&amp;""))</f>
        <v/>
      </c>
      <c r="Q469" s="170" t="str">
        <f>IFERROR(INDEX(Başvuru!$C$2:$C$1851,MATCH(464,Başvuru!$AB$2:$AB$1851,0)),"")</f>
        <v/>
      </c>
      <c r="R469" s="171" t="str">
        <f>IF(Q469="","",COUNTIFS(Başvuru!$C:$C,Q469,Başvuru!$A:$A,"&lt;&gt;"&amp;"",Başvuru!$F:$F,"&lt;&gt;"&amp;""))</f>
        <v/>
      </c>
      <c r="S469" s="171" t="str">
        <f>IF(R469="","",RANK(R469,$R$6:$R$505,0)+COUNTIF($R$6:R469,R469)-1)</f>
        <v/>
      </c>
    </row>
    <row r="470" spans="2:19" ht="23.25" customHeight="1" x14ac:dyDescent="0.25">
      <c r="B470" s="159">
        <v>465</v>
      </c>
      <c r="C470" s="160" t="str">
        <f>IFERROR(INDEX($Q$6:$Q$505,MATCH(465,$S$6:$S$505,0)),"")</f>
        <v/>
      </c>
      <c r="D470" s="161" t="str">
        <f>IF(C470="","",COUNTIFS(Başvuru!$C:$C,C470,Başvuru!$A:$A,"&lt;&gt;"&amp;"",Başvuru!$F:$F,"&lt;&gt;"&amp;""))</f>
        <v/>
      </c>
      <c r="E470" s="159" t="str">
        <f>IF(C470="","-",IF(D470&gt;0,TEXT(D470/(COUNTIFS(Başvuru!$A:$A,"&lt;&gt;",Başvuru!$F:$F,"&lt;&gt;")-1)*100,"0.0")&amp;"%","-"))</f>
        <v>-</v>
      </c>
      <c r="F470" s="162" t="str">
        <f>IF(C470="","",COUNTIFS(Başvuru!$C:$C,C470,Başvuru!$G:$G,"Bireysel Araştırma",Başvuru!$A:$A,"&lt;&gt;"&amp;"",Başvuru!$F:$F,"&lt;&gt;"&amp;""))</f>
        <v/>
      </c>
      <c r="G470" s="162" t="str">
        <f>IF(C470="","",COUNTIFS(Başvuru!$C:$C,C470,Başvuru!$G:$G,"Uzmanlık Tezi",Başvuru!$A:$A,"&lt;&gt;"&amp;"",Başvuru!$F:$F,"&lt;&gt;"&amp;""))</f>
        <v/>
      </c>
      <c r="H470" s="162" t="str">
        <f>IF(C470="","",COUNTIFS(Başvuru!$C:$C,C470,Başvuru!$G:$G,"Doktora Tezi",Başvuru!$A:$A,"&lt;&gt;"&amp;"",Başvuru!$F:$F,"&lt;&gt;"&amp;""))</f>
        <v/>
      </c>
      <c r="I470" s="162" t="str">
        <f>IF(C470="","",COUNTIFS(Başvuru!$C:$C,C470,Başvuru!$G:$G,"Yüksek Lisans Tezi",Başvuru!$A:$A,"&lt;&gt;"&amp;"",Başvuru!$F:$F,"&lt;&gt;"&amp;""))</f>
        <v/>
      </c>
      <c r="J470" s="163" t="str">
        <f>IF(C470="","",COUNTIFS(Başvuru!$C:$C,C470,Başvuru!$L:$L,"ONAY",Başvuru!$A:$A,"&lt;&gt;"&amp;"",Başvuru!$F:$F,"&lt;&gt;"&amp;""))</f>
        <v/>
      </c>
      <c r="K470" s="164" t="str">
        <f>IF(C470="","",COUNTIFS(Başvuru!$C:$C,C470,Başvuru!$L:$L,"DÜZELTME",Başvuru!$A:$A,"&lt;&gt;"&amp;"",Başvuru!$F:$F,"&lt;&gt;"&amp;""))</f>
        <v/>
      </c>
      <c r="L470" s="165" t="str">
        <f>IF(C470="","",COUNTIFS(Başvuru!$C:$C,C470,Başvuru!$L:$L,"KAEK",Başvuru!$A:$A,"&lt;&gt;"&amp;"",Başvuru!$F:$F,"&lt;&gt;"&amp;""))</f>
        <v/>
      </c>
      <c r="M470" s="166" t="str">
        <f>IF(C470="","",COUNTIFS(Başvuru!$C:$C,C470,Başvuru!$L:$L,"GÖRÜŞ",Başvuru!$A:$A,"&lt;&gt;"&amp;"",Başvuru!$F:$F,"&lt;&gt;"&amp;""))</f>
        <v/>
      </c>
      <c r="N470" s="167" t="str">
        <f>IF(C470="","",COUNTIFS(Başvuru!$C:$C,C470,Başvuru!$L:$L,"RET",Başvuru!$A:$A,"&lt;&gt;"&amp;"",Başvuru!$F:$F,"&lt;&gt;"&amp;""))</f>
        <v/>
      </c>
      <c r="O470" s="168" t="str">
        <f>IF(C470="","",COUNTIFS(Başvuru!$C:$C,C470,Başvuru!$L:$L,"KAPSAM DIŞI",Başvuru!$A:$A,"&lt;&gt;"&amp;"",Başvuru!$F:$F,"&lt;&gt;"&amp;""))</f>
        <v/>
      </c>
      <c r="P470" s="169" t="str">
        <f>IF(C470="","",COUNTIFS(Başvuru!$C:$C,C470,Başvuru!$L:$L,"GERİ ÇEKİLDİ",Başvuru!$A:$A,"&lt;&gt;"&amp;"",Başvuru!$F:$F,"&lt;&gt;"&amp;""))</f>
        <v/>
      </c>
      <c r="Q470" s="170" t="str">
        <f>IFERROR(INDEX(Başvuru!$C$2:$C$1851,MATCH(465,Başvuru!$AB$2:$AB$1851,0)),"")</f>
        <v/>
      </c>
      <c r="R470" s="171" t="str">
        <f>IF(Q470="","",COUNTIFS(Başvuru!$C:$C,Q470,Başvuru!$A:$A,"&lt;&gt;"&amp;"",Başvuru!$F:$F,"&lt;&gt;"&amp;""))</f>
        <v/>
      </c>
      <c r="S470" s="171" t="str">
        <f>IF(R470="","",RANK(R470,$R$6:$R$505,0)+COUNTIF($R$6:R470,R470)-1)</f>
        <v/>
      </c>
    </row>
    <row r="471" spans="2:19" ht="23.25" customHeight="1" x14ac:dyDescent="0.25">
      <c r="B471" s="159">
        <v>466</v>
      </c>
      <c r="C471" s="160" t="str">
        <f>IFERROR(INDEX($Q$6:$Q$505,MATCH(466,$S$6:$S$505,0)),"")</f>
        <v/>
      </c>
      <c r="D471" s="161" t="str">
        <f>IF(C471="","",COUNTIFS(Başvuru!$C:$C,C471,Başvuru!$A:$A,"&lt;&gt;"&amp;"",Başvuru!$F:$F,"&lt;&gt;"&amp;""))</f>
        <v/>
      </c>
      <c r="E471" s="159" t="str">
        <f>IF(C471="","-",IF(D471&gt;0,TEXT(D471/(COUNTIFS(Başvuru!$A:$A,"&lt;&gt;",Başvuru!$F:$F,"&lt;&gt;")-1)*100,"0.0")&amp;"%","-"))</f>
        <v>-</v>
      </c>
      <c r="F471" s="162" t="str">
        <f>IF(C471="","",COUNTIFS(Başvuru!$C:$C,C471,Başvuru!$G:$G,"Bireysel Araştırma",Başvuru!$A:$A,"&lt;&gt;"&amp;"",Başvuru!$F:$F,"&lt;&gt;"&amp;""))</f>
        <v/>
      </c>
      <c r="G471" s="162" t="str">
        <f>IF(C471="","",COUNTIFS(Başvuru!$C:$C,C471,Başvuru!$G:$G,"Uzmanlık Tezi",Başvuru!$A:$A,"&lt;&gt;"&amp;"",Başvuru!$F:$F,"&lt;&gt;"&amp;""))</f>
        <v/>
      </c>
      <c r="H471" s="162" t="str">
        <f>IF(C471="","",COUNTIFS(Başvuru!$C:$C,C471,Başvuru!$G:$G,"Doktora Tezi",Başvuru!$A:$A,"&lt;&gt;"&amp;"",Başvuru!$F:$F,"&lt;&gt;"&amp;""))</f>
        <v/>
      </c>
      <c r="I471" s="162" t="str">
        <f>IF(C471="","",COUNTIFS(Başvuru!$C:$C,C471,Başvuru!$G:$G,"Yüksek Lisans Tezi",Başvuru!$A:$A,"&lt;&gt;"&amp;"",Başvuru!$F:$F,"&lt;&gt;"&amp;""))</f>
        <v/>
      </c>
      <c r="J471" s="163" t="str">
        <f>IF(C471="","",COUNTIFS(Başvuru!$C:$C,C471,Başvuru!$L:$L,"ONAY",Başvuru!$A:$A,"&lt;&gt;"&amp;"",Başvuru!$F:$F,"&lt;&gt;"&amp;""))</f>
        <v/>
      </c>
      <c r="K471" s="164" t="str">
        <f>IF(C471="","",COUNTIFS(Başvuru!$C:$C,C471,Başvuru!$L:$L,"DÜZELTME",Başvuru!$A:$A,"&lt;&gt;"&amp;"",Başvuru!$F:$F,"&lt;&gt;"&amp;""))</f>
        <v/>
      </c>
      <c r="L471" s="165" t="str">
        <f>IF(C471="","",COUNTIFS(Başvuru!$C:$C,C471,Başvuru!$L:$L,"KAEK",Başvuru!$A:$A,"&lt;&gt;"&amp;"",Başvuru!$F:$F,"&lt;&gt;"&amp;""))</f>
        <v/>
      </c>
      <c r="M471" s="166" t="str">
        <f>IF(C471="","",COUNTIFS(Başvuru!$C:$C,C471,Başvuru!$L:$L,"GÖRÜŞ",Başvuru!$A:$A,"&lt;&gt;"&amp;"",Başvuru!$F:$F,"&lt;&gt;"&amp;""))</f>
        <v/>
      </c>
      <c r="N471" s="167" t="str">
        <f>IF(C471="","",COUNTIFS(Başvuru!$C:$C,C471,Başvuru!$L:$L,"RET",Başvuru!$A:$A,"&lt;&gt;"&amp;"",Başvuru!$F:$F,"&lt;&gt;"&amp;""))</f>
        <v/>
      </c>
      <c r="O471" s="168" t="str">
        <f>IF(C471="","",COUNTIFS(Başvuru!$C:$C,C471,Başvuru!$L:$L,"KAPSAM DIŞI",Başvuru!$A:$A,"&lt;&gt;"&amp;"",Başvuru!$F:$F,"&lt;&gt;"&amp;""))</f>
        <v/>
      </c>
      <c r="P471" s="169" t="str">
        <f>IF(C471="","",COUNTIFS(Başvuru!$C:$C,C471,Başvuru!$L:$L,"GERİ ÇEKİLDİ",Başvuru!$A:$A,"&lt;&gt;"&amp;"",Başvuru!$F:$F,"&lt;&gt;"&amp;""))</f>
        <v/>
      </c>
      <c r="Q471" s="170" t="str">
        <f>IFERROR(INDEX(Başvuru!$C$2:$C$1851,MATCH(466,Başvuru!$AB$2:$AB$1851,0)),"")</f>
        <v/>
      </c>
      <c r="R471" s="171" t="str">
        <f>IF(Q471="","",COUNTIFS(Başvuru!$C:$C,Q471,Başvuru!$A:$A,"&lt;&gt;"&amp;"",Başvuru!$F:$F,"&lt;&gt;"&amp;""))</f>
        <v/>
      </c>
      <c r="S471" s="171" t="str">
        <f>IF(R471="","",RANK(R471,$R$6:$R$505,0)+COUNTIF($R$6:R471,R471)-1)</f>
        <v/>
      </c>
    </row>
    <row r="472" spans="2:19" ht="23.25" customHeight="1" x14ac:dyDescent="0.25">
      <c r="B472" s="159">
        <v>467</v>
      </c>
      <c r="C472" s="160" t="str">
        <f>IFERROR(INDEX($Q$6:$Q$505,MATCH(467,$S$6:$S$505,0)),"")</f>
        <v/>
      </c>
      <c r="D472" s="161" t="str">
        <f>IF(C472="","",COUNTIFS(Başvuru!$C:$C,C472,Başvuru!$A:$A,"&lt;&gt;"&amp;"",Başvuru!$F:$F,"&lt;&gt;"&amp;""))</f>
        <v/>
      </c>
      <c r="E472" s="159" t="str">
        <f>IF(C472="","-",IF(D472&gt;0,TEXT(D472/(COUNTIFS(Başvuru!$A:$A,"&lt;&gt;",Başvuru!$F:$F,"&lt;&gt;")-1)*100,"0.0")&amp;"%","-"))</f>
        <v>-</v>
      </c>
      <c r="F472" s="162" t="str">
        <f>IF(C472="","",COUNTIFS(Başvuru!$C:$C,C472,Başvuru!$G:$G,"Bireysel Araştırma",Başvuru!$A:$A,"&lt;&gt;"&amp;"",Başvuru!$F:$F,"&lt;&gt;"&amp;""))</f>
        <v/>
      </c>
      <c r="G472" s="162" t="str">
        <f>IF(C472="","",COUNTIFS(Başvuru!$C:$C,C472,Başvuru!$G:$G,"Uzmanlık Tezi",Başvuru!$A:$A,"&lt;&gt;"&amp;"",Başvuru!$F:$F,"&lt;&gt;"&amp;""))</f>
        <v/>
      </c>
      <c r="H472" s="162" t="str">
        <f>IF(C472="","",COUNTIFS(Başvuru!$C:$C,C472,Başvuru!$G:$G,"Doktora Tezi",Başvuru!$A:$A,"&lt;&gt;"&amp;"",Başvuru!$F:$F,"&lt;&gt;"&amp;""))</f>
        <v/>
      </c>
      <c r="I472" s="162" t="str">
        <f>IF(C472="","",COUNTIFS(Başvuru!$C:$C,C472,Başvuru!$G:$G,"Yüksek Lisans Tezi",Başvuru!$A:$A,"&lt;&gt;"&amp;"",Başvuru!$F:$F,"&lt;&gt;"&amp;""))</f>
        <v/>
      </c>
      <c r="J472" s="163" t="str">
        <f>IF(C472="","",COUNTIFS(Başvuru!$C:$C,C472,Başvuru!$L:$L,"ONAY",Başvuru!$A:$A,"&lt;&gt;"&amp;"",Başvuru!$F:$F,"&lt;&gt;"&amp;""))</f>
        <v/>
      </c>
      <c r="K472" s="164" t="str">
        <f>IF(C472="","",COUNTIFS(Başvuru!$C:$C,C472,Başvuru!$L:$L,"DÜZELTME",Başvuru!$A:$A,"&lt;&gt;"&amp;"",Başvuru!$F:$F,"&lt;&gt;"&amp;""))</f>
        <v/>
      </c>
      <c r="L472" s="165" t="str">
        <f>IF(C472="","",COUNTIFS(Başvuru!$C:$C,C472,Başvuru!$L:$L,"KAEK",Başvuru!$A:$A,"&lt;&gt;"&amp;"",Başvuru!$F:$F,"&lt;&gt;"&amp;""))</f>
        <v/>
      </c>
      <c r="M472" s="166" t="str">
        <f>IF(C472="","",COUNTIFS(Başvuru!$C:$C,C472,Başvuru!$L:$L,"GÖRÜŞ",Başvuru!$A:$A,"&lt;&gt;"&amp;"",Başvuru!$F:$F,"&lt;&gt;"&amp;""))</f>
        <v/>
      </c>
      <c r="N472" s="167" t="str">
        <f>IF(C472="","",COUNTIFS(Başvuru!$C:$C,C472,Başvuru!$L:$L,"RET",Başvuru!$A:$A,"&lt;&gt;"&amp;"",Başvuru!$F:$F,"&lt;&gt;"&amp;""))</f>
        <v/>
      </c>
      <c r="O472" s="168" t="str">
        <f>IF(C472="","",COUNTIFS(Başvuru!$C:$C,C472,Başvuru!$L:$L,"KAPSAM DIŞI",Başvuru!$A:$A,"&lt;&gt;"&amp;"",Başvuru!$F:$F,"&lt;&gt;"&amp;""))</f>
        <v/>
      </c>
      <c r="P472" s="169" t="str">
        <f>IF(C472="","",COUNTIFS(Başvuru!$C:$C,C472,Başvuru!$L:$L,"GERİ ÇEKİLDİ",Başvuru!$A:$A,"&lt;&gt;"&amp;"",Başvuru!$F:$F,"&lt;&gt;"&amp;""))</f>
        <v/>
      </c>
      <c r="Q472" s="170" t="str">
        <f>IFERROR(INDEX(Başvuru!$C$2:$C$1851,MATCH(467,Başvuru!$AB$2:$AB$1851,0)),"")</f>
        <v/>
      </c>
      <c r="R472" s="171" t="str">
        <f>IF(Q472="","",COUNTIFS(Başvuru!$C:$C,Q472,Başvuru!$A:$A,"&lt;&gt;"&amp;"",Başvuru!$F:$F,"&lt;&gt;"&amp;""))</f>
        <v/>
      </c>
      <c r="S472" s="171" t="str">
        <f>IF(R472="","",RANK(R472,$R$6:$R$505,0)+COUNTIF($R$6:R472,R472)-1)</f>
        <v/>
      </c>
    </row>
    <row r="473" spans="2:19" ht="23.25" customHeight="1" x14ac:dyDescent="0.25">
      <c r="B473" s="159">
        <v>468</v>
      </c>
      <c r="C473" s="160" t="str">
        <f>IFERROR(INDEX($Q$6:$Q$505,MATCH(468,$S$6:$S$505,0)),"")</f>
        <v/>
      </c>
      <c r="D473" s="161" t="str">
        <f>IF(C473="","",COUNTIFS(Başvuru!$C:$C,C473,Başvuru!$A:$A,"&lt;&gt;"&amp;"",Başvuru!$F:$F,"&lt;&gt;"&amp;""))</f>
        <v/>
      </c>
      <c r="E473" s="159" t="str">
        <f>IF(C473="","-",IF(D473&gt;0,TEXT(D473/(COUNTIFS(Başvuru!$A:$A,"&lt;&gt;",Başvuru!$F:$F,"&lt;&gt;")-1)*100,"0.0")&amp;"%","-"))</f>
        <v>-</v>
      </c>
      <c r="F473" s="162" t="str">
        <f>IF(C473="","",COUNTIFS(Başvuru!$C:$C,C473,Başvuru!$G:$G,"Bireysel Araştırma",Başvuru!$A:$A,"&lt;&gt;"&amp;"",Başvuru!$F:$F,"&lt;&gt;"&amp;""))</f>
        <v/>
      </c>
      <c r="G473" s="162" t="str">
        <f>IF(C473="","",COUNTIFS(Başvuru!$C:$C,C473,Başvuru!$G:$G,"Uzmanlık Tezi",Başvuru!$A:$A,"&lt;&gt;"&amp;"",Başvuru!$F:$F,"&lt;&gt;"&amp;""))</f>
        <v/>
      </c>
      <c r="H473" s="162" t="str">
        <f>IF(C473="","",COUNTIFS(Başvuru!$C:$C,C473,Başvuru!$G:$G,"Doktora Tezi",Başvuru!$A:$A,"&lt;&gt;"&amp;"",Başvuru!$F:$F,"&lt;&gt;"&amp;""))</f>
        <v/>
      </c>
      <c r="I473" s="162" t="str">
        <f>IF(C473="","",COUNTIFS(Başvuru!$C:$C,C473,Başvuru!$G:$G,"Yüksek Lisans Tezi",Başvuru!$A:$A,"&lt;&gt;"&amp;"",Başvuru!$F:$F,"&lt;&gt;"&amp;""))</f>
        <v/>
      </c>
      <c r="J473" s="163" t="str">
        <f>IF(C473="","",COUNTIFS(Başvuru!$C:$C,C473,Başvuru!$L:$L,"ONAY",Başvuru!$A:$A,"&lt;&gt;"&amp;"",Başvuru!$F:$F,"&lt;&gt;"&amp;""))</f>
        <v/>
      </c>
      <c r="K473" s="164" t="str">
        <f>IF(C473="","",COUNTIFS(Başvuru!$C:$C,C473,Başvuru!$L:$L,"DÜZELTME",Başvuru!$A:$A,"&lt;&gt;"&amp;"",Başvuru!$F:$F,"&lt;&gt;"&amp;""))</f>
        <v/>
      </c>
      <c r="L473" s="165" t="str">
        <f>IF(C473="","",COUNTIFS(Başvuru!$C:$C,C473,Başvuru!$L:$L,"KAEK",Başvuru!$A:$A,"&lt;&gt;"&amp;"",Başvuru!$F:$F,"&lt;&gt;"&amp;""))</f>
        <v/>
      </c>
      <c r="M473" s="166" t="str">
        <f>IF(C473="","",COUNTIFS(Başvuru!$C:$C,C473,Başvuru!$L:$L,"GÖRÜŞ",Başvuru!$A:$A,"&lt;&gt;"&amp;"",Başvuru!$F:$F,"&lt;&gt;"&amp;""))</f>
        <v/>
      </c>
      <c r="N473" s="167" t="str">
        <f>IF(C473="","",COUNTIFS(Başvuru!$C:$C,C473,Başvuru!$L:$L,"RET",Başvuru!$A:$A,"&lt;&gt;"&amp;"",Başvuru!$F:$F,"&lt;&gt;"&amp;""))</f>
        <v/>
      </c>
      <c r="O473" s="168" t="str">
        <f>IF(C473="","",COUNTIFS(Başvuru!$C:$C,C473,Başvuru!$L:$L,"KAPSAM DIŞI",Başvuru!$A:$A,"&lt;&gt;"&amp;"",Başvuru!$F:$F,"&lt;&gt;"&amp;""))</f>
        <v/>
      </c>
      <c r="P473" s="169" t="str">
        <f>IF(C473="","",COUNTIFS(Başvuru!$C:$C,C473,Başvuru!$L:$L,"GERİ ÇEKİLDİ",Başvuru!$A:$A,"&lt;&gt;"&amp;"",Başvuru!$F:$F,"&lt;&gt;"&amp;""))</f>
        <v/>
      </c>
      <c r="Q473" s="170" t="str">
        <f>IFERROR(INDEX(Başvuru!$C$2:$C$1851,MATCH(468,Başvuru!$AB$2:$AB$1851,0)),"")</f>
        <v/>
      </c>
      <c r="R473" s="171" t="str">
        <f>IF(Q473="","",COUNTIFS(Başvuru!$C:$C,Q473,Başvuru!$A:$A,"&lt;&gt;"&amp;"",Başvuru!$F:$F,"&lt;&gt;"&amp;""))</f>
        <v/>
      </c>
      <c r="S473" s="171" t="str">
        <f>IF(R473="","",RANK(R473,$R$6:$R$505,0)+COUNTIF($R$6:R473,R473)-1)</f>
        <v/>
      </c>
    </row>
    <row r="474" spans="2:19" ht="23.25" customHeight="1" x14ac:dyDescent="0.25">
      <c r="B474" s="159">
        <v>469</v>
      </c>
      <c r="C474" s="160" t="str">
        <f>IFERROR(INDEX($Q$6:$Q$505,MATCH(469,$S$6:$S$505,0)),"")</f>
        <v/>
      </c>
      <c r="D474" s="161" t="str">
        <f>IF(C474="","",COUNTIFS(Başvuru!$C:$C,C474,Başvuru!$A:$A,"&lt;&gt;"&amp;"",Başvuru!$F:$F,"&lt;&gt;"&amp;""))</f>
        <v/>
      </c>
      <c r="E474" s="159" t="str">
        <f>IF(C474="","-",IF(D474&gt;0,TEXT(D474/(COUNTIFS(Başvuru!$A:$A,"&lt;&gt;",Başvuru!$F:$F,"&lt;&gt;")-1)*100,"0.0")&amp;"%","-"))</f>
        <v>-</v>
      </c>
      <c r="F474" s="162" t="str">
        <f>IF(C474="","",COUNTIFS(Başvuru!$C:$C,C474,Başvuru!$G:$G,"Bireysel Araştırma",Başvuru!$A:$A,"&lt;&gt;"&amp;"",Başvuru!$F:$F,"&lt;&gt;"&amp;""))</f>
        <v/>
      </c>
      <c r="G474" s="162" t="str">
        <f>IF(C474="","",COUNTIFS(Başvuru!$C:$C,C474,Başvuru!$G:$G,"Uzmanlık Tezi",Başvuru!$A:$A,"&lt;&gt;"&amp;"",Başvuru!$F:$F,"&lt;&gt;"&amp;""))</f>
        <v/>
      </c>
      <c r="H474" s="162" t="str">
        <f>IF(C474="","",COUNTIFS(Başvuru!$C:$C,C474,Başvuru!$G:$G,"Doktora Tezi",Başvuru!$A:$A,"&lt;&gt;"&amp;"",Başvuru!$F:$F,"&lt;&gt;"&amp;""))</f>
        <v/>
      </c>
      <c r="I474" s="162" t="str">
        <f>IF(C474="","",COUNTIFS(Başvuru!$C:$C,C474,Başvuru!$G:$G,"Yüksek Lisans Tezi",Başvuru!$A:$A,"&lt;&gt;"&amp;"",Başvuru!$F:$F,"&lt;&gt;"&amp;""))</f>
        <v/>
      </c>
      <c r="J474" s="163" t="str">
        <f>IF(C474="","",COUNTIFS(Başvuru!$C:$C,C474,Başvuru!$L:$L,"ONAY",Başvuru!$A:$A,"&lt;&gt;"&amp;"",Başvuru!$F:$F,"&lt;&gt;"&amp;""))</f>
        <v/>
      </c>
      <c r="K474" s="164" t="str">
        <f>IF(C474="","",COUNTIFS(Başvuru!$C:$C,C474,Başvuru!$L:$L,"DÜZELTME",Başvuru!$A:$A,"&lt;&gt;"&amp;"",Başvuru!$F:$F,"&lt;&gt;"&amp;""))</f>
        <v/>
      </c>
      <c r="L474" s="165" t="str">
        <f>IF(C474="","",COUNTIFS(Başvuru!$C:$C,C474,Başvuru!$L:$L,"KAEK",Başvuru!$A:$A,"&lt;&gt;"&amp;"",Başvuru!$F:$F,"&lt;&gt;"&amp;""))</f>
        <v/>
      </c>
      <c r="M474" s="166" t="str">
        <f>IF(C474="","",COUNTIFS(Başvuru!$C:$C,C474,Başvuru!$L:$L,"GÖRÜŞ",Başvuru!$A:$A,"&lt;&gt;"&amp;"",Başvuru!$F:$F,"&lt;&gt;"&amp;""))</f>
        <v/>
      </c>
      <c r="N474" s="167" t="str">
        <f>IF(C474="","",COUNTIFS(Başvuru!$C:$C,C474,Başvuru!$L:$L,"RET",Başvuru!$A:$A,"&lt;&gt;"&amp;"",Başvuru!$F:$F,"&lt;&gt;"&amp;""))</f>
        <v/>
      </c>
      <c r="O474" s="168" t="str">
        <f>IF(C474="","",COUNTIFS(Başvuru!$C:$C,C474,Başvuru!$L:$L,"KAPSAM DIŞI",Başvuru!$A:$A,"&lt;&gt;"&amp;"",Başvuru!$F:$F,"&lt;&gt;"&amp;""))</f>
        <v/>
      </c>
      <c r="P474" s="169" t="str">
        <f>IF(C474="","",COUNTIFS(Başvuru!$C:$C,C474,Başvuru!$L:$L,"GERİ ÇEKİLDİ",Başvuru!$A:$A,"&lt;&gt;"&amp;"",Başvuru!$F:$F,"&lt;&gt;"&amp;""))</f>
        <v/>
      </c>
      <c r="Q474" s="170" t="str">
        <f>IFERROR(INDEX(Başvuru!$C$2:$C$1851,MATCH(469,Başvuru!$AB$2:$AB$1851,0)),"")</f>
        <v/>
      </c>
      <c r="R474" s="171" t="str">
        <f>IF(Q474="","",COUNTIFS(Başvuru!$C:$C,Q474,Başvuru!$A:$A,"&lt;&gt;"&amp;"",Başvuru!$F:$F,"&lt;&gt;"&amp;""))</f>
        <v/>
      </c>
      <c r="S474" s="171" t="str">
        <f>IF(R474="","",RANK(R474,$R$6:$R$505,0)+COUNTIF($R$6:R474,R474)-1)</f>
        <v/>
      </c>
    </row>
    <row r="475" spans="2:19" ht="23.25" customHeight="1" x14ac:dyDescent="0.25">
      <c r="B475" s="159">
        <v>470</v>
      </c>
      <c r="C475" s="160" t="str">
        <f>IFERROR(INDEX($Q$6:$Q$505,MATCH(470,$S$6:$S$505,0)),"")</f>
        <v/>
      </c>
      <c r="D475" s="161" t="str">
        <f>IF(C475="","",COUNTIFS(Başvuru!$C:$C,C475,Başvuru!$A:$A,"&lt;&gt;"&amp;"",Başvuru!$F:$F,"&lt;&gt;"&amp;""))</f>
        <v/>
      </c>
      <c r="E475" s="159" t="str">
        <f>IF(C475="","-",IF(D475&gt;0,TEXT(D475/(COUNTIFS(Başvuru!$A:$A,"&lt;&gt;",Başvuru!$F:$F,"&lt;&gt;")-1)*100,"0.0")&amp;"%","-"))</f>
        <v>-</v>
      </c>
      <c r="F475" s="162" t="str">
        <f>IF(C475="","",COUNTIFS(Başvuru!$C:$C,C475,Başvuru!$G:$G,"Bireysel Araştırma",Başvuru!$A:$A,"&lt;&gt;"&amp;"",Başvuru!$F:$F,"&lt;&gt;"&amp;""))</f>
        <v/>
      </c>
      <c r="G475" s="162" t="str">
        <f>IF(C475="","",COUNTIFS(Başvuru!$C:$C,C475,Başvuru!$G:$G,"Uzmanlık Tezi",Başvuru!$A:$A,"&lt;&gt;"&amp;"",Başvuru!$F:$F,"&lt;&gt;"&amp;""))</f>
        <v/>
      </c>
      <c r="H475" s="162" t="str">
        <f>IF(C475="","",COUNTIFS(Başvuru!$C:$C,C475,Başvuru!$G:$G,"Doktora Tezi",Başvuru!$A:$A,"&lt;&gt;"&amp;"",Başvuru!$F:$F,"&lt;&gt;"&amp;""))</f>
        <v/>
      </c>
      <c r="I475" s="162" t="str">
        <f>IF(C475="","",COUNTIFS(Başvuru!$C:$C,C475,Başvuru!$G:$G,"Yüksek Lisans Tezi",Başvuru!$A:$A,"&lt;&gt;"&amp;"",Başvuru!$F:$F,"&lt;&gt;"&amp;""))</f>
        <v/>
      </c>
      <c r="J475" s="163" t="str">
        <f>IF(C475="","",COUNTIFS(Başvuru!$C:$C,C475,Başvuru!$L:$L,"ONAY",Başvuru!$A:$A,"&lt;&gt;"&amp;"",Başvuru!$F:$F,"&lt;&gt;"&amp;""))</f>
        <v/>
      </c>
      <c r="K475" s="164" t="str">
        <f>IF(C475="","",COUNTIFS(Başvuru!$C:$C,C475,Başvuru!$L:$L,"DÜZELTME",Başvuru!$A:$A,"&lt;&gt;"&amp;"",Başvuru!$F:$F,"&lt;&gt;"&amp;""))</f>
        <v/>
      </c>
      <c r="L475" s="165" t="str">
        <f>IF(C475="","",COUNTIFS(Başvuru!$C:$C,C475,Başvuru!$L:$L,"KAEK",Başvuru!$A:$A,"&lt;&gt;"&amp;"",Başvuru!$F:$F,"&lt;&gt;"&amp;""))</f>
        <v/>
      </c>
      <c r="M475" s="166" t="str">
        <f>IF(C475="","",COUNTIFS(Başvuru!$C:$C,C475,Başvuru!$L:$L,"GÖRÜŞ",Başvuru!$A:$A,"&lt;&gt;"&amp;"",Başvuru!$F:$F,"&lt;&gt;"&amp;""))</f>
        <v/>
      </c>
      <c r="N475" s="167" t="str">
        <f>IF(C475="","",COUNTIFS(Başvuru!$C:$C,C475,Başvuru!$L:$L,"RET",Başvuru!$A:$A,"&lt;&gt;"&amp;"",Başvuru!$F:$F,"&lt;&gt;"&amp;""))</f>
        <v/>
      </c>
      <c r="O475" s="168" t="str">
        <f>IF(C475="","",COUNTIFS(Başvuru!$C:$C,C475,Başvuru!$L:$L,"KAPSAM DIŞI",Başvuru!$A:$A,"&lt;&gt;"&amp;"",Başvuru!$F:$F,"&lt;&gt;"&amp;""))</f>
        <v/>
      </c>
      <c r="P475" s="169" t="str">
        <f>IF(C475="","",COUNTIFS(Başvuru!$C:$C,C475,Başvuru!$L:$L,"GERİ ÇEKİLDİ",Başvuru!$A:$A,"&lt;&gt;"&amp;"",Başvuru!$F:$F,"&lt;&gt;"&amp;""))</f>
        <v/>
      </c>
      <c r="Q475" s="170" t="str">
        <f>IFERROR(INDEX(Başvuru!$C$2:$C$1851,MATCH(470,Başvuru!$AB$2:$AB$1851,0)),"")</f>
        <v/>
      </c>
      <c r="R475" s="171" t="str">
        <f>IF(Q475="","",COUNTIFS(Başvuru!$C:$C,Q475,Başvuru!$A:$A,"&lt;&gt;"&amp;"",Başvuru!$F:$F,"&lt;&gt;"&amp;""))</f>
        <v/>
      </c>
      <c r="S475" s="171" t="str">
        <f>IF(R475="","",RANK(R475,$R$6:$R$505,0)+COUNTIF($R$6:R475,R475)-1)</f>
        <v/>
      </c>
    </row>
    <row r="476" spans="2:19" ht="23.25" customHeight="1" x14ac:dyDescent="0.25">
      <c r="B476" s="159">
        <v>471</v>
      </c>
      <c r="C476" s="160" t="str">
        <f>IFERROR(INDEX($Q$6:$Q$505,MATCH(471,$S$6:$S$505,0)),"")</f>
        <v/>
      </c>
      <c r="D476" s="161" t="str">
        <f>IF(C476="","",COUNTIFS(Başvuru!$C:$C,C476,Başvuru!$A:$A,"&lt;&gt;"&amp;"",Başvuru!$F:$F,"&lt;&gt;"&amp;""))</f>
        <v/>
      </c>
      <c r="E476" s="159" t="str">
        <f>IF(C476="","-",IF(D476&gt;0,TEXT(D476/(COUNTIFS(Başvuru!$A:$A,"&lt;&gt;",Başvuru!$F:$F,"&lt;&gt;")-1)*100,"0.0")&amp;"%","-"))</f>
        <v>-</v>
      </c>
      <c r="F476" s="162" t="str">
        <f>IF(C476="","",COUNTIFS(Başvuru!$C:$C,C476,Başvuru!$G:$G,"Bireysel Araştırma",Başvuru!$A:$A,"&lt;&gt;"&amp;"",Başvuru!$F:$F,"&lt;&gt;"&amp;""))</f>
        <v/>
      </c>
      <c r="G476" s="162" t="str">
        <f>IF(C476="","",COUNTIFS(Başvuru!$C:$C,C476,Başvuru!$G:$G,"Uzmanlık Tezi",Başvuru!$A:$A,"&lt;&gt;"&amp;"",Başvuru!$F:$F,"&lt;&gt;"&amp;""))</f>
        <v/>
      </c>
      <c r="H476" s="162" t="str">
        <f>IF(C476="","",COUNTIFS(Başvuru!$C:$C,C476,Başvuru!$G:$G,"Doktora Tezi",Başvuru!$A:$A,"&lt;&gt;"&amp;"",Başvuru!$F:$F,"&lt;&gt;"&amp;""))</f>
        <v/>
      </c>
      <c r="I476" s="162" t="str">
        <f>IF(C476="","",COUNTIFS(Başvuru!$C:$C,C476,Başvuru!$G:$G,"Yüksek Lisans Tezi",Başvuru!$A:$A,"&lt;&gt;"&amp;"",Başvuru!$F:$F,"&lt;&gt;"&amp;""))</f>
        <v/>
      </c>
      <c r="J476" s="163" t="str">
        <f>IF(C476="","",COUNTIFS(Başvuru!$C:$C,C476,Başvuru!$L:$L,"ONAY",Başvuru!$A:$A,"&lt;&gt;"&amp;"",Başvuru!$F:$F,"&lt;&gt;"&amp;""))</f>
        <v/>
      </c>
      <c r="K476" s="164" t="str">
        <f>IF(C476="","",COUNTIFS(Başvuru!$C:$C,C476,Başvuru!$L:$L,"DÜZELTME",Başvuru!$A:$A,"&lt;&gt;"&amp;"",Başvuru!$F:$F,"&lt;&gt;"&amp;""))</f>
        <v/>
      </c>
      <c r="L476" s="165" t="str">
        <f>IF(C476="","",COUNTIFS(Başvuru!$C:$C,C476,Başvuru!$L:$L,"KAEK",Başvuru!$A:$A,"&lt;&gt;"&amp;"",Başvuru!$F:$F,"&lt;&gt;"&amp;""))</f>
        <v/>
      </c>
      <c r="M476" s="166" t="str">
        <f>IF(C476="","",COUNTIFS(Başvuru!$C:$C,C476,Başvuru!$L:$L,"GÖRÜŞ",Başvuru!$A:$A,"&lt;&gt;"&amp;"",Başvuru!$F:$F,"&lt;&gt;"&amp;""))</f>
        <v/>
      </c>
      <c r="N476" s="167" t="str">
        <f>IF(C476="","",COUNTIFS(Başvuru!$C:$C,C476,Başvuru!$L:$L,"RET",Başvuru!$A:$A,"&lt;&gt;"&amp;"",Başvuru!$F:$F,"&lt;&gt;"&amp;""))</f>
        <v/>
      </c>
      <c r="O476" s="168" t="str">
        <f>IF(C476="","",COUNTIFS(Başvuru!$C:$C,C476,Başvuru!$L:$L,"KAPSAM DIŞI",Başvuru!$A:$A,"&lt;&gt;"&amp;"",Başvuru!$F:$F,"&lt;&gt;"&amp;""))</f>
        <v/>
      </c>
      <c r="P476" s="169" t="str">
        <f>IF(C476="","",COUNTIFS(Başvuru!$C:$C,C476,Başvuru!$L:$L,"GERİ ÇEKİLDİ",Başvuru!$A:$A,"&lt;&gt;"&amp;"",Başvuru!$F:$F,"&lt;&gt;"&amp;""))</f>
        <v/>
      </c>
      <c r="Q476" s="170" t="str">
        <f>IFERROR(INDEX(Başvuru!$C$2:$C$1851,MATCH(471,Başvuru!$AB$2:$AB$1851,0)),"")</f>
        <v/>
      </c>
      <c r="R476" s="171" t="str">
        <f>IF(Q476="","",COUNTIFS(Başvuru!$C:$C,Q476,Başvuru!$A:$A,"&lt;&gt;"&amp;"",Başvuru!$F:$F,"&lt;&gt;"&amp;""))</f>
        <v/>
      </c>
      <c r="S476" s="171" t="str">
        <f>IF(R476="","",RANK(R476,$R$6:$R$505,0)+COUNTIF($R$6:R476,R476)-1)</f>
        <v/>
      </c>
    </row>
    <row r="477" spans="2:19" ht="23.25" customHeight="1" x14ac:dyDescent="0.25">
      <c r="B477" s="159">
        <v>472</v>
      </c>
      <c r="C477" s="160" t="str">
        <f>IFERROR(INDEX($Q$6:$Q$505,MATCH(472,$S$6:$S$505,0)),"")</f>
        <v/>
      </c>
      <c r="D477" s="161" t="str">
        <f>IF(C477="","",COUNTIFS(Başvuru!$C:$C,C477,Başvuru!$A:$A,"&lt;&gt;"&amp;"",Başvuru!$F:$F,"&lt;&gt;"&amp;""))</f>
        <v/>
      </c>
      <c r="E477" s="159" t="str">
        <f>IF(C477="","-",IF(D477&gt;0,TEXT(D477/(COUNTIFS(Başvuru!$A:$A,"&lt;&gt;",Başvuru!$F:$F,"&lt;&gt;")-1)*100,"0.0")&amp;"%","-"))</f>
        <v>-</v>
      </c>
      <c r="F477" s="162" t="str">
        <f>IF(C477="","",COUNTIFS(Başvuru!$C:$C,C477,Başvuru!$G:$G,"Bireysel Araştırma",Başvuru!$A:$A,"&lt;&gt;"&amp;"",Başvuru!$F:$F,"&lt;&gt;"&amp;""))</f>
        <v/>
      </c>
      <c r="G477" s="162" t="str">
        <f>IF(C477="","",COUNTIFS(Başvuru!$C:$C,C477,Başvuru!$G:$G,"Uzmanlık Tezi",Başvuru!$A:$A,"&lt;&gt;"&amp;"",Başvuru!$F:$F,"&lt;&gt;"&amp;""))</f>
        <v/>
      </c>
      <c r="H477" s="162" t="str">
        <f>IF(C477="","",COUNTIFS(Başvuru!$C:$C,C477,Başvuru!$G:$G,"Doktora Tezi",Başvuru!$A:$A,"&lt;&gt;"&amp;"",Başvuru!$F:$F,"&lt;&gt;"&amp;""))</f>
        <v/>
      </c>
      <c r="I477" s="162" t="str">
        <f>IF(C477="","",COUNTIFS(Başvuru!$C:$C,C477,Başvuru!$G:$G,"Yüksek Lisans Tezi",Başvuru!$A:$A,"&lt;&gt;"&amp;"",Başvuru!$F:$F,"&lt;&gt;"&amp;""))</f>
        <v/>
      </c>
      <c r="J477" s="163" t="str">
        <f>IF(C477="","",COUNTIFS(Başvuru!$C:$C,C477,Başvuru!$L:$L,"ONAY",Başvuru!$A:$A,"&lt;&gt;"&amp;"",Başvuru!$F:$F,"&lt;&gt;"&amp;""))</f>
        <v/>
      </c>
      <c r="K477" s="164" t="str">
        <f>IF(C477="","",COUNTIFS(Başvuru!$C:$C,C477,Başvuru!$L:$L,"DÜZELTME",Başvuru!$A:$A,"&lt;&gt;"&amp;"",Başvuru!$F:$F,"&lt;&gt;"&amp;""))</f>
        <v/>
      </c>
      <c r="L477" s="165" t="str">
        <f>IF(C477="","",COUNTIFS(Başvuru!$C:$C,C477,Başvuru!$L:$L,"KAEK",Başvuru!$A:$A,"&lt;&gt;"&amp;"",Başvuru!$F:$F,"&lt;&gt;"&amp;""))</f>
        <v/>
      </c>
      <c r="M477" s="166" t="str">
        <f>IF(C477="","",COUNTIFS(Başvuru!$C:$C,C477,Başvuru!$L:$L,"GÖRÜŞ",Başvuru!$A:$A,"&lt;&gt;"&amp;"",Başvuru!$F:$F,"&lt;&gt;"&amp;""))</f>
        <v/>
      </c>
      <c r="N477" s="167" t="str">
        <f>IF(C477="","",COUNTIFS(Başvuru!$C:$C,C477,Başvuru!$L:$L,"RET",Başvuru!$A:$A,"&lt;&gt;"&amp;"",Başvuru!$F:$F,"&lt;&gt;"&amp;""))</f>
        <v/>
      </c>
      <c r="O477" s="168" t="str">
        <f>IF(C477="","",COUNTIFS(Başvuru!$C:$C,C477,Başvuru!$L:$L,"KAPSAM DIŞI",Başvuru!$A:$A,"&lt;&gt;"&amp;"",Başvuru!$F:$F,"&lt;&gt;"&amp;""))</f>
        <v/>
      </c>
      <c r="P477" s="169" t="str">
        <f>IF(C477="","",COUNTIFS(Başvuru!$C:$C,C477,Başvuru!$L:$L,"GERİ ÇEKİLDİ",Başvuru!$A:$A,"&lt;&gt;"&amp;"",Başvuru!$F:$F,"&lt;&gt;"&amp;""))</f>
        <v/>
      </c>
      <c r="Q477" s="170" t="str">
        <f>IFERROR(INDEX(Başvuru!$C$2:$C$1851,MATCH(472,Başvuru!$AB$2:$AB$1851,0)),"")</f>
        <v/>
      </c>
      <c r="R477" s="171" t="str">
        <f>IF(Q477="","",COUNTIFS(Başvuru!$C:$C,Q477,Başvuru!$A:$A,"&lt;&gt;"&amp;"",Başvuru!$F:$F,"&lt;&gt;"&amp;""))</f>
        <v/>
      </c>
      <c r="S477" s="171" t="str">
        <f>IF(R477="","",RANK(R477,$R$6:$R$505,0)+COUNTIF($R$6:R477,R477)-1)</f>
        <v/>
      </c>
    </row>
    <row r="478" spans="2:19" ht="23.25" customHeight="1" x14ac:dyDescent="0.25">
      <c r="B478" s="159">
        <v>473</v>
      </c>
      <c r="C478" s="160" t="str">
        <f>IFERROR(INDEX($Q$6:$Q$505,MATCH(473,$S$6:$S$505,0)),"")</f>
        <v/>
      </c>
      <c r="D478" s="161" t="str">
        <f>IF(C478="","",COUNTIFS(Başvuru!$C:$C,C478,Başvuru!$A:$A,"&lt;&gt;"&amp;"",Başvuru!$F:$F,"&lt;&gt;"&amp;""))</f>
        <v/>
      </c>
      <c r="E478" s="159" t="str">
        <f>IF(C478="","-",IF(D478&gt;0,TEXT(D478/(COUNTIFS(Başvuru!$A:$A,"&lt;&gt;",Başvuru!$F:$F,"&lt;&gt;")-1)*100,"0.0")&amp;"%","-"))</f>
        <v>-</v>
      </c>
      <c r="F478" s="162" t="str">
        <f>IF(C478="","",COUNTIFS(Başvuru!$C:$C,C478,Başvuru!$G:$G,"Bireysel Araştırma",Başvuru!$A:$A,"&lt;&gt;"&amp;"",Başvuru!$F:$F,"&lt;&gt;"&amp;""))</f>
        <v/>
      </c>
      <c r="G478" s="162" t="str">
        <f>IF(C478="","",COUNTIFS(Başvuru!$C:$C,C478,Başvuru!$G:$G,"Uzmanlık Tezi",Başvuru!$A:$A,"&lt;&gt;"&amp;"",Başvuru!$F:$F,"&lt;&gt;"&amp;""))</f>
        <v/>
      </c>
      <c r="H478" s="162" t="str">
        <f>IF(C478="","",COUNTIFS(Başvuru!$C:$C,C478,Başvuru!$G:$G,"Doktora Tezi",Başvuru!$A:$A,"&lt;&gt;"&amp;"",Başvuru!$F:$F,"&lt;&gt;"&amp;""))</f>
        <v/>
      </c>
      <c r="I478" s="162" t="str">
        <f>IF(C478="","",COUNTIFS(Başvuru!$C:$C,C478,Başvuru!$G:$G,"Yüksek Lisans Tezi",Başvuru!$A:$A,"&lt;&gt;"&amp;"",Başvuru!$F:$F,"&lt;&gt;"&amp;""))</f>
        <v/>
      </c>
      <c r="J478" s="163" t="str">
        <f>IF(C478="","",COUNTIFS(Başvuru!$C:$C,C478,Başvuru!$L:$L,"ONAY",Başvuru!$A:$A,"&lt;&gt;"&amp;"",Başvuru!$F:$F,"&lt;&gt;"&amp;""))</f>
        <v/>
      </c>
      <c r="K478" s="164" t="str">
        <f>IF(C478="","",COUNTIFS(Başvuru!$C:$C,C478,Başvuru!$L:$L,"DÜZELTME",Başvuru!$A:$A,"&lt;&gt;"&amp;"",Başvuru!$F:$F,"&lt;&gt;"&amp;""))</f>
        <v/>
      </c>
      <c r="L478" s="165" t="str">
        <f>IF(C478="","",COUNTIFS(Başvuru!$C:$C,C478,Başvuru!$L:$L,"KAEK",Başvuru!$A:$A,"&lt;&gt;"&amp;"",Başvuru!$F:$F,"&lt;&gt;"&amp;""))</f>
        <v/>
      </c>
      <c r="M478" s="166" t="str">
        <f>IF(C478="","",COUNTIFS(Başvuru!$C:$C,C478,Başvuru!$L:$L,"GÖRÜŞ",Başvuru!$A:$A,"&lt;&gt;"&amp;"",Başvuru!$F:$F,"&lt;&gt;"&amp;""))</f>
        <v/>
      </c>
      <c r="N478" s="167" t="str">
        <f>IF(C478="","",COUNTIFS(Başvuru!$C:$C,C478,Başvuru!$L:$L,"RET",Başvuru!$A:$A,"&lt;&gt;"&amp;"",Başvuru!$F:$F,"&lt;&gt;"&amp;""))</f>
        <v/>
      </c>
      <c r="O478" s="168" t="str">
        <f>IF(C478="","",COUNTIFS(Başvuru!$C:$C,C478,Başvuru!$L:$L,"KAPSAM DIŞI",Başvuru!$A:$A,"&lt;&gt;"&amp;"",Başvuru!$F:$F,"&lt;&gt;"&amp;""))</f>
        <v/>
      </c>
      <c r="P478" s="169" t="str">
        <f>IF(C478="","",COUNTIFS(Başvuru!$C:$C,C478,Başvuru!$L:$L,"GERİ ÇEKİLDİ",Başvuru!$A:$A,"&lt;&gt;"&amp;"",Başvuru!$F:$F,"&lt;&gt;"&amp;""))</f>
        <v/>
      </c>
      <c r="Q478" s="170" t="str">
        <f>IFERROR(INDEX(Başvuru!$C$2:$C$1851,MATCH(473,Başvuru!$AB$2:$AB$1851,0)),"")</f>
        <v/>
      </c>
      <c r="R478" s="171" t="str">
        <f>IF(Q478="","",COUNTIFS(Başvuru!$C:$C,Q478,Başvuru!$A:$A,"&lt;&gt;"&amp;"",Başvuru!$F:$F,"&lt;&gt;"&amp;""))</f>
        <v/>
      </c>
      <c r="S478" s="171" t="str">
        <f>IF(R478="","",RANK(R478,$R$6:$R$505,0)+COUNTIF($R$6:R478,R478)-1)</f>
        <v/>
      </c>
    </row>
    <row r="479" spans="2:19" ht="23.25" customHeight="1" x14ac:dyDescent="0.25">
      <c r="B479" s="159">
        <v>474</v>
      </c>
      <c r="C479" s="160" t="str">
        <f>IFERROR(INDEX($Q$6:$Q$505,MATCH(474,$S$6:$S$505,0)),"")</f>
        <v/>
      </c>
      <c r="D479" s="161" t="str">
        <f>IF(C479="","",COUNTIFS(Başvuru!$C:$C,C479,Başvuru!$A:$A,"&lt;&gt;"&amp;"",Başvuru!$F:$F,"&lt;&gt;"&amp;""))</f>
        <v/>
      </c>
      <c r="E479" s="159" t="str">
        <f>IF(C479="","-",IF(D479&gt;0,TEXT(D479/(COUNTIFS(Başvuru!$A:$A,"&lt;&gt;",Başvuru!$F:$F,"&lt;&gt;")-1)*100,"0.0")&amp;"%","-"))</f>
        <v>-</v>
      </c>
      <c r="F479" s="162" t="str">
        <f>IF(C479="","",COUNTIFS(Başvuru!$C:$C,C479,Başvuru!$G:$G,"Bireysel Araştırma",Başvuru!$A:$A,"&lt;&gt;"&amp;"",Başvuru!$F:$F,"&lt;&gt;"&amp;""))</f>
        <v/>
      </c>
      <c r="G479" s="162" t="str">
        <f>IF(C479="","",COUNTIFS(Başvuru!$C:$C,C479,Başvuru!$G:$G,"Uzmanlık Tezi",Başvuru!$A:$A,"&lt;&gt;"&amp;"",Başvuru!$F:$F,"&lt;&gt;"&amp;""))</f>
        <v/>
      </c>
      <c r="H479" s="162" t="str">
        <f>IF(C479="","",COUNTIFS(Başvuru!$C:$C,C479,Başvuru!$G:$G,"Doktora Tezi",Başvuru!$A:$A,"&lt;&gt;"&amp;"",Başvuru!$F:$F,"&lt;&gt;"&amp;""))</f>
        <v/>
      </c>
      <c r="I479" s="162" t="str">
        <f>IF(C479="","",COUNTIFS(Başvuru!$C:$C,C479,Başvuru!$G:$G,"Yüksek Lisans Tezi",Başvuru!$A:$A,"&lt;&gt;"&amp;"",Başvuru!$F:$F,"&lt;&gt;"&amp;""))</f>
        <v/>
      </c>
      <c r="J479" s="163" t="str">
        <f>IF(C479="","",COUNTIFS(Başvuru!$C:$C,C479,Başvuru!$L:$L,"ONAY",Başvuru!$A:$A,"&lt;&gt;"&amp;"",Başvuru!$F:$F,"&lt;&gt;"&amp;""))</f>
        <v/>
      </c>
      <c r="K479" s="164" t="str">
        <f>IF(C479="","",COUNTIFS(Başvuru!$C:$C,C479,Başvuru!$L:$L,"DÜZELTME",Başvuru!$A:$A,"&lt;&gt;"&amp;"",Başvuru!$F:$F,"&lt;&gt;"&amp;""))</f>
        <v/>
      </c>
      <c r="L479" s="165" t="str">
        <f>IF(C479="","",COUNTIFS(Başvuru!$C:$C,C479,Başvuru!$L:$L,"KAEK",Başvuru!$A:$A,"&lt;&gt;"&amp;"",Başvuru!$F:$F,"&lt;&gt;"&amp;""))</f>
        <v/>
      </c>
      <c r="M479" s="166" t="str">
        <f>IF(C479="","",COUNTIFS(Başvuru!$C:$C,C479,Başvuru!$L:$L,"GÖRÜŞ",Başvuru!$A:$A,"&lt;&gt;"&amp;"",Başvuru!$F:$F,"&lt;&gt;"&amp;""))</f>
        <v/>
      </c>
      <c r="N479" s="167" t="str">
        <f>IF(C479="","",COUNTIFS(Başvuru!$C:$C,C479,Başvuru!$L:$L,"RET",Başvuru!$A:$A,"&lt;&gt;"&amp;"",Başvuru!$F:$F,"&lt;&gt;"&amp;""))</f>
        <v/>
      </c>
      <c r="O479" s="168" t="str">
        <f>IF(C479="","",COUNTIFS(Başvuru!$C:$C,C479,Başvuru!$L:$L,"KAPSAM DIŞI",Başvuru!$A:$A,"&lt;&gt;"&amp;"",Başvuru!$F:$F,"&lt;&gt;"&amp;""))</f>
        <v/>
      </c>
      <c r="P479" s="169" t="str">
        <f>IF(C479="","",COUNTIFS(Başvuru!$C:$C,C479,Başvuru!$L:$L,"GERİ ÇEKİLDİ",Başvuru!$A:$A,"&lt;&gt;"&amp;"",Başvuru!$F:$F,"&lt;&gt;"&amp;""))</f>
        <v/>
      </c>
      <c r="Q479" s="170" t="str">
        <f>IFERROR(INDEX(Başvuru!$C$2:$C$1851,MATCH(474,Başvuru!$AB$2:$AB$1851,0)),"")</f>
        <v/>
      </c>
      <c r="R479" s="171" t="str">
        <f>IF(Q479="","",COUNTIFS(Başvuru!$C:$C,Q479,Başvuru!$A:$A,"&lt;&gt;"&amp;"",Başvuru!$F:$F,"&lt;&gt;"&amp;""))</f>
        <v/>
      </c>
      <c r="S479" s="171" t="str">
        <f>IF(R479="","",RANK(R479,$R$6:$R$505,0)+COUNTIF($R$6:R479,R479)-1)</f>
        <v/>
      </c>
    </row>
    <row r="480" spans="2:19" ht="23.25" customHeight="1" x14ac:dyDescent="0.25">
      <c r="B480" s="159">
        <v>475</v>
      </c>
      <c r="C480" s="160" t="str">
        <f>IFERROR(INDEX($Q$6:$Q$505,MATCH(475,$S$6:$S$505,0)),"")</f>
        <v/>
      </c>
      <c r="D480" s="161" t="str">
        <f>IF(C480="","",COUNTIFS(Başvuru!$C:$C,C480,Başvuru!$A:$A,"&lt;&gt;"&amp;"",Başvuru!$F:$F,"&lt;&gt;"&amp;""))</f>
        <v/>
      </c>
      <c r="E480" s="159" t="str">
        <f>IF(C480="","-",IF(D480&gt;0,TEXT(D480/(COUNTIFS(Başvuru!$A:$A,"&lt;&gt;",Başvuru!$F:$F,"&lt;&gt;")-1)*100,"0.0")&amp;"%","-"))</f>
        <v>-</v>
      </c>
      <c r="F480" s="162" t="str">
        <f>IF(C480="","",COUNTIFS(Başvuru!$C:$C,C480,Başvuru!$G:$G,"Bireysel Araştırma",Başvuru!$A:$A,"&lt;&gt;"&amp;"",Başvuru!$F:$F,"&lt;&gt;"&amp;""))</f>
        <v/>
      </c>
      <c r="G480" s="162" t="str">
        <f>IF(C480="","",COUNTIFS(Başvuru!$C:$C,C480,Başvuru!$G:$G,"Uzmanlık Tezi",Başvuru!$A:$A,"&lt;&gt;"&amp;"",Başvuru!$F:$F,"&lt;&gt;"&amp;""))</f>
        <v/>
      </c>
      <c r="H480" s="162" t="str">
        <f>IF(C480="","",COUNTIFS(Başvuru!$C:$C,C480,Başvuru!$G:$G,"Doktora Tezi",Başvuru!$A:$A,"&lt;&gt;"&amp;"",Başvuru!$F:$F,"&lt;&gt;"&amp;""))</f>
        <v/>
      </c>
      <c r="I480" s="162" t="str">
        <f>IF(C480="","",COUNTIFS(Başvuru!$C:$C,C480,Başvuru!$G:$G,"Yüksek Lisans Tezi",Başvuru!$A:$A,"&lt;&gt;"&amp;"",Başvuru!$F:$F,"&lt;&gt;"&amp;""))</f>
        <v/>
      </c>
      <c r="J480" s="163" t="str">
        <f>IF(C480="","",COUNTIFS(Başvuru!$C:$C,C480,Başvuru!$L:$L,"ONAY",Başvuru!$A:$A,"&lt;&gt;"&amp;"",Başvuru!$F:$F,"&lt;&gt;"&amp;""))</f>
        <v/>
      </c>
      <c r="K480" s="164" t="str">
        <f>IF(C480="","",COUNTIFS(Başvuru!$C:$C,C480,Başvuru!$L:$L,"DÜZELTME",Başvuru!$A:$A,"&lt;&gt;"&amp;"",Başvuru!$F:$F,"&lt;&gt;"&amp;""))</f>
        <v/>
      </c>
      <c r="L480" s="165" t="str">
        <f>IF(C480="","",COUNTIFS(Başvuru!$C:$C,C480,Başvuru!$L:$L,"KAEK",Başvuru!$A:$A,"&lt;&gt;"&amp;"",Başvuru!$F:$F,"&lt;&gt;"&amp;""))</f>
        <v/>
      </c>
      <c r="M480" s="166" t="str">
        <f>IF(C480="","",COUNTIFS(Başvuru!$C:$C,C480,Başvuru!$L:$L,"GÖRÜŞ",Başvuru!$A:$A,"&lt;&gt;"&amp;"",Başvuru!$F:$F,"&lt;&gt;"&amp;""))</f>
        <v/>
      </c>
      <c r="N480" s="167" t="str">
        <f>IF(C480="","",COUNTIFS(Başvuru!$C:$C,C480,Başvuru!$L:$L,"RET",Başvuru!$A:$A,"&lt;&gt;"&amp;"",Başvuru!$F:$F,"&lt;&gt;"&amp;""))</f>
        <v/>
      </c>
      <c r="O480" s="168" t="str">
        <f>IF(C480="","",COUNTIFS(Başvuru!$C:$C,C480,Başvuru!$L:$L,"KAPSAM DIŞI",Başvuru!$A:$A,"&lt;&gt;"&amp;"",Başvuru!$F:$F,"&lt;&gt;"&amp;""))</f>
        <v/>
      </c>
      <c r="P480" s="169" t="str">
        <f>IF(C480="","",COUNTIFS(Başvuru!$C:$C,C480,Başvuru!$L:$L,"GERİ ÇEKİLDİ",Başvuru!$A:$A,"&lt;&gt;"&amp;"",Başvuru!$F:$F,"&lt;&gt;"&amp;""))</f>
        <v/>
      </c>
      <c r="Q480" s="170" t="str">
        <f>IFERROR(INDEX(Başvuru!$C$2:$C$1851,MATCH(475,Başvuru!$AB$2:$AB$1851,0)),"")</f>
        <v/>
      </c>
      <c r="R480" s="171" t="str">
        <f>IF(Q480="","",COUNTIFS(Başvuru!$C:$C,Q480,Başvuru!$A:$A,"&lt;&gt;"&amp;"",Başvuru!$F:$F,"&lt;&gt;"&amp;""))</f>
        <v/>
      </c>
      <c r="S480" s="171" t="str">
        <f>IF(R480="","",RANK(R480,$R$6:$R$505,0)+COUNTIF($R$6:R480,R480)-1)</f>
        <v/>
      </c>
    </row>
    <row r="481" spans="2:19" ht="23.25" customHeight="1" x14ac:dyDescent="0.25">
      <c r="B481" s="159">
        <v>476</v>
      </c>
      <c r="C481" s="160" t="str">
        <f>IFERROR(INDEX($Q$6:$Q$505,MATCH(476,$S$6:$S$505,0)),"")</f>
        <v/>
      </c>
      <c r="D481" s="161" t="str">
        <f>IF(C481="","",COUNTIFS(Başvuru!$C:$C,C481,Başvuru!$A:$A,"&lt;&gt;"&amp;"",Başvuru!$F:$F,"&lt;&gt;"&amp;""))</f>
        <v/>
      </c>
      <c r="E481" s="159" t="str">
        <f>IF(C481="","-",IF(D481&gt;0,TEXT(D481/(COUNTIFS(Başvuru!$A:$A,"&lt;&gt;",Başvuru!$F:$F,"&lt;&gt;")-1)*100,"0.0")&amp;"%","-"))</f>
        <v>-</v>
      </c>
      <c r="F481" s="162" t="str">
        <f>IF(C481="","",COUNTIFS(Başvuru!$C:$C,C481,Başvuru!$G:$G,"Bireysel Araştırma",Başvuru!$A:$A,"&lt;&gt;"&amp;"",Başvuru!$F:$F,"&lt;&gt;"&amp;""))</f>
        <v/>
      </c>
      <c r="G481" s="162" t="str">
        <f>IF(C481="","",COUNTIFS(Başvuru!$C:$C,C481,Başvuru!$G:$G,"Uzmanlık Tezi",Başvuru!$A:$A,"&lt;&gt;"&amp;"",Başvuru!$F:$F,"&lt;&gt;"&amp;""))</f>
        <v/>
      </c>
      <c r="H481" s="162" t="str">
        <f>IF(C481="","",COUNTIFS(Başvuru!$C:$C,C481,Başvuru!$G:$G,"Doktora Tezi",Başvuru!$A:$A,"&lt;&gt;"&amp;"",Başvuru!$F:$F,"&lt;&gt;"&amp;""))</f>
        <v/>
      </c>
      <c r="I481" s="162" t="str">
        <f>IF(C481="","",COUNTIFS(Başvuru!$C:$C,C481,Başvuru!$G:$G,"Yüksek Lisans Tezi",Başvuru!$A:$A,"&lt;&gt;"&amp;"",Başvuru!$F:$F,"&lt;&gt;"&amp;""))</f>
        <v/>
      </c>
      <c r="J481" s="163" t="str">
        <f>IF(C481="","",COUNTIFS(Başvuru!$C:$C,C481,Başvuru!$L:$L,"ONAY",Başvuru!$A:$A,"&lt;&gt;"&amp;"",Başvuru!$F:$F,"&lt;&gt;"&amp;""))</f>
        <v/>
      </c>
      <c r="K481" s="164" t="str">
        <f>IF(C481="","",COUNTIFS(Başvuru!$C:$C,C481,Başvuru!$L:$L,"DÜZELTME",Başvuru!$A:$A,"&lt;&gt;"&amp;"",Başvuru!$F:$F,"&lt;&gt;"&amp;""))</f>
        <v/>
      </c>
      <c r="L481" s="165" t="str">
        <f>IF(C481="","",COUNTIFS(Başvuru!$C:$C,C481,Başvuru!$L:$L,"KAEK",Başvuru!$A:$A,"&lt;&gt;"&amp;"",Başvuru!$F:$F,"&lt;&gt;"&amp;""))</f>
        <v/>
      </c>
      <c r="M481" s="166" t="str">
        <f>IF(C481="","",COUNTIFS(Başvuru!$C:$C,C481,Başvuru!$L:$L,"GÖRÜŞ",Başvuru!$A:$A,"&lt;&gt;"&amp;"",Başvuru!$F:$F,"&lt;&gt;"&amp;""))</f>
        <v/>
      </c>
      <c r="N481" s="167" t="str">
        <f>IF(C481="","",COUNTIFS(Başvuru!$C:$C,C481,Başvuru!$L:$L,"RET",Başvuru!$A:$A,"&lt;&gt;"&amp;"",Başvuru!$F:$F,"&lt;&gt;"&amp;""))</f>
        <v/>
      </c>
      <c r="O481" s="168" t="str">
        <f>IF(C481="","",COUNTIFS(Başvuru!$C:$C,C481,Başvuru!$L:$L,"KAPSAM DIŞI",Başvuru!$A:$A,"&lt;&gt;"&amp;"",Başvuru!$F:$F,"&lt;&gt;"&amp;""))</f>
        <v/>
      </c>
      <c r="P481" s="169" t="str">
        <f>IF(C481="","",COUNTIFS(Başvuru!$C:$C,C481,Başvuru!$L:$L,"GERİ ÇEKİLDİ",Başvuru!$A:$A,"&lt;&gt;"&amp;"",Başvuru!$F:$F,"&lt;&gt;"&amp;""))</f>
        <v/>
      </c>
      <c r="Q481" s="170" t="str">
        <f>IFERROR(INDEX(Başvuru!$C$2:$C$1851,MATCH(476,Başvuru!$AB$2:$AB$1851,0)),"")</f>
        <v/>
      </c>
      <c r="R481" s="171" t="str">
        <f>IF(Q481="","",COUNTIFS(Başvuru!$C:$C,Q481,Başvuru!$A:$A,"&lt;&gt;"&amp;"",Başvuru!$F:$F,"&lt;&gt;"&amp;""))</f>
        <v/>
      </c>
      <c r="S481" s="171" t="str">
        <f>IF(R481="","",RANK(R481,$R$6:$R$505,0)+COUNTIF($R$6:R481,R481)-1)</f>
        <v/>
      </c>
    </row>
    <row r="482" spans="2:19" ht="23.25" customHeight="1" x14ac:dyDescent="0.25">
      <c r="B482" s="159">
        <v>477</v>
      </c>
      <c r="C482" s="160" t="str">
        <f>IFERROR(INDEX($Q$6:$Q$505,MATCH(477,$S$6:$S$505,0)),"")</f>
        <v/>
      </c>
      <c r="D482" s="161" t="str">
        <f>IF(C482="","",COUNTIFS(Başvuru!$C:$C,C482,Başvuru!$A:$A,"&lt;&gt;"&amp;"",Başvuru!$F:$F,"&lt;&gt;"&amp;""))</f>
        <v/>
      </c>
      <c r="E482" s="159" t="str">
        <f>IF(C482="","-",IF(D482&gt;0,TEXT(D482/(COUNTIFS(Başvuru!$A:$A,"&lt;&gt;",Başvuru!$F:$F,"&lt;&gt;")-1)*100,"0.0")&amp;"%","-"))</f>
        <v>-</v>
      </c>
      <c r="F482" s="162" t="str">
        <f>IF(C482="","",COUNTIFS(Başvuru!$C:$C,C482,Başvuru!$G:$G,"Bireysel Araştırma",Başvuru!$A:$A,"&lt;&gt;"&amp;"",Başvuru!$F:$F,"&lt;&gt;"&amp;""))</f>
        <v/>
      </c>
      <c r="G482" s="162" t="str">
        <f>IF(C482="","",COUNTIFS(Başvuru!$C:$C,C482,Başvuru!$G:$G,"Uzmanlık Tezi",Başvuru!$A:$A,"&lt;&gt;"&amp;"",Başvuru!$F:$F,"&lt;&gt;"&amp;""))</f>
        <v/>
      </c>
      <c r="H482" s="162" t="str">
        <f>IF(C482="","",COUNTIFS(Başvuru!$C:$C,C482,Başvuru!$G:$G,"Doktora Tezi",Başvuru!$A:$A,"&lt;&gt;"&amp;"",Başvuru!$F:$F,"&lt;&gt;"&amp;""))</f>
        <v/>
      </c>
      <c r="I482" s="162" t="str">
        <f>IF(C482="","",COUNTIFS(Başvuru!$C:$C,C482,Başvuru!$G:$G,"Yüksek Lisans Tezi",Başvuru!$A:$A,"&lt;&gt;"&amp;"",Başvuru!$F:$F,"&lt;&gt;"&amp;""))</f>
        <v/>
      </c>
      <c r="J482" s="163" t="str">
        <f>IF(C482="","",COUNTIFS(Başvuru!$C:$C,C482,Başvuru!$L:$L,"ONAY",Başvuru!$A:$A,"&lt;&gt;"&amp;"",Başvuru!$F:$F,"&lt;&gt;"&amp;""))</f>
        <v/>
      </c>
      <c r="K482" s="164" t="str">
        <f>IF(C482="","",COUNTIFS(Başvuru!$C:$C,C482,Başvuru!$L:$L,"DÜZELTME",Başvuru!$A:$A,"&lt;&gt;"&amp;"",Başvuru!$F:$F,"&lt;&gt;"&amp;""))</f>
        <v/>
      </c>
      <c r="L482" s="165" t="str">
        <f>IF(C482="","",COUNTIFS(Başvuru!$C:$C,C482,Başvuru!$L:$L,"KAEK",Başvuru!$A:$A,"&lt;&gt;"&amp;"",Başvuru!$F:$F,"&lt;&gt;"&amp;""))</f>
        <v/>
      </c>
      <c r="M482" s="166" t="str">
        <f>IF(C482="","",COUNTIFS(Başvuru!$C:$C,C482,Başvuru!$L:$L,"GÖRÜŞ",Başvuru!$A:$A,"&lt;&gt;"&amp;"",Başvuru!$F:$F,"&lt;&gt;"&amp;""))</f>
        <v/>
      </c>
      <c r="N482" s="167" t="str">
        <f>IF(C482="","",COUNTIFS(Başvuru!$C:$C,C482,Başvuru!$L:$L,"RET",Başvuru!$A:$A,"&lt;&gt;"&amp;"",Başvuru!$F:$F,"&lt;&gt;"&amp;""))</f>
        <v/>
      </c>
      <c r="O482" s="168" t="str">
        <f>IF(C482="","",COUNTIFS(Başvuru!$C:$C,C482,Başvuru!$L:$L,"KAPSAM DIŞI",Başvuru!$A:$A,"&lt;&gt;"&amp;"",Başvuru!$F:$F,"&lt;&gt;"&amp;""))</f>
        <v/>
      </c>
      <c r="P482" s="169" t="str">
        <f>IF(C482="","",COUNTIFS(Başvuru!$C:$C,C482,Başvuru!$L:$L,"GERİ ÇEKİLDİ",Başvuru!$A:$A,"&lt;&gt;"&amp;"",Başvuru!$F:$F,"&lt;&gt;"&amp;""))</f>
        <v/>
      </c>
      <c r="Q482" s="170" t="str">
        <f>IFERROR(INDEX(Başvuru!$C$2:$C$1851,MATCH(477,Başvuru!$AB$2:$AB$1851,0)),"")</f>
        <v/>
      </c>
      <c r="R482" s="171" t="str">
        <f>IF(Q482="","",COUNTIFS(Başvuru!$C:$C,Q482,Başvuru!$A:$A,"&lt;&gt;"&amp;"",Başvuru!$F:$F,"&lt;&gt;"&amp;""))</f>
        <v/>
      </c>
      <c r="S482" s="171" t="str">
        <f>IF(R482="","",RANK(R482,$R$6:$R$505,0)+COUNTIF($R$6:R482,R482)-1)</f>
        <v/>
      </c>
    </row>
    <row r="483" spans="2:19" ht="23.25" customHeight="1" x14ac:dyDescent="0.25">
      <c r="B483" s="159">
        <v>478</v>
      </c>
      <c r="C483" s="160" t="str">
        <f>IFERROR(INDEX($Q$6:$Q$505,MATCH(478,$S$6:$S$505,0)),"")</f>
        <v/>
      </c>
      <c r="D483" s="161" t="str">
        <f>IF(C483="","",COUNTIFS(Başvuru!$C:$C,C483,Başvuru!$A:$A,"&lt;&gt;"&amp;"",Başvuru!$F:$F,"&lt;&gt;"&amp;""))</f>
        <v/>
      </c>
      <c r="E483" s="159" t="str">
        <f>IF(C483="","-",IF(D483&gt;0,TEXT(D483/(COUNTIFS(Başvuru!$A:$A,"&lt;&gt;",Başvuru!$F:$F,"&lt;&gt;")-1)*100,"0.0")&amp;"%","-"))</f>
        <v>-</v>
      </c>
      <c r="F483" s="162" t="str">
        <f>IF(C483="","",COUNTIFS(Başvuru!$C:$C,C483,Başvuru!$G:$G,"Bireysel Araştırma",Başvuru!$A:$A,"&lt;&gt;"&amp;"",Başvuru!$F:$F,"&lt;&gt;"&amp;""))</f>
        <v/>
      </c>
      <c r="G483" s="162" t="str">
        <f>IF(C483="","",COUNTIFS(Başvuru!$C:$C,C483,Başvuru!$G:$G,"Uzmanlık Tezi",Başvuru!$A:$A,"&lt;&gt;"&amp;"",Başvuru!$F:$F,"&lt;&gt;"&amp;""))</f>
        <v/>
      </c>
      <c r="H483" s="162" t="str">
        <f>IF(C483="","",COUNTIFS(Başvuru!$C:$C,C483,Başvuru!$G:$G,"Doktora Tezi",Başvuru!$A:$A,"&lt;&gt;"&amp;"",Başvuru!$F:$F,"&lt;&gt;"&amp;""))</f>
        <v/>
      </c>
      <c r="I483" s="162" t="str">
        <f>IF(C483="","",COUNTIFS(Başvuru!$C:$C,C483,Başvuru!$G:$G,"Yüksek Lisans Tezi",Başvuru!$A:$A,"&lt;&gt;"&amp;"",Başvuru!$F:$F,"&lt;&gt;"&amp;""))</f>
        <v/>
      </c>
      <c r="J483" s="163" t="str">
        <f>IF(C483="","",COUNTIFS(Başvuru!$C:$C,C483,Başvuru!$L:$L,"ONAY",Başvuru!$A:$A,"&lt;&gt;"&amp;"",Başvuru!$F:$F,"&lt;&gt;"&amp;""))</f>
        <v/>
      </c>
      <c r="K483" s="164" t="str">
        <f>IF(C483="","",COUNTIFS(Başvuru!$C:$C,C483,Başvuru!$L:$L,"DÜZELTME",Başvuru!$A:$A,"&lt;&gt;"&amp;"",Başvuru!$F:$F,"&lt;&gt;"&amp;""))</f>
        <v/>
      </c>
      <c r="L483" s="165" t="str">
        <f>IF(C483="","",COUNTIFS(Başvuru!$C:$C,C483,Başvuru!$L:$L,"KAEK",Başvuru!$A:$A,"&lt;&gt;"&amp;"",Başvuru!$F:$F,"&lt;&gt;"&amp;""))</f>
        <v/>
      </c>
      <c r="M483" s="166" t="str">
        <f>IF(C483="","",COUNTIFS(Başvuru!$C:$C,C483,Başvuru!$L:$L,"GÖRÜŞ",Başvuru!$A:$A,"&lt;&gt;"&amp;"",Başvuru!$F:$F,"&lt;&gt;"&amp;""))</f>
        <v/>
      </c>
      <c r="N483" s="167" t="str">
        <f>IF(C483="","",COUNTIFS(Başvuru!$C:$C,C483,Başvuru!$L:$L,"RET",Başvuru!$A:$A,"&lt;&gt;"&amp;"",Başvuru!$F:$F,"&lt;&gt;"&amp;""))</f>
        <v/>
      </c>
      <c r="O483" s="168" t="str">
        <f>IF(C483="","",COUNTIFS(Başvuru!$C:$C,C483,Başvuru!$L:$L,"KAPSAM DIŞI",Başvuru!$A:$A,"&lt;&gt;"&amp;"",Başvuru!$F:$F,"&lt;&gt;"&amp;""))</f>
        <v/>
      </c>
      <c r="P483" s="169" t="str">
        <f>IF(C483="","",COUNTIFS(Başvuru!$C:$C,C483,Başvuru!$L:$L,"GERİ ÇEKİLDİ",Başvuru!$A:$A,"&lt;&gt;"&amp;"",Başvuru!$F:$F,"&lt;&gt;"&amp;""))</f>
        <v/>
      </c>
      <c r="Q483" s="170" t="str">
        <f>IFERROR(INDEX(Başvuru!$C$2:$C$1851,MATCH(478,Başvuru!$AB$2:$AB$1851,0)),"")</f>
        <v/>
      </c>
      <c r="R483" s="171" t="str">
        <f>IF(Q483="","",COUNTIFS(Başvuru!$C:$C,Q483,Başvuru!$A:$A,"&lt;&gt;"&amp;"",Başvuru!$F:$F,"&lt;&gt;"&amp;""))</f>
        <v/>
      </c>
      <c r="S483" s="171" t="str">
        <f>IF(R483="","",RANK(R483,$R$6:$R$505,0)+COUNTIF($R$6:R483,R483)-1)</f>
        <v/>
      </c>
    </row>
    <row r="484" spans="2:19" ht="23.25" customHeight="1" x14ac:dyDescent="0.25">
      <c r="B484" s="159">
        <v>479</v>
      </c>
      <c r="C484" s="160" t="str">
        <f>IFERROR(INDEX($Q$6:$Q$505,MATCH(479,$S$6:$S$505,0)),"")</f>
        <v/>
      </c>
      <c r="D484" s="161" t="str">
        <f>IF(C484="","",COUNTIFS(Başvuru!$C:$C,C484,Başvuru!$A:$A,"&lt;&gt;"&amp;"",Başvuru!$F:$F,"&lt;&gt;"&amp;""))</f>
        <v/>
      </c>
      <c r="E484" s="159" t="str">
        <f>IF(C484="","-",IF(D484&gt;0,TEXT(D484/(COUNTIFS(Başvuru!$A:$A,"&lt;&gt;",Başvuru!$F:$F,"&lt;&gt;")-1)*100,"0.0")&amp;"%","-"))</f>
        <v>-</v>
      </c>
      <c r="F484" s="162" t="str">
        <f>IF(C484="","",COUNTIFS(Başvuru!$C:$C,C484,Başvuru!$G:$G,"Bireysel Araştırma",Başvuru!$A:$A,"&lt;&gt;"&amp;"",Başvuru!$F:$F,"&lt;&gt;"&amp;""))</f>
        <v/>
      </c>
      <c r="G484" s="162" t="str">
        <f>IF(C484="","",COUNTIFS(Başvuru!$C:$C,C484,Başvuru!$G:$G,"Uzmanlık Tezi",Başvuru!$A:$A,"&lt;&gt;"&amp;"",Başvuru!$F:$F,"&lt;&gt;"&amp;""))</f>
        <v/>
      </c>
      <c r="H484" s="162" t="str">
        <f>IF(C484="","",COUNTIFS(Başvuru!$C:$C,C484,Başvuru!$G:$G,"Doktora Tezi",Başvuru!$A:$A,"&lt;&gt;"&amp;"",Başvuru!$F:$F,"&lt;&gt;"&amp;""))</f>
        <v/>
      </c>
      <c r="I484" s="162" t="str">
        <f>IF(C484="","",COUNTIFS(Başvuru!$C:$C,C484,Başvuru!$G:$G,"Yüksek Lisans Tezi",Başvuru!$A:$A,"&lt;&gt;"&amp;"",Başvuru!$F:$F,"&lt;&gt;"&amp;""))</f>
        <v/>
      </c>
      <c r="J484" s="163" t="str">
        <f>IF(C484="","",COUNTIFS(Başvuru!$C:$C,C484,Başvuru!$L:$L,"ONAY",Başvuru!$A:$A,"&lt;&gt;"&amp;"",Başvuru!$F:$F,"&lt;&gt;"&amp;""))</f>
        <v/>
      </c>
      <c r="K484" s="164" t="str">
        <f>IF(C484="","",COUNTIFS(Başvuru!$C:$C,C484,Başvuru!$L:$L,"DÜZELTME",Başvuru!$A:$A,"&lt;&gt;"&amp;"",Başvuru!$F:$F,"&lt;&gt;"&amp;""))</f>
        <v/>
      </c>
      <c r="L484" s="165" t="str">
        <f>IF(C484="","",COUNTIFS(Başvuru!$C:$C,C484,Başvuru!$L:$L,"KAEK",Başvuru!$A:$A,"&lt;&gt;"&amp;"",Başvuru!$F:$F,"&lt;&gt;"&amp;""))</f>
        <v/>
      </c>
      <c r="M484" s="166" t="str">
        <f>IF(C484="","",COUNTIFS(Başvuru!$C:$C,C484,Başvuru!$L:$L,"GÖRÜŞ",Başvuru!$A:$A,"&lt;&gt;"&amp;"",Başvuru!$F:$F,"&lt;&gt;"&amp;""))</f>
        <v/>
      </c>
      <c r="N484" s="167" t="str">
        <f>IF(C484="","",COUNTIFS(Başvuru!$C:$C,C484,Başvuru!$L:$L,"RET",Başvuru!$A:$A,"&lt;&gt;"&amp;"",Başvuru!$F:$F,"&lt;&gt;"&amp;""))</f>
        <v/>
      </c>
      <c r="O484" s="168" t="str">
        <f>IF(C484="","",COUNTIFS(Başvuru!$C:$C,C484,Başvuru!$L:$L,"KAPSAM DIŞI",Başvuru!$A:$A,"&lt;&gt;"&amp;"",Başvuru!$F:$F,"&lt;&gt;"&amp;""))</f>
        <v/>
      </c>
      <c r="P484" s="169" t="str">
        <f>IF(C484="","",COUNTIFS(Başvuru!$C:$C,C484,Başvuru!$L:$L,"GERİ ÇEKİLDİ",Başvuru!$A:$A,"&lt;&gt;"&amp;"",Başvuru!$F:$F,"&lt;&gt;"&amp;""))</f>
        <v/>
      </c>
      <c r="Q484" s="170" t="str">
        <f>IFERROR(INDEX(Başvuru!$C$2:$C$1851,MATCH(479,Başvuru!$AB$2:$AB$1851,0)),"")</f>
        <v/>
      </c>
      <c r="R484" s="171" t="str">
        <f>IF(Q484="","",COUNTIFS(Başvuru!$C:$C,Q484,Başvuru!$A:$A,"&lt;&gt;"&amp;"",Başvuru!$F:$F,"&lt;&gt;"&amp;""))</f>
        <v/>
      </c>
      <c r="S484" s="171" t="str">
        <f>IF(R484="","",RANK(R484,$R$6:$R$505,0)+COUNTIF($R$6:R484,R484)-1)</f>
        <v/>
      </c>
    </row>
    <row r="485" spans="2:19" ht="23.25" customHeight="1" x14ac:dyDescent="0.25">
      <c r="B485" s="159">
        <v>480</v>
      </c>
      <c r="C485" s="160" t="str">
        <f>IFERROR(INDEX($Q$6:$Q$505,MATCH(480,$S$6:$S$505,0)),"")</f>
        <v/>
      </c>
      <c r="D485" s="161" t="str">
        <f>IF(C485="","",COUNTIFS(Başvuru!$C:$C,C485,Başvuru!$A:$A,"&lt;&gt;"&amp;"",Başvuru!$F:$F,"&lt;&gt;"&amp;""))</f>
        <v/>
      </c>
      <c r="E485" s="159" t="str">
        <f>IF(C485="","-",IF(D485&gt;0,TEXT(D485/(COUNTIFS(Başvuru!$A:$A,"&lt;&gt;",Başvuru!$F:$F,"&lt;&gt;")-1)*100,"0.0")&amp;"%","-"))</f>
        <v>-</v>
      </c>
      <c r="F485" s="162" t="str">
        <f>IF(C485="","",COUNTIFS(Başvuru!$C:$C,C485,Başvuru!$G:$G,"Bireysel Araştırma",Başvuru!$A:$A,"&lt;&gt;"&amp;"",Başvuru!$F:$F,"&lt;&gt;"&amp;""))</f>
        <v/>
      </c>
      <c r="G485" s="162" t="str">
        <f>IF(C485="","",COUNTIFS(Başvuru!$C:$C,C485,Başvuru!$G:$G,"Uzmanlık Tezi",Başvuru!$A:$A,"&lt;&gt;"&amp;"",Başvuru!$F:$F,"&lt;&gt;"&amp;""))</f>
        <v/>
      </c>
      <c r="H485" s="162" t="str">
        <f>IF(C485="","",COUNTIFS(Başvuru!$C:$C,C485,Başvuru!$G:$G,"Doktora Tezi",Başvuru!$A:$A,"&lt;&gt;"&amp;"",Başvuru!$F:$F,"&lt;&gt;"&amp;""))</f>
        <v/>
      </c>
      <c r="I485" s="162" t="str">
        <f>IF(C485="","",COUNTIFS(Başvuru!$C:$C,C485,Başvuru!$G:$G,"Yüksek Lisans Tezi",Başvuru!$A:$A,"&lt;&gt;"&amp;"",Başvuru!$F:$F,"&lt;&gt;"&amp;""))</f>
        <v/>
      </c>
      <c r="J485" s="163" t="str">
        <f>IF(C485="","",COUNTIFS(Başvuru!$C:$C,C485,Başvuru!$L:$L,"ONAY",Başvuru!$A:$A,"&lt;&gt;"&amp;"",Başvuru!$F:$F,"&lt;&gt;"&amp;""))</f>
        <v/>
      </c>
      <c r="K485" s="164" t="str">
        <f>IF(C485="","",COUNTIFS(Başvuru!$C:$C,C485,Başvuru!$L:$L,"DÜZELTME",Başvuru!$A:$A,"&lt;&gt;"&amp;"",Başvuru!$F:$F,"&lt;&gt;"&amp;""))</f>
        <v/>
      </c>
      <c r="L485" s="165" t="str">
        <f>IF(C485="","",COUNTIFS(Başvuru!$C:$C,C485,Başvuru!$L:$L,"KAEK",Başvuru!$A:$A,"&lt;&gt;"&amp;"",Başvuru!$F:$F,"&lt;&gt;"&amp;""))</f>
        <v/>
      </c>
      <c r="M485" s="166" t="str">
        <f>IF(C485="","",COUNTIFS(Başvuru!$C:$C,C485,Başvuru!$L:$L,"GÖRÜŞ",Başvuru!$A:$A,"&lt;&gt;"&amp;"",Başvuru!$F:$F,"&lt;&gt;"&amp;""))</f>
        <v/>
      </c>
      <c r="N485" s="167" t="str">
        <f>IF(C485="","",COUNTIFS(Başvuru!$C:$C,C485,Başvuru!$L:$L,"RET",Başvuru!$A:$A,"&lt;&gt;"&amp;"",Başvuru!$F:$F,"&lt;&gt;"&amp;""))</f>
        <v/>
      </c>
      <c r="O485" s="168" t="str">
        <f>IF(C485="","",COUNTIFS(Başvuru!$C:$C,C485,Başvuru!$L:$L,"KAPSAM DIŞI",Başvuru!$A:$A,"&lt;&gt;"&amp;"",Başvuru!$F:$F,"&lt;&gt;"&amp;""))</f>
        <v/>
      </c>
      <c r="P485" s="169" t="str">
        <f>IF(C485="","",COUNTIFS(Başvuru!$C:$C,C485,Başvuru!$L:$L,"GERİ ÇEKİLDİ",Başvuru!$A:$A,"&lt;&gt;"&amp;"",Başvuru!$F:$F,"&lt;&gt;"&amp;""))</f>
        <v/>
      </c>
      <c r="Q485" s="170" t="str">
        <f>IFERROR(INDEX(Başvuru!$C$2:$C$1851,MATCH(480,Başvuru!$AB$2:$AB$1851,0)),"")</f>
        <v/>
      </c>
      <c r="R485" s="171" t="str">
        <f>IF(Q485="","",COUNTIFS(Başvuru!$C:$C,Q485,Başvuru!$A:$A,"&lt;&gt;"&amp;"",Başvuru!$F:$F,"&lt;&gt;"&amp;""))</f>
        <v/>
      </c>
      <c r="S485" s="171" t="str">
        <f>IF(R485="","",RANK(R485,$R$6:$R$505,0)+COUNTIF($R$6:R485,R485)-1)</f>
        <v/>
      </c>
    </row>
    <row r="486" spans="2:19" ht="23.25" customHeight="1" x14ac:dyDescent="0.25">
      <c r="B486" s="159">
        <v>481</v>
      </c>
      <c r="C486" s="160" t="str">
        <f>IFERROR(INDEX($Q$6:$Q$505,MATCH(481,$S$6:$S$505,0)),"")</f>
        <v/>
      </c>
      <c r="D486" s="161" t="str">
        <f>IF(C486="","",COUNTIFS(Başvuru!$C:$C,C486,Başvuru!$A:$A,"&lt;&gt;"&amp;"",Başvuru!$F:$F,"&lt;&gt;"&amp;""))</f>
        <v/>
      </c>
      <c r="E486" s="159" t="str">
        <f>IF(C486="","-",IF(D486&gt;0,TEXT(D486/(COUNTIFS(Başvuru!$A:$A,"&lt;&gt;",Başvuru!$F:$F,"&lt;&gt;")-1)*100,"0.0")&amp;"%","-"))</f>
        <v>-</v>
      </c>
      <c r="F486" s="162" t="str">
        <f>IF(C486="","",COUNTIFS(Başvuru!$C:$C,C486,Başvuru!$G:$G,"Bireysel Araştırma",Başvuru!$A:$A,"&lt;&gt;"&amp;"",Başvuru!$F:$F,"&lt;&gt;"&amp;""))</f>
        <v/>
      </c>
      <c r="G486" s="162" t="str">
        <f>IF(C486="","",COUNTIFS(Başvuru!$C:$C,C486,Başvuru!$G:$G,"Uzmanlık Tezi",Başvuru!$A:$A,"&lt;&gt;"&amp;"",Başvuru!$F:$F,"&lt;&gt;"&amp;""))</f>
        <v/>
      </c>
      <c r="H486" s="162" t="str">
        <f>IF(C486="","",COUNTIFS(Başvuru!$C:$C,C486,Başvuru!$G:$G,"Doktora Tezi",Başvuru!$A:$A,"&lt;&gt;"&amp;"",Başvuru!$F:$F,"&lt;&gt;"&amp;""))</f>
        <v/>
      </c>
      <c r="I486" s="162" t="str">
        <f>IF(C486="","",COUNTIFS(Başvuru!$C:$C,C486,Başvuru!$G:$G,"Yüksek Lisans Tezi",Başvuru!$A:$A,"&lt;&gt;"&amp;"",Başvuru!$F:$F,"&lt;&gt;"&amp;""))</f>
        <v/>
      </c>
      <c r="J486" s="163" t="str">
        <f>IF(C486="","",COUNTIFS(Başvuru!$C:$C,C486,Başvuru!$L:$L,"ONAY",Başvuru!$A:$A,"&lt;&gt;"&amp;"",Başvuru!$F:$F,"&lt;&gt;"&amp;""))</f>
        <v/>
      </c>
      <c r="K486" s="164" t="str">
        <f>IF(C486="","",COUNTIFS(Başvuru!$C:$C,C486,Başvuru!$L:$L,"DÜZELTME",Başvuru!$A:$A,"&lt;&gt;"&amp;"",Başvuru!$F:$F,"&lt;&gt;"&amp;""))</f>
        <v/>
      </c>
      <c r="L486" s="165" t="str">
        <f>IF(C486="","",COUNTIFS(Başvuru!$C:$C,C486,Başvuru!$L:$L,"KAEK",Başvuru!$A:$A,"&lt;&gt;"&amp;"",Başvuru!$F:$F,"&lt;&gt;"&amp;""))</f>
        <v/>
      </c>
      <c r="M486" s="166" t="str">
        <f>IF(C486="","",COUNTIFS(Başvuru!$C:$C,C486,Başvuru!$L:$L,"GÖRÜŞ",Başvuru!$A:$A,"&lt;&gt;"&amp;"",Başvuru!$F:$F,"&lt;&gt;"&amp;""))</f>
        <v/>
      </c>
      <c r="N486" s="167" t="str">
        <f>IF(C486="","",COUNTIFS(Başvuru!$C:$C,C486,Başvuru!$L:$L,"RET",Başvuru!$A:$A,"&lt;&gt;"&amp;"",Başvuru!$F:$F,"&lt;&gt;"&amp;""))</f>
        <v/>
      </c>
      <c r="O486" s="168" t="str">
        <f>IF(C486="","",COUNTIFS(Başvuru!$C:$C,C486,Başvuru!$L:$L,"KAPSAM DIŞI",Başvuru!$A:$A,"&lt;&gt;"&amp;"",Başvuru!$F:$F,"&lt;&gt;"&amp;""))</f>
        <v/>
      </c>
      <c r="P486" s="169" t="str">
        <f>IF(C486="","",COUNTIFS(Başvuru!$C:$C,C486,Başvuru!$L:$L,"GERİ ÇEKİLDİ",Başvuru!$A:$A,"&lt;&gt;"&amp;"",Başvuru!$F:$F,"&lt;&gt;"&amp;""))</f>
        <v/>
      </c>
      <c r="Q486" s="170" t="str">
        <f>IFERROR(INDEX(Başvuru!$C$2:$C$1851,MATCH(481,Başvuru!$AB$2:$AB$1851,0)),"")</f>
        <v/>
      </c>
      <c r="R486" s="171" t="str">
        <f>IF(Q486="","",COUNTIFS(Başvuru!$C:$C,Q486,Başvuru!$A:$A,"&lt;&gt;"&amp;"",Başvuru!$F:$F,"&lt;&gt;"&amp;""))</f>
        <v/>
      </c>
      <c r="S486" s="171" t="str">
        <f>IF(R486="","",RANK(R486,$R$6:$R$505,0)+COUNTIF($R$6:R486,R486)-1)</f>
        <v/>
      </c>
    </row>
    <row r="487" spans="2:19" ht="23.25" customHeight="1" x14ac:dyDescent="0.25">
      <c r="B487" s="159">
        <v>482</v>
      </c>
      <c r="C487" s="160" t="str">
        <f>IFERROR(INDEX($Q$6:$Q$505,MATCH(482,$S$6:$S$505,0)),"")</f>
        <v/>
      </c>
      <c r="D487" s="161" t="str">
        <f>IF(C487="","",COUNTIFS(Başvuru!$C:$C,C487,Başvuru!$A:$A,"&lt;&gt;"&amp;"",Başvuru!$F:$F,"&lt;&gt;"&amp;""))</f>
        <v/>
      </c>
      <c r="E487" s="159" t="str">
        <f>IF(C487="","-",IF(D487&gt;0,TEXT(D487/(COUNTIFS(Başvuru!$A:$A,"&lt;&gt;",Başvuru!$F:$F,"&lt;&gt;")-1)*100,"0.0")&amp;"%","-"))</f>
        <v>-</v>
      </c>
      <c r="F487" s="162" t="str">
        <f>IF(C487="","",COUNTIFS(Başvuru!$C:$C,C487,Başvuru!$G:$G,"Bireysel Araştırma",Başvuru!$A:$A,"&lt;&gt;"&amp;"",Başvuru!$F:$F,"&lt;&gt;"&amp;""))</f>
        <v/>
      </c>
      <c r="G487" s="162" t="str">
        <f>IF(C487="","",COUNTIFS(Başvuru!$C:$C,C487,Başvuru!$G:$G,"Uzmanlık Tezi",Başvuru!$A:$A,"&lt;&gt;"&amp;"",Başvuru!$F:$F,"&lt;&gt;"&amp;""))</f>
        <v/>
      </c>
      <c r="H487" s="162" t="str">
        <f>IF(C487="","",COUNTIFS(Başvuru!$C:$C,C487,Başvuru!$G:$G,"Doktora Tezi",Başvuru!$A:$A,"&lt;&gt;"&amp;"",Başvuru!$F:$F,"&lt;&gt;"&amp;""))</f>
        <v/>
      </c>
      <c r="I487" s="162" t="str">
        <f>IF(C487="","",COUNTIFS(Başvuru!$C:$C,C487,Başvuru!$G:$G,"Yüksek Lisans Tezi",Başvuru!$A:$A,"&lt;&gt;"&amp;"",Başvuru!$F:$F,"&lt;&gt;"&amp;""))</f>
        <v/>
      </c>
      <c r="J487" s="163" t="str">
        <f>IF(C487="","",COUNTIFS(Başvuru!$C:$C,C487,Başvuru!$L:$L,"ONAY",Başvuru!$A:$A,"&lt;&gt;"&amp;"",Başvuru!$F:$F,"&lt;&gt;"&amp;""))</f>
        <v/>
      </c>
      <c r="K487" s="164" t="str">
        <f>IF(C487="","",COUNTIFS(Başvuru!$C:$C,C487,Başvuru!$L:$L,"DÜZELTME",Başvuru!$A:$A,"&lt;&gt;"&amp;"",Başvuru!$F:$F,"&lt;&gt;"&amp;""))</f>
        <v/>
      </c>
      <c r="L487" s="165" t="str">
        <f>IF(C487="","",COUNTIFS(Başvuru!$C:$C,C487,Başvuru!$L:$L,"KAEK",Başvuru!$A:$A,"&lt;&gt;"&amp;"",Başvuru!$F:$F,"&lt;&gt;"&amp;""))</f>
        <v/>
      </c>
      <c r="M487" s="166" t="str">
        <f>IF(C487="","",COUNTIFS(Başvuru!$C:$C,C487,Başvuru!$L:$L,"GÖRÜŞ",Başvuru!$A:$A,"&lt;&gt;"&amp;"",Başvuru!$F:$F,"&lt;&gt;"&amp;""))</f>
        <v/>
      </c>
      <c r="N487" s="167" t="str">
        <f>IF(C487="","",COUNTIFS(Başvuru!$C:$C,C487,Başvuru!$L:$L,"RET",Başvuru!$A:$A,"&lt;&gt;"&amp;"",Başvuru!$F:$F,"&lt;&gt;"&amp;""))</f>
        <v/>
      </c>
      <c r="O487" s="168" t="str">
        <f>IF(C487="","",COUNTIFS(Başvuru!$C:$C,C487,Başvuru!$L:$L,"KAPSAM DIŞI",Başvuru!$A:$A,"&lt;&gt;"&amp;"",Başvuru!$F:$F,"&lt;&gt;"&amp;""))</f>
        <v/>
      </c>
      <c r="P487" s="169" t="str">
        <f>IF(C487="","",COUNTIFS(Başvuru!$C:$C,C487,Başvuru!$L:$L,"GERİ ÇEKİLDİ",Başvuru!$A:$A,"&lt;&gt;"&amp;"",Başvuru!$F:$F,"&lt;&gt;"&amp;""))</f>
        <v/>
      </c>
      <c r="Q487" s="170" t="str">
        <f>IFERROR(INDEX(Başvuru!$C$2:$C$1851,MATCH(482,Başvuru!$AB$2:$AB$1851,0)),"")</f>
        <v/>
      </c>
      <c r="R487" s="171" t="str">
        <f>IF(Q487="","",COUNTIFS(Başvuru!$C:$C,Q487,Başvuru!$A:$A,"&lt;&gt;"&amp;"",Başvuru!$F:$F,"&lt;&gt;"&amp;""))</f>
        <v/>
      </c>
      <c r="S487" s="171" t="str">
        <f>IF(R487="","",RANK(R487,$R$6:$R$505,0)+COUNTIF($R$6:R487,R487)-1)</f>
        <v/>
      </c>
    </row>
    <row r="488" spans="2:19" ht="23.25" customHeight="1" x14ac:dyDescent="0.25">
      <c r="B488" s="159">
        <v>483</v>
      </c>
      <c r="C488" s="160" t="str">
        <f>IFERROR(INDEX($Q$6:$Q$505,MATCH(483,$S$6:$S$505,0)),"")</f>
        <v/>
      </c>
      <c r="D488" s="161" t="str">
        <f>IF(C488="","",COUNTIFS(Başvuru!$C:$C,C488,Başvuru!$A:$A,"&lt;&gt;"&amp;"",Başvuru!$F:$F,"&lt;&gt;"&amp;""))</f>
        <v/>
      </c>
      <c r="E488" s="159" t="str">
        <f>IF(C488="","-",IF(D488&gt;0,TEXT(D488/(COUNTIFS(Başvuru!$A:$A,"&lt;&gt;",Başvuru!$F:$F,"&lt;&gt;")-1)*100,"0.0")&amp;"%","-"))</f>
        <v>-</v>
      </c>
      <c r="F488" s="162" t="str">
        <f>IF(C488="","",COUNTIFS(Başvuru!$C:$C,C488,Başvuru!$G:$G,"Bireysel Araştırma",Başvuru!$A:$A,"&lt;&gt;"&amp;"",Başvuru!$F:$F,"&lt;&gt;"&amp;""))</f>
        <v/>
      </c>
      <c r="G488" s="162" t="str">
        <f>IF(C488="","",COUNTIFS(Başvuru!$C:$C,C488,Başvuru!$G:$G,"Uzmanlık Tezi",Başvuru!$A:$A,"&lt;&gt;"&amp;"",Başvuru!$F:$F,"&lt;&gt;"&amp;""))</f>
        <v/>
      </c>
      <c r="H488" s="162" t="str">
        <f>IF(C488="","",COUNTIFS(Başvuru!$C:$C,C488,Başvuru!$G:$G,"Doktora Tezi",Başvuru!$A:$A,"&lt;&gt;"&amp;"",Başvuru!$F:$F,"&lt;&gt;"&amp;""))</f>
        <v/>
      </c>
      <c r="I488" s="162" t="str">
        <f>IF(C488="","",COUNTIFS(Başvuru!$C:$C,C488,Başvuru!$G:$G,"Yüksek Lisans Tezi",Başvuru!$A:$A,"&lt;&gt;"&amp;"",Başvuru!$F:$F,"&lt;&gt;"&amp;""))</f>
        <v/>
      </c>
      <c r="J488" s="163" t="str">
        <f>IF(C488="","",COUNTIFS(Başvuru!$C:$C,C488,Başvuru!$L:$L,"ONAY",Başvuru!$A:$A,"&lt;&gt;"&amp;"",Başvuru!$F:$F,"&lt;&gt;"&amp;""))</f>
        <v/>
      </c>
      <c r="K488" s="164" t="str">
        <f>IF(C488="","",COUNTIFS(Başvuru!$C:$C,C488,Başvuru!$L:$L,"DÜZELTME",Başvuru!$A:$A,"&lt;&gt;"&amp;"",Başvuru!$F:$F,"&lt;&gt;"&amp;""))</f>
        <v/>
      </c>
      <c r="L488" s="165" t="str">
        <f>IF(C488="","",COUNTIFS(Başvuru!$C:$C,C488,Başvuru!$L:$L,"KAEK",Başvuru!$A:$A,"&lt;&gt;"&amp;"",Başvuru!$F:$F,"&lt;&gt;"&amp;""))</f>
        <v/>
      </c>
      <c r="M488" s="166" t="str">
        <f>IF(C488="","",COUNTIFS(Başvuru!$C:$C,C488,Başvuru!$L:$L,"GÖRÜŞ",Başvuru!$A:$A,"&lt;&gt;"&amp;"",Başvuru!$F:$F,"&lt;&gt;"&amp;""))</f>
        <v/>
      </c>
      <c r="N488" s="167" t="str">
        <f>IF(C488="","",COUNTIFS(Başvuru!$C:$C,C488,Başvuru!$L:$L,"RET",Başvuru!$A:$A,"&lt;&gt;"&amp;"",Başvuru!$F:$F,"&lt;&gt;"&amp;""))</f>
        <v/>
      </c>
      <c r="O488" s="168" t="str">
        <f>IF(C488="","",COUNTIFS(Başvuru!$C:$C,C488,Başvuru!$L:$L,"KAPSAM DIŞI",Başvuru!$A:$A,"&lt;&gt;"&amp;"",Başvuru!$F:$F,"&lt;&gt;"&amp;""))</f>
        <v/>
      </c>
      <c r="P488" s="169" t="str">
        <f>IF(C488="","",COUNTIFS(Başvuru!$C:$C,C488,Başvuru!$L:$L,"GERİ ÇEKİLDİ",Başvuru!$A:$A,"&lt;&gt;"&amp;"",Başvuru!$F:$F,"&lt;&gt;"&amp;""))</f>
        <v/>
      </c>
      <c r="Q488" s="170" t="str">
        <f>IFERROR(INDEX(Başvuru!$C$2:$C$1851,MATCH(483,Başvuru!$AB$2:$AB$1851,0)),"")</f>
        <v/>
      </c>
      <c r="R488" s="171" t="str">
        <f>IF(Q488="","",COUNTIFS(Başvuru!$C:$C,Q488,Başvuru!$A:$A,"&lt;&gt;"&amp;"",Başvuru!$F:$F,"&lt;&gt;"&amp;""))</f>
        <v/>
      </c>
      <c r="S488" s="171" t="str">
        <f>IF(R488="","",RANK(R488,$R$6:$R$505,0)+COUNTIF($R$6:R488,R488)-1)</f>
        <v/>
      </c>
    </row>
    <row r="489" spans="2:19" ht="23.25" customHeight="1" x14ac:dyDescent="0.25">
      <c r="B489" s="159">
        <v>484</v>
      </c>
      <c r="C489" s="160" t="str">
        <f>IFERROR(INDEX($Q$6:$Q$505,MATCH(484,$S$6:$S$505,0)),"")</f>
        <v/>
      </c>
      <c r="D489" s="161" t="str">
        <f>IF(C489="","",COUNTIFS(Başvuru!$C:$C,C489,Başvuru!$A:$A,"&lt;&gt;"&amp;"",Başvuru!$F:$F,"&lt;&gt;"&amp;""))</f>
        <v/>
      </c>
      <c r="E489" s="159" t="str">
        <f>IF(C489="","-",IF(D489&gt;0,TEXT(D489/(COUNTIFS(Başvuru!$A:$A,"&lt;&gt;",Başvuru!$F:$F,"&lt;&gt;")-1)*100,"0.0")&amp;"%","-"))</f>
        <v>-</v>
      </c>
      <c r="F489" s="162" t="str">
        <f>IF(C489="","",COUNTIFS(Başvuru!$C:$C,C489,Başvuru!$G:$G,"Bireysel Araştırma",Başvuru!$A:$A,"&lt;&gt;"&amp;"",Başvuru!$F:$F,"&lt;&gt;"&amp;""))</f>
        <v/>
      </c>
      <c r="G489" s="162" t="str">
        <f>IF(C489="","",COUNTIFS(Başvuru!$C:$C,C489,Başvuru!$G:$G,"Uzmanlık Tezi",Başvuru!$A:$A,"&lt;&gt;"&amp;"",Başvuru!$F:$F,"&lt;&gt;"&amp;""))</f>
        <v/>
      </c>
      <c r="H489" s="162" t="str">
        <f>IF(C489="","",COUNTIFS(Başvuru!$C:$C,C489,Başvuru!$G:$G,"Doktora Tezi",Başvuru!$A:$A,"&lt;&gt;"&amp;"",Başvuru!$F:$F,"&lt;&gt;"&amp;""))</f>
        <v/>
      </c>
      <c r="I489" s="162" t="str">
        <f>IF(C489="","",COUNTIFS(Başvuru!$C:$C,C489,Başvuru!$G:$G,"Yüksek Lisans Tezi",Başvuru!$A:$A,"&lt;&gt;"&amp;"",Başvuru!$F:$F,"&lt;&gt;"&amp;""))</f>
        <v/>
      </c>
      <c r="J489" s="163" t="str">
        <f>IF(C489="","",COUNTIFS(Başvuru!$C:$C,C489,Başvuru!$L:$L,"ONAY",Başvuru!$A:$A,"&lt;&gt;"&amp;"",Başvuru!$F:$F,"&lt;&gt;"&amp;""))</f>
        <v/>
      </c>
      <c r="K489" s="164" t="str">
        <f>IF(C489="","",COUNTIFS(Başvuru!$C:$C,C489,Başvuru!$L:$L,"DÜZELTME",Başvuru!$A:$A,"&lt;&gt;"&amp;"",Başvuru!$F:$F,"&lt;&gt;"&amp;""))</f>
        <v/>
      </c>
      <c r="L489" s="165" t="str">
        <f>IF(C489="","",COUNTIFS(Başvuru!$C:$C,C489,Başvuru!$L:$L,"KAEK",Başvuru!$A:$A,"&lt;&gt;"&amp;"",Başvuru!$F:$F,"&lt;&gt;"&amp;""))</f>
        <v/>
      </c>
      <c r="M489" s="166" t="str">
        <f>IF(C489="","",COUNTIFS(Başvuru!$C:$C,C489,Başvuru!$L:$L,"GÖRÜŞ",Başvuru!$A:$A,"&lt;&gt;"&amp;"",Başvuru!$F:$F,"&lt;&gt;"&amp;""))</f>
        <v/>
      </c>
      <c r="N489" s="167" t="str">
        <f>IF(C489="","",COUNTIFS(Başvuru!$C:$C,C489,Başvuru!$L:$L,"RET",Başvuru!$A:$A,"&lt;&gt;"&amp;"",Başvuru!$F:$F,"&lt;&gt;"&amp;""))</f>
        <v/>
      </c>
      <c r="O489" s="168" t="str">
        <f>IF(C489="","",COUNTIFS(Başvuru!$C:$C,C489,Başvuru!$L:$L,"KAPSAM DIŞI",Başvuru!$A:$A,"&lt;&gt;"&amp;"",Başvuru!$F:$F,"&lt;&gt;"&amp;""))</f>
        <v/>
      </c>
      <c r="P489" s="169" t="str">
        <f>IF(C489="","",COUNTIFS(Başvuru!$C:$C,C489,Başvuru!$L:$L,"GERİ ÇEKİLDİ",Başvuru!$A:$A,"&lt;&gt;"&amp;"",Başvuru!$F:$F,"&lt;&gt;"&amp;""))</f>
        <v/>
      </c>
      <c r="Q489" s="170" t="str">
        <f>IFERROR(INDEX(Başvuru!$C$2:$C$1851,MATCH(484,Başvuru!$AB$2:$AB$1851,0)),"")</f>
        <v/>
      </c>
      <c r="R489" s="171" t="str">
        <f>IF(Q489="","",COUNTIFS(Başvuru!$C:$C,Q489,Başvuru!$A:$A,"&lt;&gt;"&amp;"",Başvuru!$F:$F,"&lt;&gt;"&amp;""))</f>
        <v/>
      </c>
      <c r="S489" s="171" t="str">
        <f>IF(R489="","",RANK(R489,$R$6:$R$505,0)+COUNTIF($R$6:R489,R489)-1)</f>
        <v/>
      </c>
    </row>
    <row r="490" spans="2:19" ht="23.25" customHeight="1" x14ac:dyDescent="0.25">
      <c r="B490" s="159">
        <v>485</v>
      </c>
      <c r="C490" s="160" t="str">
        <f>IFERROR(INDEX($Q$6:$Q$505,MATCH(485,$S$6:$S$505,0)),"")</f>
        <v/>
      </c>
      <c r="D490" s="161" t="str">
        <f>IF(C490="","",COUNTIFS(Başvuru!$C:$C,C490,Başvuru!$A:$A,"&lt;&gt;"&amp;"",Başvuru!$F:$F,"&lt;&gt;"&amp;""))</f>
        <v/>
      </c>
      <c r="E490" s="159" t="str">
        <f>IF(C490="","-",IF(D490&gt;0,TEXT(D490/(COUNTIFS(Başvuru!$A:$A,"&lt;&gt;",Başvuru!$F:$F,"&lt;&gt;")-1)*100,"0.0")&amp;"%","-"))</f>
        <v>-</v>
      </c>
      <c r="F490" s="162" t="str">
        <f>IF(C490="","",COUNTIFS(Başvuru!$C:$C,C490,Başvuru!$G:$G,"Bireysel Araştırma",Başvuru!$A:$A,"&lt;&gt;"&amp;"",Başvuru!$F:$F,"&lt;&gt;"&amp;""))</f>
        <v/>
      </c>
      <c r="G490" s="162" t="str">
        <f>IF(C490="","",COUNTIFS(Başvuru!$C:$C,C490,Başvuru!$G:$G,"Uzmanlık Tezi",Başvuru!$A:$A,"&lt;&gt;"&amp;"",Başvuru!$F:$F,"&lt;&gt;"&amp;""))</f>
        <v/>
      </c>
      <c r="H490" s="162" t="str">
        <f>IF(C490="","",COUNTIFS(Başvuru!$C:$C,C490,Başvuru!$G:$G,"Doktora Tezi",Başvuru!$A:$A,"&lt;&gt;"&amp;"",Başvuru!$F:$F,"&lt;&gt;"&amp;""))</f>
        <v/>
      </c>
      <c r="I490" s="162" t="str">
        <f>IF(C490="","",COUNTIFS(Başvuru!$C:$C,C490,Başvuru!$G:$G,"Yüksek Lisans Tezi",Başvuru!$A:$A,"&lt;&gt;"&amp;"",Başvuru!$F:$F,"&lt;&gt;"&amp;""))</f>
        <v/>
      </c>
      <c r="J490" s="163" t="str">
        <f>IF(C490="","",COUNTIFS(Başvuru!$C:$C,C490,Başvuru!$L:$L,"ONAY",Başvuru!$A:$A,"&lt;&gt;"&amp;"",Başvuru!$F:$F,"&lt;&gt;"&amp;""))</f>
        <v/>
      </c>
      <c r="K490" s="164" t="str">
        <f>IF(C490="","",COUNTIFS(Başvuru!$C:$C,C490,Başvuru!$L:$L,"DÜZELTME",Başvuru!$A:$A,"&lt;&gt;"&amp;"",Başvuru!$F:$F,"&lt;&gt;"&amp;""))</f>
        <v/>
      </c>
      <c r="L490" s="165" t="str">
        <f>IF(C490="","",COUNTIFS(Başvuru!$C:$C,C490,Başvuru!$L:$L,"KAEK",Başvuru!$A:$A,"&lt;&gt;"&amp;"",Başvuru!$F:$F,"&lt;&gt;"&amp;""))</f>
        <v/>
      </c>
      <c r="M490" s="166" t="str">
        <f>IF(C490="","",COUNTIFS(Başvuru!$C:$C,C490,Başvuru!$L:$L,"GÖRÜŞ",Başvuru!$A:$A,"&lt;&gt;"&amp;"",Başvuru!$F:$F,"&lt;&gt;"&amp;""))</f>
        <v/>
      </c>
      <c r="N490" s="167" t="str">
        <f>IF(C490="","",COUNTIFS(Başvuru!$C:$C,C490,Başvuru!$L:$L,"RET",Başvuru!$A:$A,"&lt;&gt;"&amp;"",Başvuru!$F:$F,"&lt;&gt;"&amp;""))</f>
        <v/>
      </c>
      <c r="O490" s="168" t="str">
        <f>IF(C490="","",COUNTIFS(Başvuru!$C:$C,C490,Başvuru!$L:$L,"KAPSAM DIŞI",Başvuru!$A:$A,"&lt;&gt;"&amp;"",Başvuru!$F:$F,"&lt;&gt;"&amp;""))</f>
        <v/>
      </c>
      <c r="P490" s="169" t="str">
        <f>IF(C490="","",COUNTIFS(Başvuru!$C:$C,C490,Başvuru!$L:$L,"GERİ ÇEKİLDİ",Başvuru!$A:$A,"&lt;&gt;"&amp;"",Başvuru!$F:$F,"&lt;&gt;"&amp;""))</f>
        <v/>
      </c>
      <c r="Q490" s="170" t="str">
        <f>IFERROR(INDEX(Başvuru!$C$2:$C$1851,MATCH(485,Başvuru!$AB$2:$AB$1851,0)),"")</f>
        <v/>
      </c>
      <c r="R490" s="171" t="str">
        <f>IF(Q490="","",COUNTIFS(Başvuru!$C:$C,Q490,Başvuru!$A:$A,"&lt;&gt;"&amp;"",Başvuru!$F:$F,"&lt;&gt;"&amp;""))</f>
        <v/>
      </c>
      <c r="S490" s="171" t="str">
        <f>IF(R490="","",RANK(R490,$R$6:$R$505,0)+COUNTIF($R$6:R490,R490)-1)</f>
        <v/>
      </c>
    </row>
    <row r="491" spans="2:19" ht="23.25" customHeight="1" x14ac:dyDescent="0.25">
      <c r="B491" s="159">
        <v>486</v>
      </c>
      <c r="C491" s="160" t="str">
        <f>IFERROR(INDEX($Q$6:$Q$505,MATCH(486,$S$6:$S$505,0)),"")</f>
        <v/>
      </c>
      <c r="D491" s="161" t="str">
        <f>IF(C491="","",COUNTIFS(Başvuru!$C:$C,C491,Başvuru!$A:$A,"&lt;&gt;"&amp;"",Başvuru!$F:$F,"&lt;&gt;"&amp;""))</f>
        <v/>
      </c>
      <c r="E491" s="159" t="str">
        <f>IF(C491="","-",IF(D491&gt;0,TEXT(D491/(COUNTIFS(Başvuru!$A:$A,"&lt;&gt;",Başvuru!$F:$F,"&lt;&gt;")-1)*100,"0.0")&amp;"%","-"))</f>
        <v>-</v>
      </c>
      <c r="F491" s="162" t="str">
        <f>IF(C491="","",COUNTIFS(Başvuru!$C:$C,C491,Başvuru!$G:$G,"Bireysel Araştırma",Başvuru!$A:$A,"&lt;&gt;"&amp;"",Başvuru!$F:$F,"&lt;&gt;"&amp;""))</f>
        <v/>
      </c>
      <c r="G491" s="162" t="str">
        <f>IF(C491="","",COUNTIFS(Başvuru!$C:$C,C491,Başvuru!$G:$G,"Uzmanlık Tezi",Başvuru!$A:$A,"&lt;&gt;"&amp;"",Başvuru!$F:$F,"&lt;&gt;"&amp;""))</f>
        <v/>
      </c>
      <c r="H491" s="162" t="str">
        <f>IF(C491="","",COUNTIFS(Başvuru!$C:$C,C491,Başvuru!$G:$G,"Doktora Tezi",Başvuru!$A:$A,"&lt;&gt;"&amp;"",Başvuru!$F:$F,"&lt;&gt;"&amp;""))</f>
        <v/>
      </c>
      <c r="I491" s="162" t="str">
        <f>IF(C491="","",COUNTIFS(Başvuru!$C:$C,C491,Başvuru!$G:$G,"Yüksek Lisans Tezi",Başvuru!$A:$A,"&lt;&gt;"&amp;"",Başvuru!$F:$F,"&lt;&gt;"&amp;""))</f>
        <v/>
      </c>
      <c r="J491" s="163" t="str">
        <f>IF(C491="","",COUNTIFS(Başvuru!$C:$C,C491,Başvuru!$L:$L,"ONAY",Başvuru!$A:$A,"&lt;&gt;"&amp;"",Başvuru!$F:$F,"&lt;&gt;"&amp;""))</f>
        <v/>
      </c>
      <c r="K491" s="164" t="str">
        <f>IF(C491="","",COUNTIFS(Başvuru!$C:$C,C491,Başvuru!$L:$L,"DÜZELTME",Başvuru!$A:$A,"&lt;&gt;"&amp;"",Başvuru!$F:$F,"&lt;&gt;"&amp;""))</f>
        <v/>
      </c>
      <c r="L491" s="165" t="str">
        <f>IF(C491="","",COUNTIFS(Başvuru!$C:$C,C491,Başvuru!$L:$L,"KAEK",Başvuru!$A:$A,"&lt;&gt;"&amp;"",Başvuru!$F:$F,"&lt;&gt;"&amp;""))</f>
        <v/>
      </c>
      <c r="M491" s="166" t="str">
        <f>IF(C491="","",COUNTIFS(Başvuru!$C:$C,C491,Başvuru!$L:$L,"GÖRÜŞ",Başvuru!$A:$A,"&lt;&gt;"&amp;"",Başvuru!$F:$F,"&lt;&gt;"&amp;""))</f>
        <v/>
      </c>
      <c r="N491" s="167" t="str">
        <f>IF(C491="","",COUNTIFS(Başvuru!$C:$C,C491,Başvuru!$L:$L,"RET",Başvuru!$A:$A,"&lt;&gt;"&amp;"",Başvuru!$F:$F,"&lt;&gt;"&amp;""))</f>
        <v/>
      </c>
      <c r="O491" s="168" t="str">
        <f>IF(C491="","",COUNTIFS(Başvuru!$C:$C,C491,Başvuru!$L:$L,"KAPSAM DIŞI",Başvuru!$A:$A,"&lt;&gt;"&amp;"",Başvuru!$F:$F,"&lt;&gt;"&amp;""))</f>
        <v/>
      </c>
      <c r="P491" s="169" t="str">
        <f>IF(C491="","",COUNTIFS(Başvuru!$C:$C,C491,Başvuru!$L:$L,"GERİ ÇEKİLDİ",Başvuru!$A:$A,"&lt;&gt;"&amp;"",Başvuru!$F:$F,"&lt;&gt;"&amp;""))</f>
        <v/>
      </c>
      <c r="Q491" s="170" t="str">
        <f>IFERROR(INDEX(Başvuru!$C$2:$C$1851,MATCH(486,Başvuru!$AB$2:$AB$1851,0)),"")</f>
        <v/>
      </c>
      <c r="R491" s="171" t="str">
        <f>IF(Q491="","",COUNTIFS(Başvuru!$C:$C,Q491,Başvuru!$A:$A,"&lt;&gt;"&amp;"",Başvuru!$F:$F,"&lt;&gt;"&amp;""))</f>
        <v/>
      </c>
      <c r="S491" s="171" t="str">
        <f>IF(R491="","",RANK(R491,$R$6:$R$505,0)+COUNTIF($R$6:R491,R491)-1)</f>
        <v/>
      </c>
    </row>
    <row r="492" spans="2:19" ht="23.25" customHeight="1" x14ac:dyDescent="0.25">
      <c r="B492" s="159">
        <v>487</v>
      </c>
      <c r="C492" s="160" t="str">
        <f>IFERROR(INDEX($Q$6:$Q$505,MATCH(487,$S$6:$S$505,0)),"")</f>
        <v/>
      </c>
      <c r="D492" s="161" t="str">
        <f>IF(C492="","",COUNTIFS(Başvuru!$C:$C,C492,Başvuru!$A:$A,"&lt;&gt;"&amp;"",Başvuru!$F:$F,"&lt;&gt;"&amp;""))</f>
        <v/>
      </c>
      <c r="E492" s="159" t="str">
        <f>IF(C492="","-",IF(D492&gt;0,TEXT(D492/(COUNTIFS(Başvuru!$A:$A,"&lt;&gt;",Başvuru!$F:$F,"&lt;&gt;")-1)*100,"0.0")&amp;"%","-"))</f>
        <v>-</v>
      </c>
      <c r="F492" s="162" t="str">
        <f>IF(C492="","",COUNTIFS(Başvuru!$C:$C,C492,Başvuru!$G:$G,"Bireysel Araştırma",Başvuru!$A:$A,"&lt;&gt;"&amp;"",Başvuru!$F:$F,"&lt;&gt;"&amp;""))</f>
        <v/>
      </c>
      <c r="G492" s="162" t="str">
        <f>IF(C492="","",COUNTIFS(Başvuru!$C:$C,C492,Başvuru!$G:$G,"Uzmanlık Tezi",Başvuru!$A:$A,"&lt;&gt;"&amp;"",Başvuru!$F:$F,"&lt;&gt;"&amp;""))</f>
        <v/>
      </c>
      <c r="H492" s="162" t="str">
        <f>IF(C492="","",COUNTIFS(Başvuru!$C:$C,C492,Başvuru!$G:$G,"Doktora Tezi",Başvuru!$A:$A,"&lt;&gt;"&amp;"",Başvuru!$F:$F,"&lt;&gt;"&amp;""))</f>
        <v/>
      </c>
      <c r="I492" s="162" t="str">
        <f>IF(C492="","",COUNTIFS(Başvuru!$C:$C,C492,Başvuru!$G:$G,"Yüksek Lisans Tezi",Başvuru!$A:$A,"&lt;&gt;"&amp;"",Başvuru!$F:$F,"&lt;&gt;"&amp;""))</f>
        <v/>
      </c>
      <c r="J492" s="163" t="str">
        <f>IF(C492="","",COUNTIFS(Başvuru!$C:$C,C492,Başvuru!$L:$L,"ONAY",Başvuru!$A:$A,"&lt;&gt;"&amp;"",Başvuru!$F:$F,"&lt;&gt;"&amp;""))</f>
        <v/>
      </c>
      <c r="K492" s="164" t="str">
        <f>IF(C492="","",COUNTIFS(Başvuru!$C:$C,C492,Başvuru!$L:$L,"DÜZELTME",Başvuru!$A:$A,"&lt;&gt;"&amp;"",Başvuru!$F:$F,"&lt;&gt;"&amp;""))</f>
        <v/>
      </c>
      <c r="L492" s="165" t="str">
        <f>IF(C492="","",COUNTIFS(Başvuru!$C:$C,C492,Başvuru!$L:$L,"KAEK",Başvuru!$A:$A,"&lt;&gt;"&amp;"",Başvuru!$F:$F,"&lt;&gt;"&amp;""))</f>
        <v/>
      </c>
      <c r="M492" s="166" t="str">
        <f>IF(C492="","",COUNTIFS(Başvuru!$C:$C,C492,Başvuru!$L:$L,"GÖRÜŞ",Başvuru!$A:$A,"&lt;&gt;"&amp;"",Başvuru!$F:$F,"&lt;&gt;"&amp;""))</f>
        <v/>
      </c>
      <c r="N492" s="167" t="str">
        <f>IF(C492="","",COUNTIFS(Başvuru!$C:$C,C492,Başvuru!$L:$L,"RET",Başvuru!$A:$A,"&lt;&gt;"&amp;"",Başvuru!$F:$F,"&lt;&gt;"&amp;""))</f>
        <v/>
      </c>
      <c r="O492" s="168" t="str">
        <f>IF(C492="","",COUNTIFS(Başvuru!$C:$C,C492,Başvuru!$L:$L,"KAPSAM DIŞI",Başvuru!$A:$A,"&lt;&gt;"&amp;"",Başvuru!$F:$F,"&lt;&gt;"&amp;""))</f>
        <v/>
      </c>
      <c r="P492" s="169" t="str">
        <f>IF(C492="","",COUNTIFS(Başvuru!$C:$C,C492,Başvuru!$L:$L,"GERİ ÇEKİLDİ",Başvuru!$A:$A,"&lt;&gt;"&amp;"",Başvuru!$F:$F,"&lt;&gt;"&amp;""))</f>
        <v/>
      </c>
      <c r="Q492" s="170" t="str">
        <f>IFERROR(INDEX(Başvuru!$C$2:$C$1851,MATCH(487,Başvuru!$AB$2:$AB$1851,0)),"")</f>
        <v/>
      </c>
      <c r="R492" s="171" t="str">
        <f>IF(Q492="","",COUNTIFS(Başvuru!$C:$C,Q492,Başvuru!$A:$A,"&lt;&gt;"&amp;"",Başvuru!$F:$F,"&lt;&gt;"&amp;""))</f>
        <v/>
      </c>
      <c r="S492" s="171" t="str">
        <f>IF(R492="","",RANK(R492,$R$6:$R$505,0)+COUNTIF($R$6:R492,R492)-1)</f>
        <v/>
      </c>
    </row>
    <row r="493" spans="2:19" ht="23.25" customHeight="1" x14ac:dyDescent="0.25">
      <c r="B493" s="159">
        <v>488</v>
      </c>
      <c r="C493" s="160" t="str">
        <f>IFERROR(INDEX($Q$6:$Q$505,MATCH(488,$S$6:$S$505,0)),"")</f>
        <v/>
      </c>
      <c r="D493" s="161" t="str">
        <f>IF(C493="","",COUNTIFS(Başvuru!$C:$C,C493,Başvuru!$A:$A,"&lt;&gt;"&amp;"",Başvuru!$F:$F,"&lt;&gt;"&amp;""))</f>
        <v/>
      </c>
      <c r="E493" s="159" t="str">
        <f>IF(C493="","-",IF(D493&gt;0,TEXT(D493/(COUNTIFS(Başvuru!$A:$A,"&lt;&gt;",Başvuru!$F:$F,"&lt;&gt;")-1)*100,"0.0")&amp;"%","-"))</f>
        <v>-</v>
      </c>
      <c r="F493" s="162" t="str">
        <f>IF(C493="","",COUNTIFS(Başvuru!$C:$C,C493,Başvuru!$G:$G,"Bireysel Araştırma",Başvuru!$A:$A,"&lt;&gt;"&amp;"",Başvuru!$F:$F,"&lt;&gt;"&amp;""))</f>
        <v/>
      </c>
      <c r="G493" s="162" t="str">
        <f>IF(C493="","",COUNTIFS(Başvuru!$C:$C,C493,Başvuru!$G:$G,"Uzmanlık Tezi",Başvuru!$A:$A,"&lt;&gt;"&amp;"",Başvuru!$F:$F,"&lt;&gt;"&amp;""))</f>
        <v/>
      </c>
      <c r="H493" s="162" t="str">
        <f>IF(C493="","",COUNTIFS(Başvuru!$C:$C,C493,Başvuru!$G:$G,"Doktora Tezi",Başvuru!$A:$A,"&lt;&gt;"&amp;"",Başvuru!$F:$F,"&lt;&gt;"&amp;""))</f>
        <v/>
      </c>
      <c r="I493" s="162" t="str">
        <f>IF(C493="","",COUNTIFS(Başvuru!$C:$C,C493,Başvuru!$G:$G,"Yüksek Lisans Tezi",Başvuru!$A:$A,"&lt;&gt;"&amp;"",Başvuru!$F:$F,"&lt;&gt;"&amp;""))</f>
        <v/>
      </c>
      <c r="J493" s="163" t="str">
        <f>IF(C493="","",COUNTIFS(Başvuru!$C:$C,C493,Başvuru!$L:$L,"ONAY",Başvuru!$A:$A,"&lt;&gt;"&amp;"",Başvuru!$F:$F,"&lt;&gt;"&amp;""))</f>
        <v/>
      </c>
      <c r="K493" s="164" t="str">
        <f>IF(C493="","",COUNTIFS(Başvuru!$C:$C,C493,Başvuru!$L:$L,"DÜZELTME",Başvuru!$A:$A,"&lt;&gt;"&amp;"",Başvuru!$F:$F,"&lt;&gt;"&amp;""))</f>
        <v/>
      </c>
      <c r="L493" s="165" t="str">
        <f>IF(C493="","",COUNTIFS(Başvuru!$C:$C,C493,Başvuru!$L:$L,"KAEK",Başvuru!$A:$A,"&lt;&gt;"&amp;"",Başvuru!$F:$F,"&lt;&gt;"&amp;""))</f>
        <v/>
      </c>
      <c r="M493" s="166" t="str">
        <f>IF(C493="","",COUNTIFS(Başvuru!$C:$C,C493,Başvuru!$L:$L,"GÖRÜŞ",Başvuru!$A:$A,"&lt;&gt;"&amp;"",Başvuru!$F:$F,"&lt;&gt;"&amp;""))</f>
        <v/>
      </c>
      <c r="N493" s="167" t="str">
        <f>IF(C493="","",COUNTIFS(Başvuru!$C:$C,C493,Başvuru!$L:$L,"RET",Başvuru!$A:$A,"&lt;&gt;"&amp;"",Başvuru!$F:$F,"&lt;&gt;"&amp;""))</f>
        <v/>
      </c>
      <c r="O493" s="168" t="str">
        <f>IF(C493="","",COUNTIFS(Başvuru!$C:$C,C493,Başvuru!$L:$L,"KAPSAM DIŞI",Başvuru!$A:$A,"&lt;&gt;"&amp;"",Başvuru!$F:$F,"&lt;&gt;"&amp;""))</f>
        <v/>
      </c>
      <c r="P493" s="169" t="str">
        <f>IF(C493="","",COUNTIFS(Başvuru!$C:$C,C493,Başvuru!$L:$L,"GERİ ÇEKİLDİ",Başvuru!$A:$A,"&lt;&gt;"&amp;"",Başvuru!$F:$F,"&lt;&gt;"&amp;""))</f>
        <v/>
      </c>
      <c r="Q493" s="170" t="str">
        <f>IFERROR(INDEX(Başvuru!$C$2:$C$1851,MATCH(488,Başvuru!$AB$2:$AB$1851,0)),"")</f>
        <v/>
      </c>
      <c r="R493" s="171" t="str">
        <f>IF(Q493="","",COUNTIFS(Başvuru!$C:$C,Q493,Başvuru!$A:$A,"&lt;&gt;"&amp;"",Başvuru!$F:$F,"&lt;&gt;"&amp;""))</f>
        <v/>
      </c>
      <c r="S493" s="171" t="str">
        <f>IF(R493="","",RANK(R493,$R$6:$R$505,0)+COUNTIF($R$6:R493,R493)-1)</f>
        <v/>
      </c>
    </row>
    <row r="494" spans="2:19" ht="23.25" customHeight="1" x14ac:dyDescent="0.25">
      <c r="B494" s="159">
        <v>489</v>
      </c>
      <c r="C494" s="160" t="str">
        <f>IFERROR(INDEX($Q$6:$Q$505,MATCH(489,$S$6:$S$505,0)),"")</f>
        <v/>
      </c>
      <c r="D494" s="161" t="str">
        <f>IF(C494="","",COUNTIFS(Başvuru!$C:$C,C494,Başvuru!$A:$A,"&lt;&gt;"&amp;"",Başvuru!$F:$F,"&lt;&gt;"&amp;""))</f>
        <v/>
      </c>
      <c r="E494" s="159" t="str">
        <f>IF(C494="","-",IF(D494&gt;0,TEXT(D494/(COUNTIFS(Başvuru!$A:$A,"&lt;&gt;",Başvuru!$F:$F,"&lt;&gt;")-1)*100,"0.0")&amp;"%","-"))</f>
        <v>-</v>
      </c>
      <c r="F494" s="162" t="str">
        <f>IF(C494="","",COUNTIFS(Başvuru!$C:$C,C494,Başvuru!$G:$G,"Bireysel Araştırma",Başvuru!$A:$A,"&lt;&gt;"&amp;"",Başvuru!$F:$F,"&lt;&gt;"&amp;""))</f>
        <v/>
      </c>
      <c r="G494" s="162" t="str">
        <f>IF(C494="","",COUNTIFS(Başvuru!$C:$C,C494,Başvuru!$G:$G,"Uzmanlık Tezi",Başvuru!$A:$A,"&lt;&gt;"&amp;"",Başvuru!$F:$F,"&lt;&gt;"&amp;""))</f>
        <v/>
      </c>
      <c r="H494" s="162" t="str">
        <f>IF(C494="","",COUNTIFS(Başvuru!$C:$C,C494,Başvuru!$G:$G,"Doktora Tezi",Başvuru!$A:$A,"&lt;&gt;"&amp;"",Başvuru!$F:$F,"&lt;&gt;"&amp;""))</f>
        <v/>
      </c>
      <c r="I494" s="162" t="str">
        <f>IF(C494="","",COUNTIFS(Başvuru!$C:$C,C494,Başvuru!$G:$G,"Yüksek Lisans Tezi",Başvuru!$A:$A,"&lt;&gt;"&amp;"",Başvuru!$F:$F,"&lt;&gt;"&amp;""))</f>
        <v/>
      </c>
      <c r="J494" s="163" t="str">
        <f>IF(C494="","",COUNTIFS(Başvuru!$C:$C,C494,Başvuru!$L:$L,"ONAY",Başvuru!$A:$A,"&lt;&gt;"&amp;"",Başvuru!$F:$F,"&lt;&gt;"&amp;""))</f>
        <v/>
      </c>
      <c r="K494" s="164" t="str">
        <f>IF(C494="","",COUNTIFS(Başvuru!$C:$C,C494,Başvuru!$L:$L,"DÜZELTME",Başvuru!$A:$A,"&lt;&gt;"&amp;"",Başvuru!$F:$F,"&lt;&gt;"&amp;""))</f>
        <v/>
      </c>
      <c r="L494" s="165" t="str">
        <f>IF(C494="","",COUNTIFS(Başvuru!$C:$C,C494,Başvuru!$L:$L,"KAEK",Başvuru!$A:$A,"&lt;&gt;"&amp;"",Başvuru!$F:$F,"&lt;&gt;"&amp;""))</f>
        <v/>
      </c>
      <c r="M494" s="166" t="str">
        <f>IF(C494="","",COUNTIFS(Başvuru!$C:$C,C494,Başvuru!$L:$L,"GÖRÜŞ",Başvuru!$A:$A,"&lt;&gt;"&amp;"",Başvuru!$F:$F,"&lt;&gt;"&amp;""))</f>
        <v/>
      </c>
      <c r="N494" s="167" t="str">
        <f>IF(C494="","",COUNTIFS(Başvuru!$C:$C,C494,Başvuru!$L:$L,"RET",Başvuru!$A:$A,"&lt;&gt;"&amp;"",Başvuru!$F:$F,"&lt;&gt;"&amp;""))</f>
        <v/>
      </c>
      <c r="O494" s="168" t="str">
        <f>IF(C494="","",COUNTIFS(Başvuru!$C:$C,C494,Başvuru!$L:$L,"KAPSAM DIŞI",Başvuru!$A:$A,"&lt;&gt;"&amp;"",Başvuru!$F:$F,"&lt;&gt;"&amp;""))</f>
        <v/>
      </c>
      <c r="P494" s="169" t="str">
        <f>IF(C494="","",COUNTIFS(Başvuru!$C:$C,C494,Başvuru!$L:$L,"GERİ ÇEKİLDİ",Başvuru!$A:$A,"&lt;&gt;"&amp;"",Başvuru!$F:$F,"&lt;&gt;"&amp;""))</f>
        <v/>
      </c>
      <c r="Q494" s="170" t="str">
        <f>IFERROR(INDEX(Başvuru!$C$2:$C$1851,MATCH(489,Başvuru!$AB$2:$AB$1851,0)),"")</f>
        <v/>
      </c>
      <c r="R494" s="171" t="str">
        <f>IF(Q494="","",COUNTIFS(Başvuru!$C:$C,Q494,Başvuru!$A:$A,"&lt;&gt;"&amp;"",Başvuru!$F:$F,"&lt;&gt;"&amp;""))</f>
        <v/>
      </c>
      <c r="S494" s="171" t="str">
        <f>IF(R494="","",RANK(R494,$R$6:$R$505,0)+COUNTIF($R$6:R494,R494)-1)</f>
        <v/>
      </c>
    </row>
    <row r="495" spans="2:19" ht="23.25" customHeight="1" x14ac:dyDescent="0.25">
      <c r="B495" s="159">
        <v>490</v>
      </c>
      <c r="C495" s="160" t="str">
        <f>IFERROR(INDEX($Q$6:$Q$505,MATCH(490,$S$6:$S$505,0)),"")</f>
        <v/>
      </c>
      <c r="D495" s="161" t="str">
        <f>IF(C495="","",COUNTIFS(Başvuru!$C:$C,C495,Başvuru!$A:$A,"&lt;&gt;"&amp;"",Başvuru!$F:$F,"&lt;&gt;"&amp;""))</f>
        <v/>
      </c>
      <c r="E495" s="159" t="str">
        <f>IF(C495="","-",IF(D495&gt;0,TEXT(D495/(COUNTIFS(Başvuru!$A:$A,"&lt;&gt;",Başvuru!$F:$F,"&lt;&gt;")-1)*100,"0.0")&amp;"%","-"))</f>
        <v>-</v>
      </c>
      <c r="F495" s="162" t="str">
        <f>IF(C495="","",COUNTIFS(Başvuru!$C:$C,C495,Başvuru!$G:$G,"Bireysel Araştırma",Başvuru!$A:$A,"&lt;&gt;"&amp;"",Başvuru!$F:$F,"&lt;&gt;"&amp;""))</f>
        <v/>
      </c>
      <c r="G495" s="162" t="str">
        <f>IF(C495="","",COUNTIFS(Başvuru!$C:$C,C495,Başvuru!$G:$G,"Uzmanlık Tezi",Başvuru!$A:$A,"&lt;&gt;"&amp;"",Başvuru!$F:$F,"&lt;&gt;"&amp;""))</f>
        <v/>
      </c>
      <c r="H495" s="162" t="str">
        <f>IF(C495="","",COUNTIFS(Başvuru!$C:$C,C495,Başvuru!$G:$G,"Doktora Tezi",Başvuru!$A:$A,"&lt;&gt;"&amp;"",Başvuru!$F:$F,"&lt;&gt;"&amp;""))</f>
        <v/>
      </c>
      <c r="I495" s="162" t="str">
        <f>IF(C495="","",COUNTIFS(Başvuru!$C:$C,C495,Başvuru!$G:$G,"Yüksek Lisans Tezi",Başvuru!$A:$A,"&lt;&gt;"&amp;"",Başvuru!$F:$F,"&lt;&gt;"&amp;""))</f>
        <v/>
      </c>
      <c r="J495" s="163" t="str">
        <f>IF(C495="","",COUNTIFS(Başvuru!$C:$C,C495,Başvuru!$L:$L,"ONAY",Başvuru!$A:$A,"&lt;&gt;"&amp;"",Başvuru!$F:$F,"&lt;&gt;"&amp;""))</f>
        <v/>
      </c>
      <c r="K495" s="164" t="str">
        <f>IF(C495="","",COUNTIFS(Başvuru!$C:$C,C495,Başvuru!$L:$L,"DÜZELTME",Başvuru!$A:$A,"&lt;&gt;"&amp;"",Başvuru!$F:$F,"&lt;&gt;"&amp;""))</f>
        <v/>
      </c>
      <c r="L495" s="165" t="str">
        <f>IF(C495="","",COUNTIFS(Başvuru!$C:$C,C495,Başvuru!$L:$L,"KAEK",Başvuru!$A:$A,"&lt;&gt;"&amp;"",Başvuru!$F:$F,"&lt;&gt;"&amp;""))</f>
        <v/>
      </c>
      <c r="M495" s="166" t="str">
        <f>IF(C495="","",COUNTIFS(Başvuru!$C:$C,C495,Başvuru!$L:$L,"GÖRÜŞ",Başvuru!$A:$A,"&lt;&gt;"&amp;"",Başvuru!$F:$F,"&lt;&gt;"&amp;""))</f>
        <v/>
      </c>
      <c r="N495" s="167" t="str">
        <f>IF(C495="","",COUNTIFS(Başvuru!$C:$C,C495,Başvuru!$L:$L,"RET",Başvuru!$A:$A,"&lt;&gt;"&amp;"",Başvuru!$F:$F,"&lt;&gt;"&amp;""))</f>
        <v/>
      </c>
      <c r="O495" s="168" t="str">
        <f>IF(C495="","",COUNTIFS(Başvuru!$C:$C,C495,Başvuru!$L:$L,"KAPSAM DIŞI",Başvuru!$A:$A,"&lt;&gt;"&amp;"",Başvuru!$F:$F,"&lt;&gt;"&amp;""))</f>
        <v/>
      </c>
      <c r="P495" s="169" t="str">
        <f>IF(C495="","",COUNTIFS(Başvuru!$C:$C,C495,Başvuru!$L:$L,"GERİ ÇEKİLDİ",Başvuru!$A:$A,"&lt;&gt;"&amp;"",Başvuru!$F:$F,"&lt;&gt;"&amp;""))</f>
        <v/>
      </c>
      <c r="Q495" s="170" t="str">
        <f>IFERROR(INDEX(Başvuru!$C$2:$C$1851,MATCH(490,Başvuru!$AB$2:$AB$1851,0)),"")</f>
        <v/>
      </c>
      <c r="R495" s="171" t="str">
        <f>IF(Q495="","",COUNTIFS(Başvuru!$C:$C,Q495,Başvuru!$A:$A,"&lt;&gt;"&amp;"",Başvuru!$F:$F,"&lt;&gt;"&amp;""))</f>
        <v/>
      </c>
      <c r="S495" s="171" t="str">
        <f>IF(R495="","",RANK(R495,$R$6:$R$505,0)+COUNTIF($R$6:R495,R495)-1)</f>
        <v/>
      </c>
    </row>
    <row r="496" spans="2:19" ht="23.25" customHeight="1" x14ac:dyDescent="0.25">
      <c r="B496" s="159">
        <v>491</v>
      </c>
      <c r="C496" s="160" t="str">
        <f>IFERROR(INDEX($Q$6:$Q$505,MATCH(491,$S$6:$S$505,0)),"")</f>
        <v/>
      </c>
      <c r="D496" s="161" t="str">
        <f>IF(C496="","",COUNTIFS(Başvuru!$C:$C,C496,Başvuru!$A:$A,"&lt;&gt;"&amp;"",Başvuru!$F:$F,"&lt;&gt;"&amp;""))</f>
        <v/>
      </c>
      <c r="E496" s="159" t="str">
        <f>IF(C496="","-",IF(D496&gt;0,TEXT(D496/(COUNTIFS(Başvuru!$A:$A,"&lt;&gt;",Başvuru!$F:$F,"&lt;&gt;")-1)*100,"0.0")&amp;"%","-"))</f>
        <v>-</v>
      </c>
      <c r="F496" s="162" t="str">
        <f>IF(C496="","",COUNTIFS(Başvuru!$C:$C,C496,Başvuru!$G:$G,"Bireysel Araştırma",Başvuru!$A:$A,"&lt;&gt;"&amp;"",Başvuru!$F:$F,"&lt;&gt;"&amp;""))</f>
        <v/>
      </c>
      <c r="G496" s="162" t="str">
        <f>IF(C496="","",COUNTIFS(Başvuru!$C:$C,C496,Başvuru!$G:$G,"Uzmanlık Tezi",Başvuru!$A:$A,"&lt;&gt;"&amp;"",Başvuru!$F:$F,"&lt;&gt;"&amp;""))</f>
        <v/>
      </c>
      <c r="H496" s="162" t="str">
        <f>IF(C496="","",COUNTIFS(Başvuru!$C:$C,C496,Başvuru!$G:$G,"Doktora Tezi",Başvuru!$A:$A,"&lt;&gt;"&amp;"",Başvuru!$F:$F,"&lt;&gt;"&amp;""))</f>
        <v/>
      </c>
      <c r="I496" s="162" t="str">
        <f>IF(C496="","",COUNTIFS(Başvuru!$C:$C,C496,Başvuru!$G:$G,"Yüksek Lisans Tezi",Başvuru!$A:$A,"&lt;&gt;"&amp;"",Başvuru!$F:$F,"&lt;&gt;"&amp;""))</f>
        <v/>
      </c>
      <c r="J496" s="163" t="str">
        <f>IF(C496="","",COUNTIFS(Başvuru!$C:$C,C496,Başvuru!$L:$L,"ONAY",Başvuru!$A:$A,"&lt;&gt;"&amp;"",Başvuru!$F:$F,"&lt;&gt;"&amp;""))</f>
        <v/>
      </c>
      <c r="K496" s="164" t="str">
        <f>IF(C496="","",COUNTIFS(Başvuru!$C:$C,C496,Başvuru!$L:$L,"DÜZELTME",Başvuru!$A:$A,"&lt;&gt;"&amp;"",Başvuru!$F:$F,"&lt;&gt;"&amp;""))</f>
        <v/>
      </c>
      <c r="L496" s="165" t="str">
        <f>IF(C496="","",COUNTIFS(Başvuru!$C:$C,C496,Başvuru!$L:$L,"KAEK",Başvuru!$A:$A,"&lt;&gt;"&amp;"",Başvuru!$F:$F,"&lt;&gt;"&amp;""))</f>
        <v/>
      </c>
      <c r="M496" s="166" t="str">
        <f>IF(C496="","",COUNTIFS(Başvuru!$C:$C,C496,Başvuru!$L:$L,"GÖRÜŞ",Başvuru!$A:$A,"&lt;&gt;"&amp;"",Başvuru!$F:$F,"&lt;&gt;"&amp;""))</f>
        <v/>
      </c>
      <c r="N496" s="167" t="str">
        <f>IF(C496="","",COUNTIFS(Başvuru!$C:$C,C496,Başvuru!$L:$L,"RET",Başvuru!$A:$A,"&lt;&gt;"&amp;"",Başvuru!$F:$F,"&lt;&gt;"&amp;""))</f>
        <v/>
      </c>
      <c r="O496" s="168" t="str">
        <f>IF(C496="","",COUNTIFS(Başvuru!$C:$C,C496,Başvuru!$L:$L,"KAPSAM DIŞI",Başvuru!$A:$A,"&lt;&gt;"&amp;"",Başvuru!$F:$F,"&lt;&gt;"&amp;""))</f>
        <v/>
      </c>
      <c r="P496" s="169" t="str">
        <f>IF(C496="","",COUNTIFS(Başvuru!$C:$C,C496,Başvuru!$L:$L,"GERİ ÇEKİLDİ",Başvuru!$A:$A,"&lt;&gt;"&amp;"",Başvuru!$F:$F,"&lt;&gt;"&amp;""))</f>
        <v/>
      </c>
      <c r="Q496" s="170" t="str">
        <f>IFERROR(INDEX(Başvuru!$C$2:$C$1851,MATCH(491,Başvuru!$AB$2:$AB$1851,0)),"")</f>
        <v/>
      </c>
      <c r="R496" s="171" t="str">
        <f>IF(Q496="","",COUNTIFS(Başvuru!$C:$C,Q496,Başvuru!$A:$A,"&lt;&gt;"&amp;"",Başvuru!$F:$F,"&lt;&gt;"&amp;""))</f>
        <v/>
      </c>
      <c r="S496" s="171" t="str">
        <f>IF(R496="","",RANK(R496,$R$6:$R$505,0)+COUNTIF($R$6:R496,R496)-1)</f>
        <v/>
      </c>
    </row>
    <row r="497" spans="2:19" ht="23.25" customHeight="1" x14ac:dyDescent="0.25">
      <c r="B497" s="159">
        <v>492</v>
      </c>
      <c r="C497" s="160" t="str">
        <f>IFERROR(INDEX($Q$6:$Q$505,MATCH(492,$S$6:$S$505,0)),"")</f>
        <v/>
      </c>
      <c r="D497" s="161" t="str">
        <f>IF(C497="","",COUNTIFS(Başvuru!$C:$C,C497,Başvuru!$A:$A,"&lt;&gt;"&amp;"",Başvuru!$F:$F,"&lt;&gt;"&amp;""))</f>
        <v/>
      </c>
      <c r="E497" s="159" t="str">
        <f>IF(C497="","-",IF(D497&gt;0,TEXT(D497/(COUNTIFS(Başvuru!$A:$A,"&lt;&gt;",Başvuru!$F:$F,"&lt;&gt;")-1)*100,"0.0")&amp;"%","-"))</f>
        <v>-</v>
      </c>
      <c r="F497" s="162" t="str">
        <f>IF(C497="","",COUNTIFS(Başvuru!$C:$C,C497,Başvuru!$G:$G,"Bireysel Araştırma",Başvuru!$A:$A,"&lt;&gt;"&amp;"",Başvuru!$F:$F,"&lt;&gt;"&amp;""))</f>
        <v/>
      </c>
      <c r="G497" s="162" t="str">
        <f>IF(C497="","",COUNTIFS(Başvuru!$C:$C,C497,Başvuru!$G:$G,"Uzmanlık Tezi",Başvuru!$A:$A,"&lt;&gt;"&amp;"",Başvuru!$F:$F,"&lt;&gt;"&amp;""))</f>
        <v/>
      </c>
      <c r="H497" s="162" t="str">
        <f>IF(C497="","",COUNTIFS(Başvuru!$C:$C,C497,Başvuru!$G:$G,"Doktora Tezi",Başvuru!$A:$A,"&lt;&gt;"&amp;"",Başvuru!$F:$F,"&lt;&gt;"&amp;""))</f>
        <v/>
      </c>
      <c r="I497" s="162" t="str">
        <f>IF(C497="","",COUNTIFS(Başvuru!$C:$C,C497,Başvuru!$G:$G,"Yüksek Lisans Tezi",Başvuru!$A:$A,"&lt;&gt;"&amp;"",Başvuru!$F:$F,"&lt;&gt;"&amp;""))</f>
        <v/>
      </c>
      <c r="J497" s="163" t="str">
        <f>IF(C497="","",COUNTIFS(Başvuru!$C:$C,C497,Başvuru!$L:$L,"ONAY",Başvuru!$A:$A,"&lt;&gt;"&amp;"",Başvuru!$F:$F,"&lt;&gt;"&amp;""))</f>
        <v/>
      </c>
      <c r="K497" s="164" t="str">
        <f>IF(C497="","",COUNTIFS(Başvuru!$C:$C,C497,Başvuru!$L:$L,"DÜZELTME",Başvuru!$A:$A,"&lt;&gt;"&amp;"",Başvuru!$F:$F,"&lt;&gt;"&amp;""))</f>
        <v/>
      </c>
      <c r="L497" s="165" t="str">
        <f>IF(C497="","",COUNTIFS(Başvuru!$C:$C,C497,Başvuru!$L:$L,"KAEK",Başvuru!$A:$A,"&lt;&gt;"&amp;"",Başvuru!$F:$F,"&lt;&gt;"&amp;""))</f>
        <v/>
      </c>
      <c r="M497" s="166" t="str">
        <f>IF(C497="","",COUNTIFS(Başvuru!$C:$C,C497,Başvuru!$L:$L,"GÖRÜŞ",Başvuru!$A:$A,"&lt;&gt;"&amp;"",Başvuru!$F:$F,"&lt;&gt;"&amp;""))</f>
        <v/>
      </c>
      <c r="N497" s="167" t="str">
        <f>IF(C497="","",COUNTIFS(Başvuru!$C:$C,C497,Başvuru!$L:$L,"RET",Başvuru!$A:$A,"&lt;&gt;"&amp;"",Başvuru!$F:$F,"&lt;&gt;"&amp;""))</f>
        <v/>
      </c>
      <c r="O497" s="168" t="str">
        <f>IF(C497="","",COUNTIFS(Başvuru!$C:$C,C497,Başvuru!$L:$L,"KAPSAM DIŞI",Başvuru!$A:$A,"&lt;&gt;"&amp;"",Başvuru!$F:$F,"&lt;&gt;"&amp;""))</f>
        <v/>
      </c>
      <c r="P497" s="169" t="str">
        <f>IF(C497="","",COUNTIFS(Başvuru!$C:$C,C497,Başvuru!$L:$L,"GERİ ÇEKİLDİ",Başvuru!$A:$A,"&lt;&gt;"&amp;"",Başvuru!$F:$F,"&lt;&gt;"&amp;""))</f>
        <v/>
      </c>
      <c r="Q497" s="170" t="str">
        <f>IFERROR(INDEX(Başvuru!$C$2:$C$1851,MATCH(492,Başvuru!$AB$2:$AB$1851,0)),"")</f>
        <v/>
      </c>
      <c r="R497" s="171" t="str">
        <f>IF(Q497="","",COUNTIFS(Başvuru!$C:$C,Q497,Başvuru!$A:$A,"&lt;&gt;"&amp;"",Başvuru!$F:$F,"&lt;&gt;"&amp;""))</f>
        <v/>
      </c>
      <c r="S497" s="171" t="str">
        <f>IF(R497="","",RANK(R497,$R$6:$R$505,0)+COUNTIF($R$6:R497,R497)-1)</f>
        <v/>
      </c>
    </row>
    <row r="498" spans="2:19" ht="23.25" customHeight="1" x14ac:dyDescent="0.25">
      <c r="B498" s="159">
        <v>493</v>
      </c>
      <c r="C498" s="160" t="str">
        <f>IFERROR(INDEX($Q$6:$Q$505,MATCH(493,$S$6:$S$505,0)),"")</f>
        <v/>
      </c>
      <c r="D498" s="161" t="str">
        <f>IF(C498="","",COUNTIFS(Başvuru!$C:$C,C498,Başvuru!$A:$A,"&lt;&gt;"&amp;"",Başvuru!$F:$F,"&lt;&gt;"&amp;""))</f>
        <v/>
      </c>
      <c r="E498" s="159" t="str">
        <f>IF(C498="","-",IF(D498&gt;0,TEXT(D498/(COUNTIFS(Başvuru!$A:$A,"&lt;&gt;",Başvuru!$F:$F,"&lt;&gt;")-1)*100,"0.0")&amp;"%","-"))</f>
        <v>-</v>
      </c>
      <c r="F498" s="162" t="str">
        <f>IF(C498="","",COUNTIFS(Başvuru!$C:$C,C498,Başvuru!$G:$G,"Bireysel Araştırma",Başvuru!$A:$A,"&lt;&gt;"&amp;"",Başvuru!$F:$F,"&lt;&gt;"&amp;""))</f>
        <v/>
      </c>
      <c r="G498" s="162" t="str">
        <f>IF(C498="","",COUNTIFS(Başvuru!$C:$C,C498,Başvuru!$G:$G,"Uzmanlık Tezi",Başvuru!$A:$A,"&lt;&gt;"&amp;"",Başvuru!$F:$F,"&lt;&gt;"&amp;""))</f>
        <v/>
      </c>
      <c r="H498" s="162" t="str">
        <f>IF(C498="","",COUNTIFS(Başvuru!$C:$C,C498,Başvuru!$G:$G,"Doktora Tezi",Başvuru!$A:$A,"&lt;&gt;"&amp;"",Başvuru!$F:$F,"&lt;&gt;"&amp;""))</f>
        <v/>
      </c>
      <c r="I498" s="162" t="str">
        <f>IF(C498="","",COUNTIFS(Başvuru!$C:$C,C498,Başvuru!$G:$G,"Yüksek Lisans Tezi",Başvuru!$A:$A,"&lt;&gt;"&amp;"",Başvuru!$F:$F,"&lt;&gt;"&amp;""))</f>
        <v/>
      </c>
      <c r="J498" s="163" t="str">
        <f>IF(C498="","",COUNTIFS(Başvuru!$C:$C,C498,Başvuru!$L:$L,"ONAY",Başvuru!$A:$A,"&lt;&gt;"&amp;"",Başvuru!$F:$F,"&lt;&gt;"&amp;""))</f>
        <v/>
      </c>
      <c r="K498" s="164" t="str">
        <f>IF(C498="","",COUNTIFS(Başvuru!$C:$C,C498,Başvuru!$L:$L,"DÜZELTME",Başvuru!$A:$A,"&lt;&gt;"&amp;"",Başvuru!$F:$F,"&lt;&gt;"&amp;""))</f>
        <v/>
      </c>
      <c r="L498" s="165" t="str">
        <f>IF(C498="","",COUNTIFS(Başvuru!$C:$C,C498,Başvuru!$L:$L,"KAEK",Başvuru!$A:$A,"&lt;&gt;"&amp;"",Başvuru!$F:$F,"&lt;&gt;"&amp;""))</f>
        <v/>
      </c>
      <c r="M498" s="166" t="str">
        <f>IF(C498="","",COUNTIFS(Başvuru!$C:$C,C498,Başvuru!$L:$L,"GÖRÜŞ",Başvuru!$A:$A,"&lt;&gt;"&amp;"",Başvuru!$F:$F,"&lt;&gt;"&amp;""))</f>
        <v/>
      </c>
      <c r="N498" s="167" t="str">
        <f>IF(C498="","",COUNTIFS(Başvuru!$C:$C,C498,Başvuru!$L:$L,"RET",Başvuru!$A:$A,"&lt;&gt;"&amp;"",Başvuru!$F:$F,"&lt;&gt;"&amp;""))</f>
        <v/>
      </c>
      <c r="O498" s="168" t="str">
        <f>IF(C498="","",COUNTIFS(Başvuru!$C:$C,C498,Başvuru!$L:$L,"KAPSAM DIŞI",Başvuru!$A:$A,"&lt;&gt;"&amp;"",Başvuru!$F:$F,"&lt;&gt;"&amp;""))</f>
        <v/>
      </c>
      <c r="P498" s="169" t="str">
        <f>IF(C498="","",COUNTIFS(Başvuru!$C:$C,C498,Başvuru!$L:$L,"GERİ ÇEKİLDİ",Başvuru!$A:$A,"&lt;&gt;"&amp;"",Başvuru!$F:$F,"&lt;&gt;"&amp;""))</f>
        <v/>
      </c>
      <c r="Q498" s="170" t="str">
        <f>IFERROR(INDEX(Başvuru!$C$2:$C$1851,MATCH(493,Başvuru!$AB$2:$AB$1851,0)),"")</f>
        <v/>
      </c>
      <c r="R498" s="171" t="str">
        <f>IF(Q498="","",COUNTIFS(Başvuru!$C:$C,Q498,Başvuru!$A:$A,"&lt;&gt;"&amp;"",Başvuru!$F:$F,"&lt;&gt;"&amp;""))</f>
        <v/>
      </c>
      <c r="S498" s="171" t="str">
        <f>IF(R498="","",RANK(R498,$R$6:$R$505,0)+COUNTIF($R$6:R498,R498)-1)</f>
        <v/>
      </c>
    </row>
    <row r="499" spans="2:19" ht="23.25" customHeight="1" x14ac:dyDescent="0.25">
      <c r="B499" s="159">
        <v>494</v>
      </c>
      <c r="C499" s="160" t="str">
        <f>IFERROR(INDEX($Q$6:$Q$505,MATCH(494,$S$6:$S$505,0)),"")</f>
        <v/>
      </c>
      <c r="D499" s="161" t="str">
        <f>IF(C499="","",COUNTIFS(Başvuru!$C:$C,C499,Başvuru!$A:$A,"&lt;&gt;"&amp;"",Başvuru!$F:$F,"&lt;&gt;"&amp;""))</f>
        <v/>
      </c>
      <c r="E499" s="159" t="str">
        <f>IF(C499="","-",IF(D499&gt;0,TEXT(D499/(COUNTIFS(Başvuru!$A:$A,"&lt;&gt;",Başvuru!$F:$F,"&lt;&gt;")-1)*100,"0.0")&amp;"%","-"))</f>
        <v>-</v>
      </c>
      <c r="F499" s="162" t="str">
        <f>IF(C499="","",COUNTIFS(Başvuru!$C:$C,C499,Başvuru!$G:$G,"Bireysel Araştırma",Başvuru!$A:$A,"&lt;&gt;"&amp;"",Başvuru!$F:$F,"&lt;&gt;"&amp;""))</f>
        <v/>
      </c>
      <c r="G499" s="162" t="str">
        <f>IF(C499="","",COUNTIFS(Başvuru!$C:$C,C499,Başvuru!$G:$G,"Uzmanlık Tezi",Başvuru!$A:$A,"&lt;&gt;"&amp;"",Başvuru!$F:$F,"&lt;&gt;"&amp;""))</f>
        <v/>
      </c>
      <c r="H499" s="162" t="str">
        <f>IF(C499="","",COUNTIFS(Başvuru!$C:$C,C499,Başvuru!$G:$G,"Doktora Tezi",Başvuru!$A:$A,"&lt;&gt;"&amp;"",Başvuru!$F:$F,"&lt;&gt;"&amp;""))</f>
        <v/>
      </c>
      <c r="I499" s="162" t="str">
        <f>IF(C499="","",COUNTIFS(Başvuru!$C:$C,C499,Başvuru!$G:$G,"Yüksek Lisans Tezi",Başvuru!$A:$A,"&lt;&gt;"&amp;"",Başvuru!$F:$F,"&lt;&gt;"&amp;""))</f>
        <v/>
      </c>
      <c r="J499" s="163" t="str">
        <f>IF(C499="","",COUNTIFS(Başvuru!$C:$C,C499,Başvuru!$L:$L,"ONAY",Başvuru!$A:$A,"&lt;&gt;"&amp;"",Başvuru!$F:$F,"&lt;&gt;"&amp;""))</f>
        <v/>
      </c>
      <c r="K499" s="164" t="str">
        <f>IF(C499="","",COUNTIFS(Başvuru!$C:$C,C499,Başvuru!$L:$L,"DÜZELTME",Başvuru!$A:$A,"&lt;&gt;"&amp;"",Başvuru!$F:$F,"&lt;&gt;"&amp;""))</f>
        <v/>
      </c>
      <c r="L499" s="165" t="str">
        <f>IF(C499="","",COUNTIFS(Başvuru!$C:$C,C499,Başvuru!$L:$L,"KAEK",Başvuru!$A:$A,"&lt;&gt;"&amp;"",Başvuru!$F:$F,"&lt;&gt;"&amp;""))</f>
        <v/>
      </c>
      <c r="M499" s="166" t="str">
        <f>IF(C499="","",COUNTIFS(Başvuru!$C:$C,C499,Başvuru!$L:$L,"GÖRÜŞ",Başvuru!$A:$A,"&lt;&gt;"&amp;"",Başvuru!$F:$F,"&lt;&gt;"&amp;""))</f>
        <v/>
      </c>
      <c r="N499" s="167" t="str">
        <f>IF(C499="","",COUNTIFS(Başvuru!$C:$C,C499,Başvuru!$L:$L,"RET",Başvuru!$A:$A,"&lt;&gt;"&amp;"",Başvuru!$F:$F,"&lt;&gt;"&amp;""))</f>
        <v/>
      </c>
      <c r="O499" s="168" t="str">
        <f>IF(C499="","",COUNTIFS(Başvuru!$C:$C,C499,Başvuru!$L:$L,"KAPSAM DIŞI",Başvuru!$A:$A,"&lt;&gt;"&amp;"",Başvuru!$F:$F,"&lt;&gt;"&amp;""))</f>
        <v/>
      </c>
      <c r="P499" s="169" t="str">
        <f>IF(C499="","",COUNTIFS(Başvuru!$C:$C,C499,Başvuru!$L:$L,"GERİ ÇEKİLDİ",Başvuru!$A:$A,"&lt;&gt;"&amp;"",Başvuru!$F:$F,"&lt;&gt;"&amp;""))</f>
        <v/>
      </c>
      <c r="Q499" s="170" t="str">
        <f>IFERROR(INDEX(Başvuru!$C$2:$C$1851,MATCH(494,Başvuru!$AB$2:$AB$1851,0)),"")</f>
        <v/>
      </c>
      <c r="R499" s="171" t="str">
        <f>IF(Q499="","",COUNTIFS(Başvuru!$C:$C,Q499,Başvuru!$A:$A,"&lt;&gt;"&amp;"",Başvuru!$F:$F,"&lt;&gt;"&amp;""))</f>
        <v/>
      </c>
      <c r="S499" s="171" t="str">
        <f>IF(R499="","",RANK(R499,$R$6:$R$505,0)+COUNTIF($R$6:R499,R499)-1)</f>
        <v/>
      </c>
    </row>
    <row r="500" spans="2:19" ht="23.25" customHeight="1" x14ac:dyDescent="0.25">
      <c r="B500" s="159">
        <v>495</v>
      </c>
      <c r="C500" s="160" t="str">
        <f>IFERROR(INDEX($Q$6:$Q$505,MATCH(495,$S$6:$S$505,0)),"")</f>
        <v/>
      </c>
      <c r="D500" s="161" t="str">
        <f>IF(C500="","",COUNTIFS(Başvuru!$C:$C,C500,Başvuru!$A:$A,"&lt;&gt;"&amp;"",Başvuru!$F:$F,"&lt;&gt;"&amp;""))</f>
        <v/>
      </c>
      <c r="E500" s="159" t="str">
        <f>IF(C500="","-",IF(D500&gt;0,TEXT(D500/(COUNTIFS(Başvuru!$A:$A,"&lt;&gt;",Başvuru!$F:$F,"&lt;&gt;")-1)*100,"0.0")&amp;"%","-"))</f>
        <v>-</v>
      </c>
      <c r="F500" s="162" t="str">
        <f>IF(C500="","",COUNTIFS(Başvuru!$C:$C,C500,Başvuru!$G:$G,"Bireysel Araştırma",Başvuru!$A:$A,"&lt;&gt;"&amp;"",Başvuru!$F:$F,"&lt;&gt;"&amp;""))</f>
        <v/>
      </c>
      <c r="G500" s="162" t="str">
        <f>IF(C500="","",COUNTIFS(Başvuru!$C:$C,C500,Başvuru!$G:$G,"Uzmanlık Tezi",Başvuru!$A:$A,"&lt;&gt;"&amp;"",Başvuru!$F:$F,"&lt;&gt;"&amp;""))</f>
        <v/>
      </c>
      <c r="H500" s="162" t="str">
        <f>IF(C500="","",COUNTIFS(Başvuru!$C:$C,C500,Başvuru!$G:$G,"Doktora Tezi",Başvuru!$A:$A,"&lt;&gt;"&amp;"",Başvuru!$F:$F,"&lt;&gt;"&amp;""))</f>
        <v/>
      </c>
      <c r="I500" s="162" t="str">
        <f>IF(C500="","",COUNTIFS(Başvuru!$C:$C,C500,Başvuru!$G:$G,"Yüksek Lisans Tezi",Başvuru!$A:$A,"&lt;&gt;"&amp;"",Başvuru!$F:$F,"&lt;&gt;"&amp;""))</f>
        <v/>
      </c>
      <c r="J500" s="163" t="str">
        <f>IF(C500="","",COUNTIFS(Başvuru!$C:$C,C500,Başvuru!$L:$L,"ONAY",Başvuru!$A:$A,"&lt;&gt;"&amp;"",Başvuru!$F:$F,"&lt;&gt;"&amp;""))</f>
        <v/>
      </c>
      <c r="K500" s="164" t="str">
        <f>IF(C500="","",COUNTIFS(Başvuru!$C:$C,C500,Başvuru!$L:$L,"DÜZELTME",Başvuru!$A:$A,"&lt;&gt;"&amp;"",Başvuru!$F:$F,"&lt;&gt;"&amp;""))</f>
        <v/>
      </c>
      <c r="L500" s="165" t="str">
        <f>IF(C500="","",COUNTIFS(Başvuru!$C:$C,C500,Başvuru!$L:$L,"KAEK",Başvuru!$A:$A,"&lt;&gt;"&amp;"",Başvuru!$F:$F,"&lt;&gt;"&amp;""))</f>
        <v/>
      </c>
      <c r="M500" s="166" t="str">
        <f>IF(C500="","",COUNTIFS(Başvuru!$C:$C,C500,Başvuru!$L:$L,"GÖRÜŞ",Başvuru!$A:$A,"&lt;&gt;"&amp;"",Başvuru!$F:$F,"&lt;&gt;"&amp;""))</f>
        <v/>
      </c>
      <c r="N500" s="167" t="str">
        <f>IF(C500="","",COUNTIFS(Başvuru!$C:$C,C500,Başvuru!$L:$L,"RET",Başvuru!$A:$A,"&lt;&gt;"&amp;"",Başvuru!$F:$F,"&lt;&gt;"&amp;""))</f>
        <v/>
      </c>
      <c r="O500" s="168" t="str">
        <f>IF(C500="","",COUNTIFS(Başvuru!$C:$C,C500,Başvuru!$L:$L,"KAPSAM DIŞI",Başvuru!$A:$A,"&lt;&gt;"&amp;"",Başvuru!$F:$F,"&lt;&gt;"&amp;""))</f>
        <v/>
      </c>
      <c r="P500" s="169" t="str">
        <f>IF(C500="","",COUNTIFS(Başvuru!$C:$C,C500,Başvuru!$L:$L,"GERİ ÇEKİLDİ",Başvuru!$A:$A,"&lt;&gt;"&amp;"",Başvuru!$F:$F,"&lt;&gt;"&amp;""))</f>
        <v/>
      </c>
      <c r="Q500" s="170" t="str">
        <f>IFERROR(INDEX(Başvuru!$C$2:$C$1851,MATCH(495,Başvuru!$AB$2:$AB$1851,0)),"")</f>
        <v/>
      </c>
      <c r="R500" s="171" t="str">
        <f>IF(Q500="","",COUNTIFS(Başvuru!$C:$C,Q500,Başvuru!$A:$A,"&lt;&gt;"&amp;"",Başvuru!$F:$F,"&lt;&gt;"&amp;""))</f>
        <v/>
      </c>
      <c r="S500" s="171" t="str">
        <f>IF(R500="","",RANK(R500,$R$6:$R$505,0)+COUNTIF($R$6:R500,R500)-1)</f>
        <v/>
      </c>
    </row>
    <row r="501" spans="2:19" ht="23.25" customHeight="1" x14ac:dyDescent="0.25">
      <c r="B501" s="159">
        <v>496</v>
      </c>
      <c r="C501" s="160" t="str">
        <f>IFERROR(INDEX($Q$6:$Q$505,MATCH(496,$S$6:$S$505,0)),"")</f>
        <v/>
      </c>
      <c r="D501" s="161" t="str">
        <f>IF(C501="","",COUNTIFS(Başvuru!$C:$C,C501,Başvuru!$A:$A,"&lt;&gt;"&amp;"",Başvuru!$F:$F,"&lt;&gt;"&amp;""))</f>
        <v/>
      </c>
      <c r="E501" s="159" t="str">
        <f>IF(C501="","-",IF(D501&gt;0,TEXT(D501/(COUNTIFS(Başvuru!$A:$A,"&lt;&gt;",Başvuru!$F:$F,"&lt;&gt;")-1)*100,"0.0")&amp;"%","-"))</f>
        <v>-</v>
      </c>
      <c r="F501" s="162" t="str">
        <f>IF(C501="","",COUNTIFS(Başvuru!$C:$C,C501,Başvuru!$G:$G,"Bireysel Araştırma",Başvuru!$A:$A,"&lt;&gt;"&amp;"",Başvuru!$F:$F,"&lt;&gt;"&amp;""))</f>
        <v/>
      </c>
      <c r="G501" s="162" t="str">
        <f>IF(C501="","",COUNTIFS(Başvuru!$C:$C,C501,Başvuru!$G:$G,"Uzmanlık Tezi",Başvuru!$A:$A,"&lt;&gt;"&amp;"",Başvuru!$F:$F,"&lt;&gt;"&amp;""))</f>
        <v/>
      </c>
      <c r="H501" s="162" t="str">
        <f>IF(C501="","",COUNTIFS(Başvuru!$C:$C,C501,Başvuru!$G:$G,"Doktora Tezi",Başvuru!$A:$A,"&lt;&gt;"&amp;"",Başvuru!$F:$F,"&lt;&gt;"&amp;""))</f>
        <v/>
      </c>
      <c r="I501" s="162" t="str">
        <f>IF(C501="","",COUNTIFS(Başvuru!$C:$C,C501,Başvuru!$G:$G,"Yüksek Lisans Tezi",Başvuru!$A:$A,"&lt;&gt;"&amp;"",Başvuru!$F:$F,"&lt;&gt;"&amp;""))</f>
        <v/>
      </c>
      <c r="J501" s="163" t="str">
        <f>IF(C501="","",COUNTIFS(Başvuru!$C:$C,C501,Başvuru!$L:$L,"ONAY",Başvuru!$A:$A,"&lt;&gt;"&amp;"",Başvuru!$F:$F,"&lt;&gt;"&amp;""))</f>
        <v/>
      </c>
      <c r="K501" s="164" t="str">
        <f>IF(C501="","",COUNTIFS(Başvuru!$C:$C,C501,Başvuru!$L:$L,"DÜZELTME",Başvuru!$A:$A,"&lt;&gt;"&amp;"",Başvuru!$F:$F,"&lt;&gt;"&amp;""))</f>
        <v/>
      </c>
      <c r="L501" s="165" t="str">
        <f>IF(C501="","",COUNTIFS(Başvuru!$C:$C,C501,Başvuru!$L:$L,"KAEK",Başvuru!$A:$A,"&lt;&gt;"&amp;"",Başvuru!$F:$F,"&lt;&gt;"&amp;""))</f>
        <v/>
      </c>
      <c r="M501" s="166" t="str">
        <f>IF(C501="","",COUNTIFS(Başvuru!$C:$C,C501,Başvuru!$L:$L,"GÖRÜŞ",Başvuru!$A:$A,"&lt;&gt;"&amp;"",Başvuru!$F:$F,"&lt;&gt;"&amp;""))</f>
        <v/>
      </c>
      <c r="N501" s="167" t="str">
        <f>IF(C501="","",COUNTIFS(Başvuru!$C:$C,C501,Başvuru!$L:$L,"RET",Başvuru!$A:$A,"&lt;&gt;"&amp;"",Başvuru!$F:$F,"&lt;&gt;"&amp;""))</f>
        <v/>
      </c>
      <c r="O501" s="168" t="str">
        <f>IF(C501="","",COUNTIFS(Başvuru!$C:$C,C501,Başvuru!$L:$L,"KAPSAM DIŞI",Başvuru!$A:$A,"&lt;&gt;"&amp;"",Başvuru!$F:$F,"&lt;&gt;"&amp;""))</f>
        <v/>
      </c>
      <c r="P501" s="169" t="str">
        <f>IF(C501="","",COUNTIFS(Başvuru!$C:$C,C501,Başvuru!$L:$L,"GERİ ÇEKİLDİ",Başvuru!$A:$A,"&lt;&gt;"&amp;"",Başvuru!$F:$F,"&lt;&gt;"&amp;""))</f>
        <v/>
      </c>
      <c r="Q501" s="170" t="str">
        <f>IFERROR(INDEX(Başvuru!$C$2:$C$1851,MATCH(496,Başvuru!$AB$2:$AB$1851,0)),"")</f>
        <v/>
      </c>
      <c r="R501" s="171" t="str">
        <f>IF(Q501="","",COUNTIFS(Başvuru!$C:$C,Q501,Başvuru!$A:$A,"&lt;&gt;"&amp;"",Başvuru!$F:$F,"&lt;&gt;"&amp;""))</f>
        <v/>
      </c>
      <c r="S501" s="171" t="str">
        <f>IF(R501="","",RANK(R501,$R$6:$R$505,0)+COUNTIF($R$6:R501,R501)-1)</f>
        <v/>
      </c>
    </row>
    <row r="502" spans="2:19" ht="23.25" customHeight="1" x14ac:dyDescent="0.25">
      <c r="B502" s="159">
        <v>497</v>
      </c>
      <c r="C502" s="160" t="str">
        <f>IFERROR(INDEX($Q$6:$Q$505,MATCH(497,$S$6:$S$505,0)),"")</f>
        <v/>
      </c>
      <c r="D502" s="161" t="str">
        <f>IF(C502="","",COUNTIFS(Başvuru!$C:$C,C502,Başvuru!$A:$A,"&lt;&gt;"&amp;"",Başvuru!$F:$F,"&lt;&gt;"&amp;""))</f>
        <v/>
      </c>
      <c r="E502" s="159" t="str">
        <f>IF(C502="","-",IF(D502&gt;0,TEXT(D502/(COUNTIFS(Başvuru!$A:$A,"&lt;&gt;",Başvuru!$F:$F,"&lt;&gt;")-1)*100,"0.0")&amp;"%","-"))</f>
        <v>-</v>
      </c>
      <c r="F502" s="162" t="str">
        <f>IF(C502="","",COUNTIFS(Başvuru!$C:$C,C502,Başvuru!$G:$G,"Bireysel Araştırma",Başvuru!$A:$A,"&lt;&gt;"&amp;"",Başvuru!$F:$F,"&lt;&gt;"&amp;""))</f>
        <v/>
      </c>
      <c r="G502" s="162" t="str">
        <f>IF(C502="","",COUNTIFS(Başvuru!$C:$C,C502,Başvuru!$G:$G,"Uzmanlık Tezi",Başvuru!$A:$A,"&lt;&gt;"&amp;"",Başvuru!$F:$F,"&lt;&gt;"&amp;""))</f>
        <v/>
      </c>
      <c r="H502" s="162" t="str">
        <f>IF(C502="","",COUNTIFS(Başvuru!$C:$C,C502,Başvuru!$G:$G,"Doktora Tezi",Başvuru!$A:$A,"&lt;&gt;"&amp;"",Başvuru!$F:$F,"&lt;&gt;"&amp;""))</f>
        <v/>
      </c>
      <c r="I502" s="162" t="str">
        <f>IF(C502="","",COUNTIFS(Başvuru!$C:$C,C502,Başvuru!$G:$G,"Yüksek Lisans Tezi",Başvuru!$A:$A,"&lt;&gt;"&amp;"",Başvuru!$F:$F,"&lt;&gt;"&amp;""))</f>
        <v/>
      </c>
      <c r="J502" s="163" t="str">
        <f>IF(C502="","",COUNTIFS(Başvuru!$C:$C,C502,Başvuru!$L:$L,"ONAY",Başvuru!$A:$A,"&lt;&gt;"&amp;"",Başvuru!$F:$F,"&lt;&gt;"&amp;""))</f>
        <v/>
      </c>
      <c r="K502" s="164" t="str">
        <f>IF(C502="","",COUNTIFS(Başvuru!$C:$C,C502,Başvuru!$L:$L,"DÜZELTME",Başvuru!$A:$A,"&lt;&gt;"&amp;"",Başvuru!$F:$F,"&lt;&gt;"&amp;""))</f>
        <v/>
      </c>
      <c r="L502" s="165" t="str">
        <f>IF(C502="","",COUNTIFS(Başvuru!$C:$C,C502,Başvuru!$L:$L,"KAEK",Başvuru!$A:$A,"&lt;&gt;"&amp;"",Başvuru!$F:$F,"&lt;&gt;"&amp;""))</f>
        <v/>
      </c>
      <c r="M502" s="166" t="str">
        <f>IF(C502="","",COUNTIFS(Başvuru!$C:$C,C502,Başvuru!$L:$L,"GÖRÜŞ",Başvuru!$A:$A,"&lt;&gt;"&amp;"",Başvuru!$F:$F,"&lt;&gt;"&amp;""))</f>
        <v/>
      </c>
      <c r="N502" s="167" t="str">
        <f>IF(C502="","",COUNTIFS(Başvuru!$C:$C,C502,Başvuru!$L:$L,"RET",Başvuru!$A:$A,"&lt;&gt;"&amp;"",Başvuru!$F:$F,"&lt;&gt;"&amp;""))</f>
        <v/>
      </c>
      <c r="O502" s="168" t="str">
        <f>IF(C502="","",COUNTIFS(Başvuru!$C:$C,C502,Başvuru!$L:$L,"KAPSAM DIŞI",Başvuru!$A:$A,"&lt;&gt;"&amp;"",Başvuru!$F:$F,"&lt;&gt;"&amp;""))</f>
        <v/>
      </c>
      <c r="P502" s="169" t="str">
        <f>IF(C502="","",COUNTIFS(Başvuru!$C:$C,C502,Başvuru!$L:$L,"GERİ ÇEKİLDİ",Başvuru!$A:$A,"&lt;&gt;"&amp;"",Başvuru!$F:$F,"&lt;&gt;"&amp;""))</f>
        <v/>
      </c>
      <c r="Q502" s="170" t="str">
        <f>IFERROR(INDEX(Başvuru!$C$2:$C$1851,MATCH(497,Başvuru!$AB$2:$AB$1851,0)),"")</f>
        <v/>
      </c>
      <c r="R502" s="171" t="str">
        <f>IF(Q502="","",COUNTIFS(Başvuru!$C:$C,Q502,Başvuru!$A:$A,"&lt;&gt;"&amp;"",Başvuru!$F:$F,"&lt;&gt;"&amp;""))</f>
        <v/>
      </c>
      <c r="S502" s="171" t="str">
        <f>IF(R502="","",RANK(R502,$R$6:$R$505,0)+COUNTIF($R$6:R502,R502)-1)</f>
        <v/>
      </c>
    </row>
    <row r="503" spans="2:19" ht="23.25" customHeight="1" x14ac:dyDescent="0.25">
      <c r="B503" s="159">
        <v>498</v>
      </c>
      <c r="C503" s="160" t="str">
        <f>IFERROR(INDEX($Q$6:$Q$505,MATCH(498,$S$6:$S$505,0)),"")</f>
        <v/>
      </c>
      <c r="D503" s="161" t="str">
        <f>IF(C503="","",COUNTIFS(Başvuru!$C:$C,C503,Başvuru!$A:$A,"&lt;&gt;"&amp;"",Başvuru!$F:$F,"&lt;&gt;"&amp;""))</f>
        <v/>
      </c>
      <c r="E503" s="159" t="str">
        <f>IF(C503="","-",IF(D503&gt;0,TEXT(D503/(COUNTIFS(Başvuru!$A:$A,"&lt;&gt;",Başvuru!$F:$F,"&lt;&gt;")-1)*100,"0.0")&amp;"%","-"))</f>
        <v>-</v>
      </c>
      <c r="F503" s="162" t="str">
        <f>IF(C503="","",COUNTIFS(Başvuru!$C:$C,C503,Başvuru!$G:$G,"Bireysel Araştırma",Başvuru!$A:$A,"&lt;&gt;"&amp;"",Başvuru!$F:$F,"&lt;&gt;"&amp;""))</f>
        <v/>
      </c>
      <c r="G503" s="162" t="str">
        <f>IF(C503="","",COUNTIFS(Başvuru!$C:$C,C503,Başvuru!$G:$G,"Uzmanlık Tezi",Başvuru!$A:$A,"&lt;&gt;"&amp;"",Başvuru!$F:$F,"&lt;&gt;"&amp;""))</f>
        <v/>
      </c>
      <c r="H503" s="162" t="str">
        <f>IF(C503="","",COUNTIFS(Başvuru!$C:$C,C503,Başvuru!$G:$G,"Doktora Tezi",Başvuru!$A:$A,"&lt;&gt;"&amp;"",Başvuru!$F:$F,"&lt;&gt;"&amp;""))</f>
        <v/>
      </c>
      <c r="I503" s="162" t="str">
        <f>IF(C503="","",COUNTIFS(Başvuru!$C:$C,C503,Başvuru!$G:$G,"Yüksek Lisans Tezi",Başvuru!$A:$A,"&lt;&gt;"&amp;"",Başvuru!$F:$F,"&lt;&gt;"&amp;""))</f>
        <v/>
      </c>
      <c r="J503" s="163" t="str">
        <f>IF(C503="","",COUNTIFS(Başvuru!$C:$C,C503,Başvuru!$L:$L,"ONAY",Başvuru!$A:$A,"&lt;&gt;"&amp;"",Başvuru!$F:$F,"&lt;&gt;"&amp;""))</f>
        <v/>
      </c>
      <c r="K503" s="164" t="str">
        <f>IF(C503="","",COUNTIFS(Başvuru!$C:$C,C503,Başvuru!$L:$L,"DÜZELTME",Başvuru!$A:$A,"&lt;&gt;"&amp;"",Başvuru!$F:$F,"&lt;&gt;"&amp;""))</f>
        <v/>
      </c>
      <c r="L503" s="165" t="str">
        <f>IF(C503="","",COUNTIFS(Başvuru!$C:$C,C503,Başvuru!$L:$L,"KAEK",Başvuru!$A:$A,"&lt;&gt;"&amp;"",Başvuru!$F:$F,"&lt;&gt;"&amp;""))</f>
        <v/>
      </c>
      <c r="M503" s="166" t="str">
        <f>IF(C503="","",COUNTIFS(Başvuru!$C:$C,C503,Başvuru!$L:$L,"GÖRÜŞ",Başvuru!$A:$A,"&lt;&gt;"&amp;"",Başvuru!$F:$F,"&lt;&gt;"&amp;""))</f>
        <v/>
      </c>
      <c r="N503" s="167" t="str">
        <f>IF(C503="","",COUNTIFS(Başvuru!$C:$C,C503,Başvuru!$L:$L,"RET",Başvuru!$A:$A,"&lt;&gt;"&amp;"",Başvuru!$F:$F,"&lt;&gt;"&amp;""))</f>
        <v/>
      </c>
      <c r="O503" s="168" t="str">
        <f>IF(C503="","",COUNTIFS(Başvuru!$C:$C,C503,Başvuru!$L:$L,"KAPSAM DIŞI",Başvuru!$A:$A,"&lt;&gt;"&amp;"",Başvuru!$F:$F,"&lt;&gt;"&amp;""))</f>
        <v/>
      </c>
      <c r="P503" s="169" t="str">
        <f>IF(C503="","",COUNTIFS(Başvuru!$C:$C,C503,Başvuru!$L:$L,"GERİ ÇEKİLDİ",Başvuru!$A:$A,"&lt;&gt;"&amp;"",Başvuru!$F:$F,"&lt;&gt;"&amp;""))</f>
        <v/>
      </c>
      <c r="Q503" s="170" t="str">
        <f>IFERROR(INDEX(Başvuru!$C$2:$C$1851,MATCH(498,Başvuru!$AB$2:$AB$1851,0)),"")</f>
        <v/>
      </c>
      <c r="R503" s="171" t="str">
        <f>IF(Q503="","",COUNTIFS(Başvuru!$C:$C,Q503,Başvuru!$A:$A,"&lt;&gt;"&amp;"",Başvuru!$F:$F,"&lt;&gt;"&amp;""))</f>
        <v/>
      </c>
      <c r="S503" s="171" t="str">
        <f>IF(R503="","",RANK(R503,$R$6:$R$505,0)+COUNTIF($R$6:R503,R503)-1)</f>
        <v/>
      </c>
    </row>
    <row r="504" spans="2:19" ht="23.25" customHeight="1" x14ac:dyDescent="0.25">
      <c r="B504" s="159">
        <v>499</v>
      </c>
      <c r="C504" s="160" t="str">
        <f>IFERROR(INDEX($Q$6:$Q$505,MATCH(499,$S$6:$S$505,0)),"")</f>
        <v/>
      </c>
      <c r="D504" s="161" t="str">
        <f>IF(C504="","",COUNTIFS(Başvuru!$C:$C,C504,Başvuru!$A:$A,"&lt;&gt;"&amp;"",Başvuru!$F:$F,"&lt;&gt;"&amp;""))</f>
        <v/>
      </c>
      <c r="E504" s="159" t="str">
        <f>IF(C504="","-",IF(D504&gt;0,TEXT(D504/(COUNTIFS(Başvuru!$A:$A,"&lt;&gt;",Başvuru!$F:$F,"&lt;&gt;")-1)*100,"0.0")&amp;"%","-"))</f>
        <v>-</v>
      </c>
      <c r="F504" s="162" t="str">
        <f>IF(C504="","",COUNTIFS(Başvuru!$C:$C,C504,Başvuru!$G:$G,"Bireysel Araştırma",Başvuru!$A:$A,"&lt;&gt;"&amp;"",Başvuru!$F:$F,"&lt;&gt;"&amp;""))</f>
        <v/>
      </c>
      <c r="G504" s="162" t="str">
        <f>IF(C504="","",COUNTIFS(Başvuru!$C:$C,C504,Başvuru!$G:$G,"Uzmanlık Tezi",Başvuru!$A:$A,"&lt;&gt;"&amp;"",Başvuru!$F:$F,"&lt;&gt;"&amp;""))</f>
        <v/>
      </c>
      <c r="H504" s="162" t="str">
        <f>IF(C504="","",COUNTIFS(Başvuru!$C:$C,C504,Başvuru!$G:$G,"Doktora Tezi",Başvuru!$A:$A,"&lt;&gt;"&amp;"",Başvuru!$F:$F,"&lt;&gt;"&amp;""))</f>
        <v/>
      </c>
      <c r="I504" s="162" t="str">
        <f>IF(C504="","",COUNTIFS(Başvuru!$C:$C,C504,Başvuru!$G:$G,"Yüksek Lisans Tezi",Başvuru!$A:$A,"&lt;&gt;"&amp;"",Başvuru!$F:$F,"&lt;&gt;"&amp;""))</f>
        <v/>
      </c>
      <c r="J504" s="163" t="str">
        <f>IF(C504="","",COUNTIFS(Başvuru!$C:$C,C504,Başvuru!$L:$L,"ONAY",Başvuru!$A:$A,"&lt;&gt;"&amp;"",Başvuru!$F:$F,"&lt;&gt;"&amp;""))</f>
        <v/>
      </c>
      <c r="K504" s="164" t="str">
        <f>IF(C504="","",COUNTIFS(Başvuru!$C:$C,C504,Başvuru!$L:$L,"DÜZELTME",Başvuru!$A:$A,"&lt;&gt;"&amp;"",Başvuru!$F:$F,"&lt;&gt;"&amp;""))</f>
        <v/>
      </c>
      <c r="L504" s="165" t="str">
        <f>IF(C504="","",COUNTIFS(Başvuru!$C:$C,C504,Başvuru!$L:$L,"KAEK",Başvuru!$A:$A,"&lt;&gt;"&amp;"",Başvuru!$F:$F,"&lt;&gt;"&amp;""))</f>
        <v/>
      </c>
      <c r="M504" s="166" t="str">
        <f>IF(C504="","",COUNTIFS(Başvuru!$C:$C,C504,Başvuru!$L:$L,"GÖRÜŞ",Başvuru!$A:$A,"&lt;&gt;"&amp;"",Başvuru!$F:$F,"&lt;&gt;"&amp;""))</f>
        <v/>
      </c>
      <c r="N504" s="167" t="str">
        <f>IF(C504="","",COUNTIFS(Başvuru!$C:$C,C504,Başvuru!$L:$L,"RET",Başvuru!$A:$A,"&lt;&gt;"&amp;"",Başvuru!$F:$F,"&lt;&gt;"&amp;""))</f>
        <v/>
      </c>
      <c r="O504" s="168" t="str">
        <f>IF(C504="","",COUNTIFS(Başvuru!$C:$C,C504,Başvuru!$L:$L,"KAPSAM DIŞI",Başvuru!$A:$A,"&lt;&gt;"&amp;"",Başvuru!$F:$F,"&lt;&gt;"&amp;""))</f>
        <v/>
      </c>
      <c r="P504" s="169" t="str">
        <f>IF(C504="","",COUNTIFS(Başvuru!$C:$C,C504,Başvuru!$L:$L,"GERİ ÇEKİLDİ",Başvuru!$A:$A,"&lt;&gt;"&amp;"",Başvuru!$F:$F,"&lt;&gt;"&amp;""))</f>
        <v/>
      </c>
      <c r="Q504" s="170" t="str">
        <f>IFERROR(INDEX(Başvuru!$C$2:$C$1851,MATCH(499,Başvuru!$AB$2:$AB$1851,0)),"")</f>
        <v/>
      </c>
      <c r="R504" s="171" t="str">
        <f>IF(Q504="","",COUNTIFS(Başvuru!$C:$C,Q504,Başvuru!$A:$A,"&lt;&gt;"&amp;"",Başvuru!$F:$F,"&lt;&gt;"&amp;""))</f>
        <v/>
      </c>
      <c r="S504" s="171" t="str">
        <f>IF(R504="","",RANK(R504,$R$6:$R$505,0)+COUNTIF($R$6:R504,R504)-1)</f>
        <v/>
      </c>
    </row>
    <row r="505" spans="2:19" ht="23.25" customHeight="1" x14ac:dyDescent="0.25">
      <c r="B505" s="159">
        <v>500</v>
      </c>
      <c r="C505" s="160" t="str">
        <f>IFERROR(INDEX($Q$6:$Q$505,MATCH(500,$S$6:$S$505,0)),"")</f>
        <v/>
      </c>
      <c r="D505" s="161" t="str">
        <f>IF(C505="","",COUNTIFS(Başvuru!$C:$C,C505,Başvuru!$A:$A,"&lt;&gt;"&amp;"",Başvuru!$F:$F,"&lt;&gt;"&amp;""))</f>
        <v/>
      </c>
      <c r="E505" s="159" t="str">
        <f>IF(C505="","-",IF(D505&gt;0,TEXT(D505/(COUNTIFS(Başvuru!$A:$A,"&lt;&gt;",Başvuru!$F:$F,"&lt;&gt;")-1)*100,"0.0")&amp;"%","-"))</f>
        <v>-</v>
      </c>
      <c r="F505" s="162" t="str">
        <f>IF(C505="","",COUNTIFS(Başvuru!$C:$C,C505,Başvuru!$G:$G,"Bireysel Araştırma",Başvuru!$A:$A,"&lt;&gt;"&amp;"",Başvuru!$F:$F,"&lt;&gt;"&amp;""))</f>
        <v/>
      </c>
      <c r="G505" s="162" t="str">
        <f>IF(C505="","",COUNTIFS(Başvuru!$C:$C,C505,Başvuru!$G:$G,"Uzmanlık Tezi",Başvuru!$A:$A,"&lt;&gt;"&amp;"",Başvuru!$F:$F,"&lt;&gt;"&amp;""))</f>
        <v/>
      </c>
      <c r="H505" s="162" t="str">
        <f>IF(C505="","",COUNTIFS(Başvuru!$C:$C,C505,Başvuru!$G:$G,"Doktora Tezi",Başvuru!$A:$A,"&lt;&gt;"&amp;"",Başvuru!$F:$F,"&lt;&gt;"&amp;""))</f>
        <v/>
      </c>
      <c r="I505" s="162" t="str">
        <f>IF(C505="","",COUNTIFS(Başvuru!$C:$C,C505,Başvuru!$G:$G,"Yüksek Lisans Tezi",Başvuru!$A:$A,"&lt;&gt;"&amp;"",Başvuru!$F:$F,"&lt;&gt;"&amp;""))</f>
        <v/>
      </c>
      <c r="J505" s="163" t="str">
        <f>IF(C505="","",COUNTIFS(Başvuru!$C:$C,C505,Başvuru!$L:$L,"ONAY",Başvuru!$A:$A,"&lt;&gt;"&amp;"",Başvuru!$F:$F,"&lt;&gt;"&amp;""))</f>
        <v/>
      </c>
      <c r="K505" s="164" t="str">
        <f>IF(C505="","",COUNTIFS(Başvuru!$C:$C,C505,Başvuru!$L:$L,"DÜZELTME",Başvuru!$A:$A,"&lt;&gt;"&amp;"",Başvuru!$F:$F,"&lt;&gt;"&amp;""))</f>
        <v/>
      </c>
      <c r="L505" s="165" t="str">
        <f>IF(C505="","",COUNTIFS(Başvuru!$C:$C,C505,Başvuru!$L:$L,"KAEK",Başvuru!$A:$A,"&lt;&gt;"&amp;"",Başvuru!$F:$F,"&lt;&gt;"&amp;""))</f>
        <v/>
      </c>
      <c r="M505" s="166" t="str">
        <f>IF(C505="","",COUNTIFS(Başvuru!$C:$C,C505,Başvuru!$L:$L,"GÖRÜŞ",Başvuru!$A:$A,"&lt;&gt;"&amp;"",Başvuru!$F:$F,"&lt;&gt;"&amp;""))</f>
        <v/>
      </c>
      <c r="N505" s="167" t="str">
        <f>IF(C505="","",COUNTIFS(Başvuru!$C:$C,C505,Başvuru!$L:$L,"RET",Başvuru!$A:$A,"&lt;&gt;"&amp;"",Başvuru!$F:$F,"&lt;&gt;"&amp;""))</f>
        <v/>
      </c>
      <c r="O505" s="168" t="str">
        <f>IF(C505="","",COUNTIFS(Başvuru!$C:$C,C505,Başvuru!$L:$L,"KAPSAM DIŞI",Başvuru!$A:$A,"&lt;&gt;"&amp;"",Başvuru!$F:$F,"&lt;&gt;"&amp;""))</f>
        <v/>
      </c>
      <c r="P505" s="169" t="str">
        <f>IF(C505="","",COUNTIFS(Başvuru!$C:$C,C505,Başvuru!$L:$L,"GERİ ÇEKİLDİ",Başvuru!$A:$A,"&lt;&gt;"&amp;"",Başvuru!$F:$F,"&lt;&gt;"&amp;""))</f>
        <v/>
      </c>
      <c r="Q505" s="170" t="str">
        <f>IFERROR(INDEX(Başvuru!$C$2:$C$1851,MATCH(500,Başvuru!$AB$2:$AB$1851,0)),"")</f>
        <v/>
      </c>
      <c r="R505" s="171" t="str">
        <f>IF(Q505="","",COUNTIFS(Başvuru!$C:$C,Q505,Başvuru!$A:$A,"&lt;&gt;"&amp;"",Başvuru!$F:$F,"&lt;&gt;"&amp;""))</f>
        <v/>
      </c>
      <c r="S505" s="171" t="str">
        <f>IF(R505="","",RANK(R505,$R$6:$R$505,0)+COUNTIF($R$6:R505,R505)-1)</f>
        <v/>
      </c>
    </row>
    <row r="506" spans="2:19" ht="23.25" customHeight="1" x14ac:dyDescent="0.25">
      <c r="B506" s="159"/>
      <c r="C506" s="160" t="s">
        <v>4</v>
      </c>
      <c r="D506" s="161">
        <f>COUNTIFS(Başvuru!$A:$A,"&lt;&gt;"&amp;"",Başvuru!$F:$F,"&lt;&gt;"&amp;"")-1</f>
        <v>741</v>
      </c>
      <c r="E506" s="159" t="s">
        <v>4553</v>
      </c>
      <c r="F506" s="162">
        <f>COUNTIFS(Başvuru!$G:$G,"Bireysel Araştırma",Başvuru!$A:$A,"&lt;&gt;"&amp;"",Başvuru!$F:$F,"&lt;&gt;"&amp;"")</f>
        <v>561</v>
      </c>
      <c r="G506" s="162">
        <f>COUNTIFS(Başvuru!$G:$G,"Uzmanlık Tezi",Başvuru!$A:$A,"&lt;&gt;"&amp;"",Başvuru!$F:$F,"&lt;&gt;"&amp;"")</f>
        <v>126</v>
      </c>
      <c r="H506" s="162">
        <f>COUNTIFS(Başvuru!$G:$G,"Doktora Tezi",Başvuru!$A:$A,"&lt;&gt;"&amp;"",Başvuru!$F:$F,"&lt;&gt;"&amp;"")</f>
        <v>33</v>
      </c>
      <c r="I506" s="162">
        <f>COUNTIFS(Başvuru!$G:$G,"Yüksek Lisans Tezi",Başvuru!$A:$A,"&lt;&gt;"&amp;"",Başvuru!$F:$F,"&lt;&gt;"&amp;"")</f>
        <v>21</v>
      </c>
      <c r="J506" s="163">
        <f>COUNTIFS(Başvuru!$L:$L,"ONAY",Başvuru!$A:$A,"&lt;&gt;"&amp;"",Başvuru!$F:$F,"&lt;&gt;"&amp;"")</f>
        <v>371</v>
      </c>
      <c r="K506" s="164">
        <f>COUNTIFS(Başvuru!$L:$L,"DÜZELTME",Başvuru!$A:$A,"&lt;&gt;"&amp;"",Başvuru!$F:$F,"&lt;&gt;"&amp;"")</f>
        <v>208</v>
      </c>
      <c r="L506" s="165">
        <f>COUNTIFS(Başvuru!$L:$L,"KAEK",Başvuru!$A:$A,"&lt;&gt;"&amp;"",Başvuru!$F:$F,"&lt;&gt;"&amp;"")</f>
        <v>17</v>
      </c>
      <c r="M506" s="166">
        <f>COUNTIFS(Başvuru!$L:$L,"GÖRÜŞ",Başvuru!$A:$A,"&lt;&gt;"&amp;"",Başvuru!$F:$F,"&lt;&gt;"&amp;"")</f>
        <v>25</v>
      </c>
      <c r="N506" s="167">
        <f>COUNTIFS(Başvuru!$L:$L,"RET",Başvuru!$A:$A,"&lt;&gt;"&amp;"",Başvuru!$F:$F,"&lt;&gt;"&amp;"")</f>
        <v>23</v>
      </c>
      <c r="O506" s="168">
        <f>COUNTIFS(Başvuru!$L:$L,"KAPSAM DIŞI",Başvuru!$A:$A,"&lt;&gt;"&amp;"",Başvuru!$F:$F,"&lt;&gt;"&amp;"")</f>
        <v>14</v>
      </c>
      <c r="P506" s="169">
        <f>COUNTIFS(Başvuru!$L:$L,"GERİ ÇEKİLDİ",Başvuru!$A:$A,"&lt;&gt;"&amp;"",Başvuru!$F:$F,"&lt;&gt;"&amp;"")</f>
        <v>0</v>
      </c>
      <c r="Q506" s="170"/>
      <c r="R506" s="171"/>
      <c r="S506" s="171"/>
    </row>
  </sheetData>
  <autoFilter ref="B5:P334" xr:uid="{00000000-0009-0000-0000-000006000000}"/>
  <mergeCells count="2">
    <mergeCell ref="B2:P2"/>
    <mergeCell ref="B3:P3"/>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50"/>
  </sheetPr>
  <dimension ref="B2:N408"/>
  <sheetViews>
    <sheetView showGridLines="0" showZeros="0" zoomScaleNormal="100" workbookViewId="0">
      <pane xSplit="1" ySplit="8" topLeftCell="B9" activePane="bottomRight" state="frozen"/>
      <selection pane="topRight" activeCell="B1" sqref="B1"/>
      <selection pane="bottomLeft" activeCell="A9" sqref="A9"/>
      <selection pane="bottomRight" activeCell="D15" sqref="D15"/>
    </sheetView>
  </sheetViews>
  <sheetFormatPr defaultColWidth="8.7109375" defaultRowHeight="15" x14ac:dyDescent="0.25"/>
  <cols>
    <col min="1" max="1" width="3" customWidth="1"/>
    <col min="2" max="2" width="14.7109375" customWidth="1"/>
    <col min="3" max="3" width="13" customWidth="1"/>
    <col min="4" max="4" width="60" customWidth="1"/>
    <col min="5" max="5" width="46" customWidth="1"/>
    <col min="6" max="6" width="16" customWidth="1"/>
    <col min="7" max="7" width="13" customWidth="1"/>
    <col min="8" max="9" width="26" customWidth="1"/>
    <col min="10" max="10" width="14" customWidth="1"/>
    <col min="11" max="11" width="3" customWidth="1"/>
    <col min="12" max="12" width="10" hidden="1" customWidth="1"/>
    <col min="13" max="13" width="3" customWidth="1"/>
    <col min="14" max="14" width="32" hidden="1" customWidth="1"/>
  </cols>
  <sheetData>
    <row r="2" spans="2:14" ht="25.5" customHeight="1" x14ac:dyDescent="0.25">
      <c r="B2" s="225" t="s">
        <v>4559</v>
      </c>
      <c r="C2" s="225"/>
      <c r="D2" s="225"/>
      <c r="E2" s="225"/>
      <c r="F2" s="225"/>
      <c r="G2" s="225"/>
      <c r="H2" s="225"/>
      <c r="I2" s="225"/>
      <c r="J2" s="225"/>
    </row>
    <row r="3" spans="2:14" ht="19.5" customHeight="1" x14ac:dyDescent="0.25">
      <c r="B3" s="226" t="s">
        <v>4560</v>
      </c>
      <c r="C3" s="226"/>
      <c r="D3" s="226"/>
      <c r="E3" s="226"/>
      <c r="F3" s="226"/>
      <c r="G3" s="226"/>
      <c r="H3" s="226"/>
      <c r="I3" s="226"/>
      <c r="J3" s="226"/>
    </row>
    <row r="5" spans="2:14" ht="30" customHeight="1" x14ac:dyDescent="0.25">
      <c r="B5" s="179" t="s">
        <v>4561</v>
      </c>
      <c r="C5" s="227" t="s">
        <v>1683</v>
      </c>
      <c r="D5" s="227"/>
      <c r="E5" s="227"/>
      <c r="F5" s="227"/>
      <c r="G5" s="179" t="s">
        <v>4</v>
      </c>
      <c r="H5" s="180">
        <f>IF($C$5="","-",COUNTIF(Başvuru!$C:$C,$C$5))</f>
        <v>3</v>
      </c>
      <c r="I5" s="179" t="s">
        <v>77</v>
      </c>
      <c r="J5" s="180">
        <f>IF($C$5="","-",COUNTIFS(Başvuru!$C:$C,$C$5,Başvuru!$P:$P,"ONAY"))</f>
        <v>2</v>
      </c>
    </row>
    <row r="8" spans="2:14" ht="19.5" customHeight="1" x14ac:dyDescent="0.25">
      <c r="B8" s="181" t="s">
        <v>4540</v>
      </c>
      <c r="C8" s="181" t="s">
        <v>44</v>
      </c>
      <c r="D8" s="181" t="s">
        <v>46</v>
      </c>
      <c r="E8" s="181" t="s">
        <v>4562</v>
      </c>
      <c r="F8" s="181" t="s">
        <v>49</v>
      </c>
      <c r="G8" s="181" t="s">
        <v>51</v>
      </c>
      <c r="H8" s="181" t="s">
        <v>52</v>
      </c>
      <c r="I8" s="181" t="s">
        <v>53</v>
      </c>
      <c r="J8" s="181" t="s">
        <v>58</v>
      </c>
      <c r="L8" s="182" t="s">
        <v>4563</v>
      </c>
      <c r="N8" s="182" t="s">
        <v>4564</v>
      </c>
    </row>
    <row r="9" spans="2:14" ht="36" customHeight="1" x14ac:dyDescent="0.25">
      <c r="B9" s="183">
        <f t="shared" ref="B9:B38" si="0">IF($L9="","",ROW()-ROW($B$8))</f>
        <v>1</v>
      </c>
      <c r="C9" s="184" t="str">
        <f>IF($L9="","",INDEX(Başvuru!$B:$B,$L9))</f>
        <v>SBA 26/338</v>
      </c>
      <c r="D9" s="184" t="str">
        <f>IF($L9="","",INDEX(Başvuru!$D:$D,$L9))</f>
        <v>Ruh Sağlığı ve Hastalıkları Anabilim Dalı</v>
      </c>
      <c r="E9" s="185" t="str">
        <f>IF($L9="","",INDEX(Başvuru!$F:$F,$L9))</f>
        <v>“Psikiyatri Asistanları ve İlk Beş Yıl Uzmanların Psikodinamik Psikoterapilere Yönelik Görüşlerinin ve Eğitim Düzeylerinin Değerlendirilmesi”</v>
      </c>
      <c r="F9" s="184" t="str">
        <f>IF($L9="","",INDEX(Başvuru!$G:$G,$L9))</f>
        <v>Bireysel Araştırma</v>
      </c>
      <c r="G9" s="186">
        <f>IF($L9="","",INDEX(Başvuru!$I:$I,$L9))</f>
        <v>46126</v>
      </c>
      <c r="H9" s="184" t="str">
        <f>IF($L9="","",INDEX(Başvuru!$J:$J,$L9))</f>
        <v>Prof. Dr. Yavuz AYHAN</v>
      </c>
      <c r="I9" s="184" t="str">
        <f>IF($L9="","",INDEX(Başvuru!$K:$K,$L9))</f>
        <v>Prof. Dr. Gözde GİRGİN</v>
      </c>
      <c r="J9" s="184" t="str">
        <f>IF($L9="","",IF(INDEX(Başvuru!$P:$P,$L9)=0,"BEKLİYOR",INDEX(Başvuru!$P:$P,$L9)))</f>
        <v>ONAY</v>
      </c>
      <c r="L9">
        <f>IFERROR(MATCH($C$5&amp;"§"&amp;(ROW()-ROW($B$8)),Başvuru!$V:$V,0),"")</f>
        <v>339</v>
      </c>
      <c r="N9" t="str">
        <f>IFERROR(INDEX(Başvuru!$C:$C,MATCH(1,Başvuru!$X:$X,0)),"")</f>
        <v>Arş. Gör. Dr. Aycan UYSAL</v>
      </c>
    </row>
    <row r="10" spans="2:14" ht="36" customHeight="1" x14ac:dyDescent="0.25">
      <c r="B10" s="187">
        <f t="shared" si="0"/>
        <v>2</v>
      </c>
      <c r="C10" s="188" t="str">
        <f>IF($L10="","",INDEX(Başvuru!$B:$B,$L10))</f>
        <v>SBA 26/339</v>
      </c>
      <c r="D10" s="188" t="str">
        <f>IF($L10="","",INDEX(Başvuru!$D:$D,$L10))</f>
        <v>Ruh Sağlığı ve Hastalıkları Anabilim Dalı</v>
      </c>
      <c r="E10" s="189" t="str">
        <f>IF($L10="","",INDEX(Başvuru!$F:$F,$L10))</f>
        <v>“Elektrokonvülsif Tedavinin Etkinlik ve Güvenliğinin ve Tedavide Flumazenil Kullanımının Nöbet Parametreleri ile Klinik Değişkenler Üzerindeki Etkilerinin Retrospektif Olarak İncelenmesi”</v>
      </c>
      <c r="F10" s="188" t="str">
        <f>IF($L10="","",INDEX(Başvuru!$G:$G,$L10))</f>
        <v>Bireysel Araştırma</v>
      </c>
      <c r="G10" s="190">
        <f>IF($L10="","",INDEX(Başvuru!$I:$I,$L10))</f>
        <v>46126</v>
      </c>
      <c r="H10" s="188" t="str">
        <f>IF($L10="","",INDEX(Başvuru!$J:$J,$L10))</f>
        <v>Prof. Dr. Melih Önder BABAOĞLU</v>
      </c>
      <c r="I10" s="188" t="str">
        <f>IF($L10="","",INDEX(Başvuru!$K:$K,$L10))</f>
        <v>Prof. Dr. Yavuz AYHAN</v>
      </c>
      <c r="J10" s="188" t="str">
        <f>IF($L10="","",IF(INDEX(Başvuru!$P:$P,$L10)=0,"BEKLİYOR",INDEX(Başvuru!$P:$P,$L10)))</f>
        <v>ONAY</v>
      </c>
      <c r="L10">
        <f>IFERROR(MATCH($C$5&amp;"§"&amp;(ROW()-ROW($B$8)),Başvuru!$V:$V,0),"")</f>
        <v>340</v>
      </c>
      <c r="N10" t="str">
        <f>IFERROR(INDEX(Başvuru!$C:$C,MATCH(2,Başvuru!$X:$X,0)),"")</f>
        <v>Arş. Gör. Dr. Eymen YILMAZ</v>
      </c>
    </row>
    <row r="11" spans="2:14" ht="48" customHeight="1" x14ac:dyDescent="0.25">
      <c r="B11" s="183">
        <f t="shared" si="0"/>
        <v>3</v>
      </c>
      <c r="C11" s="184" t="str">
        <f>IF($L11="","",INDEX(Başvuru!$B:$B,$L11))</f>
        <v>SBA 26/740</v>
      </c>
      <c r="D11" s="184" t="str">
        <f>IF($L11="","",INDEX(Başvuru!$D:$D,$L11))</f>
        <v>Ruh Sağlığı ve Hastalıkları Anabilim Dalı</v>
      </c>
      <c r="E11" s="185" t="str">
        <f>IF($L11="","",INDEX(Başvuru!$F:$F,$L11))</f>
        <v>“Sınırda Kişilik Bozukluğunda Otistik Özelliklerin Rolü: Duygu Düzenleme, Dürtüsellik, Mentalizasyon, Çocukluk Çağı Travma Süreçlerinin Karşılaştırmalı Analizi”</v>
      </c>
      <c r="F11" s="184" t="str">
        <f>IF($L11="","",INDEX(Başvuru!$G:$G,$L11))</f>
        <v>Bireysel Araştırma</v>
      </c>
      <c r="G11" s="186">
        <f>IF($L11="","",INDEX(Başvuru!$I:$I,$L11))</f>
        <v>46273</v>
      </c>
      <c r="H11" s="184">
        <f>IF($L11="","",INDEX(Başvuru!$J:$J,$L11))</f>
        <v>0</v>
      </c>
      <c r="I11" s="184">
        <f>IF($L11="","",INDEX(Başvuru!$K:$K,$L11))</f>
        <v>0</v>
      </c>
      <c r="J11" s="184" t="str">
        <f>IF($L11="","",IF(INDEX(Başvuru!$P:$P,$L11)=0,"BEKLİYOR",INDEX(Başvuru!$P:$P,$L11)))</f>
        <v>BEKLİYOR</v>
      </c>
      <c r="L11">
        <f>IFERROR(MATCH($C$5&amp;"§"&amp;(ROW()-ROW($B$8)),Başvuru!$V:$V,0),"")</f>
        <v>741</v>
      </c>
      <c r="N11" t="str">
        <f>IFERROR(INDEX(Başvuru!$C:$C,MATCH(3,Başvuru!$X:$X,0)),"")</f>
        <v>Arş. Gör. Dr. İsmail Çağrı ÖZÜTOK</v>
      </c>
    </row>
    <row r="12" spans="2:14" ht="24" customHeight="1" x14ac:dyDescent="0.25">
      <c r="B12" s="187" t="str">
        <f t="shared" si="0"/>
        <v/>
      </c>
      <c r="C12" s="188" t="str">
        <f>IF($L12="","",INDEX(Başvuru!$B:$B,$L12))</f>
        <v/>
      </c>
      <c r="D12" s="188" t="str">
        <f>IF($L12="","",INDEX(Başvuru!$D:$D,$L12))</f>
        <v/>
      </c>
      <c r="E12" s="189" t="str">
        <f>IF($L12="","",INDEX(Başvuru!$F:$F,$L12))</f>
        <v/>
      </c>
      <c r="F12" s="188" t="str">
        <f>IF($L12="","",INDEX(Başvuru!$G:$G,$L12))</f>
        <v/>
      </c>
      <c r="G12" s="190" t="str">
        <f>IF($L12="","",INDEX(Başvuru!$I:$I,$L12))</f>
        <v/>
      </c>
      <c r="H12" s="188" t="str">
        <f>IF($L12="","",INDEX(Başvuru!$J:$J,$L12))</f>
        <v/>
      </c>
      <c r="I12" s="188" t="str">
        <f>IF($L12="","",INDEX(Başvuru!$K:$K,$L12))</f>
        <v/>
      </c>
      <c r="J12" s="188" t="str">
        <f>IF($L12="","",IF(INDEX(Başvuru!$P:$P,$L12)=0,"BEKLİYOR",INDEX(Başvuru!$P:$P,$L12)))</f>
        <v/>
      </c>
      <c r="L12" t="str">
        <f>IFERROR(MATCH($C$5&amp;"§"&amp;(ROW()-ROW($B$8)),Başvuru!$V:$V,0),"")</f>
        <v/>
      </c>
      <c r="N12" t="str">
        <f>IFERROR(INDEX(Başvuru!$C:$C,MATCH(4,Başvuru!$X:$X,0)),"")</f>
        <v>Arş. Gör. Dr. İzzet Türkalp AKBAŞLI</v>
      </c>
    </row>
    <row r="13" spans="2:14" ht="24" customHeight="1" x14ac:dyDescent="0.25">
      <c r="B13" s="183" t="str">
        <f t="shared" si="0"/>
        <v/>
      </c>
      <c r="C13" s="184" t="str">
        <f>IF($L13="","",INDEX(Başvuru!$B:$B,$L13))</f>
        <v/>
      </c>
      <c r="D13" s="184" t="str">
        <f>IF($L13="","",INDEX(Başvuru!$D:$D,$L13))</f>
        <v/>
      </c>
      <c r="E13" s="185" t="str">
        <f>IF($L13="","",INDEX(Başvuru!$F:$F,$L13))</f>
        <v/>
      </c>
      <c r="F13" s="184" t="str">
        <f>IF($L13="","",INDEX(Başvuru!$G:$G,$L13))</f>
        <v/>
      </c>
      <c r="G13" s="186" t="str">
        <f>IF($L13="","",INDEX(Başvuru!$I:$I,$L13))</f>
        <v/>
      </c>
      <c r="H13" s="184" t="str">
        <f>IF($L13="","",INDEX(Başvuru!$J:$J,$L13))</f>
        <v/>
      </c>
      <c r="I13" s="184" t="str">
        <f>IF($L13="","",INDEX(Başvuru!$K:$K,$L13))</f>
        <v/>
      </c>
      <c r="J13" s="184" t="str">
        <f>IF($L13="","",IF(INDEX(Başvuru!$P:$P,$L13)=0,"BEKLİYOR",INDEX(Başvuru!$P:$P,$L13)))</f>
        <v/>
      </c>
      <c r="L13" t="str">
        <f>IFERROR(MATCH($C$5&amp;"§"&amp;(ROW()-ROW($B$8)),Başvuru!$V:$V,0),"")</f>
        <v/>
      </c>
      <c r="N13" t="str">
        <f>IFERROR(INDEX(Başvuru!$C:$C,MATCH(5,Başvuru!$X:$X,0)),"")</f>
        <v>Arş. Gör. Dr. Kadir İNTAŞ</v>
      </c>
    </row>
    <row r="14" spans="2:14" ht="24" customHeight="1" x14ac:dyDescent="0.25">
      <c r="B14" s="187" t="str">
        <f t="shared" si="0"/>
        <v/>
      </c>
      <c r="C14" s="188" t="str">
        <f>IF($L14="","",INDEX(Başvuru!$B:$B,$L14))</f>
        <v/>
      </c>
      <c r="D14" s="188" t="str">
        <f>IF($L14="","",INDEX(Başvuru!$D:$D,$L14))</f>
        <v/>
      </c>
      <c r="E14" s="189" t="str">
        <f>IF($L14="","",INDEX(Başvuru!$F:$F,$L14))</f>
        <v/>
      </c>
      <c r="F14" s="188" t="str">
        <f>IF($L14="","",INDEX(Başvuru!$G:$G,$L14))</f>
        <v/>
      </c>
      <c r="G14" s="190" t="str">
        <f>IF($L14="","",INDEX(Başvuru!$I:$I,$L14))</f>
        <v/>
      </c>
      <c r="H14" s="188" t="str">
        <f>IF($L14="","",INDEX(Başvuru!$J:$J,$L14))</f>
        <v/>
      </c>
      <c r="I14" s="188" t="str">
        <f>IF($L14="","",INDEX(Başvuru!$K:$K,$L14))</f>
        <v/>
      </c>
      <c r="J14" s="188" t="str">
        <f>IF($L14="","",IF(INDEX(Başvuru!$P:$P,$L14)=0,"BEKLİYOR",INDEX(Başvuru!$P:$P,$L14)))</f>
        <v/>
      </c>
      <c r="L14" t="str">
        <f>IFERROR(MATCH($C$5&amp;"§"&amp;(ROW()-ROW($B$8)),Başvuru!$V:$V,0),"")</f>
        <v/>
      </c>
      <c r="N14" t="str">
        <f>IFERROR(INDEX(Başvuru!$C:$C,MATCH(6,Başvuru!$X:$X,0)),"")</f>
        <v>Arş. Gör. Dr. Oğuzhan SERİN</v>
      </c>
    </row>
    <row r="15" spans="2:14" ht="24" customHeight="1" x14ac:dyDescent="0.25">
      <c r="B15" s="183" t="str">
        <f t="shared" si="0"/>
        <v/>
      </c>
      <c r="C15" s="184" t="str">
        <f>IF($L15="","",INDEX(Başvuru!$B:$B,$L15))</f>
        <v/>
      </c>
      <c r="D15" s="184" t="str">
        <f>IF($L15="","",INDEX(Başvuru!$D:$D,$L15))</f>
        <v/>
      </c>
      <c r="E15" s="185" t="str">
        <f>IF($L15="","",INDEX(Başvuru!$F:$F,$L15))</f>
        <v/>
      </c>
      <c r="F15" s="184" t="str">
        <f>IF($L15="","",INDEX(Başvuru!$G:$G,$L15))</f>
        <v/>
      </c>
      <c r="G15" s="186" t="str">
        <f>IF($L15="","",INDEX(Başvuru!$I:$I,$L15))</f>
        <v/>
      </c>
      <c r="H15" s="184" t="str">
        <f>IF($L15="","",INDEX(Başvuru!$J:$J,$L15))</f>
        <v/>
      </c>
      <c r="I15" s="184" t="str">
        <f>IF($L15="","",INDEX(Başvuru!$K:$K,$L15))</f>
        <v/>
      </c>
      <c r="J15" s="184" t="str">
        <f>IF($L15="","",IF(INDEX(Başvuru!$P:$P,$L15)=0,"BEKLİYOR",INDEX(Başvuru!$P:$P,$L15)))</f>
        <v/>
      </c>
      <c r="L15" t="str">
        <f>IFERROR(MATCH($C$5&amp;"§"&amp;(ROW()-ROW($B$8)),Başvuru!$V:$V,0),"")</f>
        <v/>
      </c>
      <c r="N15" t="str">
        <f>IFERROR(INDEX(Başvuru!$C:$C,MATCH(7,Başvuru!$X:$X,0)),"")</f>
        <v>Arş. Gör. Dr. Ozan KAPLAN</v>
      </c>
    </row>
    <row r="16" spans="2:14" ht="48" customHeight="1" x14ac:dyDescent="0.25">
      <c r="B16" s="187" t="str">
        <f t="shared" si="0"/>
        <v/>
      </c>
      <c r="C16" s="188" t="str">
        <f>IF($L16="","",INDEX(Başvuru!$B:$B,$L16))</f>
        <v/>
      </c>
      <c r="D16" s="188" t="str">
        <f>IF($L16="","",INDEX(Başvuru!$D:$D,$L16))</f>
        <v/>
      </c>
      <c r="E16" s="189" t="str">
        <f>IF($L16="","",INDEX(Başvuru!$F:$F,$L16))</f>
        <v/>
      </c>
      <c r="F16" s="188" t="str">
        <f>IF($L16="","",INDEX(Başvuru!$G:$G,$L16))</f>
        <v/>
      </c>
      <c r="G16" s="190" t="str">
        <f>IF($L16="","",INDEX(Başvuru!$I:$I,$L16))</f>
        <v/>
      </c>
      <c r="H16" s="188" t="str">
        <f>IF($L16="","",INDEX(Başvuru!$J:$J,$L16))</f>
        <v/>
      </c>
      <c r="I16" s="188" t="str">
        <f>IF($L16="","",INDEX(Başvuru!$K:$K,$L16))</f>
        <v/>
      </c>
      <c r="J16" s="188" t="str">
        <f>IF($L16="","",IF(INDEX(Başvuru!$P:$P,$L16)=0,"BEKLİYOR",INDEX(Başvuru!$P:$P,$L16)))</f>
        <v/>
      </c>
      <c r="L16" t="str">
        <f>IFERROR(MATCH($C$5&amp;"§"&amp;(ROW()-ROW($B$8)),Başvuru!$V:$V,0),"")</f>
        <v/>
      </c>
      <c r="N16" t="str">
        <f>IFERROR(INDEX(Başvuru!$C:$C,MATCH(8,Başvuru!$X:$X,0)),"")</f>
        <v>Arş. Gör. Dr. Pınar YAVUZ TAZE</v>
      </c>
    </row>
    <row r="17" spans="2:14" ht="36" customHeight="1" x14ac:dyDescent="0.25">
      <c r="B17" s="183" t="str">
        <f t="shared" si="0"/>
        <v/>
      </c>
      <c r="C17" s="184" t="str">
        <f>IF($L17="","",INDEX(Başvuru!$B:$B,$L17))</f>
        <v/>
      </c>
      <c r="D17" s="184" t="str">
        <f>IF($L17="","",INDEX(Başvuru!$D:$D,$L17))</f>
        <v/>
      </c>
      <c r="E17" s="185" t="str">
        <f>IF($L17="","",INDEX(Başvuru!$F:$F,$L17))</f>
        <v/>
      </c>
      <c r="F17" s="184" t="str">
        <f>IF($L17="","",INDEX(Başvuru!$G:$G,$L17))</f>
        <v/>
      </c>
      <c r="G17" s="186" t="str">
        <f>IF($L17="","",INDEX(Başvuru!$I:$I,$L17))</f>
        <v/>
      </c>
      <c r="H17" s="184" t="str">
        <f>IF($L17="","",INDEX(Başvuru!$J:$J,$L17))</f>
        <v/>
      </c>
      <c r="I17" s="184" t="str">
        <f>IF($L17="","",INDEX(Başvuru!$K:$K,$L17))</f>
        <v/>
      </c>
      <c r="J17" s="184" t="str">
        <f>IF($L17="","",IF(INDEX(Başvuru!$P:$P,$L17)=0,"BEKLİYOR",INDEX(Başvuru!$P:$P,$L17)))</f>
        <v/>
      </c>
      <c r="L17" t="str">
        <f>IFERROR(MATCH($C$5&amp;"§"&amp;(ROW()-ROW($B$8)),Başvuru!$V:$V,0),"")</f>
        <v/>
      </c>
      <c r="N17" t="str">
        <f>IFERROR(INDEX(Başvuru!$C:$C,MATCH(9,Başvuru!$X:$X,0)),"")</f>
        <v>Arş. Gör. Dr. Sebiha Şükran GÜNDEŞLİ</v>
      </c>
    </row>
    <row r="18" spans="2:14" ht="48" customHeight="1" x14ac:dyDescent="0.25">
      <c r="B18" s="187" t="str">
        <f t="shared" si="0"/>
        <v/>
      </c>
      <c r="C18" s="188" t="str">
        <f>IF($L18="","",INDEX(Başvuru!$B:$B,$L18))</f>
        <v/>
      </c>
      <c r="D18" s="188" t="str">
        <f>IF($L18="","",INDEX(Başvuru!$D:$D,$L18))</f>
        <v/>
      </c>
      <c r="E18" s="189" t="str">
        <f>IF($L18="","",INDEX(Başvuru!$F:$F,$L18))</f>
        <v/>
      </c>
      <c r="F18" s="188" t="str">
        <f>IF($L18="","",INDEX(Başvuru!$G:$G,$L18))</f>
        <v/>
      </c>
      <c r="G18" s="190" t="str">
        <f>IF($L18="","",INDEX(Başvuru!$I:$I,$L18))</f>
        <v/>
      </c>
      <c r="H18" s="188" t="str">
        <f>IF($L18="","",INDEX(Başvuru!$J:$J,$L18))</f>
        <v/>
      </c>
      <c r="I18" s="188" t="str">
        <f>IF($L18="","",INDEX(Başvuru!$K:$K,$L18))</f>
        <v/>
      </c>
      <c r="J18" s="188" t="str">
        <f>IF($L18="","",IF(INDEX(Başvuru!$P:$P,$L18)=0,"BEKLİYOR",INDEX(Başvuru!$P:$P,$L18)))</f>
        <v/>
      </c>
      <c r="L18" t="str">
        <f>IFERROR(MATCH($C$5&amp;"§"&amp;(ROW()-ROW($B$8)),Başvuru!$V:$V,0),"")</f>
        <v/>
      </c>
      <c r="N18" t="str">
        <f>IFERROR(INDEX(Başvuru!$C:$C,MATCH(10,Başvuru!$X:$X,0)),"")</f>
        <v>Arş. Gör. Dr. Sinan Efe YAZICI</v>
      </c>
    </row>
    <row r="19" spans="2:14" ht="36" customHeight="1" x14ac:dyDescent="0.25">
      <c r="B19" s="183" t="str">
        <f t="shared" si="0"/>
        <v/>
      </c>
      <c r="C19" s="184" t="str">
        <f>IF($L19="","",INDEX(Başvuru!$B:$B,$L19))</f>
        <v/>
      </c>
      <c r="D19" s="184" t="str">
        <f>IF($L19="","",INDEX(Başvuru!$D:$D,$L19))</f>
        <v/>
      </c>
      <c r="E19" s="185" t="str">
        <f>IF($L19="","",INDEX(Başvuru!$F:$F,$L19))</f>
        <v/>
      </c>
      <c r="F19" s="184" t="str">
        <f>IF($L19="","",INDEX(Başvuru!$G:$G,$L19))</f>
        <v/>
      </c>
      <c r="G19" s="186" t="str">
        <f>IF($L19="","",INDEX(Başvuru!$I:$I,$L19))</f>
        <v/>
      </c>
      <c r="H19" s="184" t="str">
        <f>IF($L19="","",INDEX(Başvuru!$J:$J,$L19))</f>
        <v/>
      </c>
      <c r="I19" s="184" t="str">
        <f>IF($L19="","",INDEX(Başvuru!$K:$K,$L19))</f>
        <v/>
      </c>
      <c r="J19" s="184" t="str">
        <f>IF($L19="","",IF(INDEX(Başvuru!$P:$P,$L19)=0,"BEKLİYOR",INDEX(Başvuru!$P:$P,$L19)))</f>
        <v/>
      </c>
      <c r="L19" t="str">
        <f>IFERROR(MATCH($C$5&amp;"§"&amp;(ROW()-ROW($B$8)),Başvuru!$V:$V,0),"")</f>
        <v/>
      </c>
      <c r="N19" t="str">
        <f>IFERROR(INDEX(Başvuru!$C:$C,MATCH(11,Başvuru!$X:$X,0)),"")</f>
        <v>Arş. Gör. Dr. Şeyma KAHRAMAN</v>
      </c>
    </row>
    <row r="20" spans="2:14" ht="60" customHeight="1" x14ac:dyDescent="0.25">
      <c r="B20" s="187" t="str">
        <f t="shared" si="0"/>
        <v/>
      </c>
      <c r="C20" s="188" t="str">
        <f>IF($L20="","",INDEX(Başvuru!$B:$B,$L20))</f>
        <v/>
      </c>
      <c r="D20" s="188" t="str">
        <f>IF($L20="","",INDEX(Başvuru!$D:$D,$L20))</f>
        <v/>
      </c>
      <c r="E20" s="189" t="str">
        <f>IF($L20="","",INDEX(Başvuru!$F:$F,$L20))</f>
        <v/>
      </c>
      <c r="F20" s="188" t="str">
        <f>IF($L20="","",INDEX(Başvuru!$G:$G,$L20))</f>
        <v/>
      </c>
      <c r="G20" s="190" t="str">
        <f>IF($L20="","",INDEX(Başvuru!$I:$I,$L20))</f>
        <v/>
      </c>
      <c r="H20" s="188" t="str">
        <f>IF($L20="","",INDEX(Başvuru!$J:$J,$L20))</f>
        <v/>
      </c>
      <c r="I20" s="188" t="str">
        <f>IF($L20="","",INDEX(Başvuru!$K:$K,$L20))</f>
        <v/>
      </c>
      <c r="J20" s="188" t="str">
        <f>IF($L20="","",IF(INDEX(Başvuru!$P:$P,$L20)=0,"BEKLİYOR",INDEX(Başvuru!$P:$P,$L20)))</f>
        <v/>
      </c>
      <c r="L20" t="str">
        <f>IFERROR(MATCH($C$5&amp;"§"&amp;(ROW()-ROW($B$8)),Başvuru!$V:$V,0),"")</f>
        <v/>
      </c>
      <c r="N20" t="str">
        <f>IFERROR(INDEX(Başvuru!$C:$C,MATCH(12,Başvuru!$X:$X,0)),"")</f>
        <v>Arş. Gör. Dr. Şükran BAYRAK</v>
      </c>
    </row>
    <row r="21" spans="2:14" ht="48" customHeight="1" x14ac:dyDescent="0.25">
      <c r="B21" s="183" t="str">
        <f t="shared" si="0"/>
        <v/>
      </c>
      <c r="C21" s="184" t="str">
        <f>IF($L21="","",INDEX(Başvuru!$B:$B,$L21))</f>
        <v/>
      </c>
      <c r="D21" s="184" t="str">
        <f>IF($L21="","",INDEX(Başvuru!$D:$D,$L21))</f>
        <v/>
      </c>
      <c r="E21" s="185" t="str">
        <f>IF($L21="","",INDEX(Başvuru!$F:$F,$L21))</f>
        <v/>
      </c>
      <c r="F21" s="184" t="str">
        <f>IF($L21="","",INDEX(Başvuru!$G:$G,$L21))</f>
        <v/>
      </c>
      <c r="G21" s="186" t="str">
        <f>IF($L21="","",INDEX(Başvuru!$I:$I,$L21))</f>
        <v/>
      </c>
      <c r="H21" s="184" t="str">
        <f>IF($L21="","",INDEX(Başvuru!$J:$J,$L21))</f>
        <v/>
      </c>
      <c r="I21" s="184" t="str">
        <f>IF($L21="","",INDEX(Başvuru!$K:$K,$L21))</f>
        <v/>
      </c>
      <c r="J21" s="184" t="str">
        <f>IF($L21="","",IF(INDEX(Başvuru!$P:$P,$L21)=0,"BEKLİYOR",INDEX(Başvuru!$P:$P,$L21)))</f>
        <v/>
      </c>
      <c r="L21" t="str">
        <f>IFERROR(MATCH($C$5&amp;"§"&amp;(ROW()-ROW($B$8)),Başvuru!$V:$V,0),"")</f>
        <v/>
      </c>
      <c r="N21" t="str">
        <f>IFERROR(INDEX(Başvuru!$C:$C,MATCH(13,Başvuru!$X:$X,0)),"")</f>
        <v>Arş. Gör. Dr. Tuğçe TAŞKINDERE ABBASOĞLU</v>
      </c>
    </row>
    <row r="22" spans="2:14" ht="36" customHeight="1" x14ac:dyDescent="0.25">
      <c r="B22" s="187" t="str">
        <f t="shared" si="0"/>
        <v/>
      </c>
      <c r="C22" s="188" t="str">
        <f>IF($L22="","",INDEX(Başvuru!$B:$B,$L22))</f>
        <v/>
      </c>
      <c r="D22" s="188" t="str">
        <f>IF($L22="","",INDEX(Başvuru!$D:$D,$L22))</f>
        <v/>
      </c>
      <c r="E22" s="189" t="str">
        <f>IF($L22="","",INDEX(Başvuru!$F:$F,$L22))</f>
        <v/>
      </c>
      <c r="F22" s="188" t="str">
        <f>IF($L22="","",INDEX(Başvuru!$G:$G,$L22))</f>
        <v/>
      </c>
      <c r="G22" s="190" t="str">
        <f>IF($L22="","",INDEX(Başvuru!$I:$I,$L22))</f>
        <v/>
      </c>
      <c r="H22" s="188" t="str">
        <f>IF($L22="","",INDEX(Başvuru!$J:$J,$L22))</f>
        <v/>
      </c>
      <c r="I22" s="188" t="str">
        <f>IF($L22="","",INDEX(Başvuru!$K:$K,$L22))</f>
        <v/>
      </c>
      <c r="J22" s="188" t="str">
        <f>IF($L22="","",IF(INDEX(Başvuru!$P:$P,$L22)=0,"BEKLİYOR",INDEX(Başvuru!$P:$P,$L22)))</f>
        <v/>
      </c>
      <c r="L22" t="str">
        <f>IFERROR(MATCH($C$5&amp;"§"&amp;(ROW()-ROW($B$8)),Başvuru!$V:$V,0),"")</f>
        <v/>
      </c>
      <c r="N22" t="str">
        <f>IFERROR(INDEX(Başvuru!$C:$C,MATCH(14,Başvuru!$X:$X,0)),"")</f>
        <v>Arş. Gör. Dt. Dilara KARA</v>
      </c>
    </row>
    <row r="23" spans="2:14" ht="48" customHeight="1" x14ac:dyDescent="0.25">
      <c r="B23" s="183" t="str">
        <f t="shared" si="0"/>
        <v/>
      </c>
      <c r="C23" s="184" t="str">
        <f>IF($L23="","",INDEX(Başvuru!$B:$B,$L23))</f>
        <v/>
      </c>
      <c r="D23" s="184" t="str">
        <f>IF($L23="","",INDEX(Başvuru!$D:$D,$L23))</f>
        <v/>
      </c>
      <c r="E23" s="185" t="str">
        <f>IF($L23="","",INDEX(Başvuru!$F:$F,$L23))</f>
        <v/>
      </c>
      <c r="F23" s="184" t="str">
        <f>IF($L23="","",INDEX(Başvuru!$G:$G,$L23))</f>
        <v/>
      </c>
      <c r="G23" s="186" t="str">
        <f>IF($L23="","",INDEX(Başvuru!$I:$I,$L23))</f>
        <v/>
      </c>
      <c r="H23" s="184" t="str">
        <f>IF($L23="","",INDEX(Başvuru!$J:$J,$L23))</f>
        <v/>
      </c>
      <c r="I23" s="184" t="str">
        <f>IF($L23="","",INDEX(Başvuru!$K:$K,$L23))</f>
        <v/>
      </c>
      <c r="J23" s="184" t="str">
        <f>IF($L23="","",IF(INDEX(Başvuru!$P:$P,$L23)=0,"BEKLİYOR",INDEX(Başvuru!$P:$P,$L23)))</f>
        <v/>
      </c>
      <c r="L23" t="str">
        <f>IFERROR(MATCH($C$5&amp;"§"&amp;(ROW()-ROW($B$8)),Başvuru!$V:$V,0),"")</f>
        <v/>
      </c>
      <c r="N23" t="str">
        <f>IFERROR(INDEX(Başvuru!$C:$C,MATCH(15,Başvuru!$X:$X,0)),"")</f>
        <v>Doç. Dr. Adalet Elçin YILDIZ</v>
      </c>
    </row>
    <row r="24" spans="2:14" ht="24" customHeight="1" x14ac:dyDescent="0.25">
      <c r="B24" s="187" t="str">
        <f t="shared" si="0"/>
        <v/>
      </c>
      <c r="C24" s="188" t="str">
        <f>IF($L24="","",INDEX(Başvuru!$B:$B,$L24))</f>
        <v/>
      </c>
      <c r="D24" s="188" t="str">
        <f>IF($L24="","",INDEX(Başvuru!$D:$D,$L24))</f>
        <v/>
      </c>
      <c r="E24" s="189" t="str">
        <f>IF($L24="","",INDEX(Başvuru!$F:$F,$L24))</f>
        <v/>
      </c>
      <c r="F24" s="188" t="str">
        <f>IF($L24="","",INDEX(Başvuru!$G:$G,$L24))</f>
        <v/>
      </c>
      <c r="G24" s="190" t="str">
        <f>IF($L24="","",INDEX(Başvuru!$I:$I,$L24))</f>
        <v/>
      </c>
      <c r="H24" s="188" t="str">
        <f>IF($L24="","",INDEX(Başvuru!$J:$J,$L24))</f>
        <v/>
      </c>
      <c r="I24" s="188" t="str">
        <f>IF($L24="","",INDEX(Başvuru!$K:$K,$L24))</f>
        <v/>
      </c>
      <c r="J24" s="188" t="str">
        <f>IF($L24="","",IF(INDEX(Başvuru!$P:$P,$L24)=0,"BEKLİYOR",INDEX(Başvuru!$P:$P,$L24)))</f>
        <v/>
      </c>
      <c r="L24" t="str">
        <f>IFERROR(MATCH($C$5&amp;"§"&amp;(ROW()-ROW($B$8)),Başvuru!$V:$V,0),"")</f>
        <v/>
      </c>
      <c r="N24" t="str">
        <f>IFERROR(INDEX(Başvuru!$C:$C,MATCH(16,Başvuru!$X:$X,0)),"")</f>
        <v>Doç. Dr. Ahmet Erim PAMUK</v>
      </c>
    </row>
    <row r="25" spans="2:14" ht="36" customHeight="1" x14ac:dyDescent="0.25">
      <c r="B25" s="183" t="str">
        <f t="shared" si="0"/>
        <v/>
      </c>
      <c r="C25" s="184" t="str">
        <f>IF($L25="","",INDEX(Başvuru!$B:$B,$L25))</f>
        <v/>
      </c>
      <c r="D25" s="184" t="str">
        <f>IF($L25="","",INDEX(Başvuru!$D:$D,$L25))</f>
        <v/>
      </c>
      <c r="E25" s="185" t="str">
        <f>IF($L25="","",INDEX(Başvuru!$F:$F,$L25))</f>
        <v/>
      </c>
      <c r="F25" s="184" t="str">
        <f>IF($L25="","",INDEX(Başvuru!$G:$G,$L25))</f>
        <v/>
      </c>
      <c r="G25" s="186" t="str">
        <f>IF($L25="","",INDEX(Başvuru!$I:$I,$L25))</f>
        <v/>
      </c>
      <c r="H25" s="184" t="str">
        <f>IF($L25="","",INDEX(Başvuru!$J:$J,$L25))</f>
        <v/>
      </c>
      <c r="I25" s="184" t="str">
        <f>IF($L25="","",INDEX(Başvuru!$K:$K,$L25))</f>
        <v/>
      </c>
      <c r="J25" s="184" t="str">
        <f>IF($L25="","",IF(INDEX(Başvuru!$P:$P,$L25)=0,"BEKLİYOR",INDEX(Başvuru!$P:$P,$L25)))</f>
        <v/>
      </c>
      <c r="L25" t="str">
        <f>IFERROR(MATCH($C$5&amp;"§"&amp;(ROW()-ROW($B$8)),Başvuru!$V:$V,0),"")</f>
        <v/>
      </c>
      <c r="N25" t="str">
        <f>IFERROR(INDEX(Başvuru!$C:$C,MATCH(17,Başvuru!$X:$X,0)),"")</f>
        <v>Doç. Dr. Ahmet GÜDELOĞLU</v>
      </c>
    </row>
    <row r="26" spans="2:14" ht="18" customHeight="1" x14ac:dyDescent="0.25">
      <c r="B26" s="187" t="str">
        <f t="shared" si="0"/>
        <v/>
      </c>
      <c r="C26" s="188" t="str">
        <f>IF($L26="","",INDEX(Başvuru!$B:$B,$L26))</f>
        <v/>
      </c>
      <c r="D26" s="188" t="str">
        <f>IF($L26="","",INDEX(Başvuru!$D:$D,$L26))</f>
        <v/>
      </c>
      <c r="E26" s="188" t="str">
        <f>IF($L26="","",INDEX(Başvuru!$F:$F,$L26))</f>
        <v/>
      </c>
      <c r="F26" s="188" t="str">
        <f>IF($L26="","",INDEX(Başvuru!$G:$G,$L26))</f>
        <v/>
      </c>
      <c r="G26" s="190" t="str">
        <f>IF($L26="","",INDEX(Başvuru!$I:$I,$L26))</f>
        <v/>
      </c>
      <c r="H26" s="188" t="str">
        <f>IF($L26="","",INDEX(Başvuru!$J:$J,$L26))</f>
        <v/>
      </c>
      <c r="I26" s="188" t="str">
        <f>IF($L26="","",INDEX(Başvuru!$K:$K,$L26))</f>
        <v/>
      </c>
      <c r="J26" s="188" t="str">
        <f>IF($L26="","",IF(INDEX(Başvuru!$P:$P,$L26)=0,"BEKLİYOR",INDEX(Başvuru!$P:$P,$L26)))</f>
        <v/>
      </c>
      <c r="L26" t="str">
        <f>IFERROR(MATCH($C$5&amp;"§"&amp;(ROW()-ROW($B$8)),Başvuru!$V:$V,0),"")</f>
        <v/>
      </c>
      <c r="N26" t="str">
        <f>IFERROR(INDEX(Başvuru!$C:$C,MATCH(18,Başvuru!$X:$X,0)),"")</f>
        <v>Doç. Dr. Ahmet KIVRAK</v>
      </c>
    </row>
    <row r="27" spans="2:14" ht="18" customHeight="1" x14ac:dyDescent="0.25">
      <c r="B27" s="183" t="str">
        <f t="shared" si="0"/>
        <v/>
      </c>
      <c r="C27" s="184" t="str">
        <f>IF($L27="","",INDEX(Başvuru!$B:$B,$L27))</f>
        <v/>
      </c>
      <c r="D27" s="184" t="str">
        <f>IF($L27="","",INDEX(Başvuru!$D:$D,$L27))</f>
        <v/>
      </c>
      <c r="E27" s="184" t="str">
        <f>IF($L27="","",INDEX(Başvuru!$F:$F,$L27))</f>
        <v/>
      </c>
      <c r="F27" s="184" t="str">
        <f>IF($L27="","",INDEX(Başvuru!$G:$G,$L27))</f>
        <v/>
      </c>
      <c r="G27" s="186" t="str">
        <f>IF($L27="","",INDEX(Başvuru!$I:$I,$L27))</f>
        <v/>
      </c>
      <c r="H27" s="184" t="str">
        <f>IF($L27="","",INDEX(Başvuru!$J:$J,$L27))</f>
        <v/>
      </c>
      <c r="I27" s="184" t="str">
        <f>IF($L27="","",INDEX(Başvuru!$K:$K,$L27))</f>
        <v/>
      </c>
      <c r="J27" s="184" t="str">
        <f>IF($L27="","",IF(INDEX(Başvuru!$P:$P,$L27)=0,"BEKLİYOR",INDEX(Başvuru!$P:$P,$L27)))</f>
        <v/>
      </c>
      <c r="L27" t="str">
        <f>IFERROR(MATCH($C$5&amp;"§"&amp;(ROW()-ROW($B$8)),Başvuru!$V:$V,0),"")</f>
        <v/>
      </c>
      <c r="N27" t="str">
        <f>IFERROR(INDEX(Başvuru!$C:$C,MATCH(19,Başvuru!$X:$X,0)),"")</f>
        <v>Doç. Dr. Almıla Gülsün PAMUK</v>
      </c>
    </row>
    <row r="28" spans="2:14" ht="18" customHeight="1" x14ac:dyDescent="0.25">
      <c r="B28" s="187" t="str">
        <f t="shared" si="0"/>
        <v/>
      </c>
      <c r="C28" s="188" t="str">
        <f>IF($L28="","",INDEX(Başvuru!$B:$B,$L28))</f>
        <v/>
      </c>
      <c r="D28" s="188" t="str">
        <f>IF($L28="","",INDEX(Başvuru!$D:$D,$L28))</f>
        <v/>
      </c>
      <c r="E28" s="188" t="str">
        <f>IF($L28="","",INDEX(Başvuru!$F:$F,$L28))</f>
        <v/>
      </c>
      <c r="F28" s="188" t="str">
        <f>IF($L28="","",INDEX(Başvuru!$G:$G,$L28))</f>
        <v/>
      </c>
      <c r="G28" s="190" t="str">
        <f>IF($L28="","",INDEX(Başvuru!$I:$I,$L28))</f>
        <v/>
      </c>
      <c r="H28" s="188" t="str">
        <f>IF($L28="","",INDEX(Başvuru!$J:$J,$L28))</f>
        <v/>
      </c>
      <c r="I28" s="188" t="str">
        <f>IF($L28="","",INDEX(Başvuru!$K:$K,$L28))</f>
        <v/>
      </c>
      <c r="J28" s="188" t="str">
        <f>IF($L28="","",IF(INDEX(Başvuru!$P:$P,$L28)=0,"BEKLİYOR",INDEX(Başvuru!$P:$P,$L28)))</f>
        <v/>
      </c>
      <c r="L28" t="str">
        <f>IFERROR(MATCH($C$5&amp;"§"&amp;(ROW()-ROW($B$8)),Başvuru!$V:$V,0),"")</f>
        <v/>
      </c>
      <c r="N28" t="str">
        <f>IFERROR(INDEX(Başvuru!$C:$C,MATCH(20,Başvuru!$X:$X,0)),"")</f>
        <v>Doç. Dr. Aslıhan AYKARA</v>
      </c>
    </row>
    <row r="29" spans="2:14" ht="18" customHeight="1" x14ac:dyDescent="0.25">
      <c r="B29" s="183" t="str">
        <f t="shared" si="0"/>
        <v/>
      </c>
      <c r="C29" s="184" t="str">
        <f>IF($L29="","",INDEX(Başvuru!$B:$B,$L29))</f>
        <v/>
      </c>
      <c r="D29" s="184" t="str">
        <f>IF($L29="","",INDEX(Başvuru!$D:$D,$L29))</f>
        <v/>
      </c>
      <c r="E29" s="184" t="str">
        <f>IF($L29="","",INDEX(Başvuru!$F:$F,$L29))</f>
        <v/>
      </c>
      <c r="F29" s="184" t="str">
        <f>IF($L29="","",INDEX(Başvuru!$G:$G,$L29))</f>
        <v/>
      </c>
      <c r="G29" s="186" t="str">
        <f>IF($L29="","",INDEX(Başvuru!$I:$I,$L29))</f>
        <v/>
      </c>
      <c r="H29" s="184" t="str">
        <f>IF($L29="","",INDEX(Başvuru!$J:$J,$L29))</f>
        <v/>
      </c>
      <c r="I29" s="184" t="str">
        <f>IF($L29="","",INDEX(Başvuru!$K:$K,$L29))</f>
        <v/>
      </c>
      <c r="J29" s="184" t="str">
        <f>IF($L29="","",IF(INDEX(Başvuru!$P:$P,$L29)=0,"BEKLİYOR",INDEX(Başvuru!$P:$P,$L29)))</f>
        <v/>
      </c>
      <c r="L29" t="str">
        <f>IFERROR(MATCH($C$5&amp;"§"&amp;(ROW()-ROW($B$8)),Başvuru!$V:$V,0),"")</f>
        <v/>
      </c>
      <c r="N29" t="str">
        <f>IFERROR(INDEX(Başvuru!$C:$C,MATCH(21,Başvuru!$X:$X,0)),"")</f>
        <v>Doç. Dr. Ayhan EYMİRLİ</v>
      </c>
    </row>
    <row r="30" spans="2:14" ht="18" customHeight="1" x14ac:dyDescent="0.25">
      <c r="B30" s="187" t="str">
        <f t="shared" si="0"/>
        <v/>
      </c>
      <c r="C30" s="188" t="str">
        <f>IF($L30="","",INDEX(Başvuru!$B:$B,$L30))</f>
        <v/>
      </c>
      <c r="D30" s="188" t="str">
        <f>IF($L30="","",INDEX(Başvuru!$D:$D,$L30))</f>
        <v/>
      </c>
      <c r="E30" s="188" t="str">
        <f>IF($L30="","",INDEX(Başvuru!$F:$F,$L30))</f>
        <v/>
      </c>
      <c r="F30" s="188" t="str">
        <f>IF($L30="","",INDEX(Başvuru!$G:$G,$L30))</f>
        <v/>
      </c>
      <c r="G30" s="190" t="str">
        <f>IF($L30="","",INDEX(Başvuru!$I:$I,$L30))</f>
        <v/>
      </c>
      <c r="H30" s="188" t="str">
        <f>IF($L30="","",INDEX(Başvuru!$J:$J,$L30))</f>
        <v/>
      </c>
      <c r="I30" s="188" t="str">
        <f>IF($L30="","",INDEX(Başvuru!$K:$K,$L30))</f>
        <v/>
      </c>
      <c r="J30" s="188" t="str">
        <f>IF($L30="","",IF(INDEX(Başvuru!$P:$P,$L30)=0,"BEKLİYOR",INDEX(Başvuru!$P:$P,$L30)))</f>
        <v/>
      </c>
      <c r="L30" t="str">
        <f>IFERROR(MATCH($C$5&amp;"§"&amp;(ROW()-ROW($B$8)),Başvuru!$V:$V,0),"")</f>
        <v/>
      </c>
      <c r="N30" t="str">
        <f>IFERROR(INDEX(Başvuru!$C:$C,MATCH(22,Başvuru!$X:$X,0)),"")</f>
        <v>Doç. Dr. Ayşe Bikem KARGI</v>
      </c>
    </row>
    <row r="31" spans="2:14" ht="18" customHeight="1" x14ac:dyDescent="0.25">
      <c r="B31" s="183" t="str">
        <f t="shared" si="0"/>
        <v/>
      </c>
      <c r="C31" s="184" t="str">
        <f>IF($L31="","",INDEX(Başvuru!$B:$B,$L31))</f>
        <v/>
      </c>
      <c r="D31" s="184" t="str">
        <f>IF($L31="","",INDEX(Başvuru!$D:$D,$L31))</f>
        <v/>
      </c>
      <c r="E31" s="184" t="str">
        <f>IF($L31="","",INDEX(Başvuru!$F:$F,$L31))</f>
        <v/>
      </c>
      <c r="F31" s="184" t="str">
        <f>IF($L31="","",INDEX(Başvuru!$G:$G,$L31))</f>
        <v/>
      </c>
      <c r="G31" s="186" t="str">
        <f>IF($L31="","",INDEX(Başvuru!$I:$I,$L31))</f>
        <v/>
      </c>
      <c r="H31" s="184" t="str">
        <f>IF($L31="","",INDEX(Başvuru!$J:$J,$L31))</f>
        <v/>
      </c>
      <c r="I31" s="184" t="str">
        <f>IF($L31="","",INDEX(Başvuru!$K:$K,$L31))</f>
        <v/>
      </c>
      <c r="J31" s="184" t="str">
        <f>IF($L31="","",IF(INDEX(Başvuru!$P:$P,$L31)=0,"BEKLİYOR",INDEX(Başvuru!$P:$P,$L31)))</f>
        <v/>
      </c>
      <c r="L31" t="str">
        <f>IFERROR(MATCH($C$5&amp;"§"&amp;(ROW()-ROW($B$8)),Başvuru!$V:$V,0),"")</f>
        <v/>
      </c>
      <c r="N31" t="str">
        <f>IFERROR(INDEX(Başvuru!$C:$C,MATCH(23,Başvuru!$X:$X,0)),"")</f>
        <v>Doç. Dr. Barış SEZER</v>
      </c>
    </row>
    <row r="32" spans="2:14" ht="18" customHeight="1" x14ac:dyDescent="0.25">
      <c r="B32" s="187" t="str">
        <f t="shared" si="0"/>
        <v/>
      </c>
      <c r="C32" s="188" t="str">
        <f>IF($L32="","",INDEX(Başvuru!$B:$B,$L32))</f>
        <v/>
      </c>
      <c r="D32" s="188" t="str">
        <f>IF($L32="","",INDEX(Başvuru!$D:$D,$L32))</f>
        <v/>
      </c>
      <c r="E32" s="188" t="str">
        <f>IF($L32="","",INDEX(Başvuru!$F:$F,$L32))</f>
        <v/>
      </c>
      <c r="F32" s="188" t="str">
        <f>IF($L32="","",INDEX(Başvuru!$G:$G,$L32))</f>
        <v/>
      </c>
      <c r="G32" s="190" t="str">
        <f>IF($L32="","",INDEX(Başvuru!$I:$I,$L32))</f>
        <v/>
      </c>
      <c r="H32" s="188" t="str">
        <f>IF($L32="","",INDEX(Başvuru!$J:$J,$L32))</f>
        <v/>
      </c>
      <c r="I32" s="188" t="str">
        <f>IF($L32="","",INDEX(Başvuru!$K:$K,$L32))</f>
        <v/>
      </c>
      <c r="J32" s="188" t="str">
        <f>IF($L32="","",IF(INDEX(Başvuru!$P:$P,$L32)=0,"BEKLİYOR",INDEX(Başvuru!$P:$P,$L32)))</f>
        <v/>
      </c>
      <c r="L32" t="str">
        <f>IFERROR(MATCH($C$5&amp;"§"&amp;(ROW()-ROW($B$8)),Başvuru!$V:$V,0),"")</f>
        <v/>
      </c>
      <c r="N32" t="str">
        <f>IFERROR(INDEX(Başvuru!$C:$C,MATCH(24,Başvuru!$X:$X,0)),"")</f>
        <v>Doç. Dr. Basri GÜLBAKAN</v>
      </c>
    </row>
    <row r="33" spans="2:14" ht="18" customHeight="1" x14ac:dyDescent="0.25">
      <c r="B33" s="183" t="str">
        <f t="shared" si="0"/>
        <v/>
      </c>
      <c r="C33" s="184" t="str">
        <f>IF($L33="","",INDEX(Başvuru!$B:$B,$L33))</f>
        <v/>
      </c>
      <c r="D33" s="184" t="str">
        <f>IF($L33="","",INDEX(Başvuru!$D:$D,$L33))</f>
        <v/>
      </c>
      <c r="E33" s="184" t="str">
        <f>IF($L33="","",INDEX(Başvuru!$F:$F,$L33))</f>
        <v/>
      </c>
      <c r="F33" s="184" t="str">
        <f>IF($L33="","",INDEX(Başvuru!$G:$G,$L33))</f>
        <v/>
      </c>
      <c r="G33" s="186" t="str">
        <f>IF($L33="","",INDEX(Başvuru!$I:$I,$L33))</f>
        <v/>
      </c>
      <c r="H33" s="184" t="str">
        <f>IF($L33="","",INDEX(Başvuru!$J:$J,$L33))</f>
        <v/>
      </c>
      <c r="I33" s="184" t="str">
        <f>IF($L33="","",INDEX(Başvuru!$K:$K,$L33))</f>
        <v/>
      </c>
      <c r="J33" s="184" t="str">
        <f>IF($L33="","",IF(INDEX(Başvuru!$P:$P,$L33)=0,"BEKLİYOR",INDEX(Başvuru!$P:$P,$L33)))</f>
        <v/>
      </c>
      <c r="L33" t="str">
        <f>IFERROR(MATCH($C$5&amp;"§"&amp;(ROW()-ROW($B$8)),Başvuru!$V:$V,0),"")</f>
        <v/>
      </c>
      <c r="N33" t="str">
        <f>IFERROR(INDEX(Başvuru!$C:$C,MATCH(25,Başvuru!$X:$X,0)),"")</f>
        <v>Doç. Dr. Başak AKÇA</v>
      </c>
    </row>
    <row r="34" spans="2:14" ht="18" customHeight="1" x14ac:dyDescent="0.25">
      <c r="B34" s="187" t="str">
        <f t="shared" si="0"/>
        <v/>
      </c>
      <c r="C34" s="188" t="str">
        <f>IF($L34="","",INDEX(Başvuru!$B:$B,$L34))</f>
        <v/>
      </c>
      <c r="D34" s="188" t="str">
        <f>IF($L34="","",INDEX(Başvuru!$D:$D,$L34))</f>
        <v/>
      </c>
      <c r="E34" s="188" t="str">
        <f>IF($L34="","",INDEX(Başvuru!$F:$F,$L34))</f>
        <v/>
      </c>
      <c r="F34" s="188" t="str">
        <f>IF($L34="","",INDEX(Başvuru!$G:$G,$L34))</f>
        <v/>
      </c>
      <c r="G34" s="190" t="str">
        <f>IF($L34="","",INDEX(Başvuru!$I:$I,$L34))</f>
        <v/>
      </c>
      <c r="H34" s="188" t="str">
        <f>IF($L34="","",INDEX(Başvuru!$J:$J,$L34))</f>
        <v/>
      </c>
      <c r="I34" s="188" t="str">
        <f>IF($L34="","",INDEX(Başvuru!$K:$K,$L34))</f>
        <v/>
      </c>
      <c r="J34" s="188" t="str">
        <f>IF($L34="","",IF(INDEX(Başvuru!$P:$P,$L34)=0,"BEKLİYOR",INDEX(Başvuru!$P:$P,$L34)))</f>
        <v/>
      </c>
      <c r="L34" t="str">
        <f>IFERROR(MATCH($C$5&amp;"§"&amp;(ROW()-ROW($B$8)),Başvuru!$V:$V,0),"")</f>
        <v/>
      </c>
      <c r="N34" t="str">
        <f>IFERROR(INDEX(Başvuru!$C:$C,MATCH(26,Başvuru!$X:$X,0)),"")</f>
        <v>Doç. Dr. Başak YALICI ARMAĞAN</v>
      </c>
    </row>
    <row r="35" spans="2:14" ht="18" customHeight="1" x14ac:dyDescent="0.25">
      <c r="B35" s="183" t="str">
        <f t="shared" si="0"/>
        <v/>
      </c>
      <c r="C35" s="184" t="str">
        <f>IF($L35="","",INDEX(Başvuru!$B:$B,$L35))</f>
        <v/>
      </c>
      <c r="D35" s="184" t="str">
        <f>IF($L35="","",INDEX(Başvuru!$D:$D,$L35))</f>
        <v/>
      </c>
      <c r="E35" s="184" t="str">
        <f>IF($L35="","",INDEX(Başvuru!$F:$F,$L35))</f>
        <v/>
      </c>
      <c r="F35" s="184" t="str">
        <f>IF($L35="","",INDEX(Başvuru!$G:$G,$L35))</f>
        <v/>
      </c>
      <c r="G35" s="186" t="str">
        <f>IF($L35="","",INDEX(Başvuru!$I:$I,$L35))</f>
        <v/>
      </c>
      <c r="H35" s="184" t="str">
        <f>IF($L35="","",INDEX(Başvuru!$J:$J,$L35))</f>
        <v/>
      </c>
      <c r="I35" s="184" t="str">
        <f>IF($L35="","",INDEX(Başvuru!$K:$K,$L35))</f>
        <v/>
      </c>
      <c r="J35" s="184" t="str">
        <f>IF($L35="","",IF(INDEX(Başvuru!$P:$P,$L35)=0,"BEKLİYOR",INDEX(Başvuru!$P:$P,$L35)))</f>
        <v/>
      </c>
      <c r="L35" t="str">
        <f>IFERROR(MATCH($C$5&amp;"§"&amp;(ROW()-ROW($B$8)),Başvuru!$V:$V,0),"")</f>
        <v/>
      </c>
      <c r="N35" t="str">
        <f>IFERROR(INDEX(Başvuru!$C:$C,MATCH(27,Başvuru!$X:$X,0)),"")</f>
        <v>Doç. Dr. Bengisu AKARSU GÜVEN</v>
      </c>
    </row>
    <row r="36" spans="2:14" ht="18" customHeight="1" x14ac:dyDescent="0.25">
      <c r="B36" s="187" t="str">
        <f t="shared" si="0"/>
        <v/>
      </c>
      <c r="C36" s="188" t="str">
        <f>IF($L36="","",INDEX(Başvuru!$B:$B,$L36))</f>
        <v/>
      </c>
      <c r="D36" s="188" t="str">
        <f>IF($L36="","",INDEX(Başvuru!$D:$D,$L36))</f>
        <v/>
      </c>
      <c r="E36" s="188" t="str">
        <f>IF($L36="","",INDEX(Başvuru!$F:$F,$L36))</f>
        <v/>
      </c>
      <c r="F36" s="188" t="str">
        <f>IF($L36="","",INDEX(Başvuru!$G:$G,$L36))</f>
        <v/>
      </c>
      <c r="G36" s="190" t="str">
        <f>IF($L36="","",INDEX(Başvuru!$I:$I,$L36))</f>
        <v/>
      </c>
      <c r="H36" s="188" t="str">
        <f>IF($L36="","",INDEX(Başvuru!$J:$J,$L36))</f>
        <v/>
      </c>
      <c r="I36" s="188" t="str">
        <f>IF($L36="","",INDEX(Başvuru!$K:$K,$L36))</f>
        <v/>
      </c>
      <c r="J36" s="188" t="str">
        <f>IF($L36="","",IF(INDEX(Başvuru!$P:$P,$L36)=0,"BEKLİYOR",INDEX(Başvuru!$P:$P,$L36)))</f>
        <v/>
      </c>
      <c r="L36" t="str">
        <f>IFERROR(MATCH($C$5&amp;"§"&amp;(ROW()-ROW($B$8)),Başvuru!$V:$V,0),"")</f>
        <v/>
      </c>
      <c r="N36" t="str">
        <f>IFERROR(INDEX(Başvuru!$C:$C,MATCH(28,Başvuru!$X:$X,0)),"")</f>
        <v>Doç. Dr. Burak ARDIÇLI</v>
      </c>
    </row>
    <row r="37" spans="2:14" ht="18" customHeight="1" x14ac:dyDescent="0.25">
      <c r="B37" s="183" t="str">
        <f t="shared" si="0"/>
        <v/>
      </c>
      <c r="C37" s="184" t="str">
        <f>IF($L37="","",INDEX(Başvuru!$B:$B,$L37))</f>
        <v/>
      </c>
      <c r="D37" s="184" t="str">
        <f>IF($L37="","",INDEX(Başvuru!$D:$D,$L37))</f>
        <v/>
      </c>
      <c r="E37" s="184" t="str">
        <f>IF($L37="","",INDEX(Başvuru!$F:$F,$L37))</f>
        <v/>
      </c>
      <c r="F37" s="184" t="str">
        <f>IF($L37="","",INDEX(Başvuru!$G:$G,$L37))</f>
        <v/>
      </c>
      <c r="G37" s="186" t="str">
        <f>IF($L37="","",INDEX(Başvuru!$I:$I,$L37))</f>
        <v/>
      </c>
      <c r="H37" s="184" t="str">
        <f>IF($L37="","",INDEX(Başvuru!$J:$J,$L37))</f>
        <v/>
      </c>
      <c r="I37" s="184" t="str">
        <f>IF($L37="","",INDEX(Başvuru!$K:$K,$L37))</f>
        <v/>
      </c>
      <c r="J37" s="184" t="str">
        <f>IF($L37="","",IF(INDEX(Başvuru!$P:$P,$L37)=0,"BEKLİYOR",INDEX(Başvuru!$P:$P,$L37)))</f>
        <v/>
      </c>
      <c r="L37" t="str">
        <f>IFERROR(MATCH($C$5&amp;"§"&amp;(ROW()-ROW($B$8)),Başvuru!$V:$V,0),"")</f>
        <v/>
      </c>
      <c r="N37" t="str">
        <f>IFERROR(INDEX(Başvuru!$C:$C,MATCH(29,Başvuru!$X:$X,0)),"")</f>
        <v>Doç. Dr. Burcu ERSÖZ ALAN</v>
      </c>
    </row>
    <row r="38" spans="2:14" ht="18" customHeight="1" x14ac:dyDescent="0.25">
      <c r="B38" s="187" t="str">
        <f t="shared" si="0"/>
        <v/>
      </c>
      <c r="C38" s="188" t="str">
        <f>IF($L38="","",INDEX(Başvuru!$B:$B,$L38))</f>
        <v/>
      </c>
      <c r="D38" s="188" t="str">
        <f>IF($L38="","",INDEX(Başvuru!$D:$D,$L38))</f>
        <v/>
      </c>
      <c r="E38" s="188" t="str">
        <f>IF($L38="","",INDEX(Başvuru!$F:$F,$L38))</f>
        <v/>
      </c>
      <c r="F38" s="188" t="str">
        <f>IF($L38="","",INDEX(Başvuru!$G:$G,$L38))</f>
        <v/>
      </c>
      <c r="G38" s="190" t="str">
        <f>IF($L38="","",INDEX(Başvuru!$I:$I,$L38))</f>
        <v/>
      </c>
      <c r="H38" s="188" t="str">
        <f>IF($L38="","",INDEX(Başvuru!$J:$J,$L38))</f>
        <v/>
      </c>
      <c r="I38" s="188" t="str">
        <f>IF($L38="","",INDEX(Başvuru!$K:$K,$L38))</f>
        <v/>
      </c>
      <c r="J38" s="188" t="str">
        <f>IF($L38="","",IF(INDEX(Başvuru!$P:$P,$L38)=0,"BEKLİYOR",INDEX(Başvuru!$P:$P,$L38)))</f>
        <v/>
      </c>
      <c r="L38" t="str">
        <f>IFERROR(MATCH($C$5&amp;"§"&amp;(ROW()-ROW($B$8)),Başvuru!$V:$V,0),"")</f>
        <v/>
      </c>
      <c r="N38" t="str">
        <f>IFERROR(INDEX(Başvuru!$C:$C,MATCH(30,Başvuru!$X:$X,0)),"")</f>
        <v>Doç. Dr. Burcu HATİBOĞLU</v>
      </c>
    </row>
    <row r="39" spans="2:14" ht="15" customHeight="1" x14ac:dyDescent="0.25">
      <c r="B39" s="228" t="s">
        <v>4565</v>
      </c>
      <c r="C39" s="228"/>
      <c r="D39" s="228"/>
      <c r="E39" s="228"/>
      <c r="F39" s="228"/>
      <c r="G39" s="228"/>
      <c r="H39" s="228"/>
      <c r="I39" s="228"/>
      <c r="J39" s="228"/>
      <c r="N39" t="str">
        <f>IFERROR(INDEX(Başvuru!$C:$C,MATCH(31,Başvuru!$X:$X,0)),"")</f>
        <v>Doç. Dr. Cafer BALCI</v>
      </c>
    </row>
    <row r="40" spans="2:14" ht="15" customHeight="1" x14ac:dyDescent="0.25">
      <c r="N40" t="str">
        <f>IFERROR(INDEX(Başvuru!$C:$C,MATCH(32,Başvuru!$X:$X,0)),"")</f>
        <v>Doç. Dr. Cansu ÖZŞİN ÖZLER</v>
      </c>
    </row>
    <row r="41" spans="2:14" ht="15" customHeight="1" x14ac:dyDescent="0.25">
      <c r="N41" t="str">
        <f>IFERROR(INDEX(Başvuru!$C:$C,MATCH(33,Başvuru!$X:$X,0)),"")</f>
        <v>Doç. Dr. Cem ÇÖTELİ</v>
      </c>
    </row>
    <row r="42" spans="2:14" ht="15" customHeight="1" x14ac:dyDescent="0.25">
      <c r="N42" t="str">
        <f>IFERROR(INDEX(Başvuru!$C:$C,MATCH(34,Başvuru!$X:$X,0)),"")</f>
        <v>Doç. Dr. Cem ŞİMŞEK</v>
      </c>
    </row>
    <row r="43" spans="2:14" ht="15" customHeight="1" x14ac:dyDescent="0.25">
      <c r="N43" t="str">
        <f>IFERROR(INDEX(Başvuru!$C:$C,MATCH(35,Başvuru!$X:$X,0)),"")</f>
        <v>Doç. Dr. Ceren GÜNBEY</v>
      </c>
    </row>
    <row r="44" spans="2:14" ht="15" customHeight="1" x14ac:dyDescent="0.25">
      <c r="N44" t="str">
        <f>IFERROR(INDEX(Başvuru!$C:$C,MATCH(36,Başvuru!$X:$X,0)),"")</f>
        <v>Doç. Dr. Ceren GÜNENÇ BEŞER</v>
      </c>
    </row>
    <row r="45" spans="2:14" ht="15" customHeight="1" x14ac:dyDescent="0.25">
      <c r="N45" t="str">
        <f>IFERROR(INDEX(Başvuru!$C:$C,MATCH(37,Başvuru!$X:$X,0)),"")</f>
        <v>Doç. Dr. Ceren ÖZKUL KOÇAK</v>
      </c>
    </row>
    <row r="46" spans="2:14" ht="15" customHeight="1" x14ac:dyDescent="0.25">
      <c r="N46" t="str">
        <f>IFERROR(INDEX(Başvuru!$C:$C,MATCH(38,Başvuru!$X:$X,0)),"")</f>
        <v>Doç. Dr. Derman BAŞARAN</v>
      </c>
    </row>
    <row r="47" spans="2:14" ht="15" customHeight="1" x14ac:dyDescent="0.25">
      <c r="N47" t="str">
        <f>IFERROR(INDEX(Başvuru!$C:$C,MATCH(39,Başvuru!$X:$X,0)),"")</f>
        <v>Doç. Dr. Derya DENİZ SUNGUR</v>
      </c>
    </row>
    <row r="48" spans="2:14" ht="15" customHeight="1" x14ac:dyDescent="0.25">
      <c r="N48" t="str">
        <f>IFERROR(INDEX(Başvuru!$C:$C,MATCH(40,Başvuru!$X:$X,0)),"")</f>
        <v>Doç. Dr. Dilek ÜNAL</v>
      </c>
    </row>
    <row r="49" spans="14:14" ht="15" customHeight="1" x14ac:dyDescent="0.25">
      <c r="N49" t="str">
        <f>IFERROR(INDEX(Başvuru!$C:$C,MATCH(41,Başvuru!$X:$X,0)),"")</f>
        <v>Doç. Dr. Duygu AYHAN BAŞER</v>
      </c>
    </row>
    <row r="50" spans="14:14" ht="15" customHeight="1" x14ac:dyDescent="0.25">
      <c r="N50" t="str">
        <f>IFERROR(INDEX(Başvuru!$C:$C,MATCH(42,Başvuru!$X:$X,0)),"")</f>
        <v>Doç. Dr. Duygu GÜLSEREN</v>
      </c>
    </row>
    <row r="51" spans="14:14" ht="15" customHeight="1" x14ac:dyDescent="0.25">
      <c r="N51" t="str">
        <f>IFERROR(INDEX(Başvuru!$C:$C,MATCH(43,Başvuru!$X:$X,0)),"")</f>
        <v>Doç. Dr. Eda Didem KURT ŞÜKÜR</v>
      </c>
    </row>
    <row r="52" spans="14:14" ht="15" customHeight="1" x14ac:dyDescent="0.25">
      <c r="N52" t="str">
        <f>IFERROR(INDEX(Başvuru!$C:$C,MATCH(44,Başvuru!$X:$X,0)),"")</f>
        <v>Doç. Dr. Eda Ezgi ASLANTAŞ</v>
      </c>
    </row>
    <row r="53" spans="14:14" ht="15" customHeight="1" x14ac:dyDescent="0.25">
      <c r="N53" t="str">
        <f>IFERROR(INDEX(Başvuru!$C:$C,MATCH(45,Başvuru!$X:$X,0)),"")</f>
        <v>Doç. Dr. Ekim GÜMELER</v>
      </c>
    </row>
    <row r="54" spans="14:14" ht="15" customHeight="1" x14ac:dyDescent="0.25">
      <c r="N54" t="str">
        <f>IFERROR(INDEX(Başvuru!$C:$C,MATCH(46,Başvuru!$X:$X,0)),"")</f>
        <v>Doç. Dr. Elif Günay BULUT</v>
      </c>
    </row>
    <row r="55" spans="14:14" ht="15" customHeight="1" x14ac:dyDescent="0.25">
      <c r="N55" t="str">
        <f>IFERROR(INDEX(Başvuru!$C:$C,MATCH(47,Başvuru!$X:$X,0)),"")</f>
        <v>Doç. Dr. Elif SOYAK AYTEKİN</v>
      </c>
    </row>
    <row r="56" spans="14:14" ht="15" customHeight="1" x14ac:dyDescent="0.25">
      <c r="N56" t="str">
        <f>IFERROR(INDEX(Başvuru!$C:$C,MATCH(48,Başvuru!$X:$X,0)),"")</f>
        <v>Doç. Dr. Emel ISIYEL</v>
      </c>
    </row>
    <row r="57" spans="14:14" ht="15" customHeight="1" x14ac:dyDescent="0.25">
      <c r="N57" t="str">
        <f>IFERROR(INDEX(Başvuru!$C:$C,MATCH(49,Başvuru!$X:$X,0)),"")</f>
        <v>Doç. Dr. Emel Tuğba ATAMAN DURUEL</v>
      </c>
    </row>
    <row r="58" spans="14:14" ht="15" customHeight="1" x14ac:dyDescent="0.25">
      <c r="N58" t="str">
        <f>IFERROR(INDEX(Başvuru!$C:$C,MATCH(50,Başvuru!$X:$X,0)),"")</f>
        <v>Doç. Dr. Erdal SAĞ</v>
      </c>
    </row>
    <row r="59" spans="14:14" ht="15" customHeight="1" x14ac:dyDescent="0.25">
      <c r="N59" t="str">
        <f>IFERROR(INDEX(Başvuru!$C:$C,MATCH(51,Başvuru!$X:$X,0)),"")</f>
        <v>Doç. Dr. Erdem FADILOĞLU</v>
      </c>
    </row>
    <row r="60" spans="14:14" ht="15" customHeight="1" x14ac:dyDescent="0.25">
      <c r="N60" t="str">
        <f>IFERROR(INDEX(Başvuru!$C:$C,MATCH(52,Başvuru!$X:$X,0)),"")</f>
        <v>Doç. Dr. Evren SERTALP</v>
      </c>
    </row>
    <row r="61" spans="14:14" ht="15" customHeight="1" x14ac:dyDescent="0.25">
      <c r="N61" t="str">
        <f>IFERROR(INDEX(Başvuru!$C:$C,MATCH(53,Başvuru!$X:$X,0)),"")</f>
        <v>Doç. Dr. Eylem TOPBAŞ</v>
      </c>
    </row>
    <row r="62" spans="14:14" ht="15" customHeight="1" x14ac:dyDescent="0.25">
      <c r="N62" t="str">
        <f>IFERROR(INDEX(Başvuru!$C:$C,MATCH(54,Başvuru!$X:$X,0)),"")</f>
        <v>Doç. Dr. Ezgi ATİK</v>
      </c>
    </row>
    <row r="63" spans="14:14" ht="15" customHeight="1" x14ac:dyDescent="0.25">
      <c r="N63" t="str">
        <f>IFERROR(INDEX(Başvuru!$C:$C,MATCH(55,Başvuru!$X:$X,0)),"")</f>
        <v>Doç. Dr. Fatima AERTS KAYA</v>
      </c>
    </row>
    <row r="64" spans="14:14" ht="15" customHeight="1" x14ac:dyDescent="0.25">
      <c r="N64" t="str">
        <f>IFERROR(INDEX(Başvuru!$C:$C,MATCH(56,Başvuru!$X:$X,0)),"")</f>
        <v>Doç. Dr. Fatma Gonca ELDEM</v>
      </c>
    </row>
    <row r="65" spans="14:14" ht="15" customHeight="1" x14ac:dyDescent="0.25">
      <c r="N65" t="str">
        <f>IFERROR(INDEX(Başvuru!$C:$C,MATCH(57,Başvuru!$X:$X,0)),"")</f>
        <v>Doç. Dr. Ferdi ÇAY</v>
      </c>
    </row>
    <row r="66" spans="14:14" ht="15" customHeight="1" x14ac:dyDescent="0.25">
      <c r="N66" t="str">
        <f>IFERROR(INDEX(Başvuru!$C:$C,MATCH(58,Başvuru!$X:$X,0)),"")</f>
        <v>Doç. Dr. Galip Gencay ÜSTÜN</v>
      </c>
    </row>
    <row r="67" spans="14:14" ht="15" customHeight="1" x14ac:dyDescent="0.25">
      <c r="N67" t="str">
        <f>IFERROR(INDEX(Başvuru!$C:$C,MATCH(59,Başvuru!$X:$X,0)),"")</f>
        <v>Doç. Dr. Gamze ATAY</v>
      </c>
    </row>
    <row r="68" spans="14:14" ht="15" customHeight="1" x14ac:dyDescent="0.25">
      <c r="N68" t="str">
        <f>IFERROR(INDEX(Başvuru!$C:$C,MATCH(60,Başvuru!$X:$X,0)),"")</f>
        <v>Doç. Dr. Gamze DURHAN</v>
      </c>
    </row>
    <row r="69" spans="14:14" ht="15" customHeight="1" x14ac:dyDescent="0.25">
      <c r="N69" t="str">
        <f>IFERROR(INDEX(Başvuru!$C:$C,MATCH(61,Başvuru!$X:$X,0)),"")</f>
        <v>Doç. Dr. Gölşah KÖK</v>
      </c>
    </row>
    <row r="70" spans="14:14" ht="15" customHeight="1" x14ac:dyDescent="0.25">
      <c r="N70" t="str">
        <f>IFERROR(INDEX(Başvuru!$C:$C,MATCH(62,Başvuru!$X:$X,0)),"")</f>
        <v>Doç. Dr. Gözde HONDUR</v>
      </c>
    </row>
    <row r="71" spans="14:14" ht="15" customHeight="1" x14ac:dyDescent="0.25">
      <c r="N71" t="str">
        <f>IFERROR(INDEX(Başvuru!$C:$C,MATCH(63,Başvuru!$X:$X,0)),"")</f>
        <v>Doç. Dr. Gülçin TELLİ DİZMAN</v>
      </c>
    </row>
    <row r="72" spans="14:14" ht="15" customHeight="1" x14ac:dyDescent="0.25">
      <c r="N72" t="str">
        <f>IFERROR(INDEX(Başvuru!$C:$C,MATCH(64,Başvuru!$X:$X,0)),"")</f>
        <v>Doç. Dr. Hacı Hasan YETER</v>
      </c>
    </row>
    <row r="73" spans="14:14" ht="15" customHeight="1" x14ac:dyDescent="0.25">
      <c r="N73" t="str">
        <f>IFERROR(INDEX(Başvuru!$C:$C,MATCH(65,Başvuru!$X:$X,0)),"")</f>
        <v>Doç. Dr. Halide Özge BAŞARAN</v>
      </c>
    </row>
    <row r="74" spans="14:14" ht="15" customHeight="1" x14ac:dyDescent="0.25">
      <c r="N74" t="str">
        <f>IFERROR(INDEX(Başvuru!$C:$C,MATCH(66,Başvuru!$X:$X,0)),"")</f>
        <v>Doç. Dr. Hande GÖRÜCÜ COŞKUNER</v>
      </c>
    </row>
    <row r="75" spans="14:14" ht="15" customHeight="1" x14ac:dyDescent="0.25">
      <c r="N75" t="str">
        <f>IFERROR(INDEX(Başvuru!$C:$C,MATCH(67,Başvuru!$X:$X,0)),"")</f>
        <v>Doç. Dr. Hayriye HIZARCIOĞLU GÜLŞEN</v>
      </c>
    </row>
    <row r="76" spans="14:14" ht="15" customHeight="1" x14ac:dyDescent="0.25">
      <c r="N76" t="str">
        <f>IFERROR(INDEX(Başvuru!$C:$C,MATCH(68,Başvuru!$X:$X,0)),"")</f>
        <v>Doç. Dr. Hilal AKSOY</v>
      </c>
    </row>
    <row r="77" spans="14:14" ht="15" customHeight="1" x14ac:dyDescent="0.25">
      <c r="N77" t="str">
        <f>IFERROR(INDEX(Başvuru!$C:$C,MATCH(69,Başvuru!$X:$X,0)),"")</f>
        <v>Doç. Dr. Hilal KORKMAZ</v>
      </c>
    </row>
    <row r="78" spans="14:14" ht="15" customHeight="1" x14ac:dyDescent="0.25">
      <c r="N78" t="str">
        <f>IFERROR(INDEX(Başvuru!$C:$C,MATCH(70,Başvuru!$X:$X,0)),"")</f>
        <v>Doç. Dr. İdil Rana USER KILIÇ</v>
      </c>
    </row>
    <row r="79" spans="14:14" ht="15" customHeight="1" x14ac:dyDescent="0.25">
      <c r="N79" t="str">
        <f>IFERROR(INDEX(Başvuru!$C:$C,MATCH(71,Başvuru!$X:$X,0)),"")</f>
        <v>Doç. Dr. İlker ERTUĞRUL</v>
      </c>
    </row>
    <row r="80" spans="14:14" ht="15" customHeight="1" x14ac:dyDescent="0.25">
      <c r="N80" t="str">
        <f>IFERROR(INDEX(Başvuru!$C:$C,MATCH(72,Başvuru!$X:$X,0)),"")</f>
        <v>Doç. Dr. İrem KOÇ</v>
      </c>
    </row>
    <row r="81" spans="14:14" ht="15" customHeight="1" x14ac:dyDescent="0.25">
      <c r="N81" t="str">
        <f>IFERROR(INDEX(Başvuru!$C:$C,MATCH(73,Başvuru!$X:$X,0)),"")</f>
        <v>Doç. Dr. İsmail UYANIK</v>
      </c>
    </row>
    <row r="82" spans="14:14" ht="15" customHeight="1" x14ac:dyDescent="0.25">
      <c r="N82" t="str">
        <f>IFERROR(INDEX(Başvuru!$C:$C,MATCH(74,Başvuru!$X:$X,0)),"")</f>
        <v>Doç. Dr. İzzet FİDANCI</v>
      </c>
    </row>
    <row r="83" spans="14:14" ht="15" customHeight="1" x14ac:dyDescent="0.25">
      <c r="N83" t="str">
        <f>IFERROR(INDEX(Başvuru!$C:$C,MATCH(75,Başvuru!$X:$X,0)),"")</f>
        <v>Doç. Dr. Kevser NALBANT</v>
      </c>
    </row>
    <row r="84" spans="14:14" ht="15" customHeight="1" x14ac:dyDescent="0.25">
      <c r="N84" t="str">
        <f>IFERROR(INDEX(Başvuru!$C:$C,MATCH(76,Başvuru!$X:$X,0)),"")</f>
        <v>Doç. Dr. Kısmet ÇIKI</v>
      </c>
    </row>
    <row r="85" spans="14:14" ht="15" customHeight="1" x14ac:dyDescent="0.25">
      <c r="N85" t="str">
        <f>IFERROR(INDEX(Başvuru!$C:$C,MATCH(77,Başvuru!$X:$X,0)),"")</f>
        <v>Doç. Dr. Kübra AYKAÇ</v>
      </c>
    </row>
    <row r="86" spans="14:14" ht="15" customHeight="1" x14ac:dyDescent="0.25">
      <c r="N86" t="str">
        <f>IFERROR(INDEX(Başvuru!$C:$C,MATCH(78,Başvuru!$X:$X,0)),"")</f>
        <v>Doç. Dr. Leman AKCAN YILDIZ</v>
      </c>
    </row>
    <row r="87" spans="14:14" ht="15" customHeight="1" x14ac:dyDescent="0.25">
      <c r="N87" t="str">
        <f>IFERROR(INDEX(Başvuru!$C:$C,MATCH(79,Başvuru!$X:$X,0)),"")</f>
        <v>Doç. Dr. Levent KILIÇ</v>
      </c>
    </row>
    <row r="88" spans="14:14" ht="15" customHeight="1" x14ac:dyDescent="0.25">
      <c r="N88" t="str">
        <f>IFERROR(INDEX(Başvuru!$C:$C,MATCH(80,Başvuru!$X:$X,0)),"")</f>
        <v>Doç. Dr. Melike OCAK</v>
      </c>
    </row>
    <row r="89" spans="14:14" ht="15" customHeight="1" x14ac:dyDescent="0.25">
      <c r="N89" t="str">
        <f>IFERROR(INDEX(Başvuru!$C:$C,MATCH(81,Başvuru!$X:$X,0)),"")</f>
        <v>Doç. Dr. Melis PEHLİVANTÜRK KIZILKAN</v>
      </c>
    </row>
    <row r="90" spans="14:14" ht="15" customHeight="1" x14ac:dyDescent="0.25">
      <c r="N90" t="str">
        <f>IFERROR(INDEX(Başvuru!$C:$C,MATCH(82,Başvuru!$X:$X,0)),"")</f>
        <v>Doç. Dr. Mert EŞME</v>
      </c>
    </row>
    <row r="91" spans="14:14" ht="15" customHeight="1" x14ac:dyDescent="0.25">
      <c r="N91" t="str">
        <f>IFERROR(INDEX(Başvuru!$C:$C,MATCH(83,Başvuru!$X:$X,0)),"")</f>
        <v>Doç. Dr. Mesut ALTAN</v>
      </c>
    </row>
    <row r="92" spans="14:14" ht="15" customHeight="1" x14ac:dyDescent="0.25">
      <c r="N92" t="str">
        <f>IFERROR(INDEX(Başvuru!$C:$C,MATCH(84,Başvuru!$X:$X,0)),"")</f>
        <v>Doç. Dr. Muhammed Bahaddin DURAK</v>
      </c>
    </row>
    <row r="93" spans="14:14" ht="15" customHeight="1" x14ac:dyDescent="0.25">
      <c r="N93" t="str">
        <f>IFERROR(INDEX(Başvuru!$C:$C,MATCH(85,Başvuru!$X:$X,0)),"")</f>
        <v>Doç. Dr. Murat KARA</v>
      </c>
    </row>
    <row r="94" spans="14:14" ht="15" customHeight="1" x14ac:dyDescent="0.25">
      <c r="N94" t="str">
        <f>IFERROR(INDEX(Başvuru!$C:$C,MATCH(86,Başvuru!$X:$X,0)),"")</f>
        <v>Doç. Dr. Nadir YALÇIN</v>
      </c>
    </row>
    <row r="95" spans="14:14" ht="15" customHeight="1" x14ac:dyDescent="0.25">
      <c r="N95" t="str">
        <f>IFERROR(INDEX(Başvuru!$C:$C,MATCH(87,Başvuru!$X:$X,0)),"")</f>
        <v>Doç. Dr. Nagihan KOÇ</v>
      </c>
    </row>
    <row r="96" spans="14:14" ht="15" customHeight="1" x14ac:dyDescent="0.25">
      <c r="N96" t="str">
        <f>IFERROR(INDEX(Başvuru!$C:$C,MATCH(88,Başvuru!$X:$X,0)),"")</f>
        <v>Doç. Dr. Neslihan AKDOĞAN</v>
      </c>
    </row>
    <row r="97" spans="14:14" ht="15" customHeight="1" x14ac:dyDescent="0.25">
      <c r="N97" t="str">
        <f>IFERROR(INDEX(Başvuru!$C:$C,MATCH(89,Başvuru!$X:$X,0)),"")</f>
        <v>Doç. Dr. Nezih AKKAPULU</v>
      </c>
    </row>
    <row r="98" spans="14:14" ht="15" customHeight="1" x14ac:dyDescent="0.25">
      <c r="N98" t="str">
        <f>IFERROR(INDEX(Başvuru!$C:$C,MATCH(90,Başvuru!$X:$X,0)),"")</f>
        <v>Doç. Dr. Nursel AKKAYA</v>
      </c>
    </row>
    <row r="99" spans="14:14" ht="15" customHeight="1" x14ac:dyDescent="0.25">
      <c r="N99" t="str">
        <f>IFERROR(INDEX(Başvuru!$C:$C,MATCH(91,Başvuru!$X:$X,0)),"")</f>
        <v>Doç. Dr. Nursel ÇALIK BAŞARAN</v>
      </c>
    </row>
    <row r="100" spans="14:14" ht="15" customHeight="1" x14ac:dyDescent="0.25">
      <c r="N100" t="str">
        <f>IFERROR(INDEX(Başvuru!$C:$C,MATCH(92,Başvuru!$X:$X,0)),"")</f>
        <v>Doç. Dr. Oğuz Abdullah UYAROĞLU</v>
      </c>
    </row>
    <row r="101" spans="14:14" ht="15" customHeight="1" x14ac:dyDescent="0.25">
      <c r="N101" t="str">
        <f>IFERROR(INDEX(Başvuru!$C:$C,MATCH(93,Başvuru!$X:$X,0)),"")</f>
        <v>Doç. Dr. Oytun PORTAKAL AKÇİN</v>
      </c>
    </row>
    <row r="102" spans="14:14" ht="15" customHeight="1" x14ac:dyDescent="0.25">
      <c r="N102" t="str">
        <f>IFERROR(INDEX(Başvuru!$C:$C,MATCH(94,Başvuru!$X:$X,0)),"")</f>
        <v>Doç. Dr. Özlem DİKMETAŞ SANDIKÇI</v>
      </c>
    </row>
    <row r="103" spans="14:14" ht="15" customHeight="1" x14ac:dyDescent="0.25">
      <c r="N103" t="str">
        <f>IFERROR(INDEX(Başvuru!$C:$C,MATCH(95,Başvuru!$X:$X,0)),"")</f>
        <v>Doç. Dr. Rahşan GÖÇMEN</v>
      </c>
    </row>
    <row r="104" spans="14:14" ht="15" customHeight="1" x14ac:dyDescent="0.25">
      <c r="N104" t="str">
        <f>IFERROR(INDEX(Başvuru!$C:$C,MATCH(96,Başvuru!$X:$X,0)),"")</f>
        <v>Doç. Dr. Saliha ESENBOĞA</v>
      </c>
    </row>
    <row r="105" spans="14:14" ht="15" customHeight="1" x14ac:dyDescent="0.25">
      <c r="N105" t="str">
        <f>IFERROR(INDEX(Başvuru!$C:$C,MATCH(97,Başvuru!$X:$X,0)),"")</f>
        <v>Doç. Dr. Seda Hanife OĞUZ BAYKAL</v>
      </c>
    </row>
    <row r="106" spans="14:14" ht="15" customHeight="1" x14ac:dyDescent="0.25">
      <c r="N106" t="str">
        <f>IFERROR(INDEX(Başvuru!$C:$C,MATCH(98,Başvuru!$X:$X,0)),"")</f>
        <v>Doç. Dr. Serra ÖRSTEN</v>
      </c>
    </row>
    <row r="107" spans="14:14" ht="15" customHeight="1" x14ac:dyDescent="0.25">
      <c r="N107" t="str">
        <f>IFERROR(INDEX(Başvuru!$C:$C,MATCH(99,Başvuru!$X:$X,0)),"")</f>
        <v>Doç. Dr. Sevtap ARSLAN SARIKAYA</v>
      </c>
    </row>
    <row r="108" spans="14:14" ht="15" customHeight="1" x14ac:dyDescent="0.25">
      <c r="N108" t="str">
        <f>IFERROR(INDEX(Başvuru!$C:$C,MATCH(100,Başvuru!$X:$X,0)),"")</f>
        <v>Doç. Dr. Songül ÇINAROĞLU</v>
      </c>
    </row>
    <row r="109" spans="14:14" ht="15" customHeight="1" x14ac:dyDescent="0.25">
      <c r="N109" t="str">
        <f>IFERROR(INDEX(Başvuru!$C:$C,MATCH(101,Başvuru!$X:$X,0)),"")</f>
        <v>Doç. Dr. Süleyman Nahit ŞENDUR</v>
      </c>
    </row>
    <row r="110" spans="14:14" ht="15" customHeight="1" x14ac:dyDescent="0.25">
      <c r="N110" t="str">
        <f>IFERROR(INDEX(Başvuru!$C:$C,MATCH(102,Başvuru!$X:$X,0)),"")</f>
        <v>Doç. Dr. Şahin HANALİOĞLU</v>
      </c>
    </row>
    <row r="111" spans="14:14" ht="15" customHeight="1" x14ac:dyDescent="0.25">
      <c r="N111" t="str">
        <f>IFERROR(INDEX(Başvuru!$C:$C,MATCH(103,Başvuru!$X:$X,0)),"")</f>
        <v>Doç. Dr. Şükran Gülin EVİNÇ</v>
      </c>
    </row>
    <row r="112" spans="14:14" ht="15" customHeight="1" x14ac:dyDescent="0.25">
      <c r="N112" t="str">
        <f>IFERROR(INDEX(Başvuru!$C:$C,MATCH(104,Başvuru!$X:$X,0)),"")</f>
        <v>Doç. Dr. Tekin AKSU</v>
      </c>
    </row>
    <row r="113" spans="14:14" ht="15" customHeight="1" x14ac:dyDescent="0.25">
      <c r="N113" t="str">
        <f>IFERROR(INDEX(Başvuru!$C:$C,MATCH(105,Başvuru!$X:$X,0)),"")</f>
        <v>Doç. Dr. Ulaş KUMBASAR</v>
      </c>
    </row>
    <row r="114" spans="14:14" ht="15" customHeight="1" x14ac:dyDescent="0.25">
      <c r="N114" t="str">
        <f>IFERROR(INDEX(Başvuru!$C:$C,MATCH(106,Başvuru!$X:$X,0)),"")</f>
        <v>Doç. Dr. Utku AKGÖR</v>
      </c>
    </row>
    <row r="115" spans="14:14" ht="15" customHeight="1" x14ac:dyDescent="0.25">
      <c r="N115" t="str">
        <f>IFERROR(INDEX(Başvuru!$C:$C,MATCH(107,Başvuru!$X:$X,0)),"")</f>
        <v>Doç. Dr. Ülkühan ÖZTOPRAK</v>
      </c>
    </row>
    <row r="116" spans="14:14" ht="15" customHeight="1" x14ac:dyDescent="0.25">
      <c r="N116" t="str">
        <f>IFERROR(INDEX(Başvuru!$C:$C,MATCH(108,Başvuru!$X:$X,0)),"")</f>
        <v>Doç. Dr. Yasemin GÜZEL</v>
      </c>
    </row>
    <row r="117" spans="14:14" ht="15" customHeight="1" x14ac:dyDescent="0.25">
      <c r="N117" t="str">
        <f>IFERROR(INDEX(Başvuru!$C:$C,MATCH(109,Başvuru!$X:$X,0)),"")</f>
        <v>Doç. Dr. Zeynep TÜZÜN GÜN</v>
      </c>
    </row>
    <row r="118" spans="14:14" ht="15" customHeight="1" x14ac:dyDescent="0.25">
      <c r="N118" t="str">
        <f>IFERROR(INDEX(Başvuru!$C:$C,MATCH(110,Başvuru!$X:$X,0)),"")</f>
        <v>Dr. Natalia RAKİSLOVA</v>
      </c>
    </row>
    <row r="119" spans="14:14" ht="15" customHeight="1" x14ac:dyDescent="0.25">
      <c r="N119" t="str">
        <f>IFERROR(INDEX(Başvuru!$C:$C,MATCH(111,Başvuru!$X:$X,0)),"")</f>
        <v>Dr. Öğr. Gör. Özge ÖZTÜRK AKTAŞ</v>
      </c>
    </row>
    <row r="120" spans="14:14" ht="15" customHeight="1" x14ac:dyDescent="0.25">
      <c r="N120" t="str">
        <f>IFERROR(INDEX(Başvuru!$C:$C,MATCH(112,Başvuru!$X:$X,0)),"")</f>
        <v>Dr. Öğr. Gör. Tuğçe TAŞKINDERE ABBASOĞLU</v>
      </c>
    </row>
    <row r="121" spans="14:14" ht="15" customHeight="1" x14ac:dyDescent="0.25">
      <c r="N121" t="str">
        <f>IFERROR(INDEX(Başvuru!$C:$C,MATCH(113,Başvuru!$X:$X,0)),"")</f>
        <v>Dr. Öğr. Üyesi Ahmet Gürkan ERDEMİR</v>
      </c>
    </row>
    <row r="122" spans="14:14" ht="15" customHeight="1" x14ac:dyDescent="0.25">
      <c r="N122" t="str">
        <f>IFERROR(INDEX(Başvuru!$C:$C,MATCH(114,Başvuru!$X:$X,0)),"")</f>
        <v>Dr. Öğr. Üyesi Ahmet KIVRAK</v>
      </c>
    </row>
    <row r="123" spans="14:14" ht="15" customHeight="1" x14ac:dyDescent="0.25">
      <c r="N123" t="str">
        <f>IFERROR(INDEX(Başvuru!$C:$C,MATCH(115,Başvuru!$X:$X,0)),"")</f>
        <v>Dr. Öğr. Üyesi Arda ÇETİNKAYA</v>
      </c>
    </row>
    <row r="124" spans="14:14" ht="15" customHeight="1" x14ac:dyDescent="0.25">
      <c r="N124" t="str">
        <f>IFERROR(INDEX(Başvuru!$C:$C,MATCH(116,Başvuru!$X:$X,0)),"")</f>
        <v>Dr. Öğr. Üyesi Aslı ALKAN</v>
      </c>
    </row>
    <row r="125" spans="14:14" ht="15" customHeight="1" x14ac:dyDescent="0.25">
      <c r="N125" t="str">
        <f>IFERROR(INDEX(Başvuru!$C:$C,MATCH(117,Başvuru!$X:$X,0)),"")</f>
        <v>Dr. Öğr. Üyesi Aslı Şan DAĞLI GÜL</v>
      </c>
    </row>
    <row r="126" spans="14:14" ht="15" customHeight="1" x14ac:dyDescent="0.25">
      <c r="N126" t="str">
        <f>IFERROR(INDEX(Başvuru!$C:$C,MATCH(118,Başvuru!$X:$X,0)),"")</f>
        <v>Dr. Öğr. Üyesi Aybüke USLU TEKCE</v>
      </c>
    </row>
    <row r="127" spans="14:14" ht="15" customHeight="1" x14ac:dyDescent="0.25">
      <c r="N127" t="str">
        <f>IFERROR(INDEX(Başvuru!$C:$C,MATCH(119,Başvuru!$X:$X,0)),"")</f>
        <v>Dr. Öğr. Üyesi Aycan UYSAL</v>
      </c>
    </row>
    <row r="128" spans="14:14" ht="15" customHeight="1" x14ac:dyDescent="0.25">
      <c r="N128" t="str">
        <f>IFERROR(INDEX(Başvuru!$C:$C,MATCH(120,Başvuru!$X:$X,0)),"")</f>
        <v>Dr. Öğr. Üyesi Aydın Onur GERÇEK</v>
      </c>
    </row>
    <row r="129" spans="14:14" ht="15" customHeight="1" x14ac:dyDescent="0.25">
      <c r="N129" t="str">
        <f>IFERROR(INDEX(Başvuru!$C:$C,MATCH(121,Başvuru!$X:$X,0)),"")</f>
        <v>Dr. Öğr. Üyesi Ayşe METE YEŞİL</v>
      </c>
    </row>
    <row r="130" spans="14:14" ht="15" customHeight="1" x14ac:dyDescent="0.25">
      <c r="N130" t="str">
        <f>IFERROR(INDEX(Başvuru!$C:$C,MATCH(122,Başvuru!$X:$X,0)),"")</f>
        <v>Dr. Öğr. Üyesi Barış KAFA</v>
      </c>
    </row>
    <row r="131" spans="14:14" ht="15" customHeight="1" x14ac:dyDescent="0.25">
      <c r="N131" t="str">
        <f>IFERROR(INDEX(Başvuru!$C:$C,MATCH(123,Başvuru!$X:$X,0)),"")</f>
        <v>Dr. Öğr. Üyesi Bekir ERDEVE</v>
      </c>
    </row>
    <row r="132" spans="14:14" ht="15" customHeight="1" x14ac:dyDescent="0.25">
      <c r="N132" t="str">
        <f>IFERROR(INDEX(Başvuru!$C:$C,MATCH(124,Başvuru!$X:$X,0)),"")</f>
        <v>Dr. Öğr. Üyesi Bengi ÖZTÜRK</v>
      </c>
    </row>
    <row r="133" spans="14:14" ht="15" customHeight="1" x14ac:dyDescent="0.25">
      <c r="N133" t="str">
        <f>IFERROR(INDEX(Başvuru!$C:$C,MATCH(125,Başvuru!$X:$X,0)),"")</f>
        <v>Dr. Öğr. Üyesi Burcu KELLECİ ÇAKIR</v>
      </c>
    </row>
    <row r="134" spans="14:14" ht="15" customHeight="1" x14ac:dyDescent="0.25">
      <c r="N134" t="str">
        <f>IFERROR(INDEX(Başvuru!$C:$C,MATCH(126,Başvuru!$X:$X,0)),"")</f>
        <v>Dr. Öğr. Üyesi Burçe ATAÇ MOGOL</v>
      </c>
    </row>
    <row r="135" spans="14:14" ht="15" customHeight="1" x14ac:dyDescent="0.25">
      <c r="N135" t="str">
        <f>IFERROR(INDEX(Başvuru!$C:$C,MATCH(127,Başvuru!$X:$X,0)),"")</f>
        <v>Dr. Öğr. Üyesi Burkay UTKU</v>
      </c>
    </row>
    <row r="136" spans="14:14" ht="15" customHeight="1" x14ac:dyDescent="0.25">
      <c r="N136" t="str">
        <f>IFERROR(INDEX(Başvuru!$C:$C,MATCH(128,Başvuru!$X:$X,0)),"")</f>
        <v>Dr. Öğr. Üyesi Cenk Ahmet AKCAN</v>
      </c>
    </row>
    <row r="137" spans="14:14" ht="15" customHeight="1" x14ac:dyDescent="0.25">
      <c r="N137" t="str">
        <f>IFERROR(INDEX(Başvuru!$C:$C,MATCH(129,Başvuru!$X:$X,0)),"")</f>
        <v>Dr. Öğr. Üyesi Ece ÖZOĞUL</v>
      </c>
    </row>
    <row r="138" spans="14:14" ht="15" customHeight="1" x14ac:dyDescent="0.25">
      <c r="N138" t="str">
        <f>IFERROR(INDEX(Başvuru!$C:$C,MATCH(130,Başvuru!$X:$X,0)),"")</f>
        <v>Dr. Öğr. Üyesi Elif KARAKOÇ</v>
      </c>
    </row>
    <row r="139" spans="14:14" ht="15" customHeight="1" x14ac:dyDescent="0.25">
      <c r="N139" t="str">
        <f>IFERROR(INDEX(Başvuru!$C:$C,MATCH(131,Başvuru!$X:$X,0)),"")</f>
        <v>Dr. Öğr. Üyesi Emre KARA</v>
      </c>
    </row>
    <row r="140" spans="14:14" ht="15" customHeight="1" x14ac:dyDescent="0.25">
      <c r="N140" t="str">
        <f>IFERROR(INDEX(Başvuru!$C:$C,MATCH(132,Başvuru!$X:$X,0)),"")</f>
        <v>Dr. Öğr. Üyesi Emre MUTLU</v>
      </c>
    </row>
    <row r="141" spans="14:14" ht="15" customHeight="1" x14ac:dyDescent="0.25">
      <c r="N141" t="str">
        <f>IFERROR(INDEX(Başvuru!$C:$C,MATCH(133,Başvuru!$X:$X,0)),"")</f>
        <v>Dr. Öğr. Üyesi Ergin EROĞLU</v>
      </c>
    </row>
    <row r="142" spans="14:14" ht="15" customHeight="1" x14ac:dyDescent="0.25">
      <c r="N142" t="str">
        <f>IFERROR(INDEX(Başvuru!$C:$C,MATCH(134,Başvuru!$X:$X,0)),"")</f>
        <v>Dr. Öğr. Üyesi Evrim ÜNVER</v>
      </c>
    </row>
    <row r="143" spans="14:14" ht="15" customHeight="1" x14ac:dyDescent="0.25">
      <c r="N143" t="str">
        <f>IFERROR(INDEX(Başvuru!$C:$C,MATCH(135,Başvuru!$X:$X,0)),"")</f>
        <v>Dr. Öğr. Üyesi Eylem Şerife KALKAN</v>
      </c>
    </row>
    <row r="144" spans="14:14" ht="15" customHeight="1" x14ac:dyDescent="0.25">
      <c r="N144" t="str">
        <f>IFERROR(INDEX(Başvuru!$C:$C,MATCH(136,Başvuru!$X:$X,0)),"")</f>
        <v>Dr. Öğr. Üyesi Ezgi DOĞAN CÖMERT</v>
      </c>
    </row>
    <row r="145" spans="14:14" ht="15" customHeight="1" x14ac:dyDescent="0.25">
      <c r="N145" t="str">
        <f>IFERROR(INDEX(Başvuru!$C:$C,MATCH(137,Başvuru!$X:$X,0)),"")</f>
        <v>Dr. Öğr. Üyesi Figen BEZCİ AYGÜN</v>
      </c>
    </row>
    <row r="146" spans="14:14" ht="15" customHeight="1" x14ac:dyDescent="0.25">
      <c r="N146" t="str">
        <f>IFERROR(INDEX(Başvuru!$C:$C,MATCH(138,Başvuru!$X:$X,0)),"")</f>
        <v>Dr. Öğr. Üyesi Gizem ÜREL DEMİR</v>
      </c>
    </row>
    <row r="147" spans="14:14" ht="15" customHeight="1" x14ac:dyDescent="0.25">
      <c r="N147" t="str">
        <f>IFERROR(INDEX(Başvuru!$C:$C,MATCH(139,Başvuru!$X:$X,0)),"")</f>
        <v>Dr. Öğr. Üyesi Gonca ÖZTEN DERE</v>
      </c>
    </row>
    <row r="148" spans="14:14" ht="15" customHeight="1" x14ac:dyDescent="0.25">
      <c r="N148" t="str">
        <f>IFERROR(INDEX(Başvuru!$C:$C,MATCH(140,Başvuru!$X:$X,0)),"")</f>
        <v>Dr. Öğr. Üyesi Gökçen AKÇİÇEK</v>
      </c>
    </row>
    <row r="149" spans="14:14" ht="15" customHeight="1" x14ac:dyDescent="0.25">
      <c r="N149" t="str">
        <f>IFERROR(INDEX(Başvuru!$C:$C,MATCH(141,Başvuru!$X:$X,0)),"")</f>
        <v>Dr. Öğr. Üyesi Gökhan AYIK</v>
      </c>
    </row>
    <row r="150" spans="14:14" ht="15" customHeight="1" x14ac:dyDescent="0.25">
      <c r="N150" t="str">
        <f>IFERROR(INDEX(Başvuru!$C:$C,MATCH(142,Başvuru!$X:$X,0)),"")</f>
        <v>Dr. Öğr. Üyesi Gözde ÖZER</v>
      </c>
    </row>
    <row r="151" spans="14:14" ht="15" customHeight="1" x14ac:dyDescent="0.25">
      <c r="N151" t="str">
        <f>IFERROR(INDEX(Başvuru!$C:$C,MATCH(143,Başvuru!$X:$X,0)),"")</f>
        <v>Dr. Öğr. Üyesi Gülden OLGUN</v>
      </c>
    </row>
    <row r="152" spans="14:14" ht="15" customHeight="1" x14ac:dyDescent="0.25">
      <c r="N152" t="str">
        <f>IFERROR(INDEX(Başvuru!$C:$C,MATCH(144,Başvuru!$X:$X,0)),"")</f>
        <v>Dr. Öğr. Üyesi Güven Ozan KAPLAN</v>
      </c>
    </row>
    <row r="153" spans="14:14" ht="15" customHeight="1" x14ac:dyDescent="0.25">
      <c r="N153" t="str">
        <f>IFERROR(INDEX(Başvuru!$C:$C,MATCH(145,Başvuru!$X:$X,0)),"")</f>
        <v>Dr. Öğr. Üyesi Hanife Merva PARLAK</v>
      </c>
    </row>
    <row r="154" spans="14:14" ht="15" customHeight="1" x14ac:dyDescent="0.25">
      <c r="N154" t="str">
        <f>IFERROR(INDEX(Başvuru!$C:$C,MATCH(146,Başvuru!$X:$X,0)),"")</f>
        <v>Dr. Öğr. Üyesi Hatice BOYACIOĞLU ERDEN</v>
      </c>
    </row>
    <row r="155" spans="14:14" ht="15" customHeight="1" x14ac:dyDescent="0.25">
      <c r="N155" t="str">
        <f>IFERROR(INDEX(Başvuru!$C:$C,MATCH(147,Başvuru!$X:$X,0)),"")</f>
        <v>Dr. Öğr. Üyesi Hayri Can ÖZDEN</v>
      </c>
    </row>
    <row r="156" spans="14:14" ht="15" customHeight="1" x14ac:dyDescent="0.25">
      <c r="N156" t="str">
        <f>IFERROR(INDEX(Başvuru!$C:$C,MATCH(148,Başvuru!$X:$X,0)),"")</f>
        <v>Dr. Öğr. Üyesi Hilal AKDEMİR AKTAŞ</v>
      </c>
    </row>
    <row r="157" spans="14:14" ht="15" customHeight="1" x14ac:dyDescent="0.25">
      <c r="N157" t="str">
        <f>IFERROR(INDEX(Başvuru!$C:$C,MATCH(149,Başvuru!$X:$X,0)),"")</f>
        <v>Dr. Öğr. Üyesi Irmak OCAK</v>
      </c>
    </row>
    <row r="158" spans="14:14" ht="15" customHeight="1" x14ac:dyDescent="0.25">
      <c r="N158" t="str">
        <f>IFERROR(INDEX(Başvuru!$C:$C,MATCH(150,Başvuru!$X:$X,0)),"")</f>
        <v>Dr. Öğr. Üyesi Leyla HUSEYNOVA TERZİ</v>
      </c>
    </row>
    <row r="159" spans="14:14" ht="15" customHeight="1" x14ac:dyDescent="0.25">
      <c r="N159" t="str">
        <f>IFERROR(INDEX(Başvuru!$C:$C,MATCH(151,Başvuru!$X:$X,0)),"")</f>
        <v>Dr. Öğr. Üyesi Merva PARLAK</v>
      </c>
    </row>
    <row r="160" spans="14:14" ht="15" customHeight="1" x14ac:dyDescent="0.25">
      <c r="N160" t="str">
        <f>IFERROR(INDEX(Başvuru!$C:$C,MATCH(152,Başvuru!$X:$X,0)),"")</f>
        <v>Dr. Öğr. Üyesi Muhammed Çağrı KÜLEKCİ</v>
      </c>
    </row>
    <row r="161" spans="14:14" ht="15" customHeight="1" x14ac:dyDescent="0.25">
      <c r="N161" t="str">
        <f>IFERROR(INDEX(Başvuru!$C:$C,MATCH(153,Başvuru!$X:$X,0)),"")</f>
        <v>Dr. Öğr. Üyesi Murat ÇAĞAN</v>
      </c>
    </row>
    <row r="162" spans="14:14" ht="15" customHeight="1" x14ac:dyDescent="0.25">
      <c r="N162" t="str">
        <f>IFERROR(INDEX(Başvuru!$C:$C,MATCH(154,Başvuru!$X:$X,0)),"")</f>
        <v>Dr. Öğr. Üyesi Müge DEMİR</v>
      </c>
    </row>
    <row r="163" spans="14:14" ht="15" customHeight="1" x14ac:dyDescent="0.25">
      <c r="N163" t="str">
        <f>IFERROR(INDEX(Başvuru!$C:$C,MATCH(155,Başvuru!$X:$X,0)),"")</f>
        <v>Dr. Öğr. Üyesi Neslihan TAŞ</v>
      </c>
    </row>
    <row r="164" spans="14:14" ht="15" customHeight="1" x14ac:dyDescent="0.25">
      <c r="N164" t="str">
        <f>IFERROR(INDEX(Başvuru!$C:$C,MATCH(156,Başvuru!$X:$X,0)),"")</f>
        <v>Dr. Öğr. Üyesi Nur Berna ÇELİK ERTAŞ</v>
      </c>
    </row>
    <row r="165" spans="14:14" ht="15" customHeight="1" x14ac:dyDescent="0.25">
      <c r="N165" t="str">
        <f>IFERROR(INDEX(Başvuru!$C:$C,MATCH(157,Başvuru!$X:$X,0)),"")</f>
        <v>Dr. Öğr. Üyesi Oğuzhan KATAR</v>
      </c>
    </row>
    <row r="166" spans="14:14" ht="15" customHeight="1" x14ac:dyDescent="0.25">
      <c r="N166" t="str">
        <f>IFERROR(INDEX(Başvuru!$C:$C,MATCH(158,Başvuru!$X:$X,0)),"")</f>
        <v>Dr. Öğr. Üyesi Onur İNCE</v>
      </c>
    </row>
    <row r="167" spans="14:14" ht="15" customHeight="1" x14ac:dyDescent="0.25">
      <c r="N167" t="str">
        <f>IFERROR(INDEX(Başvuru!$C:$C,MATCH(159,Başvuru!$X:$X,0)),"")</f>
        <v>Dr. Öğr. Üyesi Özge YAVUZ SARI</v>
      </c>
    </row>
    <row r="168" spans="14:14" ht="15" customHeight="1" x14ac:dyDescent="0.25">
      <c r="N168" t="str">
        <f>IFERROR(INDEX(Başvuru!$C:$C,MATCH(160,Başvuru!$X:$X,0)),"")</f>
        <v>Dr. Öğr. Üyesi Salih Eren MERAL</v>
      </c>
    </row>
    <row r="169" spans="14:14" ht="15" customHeight="1" x14ac:dyDescent="0.25">
      <c r="N169" t="str">
        <f>IFERROR(INDEX(Başvuru!$C:$C,MATCH(161,Başvuru!$X:$X,0)),"")</f>
        <v>Dr. Öğr. Üyesi Sefa Burak ÇAM</v>
      </c>
    </row>
    <row r="170" spans="14:14" ht="15" customHeight="1" x14ac:dyDescent="0.25">
      <c r="N170" t="str">
        <f>IFERROR(INDEX(Başvuru!$C:$C,MATCH(162,Başvuru!$X:$X,0)),"")</f>
        <v>Dr. Öğr. Üyesi Sehend DEBBAĞ</v>
      </c>
    </row>
    <row r="171" spans="14:14" ht="15" customHeight="1" x14ac:dyDescent="0.25">
      <c r="N171" t="str">
        <f>IFERROR(INDEX(Başvuru!$C:$C,MATCH(163,Başvuru!$X:$X,0)),"")</f>
        <v>Dr. Öğr. Üyesi Selen ADİLOĞLU</v>
      </c>
    </row>
    <row r="172" spans="14:14" ht="15" customHeight="1" x14ac:dyDescent="0.25">
      <c r="N172" t="str">
        <f>IFERROR(INDEX(Başvuru!$C:$C,MATCH(164,Başvuru!$X:$X,0)),"")</f>
        <v>Dr. Öğr. Üyesi Selin ARDALI DÜZGÜN</v>
      </c>
    </row>
    <row r="173" spans="14:14" ht="15" customHeight="1" x14ac:dyDescent="0.25">
      <c r="N173" t="str">
        <f>IFERROR(INDEX(Başvuru!$C:$C,MATCH(165,Başvuru!$X:$X,0)),"")</f>
        <v>Dr. Öğr. Üyesi Serkan UYSAL</v>
      </c>
    </row>
    <row r="174" spans="14:14" ht="15" customHeight="1" x14ac:dyDescent="0.25">
      <c r="N174" t="str">
        <f>IFERROR(INDEX(Başvuru!$C:$C,MATCH(166,Başvuru!$X:$X,0)),"")</f>
        <v>Dr. Öğr. Üyesi Sevinç ASKERBEYLİ ÖRS</v>
      </c>
    </row>
    <row r="175" spans="14:14" ht="15" customHeight="1" x14ac:dyDescent="0.25">
      <c r="N175" t="str">
        <f>IFERROR(INDEX(Başvuru!$C:$C,MATCH(167,Başvuru!$X:$X,0)),"")</f>
        <v>Dr. Öğr. Üyesi Sinan BALCI</v>
      </c>
    </row>
    <row r="176" spans="14:14" ht="15" customHeight="1" x14ac:dyDescent="0.25">
      <c r="N176" t="str">
        <f>IFERROR(INDEX(Başvuru!$C:$C,MATCH(168,Başvuru!$X:$X,0)),"")</f>
        <v>Dr. Öğr. Üyesi Süleyman BULUT</v>
      </c>
    </row>
    <row r="177" spans="14:14" ht="15" customHeight="1" x14ac:dyDescent="0.25">
      <c r="N177" t="str">
        <f>IFERROR(INDEX(Başvuru!$C:$C,MATCH(169,Başvuru!$X:$X,0)),"")</f>
        <v>Dr. Öğr. Üyesi Tülin İLERİ</v>
      </c>
    </row>
    <row r="178" spans="14:14" ht="15" customHeight="1" x14ac:dyDescent="0.25">
      <c r="N178" t="str">
        <f>IFERROR(INDEX(Başvuru!$C:$C,MATCH(170,Başvuru!$X:$X,0)),"")</f>
        <v>Dr. Öğr. Üyesi Yağmur Deniz YILDIRIM</v>
      </c>
    </row>
    <row r="179" spans="14:14" ht="15" customHeight="1" x14ac:dyDescent="0.25">
      <c r="N179" t="str">
        <f>IFERROR(INDEX(Başvuru!$C:$C,MATCH(171,Başvuru!$X:$X,0)),"")</f>
        <v>Dr. Öğr. Üyesi Yasin SARIKAYA</v>
      </c>
    </row>
    <row r="180" spans="14:14" ht="15" customHeight="1" x14ac:dyDescent="0.25">
      <c r="N180" t="str">
        <f>IFERROR(INDEX(Başvuru!$C:$C,MATCH(172,Başvuru!$X:$X,0)),"")</f>
        <v>Dr. Öğr. Üyesi Yavuz Kemal ARIBAŞ</v>
      </c>
    </row>
    <row r="181" spans="14:14" ht="15" customHeight="1" x14ac:dyDescent="0.25">
      <c r="N181" t="str">
        <f>IFERROR(INDEX(Başvuru!$C:$C,MATCH(173,Başvuru!$X:$X,0)),"")</f>
        <v>Dr. Öğr. Üyesi Yiğitcan KARANFİL</v>
      </c>
    </row>
    <row r="182" spans="14:14" ht="15" customHeight="1" x14ac:dyDescent="0.25">
      <c r="N182" t="str">
        <f>IFERROR(INDEX(Başvuru!$C:$C,MATCH(174,Başvuru!$X:$X,0)),"")</f>
        <v>Dr. Vet. Hek. Özgür Doğuş EROL DUYAR</v>
      </c>
    </row>
    <row r="183" spans="14:14" ht="15" customHeight="1" x14ac:dyDescent="0.25">
      <c r="N183" t="str">
        <f>IFERROR(INDEX(Başvuru!$C:$C,MATCH(175,Başvuru!$X:$X,0)),"")</f>
        <v>Öğr. Gör. Dr. Aytekin İDİKUT</v>
      </c>
    </row>
    <row r="184" spans="14:14" ht="15" customHeight="1" x14ac:dyDescent="0.25">
      <c r="N184" t="str">
        <f>IFERROR(INDEX(Başvuru!$C:$C,MATCH(176,Başvuru!$X:$X,0)),"")</f>
        <v>Öğr. Gör. Dr. Bahattin PASLI</v>
      </c>
    </row>
    <row r="185" spans="14:14" ht="15" customHeight="1" x14ac:dyDescent="0.25">
      <c r="N185" t="str">
        <f>IFERROR(INDEX(Başvuru!$C:$C,MATCH(177,Başvuru!$X:$X,0)),"")</f>
        <v>Öğr. Gör. Dr. Berrin BABAOĞLU</v>
      </c>
    </row>
    <row r="186" spans="14:14" ht="15" customHeight="1" x14ac:dyDescent="0.25">
      <c r="N186" t="str">
        <f>IFERROR(INDEX(Başvuru!$C:$C,MATCH(178,Başvuru!$X:$X,0)),"")</f>
        <v>Öğr. Gör. Dr. Buket KILIÇ</v>
      </c>
    </row>
    <row r="187" spans="14:14" ht="15" customHeight="1" x14ac:dyDescent="0.25">
      <c r="N187" t="str">
        <f>IFERROR(INDEX(Başvuru!$C:$C,MATCH(179,Başvuru!$X:$X,0)),"")</f>
        <v>Öğr. Gör. Dr. Burçay TELLİOĞLU</v>
      </c>
    </row>
    <row r="188" spans="14:14" ht="15" customHeight="1" x14ac:dyDescent="0.25">
      <c r="N188" t="str">
        <f>IFERROR(INDEX(Başvuru!$C:$C,MATCH(180,Başvuru!$X:$X,0)),"")</f>
        <v>Öğr. Gör. Dr. Esin ALPDÜNDAR BULUT</v>
      </c>
    </row>
    <row r="189" spans="14:14" ht="15" customHeight="1" x14ac:dyDescent="0.25">
      <c r="N189" t="str">
        <f>IFERROR(INDEX(Başvuru!$C:$C,MATCH(181,Başvuru!$X:$X,0)),"")</f>
        <v>Öğr. Gör. Dr. Helin YÜCEDAĞ GÜNDOĞDU</v>
      </c>
    </row>
    <row r="190" spans="14:14" ht="15" customHeight="1" x14ac:dyDescent="0.25">
      <c r="N190" t="str">
        <f>IFERROR(INDEX(Başvuru!$C:$C,MATCH(182,Başvuru!$X:$X,0)),"")</f>
        <v>Öğr. Gör. Dr. Kemal SARUHAN</v>
      </c>
    </row>
    <row r="191" spans="14:14" ht="15" customHeight="1" x14ac:dyDescent="0.25">
      <c r="N191" t="str">
        <f>IFERROR(INDEX(Başvuru!$C:$C,MATCH(183,Başvuru!$X:$X,0)),"")</f>
        <v>Öğr. Gör. Dr. Pınar ÖZDEMİR YAŞAR</v>
      </c>
    </row>
    <row r="192" spans="14:14" ht="15" customHeight="1" x14ac:dyDescent="0.25">
      <c r="N192" t="str">
        <f>IFERROR(INDEX(Başvuru!$C:$C,MATCH(184,Başvuru!$X:$X,0)),"")</f>
        <v>Öğr. Gör. Dr. Tuğçe TAŞKINDERE ABBASOĞLU</v>
      </c>
    </row>
    <row r="193" spans="14:14" ht="15" customHeight="1" x14ac:dyDescent="0.25">
      <c r="N193" t="str">
        <f>IFERROR(INDEX(Başvuru!$C:$C,MATCH(185,Başvuru!$X:$X,0)),"")</f>
        <v>Öğr. Gör. Dt. Diler DENİZ</v>
      </c>
    </row>
    <row r="194" spans="14:14" ht="15" customHeight="1" x14ac:dyDescent="0.25">
      <c r="N194" t="str">
        <f>IFERROR(INDEX(Başvuru!$C:$C,MATCH(186,Başvuru!$X:$X,0)),"")</f>
        <v>Prof. Dr. Abdullah Ruhi SOYLU</v>
      </c>
    </row>
    <row r="195" spans="14:14" ht="15" customHeight="1" x14ac:dyDescent="0.25">
      <c r="N195" t="str">
        <f>IFERROR(INDEX(Başvuru!$C:$C,MATCH(187,Başvuru!$X:$X,0)),"")</f>
        <v>Prof. Dr. Ahmet SERPER</v>
      </c>
    </row>
    <row r="196" spans="14:14" ht="15" customHeight="1" x14ac:dyDescent="0.25">
      <c r="N196" t="str">
        <f>IFERROR(INDEX(Başvuru!$C:$C,MATCH(188,Başvuru!$X:$X,0)),"")</f>
        <v>Prof. Dr. Ali AKDOĞAN</v>
      </c>
    </row>
    <row r="197" spans="14:14" ht="15" customHeight="1" x14ac:dyDescent="0.25">
      <c r="N197" t="str">
        <f>IFERROR(INDEX(Başvuru!$C:$C,MATCH(189,Başvuru!$X:$X,0)),"")</f>
        <v>Prof. Dr. Ali DURSUN</v>
      </c>
    </row>
    <row r="198" spans="14:14" ht="15" customHeight="1" x14ac:dyDescent="0.25">
      <c r="N198" t="str">
        <f>IFERROR(INDEX(Başvuru!$C:$C,MATCH(190,Başvuru!$X:$X,0)),"")</f>
        <v>Prof. Dr. Ali DÜZOVA</v>
      </c>
    </row>
    <row r="199" spans="14:14" ht="15" customHeight="1" x14ac:dyDescent="0.25">
      <c r="N199" t="str">
        <f>IFERROR(INDEX(Başvuru!$C:$C,MATCH(191,Başvuru!$X:$X,0)),"")</f>
        <v>Prof. Dr. Ali Fuat KALYONCU</v>
      </c>
    </row>
    <row r="200" spans="14:14" ht="15" customHeight="1" x14ac:dyDescent="0.25">
      <c r="N200" t="str">
        <f>IFERROR(INDEX(Başvuru!$C:$C,MATCH(192,Başvuru!$X:$X,0)),"")</f>
        <v>Prof. Dr. Ali Rıza TÜMER</v>
      </c>
    </row>
    <row r="201" spans="14:14" ht="15" customHeight="1" x14ac:dyDescent="0.25">
      <c r="N201" t="str">
        <f>IFERROR(INDEX(Başvuru!$C:$C,MATCH(193,Başvuru!$X:$X,0)),"")</f>
        <v>Prof. Dr. Alp ÇETİN</v>
      </c>
    </row>
    <row r="202" spans="14:14" ht="15" customHeight="1" x14ac:dyDescent="0.25">
      <c r="N202" t="str">
        <f>IFERROR(INDEX(Başvuru!$C:$C,MATCH(194,Başvuru!$X:$X,0)),"")</f>
        <v>Prof. Dr. Alp USUBÜTÜN</v>
      </c>
    </row>
    <row r="203" spans="14:14" ht="15" customHeight="1" x14ac:dyDescent="0.25">
      <c r="N203" t="str">
        <f>IFERROR(INDEX(Başvuru!$C:$C,MATCH(195,Başvuru!$X:$X,0)),"")</f>
        <v>Prof. Dr. Alper AKTAŞ</v>
      </c>
    </row>
    <row r="204" spans="14:14" ht="15" customHeight="1" x14ac:dyDescent="0.25">
      <c r="N204" t="str">
        <f>IFERROR(INDEX(Başvuru!$C:$C,MATCH(196,Başvuru!$X:$X,0)),"")</f>
        <v>Prof. Dr. Arzu TOPELİ İSKİT</v>
      </c>
    </row>
    <row r="205" spans="14:14" ht="15" customHeight="1" x14ac:dyDescent="0.25">
      <c r="N205" t="str">
        <f>IFERROR(INDEX(Başvuru!$C:$C,MATCH(197,Başvuru!$X:$X,0)),"")</f>
        <v>Prof. Dr. Aygin EKİNCİOĞLU</v>
      </c>
    </row>
    <row r="206" spans="14:14" ht="15" customHeight="1" x14ac:dyDescent="0.25">
      <c r="N206" t="str">
        <f>IFERROR(INDEX(Başvuru!$C:$C,MATCH(198,Başvuru!$X:$X,0)),"")</f>
        <v>Prof. Dr. Ayşe KİN İŞLER</v>
      </c>
    </row>
    <row r="207" spans="14:14" ht="15" customHeight="1" x14ac:dyDescent="0.25">
      <c r="N207" t="str">
        <f>IFERROR(INDEX(Başvuru!$C:$C,MATCH(199,Başvuru!$X:$X,0)),"")</f>
        <v>Prof. Dr. Ayşe Tomris ERBAŞ</v>
      </c>
    </row>
    <row r="208" spans="14:14" ht="15" customHeight="1" x14ac:dyDescent="0.25">
      <c r="N208" t="str">
        <f>IFERROR(INDEX(Başvuru!$C:$C,MATCH(200,Başvuru!$X:$X,0)),"")</f>
        <v>Prof. Dr. B. Barış KUŞKONMAZ</v>
      </c>
    </row>
    <row r="209" spans="14:14" ht="15" customHeight="1" x14ac:dyDescent="0.25">
      <c r="N209" t="str">
        <f>IFERROR(INDEX(Başvuru!$C:$C,MATCH(201,Başvuru!$X:$X,0)),"")</f>
        <v>Prof. Dr. Bahar GÜÇİZ DOĞAN</v>
      </c>
    </row>
    <row r="210" spans="14:14" ht="15" customHeight="1" x14ac:dyDescent="0.25">
      <c r="N210" t="str">
        <f>IFERROR(INDEX(Başvuru!$C:$C,MATCH(202,Başvuru!$X:$X,0)),"")</f>
        <v>Prof. Dr. Banu KILIÇASLAN</v>
      </c>
    </row>
    <row r="211" spans="14:14" ht="15" customHeight="1" x14ac:dyDescent="0.25">
      <c r="N211" t="str">
        <f>IFERROR(INDEX(Başvuru!$C:$C,MATCH(203,Başvuru!$X:$X,0)),"")</f>
        <v>Prof. Dr. Banu SANCAK</v>
      </c>
    </row>
    <row r="212" spans="14:14" ht="15" customHeight="1" x14ac:dyDescent="0.25">
      <c r="N212" t="str">
        <f>IFERROR(INDEX(Başvuru!$C:$C,MATCH(204,Başvuru!$X:$X,0)),"")</f>
        <v>Prof. Dr. Bayram ŞAHİN</v>
      </c>
    </row>
    <row r="213" spans="14:14" ht="15" customHeight="1" x14ac:dyDescent="0.25">
      <c r="N213" t="str">
        <f>IFERROR(INDEX(Başvuru!$C:$C,MATCH(205,Başvuru!$X:$X,0)),"")</f>
        <v>Prof. Dr. Betül ÇELEBİ SALTIK</v>
      </c>
    </row>
    <row r="214" spans="14:14" ht="15" customHeight="1" x14ac:dyDescent="0.25">
      <c r="N214" t="str">
        <f>IFERROR(INDEX(Başvuru!$C:$C,MATCH(206,Başvuru!$X:$X,0)),"")</f>
        <v>Prof. Dr. Bilge VOLKAN SALANCI</v>
      </c>
    </row>
    <row r="215" spans="14:14" ht="15" customHeight="1" x14ac:dyDescent="0.25">
      <c r="N215" t="str">
        <f>IFERROR(INDEX(Başvuru!$C:$C,MATCH(207,Başvuru!$X:$X,0)),"")</f>
        <v>Prof. Dr. Bora GÜLHAN</v>
      </c>
    </row>
    <row r="216" spans="14:14" ht="15" customHeight="1" x14ac:dyDescent="0.25">
      <c r="N216" t="str">
        <f>IFERROR(INDEX(Başvuru!$C:$C,MATCH(208,Başvuru!$X:$X,0)),"")</f>
        <v>Prof. Dr. Burcu Balam DOĞU</v>
      </c>
    </row>
    <row r="217" spans="14:14" ht="15" customHeight="1" x14ac:dyDescent="0.25">
      <c r="N217" t="str">
        <f>IFERROR(INDEX(Başvuru!$C:$C,MATCH(209,Başvuru!$X:$X,0)),"")</f>
        <v>Prof. Dr. Bülent ALTUN</v>
      </c>
    </row>
    <row r="218" spans="14:14" ht="15" customHeight="1" x14ac:dyDescent="0.25">
      <c r="N218" t="str">
        <f>IFERROR(INDEX(Başvuru!$C:$C,MATCH(210,Başvuru!$X:$X,0)),"")</f>
        <v>Prof. Dr. Bülent ATİLLA</v>
      </c>
    </row>
    <row r="219" spans="14:14" ht="15" customHeight="1" x14ac:dyDescent="0.25">
      <c r="N219" t="str">
        <f>IFERROR(INDEX(Başvuru!$C:$C,MATCH(211,Başvuru!$X:$X,0)),"")</f>
        <v>Prof. Dr. Bülent Enis ŞEKEREL</v>
      </c>
    </row>
    <row r="220" spans="14:14" ht="15" customHeight="1" x14ac:dyDescent="0.25">
      <c r="N220" s="191" t="str">
        <f>IFERROR(INDEX(Başvuru!$C:$C,MATCH(212,Başvuru!$X:$X,0)),"")</f>
        <v>Prof. Dr. Cavit Işık YAVUZ</v>
      </c>
    </row>
    <row r="221" spans="14:14" ht="15" customHeight="1" x14ac:dyDescent="0.25">
      <c r="N221" t="str">
        <f>IFERROR(INDEX(Başvuru!$C:$C,MATCH(213,Başvuru!$X:$X,0)),"")</f>
        <v>Prof. Dr. Cengiz KILIÇ</v>
      </c>
    </row>
    <row r="222" spans="14:14" ht="15" customHeight="1" x14ac:dyDescent="0.25">
      <c r="N222" t="str">
        <f>IFERROR(INDEX(Başvuru!$C:$C,MATCH(214,Başvuru!$X:$X,0)),"")</f>
        <v>Prof. Dr. Çağrı Mesut TEMUÇİN</v>
      </c>
    </row>
    <row r="223" spans="14:14" ht="15" customHeight="1" x14ac:dyDescent="0.25">
      <c r="N223" t="str">
        <f>IFERROR(INDEX(Başvuru!$C:$C,MATCH(215,Başvuru!$X:$X,0)),"")</f>
        <v>Prof. Dr. Deniz ÇAĞDAŞ AYVAZ</v>
      </c>
    </row>
    <row r="224" spans="14:14" ht="15" customHeight="1" x14ac:dyDescent="0.25">
      <c r="N224" t="str">
        <f>IFERROR(INDEX(Başvuru!$C:$C,MATCH(216,Başvuru!$X:$X,0)),"")</f>
        <v>Prof. Dr. Deniz DOĞRU ERSÖZ</v>
      </c>
    </row>
    <row r="225" spans="14:14" ht="15" customHeight="1" x14ac:dyDescent="0.25">
      <c r="N225" t="str">
        <f>IFERROR(INDEX(Başvuru!$C:$C,MATCH(217,Başvuru!$X:$X,0)),"")</f>
        <v>Prof. Dr. Devrim AKDEMİR</v>
      </c>
    </row>
    <row r="226" spans="14:14" ht="15" customHeight="1" x14ac:dyDescent="0.25">
      <c r="N226" t="str">
        <f>IFERROR(INDEX(Başvuru!$C:$C,MATCH(218,Başvuru!$X:$X,0)),"")</f>
        <v>Prof. Dr. Dilek ASLAN</v>
      </c>
    </row>
    <row r="227" spans="14:14" ht="15" customHeight="1" x14ac:dyDescent="0.25">
      <c r="N227" t="str">
        <f>IFERROR(INDEX(Başvuru!$C:$C,MATCH(219,Başvuru!$X:$X,0)),"")</f>
        <v>Prof. Dr. Dilşad FOTO ÖZDEMİR</v>
      </c>
    </row>
    <row r="228" spans="14:14" ht="15" customHeight="1" x14ac:dyDescent="0.25">
      <c r="N228" t="str">
        <f>IFERROR(INDEX(Başvuru!$C:$C,MATCH(220,Başvuru!$X:$X,0)),"")</f>
        <v>Prof. Dr. Ebru AYPAR</v>
      </c>
    </row>
    <row r="229" spans="14:14" ht="15" customHeight="1" x14ac:dyDescent="0.25">
      <c r="N229" t="str">
        <f>IFERROR(INDEX(Başvuru!$C:$C,MATCH(221,Başvuru!$X:$X,0)),"")</f>
        <v>Prof. Dr. Ebru DAMADOĞLU</v>
      </c>
    </row>
    <row r="230" spans="14:14" ht="15" customHeight="1" x14ac:dyDescent="0.25">
      <c r="N230" t="str">
        <f>IFERROR(INDEX(Başvuru!$C:$C,MATCH(222,Başvuru!$X:$X,0)),"")</f>
        <v>Prof. Dr. Egemen TURHAN</v>
      </c>
    </row>
    <row r="231" spans="14:14" ht="15" customHeight="1" x14ac:dyDescent="0.25">
      <c r="N231" t="str">
        <f>IFERROR(INDEX(Başvuru!$C:$C,MATCH(223,Başvuru!$X:$X,0)),"")</f>
        <v>Prof. Dr. Elmas Ebru YALÇIN</v>
      </c>
    </row>
    <row r="232" spans="14:14" ht="15" customHeight="1" x14ac:dyDescent="0.25">
      <c r="N232" t="str">
        <f>IFERROR(INDEX(Başvuru!$C:$C,MATCH(224,Başvuru!$X:$X,0)),"")</f>
        <v>Prof. Dr. Emel UZUNOĞLU ÖZYÜREK</v>
      </c>
    </row>
    <row r="233" spans="14:14" ht="15" customHeight="1" x14ac:dyDescent="0.25">
      <c r="N233" t="str">
        <f>IFERROR(INDEX(Başvuru!$C:$C,MATCH(225,Başvuru!$X:$X,0)),"")</f>
        <v>Prof. Dr. Emre TOSUN</v>
      </c>
    </row>
    <row r="234" spans="14:14" ht="15" customHeight="1" x14ac:dyDescent="0.25">
      <c r="N234" t="str">
        <f>IFERROR(INDEX(Başvuru!$C:$C,MATCH(226,Başvuru!$X:$X,0)),"")</f>
        <v>Prof. Dr. Erdem KARABULUT</v>
      </c>
    </row>
    <row r="235" spans="14:14" ht="15" customHeight="1" x14ac:dyDescent="0.25">
      <c r="N235" t="str">
        <f>IFERROR(INDEX(Başvuru!$C:$C,MATCH(227,Başvuru!$X:$X,0)),"")</f>
        <v>Prof. Dr. Esra BİRBEN</v>
      </c>
    </row>
    <row r="236" spans="14:14" ht="15" customHeight="1" x14ac:dyDescent="0.25">
      <c r="N236" t="str">
        <f>IFERROR(INDEX(Başvuru!$C:$C,MATCH(228,Başvuru!$X:$X,0)),"")</f>
        <v>Prof. Dr. Esra Burcu SAĞLAM</v>
      </c>
    </row>
    <row r="237" spans="14:14" ht="15" customHeight="1" x14ac:dyDescent="0.25">
      <c r="N237" t="str">
        <f>IFERROR(INDEX(Başvuru!$C:$C,MATCH(229,Başvuru!$X:$X,0)),"")</f>
        <v>Prof. Dr. Fadime İrsel TEZER FİLİK</v>
      </c>
    </row>
    <row r="238" spans="14:14" ht="15" customHeight="1" x14ac:dyDescent="0.25">
      <c r="N238" t="str">
        <f>IFERROR(INDEX(Başvuru!$C:$C,MATCH(230,Başvuru!$X:$X,0)),"")</f>
        <v>Prof. Dr. Faruk ÖZTÜRK</v>
      </c>
    </row>
    <row r="239" spans="14:14" ht="15" customHeight="1" x14ac:dyDescent="0.25">
      <c r="N239" s="191" t="str">
        <f>IFERROR(INDEX(Başvuru!$C:$C,MATCH(231,Başvuru!$X:$X,0)),"")</f>
        <v>Prof. Dr. Fatma Gökçem YILDIZ SARIKAYA</v>
      </c>
    </row>
    <row r="240" spans="14:14" ht="15" customHeight="1" x14ac:dyDescent="0.25">
      <c r="N240" t="str">
        <f>IFERROR(INDEX(Başvuru!$C:$C,MATCH(232,Başvuru!$X:$X,0)),"")</f>
        <v>Prof. Dr. Fatma Visal OKUR</v>
      </c>
    </row>
    <row r="241" spans="14:14" ht="15" customHeight="1" x14ac:dyDescent="0.25">
      <c r="N241" t="str">
        <f>IFERROR(INDEX(Başvuru!$C:$C,MATCH(233,Başvuru!$X:$X,0)),"")</f>
        <v>Prof. Dr. Filiz ÜZÜMCÜGİL</v>
      </c>
    </row>
    <row r="242" spans="14:14" ht="15" customHeight="1" x14ac:dyDescent="0.25">
      <c r="N242" s="191" t="str">
        <f>IFERROR(INDEX(Başvuru!$C:$C,MATCH(234,Başvuru!$X:$X,0)),"")</f>
        <v>Prof. Dr. Filiz YALÇIN ÇAKIR</v>
      </c>
    </row>
    <row r="243" spans="14:14" ht="15" customHeight="1" x14ac:dyDescent="0.25">
      <c r="N243" t="str">
        <f>IFERROR(INDEX(Başvuru!$C:$C,MATCH(235,Başvuru!$X:$X,0)),"")</f>
        <v>Prof. Dr. Gökçen ÇOBAN ÇİFÇİ</v>
      </c>
    </row>
    <row r="244" spans="14:14" ht="15" customHeight="1" x14ac:dyDescent="0.25">
      <c r="N244" t="str">
        <f>IFERROR(INDEX(Başvuru!$C:$C,MATCH(236,Başvuru!$X:$X,0)),"")</f>
        <v>Prof. Dr. Göknur HALİLOĞLU</v>
      </c>
    </row>
    <row r="245" spans="14:14" ht="15" customHeight="1" x14ac:dyDescent="0.25">
      <c r="N245" t="str">
        <f>IFERROR(INDEX(Başvuru!$C:$C,MATCH(237,Başvuru!$X:$X,0)),"")</f>
        <v>Prof. Dr. Gül KARAKAYA</v>
      </c>
    </row>
    <row r="246" spans="14:14" ht="15" customHeight="1" x14ac:dyDescent="0.25">
      <c r="N246" t="str">
        <f>IFERROR(INDEX(Başvuru!$C:$C,MATCH(238,Başvuru!$X:$X,0)),"")</f>
        <v>Prof. Dr. Gülay SAİN GÜVEN</v>
      </c>
    </row>
    <row r="247" spans="14:14" ht="15" customHeight="1" x14ac:dyDescent="0.25">
      <c r="N247" t="str">
        <f>IFERROR(INDEX(Başvuru!$C:$C,MATCH(239,Başvuru!$X:$X,0)),"")</f>
        <v>Prof. Dr. Gülen Eda ÜTİNE</v>
      </c>
    </row>
    <row r="248" spans="14:14" ht="15" customHeight="1" x14ac:dyDescent="0.25">
      <c r="N248" t="str">
        <f>IFERROR(INDEX(Başvuru!$C:$C,MATCH(240,Başvuru!$X:$X,0)),"")</f>
        <v>Prof. Dr. Güliz AKTAŞ</v>
      </c>
    </row>
    <row r="249" spans="14:14" ht="15" customHeight="1" x14ac:dyDescent="0.25">
      <c r="N249" t="str">
        <f>IFERROR(INDEX(Başvuru!$C:$C,MATCH(241,Başvuru!$X:$X,0)),"")</f>
        <v>Prof. Dr. Güliz Nigar GÜNCÜ</v>
      </c>
    </row>
    <row r="250" spans="14:14" ht="15" customHeight="1" x14ac:dyDescent="0.25">
      <c r="N250" t="str">
        <f>IFERROR(INDEX(Başvuru!$C:$C,MATCH(242,Başvuru!$X:$X,0)),"")</f>
        <v>Prof. Dr. Gülten GÜVENÇ
Doç. Dr. Gölşah KÖK</v>
      </c>
    </row>
    <row r="251" spans="14:14" ht="15" customHeight="1" x14ac:dyDescent="0.25">
      <c r="N251" s="191" t="str">
        <f>IFERROR(INDEX(Başvuru!$C:$C,MATCH(243,Başvuru!$X:$X,0)),"")</f>
        <v>Prof. Dr. Hakan GÖKER</v>
      </c>
    </row>
    <row r="252" spans="14:14" ht="15" customHeight="1" x14ac:dyDescent="0.25">
      <c r="N252" s="191" t="str">
        <f>IFERROR(INDEX(Başvuru!$C:$C,MATCH(244,Başvuru!$X:$X,0)),"")</f>
        <v>Prof. Dr. Hakan Hıfzı TÜZ</v>
      </c>
    </row>
    <row r="253" spans="14:14" ht="15" customHeight="1" x14ac:dyDescent="0.25">
      <c r="N253" t="str">
        <f>IFERROR(INDEX(Başvuru!$C:$C,MATCH(245,Başvuru!$X:$X,0)),"")</f>
        <v>Prof. Dr. Hakan UZUN</v>
      </c>
    </row>
    <row r="254" spans="14:14" ht="15" customHeight="1" x14ac:dyDescent="0.25">
      <c r="N254" t="str">
        <f>IFERROR(INDEX(Başvuru!$C:$C,MATCH(246,Başvuru!$X:$X,0)),"")</f>
        <v>Prof. Dr. Hande TAYLAN ŞEKEROĞLU</v>
      </c>
    </row>
    <row r="255" spans="14:14" ht="15" customHeight="1" x14ac:dyDescent="0.25">
      <c r="N255" t="str">
        <f>IFERROR(INDEX(Başvuru!$C:$C,MATCH(247,Başvuru!$X:$X,0)),"")</f>
        <v>Prof. Dr. Hasan Serkan DOĞAN</v>
      </c>
    </row>
    <row r="256" spans="14:14" ht="15" customHeight="1" x14ac:dyDescent="0.25">
      <c r="N256" t="str">
        <f>IFERROR(INDEX(Başvuru!$C:$C,MATCH(248,Başvuru!$X:$X,0)),"")</f>
        <v>Prof. Dr. Hatice DOĞAN BUZOĞLU</v>
      </c>
    </row>
    <row r="257" spans="14:14" ht="15" customHeight="1" x14ac:dyDescent="0.25">
      <c r="N257" t="str">
        <f>IFERROR(INDEX(Başvuru!$C:$C,MATCH(249,Başvuru!$X:$X,0)),"")</f>
        <v>Prof. Dr. Hatice Yasemin BALABAN</v>
      </c>
    </row>
    <row r="258" spans="14:14" ht="15" customHeight="1" x14ac:dyDescent="0.25">
      <c r="N258" t="str">
        <f>IFERROR(INDEX(Başvuru!$C:$C,MATCH(250,Başvuru!$X:$X,0)),"")</f>
        <v>Prof. Dr. Hikmet YORGUN</v>
      </c>
    </row>
    <row r="259" spans="14:14" ht="15" customHeight="1" x14ac:dyDescent="0.25">
      <c r="N259" t="str">
        <f>IFERROR(INDEX(Başvuru!$C:$C,MATCH(251,Başvuru!$X:$X,0)),"")</f>
        <v>Prof. Dr. Hülya DEMİR</v>
      </c>
    </row>
    <row r="260" spans="14:14" ht="15" customHeight="1" x14ac:dyDescent="0.25">
      <c r="N260" t="str">
        <f>IFERROR(INDEX(Başvuru!$C:$C,MATCH(252,Başvuru!$X:$X,0)),"")</f>
        <v>Prof. Dr. Hüseyin Gencay KEÇELİ</v>
      </c>
    </row>
    <row r="261" spans="14:14" ht="15" customHeight="1" x14ac:dyDescent="0.25">
      <c r="N261" t="str">
        <f>IFERROR(INDEX(Başvuru!$C:$C,MATCH(253,Başvuru!$X:$X,0)),"")</f>
        <v>Prof. Dr. İlker ERTUĞRUL</v>
      </c>
    </row>
    <row r="262" spans="14:14" ht="15" customHeight="1" x14ac:dyDescent="0.25">
      <c r="N262" t="str">
        <f>IFERROR(INDEX(Başvuru!$C:$C,MATCH(254,Başvuru!$X:$X,0)),"")</f>
        <v>Prof. Dr. İnci Nur SALTIK</v>
      </c>
    </row>
    <row r="263" spans="14:14" ht="15" customHeight="1" x14ac:dyDescent="0.25">
      <c r="N263" t="str">
        <f>IFERROR(INDEX(Başvuru!$C:$C,MATCH(255,Başvuru!$X:$X,0)),"")</f>
        <v>Prof. Dr. İncilay LAY</v>
      </c>
    </row>
    <row r="264" spans="14:14" ht="15" customHeight="1" x14ac:dyDescent="0.25">
      <c r="N264" t="str">
        <f>IFERROR(INDEX(Başvuru!$C:$C,MATCH(256,Başvuru!$X:$X,0)),"")</f>
        <v>Prof. Dr. Jale KARAKAYA</v>
      </c>
    </row>
    <row r="265" spans="14:14" ht="15" customHeight="1" x14ac:dyDescent="0.25">
      <c r="N265" t="str">
        <f>IFERROR(INDEX(Başvuru!$C:$C,MATCH(257,Başvuru!$X:$X,0)),"")</f>
        <v>Prof. Dr. Kasım KARATAŞ</v>
      </c>
    </row>
    <row r="266" spans="14:14" ht="15" customHeight="1" x14ac:dyDescent="0.25">
      <c r="N266" t="str">
        <f>IFERROR(INDEX(Başvuru!$C:$C,MATCH(258,Başvuru!$X:$X,0)),"")</f>
        <v>Prof. Dr. Kıvanç AKÇA</v>
      </c>
    </row>
    <row r="267" spans="14:14" ht="15" customHeight="1" x14ac:dyDescent="0.25">
      <c r="N267" t="str">
        <f>IFERROR(INDEX(Başvuru!$C:$C,MATCH(259,Başvuru!$X:$X,0)),"")</f>
        <v>Prof. Dr. Kudret AYTEMİR</v>
      </c>
    </row>
    <row r="268" spans="14:14" ht="15" customHeight="1" x14ac:dyDescent="0.25">
      <c r="N268" t="str">
        <f>IFERROR(INDEX(Başvuru!$C:$C,MATCH(260,Başvuru!$X:$X,0)),"")</f>
        <v>Prof. Dr. Lale KARAKOÇ SÖKMENSÜER</v>
      </c>
    </row>
    <row r="269" spans="14:14" ht="15" customHeight="1" x14ac:dyDescent="0.25">
      <c r="N269" t="str">
        <f>IFERROR(INDEX(Başvuru!$C:$C,MATCH(261,Başvuru!$X:$X,0)),"")</f>
        <v>Prof. Dr. Levent ÖZÇAKAR</v>
      </c>
    </row>
    <row r="270" spans="14:14" ht="15" customHeight="1" x14ac:dyDescent="0.25">
      <c r="N270" t="str">
        <f>IFERROR(INDEX(Başvuru!$C:$C,MATCH(262,Başvuru!$X:$X,0)),"")</f>
        <v>Prof. Dr. Levent SENNAROĞLU</v>
      </c>
    </row>
    <row r="271" spans="14:14" ht="15" customHeight="1" x14ac:dyDescent="0.25">
      <c r="N271" t="str">
        <f>IFERROR(INDEX(Başvuru!$C:$C,MATCH(263,Başvuru!$X:$X,0)),"")</f>
        <v>Prof. Dr. Lokman UZUN</v>
      </c>
    </row>
    <row r="272" spans="14:14" ht="15" customHeight="1" x14ac:dyDescent="0.25">
      <c r="N272" t="str">
        <f>IFERROR(INDEX(Başvuru!$C:$C,MATCH(264,Başvuru!$X:$X,0)),"")</f>
        <v>Prof. Dr. M. Özgür UYANIK</v>
      </c>
    </row>
    <row r="273" spans="14:14" ht="15" customHeight="1" x14ac:dyDescent="0.25">
      <c r="N273" t="str">
        <f>IFERROR(INDEX(Başvuru!$C:$C,MATCH(265,Başvuru!$X:$X,0)),"")</f>
        <v>Prof. Dr. Mehmet Akif TOPÇUOĞLU</v>
      </c>
    </row>
    <row r="274" spans="14:14" ht="15" customHeight="1" x14ac:dyDescent="0.25">
      <c r="N274" t="str">
        <f>IFERROR(INDEX(Başvuru!$C:$C,MATCH(266,Başvuru!$X:$X,0)),"")</f>
        <v>Prof. Dr. Mehmet AYVAZ</v>
      </c>
    </row>
    <row r="275" spans="14:14" ht="15" customHeight="1" x14ac:dyDescent="0.25">
      <c r="N275" t="str">
        <f>IFERROR(INDEX(Başvuru!$C:$C,MATCH(267,Başvuru!$X:$X,0)),"")</f>
        <v>Prof. Dr. Mehmet Cemalettin AKSOY</v>
      </c>
    </row>
    <row r="276" spans="14:14" ht="15" customHeight="1" x14ac:dyDescent="0.25">
      <c r="N276" t="str">
        <f>IFERROR(INDEX(Başvuru!$C:$C,MATCH(268,Başvuru!$X:$X,0)),"")</f>
        <v>Prof. Dr. Melek Dilek TURGUT</v>
      </c>
    </row>
    <row r="277" spans="14:14" ht="15" customHeight="1" x14ac:dyDescent="0.25">
      <c r="N277" t="str">
        <f>IFERROR(INDEX(Başvuru!$C:$C,MATCH(269,Başvuru!$X:$X,0)),"")</f>
        <v>Prof. Dr. Melih Önder BABAOĞLU</v>
      </c>
    </row>
    <row r="278" spans="14:14" ht="15" customHeight="1" x14ac:dyDescent="0.25">
      <c r="N278" t="str">
        <f>IFERROR(INDEX(Başvuru!$C:$C,MATCH(270,Başvuru!$X:$X,0)),"")</f>
        <v>Prof. Dr. Meltem Gülhan HALİL</v>
      </c>
    </row>
    <row r="279" spans="14:14" ht="15" customHeight="1" x14ac:dyDescent="0.25">
      <c r="N279" t="str">
        <f>IFERROR(INDEX(Başvuru!$C:$C,MATCH(271,Başvuru!$X:$X,0)),"")</f>
        <v>Prof. Dr. Mert ÇALIŞ</v>
      </c>
    </row>
    <row r="280" spans="14:14" ht="15" customHeight="1" x14ac:dyDescent="0.25">
      <c r="N280" t="str">
        <f>IFERROR(INDEX(Başvuru!$C:$C,MATCH(272,Başvuru!$X:$X,0)),"")</f>
        <v>Prof. Dr. Meryem Aslı TUNCER</v>
      </c>
    </row>
    <row r="281" spans="14:14" ht="15" customHeight="1" x14ac:dyDescent="0.25">
      <c r="N281" t="str">
        <f>IFERROR(INDEX(Başvuru!$C:$C,MATCH(273,Başvuru!$X:$X,0)),"")</f>
        <v>Prof. Dr. Meryem UZAMIŞ TEKÇİÇEK</v>
      </c>
    </row>
    <row r="282" spans="14:14" ht="15" customHeight="1" x14ac:dyDescent="0.25">
      <c r="N282" t="str">
        <f>IFERROR(INDEX(Başvuru!$C:$C,MATCH(274,Başvuru!$X:$X,0)),"")</f>
        <v>Prof. Dr. Murat GÜLTEKİN</v>
      </c>
    </row>
    <row r="283" spans="14:14" ht="15" customHeight="1" x14ac:dyDescent="0.25">
      <c r="N283" t="str">
        <f>IFERROR(INDEX(Başvuru!$C:$C,MATCH(275,Başvuru!$X:$X,0)),"")</f>
        <v>Prof. Dr. Murat TUNCEL</v>
      </c>
    </row>
    <row r="284" spans="14:14" ht="15" customHeight="1" x14ac:dyDescent="0.25">
      <c r="N284" t="str">
        <f>IFERROR(INDEX(Başvuru!$C:$C,MATCH(276,Başvuru!$X:$X,0)),"")</f>
        <v>Prof. Dr. Mustafa Barış GÜNCÜ</v>
      </c>
    </row>
    <row r="285" spans="14:14" ht="15" customHeight="1" x14ac:dyDescent="0.25">
      <c r="N285" t="str">
        <f>IFERROR(INDEX(Başvuru!$C:$C,MATCH(277,Başvuru!$X:$X,0)),"")</f>
        <v>Prof. Dr. Mustafa BERKER</v>
      </c>
    </row>
    <row r="286" spans="14:14" ht="15" customHeight="1" x14ac:dyDescent="0.25">
      <c r="N286" t="str">
        <f>IFERROR(INDEX(Başvuru!$C:$C,MATCH(278,Başvuru!$X:$X,0)),"")</f>
        <v>Prof. Dr. Mustafa CANKURTARAN</v>
      </c>
    </row>
    <row r="287" spans="14:14" ht="15" customHeight="1" x14ac:dyDescent="0.25">
      <c r="N287" t="str">
        <f>IFERROR(INDEX(Başvuru!$C:$C,MATCH(279,Başvuru!$X:$X,0)),"")</f>
        <v>Prof. Dr. Mustafa Kerem VURAL</v>
      </c>
    </row>
    <row r="288" spans="14:14" ht="15" customHeight="1" x14ac:dyDescent="0.25">
      <c r="N288" t="str">
        <f>IFERROR(INDEX(Başvuru!$C:$C,MATCH(280,Başvuru!$X:$X,0)),"")</f>
        <v>Prof. Dr. Mustafa Sertaç YAZICI</v>
      </c>
    </row>
    <row r="289" spans="14:14" ht="15" customHeight="1" x14ac:dyDescent="0.25">
      <c r="N289" t="str">
        <f>IFERROR(INDEX(Başvuru!$C:$C,MATCH(281,Başvuru!$X:$X,0)),"")</f>
        <v>Prof. Dr. Münip Gökhan TUNÇBİLEK</v>
      </c>
    </row>
    <row r="290" spans="14:14" ht="15" customHeight="1" x14ac:dyDescent="0.25">
      <c r="N290" t="str">
        <f>IFERROR(INDEX(Başvuru!$C:$C,MATCH(282,Başvuru!$X:$X,0)),"")</f>
        <v>Prof. Dr. Müzeyyen Pınar ÖZGEN KIRATLI</v>
      </c>
    </row>
    <row r="291" spans="14:14" ht="15" customHeight="1" x14ac:dyDescent="0.25">
      <c r="N291" t="str">
        <f>IFERROR(INDEX(Başvuru!$C:$C,MATCH(283,Başvuru!$X:$X,0)),"")</f>
        <v>Prof. Dr. N. Dilara ZEYBEK</v>
      </c>
    </row>
    <row r="292" spans="14:14" ht="15" customHeight="1" x14ac:dyDescent="0.25">
      <c r="N292" t="str">
        <f>IFERROR(INDEX(Başvuru!$C:$C,MATCH(284,Başvuru!$X:$X,0)),"")</f>
        <v>Prof. Dr. Nagehan EMİRALİOĞLU ORDUKAYA</v>
      </c>
    </row>
    <row r="293" spans="14:14" ht="15" customHeight="1" x14ac:dyDescent="0.25">
      <c r="N293" t="str">
        <f>IFERROR(INDEX(Başvuru!$C:$C,MATCH(285,Başvuru!$X:$X,0)),"")</f>
        <v>Prof. Dr. Neşe DERİCİOĞLU</v>
      </c>
    </row>
    <row r="294" spans="14:14" ht="15" customHeight="1" x14ac:dyDescent="0.25">
      <c r="N294" t="str">
        <f>IFERROR(INDEX(Başvuru!$C:$C,MATCH(286,Başvuru!$X:$X,0)),"")</f>
        <v>Prof. Dr. Oğuz IŞIK</v>
      </c>
    </row>
    <row r="295" spans="14:14" ht="15" customHeight="1" x14ac:dyDescent="0.25">
      <c r="N295" t="str">
        <f>IFERROR(INDEX(Başvuru!$C:$C,MATCH(287,Başvuru!$X:$X,0)),"")</f>
        <v>Prof. Dr. Oğuz KUŞCU</v>
      </c>
    </row>
    <row r="296" spans="14:14" ht="15" customHeight="1" x14ac:dyDescent="0.25">
      <c r="N296" t="str">
        <f>IFERROR(INDEX(Başvuru!$C:$C,MATCH(288,Başvuru!$X:$X,0)),"")</f>
        <v>Prof. Dr. Okan Bülent YILDIZ</v>
      </c>
    </row>
    <row r="297" spans="14:14" ht="15" customHeight="1" x14ac:dyDescent="0.25">
      <c r="N297" t="str">
        <f>IFERROR(INDEX(Başvuru!$C:$C,MATCH(289,Başvuru!$X:$X,0)),"")</f>
        <v>Prof. Dr. Onur KESKİN</v>
      </c>
    </row>
    <row r="298" spans="14:14" ht="15" customHeight="1" x14ac:dyDescent="0.25">
      <c r="N298" t="str">
        <f>IFERROR(INDEX(Başvuru!$C:$C,MATCH(290,Başvuru!$X:$X,0)),"")</f>
        <v>Prof. Dr. Orhan ODABAŞI</v>
      </c>
    </row>
    <row r="299" spans="14:14" ht="15" customHeight="1" x14ac:dyDescent="0.25">
      <c r="N299" t="str">
        <f>IFERROR(INDEX(Başvuru!$C:$C,MATCH(291,Başvuru!$X:$X,0)),"")</f>
        <v>Prof. Dr. Oya ÖZDEMİR</v>
      </c>
    </row>
    <row r="300" spans="14:14" ht="15" customHeight="1" x14ac:dyDescent="0.25">
      <c r="N300" t="str">
        <f>IFERROR(INDEX(Başvuru!$C:$C,MATCH(292,Başvuru!$X:$X,0)),"")</f>
        <v>Prof. Dr. Ömer Alper GÜRLEK</v>
      </c>
    </row>
    <row r="301" spans="14:14" ht="15" customHeight="1" x14ac:dyDescent="0.25">
      <c r="N301" t="str">
        <f>IFERROR(INDEX(Başvuru!$C:$C,MATCH(293,Başvuru!$X:$X,0)),"")</f>
        <v>Prof. Dr. Ömer KARADAĞ</v>
      </c>
    </row>
    <row r="302" spans="14:14" ht="15" customHeight="1" x14ac:dyDescent="0.25">
      <c r="N302" t="str">
        <f>IFERROR(INDEX(Başvuru!$C:$C,MATCH(294,Başvuru!$X:$X,0)),"")</f>
        <v>Prof. Dr. Ömer UĞUR</v>
      </c>
    </row>
    <row r="303" spans="14:14" ht="15" customHeight="1" x14ac:dyDescent="0.25">
      <c r="N303" t="str">
        <f>IFERROR(INDEX(Başvuru!$C:$C,MATCH(295,Başvuru!$X:$X,0)),"")</f>
        <v>Prof. Dr. Ömrüm UZUN</v>
      </c>
    </row>
    <row r="304" spans="14:14" ht="15" customHeight="1" x14ac:dyDescent="0.25">
      <c r="N304" t="str">
        <f>IFERROR(INDEX(Başvuru!$C:$C,MATCH(296,Başvuru!$X:$X,0)),"")</f>
        <v>Prof. Dr. Ömür ÇAĞLAR</v>
      </c>
    </row>
    <row r="305" spans="14:14" ht="15" customHeight="1" x14ac:dyDescent="0.25">
      <c r="N305" t="str">
        <f>IFERROR(INDEX(Başvuru!$C:$C,MATCH(297,Başvuru!$X:$X,0)),"")</f>
        <v>Prof. Dr. Ömür ÇELİKBIÇAK</v>
      </c>
    </row>
    <row r="306" spans="14:14" ht="15" customHeight="1" x14ac:dyDescent="0.25">
      <c r="N306" t="str">
        <f>IFERROR(INDEX(Başvuru!$C:$C,MATCH(298,Başvuru!$X:$X,0)),"")</f>
        <v>Prof. Dr. Özge UYSAL SOYER</v>
      </c>
    </row>
    <row r="307" spans="14:14" ht="15" customHeight="1" x14ac:dyDescent="0.25">
      <c r="N307" t="str">
        <f>IFERROR(INDEX(Başvuru!$C:$C,MATCH(299,Başvuru!$X:$X,0)),"")</f>
        <v>Prof. Dr. Özgür UĞURLUOĞLU</v>
      </c>
    </row>
    <row r="308" spans="14:14" ht="15" customHeight="1" x14ac:dyDescent="0.25">
      <c r="N308" t="str">
        <f>IFERROR(INDEX(Başvuru!$C:$C,MATCH(300,Başvuru!$X:$X,0)),"")</f>
        <v>Prof. Dr. Özlem BOYBEYİ</v>
      </c>
    </row>
    <row r="309" spans="14:14" ht="15" customHeight="1" x14ac:dyDescent="0.25">
      <c r="N309" t="str">
        <f>IFERROR(INDEX(Başvuru!$C:$C,MATCH(301,Başvuru!$X:$X,0)),"")</f>
        <v>Prof. Dr. Özlem TEKŞAM</v>
      </c>
    </row>
    <row r="310" spans="14:14" ht="15" customHeight="1" x14ac:dyDescent="0.25">
      <c r="N310" t="str">
        <f>IFERROR(INDEX(Başvuru!$C:$C,MATCH(302,Başvuru!$X:$X,0)),"")</f>
        <v>Prof. Dr. Pelin Özlem ŞİMŞEK KİPER</v>
      </c>
    </row>
    <row r="311" spans="14:14" ht="15" customHeight="1" x14ac:dyDescent="0.25">
      <c r="N311" t="str">
        <f>IFERROR(INDEX(Başvuru!$C:$C,MATCH(303,Başvuru!$X:$X,0)),"")</f>
        <v>Prof. Dr. Pergin ATİLLA</v>
      </c>
    </row>
    <row r="312" spans="14:14" ht="15" customHeight="1" x14ac:dyDescent="0.25">
      <c r="N312" t="str">
        <f>IFERROR(INDEX(Başvuru!$C:$C,MATCH(304,Başvuru!$X:$X,0)),"")</f>
        <v>Prof. Dr. Petek KORKUSUZ</v>
      </c>
    </row>
    <row r="313" spans="14:14" ht="15" customHeight="1" x14ac:dyDescent="0.25">
      <c r="N313" t="str">
        <f>IFERROR(INDEX(Başvuru!$C:$C,MATCH(305,Başvuru!$X:$X,0)),"")</f>
        <v>Prof. Dr. Reyhan ATASÜ TOPÇUOĞLU</v>
      </c>
    </row>
    <row r="314" spans="14:14" ht="15" customHeight="1" x14ac:dyDescent="0.25">
      <c r="N314" t="str">
        <f>IFERROR(INDEX(Başvuru!$C:$C,MATCH(306,Başvuru!$X:$X,0)),"")</f>
        <v>Prof. Dr. Rıza Köksal ÖZGÜL</v>
      </c>
    </row>
    <row r="315" spans="14:14" ht="15" customHeight="1" x14ac:dyDescent="0.25">
      <c r="N315" t="str">
        <f>IFERROR(INDEX(Başvuru!$C:$C,MATCH(307,Başvuru!$X:$X,0)),"")</f>
        <v>Prof. Dr. Sadi KAPLAN</v>
      </c>
    </row>
    <row r="316" spans="14:14" ht="15" customHeight="1" x14ac:dyDescent="0.25">
      <c r="N316" t="str">
        <f>IFERROR(INDEX(Başvuru!$C:$C,MATCH(308,Başvuru!$X:$X,0)),"")</f>
        <v>Prof. Dr. Salih AKSU</v>
      </c>
    </row>
    <row r="317" spans="14:14" ht="15" customHeight="1" x14ac:dyDescent="0.25">
      <c r="N317" t="str">
        <f>IFERROR(INDEX(Başvuru!$C:$C,MATCH(309,Başvuru!$X:$X,0)),"")</f>
        <v>Prof. Dr. Salih Kutay DEMİRKAN</v>
      </c>
    </row>
    <row r="318" spans="14:14" ht="15" customHeight="1" x14ac:dyDescent="0.25">
      <c r="N318" t="str">
        <f>IFERROR(INDEX(Başvuru!$C:$C,MATCH(310,Başvuru!$X:$X,0)),"")</f>
        <v>Prof. Dr. Saniye EKİNCİ</v>
      </c>
    </row>
    <row r="319" spans="14:14" ht="15" customHeight="1" x14ac:dyDescent="0.25">
      <c r="N319" t="str">
        <f>IFERROR(INDEX(Başvuru!$C:$C,MATCH(311,Başvuru!$X:$X,0)),"")</f>
        <v>Prof. Dr. Seda Banu AKINCI</v>
      </c>
    </row>
    <row r="320" spans="14:14" ht="15" customHeight="1" x14ac:dyDescent="0.25">
      <c r="N320" t="str">
        <f>IFERROR(INDEX(Başvuru!$C:$C,MATCH(312,Başvuru!$X:$X,0)),"")</f>
        <v>Prof. Dr. Selçuk DAĞDELEN</v>
      </c>
    </row>
    <row r="321" spans="14:14" ht="15" customHeight="1" x14ac:dyDescent="0.25">
      <c r="N321" t="str">
        <f>IFERROR(INDEX(Başvuru!$C:$C,MATCH(313,Başvuru!$X:$X,0)),"")</f>
        <v>Prof. Dr. Selin AYTAÇ EYÜPOĞLU</v>
      </c>
    </row>
    <row r="322" spans="14:14" ht="15" customHeight="1" x14ac:dyDescent="0.25">
      <c r="N322" t="str">
        <f>IFERROR(INDEX(Başvuru!$C:$C,MATCH(314,Başvuru!$X:$X,0)),"")</f>
        <v>Prof. Dr. Selis ÖNEL KAYRAN</v>
      </c>
    </row>
    <row r="323" spans="14:14" ht="15" customHeight="1" x14ac:dyDescent="0.25">
      <c r="N323" t="str">
        <f>IFERROR(INDEX(Başvuru!$C:$C,MATCH(315,Başvuru!$X:$X,0)),"")</f>
        <v>Prof. Dr. Serap AYDIN</v>
      </c>
    </row>
    <row r="324" spans="14:14" ht="15" customHeight="1" x14ac:dyDescent="0.25">
      <c r="N324" t="str">
        <f>IFERROR(INDEX(Başvuru!$C:$C,MATCH(316,Başvuru!$X:$X,0)),"")</f>
        <v>Prof. Dr. Serdar ÖZER</v>
      </c>
    </row>
    <row r="325" spans="14:14" ht="15" customHeight="1" x14ac:dyDescent="0.25">
      <c r="N325" t="str">
        <f>IFERROR(INDEX(Başvuru!$C:$C,MATCH(317,Başvuru!$X:$X,0)),"")</f>
        <v>Prof. Dr. Serdar TEKGÜL</v>
      </c>
    </row>
    <row r="326" spans="14:14" ht="15" customHeight="1" x14ac:dyDescent="0.25">
      <c r="N326" t="str">
        <f>IFERROR(INDEX(Başvuru!$C:$C,MATCH(318,Başvuru!$X:$X,0)),"")</f>
        <v>Prof. Dr. Sevinç SARINÇ</v>
      </c>
    </row>
    <row r="327" spans="14:14" ht="15" customHeight="1" x14ac:dyDescent="0.25">
      <c r="N327" t="str">
        <f>IFERROR(INDEX(Başvuru!$C:$C,MATCH(319,Başvuru!$X:$X,0)),"")</f>
        <v>Prof. Dr. Seza ÖZEN</v>
      </c>
    </row>
    <row r="328" spans="14:14" ht="15" customHeight="1" x14ac:dyDescent="0.25">
      <c r="N328" t="str">
        <f>IFERROR(INDEX(Başvuru!$C:$C,MATCH(320,Başvuru!$X:$X,0)),"")</f>
        <v>Prof. Dr. Sıddika Songül YALÇIN</v>
      </c>
    </row>
    <row r="329" spans="14:14" ht="15" customHeight="1" x14ac:dyDescent="0.25">
      <c r="N329" t="str">
        <f>IFERROR(INDEX(Başvuru!$C:$C,MATCH(321,Başvuru!$X:$X,0)),"")</f>
        <v>Prof. Dr. Sibel DOĞAN GÜNAYDIN</v>
      </c>
    </row>
    <row r="330" spans="14:14" ht="15" customHeight="1" x14ac:dyDescent="0.25">
      <c r="N330" t="str">
        <f>IFERROR(INDEX(Başvuru!$C:$C,MATCH(322,Başvuru!$X:$X,0)),"")</f>
        <v>Prof. Dr. Sibel ERSOY EVANS</v>
      </c>
    </row>
    <row r="331" spans="14:14" ht="15" customHeight="1" x14ac:dyDescent="0.25">
      <c r="N331" t="str">
        <f>IFERROR(INDEX(Başvuru!$C:$C,MATCH(323,Başvuru!$X:$X,0)),"")</f>
        <v>Prof. Dr. Sinem AKGÜL</v>
      </c>
    </row>
    <row r="332" spans="14:14" ht="15" customHeight="1" x14ac:dyDescent="0.25">
      <c r="N332" t="str">
        <f>IFERROR(INDEX(Başvuru!$C:$C,MATCH(324,Başvuru!$X:$X,0)),"")</f>
        <v>Prof. Dr. Şehnaz ALP</v>
      </c>
    </row>
    <row r="333" spans="14:14" ht="15" customHeight="1" x14ac:dyDescent="0.25">
      <c r="N333" t="str">
        <f>IFERROR(INDEX(Başvuru!$C:$C,MATCH(325,Başvuru!$X:$X,0)),"")</f>
        <v>Prof. Dr. Şevket Murat ÖZBEK</v>
      </c>
    </row>
    <row r="334" spans="14:14" ht="15" customHeight="1" x14ac:dyDescent="0.25">
      <c r="N334" t="str">
        <f>IFERROR(INDEX(Başvuru!$C:$C,MATCH(326,Başvuru!$X:$X,0)),"")</f>
        <v>Prof. Dr. Şevkiye Selin AYTAÇ EYÜPOĞLU</v>
      </c>
    </row>
    <row r="335" spans="14:14" ht="15" customHeight="1" x14ac:dyDescent="0.25">
      <c r="N335" t="str">
        <f>IFERROR(INDEX(Başvuru!$C:$C,MATCH(327,Başvuru!$X:$X,0)),"")</f>
        <v>Prof. Dr. Şule ÜNAL CANGÜL</v>
      </c>
    </row>
    <row r="336" spans="14:14" ht="15" customHeight="1" x14ac:dyDescent="0.25">
      <c r="N336" t="str">
        <f>IFERROR(INDEX(Başvuru!$C:$C,MATCH(328,Başvuru!$X:$X,0)),"")</f>
        <v>Prof. Dr. Şükrü Alpan CİNEMRE</v>
      </c>
    </row>
    <row r="337" spans="14:14" ht="15" customHeight="1" x14ac:dyDescent="0.25">
      <c r="N337" t="str">
        <f>IFERROR(INDEX(Başvuru!$C:$C,MATCH(329,Başvuru!$X:$X,0)),"")</f>
        <v>Prof. Dr. Taner YILMAZ</v>
      </c>
    </row>
    <row r="338" spans="14:14" ht="15" customHeight="1" x14ac:dyDescent="0.25">
      <c r="N338" t="str">
        <f>IFERROR(INDEX(Başvuru!$C:$C,MATCH(330,Başvuru!$X:$X,0)),"")</f>
        <v>Prof. Dr. Tarık TUNCAY</v>
      </c>
    </row>
    <row r="339" spans="14:14" ht="15" customHeight="1" x14ac:dyDescent="0.25">
      <c r="N339" t="str">
        <f>IFERROR(INDEX(Başvuru!$C:$C,MATCH(331,Başvuru!$X:$X,0)),"")</f>
        <v>Prof. Dr. Taylan KAV</v>
      </c>
    </row>
    <row r="340" spans="14:14" ht="15" customHeight="1" x14ac:dyDescent="0.25">
      <c r="N340" t="str">
        <f>IFERROR(INDEX(Başvuru!$C:$C,MATCH(332,Başvuru!$X:$X,0)),"")</f>
        <v>Prof. Dr. Turgut Emrah BOZKURT</v>
      </c>
    </row>
    <row r="341" spans="14:14" ht="15" customHeight="1" x14ac:dyDescent="0.25">
      <c r="N341" t="str">
        <f>IFERROR(INDEX(Başvuru!$C:$C,MATCH(333,Başvuru!$X:$X,0)),"")</f>
        <v>Prof. Dr. Tutku SOYER</v>
      </c>
    </row>
    <row r="342" spans="14:14" ht="15" customHeight="1" x14ac:dyDescent="0.25">
      <c r="N342" t="str">
        <f>IFERROR(INDEX(Başvuru!$C:$C,MATCH(334,Başvuru!$X:$X,0)),"")</f>
        <v>Prof. Dr. Uğur CANPOLAT</v>
      </c>
    </row>
    <row r="343" spans="14:14" ht="15" customHeight="1" x14ac:dyDescent="0.25">
      <c r="N343" t="str">
        <f>IFERROR(INDEX(Başvuru!$C:$C,MATCH(335,Başvuru!$X:$X,0)),"")</f>
        <v>Prof. Dr. Uğur ÜNLÜTÜRK</v>
      </c>
    </row>
    <row r="344" spans="14:14" ht="15" customHeight="1" x14ac:dyDescent="0.25">
      <c r="N344" t="str">
        <f>IFERROR(INDEX(Başvuru!$C:$C,MATCH(336,Başvuru!$X:$X,0)),"")</f>
        <v>Prof. Dr. Umut KALYONCU</v>
      </c>
    </row>
    <row r="345" spans="14:14" ht="15" customHeight="1" x14ac:dyDescent="0.25">
      <c r="N345" t="str">
        <f>IFERROR(INDEX(Başvuru!$C:$C,MATCH(337,Başvuru!$X:$X,0)),"")</f>
        <v>Prof. Dr. Uzay KOÇ VURAL</v>
      </c>
    </row>
    <row r="346" spans="14:14" ht="15" customHeight="1" x14ac:dyDescent="0.25">
      <c r="N346" t="str">
        <f>IFERROR(INDEX(Başvuru!$C:$C,MATCH(338,Başvuru!$X:$X,0)),"")</f>
        <v>Prof. Dr. Ülfet Pınar ERKEKOĞLU</v>
      </c>
    </row>
    <row r="347" spans="14:14" ht="15" customHeight="1" x14ac:dyDescent="0.25">
      <c r="N347" t="str">
        <f>IFERROR(INDEX(Başvuru!$C:$C,MATCH(339,Başvuru!$X:$X,0)),"")</f>
        <v>Prof. Dr. Ülkü ÜNDEĞER BUCURGAT</v>
      </c>
    </row>
    <row r="348" spans="14:14" ht="15" customHeight="1" x14ac:dyDescent="0.25">
      <c r="N348" t="str">
        <f>IFERROR(INDEX(Başvuru!$C:$C,MATCH(340,Başvuru!$X:$X,0)),"")</f>
        <v>Prof. Dr. Ümit Murat ŞAHİNER</v>
      </c>
    </row>
    <row r="349" spans="14:14" ht="15" customHeight="1" x14ac:dyDescent="0.25">
      <c r="N349" t="str">
        <f>IFERROR(INDEX(Başvuru!$C:$C,MATCH(341,Başvuru!$X:$X,0)),"")</f>
        <v>Prof. Dr. Ümit Yavuz MALKAN</v>
      </c>
    </row>
    <row r="350" spans="14:14" ht="15" customHeight="1" x14ac:dyDescent="0.25">
      <c r="N350" t="str">
        <f>IFERROR(INDEX(Başvuru!$C:$C,MATCH(342,Başvuru!$X:$X,0)),"")</f>
        <v>Prof. Dr. Yahya BÜYÜKAŞIK</v>
      </c>
    </row>
    <row r="351" spans="14:14" ht="15" customHeight="1" x14ac:dyDescent="0.25">
      <c r="N351" t="str">
        <f>IFERROR(INDEX(Başvuru!$C:$C,MATCH(343,Başvuru!$X:$X,0)),"")</f>
        <v>Prof. Dr. Yakut AKYÖN YILMAZ</v>
      </c>
    </row>
    <row r="352" spans="14:14" ht="15" customHeight="1" x14ac:dyDescent="0.25">
      <c r="N352" t="str">
        <f>IFERROR(INDEX(Başvuru!$C:$C,MATCH(344,Başvuru!$X:$X,0)),"")</f>
        <v>Prof. Dr. Yasemin ÖZSÜREKCİ</v>
      </c>
    </row>
    <row r="353" spans="14:14" ht="15" customHeight="1" x14ac:dyDescent="0.25">
      <c r="N353" t="str">
        <f>IFERROR(INDEX(Başvuru!$C:$C,MATCH(345,Başvuru!$X:$X,0)),"")</f>
        <v>Prof. Dr. Yavuz AYHAN</v>
      </c>
    </row>
    <row r="354" spans="14:14" ht="15" customHeight="1" x14ac:dyDescent="0.25">
      <c r="N354" t="str">
        <f>IFERROR(INDEX(Başvuru!$C:$C,MATCH(346,Başvuru!$X:$X,0)),"")</f>
        <v>Prof. Dr. Yelda BİLGİNER</v>
      </c>
    </row>
    <row r="355" spans="14:14" ht="15" customHeight="1" x14ac:dyDescent="0.25">
      <c r="N355" t="str">
        <f>IFERROR(INDEX(Başvuru!$C:$C,MATCH(347,Başvuru!$X:$X,0)),"")</f>
        <v>Prof. Dr. Zafer Selçuk TUNCER</v>
      </c>
    </row>
    <row r="356" spans="14:14" ht="15" customHeight="1" x14ac:dyDescent="0.25">
      <c r="N356" t="str">
        <f>IFERROR(INDEX(Başvuru!$C:$C,MATCH(348,Başvuru!$X:$X,0)),"")</f>
        <v/>
      </c>
    </row>
    <row r="357" spans="14:14" ht="15" customHeight="1" x14ac:dyDescent="0.25">
      <c r="N357" t="str">
        <f>IFERROR(INDEX(Başvuru!$C:$C,MATCH(349,Başvuru!$X:$X,0)),"")</f>
        <v/>
      </c>
    </row>
    <row r="358" spans="14:14" ht="15" customHeight="1" x14ac:dyDescent="0.25">
      <c r="N358" t="str">
        <f>IFERROR(INDEX(Başvuru!$C:$C,MATCH(350,Başvuru!$X:$X,0)),"")</f>
        <v/>
      </c>
    </row>
    <row r="359" spans="14:14" ht="15" customHeight="1" x14ac:dyDescent="0.25">
      <c r="N359" t="str">
        <f>IFERROR(INDEX(Başvuru!$C:$C,MATCH(351,Başvuru!$X:$X,0)),"")</f>
        <v/>
      </c>
    </row>
    <row r="360" spans="14:14" ht="15" customHeight="1" x14ac:dyDescent="0.25">
      <c r="N360" t="str">
        <f>IFERROR(INDEX(Başvuru!$C:$C,MATCH(352,Başvuru!$X:$X,0)),"")</f>
        <v/>
      </c>
    </row>
    <row r="361" spans="14:14" ht="15" customHeight="1" x14ac:dyDescent="0.25">
      <c r="N361" t="str">
        <f>IFERROR(INDEX(Başvuru!$C:$C,MATCH(353,Başvuru!$X:$X,0)),"")</f>
        <v/>
      </c>
    </row>
    <row r="362" spans="14:14" ht="15" customHeight="1" x14ac:dyDescent="0.25">
      <c r="N362" t="str">
        <f>IFERROR(INDEX(Başvuru!$C:$C,MATCH(354,Başvuru!$X:$X,0)),"")</f>
        <v/>
      </c>
    </row>
    <row r="363" spans="14:14" ht="15" customHeight="1" x14ac:dyDescent="0.25">
      <c r="N363" t="str">
        <f>IFERROR(INDEX(Başvuru!$C:$C,MATCH(355,Başvuru!$X:$X,0)),"")</f>
        <v/>
      </c>
    </row>
    <row r="364" spans="14:14" ht="15" customHeight="1" x14ac:dyDescent="0.25">
      <c r="N364" t="str">
        <f>IFERROR(INDEX(Başvuru!$C:$C,MATCH(356,Başvuru!$X:$X,0)),"")</f>
        <v/>
      </c>
    </row>
    <row r="365" spans="14:14" ht="15" customHeight="1" x14ac:dyDescent="0.25">
      <c r="N365" t="str">
        <f>IFERROR(INDEX(Başvuru!$C:$C,MATCH(357,Başvuru!$X:$X,0)),"")</f>
        <v/>
      </c>
    </row>
    <row r="366" spans="14:14" ht="15" customHeight="1" x14ac:dyDescent="0.25">
      <c r="N366" t="str">
        <f>IFERROR(INDEX(Başvuru!$C:$C,MATCH(358,Başvuru!$X:$X,0)),"")</f>
        <v/>
      </c>
    </row>
    <row r="367" spans="14:14" ht="15" customHeight="1" x14ac:dyDescent="0.25">
      <c r="N367" t="str">
        <f>IFERROR(INDEX(Başvuru!$C:$C,MATCH(359,Başvuru!$X:$X,0)),"")</f>
        <v/>
      </c>
    </row>
    <row r="368" spans="14:14" ht="15" customHeight="1" x14ac:dyDescent="0.25">
      <c r="N368" t="str">
        <f>IFERROR(INDEX(Başvuru!$C:$C,MATCH(360,Başvuru!$X:$X,0)),"")</f>
        <v/>
      </c>
    </row>
    <row r="369" spans="14:14" ht="15" customHeight="1" x14ac:dyDescent="0.25">
      <c r="N369" t="str">
        <f>IFERROR(INDEX(Başvuru!$C:$C,MATCH(361,Başvuru!$X:$X,0)),"")</f>
        <v/>
      </c>
    </row>
    <row r="370" spans="14:14" ht="15" customHeight="1" x14ac:dyDescent="0.25">
      <c r="N370" t="str">
        <f>IFERROR(INDEX(Başvuru!$C:$C,MATCH(362,Başvuru!$X:$X,0)),"")</f>
        <v/>
      </c>
    </row>
    <row r="371" spans="14:14" ht="15" customHeight="1" x14ac:dyDescent="0.25">
      <c r="N371" t="str">
        <f>IFERROR(INDEX(Başvuru!$C:$C,MATCH(363,Başvuru!$X:$X,0)),"")</f>
        <v/>
      </c>
    </row>
    <row r="372" spans="14:14" ht="15" customHeight="1" x14ac:dyDescent="0.25">
      <c r="N372" t="str">
        <f>IFERROR(INDEX(Başvuru!$C:$C,MATCH(364,Başvuru!$X:$X,0)),"")</f>
        <v/>
      </c>
    </row>
    <row r="373" spans="14:14" ht="15" customHeight="1" x14ac:dyDescent="0.25">
      <c r="N373" t="str">
        <f>IFERROR(INDEX(Başvuru!$C:$C,MATCH(365,Başvuru!$X:$X,0)),"")</f>
        <v/>
      </c>
    </row>
    <row r="374" spans="14:14" ht="15" customHeight="1" x14ac:dyDescent="0.25">
      <c r="N374" t="str">
        <f>IFERROR(INDEX(Başvuru!$C:$C,MATCH(366,Başvuru!$X:$X,0)),"")</f>
        <v/>
      </c>
    </row>
    <row r="375" spans="14:14" ht="15" customHeight="1" x14ac:dyDescent="0.25">
      <c r="N375" t="str">
        <f>IFERROR(INDEX(Başvuru!$C:$C,MATCH(367,Başvuru!$X:$X,0)),"")</f>
        <v/>
      </c>
    </row>
    <row r="376" spans="14:14" ht="15" customHeight="1" x14ac:dyDescent="0.25">
      <c r="N376" t="str">
        <f>IFERROR(INDEX(Başvuru!$C:$C,MATCH(368,Başvuru!$X:$X,0)),"")</f>
        <v/>
      </c>
    </row>
    <row r="377" spans="14:14" ht="15" customHeight="1" x14ac:dyDescent="0.25">
      <c r="N377" t="str">
        <f>IFERROR(INDEX(Başvuru!$C:$C,MATCH(369,Başvuru!$X:$X,0)),"")</f>
        <v/>
      </c>
    </row>
    <row r="378" spans="14:14" ht="15" customHeight="1" x14ac:dyDescent="0.25">
      <c r="N378" t="str">
        <f>IFERROR(INDEX(Başvuru!$C:$C,MATCH(370,Başvuru!$X:$X,0)),"")</f>
        <v/>
      </c>
    </row>
    <row r="379" spans="14:14" ht="15" customHeight="1" x14ac:dyDescent="0.25">
      <c r="N379" t="str">
        <f>IFERROR(INDEX(Başvuru!$C:$C,MATCH(371,Başvuru!$X:$X,0)),"")</f>
        <v/>
      </c>
    </row>
    <row r="380" spans="14:14" ht="15" customHeight="1" x14ac:dyDescent="0.25">
      <c r="N380" t="str">
        <f>IFERROR(INDEX(Başvuru!$C:$C,MATCH(372,Başvuru!$X:$X,0)),"")</f>
        <v/>
      </c>
    </row>
    <row r="381" spans="14:14" ht="15" customHeight="1" x14ac:dyDescent="0.25">
      <c r="N381" t="str">
        <f>IFERROR(INDEX(Başvuru!$C:$C,MATCH(373,Başvuru!$X:$X,0)),"")</f>
        <v/>
      </c>
    </row>
    <row r="382" spans="14:14" ht="15" customHeight="1" x14ac:dyDescent="0.25">
      <c r="N382" t="str">
        <f>IFERROR(INDEX(Başvuru!$C:$C,MATCH(374,Başvuru!$X:$X,0)),"")</f>
        <v/>
      </c>
    </row>
    <row r="383" spans="14:14" ht="15" customHeight="1" x14ac:dyDescent="0.25">
      <c r="N383" t="str">
        <f>IFERROR(INDEX(Başvuru!$C:$C,MATCH(375,Başvuru!$X:$X,0)),"")</f>
        <v/>
      </c>
    </row>
    <row r="384" spans="14:14" ht="15" customHeight="1" x14ac:dyDescent="0.25">
      <c r="N384" t="str">
        <f>IFERROR(INDEX(Başvuru!$C:$C,MATCH(376,Başvuru!$X:$X,0)),"")</f>
        <v/>
      </c>
    </row>
    <row r="385" spans="14:14" ht="15" customHeight="1" x14ac:dyDescent="0.25">
      <c r="N385" t="str">
        <f>IFERROR(INDEX(Başvuru!$C:$C,MATCH(377,Başvuru!$X:$X,0)),"")</f>
        <v/>
      </c>
    </row>
    <row r="386" spans="14:14" ht="15" customHeight="1" x14ac:dyDescent="0.25">
      <c r="N386" t="str">
        <f>IFERROR(INDEX(Başvuru!$C:$C,MATCH(378,Başvuru!$X:$X,0)),"")</f>
        <v/>
      </c>
    </row>
    <row r="387" spans="14:14" ht="15" customHeight="1" x14ac:dyDescent="0.25">
      <c r="N387" t="str">
        <f>IFERROR(INDEX(Başvuru!$C:$C,MATCH(379,Başvuru!$X:$X,0)),"")</f>
        <v/>
      </c>
    </row>
    <row r="388" spans="14:14" ht="15" customHeight="1" x14ac:dyDescent="0.25">
      <c r="N388" t="str">
        <f>IFERROR(INDEX(Başvuru!$C:$C,MATCH(380,Başvuru!$X:$X,0)),"")</f>
        <v/>
      </c>
    </row>
    <row r="389" spans="14:14" ht="15" customHeight="1" x14ac:dyDescent="0.25">
      <c r="N389" t="str">
        <f>IFERROR(INDEX(Başvuru!$C:$C,MATCH(381,Başvuru!$X:$X,0)),"")</f>
        <v/>
      </c>
    </row>
    <row r="390" spans="14:14" ht="15" customHeight="1" x14ac:dyDescent="0.25">
      <c r="N390" t="str">
        <f>IFERROR(INDEX(Başvuru!$C:$C,MATCH(382,Başvuru!$X:$X,0)),"")</f>
        <v/>
      </c>
    </row>
    <row r="391" spans="14:14" ht="15" customHeight="1" x14ac:dyDescent="0.25">
      <c r="N391" t="str">
        <f>IFERROR(INDEX(Başvuru!$C:$C,MATCH(383,Başvuru!$X:$X,0)),"")</f>
        <v/>
      </c>
    </row>
    <row r="392" spans="14:14" ht="15" customHeight="1" x14ac:dyDescent="0.25">
      <c r="N392" t="str">
        <f>IFERROR(INDEX(Başvuru!$C:$C,MATCH(384,Başvuru!$X:$X,0)),"")</f>
        <v/>
      </c>
    </row>
    <row r="393" spans="14:14" ht="15" customHeight="1" x14ac:dyDescent="0.25">
      <c r="N393" t="str">
        <f>IFERROR(INDEX(Başvuru!$C:$C,MATCH(385,Başvuru!$X:$X,0)),"")</f>
        <v/>
      </c>
    </row>
    <row r="394" spans="14:14" ht="15" customHeight="1" x14ac:dyDescent="0.25">
      <c r="N394" t="str">
        <f>IFERROR(INDEX(Başvuru!$C:$C,MATCH(386,Başvuru!$X:$X,0)),"")</f>
        <v/>
      </c>
    </row>
    <row r="395" spans="14:14" ht="15" customHeight="1" x14ac:dyDescent="0.25">
      <c r="N395" t="str">
        <f>IFERROR(INDEX(Başvuru!$C:$C,MATCH(387,Başvuru!$X:$X,0)),"")</f>
        <v/>
      </c>
    </row>
    <row r="396" spans="14:14" ht="15" customHeight="1" x14ac:dyDescent="0.25">
      <c r="N396" t="str">
        <f>IFERROR(INDEX(Başvuru!$C:$C,MATCH(388,Başvuru!$X:$X,0)),"")</f>
        <v/>
      </c>
    </row>
    <row r="397" spans="14:14" ht="15" customHeight="1" x14ac:dyDescent="0.25">
      <c r="N397" t="str">
        <f>IFERROR(INDEX(Başvuru!$C:$C,MATCH(389,Başvuru!$X:$X,0)),"")</f>
        <v/>
      </c>
    </row>
    <row r="398" spans="14:14" ht="15" customHeight="1" x14ac:dyDescent="0.25">
      <c r="N398" t="str">
        <f>IFERROR(INDEX(Başvuru!$C:$C,MATCH(390,Başvuru!$X:$X,0)),"")</f>
        <v/>
      </c>
    </row>
    <row r="399" spans="14:14" ht="15" customHeight="1" x14ac:dyDescent="0.25">
      <c r="N399" t="str">
        <f>IFERROR(INDEX(Başvuru!$C:$C,MATCH(391,Başvuru!$X:$X,0)),"")</f>
        <v/>
      </c>
    </row>
    <row r="400" spans="14:14" ht="15" customHeight="1" x14ac:dyDescent="0.25">
      <c r="N400" t="str">
        <f>IFERROR(INDEX(Başvuru!$C:$C,MATCH(392,Başvuru!$X:$X,0)),"")</f>
        <v/>
      </c>
    </row>
    <row r="401" spans="14:14" ht="15" customHeight="1" x14ac:dyDescent="0.25">
      <c r="N401" t="str">
        <f>IFERROR(INDEX(Başvuru!$C:$C,MATCH(393,Başvuru!$X:$X,0)),"")</f>
        <v/>
      </c>
    </row>
    <row r="402" spans="14:14" ht="15" customHeight="1" x14ac:dyDescent="0.25">
      <c r="N402" t="str">
        <f>IFERROR(INDEX(Başvuru!$C:$C,MATCH(394,Başvuru!$X:$X,0)),"")</f>
        <v/>
      </c>
    </row>
    <row r="403" spans="14:14" ht="15" customHeight="1" x14ac:dyDescent="0.25">
      <c r="N403" t="str">
        <f>IFERROR(INDEX(Başvuru!$C:$C,MATCH(395,Başvuru!$X:$X,0)),"")</f>
        <v/>
      </c>
    </row>
    <row r="404" spans="14:14" ht="15" customHeight="1" x14ac:dyDescent="0.25">
      <c r="N404" t="str">
        <f>IFERROR(INDEX(Başvuru!$C:$C,MATCH(396,Başvuru!$X:$X,0)),"")</f>
        <v/>
      </c>
    </row>
    <row r="405" spans="14:14" ht="15" customHeight="1" x14ac:dyDescent="0.25">
      <c r="N405" t="str">
        <f>IFERROR(INDEX(Başvuru!$C:$C,MATCH(397,Başvuru!$X:$X,0)),"")</f>
        <v/>
      </c>
    </row>
    <row r="406" spans="14:14" ht="15" customHeight="1" x14ac:dyDescent="0.25">
      <c r="N406" t="str">
        <f>IFERROR(INDEX(Başvuru!$C:$C,MATCH(398,Başvuru!$X:$X,0)),"")</f>
        <v/>
      </c>
    </row>
    <row r="407" spans="14:14" ht="15" customHeight="1" x14ac:dyDescent="0.25">
      <c r="N407" t="str">
        <f>IFERROR(INDEX(Başvuru!$C:$C,MATCH(399,Başvuru!$X:$X,0)),"")</f>
        <v/>
      </c>
    </row>
    <row r="408" spans="14:14" ht="15" customHeight="1" x14ac:dyDescent="0.25">
      <c r="N408" t="str">
        <f>IFERROR(INDEX(Başvuru!$C:$C,MATCH(400,Başvuru!$X:$X,0)),"")</f>
        <v/>
      </c>
    </row>
  </sheetData>
  <mergeCells count="4">
    <mergeCell ref="B2:J2"/>
    <mergeCell ref="B3:J3"/>
    <mergeCell ref="C5:F5"/>
    <mergeCell ref="B39:J39"/>
  </mergeCells>
  <dataValidations count="1">
    <dataValidation type="list" allowBlank="1" errorTitle="Geçersiz seçim" error="Lütfen listeden bir araştırmacı seçin." promptTitle="Araştırmacı Seç" prompt="Açılır listeden bir araştırmacı seçin" sqref="C5" xr:uid="{00000000-0002-0000-0700-000000000000}">
      <formula1>ArastirmaciListesi</formula1>
      <formula2>0</formula2>
    </dataValidation>
  </dataValidations>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FF00"/>
  </sheetPr>
  <dimension ref="A1:F29"/>
  <sheetViews>
    <sheetView showZeros="0" zoomScaleNormal="100" workbookViewId="0">
      <selection activeCell="C21" sqref="C21"/>
    </sheetView>
  </sheetViews>
  <sheetFormatPr defaultColWidth="9.140625" defaultRowHeight="15.75" x14ac:dyDescent="0.25"/>
  <cols>
    <col min="1" max="1" width="9.140625" style="29"/>
    <col min="2" max="2" width="17.85546875" style="29" customWidth="1"/>
    <col min="3" max="3" width="18" style="29" customWidth="1"/>
    <col min="4" max="42" width="9.7109375" style="29" customWidth="1"/>
    <col min="43" max="43" width="12.85546875" style="29" customWidth="1"/>
    <col min="44" max="16384" width="9.140625" style="29"/>
  </cols>
  <sheetData>
    <row r="1" spans="1:6" ht="15.75" customHeight="1" x14ac:dyDescent="0.25">
      <c r="A1" s="229" t="s">
        <v>4566</v>
      </c>
      <c r="B1" s="229"/>
      <c r="C1" s="229"/>
      <c r="D1" s="229"/>
      <c r="E1" s="229"/>
      <c r="F1" s="229"/>
    </row>
    <row r="3" spans="1:6" ht="15.75" customHeight="1" x14ac:dyDescent="0.25">
      <c r="A3" s="192" t="s">
        <v>43</v>
      </c>
      <c r="B3" s="192" t="s">
        <v>4567</v>
      </c>
      <c r="C3" s="192" t="s">
        <v>4568</v>
      </c>
      <c r="D3" s="192" t="s">
        <v>4516</v>
      </c>
      <c r="E3" s="192" t="s">
        <v>4569</v>
      </c>
      <c r="F3" s="192" t="s">
        <v>4570</v>
      </c>
    </row>
    <row r="4" spans="1:6" ht="15.75" customHeight="1" x14ac:dyDescent="0.25">
      <c r="A4" s="192" t="s">
        <v>69</v>
      </c>
      <c r="B4" s="201">
        <v>46028</v>
      </c>
      <c r="C4" s="61">
        <v>55</v>
      </c>
      <c r="D4" s="61">
        <v>16</v>
      </c>
      <c r="E4" s="61">
        <v>9</v>
      </c>
      <c r="F4" s="61">
        <f t="shared" ref="F4:F26" si="0">SUM(C4:E4)</f>
        <v>80</v>
      </c>
    </row>
    <row r="5" spans="1:6" ht="15.75" customHeight="1" x14ac:dyDescent="0.25">
      <c r="A5" s="192" t="s">
        <v>78</v>
      </c>
      <c r="B5" s="201">
        <v>46042</v>
      </c>
      <c r="C5" s="61">
        <v>45</v>
      </c>
      <c r="D5" s="61">
        <v>13</v>
      </c>
      <c r="E5" s="61">
        <v>11</v>
      </c>
      <c r="F5" s="61">
        <f t="shared" si="0"/>
        <v>69</v>
      </c>
    </row>
    <row r="6" spans="1:6" ht="15.75" customHeight="1" x14ac:dyDescent="0.25">
      <c r="A6" s="192" t="s">
        <v>85</v>
      </c>
      <c r="B6" s="201">
        <v>46057</v>
      </c>
      <c r="C6" s="61">
        <v>45</v>
      </c>
      <c r="D6" s="61">
        <v>12</v>
      </c>
      <c r="E6" s="61">
        <v>15</v>
      </c>
      <c r="F6" s="61">
        <f t="shared" si="0"/>
        <v>72</v>
      </c>
    </row>
    <row r="7" spans="1:6" ht="15.75" customHeight="1" x14ac:dyDescent="0.25">
      <c r="A7" s="192" t="s">
        <v>93</v>
      </c>
      <c r="B7" s="201">
        <v>46070</v>
      </c>
      <c r="C7" s="61">
        <v>45</v>
      </c>
      <c r="D7" s="61">
        <v>17</v>
      </c>
      <c r="E7" s="61">
        <v>6</v>
      </c>
      <c r="F7" s="61">
        <f t="shared" si="0"/>
        <v>68</v>
      </c>
    </row>
    <row r="8" spans="1:6" ht="15.75" customHeight="1" x14ac:dyDescent="0.25">
      <c r="A8" s="192" t="s">
        <v>102</v>
      </c>
      <c r="B8" s="201">
        <v>46084</v>
      </c>
      <c r="C8" s="61">
        <v>35</v>
      </c>
      <c r="D8" s="61">
        <v>19</v>
      </c>
      <c r="E8" s="61">
        <v>8</v>
      </c>
      <c r="F8" s="61">
        <f t="shared" si="0"/>
        <v>62</v>
      </c>
    </row>
    <row r="9" spans="1:6" ht="15.75" customHeight="1" x14ac:dyDescent="0.25">
      <c r="A9" s="192" t="s">
        <v>110</v>
      </c>
      <c r="B9" s="201">
        <v>46098</v>
      </c>
      <c r="C9" s="61">
        <v>47</v>
      </c>
      <c r="D9" s="61">
        <v>21</v>
      </c>
      <c r="E9" s="61">
        <v>14</v>
      </c>
      <c r="F9" s="61">
        <f t="shared" si="0"/>
        <v>82</v>
      </c>
    </row>
    <row r="10" spans="1:6" ht="15.75" customHeight="1" x14ac:dyDescent="0.25">
      <c r="A10" s="192" t="s">
        <v>117</v>
      </c>
      <c r="B10" s="201">
        <v>46112</v>
      </c>
      <c r="C10" s="61">
        <v>40</v>
      </c>
      <c r="D10" s="61">
        <v>15</v>
      </c>
      <c r="E10" s="61">
        <v>11</v>
      </c>
      <c r="F10" s="61">
        <f t="shared" si="0"/>
        <v>66</v>
      </c>
    </row>
    <row r="11" spans="1:6" ht="15.75" customHeight="1" x14ac:dyDescent="0.25">
      <c r="A11" s="192" t="s">
        <v>124</v>
      </c>
      <c r="B11" s="201">
        <v>46126</v>
      </c>
      <c r="C11" s="61">
        <v>40</v>
      </c>
      <c r="D11" s="61">
        <v>15</v>
      </c>
      <c r="E11" s="61">
        <v>6</v>
      </c>
      <c r="F11" s="61">
        <f t="shared" si="0"/>
        <v>61</v>
      </c>
    </row>
    <row r="12" spans="1:6" ht="15.75" customHeight="1" x14ac:dyDescent="0.25">
      <c r="A12" s="192" t="s">
        <v>130</v>
      </c>
      <c r="B12" s="201">
        <v>46140</v>
      </c>
      <c r="C12" s="61">
        <v>48</v>
      </c>
      <c r="D12" s="61">
        <v>14</v>
      </c>
      <c r="E12" s="61">
        <v>9</v>
      </c>
      <c r="F12" s="61">
        <f t="shared" si="0"/>
        <v>71</v>
      </c>
    </row>
    <row r="13" spans="1:6" ht="15.75" customHeight="1" x14ac:dyDescent="0.25">
      <c r="A13" s="192" t="s">
        <v>136</v>
      </c>
      <c r="B13" s="201">
        <v>46154</v>
      </c>
      <c r="C13" s="61">
        <v>52</v>
      </c>
      <c r="D13" s="61">
        <v>16</v>
      </c>
      <c r="E13" s="61">
        <v>13</v>
      </c>
      <c r="F13" s="61">
        <f t="shared" si="0"/>
        <v>81</v>
      </c>
    </row>
    <row r="14" spans="1:6" ht="15.75" customHeight="1" x14ac:dyDescent="0.25">
      <c r="A14" s="192" t="s">
        <v>142</v>
      </c>
      <c r="B14" s="201">
        <v>46175</v>
      </c>
      <c r="C14" s="61">
        <v>40</v>
      </c>
      <c r="D14" s="61">
        <v>24</v>
      </c>
      <c r="E14" s="61">
        <v>10</v>
      </c>
      <c r="F14" s="61">
        <f t="shared" si="0"/>
        <v>74</v>
      </c>
    </row>
    <row r="15" spans="1:6" ht="15.75" customHeight="1" x14ac:dyDescent="0.25">
      <c r="A15" s="192" t="s">
        <v>147</v>
      </c>
      <c r="B15" s="201">
        <v>46196</v>
      </c>
      <c r="C15" s="61">
        <f>COUNTIFS(Başvuru!$I:$I,B15,Başvuru!$I:$I,"&lt;&gt;"&amp;"")</f>
        <v>46</v>
      </c>
      <c r="D15" s="61">
        <v>18</v>
      </c>
      <c r="E15" s="61">
        <v>10</v>
      </c>
      <c r="F15" s="61">
        <f t="shared" si="0"/>
        <v>74</v>
      </c>
    </row>
    <row r="16" spans="1:6" ht="15.75" customHeight="1" x14ac:dyDescent="0.25">
      <c r="A16" s="192" t="s">
        <v>154</v>
      </c>
      <c r="B16" s="201">
        <v>46217</v>
      </c>
      <c r="C16" s="61">
        <v>50</v>
      </c>
      <c r="D16" s="61">
        <v>17</v>
      </c>
      <c r="E16" s="61">
        <v>17</v>
      </c>
      <c r="F16" s="61">
        <f t="shared" si="0"/>
        <v>84</v>
      </c>
    </row>
    <row r="17" spans="1:6" ht="15.75" customHeight="1" x14ac:dyDescent="0.25">
      <c r="A17" s="192" t="s">
        <v>160</v>
      </c>
      <c r="B17" s="201">
        <v>46224</v>
      </c>
      <c r="C17" s="61">
        <v>51</v>
      </c>
      <c r="D17" s="61">
        <v>5</v>
      </c>
      <c r="E17" s="61">
        <v>3</v>
      </c>
      <c r="F17" s="61">
        <f t="shared" si="0"/>
        <v>59</v>
      </c>
    </row>
    <row r="18" spans="1:6" ht="15.75" customHeight="1" x14ac:dyDescent="0.25">
      <c r="A18" s="192" t="s">
        <v>166</v>
      </c>
      <c r="B18" s="201">
        <v>46231</v>
      </c>
      <c r="C18" s="61">
        <v>34</v>
      </c>
      <c r="D18" s="61">
        <v>16</v>
      </c>
      <c r="E18" s="61">
        <v>10</v>
      </c>
      <c r="F18" s="61">
        <f t="shared" si="0"/>
        <v>60</v>
      </c>
    </row>
    <row r="19" spans="1:6" ht="15.75" customHeight="1" x14ac:dyDescent="0.25">
      <c r="A19" s="192" t="s">
        <v>173</v>
      </c>
      <c r="B19" s="201">
        <v>46259</v>
      </c>
      <c r="C19" s="61">
        <v>50</v>
      </c>
      <c r="D19" s="61">
        <v>9</v>
      </c>
      <c r="E19" s="61">
        <v>9</v>
      </c>
      <c r="F19" s="61">
        <f t="shared" si="0"/>
        <v>68</v>
      </c>
    </row>
    <row r="20" spans="1:6" ht="15.75" customHeight="1" x14ac:dyDescent="0.25">
      <c r="A20" s="192" t="s">
        <v>178</v>
      </c>
      <c r="B20" s="201">
        <v>46273</v>
      </c>
      <c r="C20" s="61">
        <v>18</v>
      </c>
      <c r="D20" s="61"/>
      <c r="E20" s="61"/>
      <c r="F20" s="61">
        <f t="shared" si="0"/>
        <v>18</v>
      </c>
    </row>
    <row r="21" spans="1:6" ht="15.75" customHeight="1" x14ac:dyDescent="0.25">
      <c r="A21" s="192" t="s">
        <v>184</v>
      </c>
      <c r="B21" s="201"/>
      <c r="C21" s="61"/>
      <c r="D21" s="61"/>
      <c r="E21" s="61"/>
      <c r="F21" s="61">
        <f t="shared" si="0"/>
        <v>0</v>
      </c>
    </row>
    <row r="22" spans="1:6" ht="15.75" customHeight="1" x14ac:dyDescent="0.25">
      <c r="A22" s="192" t="s">
        <v>190</v>
      </c>
      <c r="B22" s="201"/>
      <c r="C22" s="61"/>
      <c r="D22" s="61"/>
      <c r="E22" s="61"/>
      <c r="F22" s="61">
        <f t="shared" si="0"/>
        <v>0</v>
      </c>
    </row>
    <row r="23" spans="1:6" ht="15.75" customHeight="1" x14ac:dyDescent="0.25">
      <c r="A23" s="192" t="s">
        <v>196</v>
      </c>
      <c r="B23" s="201"/>
      <c r="C23" s="61"/>
      <c r="D23" s="61"/>
      <c r="E23" s="61"/>
      <c r="F23" s="61">
        <f t="shared" si="0"/>
        <v>0</v>
      </c>
    </row>
    <row r="24" spans="1:6" ht="15.75" customHeight="1" x14ac:dyDescent="0.25">
      <c r="A24" s="192" t="s">
        <v>200</v>
      </c>
      <c r="B24" s="201"/>
      <c r="C24" s="61"/>
      <c r="D24" s="61"/>
      <c r="E24" s="61"/>
      <c r="F24" s="61">
        <f t="shared" si="0"/>
        <v>0</v>
      </c>
    </row>
    <row r="25" spans="1:6" ht="15.75" customHeight="1" x14ac:dyDescent="0.25">
      <c r="A25" s="192" t="s">
        <v>207</v>
      </c>
      <c r="B25" s="201"/>
      <c r="C25" s="61"/>
      <c r="D25" s="61"/>
      <c r="E25" s="61"/>
      <c r="F25" s="61">
        <f t="shared" si="0"/>
        <v>0</v>
      </c>
    </row>
    <row r="26" spans="1:6" ht="15.75" customHeight="1" x14ac:dyDescent="0.25">
      <c r="A26" s="192" t="s">
        <v>212</v>
      </c>
      <c r="B26" s="201"/>
      <c r="C26" s="61"/>
      <c r="D26" s="61"/>
      <c r="E26" s="61"/>
      <c r="F26" s="61">
        <f t="shared" si="0"/>
        <v>0</v>
      </c>
    </row>
    <row r="27" spans="1:6" ht="20.25" customHeight="1" x14ac:dyDescent="0.25">
      <c r="A27" s="230" t="s">
        <v>4</v>
      </c>
      <c r="B27" s="230"/>
      <c r="C27" s="193">
        <f>SUM(C4:C26)</f>
        <v>741</v>
      </c>
      <c r="D27" s="194">
        <f>SUM(D4:D26)</f>
        <v>247</v>
      </c>
      <c r="E27" s="195">
        <f>SUM(E4:E26)</f>
        <v>161</v>
      </c>
      <c r="F27" s="193">
        <f>SUM(F4:F26)</f>
        <v>1149</v>
      </c>
    </row>
    <row r="28" spans="1:6" ht="15.75" customHeight="1" x14ac:dyDescent="0.25">
      <c r="D28" s="231">
        <f>SUM(D27:E27)</f>
        <v>408</v>
      </c>
      <c r="E28" s="231"/>
    </row>
    <row r="29" spans="1:6" ht="15.75" customHeight="1" x14ac:dyDescent="0.25">
      <c r="D29" s="232">
        <f>F27-D28</f>
        <v>741</v>
      </c>
      <c r="E29" s="232"/>
    </row>
  </sheetData>
  <mergeCells count="4">
    <mergeCell ref="A1:F1"/>
    <mergeCell ref="A27:B27"/>
    <mergeCell ref="D28:E28"/>
    <mergeCell ref="D29:E29"/>
  </mergeCells>
  <conditionalFormatting sqref="B4:F26">
    <cfRule type="expression" dxfId="2" priority="2">
      <formula>ISEVEN(ROW())</formula>
    </cfRule>
  </conditionalFormatting>
  <printOptions horizontalCentered="1" verticalCentered="1"/>
  <pageMargins left="0.39374999999999999" right="0.39374999999999999" top="0.39374999999999999" bottom="0.39374999999999999" header="0.511811023622047" footer="0.511811023622047"/>
  <pageSetup paperSize="9" scale="20" orientation="landscape"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02060"/>
    <pageSetUpPr fitToPage="1"/>
  </sheetPr>
  <dimension ref="A1:E100"/>
  <sheetViews>
    <sheetView showZeros="0" topLeftCell="A32" zoomScale="117" zoomScaleNormal="117" workbookViewId="0">
      <selection activeCell="B1" sqref="B1"/>
    </sheetView>
  </sheetViews>
  <sheetFormatPr defaultColWidth="64" defaultRowHeight="15.75" x14ac:dyDescent="0.25"/>
  <cols>
    <col min="1" max="3" width="45" style="196" customWidth="1"/>
    <col min="4" max="4" width="64" style="197"/>
    <col min="5" max="5" width="33.85546875" style="32" customWidth="1"/>
    <col min="6" max="16384" width="64" style="197"/>
  </cols>
  <sheetData>
    <row r="1" spans="1:3" ht="15.75" customHeight="1" x14ac:dyDescent="0.25">
      <c r="A1" s="196" t="s">
        <v>123</v>
      </c>
      <c r="B1" s="196" t="str">
        <f t="shared" ref="B1:C20" si="0">INDEX($A:$A, (ROW()-1)*2 + COLUMN()-1)</f>
        <v>Prof. Dr. M. Özgür UYANIK</v>
      </c>
      <c r="C1" s="196" t="str">
        <f t="shared" si="0"/>
        <v>Prof. Dr. Ayşe KİN İŞLER</v>
      </c>
    </row>
    <row r="2" spans="1:3" ht="15.75" customHeight="1" x14ac:dyDescent="0.25">
      <c r="A2" s="196" t="s">
        <v>116</v>
      </c>
      <c r="B2" s="196" t="str">
        <f t="shared" si="0"/>
        <v>Prof. Dr. M. Özgür UYANIK</v>
      </c>
      <c r="C2" s="196" t="str">
        <f t="shared" si="0"/>
        <v>Prof. Dr. Ayşe KİN İŞLER</v>
      </c>
    </row>
    <row r="3" spans="1:3" ht="15.75" customHeight="1" x14ac:dyDescent="0.25">
      <c r="A3" s="196" t="s">
        <v>123</v>
      </c>
      <c r="B3" s="196" t="str">
        <f t="shared" si="0"/>
        <v>Doç. Dr. Burcu ERSÖZ ALAN</v>
      </c>
      <c r="C3" s="196" t="str">
        <f t="shared" si="0"/>
        <v>Prof. Dr. Ayşe Nurten AKARSU</v>
      </c>
    </row>
    <row r="4" spans="1:3" ht="15.75" customHeight="1" x14ac:dyDescent="0.25">
      <c r="A4" s="196" t="s">
        <v>116</v>
      </c>
      <c r="B4" s="196" t="str">
        <f t="shared" si="0"/>
        <v>Prof. Dr. Ayşe Nurten AKARSU</v>
      </c>
      <c r="C4" s="196" t="str">
        <f t="shared" si="0"/>
        <v>Doç. Dr. Ekim GÜMELER</v>
      </c>
    </row>
    <row r="5" spans="1:3" ht="15.75" customHeight="1" x14ac:dyDescent="0.25">
      <c r="A5" s="196" t="s">
        <v>100</v>
      </c>
      <c r="B5" s="196" t="str">
        <f t="shared" si="0"/>
        <v>Prof. Dr. Yavuz AYHAN</v>
      </c>
      <c r="C5" s="196" t="str">
        <f t="shared" si="0"/>
        <v>Doç. Dr. Burcu ERSÖZ ALAN</v>
      </c>
    </row>
    <row r="6" spans="1:3" ht="15.75" customHeight="1" x14ac:dyDescent="0.25">
      <c r="A6" s="196" t="s">
        <v>75</v>
      </c>
      <c r="B6" s="196" t="str">
        <f t="shared" si="0"/>
        <v>Dr. Öğr. Üyesi Müge DEMİR</v>
      </c>
      <c r="C6" s="196" t="str">
        <f t="shared" si="0"/>
        <v>Prof. Dr. M. Özgür UYANIK</v>
      </c>
    </row>
    <row r="7" spans="1:3" ht="15.75" customHeight="1" x14ac:dyDescent="0.25">
      <c r="A7" s="196" t="s">
        <v>75</v>
      </c>
      <c r="B7" s="196" t="str">
        <f t="shared" si="0"/>
        <v>Doç. Dr. Ekim GÜMELER</v>
      </c>
      <c r="C7" s="196" t="str">
        <f t="shared" si="0"/>
        <v>Dr. Öğr. Üyesi Müge DEMİR</v>
      </c>
    </row>
    <row r="8" spans="1:3" ht="15.75" customHeight="1" x14ac:dyDescent="0.25">
      <c r="A8" s="196" t="s">
        <v>92</v>
      </c>
      <c r="B8" s="196" t="str">
        <f t="shared" si="0"/>
        <v>Doç. Dr. Ekim GÜMELER</v>
      </c>
      <c r="C8" s="196" t="str">
        <f t="shared" si="0"/>
        <v>Dr. Öğr. Üyesi Müge DEMİR</v>
      </c>
    </row>
    <row r="9" spans="1:3" ht="15.75" customHeight="1" x14ac:dyDescent="0.25">
      <c r="A9" s="196" t="s">
        <v>108</v>
      </c>
      <c r="B9" s="196" t="str">
        <f t="shared" si="0"/>
        <v>Prof. Dr. Ayşe KİN İŞLER</v>
      </c>
      <c r="C9" s="196" t="str">
        <f t="shared" si="0"/>
        <v>Doç. Dr. Burcu ERSÖZ ALAN</v>
      </c>
    </row>
    <row r="10" spans="1:3" ht="15.75" customHeight="1" x14ac:dyDescent="0.25">
      <c r="A10" s="196" t="s">
        <v>100</v>
      </c>
      <c r="B10" s="196" t="str">
        <f t="shared" si="0"/>
        <v>Dr. Öğr. Üyesi Müge DEMİR</v>
      </c>
      <c r="C10" s="196" t="str">
        <f t="shared" si="0"/>
        <v>Prof. Dr. M. Özgür UYANIK</v>
      </c>
    </row>
    <row r="11" spans="1:3" ht="15.75" customHeight="1" x14ac:dyDescent="0.25">
      <c r="A11" s="196" t="s">
        <v>91</v>
      </c>
      <c r="B11" s="196" t="str">
        <f t="shared" si="0"/>
        <v>Dr. Öğr. Üyesi Müge DEMİR</v>
      </c>
      <c r="C11" s="196" t="str">
        <f t="shared" si="0"/>
        <v>Prof. Dr. M. Özgür UYANIK</v>
      </c>
    </row>
    <row r="12" spans="1:3" ht="15.75" customHeight="1" x14ac:dyDescent="0.25">
      <c r="A12" s="196" t="s">
        <v>123</v>
      </c>
      <c r="B12" s="196" t="str">
        <f t="shared" si="0"/>
        <v>Prof. Dr. Ayşe Nurten AKARSU</v>
      </c>
      <c r="C12" s="196" t="str">
        <f t="shared" si="0"/>
        <v>Doç. Dr. Burcu ERSÖZ ALAN</v>
      </c>
    </row>
    <row r="13" spans="1:3" ht="15.75" customHeight="1" x14ac:dyDescent="0.25">
      <c r="A13" s="196" t="s">
        <v>92</v>
      </c>
      <c r="B13" s="196" t="str">
        <f t="shared" si="0"/>
        <v>Doç. Dr. Ekim GÜMELER</v>
      </c>
      <c r="C13" s="196" t="str">
        <f t="shared" si="0"/>
        <v>Prof. Dr. Ayşe KİN İŞLER</v>
      </c>
    </row>
    <row r="14" spans="1:3" ht="15.75" customHeight="1" x14ac:dyDescent="0.25">
      <c r="A14" s="196" t="s">
        <v>91</v>
      </c>
      <c r="B14" s="196" t="str">
        <f t="shared" si="0"/>
        <v>Prof. Dr. Ayşe KİN İŞLER</v>
      </c>
      <c r="C14" s="196" t="str">
        <f t="shared" si="0"/>
        <v>Prof. Dr. Ayşe Nurten AKARSU</v>
      </c>
    </row>
    <row r="15" spans="1:3" ht="15.75" customHeight="1" x14ac:dyDescent="0.25">
      <c r="A15" s="196" t="s">
        <v>92</v>
      </c>
      <c r="B15" s="196" t="str">
        <f t="shared" si="0"/>
        <v>Dr. Öğr. Üyesi Müge DEMİR</v>
      </c>
      <c r="C15" s="196" t="str">
        <f t="shared" si="0"/>
        <v>Doç. Dr. Ekim GÜMELER</v>
      </c>
    </row>
    <row r="16" spans="1:3" ht="15.75" customHeight="1" x14ac:dyDescent="0.25">
      <c r="A16" s="196" t="s">
        <v>91</v>
      </c>
      <c r="B16" s="196" t="str">
        <f t="shared" si="0"/>
        <v>Dr. Öğr. Üyesi Müge DEMİR</v>
      </c>
      <c r="C16" s="196" t="str">
        <f t="shared" si="0"/>
        <v>Prof. Dr. Ayşe KİN İŞLER</v>
      </c>
    </row>
    <row r="17" spans="1:3" ht="15.75" customHeight="1" x14ac:dyDescent="0.25">
      <c r="A17" s="196" t="s">
        <v>116</v>
      </c>
      <c r="B17" s="196" t="str">
        <f t="shared" si="0"/>
        <v>Dr. Öğr. Üyesi Müge DEMİR</v>
      </c>
      <c r="C17" s="196" t="str">
        <f t="shared" si="0"/>
        <v>Doç. Dr. Burcu ERSÖZ ALAN</v>
      </c>
    </row>
    <row r="18" spans="1:3" x14ac:dyDescent="0.25">
      <c r="A18" s="196" t="s">
        <v>100</v>
      </c>
      <c r="B18" s="196" t="str">
        <f t="shared" si="0"/>
        <v>Prof. Dr. M. Özgür UYANIK</v>
      </c>
      <c r="C18" s="196" t="str">
        <f t="shared" si="0"/>
        <v>Prof. Dr. Yavuz AYHAN</v>
      </c>
    </row>
    <row r="19" spans="1:3" x14ac:dyDescent="0.25">
      <c r="A19" s="196" t="s">
        <v>91</v>
      </c>
      <c r="B19" s="196" t="str">
        <f t="shared" si="0"/>
        <v>Prof. Dr. Ayşe Nurten AKARSU</v>
      </c>
      <c r="C19" s="196" t="str">
        <f t="shared" si="0"/>
        <v>Doç. Dr. Burcu ERSÖZ ALAN</v>
      </c>
    </row>
    <row r="20" spans="1:3" x14ac:dyDescent="0.25">
      <c r="A20" s="196" t="s">
        <v>123</v>
      </c>
      <c r="B20" s="196" t="str">
        <f t="shared" si="0"/>
        <v>Prof. Dr. Ayşe Nurten AKARSU</v>
      </c>
      <c r="C20" s="196" t="str">
        <f t="shared" si="0"/>
        <v>Doç. Dr. Burcu ERSÖZ ALAN</v>
      </c>
    </row>
    <row r="21" spans="1:3" x14ac:dyDescent="0.25">
      <c r="A21" s="196" t="s">
        <v>91</v>
      </c>
      <c r="B21" s="196" t="str">
        <f t="shared" ref="B21:C40" si="1">INDEX($A:$A, (ROW()-1)*2 + COLUMN()-1)</f>
        <v>Prof. Dr. Yavuz AYHAN</v>
      </c>
      <c r="C21" s="196" t="str">
        <f t="shared" si="1"/>
        <v>Prof. Dr. Ayşe KİN İŞLER</v>
      </c>
    </row>
    <row r="22" spans="1:3" x14ac:dyDescent="0.25">
      <c r="A22" s="196" t="s">
        <v>123</v>
      </c>
      <c r="B22" s="196" t="str">
        <f t="shared" si="1"/>
        <v>Doç. Dr. Ekim GÜMELER</v>
      </c>
      <c r="C22" s="196" t="str">
        <f t="shared" si="1"/>
        <v>Dr. Öğr. Üyesi Müge DEMİR</v>
      </c>
    </row>
    <row r="23" spans="1:3" x14ac:dyDescent="0.25">
      <c r="A23" s="196" t="s">
        <v>75</v>
      </c>
      <c r="B23" s="196" t="str">
        <f t="shared" si="1"/>
        <v>Doç. Dr. Burcu ERSÖZ ALAN</v>
      </c>
      <c r="C23" s="196" t="str">
        <f t="shared" si="1"/>
        <v>Prof. Dr. M. Özgür UYANIK</v>
      </c>
    </row>
    <row r="24" spans="1:3" x14ac:dyDescent="0.25">
      <c r="A24" s="196" t="s">
        <v>100</v>
      </c>
      <c r="B24" s="196" t="str">
        <f t="shared" si="1"/>
        <v>Dr. Öğr. Üyesi Müge DEMİR</v>
      </c>
      <c r="C24" s="196" t="str">
        <f t="shared" si="1"/>
        <v>Doç. Dr. Ekim GÜMELER</v>
      </c>
    </row>
    <row r="25" spans="1:3" x14ac:dyDescent="0.25">
      <c r="A25" s="196" t="s">
        <v>92</v>
      </c>
      <c r="B25" s="196" t="str">
        <f t="shared" si="1"/>
        <v>Prof. Dr. Ayşe Nurten AKARSU</v>
      </c>
      <c r="C25" s="196" t="str">
        <f t="shared" si="1"/>
        <v>Doç. Dr. Burcu ERSÖZ ALAN</v>
      </c>
    </row>
    <row r="26" spans="1:3" x14ac:dyDescent="0.25">
      <c r="A26" s="196" t="s">
        <v>116</v>
      </c>
      <c r="B26" s="196" t="str">
        <f t="shared" si="1"/>
        <v>Dr. Öğr. Üyesi Müge DEMİR</v>
      </c>
      <c r="C26" s="196" t="str">
        <f t="shared" si="1"/>
        <v>Prof. Dr. Ayşe KİN İŞLER</v>
      </c>
    </row>
    <row r="27" spans="1:3" x14ac:dyDescent="0.25">
      <c r="A27" s="196" t="s">
        <v>116</v>
      </c>
      <c r="B27" s="196" t="str">
        <f t="shared" si="1"/>
        <v>Prof. Dr. M. Özgür UYANIK</v>
      </c>
      <c r="C27" s="196" t="str">
        <f t="shared" si="1"/>
        <v>Dr. Öğr. Üyesi Müge DEMİR</v>
      </c>
    </row>
    <row r="28" spans="1:3" x14ac:dyDescent="0.25">
      <c r="A28" s="196" t="s">
        <v>75</v>
      </c>
      <c r="B28" s="196" t="str">
        <f t="shared" si="1"/>
        <v>Prof. Dr. M. Özgür UYANIK</v>
      </c>
      <c r="C28" s="196" t="str">
        <f t="shared" si="1"/>
        <v>Dr. Öğr. Üyesi Müge DEMİR</v>
      </c>
    </row>
    <row r="29" spans="1:3" x14ac:dyDescent="0.25">
      <c r="A29" s="196" t="s">
        <v>91</v>
      </c>
      <c r="B29" s="196" t="str">
        <f t="shared" si="1"/>
        <v>Prof. Dr. M. Özgür UYANIK</v>
      </c>
      <c r="C29" s="196" t="str">
        <f t="shared" si="1"/>
        <v>Prof. Dr. Ayşe Nurten AKARSU</v>
      </c>
    </row>
    <row r="30" spans="1:3" x14ac:dyDescent="0.25">
      <c r="A30" s="196" t="s">
        <v>92</v>
      </c>
      <c r="B30" s="196" t="str">
        <f t="shared" si="1"/>
        <v>Doç. Dr. Burcu ERSÖZ ALAN</v>
      </c>
      <c r="C30" s="196" t="str">
        <f t="shared" si="1"/>
        <v>Prof. Dr. Ayşe Nurten AKARSU</v>
      </c>
    </row>
    <row r="31" spans="1:3" x14ac:dyDescent="0.25">
      <c r="A31" s="196" t="s">
        <v>91</v>
      </c>
      <c r="B31" s="196" t="str">
        <f t="shared" si="1"/>
        <v>Doç. Dr. Ekim GÜMELER</v>
      </c>
      <c r="C31" s="196" t="str">
        <f t="shared" si="1"/>
        <v>Prof. Dr. Yavuz AYHAN</v>
      </c>
    </row>
    <row r="32" spans="1:3" x14ac:dyDescent="0.25">
      <c r="A32" s="196" t="s">
        <v>116</v>
      </c>
      <c r="B32" s="196" t="str">
        <f t="shared" si="1"/>
        <v>Doç. Dr. Ekim GÜMELER</v>
      </c>
      <c r="C32" s="196" t="str">
        <f t="shared" si="1"/>
        <v>Prof. Dr. Yavuz AYHAN</v>
      </c>
    </row>
    <row r="33" spans="1:3" x14ac:dyDescent="0.25">
      <c r="A33" s="196" t="s">
        <v>91</v>
      </c>
      <c r="B33" s="196" t="str">
        <f t="shared" si="1"/>
        <v>Dr. Öğr. Üyesi Müge DEMİR</v>
      </c>
      <c r="C33" s="196" t="str">
        <f t="shared" si="1"/>
        <v>Prof. Dr. Ayşe KİN İŞLER</v>
      </c>
    </row>
    <row r="34" spans="1:3" x14ac:dyDescent="0.25">
      <c r="A34" s="196" t="s">
        <v>100</v>
      </c>
      <c r="B34" s="196" t="str">
        <f t="shared" si="1"/>
        <v>Prof. Dr. Yavuz AYHAN</v>
      </c>
      <c r="C34" s="196" t="str">
        <f t="shared" si="1"/>
        <v>Doç. Dr. Ekim GÜMELER</v>
      </c>
    </row>
    <row r="35" spans="1:3" x14ac:dyDescent="0.25">
      <c r="A35" s="196" t="s">
        <v>123</v>
      </c>
      <c r="B35" s="196" t="str">
        <f t="shared" si="1"/>
        <v>Prof. Dr. Yavuz AYHAN</v>
      </c>
      <c r="C35" s="196" t="str">
        <f t="shared" si="1"/>
        <v>Doç. Dr. Ekim GÜMELER</v>
      </c>
    </row>
    <row r="36" spans="1:3" x14ac:dyDescent="0.25">
      <c r="A36" s="196" t="s">
        <v>108</v>
      </c>
      <c r="B36" s="196" t="str">
        <f t="shared" si="1"/>
        <v>Prof. Dr. Ayşe Nurten AKARSU</v>
      </c>
      <c r="C36" s="196" t="str">
        <f t="shared" si="1"/>
        <v>Prof. Dr. Ayşe KİN İŞLER</v>
      </c>
    </row>
    <row r="37" spans="1:3" x14ac:dyDescent="0.25">
      <c r="A37" s="196" t="s">
        <v>75</v>
      </c>
      <c r="B37" s="196" t="str">
        <f t="shared" si="1"/>
        <v>Doç. Dr. Ekim GÜMELER</v>
      </c>
      <c r="C37" s="196" t="str">
        <f t="shared" si="1"/>
        <v>Dr. Öğr. Üyesi Müge DEMİR</v>
      </c>
    </row>
    <row r="38" spans="1:3" x14ac:dyDescent="0.25">
      <c r="A38" s="196" t="s">
        <v>100</v>
      </c>
      <c r="B38" s="196" t="str">
        <f t="shared" si="1"/>
        <v>Prof. Dr. Ayşe Nurten AKARSU</v>
      </c>
      <c r="C38" s="196" t="str">
        <f t="shared" si="1"/>
        <v>Prof. Dr. M. Özgür UYANIK</v>
      </c>
    </row>
    <row r="39" spans="1:3" x14ac:dyDescent="0.25">
      <c r="A39" s="196" t="s">
        <v>75</v>
      </c>
      <c r="B39" s="196" t="str">
        <f t="shared" si="1"/>
        <v>Prof. Dr. Yavuz AYHAN</v>
      </c>
      <c r="C39" s="196" t="str">
        <f t="shared" si="1"/>
        <v>Prof. Dr. Ayşe KİN İŞLER</v>
      </c>
    </row>
    <row r="40" spans="1:3" x14ac:dyDescent="0.25">
      <c r="A40" s="196" t="s">
        <v>100</v>
      </c>
      <c r="B40" s="196" t="str">
        <f t="shared" si="1"/>
        <v>Doç. Dr. Burcu ERSÖZ ALAN</v>
      </c>
      <c r="C40" s="196" t="str">
        <f t="shared" si="1"/>
        <v>Prof. Dr. Ayşe Nurten AKARSU</v>
      </c>
    </row>
    <row r="41" spans="1:3" x14ac:dyDescent="0.25">
      <c r="A41" s="196" t="s">
        <v>108</v>
      </c>
      <c r="B41" s="196" t="str">
        <f t="shared" ref="B41:C60" si="2">INDEX($A:$A, (ROW()-1)*2 + COLUMN()-1)</f>
        <v>Prof. Dr. M. Özgür UYANIK</v>
      </c>
      <c r="C41" s="196" t="str">
        <f t="shared" si="2"/>
        <v>Prof. Dr. Ayşe KİN İŞLER</v>
      </c>
    </row>
    <row r="42" spans="1:3" x14ac:dyDescent="0.25">
      <c r="A42" s="196" t="s">
        <v>116</v>
      </c>
      <c r="B42" s="196" t="str">
        <f t="shared" si="2"/>
        <v>Doç. Dr. Ekim GÜMELER</v>
      </c>
      <c r="C42" s="196" t="str">
        <f t="shared" si="2"/>
        <v>Prof. Dr. Yavuz AYHAN</v>
      </c>
    </row>
    <row r="43" spans="1:3" x14ac:dyDescent="0.25">
      <c r="A43" s="196" t="s">
        <v>92</v>
      </c>
      <c r="B43" s="196" t="str">
        <f t="shared" si="2"/>
        <v>Prof. Dr. Yavuz AYHAN</v>
      </c>
      <c r="C43" s="196" t="str">
        <f t="shared" si="2"/>
        <v>Doç. Dr. Burcu ERSÖZ ALAN</v>
      </c>
    </row>
    <row r="44" spans="1:3" x14ac:dyDescent="0.25">
      <c r="A44" s="196" t="s">
        <v>91</v>
      </c>
      <c r="B44" s="196" t="str">
        <f t="shared" si="2"/>
        <v>Prof. Dr. Yavuz AYHAN</v>
      </c>
      <c r="C44" s="196" t="str">
        <f t="shared" si="2"/>
        <v>Doç. Dr. Burcu ERSÖZ ALAN</v>
      </c>
    </row>
    <row r="45" spans="1:3" x14ac:dyDescent="0.25">
      <c r="A45" s="196" t="s">
        <v>100</v>
      </c>
      <c r="B45" s="196" t="str">
        <f t="shared" si="2"/>
        <v>Prof. Dr. Ayşe Nurten AKARSU</v>
      </c>
      <c r="C45" s="196" t="str">
        <f t="shared" si="2"/>
        <v>Prof. Dr. M. Özgür UYANIK</v>
      </c>
    </row>
    <row r="46" spans="1:3" x14ac:dyDescent="0.25">
      <c r="A46" s="196" t="s">
        <v>123</v>
      </c>
      <c r="B46" s="196" t="str">
        <f t="shared" si="2"/>
        <v>Prof. Dr. Ayşe KİN İŞLER</v>
      </c>
      <c r="C46" s="196" t="str">
        <f t="shared" si="2"/>
        <v>Doç. Dr. Ekim GÜMELER</v>
      </c>
    </row>
    <row r="47" spans="1:3" x14ac:dyDescent="0.25">
      <c r="A47" s="196" t="s">
        <v>91</v>
      </c>
      <c r="B47" s="196" t="str">
        <f t="shared" si="2"/>
        <v>Doç. Dr. Burcu ERSÖZ ALAN</v>
      </c>
      <c r="C47" s="196" t="str">
        <f t="shared" si="2"/>
        <v>Prof. Dr. Yavuz AYHAN</v>
      </c>
    </row>
    <row r="48" spans="1:3" x14ac:dyDescent="0.25">
      <c r="A48" s="196" t="s">
        <v>92</v>
      </c>
      <c r="B48" s="196" t="str">
        <f t="shared" si="2"/>
        <v>Prof. Dr. Yavuz AYHAN</v>
      </c>
      <c r="C48" s="196" t="str">
        <f t="shared" si="2"/>
        <v>Prof. Dr. Ayşe Nurten AKARSU</v>
      </c>
    </row>
    <row r="49" spans="1:3" x14ac:dyDescent="0.25">
      <c r="A49" s="196" t="s">
        <v>75</v>
      </c>
      <c r="B49" s="196" t="str">
        <f t="shared" si="2"/>
        <v>Dr. Öğr. Üyesi Müge DEMİR</v>
      </c>
      <c r="C49" s="196" t="str">
        <f t="shared" si="2"/>
        <v>Prof. Dr. M. Özgür UYANIK</v>
      </c>
    </row>
    <row r="50" spans="1:3" x14ac:dyDescent="0.25">
      <c r="A50" s="196" t="s">
        <v>100</v>
      </c>
      <c r="B50" s="196" t="str">
        <f t="shared" si="2"/>
        <v>Doç. Dr. Ekim GÜMELER</v>
      </c>
      <c r="C50" s="196" t="str">
        <f t="shared" si="2"/>
        <v>Prof. Dr. Ayşe KİN İŞLER</v>
      </c>
    </row>
    <row r="51" spans="1:3" x14ac:dyDescent="0.25">
      <c r="A51" s="196" t="s">
        <v>91</v>
      </c>
      <c r="B51" s="196">
        <f t="shared" si="2"/>
        <v>0</v>
      </c>
      <c r="C51" s="196">
        <f t="shared" si="2"/>
        <v>0</v>
      </c>
    </row>
    <row r="52" spans="1:3" x14ac:dyDescent="0.25">
      <c r="A52" s="196" t="s">
        <v>116</v>
      </c>
      <c r="B52" s="196">
        <f t="shared" si="2"/>
        <v>0</v>
      </c>
      <c r="C52" s="196">
        <f t="shared" si="2"/>
        <v>0</v>
      </c>
    </row>
    <row r="53" spans="1:3" x14ac:dyDescent="0.25">
      <c r="A53" s="196" t="s">
        <v>123</v>
      </c>
      <c r="B53" s="196">
        <f t="shared" si="2"/>
        <v>0</v>
      </c>
      <c r="C53" s="196">
        <f t="shared" si="2"/>
        <v>0</v>
      </c>
    </row>
    <row r="54" spans="1:3" x14ac:dyDescent="0.25">
      <c r="A54" s="196" t="s">
        <v>91</v>
      </c>
      <c r="B54" s="196">
        <f t="shared" si="2"/>
        <v>0</v>
      </c>
      <c r="C54" s="196">
        <f t="shared" si="2"/>
        <v>0</v>
      </c>
    </row>
    <row r="55" spans="1:3" x14ac:dyDescent="0.25">
      <c r="A55" s="196" t="s">
        <v>123</v>
      </c>
      <c r="B55" s="196">
        <f t="shared" si="2"/>
        <v>0</v>
      </c>
      <c r="C55" s="196">
        <f t="shared" si="2"/>
        <v>0</v>
      </c>
    </row>
    <row r="56" spans="1:3" x14ac:dyDescent="0.25">
      <c r="A56" s="196" t="s">
        <v>91</v>
      </c>
      <c r="B56" s="196">
        <f t="shared" si="2"/>
        <v>0</v>
      </c>
      <c r="C56" s="196">
        <f t="shared" si="2"/>
        <v>0</v>
      </c>
    </row>
    <row r="57" spans="1:3" x14ac:dyDescent="0.25">
      <c r="A57" s="196" t="s">
        <v>123</v>
      </c>
      <c r="B57" s="196">
        <f t="shared" si="2"/>
        <v>0</v>
      </c>
      <c r="C57" s="196">
        <f t="shared" si="2"/>
        <v>0</v>
      </c>
    </row>
    <row r="58" spans="1:3" x14ac:dyDescent="0.25">
      <c r="A58" s="196" t="s">
        <v>75</v>
      </c>
      <c r="B58" s="196">
        <f t="shared" si="2"/>
        <v>0</v>
      </c>
      <c r="C58" s="196">
        <f t="shared" si="2"/>
        <v>0</v>
      </c>
    </row>
    <row r="59" spans="1:3" x14ac:dyDescent="0.25">
      <c r="A59" s="196" t="s">
        <v>100</v>
      </c>
      <c r="B59" s="196">
        <f t="shared" si="2"/>
        <v>0</v>
      </c>
      <c r="C59" s="196">
        <f t="shared" si="2"/>
        <v>0</v>
      </c>
    </row>
    <row r="60" spans="1:3" x14ac:dyDescent="0.25">
      <c r="A60" s="196" t="s">
        <v>75</v>
      </c>
      <c r="B60" s="196">
        <f t="shared" si="2"/>
        <v>0</v>
      </c>
      <c r="C60" s="196">
        <f t="shared" si="2"/>
        <v>0</v>
      </c>
    </row>
    <row r="61" spans="1:3" x14ac:dyDescent="0.25">
      <c r="A61" s="196" t="s">
        <v>92</v>
      </c>
      <c r="B61" s="196">
        <f t="shared" ref="B61:C80" si="3">INDEX($A:$A, (ROW()-1)*2 + COLUMN()-1)</f>
        <v>0</v>
      </c>
      <c r="C61" s="196">
        <f t="shared" si="3"/>
        <v>0</v>
      </c>
    </row>
    <row r="62" spans="1:3" x14ac:dyDescent="0.25">
      <c r="A62" s="196" t="s">
        <v>108</v>
      </c>
      <c r="B62" s="196">
        <f t="shared" si="3"/>
        <v>0</v>
      </c>
      <c r="C62" s="196">
        <f t="shared" si="3"/>
        <v>0</v>
      </c>
    </row>
    <row r="63" spans="1:3" x14ac:dyDescent="0.25">
      <c r="A63" s="196" t="s">
        <v>92</v>
      </c>
      <c r="B63" s="196">
        <f t="shared" si="3"/>
        <v>0</v>
      </c>
      <c r="C63" s="196">
        <f t="shared" si="3"/>
        <v>0</v>
      </c>
    </row>
    <row r="64" spans="1:3" x14ac:dyDescent="0.25">
      <c r="A64" s="196" t="s">
        <v>108</v>
      </c>
      <c r="B64" s="196">
        <f t="shared" si="3"/>
        <v>0</v>
      </c>
      <c r="C64" s="196">
        <f t="shared" si="3"/>
        <v>0</v>
      </c>
    </row>
    <row r="65" spans="1:3" x14ac:dyDescent="0.25">
      <c r="A65" s="196" t="s">
        <v>91</v>
      </c>
      <c r="B65" s="196">
        <f t="shared" si="3"/>
        <v>0</v>
      </c>
      <c r="C65" s="196">
        <f t="shared" si="3"/>
        <v>0</v>
      </c>
    </row>
    <row r="66" spans="1:3" x14ac:dyDescent="0.25">
      <c r="A66" s="196" t="s">
        <v>116</v>
      </c>
      <c r="B66" s="196">
        <f t="shared" si="3"/>
        <v>0</v>
      </c>
      <c r="C66" s="196">
        <f t="shared" si="3"/>
        <v>0</v>
      </c>
    </row>
    <row r="67" spans="1:3" x14ac:dyDescent="0.25">
      <c r="A67" s="196" t="s">
        <v>108</v>
      </c>
      <c r="B67" s="196">
        <f t="shared" si="3"/>
        <v>0</v>
      </c>
      <c r="C67" s="196">
        <f t="shared" si="3"/>
        <v>0</v>
      </c>
    </row>
    <row r="68" spans="1:3" x14ac:dyDescent="0.25">
      <c r="A68" s="196" t="s">
        <v>92</v>
      </c>
      <c r="B68" s="196">
        <f t="shared" si="3"/>
        <v>0</v>
      </c>
      <c r="C68" s="196">
        <f t="shared" si="3"/>
        <v>0</v>
      </c>
    </row>
    <row r="69" spans="1:3" x14ac:dyDescent="0.25">
      <c r="A69" s="196" t="s">
        <v>108</v>
      </c>
      <c r="B69" s="196">
        <f t="shared" si="3"/>
        <v>0</v>
      </c>
      <c r="C69" s="196">
        <f t="shared" si="3"/>
        <v>0</v>
      </c>
    </row>
    <row r="70" spans="1:3" x14ac:dyDescent="0.25">
      <c r="A70" s="196" t="s">
        <v>92</v>
      </c>
      <c r="B70" s="196">
        <f t="shared" si="3"/>
        <v>0</v>
      </c>
      <c r="C70" s="196">
        <f t="shared" si="3"/>
        <v>0</v>
      </c>
    </row>
    <row r="71" spans="1:3" x14ac:dyDescent="0.25">
      <c r="A71" s="196" t="s">
        <v>75</v>
      </c>
      <c r="B71" s="196">
        <f t="shared" si="3"/>
        <v>0</v>
      </c>
      <c r="C71" s="196">
        <f t="shared" si="3"/>
        <v>0</v>
      </c>
    </row>
    <row r="72" spans="1:3" x14ac:dyDescent="0.25">
      <c r="A72" s="196" t="s">
        <v>116</v>
      </c>
      <c r="B72" s="196">
        <f t="shared" si="3"/>
        <v>0</v>
      </c>
      <c r="C72" s="196">
        <f t="shared" si="3"/>
        <v>0</v>
      </c>
    </row>
    <row r="73" spans="1:3" x14ac:dyDescent="0.25">
      <c r="A73" s="196" t="s">
        <v>92</v>
      </c>
      <c r="B73" s="196">
        <f t="shared" si="3"/>
        <v>0</v>
      </c>
      <c r="C73" s="196">
        <f t="shared" si="3"/>
        <v>0</v>
      </c>
    </row>
    <row r="74" spans="1:3" x14ac:dyDescent="0.25">
      <c r="A74" s="196" t="s">
        <v>91</v>
      </c>
      <c r="B74" s="196">
        <f t="shared" si="3"/>
        <v>0</v>
      </c>
      <c r="C74" s="196">
        <f t="shared" si="3"/>
        <v>0</v>
      </c>
    </row>
    <row r="75" spans="1:3" x14ac:dyDescent="0.25">
      <c r="A75" s="196" t="s">
        <v>75</v>
      </c>
      <c r="B75" s="196">
        <f t="shared" si="3"/>
        <v>0</v>
      </c>
      <c r="C75" s="196">
        <f t="shared" si="3"/>
        <v>0</v>
      </c>
    </row>
    <row r="76" spans="1:3" x14ac:dyDescent="0.25">
      <c r="A76" s="196" t="s">
        <v>123</v>
      </c>
      <c r="B76" s="196">
        <f t="shared" si="3"/>
        <v>0</v>
      </c>
      <c r="C76" s="196">
        <f t="shared" si="3"/>
        <v>0</v>
      </c>
    </row>
    <row r="77" spans="1:3" x14ac:dyDescent="0.25">
      <c r="A77" s="196" t="s">
        <v>108</v>
      </c>
      <c r="B77" s="196">
        <f t="shared" si="3"/>
        <v>0</v>
      </c>
      <c r="C77" s="196">
        <f t="shared" si="3"/>
        <v>0</v>
      </c>
    </row>
    <row r="78" spans="1:3" x14ac:dyDescent="0.25">
      <c r="A78" s="196" t="s">
        <v>116</v>
      </c>
      <c r="B78" s="196">
        <f t="shared" si="3"/>
        <v>0</v>
      </c>
      <c r="C78" s="196">
        <f t="shared" si="3"/>
        <v>0</v>
      </c>
    </row>
    <row r="79" spans="1:3" x14ac:dyDescent="0.25">
      <c r="A79" s="196" t="s">
        <v>100</v>
      </c>
      <c r="B79" s="196">
        <f t="shared" si="3"/>
        <v>0</v>
      </c>
      <c r="C79" s="196">
        <f t="shared" si="3"/>
        <v>0</v>
      </c>
    </row>
    <row r="80" spans="1:3" x14ac:dyDescent="0.25">
      <c r="A80" s="196" t="s">
        <v>75</v>
      </c>
      <c r="B80" s="196">
        <f t="shared" si="3"/>
        <v>0</v>
      </c>
      <c r="C80" s="196">
        <f t="shared" si="3"/>
        <v>0</v>
      </c>
    </row>
    <row r="81" spans="1:3" x14ac:dyDescent="0.25">
      <c r="A81" s="196" t="s">
        <v>123</v>
      </c>
      <c r="B81" s="196">
        <f t="shared" ref="B81:C94" si="4">INDEX($A:$A, (ROW()-1)*2 + COLUMN()-1)</f>
        <v>0</v>
      </c>
      <c r="C81" s="196">
        <f t="shared" si="4"/>
        <v>0</v>
      </c>
    </row>
    <row r="82" spans="1:3" x14ac:dyDescent="0.25">
      <c r="A82" s="196" t="s">
        <v>116</v>
      </c>
      <c r="B82" s="196">
        <f t="shared" si="4"/>
        <v>0</v>
      </c>
      <c r="C82" s="196">
        <f t="shared" si="4"/>
        <v>0</v>
      </c>
    </row>
    <row r="83" spans="1:3" x14ac:dyDescent="0.25">
      <c r="A83" s="196" t="s">
        <v>92</v>
      </c>
      <c r="B83" s="196">
        <f t="shared" si="4"/>
        <v>0</v>
      </c>
      <c r="C83" s="196">
        <f t="shared" si="4"/>
        <v>0</v>
      </c>
    </row>
    <row r="84" spans="1:3" x14ac:dyDescent="0.25">
      <c r="A84" s="196" t="s">
        <v>108</v>
      </c>
      <c r="B84" s="196">
        <f t="shared" si="4"/>
        <v>0</v>
      </c>
      <c r="C84" s="196">
        <f t="shared" si="4"/>
        <v>0</v>
      </c>
    </row>
    <row r="85" spans="1:3" x14ac:dyDescent="0.25">
      <c r="A85" s="196" t="s">
        <v>108</v>
      </c>
      <c r="B85" s="196">
        <f t="shared" si="4"/>
        <v>0</v>
      </c>
      <c r="C85" s="196">
        <f t="shared" si="4"/>
        <v>0</v>
      </c>
    </row>
    <row r="86" spans="1:3" x14ac:dyDescent="0.25">
      <c r="A86" s="196" t="s">
        <v>100</v>
      </c>
      <c r="B86" s="196">
        <f t="shared" si="4"/>
        <v>0</v>
      </c>
      <c r="C86" s="196">
        <f t="shared" si="4"/>
        <v>0</v>
      </c>
    </row>
    <row r="87" spans="1:3" x14ac:dyDescent="0.25">
      <c r="A87" s="196" t="s">
        <v>108</v>
      </c>
      <c r="B87" s="196">
        <f t="shared" si="4"/>
        <v>0</v>
      </c>
      <c r="C87" s="196">
        <f t="shared" si="4"/>
        <v>0</v>
      </c>
    </row>
    <row r="88" spans="1:3" x14ac:dyDescent="0.25">
      <c r="A88" s="196" t="s">
        <v>100</v>
      </c>
      <c r="B88" s="196">
        <f t="shared" si="4"/>
        <v>0</v>
      </c>
      <c r="C88" s="196">
        <f t="shared" si="4"/>
        <v>0</v>
      </c>
    </row>
    <row r="89" spans="1:3" x14ac:dyDescent="0.25">
      <c r="A89" s="196" t="s">
        <v>75</v>
      </c>
      <c r="B89" s="196">
        <f t="shared" si="4"/>
        <v>0</v>
      </c>
      <c r="C89" s="196">
        <f t="shared" si="4"/>
        <v>0</v>
      </c>
    </row>
    <row r="90" spans="1:3" x14ac:dyDescent="0.25">
      <c r="A90" s="196" t="s">
        <v>123</v>
      </c>
      <c r="B90" s="196">
        <f t="shared" si="4"/>
        <v>0</v>
      </c>
      <c r="C90" s="196">
        <f t="shared" si="4"/>
        <v>0</v>
      </c>
    </row>
    <row r="91" spans="1:3" x14ac:dyDescent="0.25">
      <c r="A91" s="196" t="s">
        <v>116</v>
      </c>
      <c r="B91" s="196">
        <f t="shared" si="4"/>
        <v>0</v>
      </c>
      <c r="C91" s="196">
        <f t="shared" si="4"/>
        <v>0</v>
      </c>
    </row>
    <row r="92" spans="1:3" x14ac:dyDescent="0.25">
      <c r="A92" s="196" t="s">
        <v>92</v>
      </c>
      <c r="B92" s="196">
        <f t="shared" si="4"/>
        <v>0</v>
      </c>
      <c r="C92" s="196">
        <f t="shared" si="4"/>
        <v>0</v>
      </c>
    </row>
    <row r="93" spans="1:3" x14ac:dyDescent="0.25">
      <c r="A93" s="196" t="s">
        <v>100</v>
      </c>
      <c r="B93" s="196">
        <f t="shared" si="4"/>
        <v>0</v>
      </c>
      <c r="C93" s="196">
        <f t="shared" si="4"/>
        <v>0</v>
      </c>
    </row>
    <row r="94" spans="1:3" x14ac:dyDescent="0.25">
      <c r="A94" s="196" t="s">
        <v>108</v>
      </c>
      <c r="B94" s="196">
        <f t="shared" si="4"/>
        <v>0</v>
      </c>
      <c r="C94" s="196">
        <f t="shared" si="4"/>
        <v>0</v>
      </c>
    </row>
    <row r="95" spans="1:3" x14ac:dyDescent="0.25">
      <c r="A95" s="196" t="s">
        <v>108</v>
      </c>
    </row>
    <row r="96" spans="1:3" x14ac:dyDescent="0.25">
      <c r="A96" s="196" t="s">
        <v>75</v>
      </c>
    </row>
    <row r="97" spans="1:1" x14ac:dyDescent="0.25">
      <c r="A97" s="196" t="s">
        <v>91</v>
      </c>
    </row>
    <row r="98" spans="1:1" x14ac:dyDescent="0.25">
      <c r="A98" s="196" t="s">
        <v>123</v>
      </c>
    </row>
    <row r="99" spans="1:1" x14ac:dyDescent="0.25">
      <c r="A99" s="196" t="s">
        <v>92</v>
      </c>
    </row>
    <row r="100" spans="1:1" x14ac:dyDescent="0.25">
      <c r="A100" s="196" t="s">
        <v>116</v>
      </c>
    </row>
  </sheetData>
  <printOptions horizontalCentered="1"/>
  <pageMargins left="0.196527777777778" right="0.196527777777778" top="0.196527777777778" bottom="0.39374999999999999" header="0.511811023622047" footer="0.511811023622047"/>
  <pageSetup paperSize="8" fitToHeight="10" orientation="landscape"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pageSetUpPr fitToPage="1"/>
  </sheetPr>
  <dimension ref="A1:E1081"/>
  <sheetViews>
    <sheetView showZeros="0" topLeftCell="A590" zoomScale="90" zoomScaleNormal="90" workbookViewId="0">
      <selection activeCell="D597" sqref="D597"/>
    </sheetView>
  </sheetViews>
  <sheetFormatPr defaultColWidth="9.140625" defaultRowHeight="15.75" x14ac:dyDescent="0.25"/>
  <cols>
    <col min="1" max="1" width="6.28515625" style="26" customWidth="1"/>
    <col min="2" max="2" width="18.85546875" style="26" customWidth="1"/>
    <col min="3" max="3" width="46.28515625" style="26" customWidth="1"/>
    <col min="4" max="4" width="50.7109375" style="27" customWidth="1"/>
    <col min="5" max="16384" width="9.140625" style="29"/>
  </cols>
  <sheetData>
    <row r="1" spans="1:4" ht="31.5" customHeight="1" x14ac:dyDescent="0.25">
      <c r="A1" s="198" t="s">
        <v>69</v>
      </c>
      <c r="B1" s="198" t="s">
        <v>4571</v>
      </c>
      <c r="C1" s="199" t="s">
        <v>4572</v>
      </c>
      <c r="D1" s="65" t="s">
        <v>3427</v>
      </c>
    </row>
    <row r="2" spans="1:4" ht="31.5" customHeight="1" x14ac:dyDescent="0.25">
      <c r="A2" s="198" t="s">
        <v>78</v>
      </c>
      <c r="B2" s="198" t="s">
        <v>4573</v>
      </c>
      <c r="C2" s="199" t="s">
        <v>4574</v>
      </c>
      <c r="D2" s="65" t="s">
        <v>3428</v>
      </c>
    </row>
    <row r="3" spans="1:4" ht="47.25" customHeight="1" x14ac:dyDescent="0.25">
      <c r="A3" s="198" t="s">
        <v>85</v>
      </c>
      <c r="B3" s="198" t="s">
        <v>4575</v>
      </c>
      <c r="C3" s="199" t="s">
        <v>1353</v>
      </c>
      <c r="D3" s="65" t="s">
        <v>3429</v>
      </c>
    </row>
    <row r="4" spans="1:4" ht="63" customHeight="1" x14ac:dyDescent="0.25">
      <c r="A4" s="198" t="s">
        <v>93</v>
      </c>
      <c r="B4" s="198" t="s">
        <v>4576</v>
      </c>
      <c r="C4" s="199" t="s">
        <v>1353</v>
      </c>
      <c r="D4" s="65" t="s">
        <v>3430</v>
      </c>
    </row>
    <row r="5" spans="1:4" ht="47.25" customHeight="1" x14ac:dyDescent="0.25">
      <c r="A5" s="198" t="s">
        <v>102</v>
      </c>
      <c r="B5" s="198" t="s">
        <v>4577</v>
      </c>
      <c r="C5" s="199" t="s">
        <v>419</v>
      </c>
      <c r="D5" s="65" t="s">
        <v>3431</v>
      </c>
    </row>
    <row r="6" spans="1:4" ht="31.5" customHeight="1" x14ac:dyDescent="0.25">
      <c r="A6" s="198" t="s">
        <v>110</v>
      </c>
      <c r="B6" s="198" t="s">
        <v>4578</v>
      </c>
      <c r="C6" s="199" t="s">
        <v>1329</v>
      </c>
      <c r="D6" s="65" t="s">
        <v>3432</v>
      </c>
    </row>
    <row r="7" spans="1:4" ht="31.5" customHeight="1" x14ac:dyDescent="0.25">
      <c r="A7" s="198" t="s">
        <v>117</v>
      </c>
      <c r="B7" s="198" t="s">
        <v>4579</v>
      </c>
      <c r="C7" s="199" t="s">
        <v>1584</v>
      </c>
      <c r="D7" s="65" t="s">
        <v>3433</v>
      </c>
    </row>
    <row r="8" spans="1:4" ht="47.25" customHeight="1" x14ac:dyDescent="0.25">
      <c r="A8" s="198" t="s">
        <v>124</v>
      </c>
      <c r="B8" s="198" t="s">
        <v>4580</v>
      </c>
      <c r="C8" s="199" t="s">
        <v>1584</v>
      </c>
      <c r="D8" s="65" t="s">
        <v>3434</v>
      </c>
    </row>
    <row r="9" spans="1:4" ht="31.5" customHeight="1" x14ac:dyDescent="0.25">
      <c r="A9" s="198" t="s">
        <v>130</v>
      </c>
      <c r="B9" s="198" t="s">
        <v>4581</v>
      </c>
      <c r="C9" s="199" t="s">
        <v>3335</v>
      </c>
      <c r="D9" s="65" t="s">
        <v>3435</v>
      </c>
    </row>
    <row r="10" spans="1:4" ht="47.25" customHeight="1" x14ac:dyDescent="0.25">
      <c r="A10" s="198" t="s">
        <v>136</v>
      </c>
      <c r="B10" s="198" t="s">
        <v>4582</v>
      </c>
      <c r="C10" s="199" t="s">
        <v>676</v>
      </c>
      <c r="D10" s="65" t="s">
        <v>3436</v>
      </c>
    </row>
    <row r="11" spans="1:4" ht="63" customHeight="1" x14ac:dyDescent="0.25">
      <c r="A11" s="198" t="s">
        <v>142</v>
      </c>
      <c r="B11" s="198" t="s">
        <v>4583</v>
      </c>
      <c r="C11" s="199" t="s">
        <v>4584</v>
      </c>
      <c r="D11" s="65" t="s">
        <v>3437</v>
      </c>
    </row>
    <row r="12" spans="1:4" ht="31.5" customHeight="1" x14ac:dyDescent="0.25">
      <c r="A12" s="198" t="s">
        <v>147</v>
      </c>
      <c r="B12" s="198" t="s">
        <v>4585</v>
      </c>
      <c r="C12" s="199" t="s">
        <v>379</v>
      </c>
      <c r="D12" s="65" t="s">
        <v>3438</v>
      </c>
    </row>
    <row r="13" spans="1:4" ht="31.5" customHeight="1" x14ac:dyDescent="0.25">
      <c r="A13" s="198" t="s">
        <v>154</v>
      </c>
      <c r="B13" s="198" t="s">
        <v>4586</v>
      </c>
      <c r="C13" s="199" t="s">
        <v>1106</v>
      </c>
      <c r="D13" s="65" t="s">
        <v>3439</v>
      </c>
    </row>
    <row r="14" spans="1:4" ht="31.5" customHeight="1" x14ac:dyDescent="0.25">
      <c r="A14" s="198" t="s">
        <v>160</v>
      </c>
      <c r="B14" s="198" t="s">
        <v>4587</v>
      </c>
      <c r="C14" s="199" t="s">
        <v>4588</v>
      </c>
      <c r="D14" s="65" t="s">
        <v>3442</v>
      </c>
    </row>
    <row r="15" spans="1:4" ht="31.5" customHeight="1" x14ac:dyDescent="0.25">
      <c r="A15" s="198" t="s">
        <v>166</v>
      </c>
      <c r="B15" s="198" t="s">
        <v>4589</v>
      </c>
      <c r="C15" s="199" t="s">
        <v>4588</v>
      </c>
      <c r="D15" s="65" t="s">
        <v>3444</v>
      </c>
    </row>
    <row r="16" spans="1:4" ht="31.5" customHeight="1" x14ac:dyDescent="0.25">
      <c r="A16" s="198" t="s">
        <v>173</v>
      </c>
      <c r="B16" s="198" t="s">
        <v>4590</v>
      </c>
      <c r="C16" s="199" t="s">
        <v>260</v>
      </c>
      <c r="D16" s="65" t="s">
        <v>3445</v>
      </c>
    </row>
    <row r="17" spans="1:4" ht="47.25" customHeight="1" x14ac:dyDescent="0.25">
      <c r="A17" s="198" t="s">
        <v>178</v>
      </c>
      <c r="B17" s="198" t="s">
        <v>4591</v>
      </c>
      <c r="C17" s="199" t="s">
        <v>489</v>
      </c>
      <c r="D17" s="65" t="s">
        <v>3446</v>
      </c>
    </row>
    <row r="18" spans="1:4" ht="31.5" customHeight="1" x14ac:dyDescent="0.25">
      <c r="A18" s="198" t="s">
        <v>184</v>
      </c>
      <c r="B18" s="198" t="s">
        <v>4592</v>
      </c>
      <c r="C18" s="199" t="s">
        <v>192</v>
      </c>
      <c r="D18" s="65" t="s">
        <v>3447</v>
      </c>
    </row>
    <row r="19" spans="1:4" ht="47.25" customHeight="1" x14ac:dyDescent="0.25">
      <c r="A19" s="198" t="s">
        <v>190</v>
      </c>
      <c r="B19" s="198" t="s">
        <v>4593</v>
      </c>
      <c r="C19" s="199" t="s">
        <v>4594</v>
      </c>
      <c r="D19" s="65" t="s">
        <v>3448</v>
      </c>
    </row>
    <row r="20" spans="1:4" ht="47.25" customHeight="1" x14ac:dyDescent="0.25">
      <c r="A20" s="198" t="s">
        <v>196</v>
      </c>
      <c r="B20" s="198" t="s">
        <v>4595</v>
      </c>
      <c r="C20" s="199" t="s">
        <v>560</v>
      </c>
      <c r="D20" s="65" t="s">
        <v>3449</v>
      </c>
    </row>
    <row r="21" spans="1:4" ht="47.25" customHeight="1" x14ac:dyDescent="0.25">
      <c r="A21" s="198" t="s">
        <v>200</v>
      </c>
      <c r="B21" s="198" t="s">
        <v>4596</v>
      </c>
      <c r="C21" s="199" t="s">
        <v>604</v>
      </c>
      <c r="D21" s="65" t="s">
        <v>3450</v>
      </c>
    </row>
    <row r="22" spans="1:4" ht="47.25" customHeight="1" x14ac:dyDescent="0.25">
      <c r="A22" s="198" t="s">
        <v>207</v>
      </c>
      <c r="B22" s="198" t="s">
        <v>4597</v>
      </c>
      <c r="C22" s="199" t="s">
        <v>4598</v>
      </c>
      <c r="D22" s="65" t="s">
        <v>3451</v>
      </c>
    </row>
    <row r="23" spans="1:4" ht="31.5" customHeight="1" x14ac:dyDescent="0.25">
      <c r="A23" s="198" t="s">
        <v>212</v>
      </c>
      <c r="B23" s="198" t="s">
        <v>4599</v>
      </c>
      <c r="C23" s="199" t="s">
        <v>4598</v>
      </c>
      <c r="D23" s="65" t="s">
        <v>3452</v>
      </c>
    </row>
    <row r="24" spans="1:4" ht="31.5" customHeight="1" x14ac:dyDescent="0.25">
      <c r="A24" s="198" t="s">
        <v>219</v>
      </c>
      <c r="B24" s="198" t="s">
        <v>4600</v>
      </c>
      <c r="C24" s="199" t="s">
        <v>4598</v>
      </c>
      <c r="D24" s="65" t="s">
        <v>3453</v>
      </c>
    </row>
    <row r="25" spans="1:4" ht="31.5" customHeight="1" x14ac:dyDescent="0.25">
      <c r="A25" s="198" t="s">
        <v>225</v>
      </c>
      <c r="B25" s="198" t="s">
        <v>4601</v>
      </c>
      <c r="C25" s="199" t="s">
        <v>4598</v>
      </c>
      <c r="D25" s="65" t="s">
        <v>3454</v>
      </c>
    </row>
    <row r="26" spans="1:4" ht="31.5" customHeight="1" x14ac:dyDescent="0.25">
      <c r="A26" s="198" t="s">
        <v>231</v>
      </c>
      <c r="B26" s="198" t="s">
        <v>4602</v>
      </c>
      <c r="C26" s="199" t="s">
        <v>4603</v>
      </c>
      <c r="D26" s="65" t="s">
        <v>3455</v>
      </c>
    </row>
    <row r="27" spans="1:4" ht="47.25" customHeight="1" x14ac:dyDescent="0.25">
      <c r="A27" s="198" t="s">
        <v>237</v>
      </c>
      <c r="B27" s="198" t="s">
        <v>4604</v>
      </c>
      <c r="C27" s="199" t="s">
        <v>1427</v>
      </c>
      <c r="D27" s="65" t="s">
        <v>3456</v>
      </c>
    </row>
    <row r="28" spans="1:4" ht="47.25" customHeight="1" x14ac:dyDescent="0.25">
      <c r="A28" s="198" t="s">
        <v>241</v>
      </c>
      <c r="B28" s="198" t="s">
        <v>4605</v>
      </c>
      <c r="C28" s="199" t="s">
        <v>1427</v>
      </c>
      <c r="D28" s="65" t="s">
        <v>3457</v>
      </c>
    </row>
    <row r="29" spans="1:4" ht="47.25" customHeight="1" x14ac:dyDescent="0.25">
      <c r="A29" s="198" t="s">
        <v>246</v>
      </c>
      <c r="B29" s="198" t="s">
        <v>4606</v>
      </c>
      <c r="C29" s="199" t="s">
        <v>4607</v>
      </c>
      <c r="D29" s="65" t="s">
        <v>3458</v>
      </c>
    </row>
    <row r="30" spans="1:4" ht="31.5" customHeight="1" x14ac:dyDescent="0.25">
      <c r="A30" s="198" t="s">
        <v>251</v>
      </c>
      <c r="B30" s="198" t="s">
        <v>4608</v>
      </c>
      <c r="C30" s="199" t="s">
        <v>4607</v>
      </c>
      <c r="D30" s="65" t="s">
        <v>3459</v>
      </c>
    </row>
    <row r="31" spans="1:4" ht="63" customHeight="1" x14ac:dyDescent="0.25">
      <c r="A31" s="198" t="s">
        <v>255</v>
      </c>
      <c r="B31" s="198" t="s">
        <v>4609</v>
      </c>
      <c r="C31" s="199" t="s">
        <v>548</v>
      </c>
      <c r="D31" s="65" t="s">
        <v>3460</v>
      </c>
    </row>
    <row r="32" spans="1:4" ht="47.25" customHeight="1" x14ac:dyDescent="0.25">
      <c r="A32" s="198" t="s">
        <v>258</v>
      </c>
      <c r="B32" s="198" t="s">
        <v>4610</v>
      </c>
      <c r="C32" s="199" t="s">
        <v>965</v>
      </c>
      <c r="D32" s="65" t="s">
        <v>3461</v>
      </c>
    </row>
    <row r="33" spans="1:4" ht="63" customHeight="1" x14ac:dyDescent="0.25">
      <c r="A33" s="198" t="s">
        <v>263</v>
      </c>
      <c r="B33" s="198" t="s">
        <v>4611</v>
      </c>
      <c r="C33" s="199" t="s">
        <v>4612</v>
      </c>
      <c r="D33" s="65" t="s">
        <v>3462</v>
      </c>
    </row>
    <row r="34" spans="1:4" ht="47.25" customHeight="1" x14ac:dyDescent="0.25">
      <c r="A34" s="198" t="s">
        <v>267</v>
      </c>
      <c r="B34" s="198" t="s">
        <v>4613</v>
      </c>
      <c r="C34" s="199" t="s">
        <v>112</v>
      </c>
      <c r="D34" s="65" t="s">
        <v>3463</v>
      </c>
    </row>
    <row r="35" spans="1:4" ht="47.25" customHeight="1" x14ac:dyDescent="0.25">
      <c r="A35" s="198" t="s">
        <v>273</v>
      </c>
      <c r="B35" s="198" t="s">
        <v>4614</v>
      </c>
      <c r="C35" s="199" t="s">
        <v>112</v>
      </c>
      <c r="D35" s="65" t="s">
        <v>3464</v>
      </c>
    </row>
    <row r="36" spans="1:4" ht="47.25" customHeight="1" x14ac:dyDescent="0.25">
      <c r="A36" s="198" t="s">
        <v>277</v>
      </c>
      <c r="B36" s="198" t="s">
        <v>4615</v>
      </c>
      <c r="C36" s="199" t="s">
        <v>4616</v>
      </c>
      <c r="D36" s="65" t="s">
        <v>3465</v>
      </c>
    </row>
    <row r="37" spans="1:4" ht="47.25" customHeight="1" x14ac:dyDescent="0.25">
      <c r="A37" s="198" t="s">
        <v>283</v>
      </c>
      <c r="B37" s="198" t="s">
        <v>4617</v>
      </c>
      <c r="C37" s="199" t="s">
        <v>1658</v>
      </c>
      <c r="D37" s="65" t="s">
        <v>3466</v>
      </c>
    </row>
    <row r="38" spans="1:4" ht="47.25" customHeight="1" x14ac:dyDescent="0.25">
      <c r="A38" s="198" t="s">
        <v>288</v>
      </c>
      <c r="B38" s="198" t="s">
        <v>4618</v>
      </c>
      <c r="C38" s="199" t="s">
        <v>1658</v>
      </c>
      <c r="D38" s="65" t="s">
        <v>3467</v>
      </c>
    </row>
    <row r="39" spans="1:4" ht="63" customHeight="1" x14ac:dyDescent="0.25">
      <c r="A39" s="198" t="s">
        <v>294</v>
      </c>
      <c r="B39" s="198" t="s">
        <v>4619</v>
      </c>
      <c r="C39" s="199" t="s">
        <v>4620</v>
      </c>
      <c r="D39" s="65" t="s">
        <v>3468</v>
      </c>
    </row>
    <row r="40" spans="1:4" ht="78.75" customHeight="1" x14ac:dyDescent="0.25">
      <c r="A40" s="198" t="s">
        <v>300</v>
      </c>
      <c r="B40" s="198" t="s">
        <v>4621</v>
      </c>
      <c r="C40" s="199" t="s">
        <v>4620</v>
      </c>
      <c r="D40" s="65" t="s">
        <v>3469</v>
      </c>
    </row>
    <row r="41" spans="1:4" ht="31.5" customHeight="1" x14ac:dyDescent="0.25">
      <c r="A41" s="198" t="s">
        <v>305</v>
      </c>
      <c r="B41" s="198" t="s">
        <v>4622</v>
      </c>
      <c r="C41" s="199" t="s">
        <v>628</v>
      </c>
      <c r="D41" s="65" t="s">
        <v>3470</v>
      </c>
    </row>
    <row r="42" spans="1:4" ht="47.25" customHeight="1" x14ac:dyDescent="0.25">
      <c r="A42" s="198" t="s">
        <v>310</v>
      </c>
      <c r="B42" s="198" t="s">
        <v>4623</v>
      </c>
      <c r="C42" s="199" t="s">
        <v>4624</v>
      </c>
      <c r="D42" s="65" t="s">
        <v>3471</v>
      </c>
    </row>
    <row r="43" spans="1:4" ht="63" customHeight="1" x14ac:dyDescent="0.25">
      <c r="A43" s="198" t="s">
        <v>314</v>
      </c>
      <c r="B43" s="198" t="s">
        <v>4625</v>
      </c>
      <c r="C43" s="199" t="s">
        <v>4626</v>
      </c>
      <c r="D43" s="65" t="s">
        <v>3472</v>
      </c>
    </row>
    <row r="44" spans="1:4" ht="63" customHeight="1" x14ac:dyDescent="0.25">
      <c r="A44" s="198" t="s">
        <v>317</v>
      </c>
      <c r="B44" s="198" t="s">
        <v>4627</v>
      </c>
      <c r="C44" s="199" t="s">
        <v>4628</v>
      </c>
      <c r="D44" s="65" t="s">
        <v>3473</v>
      </c>
    </row>
    <row r="45" spans="1:4" ht="31.5" customHeight="1" x14ac:dyDescent="0.25">
      <c r="A45" s="198" t="s">
        <v>322</v>
      </c>
      <c r="B45" s="198" t="s">
        <v>4629</v>
      </c>
      <c r="C45" s="199" t="s">
        <v>374</v>
      </c>
      <c r="D45" s="65" t="s">
        <v>3474</v>
      </c>
    </row>
    <row r="46" spans="1:4" ht="31.5" customHeight="1" x14ac:dyDescent="0.25">
      <c r="A46" s="198" t="s">
        <v>328</v>
      </c>
      <c r="B46" s="198" t="s">
        <v>4630</v>
      </c>
      <c r="C46" s="199" t="s">
        <v>156</v>
      </c>
      <c r="D46" s="65" t="s">
        <v>3475</v>
      </c>
    </row>
    <row r="47" spans="1:4" ht="31.5" customHeight="1" x14ac:dyDescent="0.25">
      <c r="A47" s="198" t="s">
        <v>333</v>
      </c>
      <c r="B47" s="198" t="s">
        <v>4631</v>
      </c>
      <c r="C47" s="199" t="s">
        <v>156</v>
      </c>
      <c r="D47" s="65" t="s">
        <v>3476</v>
      </c>
    </row>
    <row r="48" spans="1:4" ht="31.5" customHeight="1" x14ac:dyDescent="0.25">
      <c r="A48" s="198" t="s">
        <v>338</v>
      </c>
      <c r="B48" s="198" t="s">
        <v>4632</v>
      </c>
      <c r="C48" s="199" t="s">
        <v>2508</v>
      </c>
      <c r="D48" s="65" t="s">
        <v>3477</v>
      </c>
    </row>
    <row r="49" spans="1:4" ht="31.5" customHeight="1" x14ac:dyDescent="0.25">
      <c r="A49" s="198" t="s">
        <v>344</v>
      </c>
      <c r="B49" s="198" t="s">
        <v>4633</v>
      </c>
      <c r="C49" s="199" t="s">
        <v>4634</v>
      </c>
      <c r="D49" s="65" t="s">
        <v>3478</v>
      </c>
    </row>
    <row r="50" spans="1:4" ht="31.5" customHeight="1" x14ac:dyDescent="0.25">
      <c r="A50" s="198" t="s">
        <v>350</v>
      </c>
      <c r="B50" s="198" t="s">
        <v>4635</v>
      </c>
      <c r="C50" s="199" t="s">
        <v>3073</v>
      </c>
      <c r="D50" s="65" t="s">
        <v>3479</v>
      </c>
    </row>
    <row r="51" spans="1:4" ht="31.5" customHeight="1" x14ac:dyDescent="0.25">
      <c r="A51" s="198" t="s">
        <v>356</v>
      </c>
      <c r="B51" s="198" t="s">
        <v>4636</v>
      </c>
      <c r="C51" s="199" t="s">
        <v>4572</v>
      </c>
      <c r="D51" s="65" t="s">
        <v>3480</v>
      </c>
    </row>
    <row r="52" spans="1:4" ht="47.25" customHeight="1" x14ac:dyDescent="0.25">
      <c r="A52" s="198" t="s">
        <v>361</v>
      </c>
      <c r="B52" s="198" t="s">
        <v>4637</v>
      </c>
      <c r="C52" s="199" t="s">
        <v>4638</v>
      </c>
      <c r="D52" s="65" t="s">
        <v>3481</v>
      </c>
    </row>
    <row r="53" spans="1:4" ht="31.5" customHeight="1" x14ac:dyDescent="0.25">
      <c r="A53" s="198" t="s">
        <v>367</v>
      </c>
      <c r="B53" s="198" t="s">
        <v>4639</v>
      </c>
      <c r="C53" s="199" t="s">
        <v>4640</v>
      </c>
      <c r="D53" s="65" t="s">
        <v>3482</v>
      </c>
    </row>
    <row r="54" spans="1:4" ht="63" customHeight="1" x14ac:dyDescent="0.25">
      <c r="A54" s="198" t="s">
        <v>372</v>
      </c>
      <c r="B54" s="198" t="s">
        <v>4641</v>
      </c>
      <c r="C54" s="199" t="s">
        <v>4642</v>
      </c>
      <c r="D54" s="65" t="s">
        <v>3483</v>
      </c>
    </row>
    <row r="55" spans="1:4" ht="47.25" customHeight="1" x14ac:dyDescent="0.25">
      <c r="A55" s="198" t="s">
        <v>377</v>
      </c>
      <c r="B55" s="198" t="s">
        <v>4643</v>
      </c>
      <c r="C55" s="199" t="s">
        <v>302</v>
      </c>
      <c r="D55" s="65" t="s">
        <v>3484</v>
      </c>
    </row>
    <row r="56" spans="1:4" ht="47.25" customHeight="1" x14ac:dyDescent="0.25">
      <c r="A56" s="198" t="s">
        <v>382</v>
      </c>
      <c r="B56" s="198" t="s">
        <v>4644</v>
      </c>
      <c r="C56" s="199" t="s">
        <v>4645</v>
      </c>
      <c r="D56" s="65" t="s">
        <v>3485</v>
      </c>
    </row>
    <row r="57" spans="1:4" ht="31.5" customHeight="1" x14ac:dyDescent="0.25">
      <c r="A57" s="198" t="s">
        <v>388</v>
      </c>
      <c r="B57" s="198" t="s">
        <v>4646</v>
      </c>
      <c r="C57" s="200" t="s">
        <v>4647</v>
      </c>
      <c r="D57" s="65" t="s">
        <v>3486</v>
      </c>
    </row>
    <row r="58" spans="1:4" ht="31.5" customHeight="1" x14ac:dyDescent="0.25">
      <c r="A58" s="198" t="s">
        <v>394</v>
      </c>
      <c r="B58" s="198" t="s">
        <v>4648</v>
      </c>
      <c r="C58" s="199" t="s">
        <v>4649</v>
      </c>
      <c r="D58" s="65" t="s">
        <v>3487</v>
      </c>
    </row>
    <row r="59" spans="1:4" ht="47.25" customHeight="1" x14ac:dyDescent="0.25">
      <c r="A59" s="198" t="s">
        <v>401</v>
      </c>
      <c r="B59" s="198" t="s">
        <v>4650</v>
      </c>
      <c r="C59" s="199" t="s">
        <v>4651</v>
      </c>
      <c r="D59" s="65" t="s">
        <v>3488</v>
      </c>
    </row>
    <row r="60" spans="1:4" ht="31.5" customHeight="1" x14ac:dyDescent="0.25">
      <c r="A60" s="198" t="s">
        <v>407</v>
      </c>
      <c r="B60" s="198" t="s">
        <v>4652</v>
      </c>
      <c r="C60" s="199" t="s">
        <v>1503</v>
      </c>
      <c r="D60" s="65" t="s">
        <v>3489</v>
      </c>
    </row>
    <row r="61" spans="1:4" ht="47.25" customHeight="1" x14ac:dyDescent="0.25">
      <c r="A61" s="198" t="s">
        <v>411</v>
      </c>
      <c r="B61" s="198" t="s">
        <v>4653</v>
      </c>
      <c r="C61" s="199" t="s">
        <v>4654</v>
      </c>
      <c r="D61" s="65" t="s">
        <v>3490</v>
      </c>
    </row>
    <row r="62" spans="1:4" ht="63" customHeight="1" x14ac:dyDescent="0.25">
      <c r="A62" s="198" t="s">
        <v>417</v>
      </c>
      <c r="B62" s="198" t="s">
        <v>4655</v>
      </c>
      <c r="C62" s="199" t="s">
        <v>514</v>
      </c>
      <c r="D62" s="65" t="s">
        <v>3491</v>
      </c>
    </row>
    <row r="63" spans="1:4" ht="31.5" customHeight="1" x14ac:dyDescent="0.25">
      <c r="A63" s="198" t="s">
        <v>422</v>
      </c>
      <c r="B63" s="198" t="s">
        <v>4656</v>
      </c>
      <c r="C63" s="199" t="s">
        <v>4657</v>
      </c>
      <c r="D63" s="65" t="s">
        <v>3492</v>
      </c>
    </row>
    <row r="64" spans="1:4" ht="47.25" customHeight="1" x14ac:dyDescent="0.25">
      <c r="A64" s="198" t="s">
        <v>427</v>
      </c>
      <c r="B64" s="198" t="s">
        <v>4658</v>
      </c>
      <c r="C64" s="199" t="s">
        <v>4659</v>
      </c>
      <c r="D64" s="65" t="s">
        <v>3493</v>
      </c>
    </row>
    <row r="65" spans="1:4" ht="31.5" customHeight="1" x14ac:dyDescent="0.25">
      <c r="A65" s="198" t="s">
        <v>433</v>
      </c>
      <c r="B65" s="198" t="s">
        <v>4660</v>
      </c>
      <c r="C65" s="199" t="s">
        <v>3107</v>
      </c>
      <c r="D65" s="65" t="s">
        <v>3494</v>
      </c>
    </row>
    <row r="66" spans="1:4" ht="31.5" customHeight="1" x14ac:dyDescent="0.25">
      <c r="A66" s="198" t="s">
        <v>437</v>
      </c>
      <c r="B66" s="198" t="s">
        <v>4661</v>
      </c>
      <c r="C66" s="199" t="s">
        <v>3046</v>
      </c>
      <c r="D66" s="65" t="s">
        <v>3495</v>
      </c>
    </row>
    <row r="67" spans="1:4" ht="63" customHeight="1" x14ac:dyDescent="0.25">
      <c r="A67" s="198" t="s">
        <v>442</v>
      </c>
      <c r="B67" s="198" t="s">
        <v>4662</v>
      </c>
      <c r="C67" s="200" t="s">
        <v>3046</v>
      </c>
      <c r="D67" s="65" t="s">
        <v>3496</v>
      </c>
    </row>
    <row r="68" spans="1:4" ht="47.25" customHeight="1" x14ac:dyDescent="0.25">
      <c r="A68" s="198" t="s">
        <v>447</v>
      </c>
      <c r="B68" s="198" t="s">
        <v>4663</v>
      </c>
      <c r="C68" s="199" t="s">
        <v>285</v>
      </c>
      <c r="D68" s="65" t="s">
        <v>3497</v>
      </c>
    </row>
    <row r="69" spans="1:4" ht="31.5" customHeight="1" x14ac:dyDescent="0.25">
      <c r="A69" s="198" t="s">
        <v>451</v>
      </c>
      <c r="B69" s="198" t="s">
        <v>4664</v>
      </c>
      <c r="C69" s="199" t="s">
        <v>4665</v>
      </c>
      <c r="D69" s="65" t="s">
        <v>3498</v>
      </c>
    </row>
    <row r="70" spans="1:4" ht="31.5" customHeight="1" x14ac:dyDescent="0.25">
      <c r="A70" s="198" t="s">
        <v>455</v>
      </c>
      <c r="B70" s="198" t="s">
        <v>4666</v>
      </c>
      <c r="C70" s="199" t="s">
        <v>379</v>
      </c>
      <c r="D70" s="65" t="s">
        <v>3499</v>
      </c>
    </row>
    <row r="71" spans="1:4" ht="31.5" customHeight="1" x14ac:dyDescent="0.25">
      <c r="A71" s="198" t="s">
        <v>460</v>
      </c>
      <c r="B71" s="198" t="s">
        <v>4667</v>
      </c>
      <c r="C71" s="199" t="s">
        <v>1834</v>
      </c>
      <c r="D71" s="65" t="s">
        <v>3500</v>
      </c>
    </row>
    <row r="72" spans="1:4" ht="31.5" customHeight="1" x14ac:dyDescent="0.25">
      <c r="A72" s="198" t="s">
        <v>466</v>
      </c>
      <c r="B72" s="43" t="s">
        <v>4668</v>
      </c>
      <c r="C72" s="44" t="s">
        <v>657</v>
      </c>
      <c r="D72" s="45" t="s">
        <v>3501</v>
      </c>
    </row>
    <row r="73" spans="1:4" ht="63" customHeight="1" x14ac:dyDescent="0.25">
      <c r="A73" s="198" t="s">
        <v>471</v>
      </c>
      <c r="B73" s="43" t="s">
        <v>4669</v>
      </c>
      <c r="C73" s="44" t="s">
        <v>4670</v>
      </c>
      <c r="D73" s="45" t="s">
        <v>3502</v>
      </c>
    </row>
    <row r="74" spans="1:4" ht="63" customHeight="1" x14ac:dyDescent="0.25">
      <c r="A74" s="198" t="s">
        <v>475</v>
      </c>
      <c r="B74" s="43" t="s">
        <v>4671</v>
      </c>
      <c r="C74" s="44" t="s">
        <v>1658</v>
      </c>
      <c r="D74" s="45" t="s">
        <v>3503</v>
      </c>
    </row>
    <row r="75" spans="1:4" ht="31.5" customHeight="1" x14ac:dyDescent="0.25">
      <c r="A75" s="198" t="s">
        <v>481</v>
      </c>
      <c r="B75" s="43" t="s">
        <v>4672</v>
      </c>
      <c r="C75" s="44" t="s">
        <v>1589</v>
      </c>
      <c r="D75" s="45" t="s">
        <v>3504</v>
      </c>
    </row>
    <row r="76" spans="1:4" ht="47.25" customHeight="1" x14ac:dyDescent="0.25">
      <c r="A76" s="198" t="s">
        <v>487</v>
      </c>
      <c r="B76" s="43" t="s">
        <v>4673</v>
      </c>
      <c r="C76" s="44" t="s">
        <v>2508</v>
      </c>
      <c r="D76" s="45" t="s">
        <v>3505</v>
      </c>
    </row>
    <row r="77" spans="1:4" ht="31.5" customHeight="1" x14ac:dyDescent="0.25">
      <c r="A77" s="198" t="s">
        <v>492</v>
      </c>
      <c r="B77" s="43" t="s">
        <v>4674</v>
      </c>
      <c r="C77" s="44" t="s">
        <v>4675</v>
      </c>
      <c r="D77" s="45" t="s">
        <v>3506</v>
      </c>
    </row>
    <row r="78" spans="1:4" ht="31.5" customHeight="1" x14ac:dyDescent="0.25">
      <c r="A78" s="198" t="s">
        <v>497</v>
      </c>
      <c r="B78" s="43" t="s">
        <v>4676</v>
      </c>
      <c r="C78" s="44" t="s">
        <v>965</v>
      </c>
      <c r="D78" s="45" t="s">
        <v>3507</v>
      </c>
    </row>
    <row r="79" spans="1:4" ht="63" customHeight="1" x14ac:dyDescent="0.25">
      <c r="A79" s="198" t="s">
        <v>501</v>
      </c>
      <c r="B79" s="43" t="s">
        <v>4677</v>
      </c>
      <c r="C79" s="44" t="s">
        <v>4678</v>
      </c>
      <c r="D79" s="45" t="s">
        <v>3508</v>
      </c>
    </row>
    <row r="80" spans="1:4" ht="31.5" customHeight="1" x14ac:dyDescent="0.25">
      <c r="A80" s="43" t="s">
        <v>130</v>
      </c>
      <c r="B80" s="43" t="s">
        <v>4679</v>
      </c>
      <c r="C80" s="44" t="s">
        <v>671</v>
      </c>
      <c r="D80" s="45" t="s">
        <v>3509</v>
      </c>
    </row>
    <row r="81" spans="1:4" ht="47.25" customHeight="1" x14ac:dyDescent="0.25">
      <c r="A81" s="43" t="s">
        <v>136</v>
      </c>
      <c r="B81" s="43" t="s">
        <v>4680</v>
      </c>
      <c r="C81" s="44" t="s">
        <v>4681</v>
      </c>
      <c r="D81" s="45" t="s">
        <v>3510</v>
      </c>
    </row>
    <row r="82" spans="1:4" ht="47.25" customHeight="1" x14ac:dyDescent="0.25">
      <c r="A82" s="43" t="s">
        <v>142</v>
      </c>
      <c r="B82" s="43" t="s">
        <v>4682</v>
      </c>
      <c r="C82" s="44" t="s">
        <v>4683</v>
      </c>
      <c r="D82" s="45" t="s">
        <v>3511</v>
      </c>
    </row>
    <row r="83" spans="1:4" ht="47.25" customHeight="1" x14ac:dyDescent="0.25">
      <c r="A83" s="43" t="s">
        <v>147</v>
      </c>
      <c r="B83" s="43" t="s">
        <v>4684</v>
      </c>
      <c r="C83" s="44" t="s">
        <v>4685</v>
      </c>
      <c r="D83" s="45" t="s">
        <v>3512</v>
      </c>
    </row>
    <row r="84" spans="1:4" ht="47.25" customHeight="1" x14ac:dyDescent="0.25">
      <c r="A84" s="43" t="s">
        <v>154</v>
      </c>
      <c r="B84" s="43" t="s">
        <v>4686</v>
      </c>
      <c r="C84" s="44" t="s">
        <v>4687</v>
      </c>
      <c r="D84" s="45" t="s">
        <v>3513</v>
      </c>
    </row>
    <row r="85" spans="1:4" ht="31.5" customHeight="1" x14ac:dyDescent="0.25">
      <c r="A85" s="43" t="s">
        <v>160</v>
      </c>
      <c r="B85" s="43" t="s">
        <v>4688</v>
      </c>
      <c r="C85" s="44" t="s">
        <v>4689</v>
      </c>
      <c r="D85" s="45" t="s">
        <v>3514</v>
      </c>
    </row>
    <row r="86" spans="1:4" ht="47.25" customHeight="1" x14ac:dyDescent="0.25">
      <c r="A86" s="43" t="s">
        <v>166</v>
      </c>
      <c r="B86" s="43" t="s">
        <v>4690</v>
      </c>
      <c r="C86" s="44" t="s">
        <v>752</v>
      </c>
      <c r="D86" s="45" t="s">
        <v>3515</v>
      </c>
    </row>
    <row r="87" spans="1:4" ht="31.5" customHeight="1" x14ac:dyDescent="0.25">
      <c r="A87" s="43" t="s">
        <v>173</v>
      </c>
      <c r="B87" s="43" t="s">
        <v>4691</v>
      </c>
      <c r="C87" s="44" t="s">
        <v>4692</v>
      </c>
      <c r="D87" s="45" t="s">
        <v>3516</v>
      </c>
    </row>
    <row r="88" spans="1:4" ht="47.25" customHeight="1" x14ac:dyDescent="0.25">
      <c r="A88" s="43" t="s">
        <v>178</v>
      </c>
      <c r="B88" s="43" t="s">
        <v>4693</v>
      </c>
      <c r="C88" s="44" t="s">
        <v>4694</v>
      </c>
      <c r="D88" s="45" t="s">
        <v>3517</v>
      </c>
    </row>
    <row r="89" spans="1:4" ht="47.25" customHeight="1" x14ac:dyDescent="0.25">
      <c r="A89" s="43" t="s">
        <v>184</v>
      </c>
      <c r="B89" s="43" t="s">
        <v>4695</v>
      </c>
      <c r="C89" s="44" t="s">
        <v>4696</v>
      </c>
      <c r="D89" s="45" t="s">
        <v>3518</v>
      </c>
    </row>
    <row r="90" spans="1:4" ht="47.25" customHeight="1" x14ac:dyDescent="0.25">
      <c r="A90" s="43" t="s">
        <v>190</v>
      </c>
      <c r="B90" s="43" t="s">
        <v>4697</v>
      </c>
      <c r="C90" s="44" t="s">
        <v>4698</v>
      </c>
      <c r="D90" s="45" t="s">
        <v>3519</v>
      </c>
    </row>
    <row r="91" spans="1:4" ht="47.25" customHeight="1" x14ac:dyDescent="0.25">
      <c r="A91" s="43" t="s">
        <v>196</v>
      </c>
      <c r="B91" s="43" t="s">
        <v>4699</v>
      </c>
      <c r="C91" s="44" t="s">
        <v>4700</v>
      </c>
      <c r="D91" s="45" t="s">
        <v>3520</v>
      </c>
    </row>
    <row r="92" spans="1:4" ht="47.25" customHeight="1" x14ac:dyDescent="0.25">
      <c r="A92" s="43" t="s">
        <v>200</v>
      </c>
      <c r="B92" s="43" t="s">
        <v>4701</v>
      </c>
      <c r="C92" s="44" t="s">
        <v>924</v>
      </c>
      <c r="D92" s="45" t="s">
        <v>3521</v>
      </c>
    </row>
    <row r="93" spans="1:4" ht="78.75" customHeight="1" x14ac:dyDescent="0.25">
      <c r="A93" s="43" t="s">
        <v>207</v>
      </c>
      <c r="B93" s="43" t="s">
        <v>4702</v>
      </c>
      <c r="C93" s="44" t="s">
        <v>739</v>
      </c>
      <c r="D93" s="45" t="s">
        <v>3522</v>
      </c>
    </row>
    <row r="94" spans="1:4" ht="78.75" customHeight="1" x14ac:dyDescent="0.25">
      <c r="A94" s="43" t="s">
        <v>212</v>
      </c>
      <c r="B94" s="43" t="s">
        <v>4703</v>
      </c>
      <c r="C94" s="44" t="s">
        <v>4704</v>
      </c>
      <c r="D94" s="45" t="s">
        <v>3523</v>
      </c>
    </row>
    <row r="95" spans="1:4" ht="31.5" customHeight="1" x14ac:dyDescent="0.25">
      <c r="A95" s="43" t="s">
        <v>219</v>
      </c>
      <c r="B95" s="43" t="s">
        <v>4705</v>
      </c>
      <c r="C95" s="44" t="s">
        <v>4706</v>
      </c>
      <c r="D95" s="45" t="s">
        <v>3524</v>
      </c>
    </row>
    <row r="96" spans="1:4" ht="31.5" customHeight="1" x14ac:dyDescent="0.25">
      <c r="A96" s="43" t="s">
        <v>225</v>
      </c>
      <c r="B96" s="43" t="s">
        <v>4707</v>
      </c>
      <c r="C96" s="44" t="s">
        <v>4708</v>
      </c>
      <c r="D96" s="45" t="s">
        <v>3525</v>
      </c>
    </row>
    <row r="97" spans="1:4" ht="63" customHeight="1" x14ac:dyDescent="0.25">
      <c r="A97" s="43" t="s">
        <v>231</v>
      </c>
      <c r="B97" s="43" t="s">
        <v>4709</v>
      </c>
      <c r="C97" s="44" t="s">
        <v>396</v>
      </c>
      <c r="D97" s="45" t="s">
        <v>3526</v>
      </c>
    </row>
    <row r="98" spans="1:4" ht="31.5" customHeight="1" x14ac:dyDescent="0.25">
      <c r="A98" s="43" t="s">
        <v>237</v>
      </c>
      <c r="B98" s="43" t="s">
        <v>4710</v>
      </c>
      <c r="C98" s="44" t="s">
        <v>3064</v>
      </c>
      <c r="D98" s="45" t="s">
        <v>3527</v>
      </c>
    </row>
    <row r="99" spans="1:4" ht="47.25" customHeight="1" x14ac:dyDescent="0.25">
      <c r="A99" s="43" t="s">
        <v>241</v>
      </c>
      <c r="B99" s="43" t="s">
        <v>4711</v>
      </c>
      <c r="C99" s="44" t="s">
        <v>1106</v>
      </c>
      <c r="D99" s="45" t="s">
        <v>3528</v>
      </c>
    </row>
    <row r="100" spans="1:4" ht="47.25" customHeight="1" x14ac:dyDescent="0.25">
      <c r="A100" s="43" t="s">
        <v>246</v>
      </c>
      <c r="B100" s="43" t="s">
        <v>4712</v>
      </c>
      <c r="C100" s="44" t="s">
        <v>112</v>
      </c>
      <c r="D100" s="45" t="s">
        <v>3529</v>
      </c>
    </row>
    <row r="101" spans="1:4" ht="63" customHeight="1" x14ac:dyDescent="0.25">
      <c r="A101" s="43" t="s">
        <v>251</v>
      </c>
      <c r="B101" s="43" t="s">
        <v>4713</v>
      </c>
      <c r="C101" s="44" t="s">
        <v>126</v>
      </c>
      <c r="D101" s="45" t="s">
        <v>3530</v>
      </c>
    </row>
    <row r="102" spans="1:4" ht="31.5" customHeight="1" x14ac:dyDescent="0.25">
      <c r="A102" s="43" t="s">
        <v>255</v>
      </c>
      <c r="B102" s="43" t="s">
        <v>4714</v>
      </c>
      <c r="C102" s="44" t="s">
        <v>752</v>
      </c>
      <c r="D102" s="45" t="s">
        <v>3531</v>
      </c>
    </row>
    <row r="103" spans="1:4" ht="47.25" customHeight="1" x14ac:dyDescent="0.25">
      <c r="A103" s="43" t="s">
        <v>258</v>
      </c>
      <c r="B103" s="43" t="s">
        <v>4715</v>
      </c>
      <c r="C103" s="44" t="s">
        <v>533</v>
      </c>
      <c r="D103" s="45" t="s">
        <v>3532</v>
      </c>
    </row>
    <row r="104" spans="1:4" ht="63" customHeight="1" x14ac:dyDescent="0.25">
      <c r="A104" s="43" t="s">
        <v>263</v>
      </c>
      <c r="B104" s="43" t="s">
        <v>4716</v>
      </c>
      <c r="C104" s="44" t="s">
        <v>4717</v>
      </c>
      <c r="D104" s="45" t="s">
        <v>3533</v>
      </c>
    </row>
    <row r="105" spans="1:4" ht="47.25" customHeight="1" x14ac:dyDescent="0.25">
      <c r="A105" s="43" t="s">
        <v>267</v>
      </c>
      <c r="B105" s="43" t="s">
        <v>4718</v>
      </c>
      <c r="C105" s="44" t="s">
        <v>2982</v>
      </c>
      <c r="D105" s="45" t="s">
        <v>3534</v>
      </c>
    </row>
    <row r="106" spans="1:4" ht="47.25" customHeight="1" x14ac:dyDescent="0.25">
      <c r="A106" s="43" t="s">
        <v>273</v>
      </c>
      <c r="B106" s="43" t="s">
        <v>4719</v>
      </c>
      <c r="C106" s="44" t="s">
        <v>2982</v>
      </c>
      <c r="D106" s="45" t="s">
        <v>3535</v>
      </c>
    </row>
    <row r="107" spans="1:4" ht="47.25" customHeight="1" x14ac:dyDescent="0.25">
      <c r="A107" s="43" t="s">
        <v>277</v>
      </c>
      <c r="B107" s="43" t="s">
        <v>4720</v>
      </c>
      <c r="C107" s="44" t="s">
        <v>509</v>
      </c>
      <c r="D107" s="45" t="s">
        <v>3536</v>
      </c>
    </row>
    <row r="108" spans="1:4" ht="47.25" customHeight="1" x14ac:dyDescent="0.25">
      <c r="A108" s="43" t="s">
        <v>283</v>
      </c>
      <c r="B108" s="43" t="s">
        <v>4721</v>
      </c>
      <c r="C108" s="44" t="s">
        <v>509</v>
      </c>
      <c r="D108" s="45" t="s">
        <v>3537</v>
      </c>
    </row>
    <row r="109" spans="1:4" ht="47.25" customHeight="1" x14ac:dyDescent="0.25">
      <c r="A109" s="43" t="s">
        <v>288</v>
      </c>
      <c r="B109" s="43" t="s">
        <v>4722</v>
      </c>
      <c r="C109" s="44" t="s">
        <v>1106</v>
      </c>
      <c r="D109" s="45" t="s">
        <v>3538</v>
      </c>
    </row>
    <row r="110" spans="1:4" ht="31.5" customHeight="1" x14ac:dyDescent="0.25">
      <c r="A110" s="43" t="s">
        <v>294</v>
      </c>
      <c r="B110" s="43" t="s">
        <v>4723</v>
      </c>
      <c r="C110" s="44" t="s">
        <v>652</v>
      </c>
      <c r="D110" s="45" t="s">
        <v>3539</v>
      </c>
    </row>
    <row r="111" spans="1:4" ht="31.5" customHeight="1" x14ac:dyDescent="0.25">
      <c r="A111" s="43" t="s">
        <v>300</v>
      </c>
      <c r="B111" s="43" t="s">
        <v>4724</v>
      </c>
      <c r="C111" s="44" t="s">
        <v>652</v>
      </c>
      <c r="D111" s="45" t="s">
        <v>3540</v>
      </c>
    </row>
    <row r="112" spans="1:4" ht="63" customHeight="1" x14ac:dyDescent="0.25">
      <c r="A112" s="43" t="s">
        <v>305</v>
      </c>
      <c r="B112" s="43" t="s">
        <v>4725</v>
      </c>
      <c r="C112" s="44" t="s">
        <v>1353</v>
      </c>
      <c r="D112" s="45" t="s">
        <v>3541</v>
      </c>
    </row>
    <row r="113" spans="1:4" ht="47.25" customHeight="1" x14ac:dyDescent="0.25">
      <c r="A113" s="43" t="s">
        <v>310</v>
      </c>
      <c r="B113" s="43" t="s">
        <v>4726</v>
      </c>
      <c r="C113" s="44" t="s">
        <v>657</v>
      </c>
      <c r="D113" s="45" t="s">
        <v>3542</v>
      </c>
    </row>
    <row r="114" spans="1:4" ht="47.25" customHeight="1" x14ac:dyDescent="0.25">
      <c r="A114" s="43" t="s">
        <v>314</v>
      </c>
      <c r="B114" s="43" t="s">
        <v>4727</v>
      </c>
      <c r="C114" s="44" t="s">
        <v>439</v>
      </c>
      <c r="D114" s="45" t="s">
        <v>3543</v>
      </c>
    </row>
    <row r="115" spans="1:4" ht="47.25" customHeight="1" x14ac:dyDescent="0.25">
      <c r="A115" s="43" t="s">
        <v>317</v>
      </c>
      <c r="B115" s="43" t="s">
        <v>4728</v>
      </c>
      <c r="C115" s="44" t="s">
        <v>4729</v>
      </c>
      <c r="D115" s="45" t="s">
        <v>3544</v>
      </c>
    </row>
    <row r="116" spans="1:4" ht="63" customHeight="1" x14ac:dyDescent="0.25">
      <c r="A116" s="43" t="s">
        <v>322</v>
      </c>
      <c r="B116" s="43" t="s">
        <v>4730</v>
      </c>
      <c r="C116" s="44" t="s">
        <v>4731</v>
      </c>
      <c r="D116" s="45" t="s">
        <v>3545</v>
      </c>
    </row>
    <row r="117" spans="1:4" ht="31.5" customHeight="1" x14ac:dyDescent="0.25">
      <c r="A117" s="43" t="s">
        <v>328</v>
      </c>
      <c r="B117" s="43" t="s">
        <v>4732</v>
      </c>
      <c r="C117" s="44" t="s">
        <v>186</v>
      </c>
      <c r="D117" s="45" t="s">
        <v>3546</v>
      </c>
    </row>
    <row r="118" spans="1:4" ht="31.5" customHeight="1" x14ac:dyDescent="0.25">
      <c r="A118" s="43" t="s">
        <v>333</v>
      </c>
      <c r="B118" s="43" t="s">
        <v>4733</v>
      </c>
      <c r="C118" s="44" t="s">
        <v>2402</v>
      </c>
      <c r="D118" s="45" t="s">
        <v>3547</v>
      </c>
    </row>
    <row r="119" spans="1:4" ht="63" customHeight="1" x14ac:dyDescent="0.25">
      <c r="A119" s="43" t="s">
        <v>338</v>
      </c>
      <c r="B119" s="43" t="s">
        <v>4734</v>
      </c>
      <c r="C119" s="44" t="s">
        <v>1498</v>
      </c>
      <c r="D119" s="45" t="s">
        <v>3548</v>
      </c>
    </row>
    <row r="120" spans="1:4" ht="47.25" customHeight="1" x14ac:dyDescent="0.25">
      <c r="A120" s="43" t="s">
        <v>344</v>
      </c>
      <c r="B120" s="43" t="s">
        <v>4735</v>
      </c>
      <c r="C120" s="44" t="s">
        <v>116</v>
      </c>
      <c r="D120" s="45" t="s">
        <v>3549</v>
      </c>
    </row>
    <row r="121" spans="1:4" ht="47.25" customHeight="1" x14ac:dyDescent="0.25">
      <c r="A121" s="43" t="s">
        <v>350</v>
      </c>
      <c r="B121" s="43" t="s">
        <v>4736</v>
      </c>
      <c r="C121" s="44" t="s">
        <v>302</v>
      </c>
      <c r="D121" s="45" t="s">
        <v>3550</v>
      </c>
    </row>
    <row r="122" spans="1:4" ht="31.5" customHeight="1" x14ac:dyDescent="0.25">
      <c r="A122" s="43" t="s">
        <v>356</v>
      </c>
      <c r="B122" s="43" t="s">
        <v>4737</v>
      </c>
      <c r="C122" s="44" t="s">
        <v>4738</v>
      </c>
      <c r="D122" s="45" t="s">
        <v>3551</v>
      </c>
    </row>
    <row r="123" spans="1:4" ht="63" customHeight="1" x14ac:dyDescent="0.25">
      <c r="A123" s="43" t="s">
        <v>361</v>
      </c>
      <c r="B123" s="43" t="s">
        <v>4739</v>
      </c>
      <c r="C123" s="44" t="s">
        <v>2329</v>
      </c>
      <c r="D123" s="45" t="s">
        <v>3552</v>
      </c>
    </row>
    <row r="124" spans="1:4" ht="78.75" customHeight="1" x14ac:dyDescent="0.25">
      <c r="A124" s="43" t="s">
        <v>367</v>
      </c>
      <c r="B124" s="43" t="s">
        <v>4740</v>
      </c>
      <c r="C124" s="44" t="s">
        <v>4741</v>
      </c>
      <c r="D124" s="45" t="s">
        <v>3553</v>
      </c>
    </row>
    <row r="125" spans="1:4" ht="31.5" customHeight="1" x14ac:dyDescent="0.25">
      <c r="A125" s="43" t="s">
        <v>372</v>
      </c>
      <c r="B125" s="43" t="s">
        <v>4742</v>
      </c>
      <c r="C125" s="44" t="s">
        <v>4743</v>
      </c>
      <c r="D125" s="45" t="s">
        <v>3554</v>
      </c>
    </row>
    <row r="126" spans="1:4" ht="31.5" customHeight="1" x14ac:dyDescent="0.25">
      <c r="A126" s="43" t="s">
        <v>377</v>
      </c>
      <c r="B126" s="43" t="s">
        <v>4744</v>
      </c>
      <c r="C126" s="44" t="s">
        <v>285</v>
      </c>
      <c r="D126" s="45" t="s">
        <v>3555</v>
      </c>
    </row>
    <row r="127" spans="1:4" ht="31.5" customHeight="1" x14ac:dyDescent="0.25">
      <c r="A127" s="43" t="s">
        <v>382</v>
      </c>
      <c r="B127" s="43" t="s">
        <v>4745</v>
      </c>
      <c r="C127" s="44" t="s">
        <v>186</v>
      </c>
      <c r="D127" s="45" t="s">
        <v>3556</v>
      </c>
    </row>
    <row r="128" spans="1:4" ht="31.5" customHeight="1" x14ac:dyDescent="0.25">
      <c r="A128" s="43" t="s">
        <v>388</v>
      </c>
      <c r="B128" s="43" t="s">
        <v>4746</v>
      </c>
      <c r="C128" s="44" t="s">
        <v>4747</v>
      </c>
      <c r="D128" s="45" t="s">
        <v>3557</v>
      </c>
    </row>
    <row r="129" spans="1:4" ht="31.5" customHeight="1" x14ac:dyDescent="0.25">
      <c r="A129" s="43" t="s">
        <v>394</v>
      </c>
      <c r="B129" s="43" t="s">
        <v>4748</v>
      </c>
      <c r="C129" s="44" t="s">
        <v>4749</v>
      </c>
      <c r="D129" s="45" t="s">
        <v>3558</v>
      </c>
    </row>
    <row r="130" spans="1:4" ht="31.5" customHeight="1" x14ac:dyDescent="0.25">
      <c r="A130" s="43" t="s">
        <v>401</v>
      </c>
      <c r="B130" s="43" t="s">
        <v>4750</v>
      </c>
      <c r="C130" s="44" t="s">
        <v>379</v>
      </c>
      <c r="D130" s="45" t="s">
        <v>3559</v>
      </c>
    </row>
    <row r="131" spans="1:4" ht="47.25" customHeight="1" x14ac:dyDescent="0.25">
      <c r="A131" s="43" t="s">
        <v>407</v>
      </c>
      <c r="B131" s="43" t="s">
        <v>4751</v>
      </c>
      <c r="C131" s="44" t="s">
        <v>126</v>
      </c>
      <c r="D131" s="45" t="s">
        <v>3560</v>
      </c>
    </row>
    <row r="132" spans="1:4" ht="47.25" customHeight="1" x14ac:dyDescent="0.25">
      <c r="A132" s="43" t="s">
        <v>411</v>
      </c>
      <c r="B132" s="43" t="s">
        <v>4752</v>
      </c>
      <c r="C132" s="44" t="s">
        <v>4753</v>
      </c>
      <c r="D132" s="45" t="s">
        <v>3561</v>
      </c>
    </row>
    <row r="133" spans="1:4" ht="47.25" customHeight="1" x14ac:dyDescent="0.25">
      <c r="A133" s="43" t="s">
        <v>417</v>
      </c>
      <c r="B133" s="43" t="s">
        <v>4754</v>
      </c>
      <c r="C133" s="44" t="s">
        <v>4753</v>
      </c>
      <c r="D133" s="45" t="s">
        <v>3562</v>
      </c>
    </row>
    <row r="134" spans="1:4" ht="78.75" customHeight="1" x14ac:dyDescent="0.25">
      <c r="A134" s="43" t="s">
        <v>422</v>
      </c>
      <c r="B134" s="43" t="s">
        <v>4755</v>
      </c>
      <c r="C134" s="44" t="s">
        <v>4756</v>
      </c>
      <c r="D134" s="45" t="s">
        <v>3563</v>
      </c>
    </row>
    <row r="135" spans="1:4" ht="47.25" customHeight="1" x14ac:dyDescent="0.25">
      <c r="A135" s="43" t="s">
        <v>427</v>
      </c>
      <c r="B135" s="43" t="s">
        <v>4757</v>
      </c>
      <c r="C135" s="44" t="s">
        <v>2016</v>
      </c>
      <c r="D135" s="45" t="s">
        <v>3564</v>
      </c>
    </row>
    <row r="136" spans="1:4" ht="47.25" customHeight="1" x14ac:dyDescent="0.25">
      <c r="A136" s="43" t="s">
        <v>433</v>
      </c>
      <c r="B136" s="43" t="s">
        <v>4758</v>
      </c>
      <c r="C136" s="44" t="s">
        <v>3041</v>
      </c>
      <c r="D136" s="45" t="s">
        <v>3565</v>
      </c>
    </row>
    <row r="137" spans="1:4" ht="47.25" customHeight="1" x14ac:dyDescent="0.25">
      <c r="A137" s="43" t="s">
        <v>437</v>
      </c>
      <c r="B137" s="43" t="s">
        <v>4759</v>
      </c>
      <c r="C137" s="44" t="s">
        <v>4760</v>
      </c>
      <c r="D137" s="45" t="s">
        <v>3566</v>
      </c>
    </row>
    <row r="138" spans="1:4" ht="47.25" customHeight="1" x14ac:dyDescent="0.25">
      <c r="A138" s="43" t="s">
        <v>442</v>
      </c>
      <c r="B138" s="43" t="s">
        <v>4761</v>
      </c>
      <c r="C138" s="44" t="s">
        <v>4760</v>
      </c>
      <c r="D138" s="45" t="s">
        <v>3567</v>
      </c>
    </row>
    <row r="139" spans="1:4" ht="31.5" customHeight="1" x14ac:dyDescent="0.25">
      <c r="A139" s="43" t="s">
        <v>447</v>
      </c>
      <c r="B139" s="43" t="s">
        <v>4762</v>
      </c>
      <c r="C139" s="44" t="s">
        <v>4763</v>
      </c>
      <c r="D139" s="45" t="s">
        <v>3568</v>
      </c>
    </row>
    <row r="140" spans="1:4" ht="47.25" customHeight="1" x14ac:dyDescent="0.25">
      <c r="A140" s="43" t="s">
        <v>451</v>
      </c>
      <c r="B140" s="43" t="s">
        <v>4764</v>
      </c>
      <c r="C140" s="44" t="s">
        <v>4763</v>
      </c>
      <c r="D140" s="45" t="s">
        <v>3569</v>
      </c>
    </row>
    <row r="141" spans="1:4" ht="31.5" customHeight="1" x14ac:dyDescent="0.25">
      <c r="A141" s="43" t="s">
        <v>455</v>
      </c>
      <c r="B141" s="43" t="s">
        <v>4765</v>
      </c>
      <c r="C141" s="44" t="s">
        <v>4763</v>
      </c>
      <c r="D141" s="45" t="s">
        <v>3570</v>
      </c>
    </row>
    <row r="142" spans="1:4" ht="110.25" customHeight="1" x14ac:dyDescent="0.25">
      <c r="A142" s="43" t="s">
        <v>460</v>
      </c>
      <c r="B142" s="43" t="s">
        <v>4766</v>
      </c>
      <c r="C142" s="44" t="s">
        <v>4767</v>
      </c>
      <c r="D142" s="45" t="s">
        <v>3571</v>
      </c>
    </row>
    <row r="143" spans="1:4" ht="31.5" customHeight="1" x14ac:dyDescent="0.25">
      <c r="A143" s="43" t="s">
        <v>466</v>
      </c>
      <c r="B143" s="43" t="s">
        <v>4768</v>
      </c>
      <c r="C143" s="44" t="s">
        <v>800</v>
      </c>
      <c r="D143" s="45" t="s">
        <v>3572</v>
      </c>
    </row>
    <row r="144" spans="1:4" ht="47.25" customHeight="1" x14ac:dyDescent="0.25">
      <c r="A144" s="43" t="s">
        <v>471</v>
      </c>
      <c r="B144" s="43" t="s">
        <v>4769</v>
      </c>
      <c r="C144" s="44" t="s">
        <v>533</v>
      </c>
      <c r="D144" s="45" t="s">
        <v>3573</v>
      </c>
    </row>
    <row r="145" spans="1:4" ht="31.5" customHeight="1" x14ac:dyDescent="0.25">
      <c r="A145" s="43" t="s">
        <v>475</v>
      </c>
      <c r="B145" s="43" t="s">
        <v>4770</v>
      </c>
      <c r="C145" s="44" t="s">
        <v>533</v>
      </c>
      <c r="D145" s="45" t="s">
        <v>3574</v>
      </c>
    </row>
    <row r="146" spans="1:4" ht="47.25" customHeight="1" x14ac:dyDescent="0.25">
      <c r="A146" s="43" t="s">
        <v>481</v>
      </c>
      <c r="B146" s="43" t="s">
        <v>4771</v>
      </c>
      <c r="C146" s="44" t="s">
        <v>4700</v>
      </c>
      <c r="D146" s="45" t="s">
        <v>3575</v>
      </c>
    </row>
    <row r="147" spans="1:4" ht="63" customHeight="1" x14ac:dyDescent="0.25">
      <c r="A147" s="43" t="s">
        <v>487</v>
      </c>
      <c r="B147" s="43" t="s">
        <v>4772</v>
      </c>
      <c r="C147" s="44" t="s">
        <v>4773</v>
      </c>
      <c r="D147" s="45" t="s">
        <v>3576</v>
      </c>
    </row>
    <row r="148" spans="1:4" ht="63" customHeight="1" x14ac:dyDescent="0.25">
      <c r="A148" s="43" t="s">
        <v>492</v>
      </c>
      <c r="B148" s="43" t="s">
        <v>4774</v>
      </c>
      <c r="C148" s="44" t="s">
        <v>233</v>
      </c>
      <c r="D148" s="45" t="s">
        <v>3577</v>
      </c>
    </row>
    <row r="149" spans="1:4" ht="31.5" customHeight="1" x14ac:dyDescent="0.25">
      <c r="A149" s="43" t="s">
        <v>497</v>
      </c>
      <c r="B149" s="43" t="s">
        <v>4775</v>
      </c>
      <c r="C149" s="44" t="s">
        <v>1197</v>
      </c>
      <c r="D149" s="45" t="s">
        <v>3578</v>
      </c>
    </row>
    <row r="150" spans="1:4" ht="47.25" customHeight="1" x14ac:dyDescent="0.25">
      <c r="A150" s="43" t="s">
        <v>501</v>
      </c>
      <c r="B150" s="43" t="s">
        <v>4776</v>
      </c>
      <c r="C150" s="44" t="s">
        <v>942</v>
      </c>
      <c r="D150" s="45" t="s">
        <v>3579</v>
      </c>
    </row>
    <row r="151" spans="1:4" ht="47.25" customHeight="1" x14ac:dyDescent="0.25">
      <c r="A151" s="43" t="s">
        <v>507</v>
      </c>
      <c r="B151" s="43" t="s">
        <v>4777</v>
      </c>
      <c r="C151" s="44" t="s">
        <v>429</v>
      </c>
      <c r="D151" s="45" t="s">
        <v>3580</v>
      </c>
    </row>
    <row r="152" spans="1:4" ht="47.25" customHeight="1" x14ac:dyDescent="0.25">
      <c r="A152" s="43" t="s">
        <v>512</v>
      </c>
      <c r="B152" s="43" t="s">
        <v>4778</v>
      </c>
      <c r="C152" s="44" t="s">
        <v>578</v>
      </c>
      <c r="D152" s="45" t="s">
        <v>3581</v>
      </c>
    </row>
    <row r="153" spans="1:4" ht="47.25" customHeight="1" x14ac:dyDescent="0.25">
      <c r="A153" s="43" t="s">
        <v>517</v>
      </c>
      <c r="B153" s="43" t="s">
        <v>4779</v>
      </c>
      <c r="C153" s="44" t="s">
        <v>4780</v>
      </c>
      <c r="D153" s="45" t="s">
        <v>3582</v>
      </c>
    </row>
    <row r="154" spans="1:4" ht="47.25" customHeight="1" x14ac:dyDescent="0.25">
      <c r="A154" s="43" t="s">
        <v>522</v>
      </c>
      <c r="B154" s="43" t="s">
        <v>4781</v>
      </c>
      <c r="C154" s="44" t="s">
        <v>319</v>
      </c>
      <c r="D154" s="45" t="s">
        <v>3583</v>
      </c>
    </row>
    <row r="155" spans="1:4" ht="47.25" customHeight="1" x14ac:dyDescent="0.25">
      <c r="A155" s="43" t="s">
        <v>527</v>
      </c>
      <c r="B155" s="43" t="s">
        <v>4782</v>
      </c>
      <c r="C155" s="44" t="s">
        <v>4783</v>
      </c>
      <c r="D155" s="45" t="s">
        <v>3584</v>
      </c>
    </row>
    <row r="156" spans="1:4" ht="63" customHeight="1" x14ac:dyDescent="0.25">
      <c r="A156" s="43" t="s">
        <v>531</v>
      </c>
      <c r="B156" s="43" t="s">
        <v>4784</v>
      </c>
      <c r="C156" s="44" t="s">
        <v>4785</v>
      </c>
      <c r="D156" s="45" t="s">
        <v>3585</v>
      </c>
    </row>
    <row r="157" spans="1:4" ht="63" customHeight="1" x14ac:dyDescent="0.25">
      <c r="A157" s="43" t="s">
        <v>536</v>
      </c>
      <c r="B157" s="43" t="s">
        <v>4786</v>
      </c>
      <c r="C157" s="44" t="s">
        <v>4783</v>
      </c>
      <c r="D157" s="45" t="s">
        <v>3586</v>
      </c>
    </row>
    <row r="158" spans="1:4" ht="78.75" customHeight="1" x14ac:dyDescent="0.25">
      <c r="A158" s="43" t="s">
        <v>542</v>
      </c>
      <c r="B158" s="43" t="s">
        <v>4787</v>
      </c>
      <c r="C158" s="44" t="s">
        <v>4788</v>
      </c>
      <c r="D158" s="45" t="s">
        <v>3587</v>
      </c>
    </row>
    <row r="159" spans="1:4" ht="47.25" customHeight="1" x14ac:dyDescent="0.25">
      <c r="A159" s="43" t="s">
        <v>546</v>
      </c>
      <c r="B159" s="43" t="s">
        <v>4789</v>
      </c>
      <c r="C159" s="44" t="s">
        <v>1924</v>
      </c>
      <c r="D159" s="45" t="s">
        <v>3588</v>
      </c>
    </row>
    <row r="160" spans="1:4" ht="31.5" customHeight="1" x14ac:dyDescent="0.25">
      <c r="A160" s="43" t="s">
        <v>551</v>
      </c>
      <c r="B160" s="43" t="s">
        <v>4790</v>
      </c>
      <c r="C160" s="44" t="s">
        <v>1063</v>
      </c>
      <c r="D160" s="45" t="s">
        <v>3589</v>
      </c>
    </row>
    <row r="161" spans="1:4" ht="31.5" customHeight="1" x14ac:dyDescent="0.25">
      <c r="A161" s="43" t="s">
        <v>554</v>
      </c>
      <c r="B161" s="43" t="s">
        <v>4791</v>
      </c>
      <c r="C161" s="44" t="s">
        <v>4792</v>
      </c>
      <c r="D161" s="45" t="s">
        <v>3590</v>
      </c>
    </row>
    <row r="162" spans="1:4" ht="15.75" customHeight="1" x14ac:dyDescent="0.25">
      <c r="A162" s="43" t="s">
        <v>558</v>
      </c>
      <c r="B162" s="43" t="s">
        <v>4793</v>
      </c>
      <c r="C162" s="44" t="s">
        <v>2059</v>
      </c>
      <c r="D162" s="45" t="s">
        <v>3591</v>
      </c>
    </row>
    <row r="163" spans="1:4" ht="31.5" customHeight="1" x14ac:dyDescent="0.25">
      <c r="A163" s="43" t="s">
        <v>563</v>
      </c>
      <c r="B163" s="43" t="s">
        <v>4794</v>
      </c>
      <c r="C163" s="44" t="s">
        <v>2159</v>
      </c>
      <c r="D163" s="45" t="s">
        <v>3592</v>
      </c>
    </row>
    <row r="164" spans="1:4" ht="47.25" customHeight="1" x14ac:dyDescent="0.25">
      <c r="A164" s="43" t="s">
        <v>567</v>
      </c>
      <c r="B164" s="43" t="s">
        <v>4795</v>
      </c>
      <c r="C164" s="44" t="s">
        <v>4796</v>
      </c>
      <c r="D164" s="45" t="s">
        <v>3593</v>
      </c>
    </row>
    <row r="165" spans="1:4" ht="47.25" customHeight="1" x14ac:dyDescent="0.25">
      <c r="A165" s="43" t="s">
        <v>571</v>
      </c>
      <c r="B165" s="43" t="s">
        <v>4797</v>
      </c>
      <c r="C165" s="54" t="s">
        <v>4798</v>
      </c>
      <c r="D165" s="45" t="s">
        <v>3594</v>
      </c>
    </row>
    <row r="166" spans="1:4" ht="47.25" customHeight="1" x14ac:dyDescent="0.25">
      <c r="A166" s="43" t="s">
        <v>576</v>
      </c>
      <c r="B166" s="43" t="s">
        <v>4799</v>
      </c>
      <c r="C166" s="44" t="s">
        <v>4800</v>
      </c>
      <c r="D166" s="45" t="s">
        <v>3595</v>
      </c>
    </row>
    <row r="167" spans="1:4" ht="47.25" customHeight="1" x14ac:dyDescent="0.25">
      <c r="A167" s="43" t="s">
        <v>581</v>
      </c>
      <c r="B167" s="43" t="s">
        <v>4801</v>
      </c>
      <c r="C167" s="44" t="s">
        <v>4802</v>
      </c>
      <c r="D167" s="45" t="s">
        <v>3596</v>
      </c>
    </row>
    <row r="168" spans="1:4" ht="47.25" customHeight="1" x14ac:dyDescent="0.25">
      <c r="A168" s="43" t="s">
        <v>587</v>
      </c>
      <c r="B168" s="43" t="s">
        <v>4803</v>
      </c>
      <c r="C168" s="44" t="s">
        <v>1353</v>
      </c>
      <c r="D168" s="45" t="s">
        <v>3597</v>
      </c>
    </row>
    <row r="169" spans="1:4" ht="47.25" customHeight="1" x14ac:dyDescent="0.25">
      <c r="A169" s="43" t="s">
        <v>591</v>
      </c>
      <c r="B169" s="43" t="s">
        <v>4804</v>
      </c>
      <c r="C169" s="44" t="s">
        <v>965</v>
      </c>
      <c r="D169" s="45" t="s">
        <v>3598</v>
      </c>
    </row>
    <row r="170" spans="1:4" ht="31.5" customHeight="1" x14ac:dyDescent="0.25">
      <c r="A170" s="43" t="s">
        <v>594</v>
      </c>
      <c r="B170" s="43" t="s">
        <v>4805</v>
      </c>
      <c r="C170" s="44" t="s">
        <v>1106</v>
      </c>
      <c r="D170" s="45" t="s">
        <v>3599</v>
      </c>
    </row>
    <row r="171" spans="1:4" ht="47.25" customHeight="1" x14ac:dyDescent="0.25">
      <c r="A171" s="43" t="s">
        <v>598</v>
      </c>
      <c r="B171" s="43" t="s">
        <v>4806</v>
      </c>
      <c r="C171" s="44" t="s">
        <v>1924</v>
      </c>
      <c r="D171" s="45" t="s">
        <v>3600</v>
      </c>
    </row>
    <row r="172" spans="1:4" ht="47.25" customHeight="1" x14ac:dyDescent="0.25">
      <c r="A172" s="43" t="s">
        <v>602</v>
      </c>
      <c r="B172" s="43" t="s">
        <v>4807</v>
      </c>
      <c r="C172" s="44" t="s">
        <v>697</v>
      </c>
      <c r="D172" s="45" t="s">
        <v>3601</v>
      </c>
    </row>
    <row r="173" spans="1:4" ht="47.25" customHeight="1" x14ac:dyDescent="0.25">
      <c r="A173" s="43" t="s">
        <v>607</v>
      </c>
      <c r="B173" s="43" t="s">
        <v>4808</v>
      </c>
      <c r="C173" s="44" t="s">
        <v>4700</v>
      </c>
      <c r="D173" s="45" t="s">
        <v>3602</v>
      </c>
    </row>
    <row r="174" spans="1:4" ht="47.25" customHeight="1" x14ac:dyDescent="0.25">
      <c r="A174" s="43" t="s">
        <v>612</v>
      </c>
      <c r="B174" s="43" t="s">
        <v>4809</v>
      </c>
      <c r="C174" s="44" t="s">
        <v>2317</v>
      </c>
      <c r="D174" s="45" t="s">
        <v>3603</v>
      </c>
    </row>
    <row r="175" spans="1:4" ht="31.5" customHeight="1" x14ac:dyDescent="0.25">
      <c r="A175" s="43" t="s">
        <v>616</v>
      </c>
      <c r="B175" s="43" t="s">
        <v>4810</v>
      </c>
      <c r="C175" s="44" t="s">
        <v>1528</v>
      </c>
      <c r="D175" s="45" t="s">
        <v>3604</v>
      </c>
    </row>
    <row r="176" spans="1:4" ht="31.5" customHeight="1" x14ac:dyDescent="0.25">
      <c r="A176" s="43" t="s">
        <v>621</v>
      </c>
      <c r="B176" s="43" t="s">
        <v>4811</v>
      </c>
      <c r="C176" s="44" t="s">
        <v>1129</v>
      </c>
      <c r="D176" s="45" t="s">
        <v>3605</v>
      </c>
    </row>
    <row r="177" spans="1:4" ht="47.25" customHeight="1" x14ac:dyDescent="0.25">
      <c r="A177" s="43" t="s">
        <v>626</v>
      </c>
      <c r="B177" s="43" t="s">
        <v>4812</v>
      </c>
      <c r="C177" s="44" t="s">
        <v>4813</v>
      </c>
      <c r="D177" s="45" t="s">
        <v>3606</v>
      </c>
    </row>
    <row r="178" spans="1:4" ht="63" customHeight="1" x14ac:dyDescent="0.25">
      <c r="A178" s="43" t="s">
        <v>631</v>
      </c>
      <c r="B178" s="43" t="s">
        <v>4814</v>
      </c>
      <c r="C178" s="44" t="s">
        <v>1129</v>
      </c>
      <c r="D178" s="45" t="s">
        <v>3607</v>
      </c>
    </row>
    <row r="179" spans="1:4" ht="31.5" customHeight="1" x14ac:dyDescent="0.25">
      <c r="A179" s="43" t="s">
        <v>636</v>
      </c>
      <c r="B179" s="43" t="s">
        <v>4815</v>
      </c>
      <c r="C179" s="44" t="s">
        <v>4816</v>
      </c>
      <c r="D179" s="45" t="s">
        <v>3608</v>
      </c>
    </row>
    <row r="180" spans="1:4" ht="31.5" customHeight="1" x14ac:dyDescent="0.25">
      <c r="A180" s="43" t="s">
        <v>641</v>
      </c>
      <c r="B180" s="43" t="s">
        <v>4817</v>
      </c>
      <c r="C180" s="44" t="s">
        <v>4818</v>
      </c>
      <c r="D180" s="45" t="s">
        <v>3609</v>
      </c>
    </row>
    <row r="181" spans="1:4" ht="63" customHeight="1" x14ac:dyDescent="0.25">
      <c r="A181" s="43" t="s">
        <v>646</v>
      </c>
      <c r="B181" s="43" t="s">
        <v>4819</v>
      </c>
      <c r="C181" s="44" t="s">
        <v>4820</v>
      </c>
      <c r="D181" s="45" t="s">
        <v>3610</v>
      </c>
    </row>
    <row r="182" spans="1:4" ht="47.25" customHeight="1" x14ac:dyDescent="0.25">
      <c r="A182" s="43" t="s">
        <v>650</v>
      </c>
      <c r="B182" s="43" t="s">
        <v>4821</v>
      </c>
      <c r="C182" s="44" t="s">
        <v>4822</v>
      </c>
      <c r="D182" s="45" t="s">
        <v>3611</v>
      </c>
    </row>
    <row r="183" spans="1:4" ht="31.5" customHeight="1" x14ac:dyDescent="0.25">
      <c r="A183" s="43" t="s">
        <v>655</v>
      </c>
      <c r="B183" s="43" t="s">
        <v>4823</v>
      </c>
      <c r="C183" s="44" t="s">
        <v>4822</v>
      </c>
      <c r="D183" s="45" t="s">
        <v>3612</v>
      </c>
    </row>
    <row r="184" spans="1:4" ht="47.25" customHeight="1" x14ac:dyDescent="0.25">
      <c r="A184" s="43" t="s">
        <v>660</v>
      </c>
      <c r="B184" s="43" t="s">
        <v>4824</v>
      </c>
      <c r="C184" s="44" t="s">
        <v>4825</v>
      </c>
      <c r="D184" s="45" t="s">
        <v>3613</v>
      </c>
    </row>
    <row r="185" spans="1:4" ht="47.25" customHeight="1" x14ac:dyDescent="0.25">
      <c r="A185" s="43" t="s">
        <v>665</v>
      </c>
      <c r="B185" s="43" t="s">
        <v>4826</v>
      </c>
      <c r="C185" s="44" t="s">
        <v>4827</v>
      </c>
      <c r="D185" s="45" t="s">
        <v>3614</v>
      </c>
    </row>
    <row r="186" spans="1:4" ht="31.5" customHeight="1" x14ac:dyDescent="0.25">
      <c r="A186" s="43" t="s">
        <v>669</v>
      </c>
      <c r="B186" s="43" t="s">
        <v>4828</v>
      </c>
      <c r="C186" s="44" t="s">
        <v>1427</v>
      </c>
      <c r="D186" s="45" t="s">
        <v>3615</v>
      </c>
    </row>
    <row r="187" spans="1:4" ht="31.5" customHeight="1" x14ac:dyDescent="0.25">
      <c r="A187" s="43" t="s">
        <v>674</v>
      </c>
      <c r="B187" s="43" t="s">
        <v>4829</v>
      </c>
      <c r="C187" s="44" t="s">
        <v>1427</v>
      </c>
      <c r="D187" s="45" t="s">
        <v>3616</v>
      </c>
    </row>
    <row r="188" spans="1:4" ht="63" customHeight="1" x14ac:dyDescent="0.25">
      <c r="A188" s="43" t="s">
        <v>679</v>
      </c>
      <c r="B188" s="43" t="s">
        <v>4830</v>
      </c>
      <c r="C188" s="44" t="s">
        <v>4831</v>
      </c>
      <c r="D188" s="45" t="s">
        <v>3617</v>
      </c>
    </row>
    <row r="189" spans="1:4" ht="31.5" customHeight="1" x14ac:dyDescent="0.25">
      <c r="A189" s="43" t="s">
        <v>684</v>
      </c>
      <c r="B189" s="43" t="s">
        <v>4832</v>
      </c>
      <c r="C189" s="44" t="s">
        <v>4833</v>
      </c>
      <c r="D189" s="45" t="s">
        <v>3618</v>
      </c>
    </row>
    <row r="190" spans="1:4" ht="47.25" customHeight="1" x14ac:dyDescent="0.25">
      <c r="A190" s="43" t="s">
        <v>690</v>
      </c>
      <c r="B190" s="43" t="s">
        <v>4834</v>
      </c>
      <c r="C190" s="44" t="s">
        <v>2172</v>
      </c>
      <c r="D190" s="45" t="s">
        <v>3619</v>
      </c>
    </row>
    <row r="191" spans="1:4" ht="31.5" customHeight="1" x14ac:dyDescent="0.25">
      <c r="A191" s="43" t="s">
        <v>695</v>
      </c>
      <c r="B191" s="43" t="s">
        <v>4835</v>
      </c>
      <c r="C191" s="44" t="s">
        <v>374</v>
      </c>
      <c r="D191" s="45" t="s">
        <v>3620</v>
      </c>
    </row>
    <row r="192" spans="1:4" ht="63" customHeight="1" x14ac:dyDescent="0.25">
      <c r="A192" s="43" t="s">
        <v>701</v>
      </c>
      <c r="B192" s="43" t="s">
        <v>4836</v>
      </c>
      <c r="C192" s="44" t="s">
        <v>87</v>
      </c>
      <c r="D192" s="45" t="s">
        <v>3621</v>
      </c>
    </row>
    <row r="193" spans="1:4" ht="78.75" customHeight="1" x14ac:dyDescent="0.25">
      <c r="A193" s="43" t="s">
        <v>705</v>
      </c>
      <c r="B193" s="43" t="s">
        <v>4837</v>
      </c>
      <c r="C193" s="44" t="s">
        <v>4838</v>
      </c>
      <c r="D193" s="45" t="s">
        <v>3622</v>
      </c>
    </row>
    <row r="194" spans="1:4" ht="31.5" customHeight="1" x14ac:dyDescent="0.25">
      <c r="A194" s="43" t="s">
        <v>709</v>
      </c>
      <c r="B194" s="43" t="s">
        <v>4839</v>
      </c>
      <c r="C194" s="44" t="s">
        <v>1756</v>
      </c>
      <c r="D194" s="45" t="s">
        <v>3623</v>
      </c>
    </row>
    <row r="195" spans="1:4" ht="47.25" customHeight="1" x14ac:dyDescent="0.25">
      <c r="A195" s="43" t="s">
        <v>714</v>
      </c>
      <c r="B195" s="43" t="s">
        <v>4840</v>
      </c>
      <c r="C195" s="44" t="s">
        <v>168</v>
      </c>
      <c r="D195" s="45" t="s">
        <v>3624</v>
      </c>
    </row>
    <row r="196" spans="1:4" ht="47.25" customHeight="1" x14ac:dyDescent="0.25">
      <c r="A196" s="43" t="s">
        <v>718</v>
      </c>
      <c r="B196" s="43" t="s">
        <v>4841</v>
      </c>
      <c r="C196" s="44" t="s">
        <v>168</v>
      </c>
      <c r="D196" s="45" t="s">
        <v>3625</v>
      </c>
    </row>
    <row r="197" spans="1:4" ht="47.25" customHeight="1" x14ac:dyDescent="0.25">
      <c r="A197" s="43" t="s">
        <v>722</v>
      </c>
      <c r="B197" s="43" t="s">
        <v>4842</v>
      </c>
      <c r="C197" s="44" t="s">
        <v>1177</v>
      </c>
      <c r="D197" s="45" t="s">
        <v>3626</v>
      </c>
    </row>
    <row r="198" spans="1:4" ht="31.5" customHeight="1" x14ac:dyDescent="0.25">
      <c r="A198" s="43" t="s">
        <v>728</v>
      </c>
      <c r="B198" s="43" t="s">
        <v>4843</v>
      </c>
      <c r="C198" s="44" t="s">
        <v>112</v>
      </c>
      <c r="D198" s="45" t="s">
        <v>3627</v>
      </c>
    </row>
    <row r="199" spans="1:4" ht="31.5" customHeight="1" x14ac:dyDescent="0.25">
      <c r="A199" s="43" t="s">
        <v>732</v>
      </c>
      <c r="B199" s="43" t="s">
        <v>4844</v>
      </c>
      <c r="C199" s="44" t="s">
        <v>4845</v>
      </c>
      <c r="D199" s="45" t="s">
        <v>3628</v>
      </c>
    </row>
    <row r="200" spans="1:4" ht="31.5" customHeight="1" x14ac:dyDescent="0.25">
      <c r="A200" s="43" t="s">
        <v>737</v>
      </c>
      <c r="B200" s="43" t="s">
        <v>4846</v>
      </c>
      <c r="C200" s="44" t="s">
        <v>1106</v>
      </c>
      <c r="D200" s="45" t="s">
        <v>3629</v>
      </c>
    </row>
    <row r="201" spans="1:4" ht="31.5" customHeight="1" x14ac:dyDescent="0.25">
      <c r="A201" s="43" t="s">
        <v>742</v>
      </c>
      <c r="B201" s="43" t="s">
        <v>4847</v>
      </c>
      <c r="C201" s="44" t="s">
        <v>4848</v>
      </c>
      <c r="D201" s="45" t="s">
        <v>3630</v>
      </c>
    </row>
    <row r="202" spans="1:4" ht="47.25" customHeight="1" x14ac:dyDescent="0.25">
      <c r="A202" s="43" t="s">
        <v>747</v>
      </c>
      <c r="B202" s="43" t="s">
        <v>4849</v>
      </c>
      <c r="C202" s="44" t="s">
        <v>4822</v>
      </c>
      <c r="D202" s="45" t="s">
        <v>3631</v>
      </c>
    </row>
    <row r="203" spans="1:4" ht="47.25" customHeight="1" x14ac:dyDescent="0.25">
      <c r="A203" s="43" t="s">
        <v>750</v>
      </c>
      <c r="B203" s="43" t="s">
        <v>4850</v>
      </c>
      <c r="C203" s="44" t="s">
        <v>1589</v>
      </c>
      <c r="D203" s="45" t="s">
        <v>3632</v>
      </c>
    </row>
    <row r="204" spans="1:4" ht="63" customHeight="1" x14ac:dyDescent="0.25">
      <c r="A204" s="43" t="s">
        <v>755</v>
      </c>
      <c r="B204" s="43" t="s">
        <v>4851</v>
      </c>
      <c r="C204" s="44" t="s">
        <v>4852</v>
      </c>
      <c r="D204" s="45" t="s">
        <v>3633</v>
      </c>
    </row>
    <row r="205" spans="1:4" ht="63" customHeight="1" x14ac:dyDescent="0.25">
      <c r="A205" s="43" t="s">
        <v>760</v>
      </c>
      <c r="B205" s="43" t="s">
        <v>4853</v>
      </c>
      <c r="C205" s="44" t="s">
        <v>1260</v>
      </c>
      <c r="D205" s="45" t="s">
        <v>3634</v>
      </c>
    </row>
    <row r="206" spans="1:4" ht="31.5" customHeight="1" x14ac:dyDescent="0.25">
      <c r="A206" s="43" t="s">
        <v>764</v>
      </c>
      <c r="B206" s="43" t="s">
        <v>4854</v>
      </c>
      <c r="C206" s="44" t="s">
        <v>4689</v>
      </c>
      <c r="D206" s="45" t="s">
        <v>3635</v>
      </c>
    </row>
    <row r="207" spans="1:4" ht="31.5" customHeight="1" x14ac:dyDescent="0.25">
      <c r="A207" s="43" t="s">
        <v>768</v>
      </c>
      <c r="B207" s="43" t="s">
        <v>4855</v>
      </c>
      <c r="C207" s="44" t="s">
        <v>1503</v>
      </c>
      <c r="D207" s="45" t="s">
        <v>3636</v>
      </c>
    </row>
    <row r="208" spans="1:4" ht="47.25" customHeight="1" x14ac:dyDescent="0.25">
      <c r="A208" s="43" t="s">
        <v>774</v>
      </c>
      <c r="B208" s="43" t="s">
        <v>4856</v>
      </c>
      <c r="C208" s="44" t="s">
        <v>1106</v>
      </c>
      <c r="D208" s="45" t="s">
        <v>3637</v>
      </c>
    </row>
    <row r="209" spans="1:4" ht="31.5" customHeight="1" x14ac:dyDescent="0.25">
      <c r="A209" s="43" t="s">
        <v>779</v>
      </c>
      <c r="B209" s="43" t="s">
        <v>4857</v>
      </c>
      <c r="C209" s="44" t="s">
        <v>4858</v>
      </c>
      <c r="D209" s="45" t="s">
        <v>3638</v>
      </c>
    </row>
    <row r="210" spans="1:4" ht="31.5" customHeight="1" x14ac:dyDescent="0.25">
      <c r="A210" s="43" t="s">
        <v>784</v>
      </c>
      <c r="B210" s="43" t="s">
        <v>4859</v>
      </c>
      <c r="C210" s="44" t="s">
        <v>4638</v>
      </c>
      <c r="D210" s="45" t="s">
        <v>3639</v>
      </c>
    </row>
    <row r="211" spans="1:4" ht="63" customHeight="1" x14ac:dyDescent="0.25">
      <c r="A211" s="43" t="s">
        <v>789</v>
      </c>
      <c r="B211" s="43" t="s">
        <v>4860</v>
      </c>
      <c r="C211" s="44" t="s">
        <v>4861</v>
      </c>
      <c r="D211" s="45" t="s">
        <v>3640</v>
      </c>
    </row>
    <row r="212" spans="1:4" ht="31.5" customHeight="1" x14ac:dyDescent="0.25">
      <c r="A212" s="43" t="s">
        <v>793</v>
      </c>
      <c r="B212" s="43" t="s">
        <v>4862</v>
      </c>
      <c r="C212" s="44" t="s">
        <v>752</v>
      </c>
      <c r="D212" s="45" t="s">
        <v>3641</v>
      </c>
    </row>
    <row r="213" spans="1:4" ht="47.25" customHeight="1" x14ac:dyDescent="0.25">
      <c r="A213" s="43" t="s">
        <v>798</v>
      </c>
      <c r="B213" s="43" t="s">
        <v>4863</v>
      </c>
      <c r="C213" s="44" t="s">
        <v>4864</v>
      </c>
      <c r="D213" s="45" t="s">
        <v>3642</v>
      </c>
    </row>
    <row r="214" spans="1:4" ht="47.25" customHeight="1" x14ac:dyDescent="0.25">
      <c r="A214" s="43" t="s">
        <v>803</v>
      </c>
      <c r="B214" s="43" t="s">
        <v>4865</v>
      </c>
      <c r="C214" s="44" t="s">
        <v>302</v>
      </c>
      <c r="D214" s="45" t="s">
        <v>3643</v>
      </c>
    </row>
    <row r="215" spans="1:4" ht="47.25" customHeight="1" x14ac:dyDescent="0.25">
      <c r="A215" s="43" t="s">
        <v>807</v>
      </c>
      <c r="B215" s="43" t="s">
        <v>4866</v>
      </c>
      <c r="C215" s="44" t="s">
        <v>4624</v>
      </c>
      <c r="D215" s="45" t="s">
        <v>3644</v>
      </c>
    </row>
    <row r="216" spans="1:4" ht="47.25" customHeight="1" x14ac:dyDescent="0.25">
      <c r="A216" s="43" t="s">
        <v>812</v>
      </c>
      <c r="B216" s="43" t="s">
        <v>4867</v>
      </c>
      <c r="C216" s="44" t="s">
        <v>3121</v>
      </c>
      <c r="D216" s="45" t="s">
        <v>3645</v>
      </c>
    </row>
    <row r="217" spans="1:4" ht="47.25" customHeight="1" x14ac:dyDescent="0.25">
      <c r="A217" s="43" t="s">
        <v>816</v>
      </c>
      <c r="B217" s="43" t="s">
        <v>4868</v>
      </c>
      <c r="C217" s="44" t="s">
        <v>4773</v>
      </c>
      <c r="D217" s="45" t="s">
        <v>3646</v>
      </c>
    </row>
    <row r="218" spans="1:4" ht="47.25" customHeight="1" x14ac:dyDescent="0.25">
      <c r="A218" s="43" t="s">
        <v>822</v>
      </c>
      <c r="B218" s="43" t="s">
        <v>4869</v>
      </c>
      <c r="C218" s="44" t="s">
        <v>1353</v>
      </c>
      <c r="D218" s="45" t="s">
        <v>3647</v>
      </c>
    </row>
    <row r="219" spans="1:4" ht="47.25" customHeight="1" x14ac:dyDescent="0.25">
      <c r="A219" s="43" t="s">
        <v>827</v>
      </c>
      <c r="B219" s="43" t="s">
        <v>4870</v>
      </c>
      <c r="C219" s="44" t="s">
        <v>524</v>
      </c>
      <c r="D219" s="45" t="s">
        <v>3648</v>
      </c>
    </row>
    <row r="220" spans="1:4" ht="63" customHeight="1" x14ac:dyDescent="0.25">
      <c r="A220" s="43" t="s">
        <v>831</v>
      </c>
      <c r="B220" s="43" t="s">
        <v>4871</v>
      </c>
      <c r="C220" s="44" t="s">
        <v>4872</v>
      </c>
      <c r="D220" s="45" t="s">
        <v>3649</v>
      </c>
    </row>
    <row r="221" spans="1:4" ht="47.25" customHeight="1" x14ac:dyDescent="0.25">
      <c r="A221" s="43" t="s">
        <v>834</v>
      </c>
      <c r="B221" s="43" t="s">
        <v>4873</v>
      </c>
      <c r="C221" s="44" t="s">
        <v>3208</v>
      </c>
      <c r="D221" s="45" t="s">
        <v>3650</v>
      </c>
    </row>
    <row r="222" spans="1:4" ht="47.25" customHeight="1" x14ac:dyDescent="0.25">
      <c r="A222" s="43" t="s">
        <v>838</v>
      </c>
      <c r="B222" s="43" t="s">
        <v>4874</v>
      </c>
      <c r="C222" s="44" t="s">
        <v>2098</v>
      </c>
      <c r="D222" s="45" t="s">
        <v>3651</v>
      </c>
    </row>
    <row r="223" spans="1:4" ht="31.5" customHeight="1" x14ac:dyDescent="0.25">
      <c r="A223" s="43" t="s">
        <v>842</v>
      </c>
      <c r="B223" s="43" t="s">
        <v>4875</v>
      </c>
      <c r="C223" s="44" t="s">
        <v>4876</v>
      </c>
      <c r="D223" s="45" t="s">
        <v>3652</v>
      </c>
    </row>
    <row r="224" spans="1:4" ht="31.5" customHeight="1" x14ac:dyDescent="0.25">
      <c r="A224" s="43" t="s">
        <v>846</v>
      </c>
      <c r="B224" s="43" t="s">
        <v>4877</v>
      </c>
      <c r="C224" s="44" t="s">
        <v>1503</v>
      </c>
      <c r="D224" s="45" t="s">
        <v>3653</v>
      </c>
    </row>
    <row r="225" spans="1:4" ht="47.25" customHeight="1" x14ac:dyDescent="0.25">
      <c r="A225" s="43" t="s">
        <v>851</v>
      </c>
      <c r="B225" s="43" t="s">
        <v>4878</v>
      </c>
      <c r="C225" s="44" t="s">
        <v>76</v>
      </c>
      <c r="D225" s="45" t="s">
        <v>3654</v>
      </c>
    </row>
    <row r="226" spans="1:4" ht="47.25" customHeight="1" x14ac:dyDescent="0.25">
      <c r="A226" s="43" t="s">
        <v>856</v>
      </c>
      <c r="B226" s="43" t="s">
        <v>4879</v>
      </c>
      <c r="C226" s="44" t="s">
        <v>4880</v>
      </c>
      <c r="D226" s="45" t="s">
        <v>3655</v>
      </c>
    </row>
    <row r="227" spans="1:4" ht="31.5" customHeight="1" x14ac:dyDescent="0.25">
      <c r="A227" s="43" t="s">
        <v>861</v>
      </c>
      <c r="B227" s="43" t="s">
        <v>4881</v>
      </c>
      <c r="C227" s="44" t="s">
        <v>390</v>
      </c>
      <c r="D227" s="45" t="s">
        <v>3656</v>
      </c>
    </row>
    <row r="228" spans="1:4" ht="31.5" customHeight="1" x14ac:dyDescent="0.25">
      <c r="A228" s="43" t="s">
        <v>865</v>
      </c>
      <c r="B228" s="43" t="s">
        <v>4882</v>
      </c>
      <c r="C228" s="44" t="s">
        <v>1063</v>
      </c>
      <c r="D228" s="45" t="s">
        <v>3657</v>
      </c>
    </row>
    <row r="229" spans="1:4" ht="31.5" customHeight="1" x14ac:dyDescent="0.25">
      <c r="A229" s="43" t="s">
        <v>870</v>
      </c>
      <c r="B229" s="43" t="s">
        <v>4883</v>
      </c>
      <c r="C229" s="44" t="s">
        <v>2084</v>
      </c>
      <c r="D229" s="45" t="s">
        <v>3658</v>
      </c>
    </row>
    <row r="230" spans="1:4" ht="31.5" customHeight="1" x14ac:dyDescent="0.25">
      <c r="A230" s="43" t="s">
        <v>875</v>
      </c>
      <c r="B230" s="43" t="s">
        <v>4884</v>
      </c>
      <c r="C230" s="44" t="s">
        <v>2748</v>
      </c>
      <c r="D230" s="45" t="s">
        <v>3659</v>
      </c>
    </row>
    <row r="231" spans="1:4" ht="31.5" customHeight="1" x14ac:dyDescent="0.25">
      <c r="A231" s="43" t="s">
        <v>880</v>
      </c>
      <c r="B231" s="43" t="s">
        <v>4885</v>
      </c>
      <c r="C231" s="44" t="s">
        <v>4886</v>
      </c>
      <c r="D231" s="45" t="s">
        <v>3660</v>
      </c>
    </row>
    <row r="232" spans="1:4" ht="63" customHeight="1" x14ac:dyDescent="0.25">
      <c r="A232" s="43" t="s">
        <v>885</v>
      </c>
      <c r="B232" s="43" t="s">
        <v>4887</v>
      </c>
      <c r="C232" s="44" t="s">
        <v>2282</v>
      </c>
      <c r="D232" s="45" t="s">
        <v>3661</v>
      </c>
    </row>
    <row r="233" spans="1:4" ht="31.5" customHeight="1" x14ac:dyDescent="0.25">
      <c r="A233" s="43" t="s">
        <v>889</v>
      </c>
      <c r="B233" s="43" t="s">
        <v>4888</v>
      </c>
      <c r="C233" s="44" t="s">
        <v>4796</v>
      </c>
      <c r="D233" s="45" t="s">
        <v>3662</v>
      </c>
    </row>
    <row r="234" spans="1:4" ht="47.25" customHeight="1" x14ac:dyDescent="0.25">
      <c r="A234" s="43" t="s">
        <v>895</v>
      </c>
      <c r="B234" s="43" t="s">
        <v>4889</v>
      </c>
      <c r="C234" s="44" t="s">
        <v>4796</v>
      </c>
      <c r="D234" s="45" t="s">
        <v>3663</v>
      </c>
    </row>
    <row r="235" spans="1:4" ht="47.25" customHeight="1" x14ac:dyDescent="0.25">
      <c r="A235" s="43" t="s">
        <v>899</v>
      </c>
      <c r="B235" s="43" t="s">
        <v>4890</v>
      </c>
      <c r="C235" s="44" t="s">
        <v>4891</v>
      </c>
      <c r="D235" s="45" t="s">
        <v>3664</v>
      </c>
    </row>
    <row r="236" spans="1:4" ht="47.25" customHeight="1" x14ac:dyDescent="0.25">
      <c r="A236" s="43" t="s">
        <v>903</v>
      </c>
      <c r="B236" s="43" t="s">
        <v>4892</v>
      </c>
      <c r="C236" s="44" t="s">
        <v>2282</v>
      </c>
      <c r="D236" s="45" t="s">
        <v>3665</v>
      </c>
    </row>
    <row r="237" spans="1:4" ht="47.25" customHeight="1" x14ac:dyDescent="0.25">
      <c r="A237" s="43" t="s">
        <v>907</v>
      </c>
      <c r="B237" s="43" t="s">
        <v>4893</v>
      </c>
      <c r="C237" s="44" t="s">
        <v>4894</v>
      </c>
      <c r="D237" s="45" t="s">
        <v>3666</v>
      </c>
    </row>
    <row r="238" spans="1:4" ht="47.25" customHeight="1" x14ac:dyDescent="0.25">
      <c r="A238" s="43" t="s">
        <v>911</v>
      </c>
      <c r="B238" s="43" t="s">
        <v>4895</v>
      </c>
      <c r="C238" s="44" t="s">
        <v>4891</v>
      </c>
      <c r="D238" s="45" t="s">
        <v>3667</v>
      </c>
    </row>
    <row r="239" spans="1:4" ht="47.25" customHeight="1" x14ac:dyDescent="0.25">
      <c r="A239" s="43" t="s">
        <v>914</v>
      </c>
      <c r="B239" s="43" t="s">
        <v>4896</v>
      </c>
      <c r="C239" s="44" t="s">
        <v>4891</v>
      </c>
      <c r="D239" s="45" t="s">
        <v>3668</v>
      </c>
    </row>
    <row r="240" spans="1:4" ht="47.25" customHeight="1" x14ac:dyDescent="0.25">
      <c r="A240" s="43" t="s">
        <v>918</v>
      </c>
      <c r="B240" s="43" t="s">
        <v>4897</v>
      </c>
      <c r="C240" s="44" t="s">
        <v>4607</v>
      </c>
      <c r="D240" s="45" t="s">
        <v>3669</v>
      </c>
    </row>
    <row r="241" spans="1:4" ht="31.5" customHeight="1" x14ac:dyDescent="0.25">
      <c r="A241" s="43" t="s">
        <v>922</v>
      </c>
      <c r="B241" s="43" t="s">
        <v>4898</v>
      </c>
      <c r="C241" s="44" t="s">
        <v>524</v>
      </c>
      <c r="D241" s="45" t="s">
        <v>3670</v>
      </c>
    </row>
    <row r="242" spans="1:4" ht="31.5" customHeight="1" x14ac:dyDescent="0.25">
      <c r="A242" s="43" t="s">
        <v>927</v>
      </c>
      <c r="B242" s="43" t="s">
        <v>4899</v>
      </c>
      <c r="C242" s="44" t="s">
        <v>1795</v>
      </c>
      <c r="D242" s="45" t="s">
        <v>3671</v>
      </c>
    </row>
    <row r="243" spans="1:4" ht="47.25" customHeight="1" x14ac:dyDescent="0.25">
      <c r="A243" s="43" t="s">
        <v>931</v>
      </c>
      <c r="B243" s="43" t="s">
        <v>4900</v>
      </c>
      <c r="C243" s="44" t="s">
        <v>76</v>
      </c>
      <c r="D243" s="45" t="s">
        <v>3672</v>
      </c>
    </row>
    <row r="244" spans="1:4" ht="31.5" customHeight="1" x14ac:dyDescent="0.25">
      <c r="A244" s="43" t="s">
        <v>935</v>
      </c>
      <c r="B244" s="43" t="s">
        <v>4901</v>
      </c>
      <c r="C244" s="44" t="s">
        <v>4902</v>
      </c>
      <c r="D244" s="45" t="s">
        <v>3673</v>
      </c>
    </row>
    <row r="245" spans="1:4" ht="47.25" customHeight="1" x14ac:dyDescent="0.25">
      <c r="A245" s="43" t="s">
        <v>940</v>
      </c>
      <c r="B245" s="43" t="s">
        <v>4903</v>
      </c>
      <c r="C245" s="44" t="s">
        <v>524</v>
      </c>
      <c r="D245" s="45" t="s">
        <v>3674</v>
      </c>
    </row>
    <row r="246" spans="1:4" ht="47.25" customHeight="1" x14ac:dyDescent="0.25">
      <c r="A246" s="43" t="s">
        <v>945</v>
      </c>
      <c r="B246" s="43" t="s">
        <v>4904</v>
      </c>
      <c r="C246" s="44" t="s">
        <v>1142</v>
      </c>
      <c r="D246" s="45" t="s">
        <v>3675</v>
      </c>
    </row>
    <row r="247" spans="1:4" ht="31.5" customHeight="1" x14ac:dyDescent="0.25">
      <c r="A247" s="43" t="s">
        <v>950</v>
      </c>
      <c r="B247" s="43" t="s">
        <v>4905</v>
      </c>
      <c r="C247" s="44" t="s">
        <v>1191</v>
      </c>
      <c r="D247" s="45" t="s">
        <v>3676</v>
      </c>
    </row>
    <row r="248" spans="1:4" ht="47.25" customHeight="1" x14ac:dyDescent="0.25">
      <c r="A248" s="43" t="s">
        <v>955</v>
      </c>
      <c r="B248" s="43" t="s">
        <v>4906</v>
      </c>
      <c r="C248" s="44" t="s">
        <v>76</v>
      </c>
      <c r="D248" s="45" t="s">
        <v>3677</v>
      </c>
    </row>
    <row r="249" spans="1:4" ht="31.5" customHeight="1" x14ac:dyDescent="0.25">
      <c r="A249" s="43" t="s">
        <v>960</v>
      </c>
      <c r="B249" s="43" t="s">
        <v>4907</v>
      </c>
      <c r="C249" s="44" t="s">
        <v>2124</v>
      </c>
      <c r="D249" s="45" t="s">
        <v>3678</v>
      </c>
    </row>
    <row r="250" spans="1:4" ht="47.25" customHeight="1" x14ac:dyDescent="0.25">
      <c r="A250" s="43" t="s">
        <v>963</v>
      </c>
      <c r="B250" s="43" t="s">
        <v>4908</v>
      </c>
      <c r="C250" s="44" t="s">
        <v>1673</v>
      </c>
      <c r="D250" s="45" t="s">
        <v>3679</v>
      </c>
    </row>
    <row r="251" spans="1:4" ht="31.5" customHeight="1" x14ac:dyDescent="0.25">
      <c r="A251" s="43" t="s">
        <v>969</v>
      </c>
      <c r="B251" s="43" t="s">
        <v>4909</v>
      </c>
      <c r="C251" s="44" t="s">
        <v>509</v>
      </c>
      <c r="D251" s="45" t="s">
        <v>3680</v>
      </c>
    </row>
    <row r="252" spans="1:4" ht="31.5" customHeight="1" x14ac:dyDescent="0.25">
      <c r="A252" s="43" t="s">
        <v>973</v>
      </c>
      <c r="B252" s="43" t="s">
        <v>4910</v>
      </c>
      <c r="C252" s="44" t="s">
        <v>509</v>
      </c>
      <c r="D252" s="45" t="s">
        <v>3681</v>
      </c>
    </row>
    <row r="253" spans="1:4" ht="31.5" customHeight="1" x14ac:dyDescent="0.25">
      <c r="A253" s="43" t="s">
        <v>978</v>
      </c>
      <c r="B253" s="43" t="s">
        <v>4911</v>
      </c>
      <c r="C253" s="44" t="s">
        <v>369</v>
      </c>
      <c r="D253" s="45" t="s">
        <v>3682</v>
      </c>
    </row>
    <row r="254" spans="1:4" ht="63" customHeight="1" x14ac:dyDescent="0.25">
      <c r="A254" s="43" t="s">
        <v>983</v>
      </c>
      <c r="B254" s="43" t="s">
        <v>4912</v>
      </c>
      <c r="C254" s="44" t="s">
        <v>192</v>
      </c>
      <c r="D254" s="45" t="s">
        <v>3683</v>
      </c>
    </row>
    <row r="255" spans="1:4" ht="31.5" customHeight="1" x14ac:dyDescent="0.25">
      <c r="A255" s="43" t="s">
        <v>988</v>
      </c>
      <c r="B255" s="43" t="s">
        <v>4913</v>
      </c>
      <c r="C255" s="44" t="s">
        <v>2037</v>
      </c>
      <c r="D255" s="45" t="s">
        <v>3684</v>
      </c>
    </row>
    <row r="256" spans="1:4" ht="31.5" customHeight="1" x14ac:dyDescent="0.25">
      <c r="A256" s="43" t="s">
        <v>994</v>
      </c>
      <c r="B256" s="43" t="s">
        <v>4914</v>
      </c>
      <c r="C256" s="44" t="s">
        <v>4915</v>
      </c>
      <c r="D256" s="45" t="s">
        <v>3685</v>
      </c>
    </row>
    <row r="257" spans="1:4" ht="47.25" customHeight="1" x14ac:dyDescent="0.25">
      <c r="A257" s="43" t="s">
        <v>998</v>
      </c>
      <c r="B257" s="43" t="s">
        <v>4916</v>
      </c>
      <c r="C257" s="44" t="s">
        <v>4917</v>
      </c>
      <c r="D257" s="45" t="s">
        <v>3686</v>
      </c>
    </row>
    <row r="258" spans="1:4" ht="31.5" customHeight="1" x14ac:dyDescent="0.25">
      <c r="A258" s="43" t="s">
        <v>1002</v>
      </c>
      <c r="B258" s="43" t="s">
        <v>4918</v>
      </c>
      <c r="C258" s="44" t="s">
        <v>76</v>
      </c>
      <c r="D258" s="45" t="s">
        <v>3687</v>
      </c>
    </row>
    <row r="259" spans="1:4" ht="31.5" customHeight="1" x14ac:dyDescent="0.25">
      <c r="A259" s="43" t="s">
        <v>1007</v>
      </c>
      <c r="B259" s="43" t="s">
        <v>4919</v>
      </c>
      <c r="C259" s="44" t="s">
        <v>285</v>
      </c>
      <c r="D259" s="45" t="s">
        <v>3688</v>
      </c>
    </row>
    <row r="260" spans="1:4" ht="31.5" customHeight="1" x14ac:dyDescent="0.25">
      <c r="A260" s="43" t="s">
        <v>1012</v>
      </c>
      <c r="B260" s="43" t="s">
        <v>4920</v>
      </c>
      <c r="C260" s="44" t="s">
        <v>4921</v>
      </c>
      <c r="D260" s="45" t="s">
        <v>3689</v>
      </c>
    </row>
    <row r="261" spans="1:4" ht="47.25" customHeight="1" x14ac:dyDescent="0.25">
      <c r="A261" s="43" t="s">
        <v>1017</v>
      </c>
      <c r="B261" s="43" t="s">
        <v>4922</v>
      </c>
      <c r="C261" s="44" t="s">
        <v>384</v>
      </c>
      <c r="D261" s="45" t="s">
        <v>3690</v>
      </c>
    </row>
    <row r="262" spans="1:4" ht="47.25" customHeight="1" x14ac:dyDescent="0.25">
      <c r="A262" s="43" t="s">
        <v>1022</v>
      </c>
      <c r="B262" s="43" t="s">
        <v>4923</v>
      </c>
      <c r="C262" s="44" t="s">
        <v>744</v>
      </c>
      <c r="D262" s="45" t="s">
        <v>3691</v>
      </c>
    </row>
    <row r="263" spans="1:4" ht="47.25" customHeight="1" x14ac:dyDescent="0.25">
      <c r="A263" s="43" t="s">
        <v>1026</v>
      </c>
      <c r="B263" s="43" t="s">
        <v>4924</v>
      </c>
      <c r="C263" s="44" t="s">
        <v>604</v>
      </c>
      <c r="D263" s="45" t="s">
        <v>3692</v>
      </c>
    </row>
    <row r="264" spans="1:4" ht="78.75" customHeight="1" x14ac:dyDescent="0.25">
      <c r="A264" s="43" t="s">
        <v>1031</v>
      </c>
      <c r="B264" s="43" t="s">
        <v>4925</v>
      </c>
      <c r="C264" s="44" t="s">
        <v>786</v>
      </c>
      <c r="D264" s="45" t="s">
        <v>3693</v>
      </c>
    </row>
    <row r="265" spans="1:4" ht="31.5" customHeight="1" x14ac:dyDescent="0.25">
      <c r="A265" s="43" t="s">
        <v>1035</v>
      </c>
      <c r="B265" s="43" t="s">
        <v>4926</v>
      </c>
      <c r="C265" s="44" t="s">
        <v>379</v>
      </c>
      <c r="D265" s="45" t="s">
        <v>3694</v>
      </c>
    </row>
    <row r="266" spans="1:4" ht="47.25" customHeight="1" x14ac:dyDescent="0.25">
      <c r="A266" s="43" t="s">
        <v>1041</v>
      </c>
      <c r="B266" s="43" t="s">
        <v>4927</v>
      </c>
      <c r="C266" s="44" t="s">
        <v>1477</v>
      </c>
      <c r="D266" s="45" t="s">
        <v>3695</v>
      </c>
    </row>
    <row r="267" spans="1:4" ht="63" customHeight="1" x14ac:dyDescent="0.25">
      <c r="A267" s="43" t="s">
        <v>1046</v>
      </c>
      <c r="B267" s="43" t="s">
        <v>4928</v>
      </c>
      <c r="C267" s="44" t="s">
        <v>227</v>
      </c>
      <c r="D267" s="45" t="s">
        <v>3696</v>
      </c>
    </row>
    <row r="268" spans="1:4" ht="47.25" customHeight="1" x14ac:dyDescent="0.25">
      <c r="A268" s="43" t="s">
        <v>1050</v>
      </c>
      <c r="B268" s="43" t="s">
        <v>4929</v>
      </c>
      <c r="C268" s="44" t="s">
        <v>985</v>
      </c>
      <c r="D268" s="45" t="s">
        <v>3697</v>
      </c>
    </row>
    <row r="269" spans="1:4" ht="47.25" customHeight="1" x14ac:dyDescent="0.25">
      <c r="A269" s="43" t="s">
        <v>1055</v>
      </c>
      <c r="B269" s="43" t="s">
        <v>4930</v>
      </c>
      <c r="C269" s="44" t="s">
        <v>4931</v>
      </c>
      <c r="D269" s="45" t="s">
        <v>3698</v>
      </c>
    </row>
    <row r="270" spans="1:4" ht="47.25" customHeight="1" x14ac:dyDescent="0.25">
      <c r="A270" s="43" t="s">
        <v>1058</v>
      </c>
      <c r="B270" s="43" t="s">
        <v>4932</v>
      </c>
      <c r="C270" s="44" t="s">
        <v>1503</v>
      </c>
      <c r="D270" s="45" t="s">
        <v>3699</v>
      </c>
    </row>
    <row r="271" spans="1:4" ht="47.25" customHeight="1" x14ac:dyDescent="0.25">
      <c r="A271" s="43" t="s">
        <v>1061</v>
      </c>
      <c r="B271" s="43" t="s">
        <v>4933</v>
      </c>
      <c r="C271" s="44" t="s">
        <v>4934</v>
      </c>
      <c r="D271" s="45" t="s">
        <v>3700</v>
      </c>
    </row>
    <row r="272" spans="1:4" ht="31.5" customHeight="1" x14ac:dyDescent="0.25">
      <c r="A272" s="43" t="s">
        <v>1066</v>
      </c>
      <c r="B272" s="43" t="s">
        <v>4935</v>
      </c>
      <c r="C272" s="44" t="s">
        <v>1129</v>
      </c>
      <c r="D272" s="45" t="s">
        <v>3701</v>
      </c>
    </row>
    <row r="273" spans="1:4" ht="47.25" customHeight="1" x14ac:dyDescent="0.25">
      <c r="A273" s="43" t="s">
        <v>1070</v>
      </c>
      <c r="B273" s="43" t="s">
        <v>4936</v>
      </c>
      <c r="C273" s="44" t="s">
        <v>285</v>
      </c>
      <c r="D273" s="45" t="s">
        <v>3702</v>
      </c>
    </row>
    <row r="274" spans="1:4" ht="78.75" customHeight="1" x14ac:dyDescent="0.25">
      <c r="A274" s="43" t="s">
        <v>1076</v>
      </c>
      <c r="B274" s="43" t="s">
        <v>4937</v>
      </c>
      <c r="C274" s="44" t="s">
        <v>1106</v>
      </c>
      <c r="D274" s="45" t="s">
        <v>3703</v>
      </c>
    </row>
    <row r="275" spans="1:4" ht="47.25" customHeight="1" x14ac:dyDescent="0.25">
      <c r="A275" s="43" t="s">
        <v>1081</v>
      </c>
      <c r="B275" s="43" t="s">
        <v>4938</v>
      </c>
      <c r="C275" s="44" t="s">
        <v>4939</v>
      </c>
      <c r="D275" s="45" t="s">
        <v>3704</v>
      </c>
    </row>
    <row r="276" spans="1:4" ht="47.25" customHeight="1" x14ac:dyDescent="0.25">
      <c r="A276" s="43" t="s">
        <v>1085</v>
      </c>
      <c r="B276" s="43" t="s">
        <v>4940</v>
      </c>
      <c r="C276" s="44" t="s">
        <v>2282</v>
      </c>
      <c r="D276" s="45" t="s">
        <v>3705</v>
      </c>
    </row>
    <row r="277" spans="1:4" ht="47.25" customHeight="1" x14ac:dyDescent="0.25">
      <c r="A277" s="43" t="s">
        <v>1090</v>
      </c>
      <c r="B277" s="43" t="s">
        <v>4941</v>
      </c>
      <c r="C277" s="44" t="s">
        <v>4942</v>
      </c>
      <c r="D277" s="45" t="s">
        <v>3706</v>
      </c>
    </row>
    <row r="278" spans="1:4" ht="31.5" customHeight="1" x14ac:dyDescent="0.25">
      <c r="A278" s="43" t="s">
        <v>1095</v>
      </c>
      <c r="B278" s="43" t="s">
        <v>4943</v>
      </c>
      <c r="C278" s="44" t="s">
        <v>1106</v>
      </c>
      <c r="D278" s="45" t="s">
        <v>3707</v>
      </c>
    </row>
    <row r="279" spans="1:4" ht="63" customHeight="1" x14ac:dyDescent="0.25">
      <c r="A279" s="43" t="s">
        <v>1100</v>
      </c>
      <c r="B279" s="43" t="s">
        <v>4944</v>
      </c>
      <c r="C279" s="44" t="s">
        <v>4945</v>
      </c>
      <c r="D279" s="45" t="s">
        <v>3708</v>
      </c>
    </row>
    <row r="280" spans="1:4" ht="47.25" customHeight="1" x14ac:dyDescent="0.25">
      <c r="A280" s="43" t="s">
        <v>1104</v>
      </c>
      <c r="B280" s="43" t="s">
        <v>4946</v>
      </c>
      <c r="C280" s="44" t="s">
        <v>4838</v>
      </c>
      <c r="D280" s="45" t="s">
        <v>3709</v>
      </c>
    </row>
    <row r="281" spans="1:4" ht="47.25" customHeight="1" x14ac:dyDescent="0.25">
      <c r="A281" s="43" t="s">
        <v>1109</v>
      </c>
      <c r="B281" s="43" t="s">
        <v>4947</v>
      </c>
      <c r="C281" s="44" t="s">
        <v>2261</v>
      </c>
      <c r="D281" s="45" t="s">
        <v>3710</v>
      </c>
    </row>
    <row r="282" spans="1:4" ht="47.25" customHeight="1" x14ac:dyDescent="0.25">
      <c r="A282" s="43" t="s">
        <v>1113</v>
      </c>
      <c r="B282" s="43" t="s">
        <v>4948</v>
      </c>
      <c r="C282" s="44" t="s">
        <v>4949</v>
      </c>
      <c r="D282" s="45" t="s">
        <v>3711</v>
      </c>
    </row>
    <row r="283" spans="1:4" ht="47.25" customHeight="1" x14ac:dyDescent="0.25">
      <c r="A283" s="43" t="s">
        <v>1118</v>
      </c>
      <c r="B283" s="43" t="s">
        <v>4950</v>
      </c>
      <c r="C283" s="44" t="s">
        <v>1106</v>
      </c>
      <c r="D283" s="45" t="s">
        <v>3712</v>
      </c>
    </row>
    <row r="284" spans="1:4" ht="31.5" customHeight="1" x14ac:dyDescent="0.25">
      <c r="A284" s="43" t="s">
        <v>1122</v>
      </c>
      <c r="B284" s="43" t="s">
        <v>4951</v>
      </c>
      <c r="C284" s="44" t="s">
        <v>2982</v>
      </c>
      <c r="D284" s="45" t="s">
        <v>3713</v>
      </c>
    </row>
    <row r="285" spans="1:4" ht="31.5" customHeight="1" x14ac:dyDescent="0.25">
      <c r="A285" s="43" t="s">
        <v>1127</v>
      </c>
      <c r="B285" s="43" t="s">
        <v>4952</v>
      </c>
      <c r="C285" s="44" t="s">
        <v>2982</v>
      </c>
      <c r="D285" s="45" t="s">
        <v>3714</v>
      </c>
    </row>
    <row r="286" spans="1:4" ht="31.5" customHeight="1" x14ac:dyDescent="0.25">
      <c r="A286" s="43" t="s">
        <v>1132</v>
      </c>
      <c r="B286" s="43" t="s">
        <v>4953</v>
      </c>
      <c r="C286" s="44" t="s">
        <v>2982</v>
      </c>
      <c r="D286" s="45" t="s">
        <v>3715</v>
      </c>
    </row>
    <row r="287" spans="1:4" ht="31.5" customHeight="1" x14ac:dyDescent="0.25">
      <c r="A287" s="43" t="s">
        <v>1136</v>
      </c>
      <c r="B287" s="43" t="s">
        <v>4954</v>
      </c>
      <c r="C287" s="44" t="s">
        <v>2982</v>
      </c>
      <c r="D287" s="45" t="s">
        <v>3716</v>
      </c>
    </row>
    <row r="288" spans="1:4" ht="31.5" customHeight="1" x14ac:dyDescent="0.25">
      <c r="A288" s="43" t="s">
        <v>1140</v>
      </c>
      <c r="B288" s="43" t="s">
        <v>4955</v>
      </c>
      <c r="C288" s="44" t="s">
        <v>1329</v>
      </c>
      <c r="D288" s="45" t="s">
        <v>3717</v>
      </c>
    </row>
    <row r="289" spans="1:4" ht="31.5" customHeight="1" x14ac:dyDescent="0.25">
      <c r="A289" s="43" t="s">
        <v>1146</v>
      </c>
      <c r="B289" s="43" t="s">
        <v>4956</v>
      </c>
      <c r="C289" s="44" t="s">
        <v>3073</v>
      </c>
      <c r="D289" s="45" t="s">
        <v>3718</v>
      </c>
    </row>
    <row r="290" spans="1:4" ht="47.25" customHeight="1" x14ac:dyDescent="0.25">
      <c r="A290" s="43" t="s">
        <v>1150</v>
      </c>
      <c r="B290" s="43" t="s">
        <v>4957</v>
      </c>
      <c r="C290" s="44" t="s">
        <v>3073</v>
      </c>
      <c r="D290" s="45" t="s">
        <v>3719</v>
      </c>
    </row>
    <row r="291" spans="1:4" ht="31.5" customHeight="1" x14ac:dyDescent="0.25">
      <c r="A291" s="43" t="s">
        <v>1154</v>
      </c>
      <c r="B291" s="43" t="s">
        <v>4958</v>
      </c>
      <c r="C291" s="44" t="s">
        <v>2706</v>
      </c>
      <c r="D291" s="45" t="s">
        <v>3720</v>
      </c>
    </row>
    <row r="292" spans="1:4" ht="31.5" customHeight="1" x14ac:dyDescent="0.25">
      <c r="A292" s="43" t="s">
        <v>1159</v>
      </c>
      <c r="B292" s="43" t="s">
        <v>4959</v>
      </c>
      <c r="C292" s="44" t="s">
        <v>618</v>
      </c>
      <c r="D292" s="45" t="s">
        <v>3721</v>
      </c>
    </row>
    <row r="293" spans="1:4" ht="31.5" customHeight="1" x14ac:dyDescent="0.25">
      <c r="A293" s="43" t="s">
        <v>1165</v>
      </c>
      <c r="B293" s="43" t="s">
        <v>4960</v>
      </c>
      <c r="C293" s="44" t="s">
        <v>4961</v>
      </c>
      <c r="D293" s="45" t="s">
        <v>3722</v>
      </c>
    </row>
    <row r="294" spans="1:4" ht="63" customHeight="1" x14ac:dyDescent="0.25">
      <c r="A294" s="43" t="s">
        <v>1171</v>
      </c>
      <c r="B294" s="43" t="s">
        <v>4962</v>
      </c>
      <c r="C294" s="44" t="s">
        <v>4831</v>
      </c>
      <c r="D294" s="45" t="s">
        <v>3723</v>
      </c>
    </row>
    <row r="295" spans="1:4" ht="31.5" customHeight="1" x14ac:dyDescent="0.25">
      <c r="A295" s="43" t="s">
        <v>1175</v>
      </c>
      <c r="B295" s="43" t="s">
        <v>4963</v>
      </c>
      <c r="C295" s="44" t="s">
        <v>296</v>
      </c>
      <c r="D295" s="45" t="s">
        <v>3724</v>
      </c>
    </row>
    <row r="296" spans="1:4" ht="63" customHeight="1" x14ac:dyDescent="0.25">
      <c r="A296" s="43" t="s">
        <v>1180</v>
      </c>
      <c r="B296" s="43" t="s">
        <v>4964</v>
      </c>
      <c r="C296" s="44" t="s">
        <v>965</v>
      </c>
      <c r="D296" s="45" t="s">
        <v>3725</v>
      </c>
    </row>
    <row r="297" spans="1:4" ht="47.25" customHeight="1" x14ac:dyDescent="0.25">
      <c r="A297" s="43" t="s">
        <v>1184</v>
      </c>
      <c r="B297" s="43" t="s">
        <v>4965</v>
      </c>
      <c r="C297" s="44" t="s">
        <v>4966</v>
      </c>
      <c r="D297" s="45" t="s">
        <v>3726</v>
      </c>
    </row>
    <row r="298" spans="1:4" ht="63" customHeight="1" x14ac:dyDescent="0.25">
      <c r="A298" s="43" t="s">
        <v>1189</v>
      </c>
      <c r="B298" s="43" t="s">
        <v>4967</v>
      </c>
      <c r="C298" s="44" t="s">
        <v>390</v>
      </c>
      <c r="D298" s="45" t="s">
        <v>3727</v>
      </c>
    </row>
    <row r="299" spans="1:4" ht="31.5" customHeight="1" x14ac:dyDescent="0.25">
      <c r="A299" s="43" t="s">
        <v>1195</v>
      </c>
      <c r="B299" s="43" t="s">
        <v>4968</v>
      </c>
      <c r="C299" s="44" t="s">
        <v>4969</v>
      </c>
      <c r="D299" s="45" t="s">
        <v>3728</v>
      </c>
    </row>
    <row r="300" spans="1:4" ht="63" customHeight="1" x14ac:dyDescent="0.25">
      <c r="A300" s="43" t="s">
        <v>1200</v>
      </c>
      <c r="B300" s="43" t="s">
        <v>4970</v>
      </c>
      <c r="C300" s="44" t="s">
        <v>4969</v>
      </c>
      <c r="D300" s="45" t="s">
        <v>3729</v>
      </c>
    </row>
    <row r="301" spans="1:4" ht="63" customHeight="1" x14ac:dyDescent="0.25">
      <c r="A301" s="43" t="s">
        <v>1205</v>
      </c>
      <c r="B301" s="43" t="s">
        <v>4971</v>
      </c>
      <c r="C301" s="44" t="s">
        <v>483</v>
      </c>
      <c r="D301" s="45" t="s">
        <v>3730</v>
      </c>
    </row>
    <row r="302" spans="1:4" ht="31.5" customHeight="1" x14ac:dyDescent="0.25">
      <c r="A302" s="43" t="s">
        <v>1210</v>
      </c>
      <c r="B302" s="43" t="s">
        <v>4972</v>
      </c>
      <c r="C302" s="44" t="s">
        <v>924</v>
      </c>
      <c r="D302" s="45" t="s">
        <v>3731</v>
      </c>
    </row>
    <row r="303" spans="1:4" ht="31.5" customHeight="1" x14ac:dyDescent="0.25">
      <c r="A303" s="43" t="s">
        <v>1214</v>
      </c>
      <c r="B303" s="43" t="s">
        <v>4973</v>
      </c>
      <c r="C303" s="44" t="s">
        <v>1441</v>
      </c>
      <c r="D303" s="45" t="s">
        <v>3732</v>
      </c>
    </row>
    <row r="304" spans="1:4" ht="31.5" customHeight="1" x14ac:dyDescent="0.25">
      <c r="A304" s="43" t="s">
        <v>1217</v>
      </c>
      <c r="B304" s="43" t="s">
        <v>4974</v>
      </c>
      <c r="C304" s="44" t="s">
        <v>1106</v>
      </c>
      <c r="D304" s="45" t="s">
        <v>3733</v>
      </c>
    </row>
    <row r="305" spans="1:4" ht="47.25" customHeight="1" x14ac:dyDescent="0.25">
      <c r="A305" s="43" t="s">
        <v>1220</v>
      </c>
      <c r="B305" s="43" t="s">
        <v>4975</v>
      </c>
      <c r="C305" s="44" t="s">
        <v>1106</v>
      </c>
      <c r="D305" s="45" t="s">
        <v>3734</v>
      </c>
    </row>
    <row r="306" spans="1:4" ht="31.5" customHeight="1" x14ac:dyDescent="0.25">
      <c r="A306" s="43" t="s">
        <v>1223</v>
      </c>
      <c r="B306" s="43" t="s">
        <v>4976</v>
      </c>
      <c r="C306" s="44" t="s">
        <v>1300</v>
      </c>
      <c r="D306" s="45" t="s">
        <v>3735</v>
      </c>
    </row>
    <row r="307" spans="1:4" ht="31.5" customHeight="1" x14ac:dyDescent="0.25">
      <c r="A307" s="43" t="s">
        <v>1226</v>
      </c>
      <c r="B307" s="43" t="s">
        <v>4977</v>
      </c>
      <c r="C307" s="44" t="s">
        <v>374</v>
      </c>
      <c r="D307" s="45" t="s">
        <v>3736</v>
      </c>
    </row>
    <row r="308" spans="1:4" ht="31.5" customHeight="1" x14ac:dyDescent="0.25">
      <c r="A308" s="43" t="s">
        <v>1231</v>
      </c>
      <c r="B308" s="43" t="s">
        <v>4978</v>
      </c>
      <c r="C308" s="44" t="s">
        <v>4979</v>
      </c>
      <c r="D308" s="45" t="s">
        <v>3737</v>
      </c>
    </row>
    <row r="309" spans="1:4" ht="31.5" customHeight="1" x14ac:dyDescent="0.25">
      <c r="A309" s="43" t="s">
        <v>1236</v>
      </c>
      <c r="B309" s="43" t="s">
        <v>4980</v>
      </c>
      <c r="C309" s="44" t="s">
        <v>583</v>
      </c>
      <c r="D309" s="45" t="s">
        <v>3738</v>
      </c>
    </row>
    <row r="310" spans="1:4" ht="47.25" customHeight="1" x14ac:dyDescent="0.25">
      <c r="A310" s="43" t="s">
        <v>1241</v>
      </c>
      <c r="B310" s="43" t="s">
        <v>4981</v>
      </c>
      <c r="C310" s="44" t="s">
        <v>1477</v>
      </c>
      <c r="D310" s="45" t="s">
        <v>3739</v>
      </c>
    </row>
    <row r="311" spans="1:4" ht="63" customHeight="1" x14ac:dyDescent="0.25">
      <c r="A311" s="43" t="s">
        <v>1245</v>
      </c>
      <c r="B311" s="43" t="s">
        <v>4982</v>
      </c>
      <c r="C311" s="44" t="s">
        <v>119</v>
      </c>
      <c r="D311" s="45" t="s">
        <v>3740</v>
      </c>
    </row>
    <row r="312" spans="1:4" ht="63" customHeight="1" x14ac:dyDescent="0.25">
      <c r="A312" s="43" t="s">
        <v>1250</v>
      </c>
      <c r="B312" s="43" t="s">
        <v>4983</v>
      </c>
      <c r="C312" s="44" t="s">
        <v>144</v>
      </c>
      <c r="D312" s="45" t="s">
        <v>3741</v>
      </c>
    </row>
    <row r="313" spans="1:4" ht="47.25" customHeight="1" x14ac:dyDescent="0.25">
      <c r="A313" s="43" t="s">
        <v>1254</v>
      </c>
      <c r="B313" s="43" t="s">
        <v>4984</v>
      </c>
      <c r="C313" s="44" t="s">
        <v>924</v>
      </c>
      <c r="D313" s="45" t="s">
        <v>3742</v>
      </c>
    </row>
    <row r="314" spans="1:4" ht="47.25" customHeight="1" x14ac:dyDescent="0.25">
      <c r="A314" s="43" t="s">
        <v>1258</v>
      </c>
      <c r="B314" s="43" t="s">
        <v>4985</v>
      </c>
      <c r="C314" s="44" t="s">
        <v>4986</v>
      </c>
      <c r="D314" s="45" t="s">
        <v>3743</v>
      </c>
    </row>
    <row r="315" spans="1:4" ht="47.25" customHeight="1" x14ac:dyDescent="0.25">
      <c r="A315" s="43" t="s">
        <v>1263</v>
      </c>
      <c r="B315" s="43" t="s">
        <v>4987</v>
      </c>
      <c r="C315" s="44" t="s">
        <v>4988</v>
      </c>
      <c r="D315" s="45" t="s">
        <v>3744</v>
      </c>
    </row>
    <row r="316" spans="1:4" ht="31.5" customHeight="1" x14ac:dyDescent="0.25">
      <c r="A316" s="43" t="s">
        <v>1267</v>
      </c>
      <c r="B316" s="43" t="s">
        <v>4989</v>
      </c>
      <c r="C316" s="44" t="s">
        <v>1477</v>
      </c>
      <c r="D316" s="45" t="s">
        <v>3745</v>
      </c>
    </row>
    <row r="317" spans="1:4" ht="47.25" customHeight="1" x14ac:dyDescent="0.25">
      <c r="A317" s="43" t="s">
        <v>1271</v>
      </c>
      <c r="B317" s="43" t="s">
        <v>4990</v>
      </c>
      <c r="C317" s="44" t="s">
        <v>4991</v>
      </c>
      <c r="D317" s="45" t="s">
        <v>3746</v>
      </c>
    </row>
    <row r="318" spans="1:4" ht="31.5" customHeight="1" x14ac:dyDescent="0.25">
      <c r="A318" s="43" t="s">
        <v>1276</v>
      </c>
      <c r="B318" s="43" t="s">
        <v>4992</v>
      </c>
      <c r="C318" s="44" t="s">
        <v>1353</v>
      </c>
      <c r="D318" s="45" t="s">
        <v>3747</v>
      </c>
    </row>
    <row r="319" spans="1:4" ht="47.25" customHeight="1" x14ac:dyDescent="0.25">
      <c r="A319" s="43" t="s">
        <v>1282</v>
      </c>
      <c r="B319" s="43" t="s">
        <v>4993</v>
      </c>
      <c r="C319" s="44" t="s">
        <v>4760</v>
      </c>
      <c r="D319" s="45" t="s">
        <v>3748</v>
      </c>
    </row>
    <row r="320" spans="1:4" ht="31.5" customHeight="1" x14ac:dyDescent="0.25">
      <c r="A320" s="43" t="s">
        <v>1286</v>
      </c>
      <c r="B320" s="43" t="s">
        <v>4994</v>
      </c>
      <c r="C320" s="44" t="s">
        <v>1427</v>
      </c>
      <c r="D320" s="45" t="s">
        <v>3749</v>
      </c>
    </row>
    <row r="321" spans="1:4" ht="31.5" customHeight="1" x14ac:dyDescent="0.25">
      <c r="A321" s="43" t="s">
        <v>1290</v>
      </c>
      <c r="B321" s="43" t="s">
        <v>4995</v>
      </c>
      <c r="C321" s="44" t="s">
        <v>1106</v>
      </c>
      <c r="D321" s="45" t="s">
        <v>3750</v>
      </c>
    </row>
    <row r="322" spans="1:4" ht="94.5" customHeight="1" x14ac:dyDescent="0.25">
      <c r="A322" s="43" t="s">
        <v>1294</v>
      </c>
      <c r="B322" s="43" t="s">
        <v>4996</v>
      </c>
      <c r="C322" s="44" t="s">
        <v>2059</v>
      </c>
      <c r="D322" s="45" t="s">
        <v>3751</v>
      </c>
    </row>
    <row r="323" spans="1:4" ht="31.5" customHeight="1" x14ac:dyDescent="0.25">
      <c r="A323" s="43" t="s">
        <v>1298</v>
      </c>
      <c r="B323" s="43" t="s">
        <v>4997</v>
      </c>
      <c r="C323" s="44" t="s">
        <v>4998</v>
      </c>
      <c r="D323" s="45" t="s">
        <v>3752</v>
      </c>
    </row>
    <row r="324" spans="1:4" ht="47.25" customHeight="1" x14ac:dyDescent="0.25">
      <c r="A324" s="43" t="s">
        <v>1303</v>
      </c>
      <c r="B324" s="43" t="s">
        <v>4999</v>
      </c>
      <c r="C324" s="44" t="s">
        <v>924</v>
      </c>
      <c r="D324" s="45" t="s">
        <v>3753</v>
      </c>
    </row>
    <row r="325" spans="1:4" ht="47.25" customHeight="1" x14ac:dyDescent="0.25">
      <c r="A325" s="43" t="s">
        <v>1307</v>
      </c>
      <c r="B325" s="43" t="s">
        <v>5000</v>
      </c>
      <c r="C325" s="44" t="s">
        <v>1321</v>
      </c>
      <c r="D325" s="45" t="s">
        <v>3754</v>
      </c>
    </row>
    <row r="326" spans="1:4" ht="31.5" customHeight="1" x14ac:dyDescent="0.25">
      <c r="A326" s="43" t="s">
        <v>1311</v>
      </c>
      <c r="B326" s="43" t="s">
        <v>5001</v>
      </c>
      <c r="C326" s="44" t="s">
        <v>379</v>
      </c>
      <c r="D326" s="45" t="s">
        <v>3755</v>
      </c>
    </row>
    <row r="327" spans="1:4" ht="63" customHeight="1" x14ac:dyDescent="0.25">
      <c r="A327" s="43" t="s">
        <v>1315</v>
      </c>
      <c r="B327" s="43" t="s">
        <v>5002</v>
      </c>
      <c r="C327" s="44" t="s">
        <v>2037</v>
      </c>
      <c r="D327" s="45" t="s">
        <v>3756</v>
      </c>
    </row>
    <row r="328" spans="1:4" ht="31.5" customHeight="1" x14ac:dyDescent="0.25">
      <c r="A328" s="43" t="s">
        <v>1319</v>
      </c>
      <c r="B328" s="43" t="s">
        <v>5003</v>
      </c>
      <c r="C328" s="44" t="s">
        <v>2130</v>
      </c>
      <c r="D328" s="45" t="s">
        <v>3757</v>
      </c>
    </row>
    <row r="329" spans="1:4" ht="47.25" customHeight="1" x14ac:dyDescent="0.25">
      <c r="A329" s="43" t="s">
        <v>1324</v>
      </c>
      <c r="B329" s="43" t="s">
        <v>5004</v>
      </c>
      <c r="C329" s="44" t="s">
        <v>1329</v>
      </c>
      <c r="D329" s="45" t="s">
        <v>3758</v>
      </c>
    </row>
    <row r="330" spans="1:4" ht="31.5" customHeight="1" x14ac:dyDescent="0.25">
      <c r="A330" s="43" t="s">
        <v>1327</v>
      </c>
      <c r="B330" s="43" t="s">
        <v>5005</v>
      </c>
      <c r="C330" s="44" t="s">
        <v>5006</v>
      </c>
      <c r="D330" s="45" t="s">
        <v>3759</v>
      </c>
    </row>
    <row r="331" spans="1:4" ht="31.5" customHeight="1" x14ac:dyDescent="0.25">
      <c r="A331" s="43" t="s">
        <v>1332</v>
      </c>
      <c r="B331" s="43" t="s">
        <v>5007</v>
      </c>
      <c r="C331" s="44" t="s">
        <v>269</v>
      </c>
      <c r="D331" s="45" t="s">
        <v>3760</v>
      </c>
    </row>
    <row r="332" spans="1:4" ht="47.25" customHeight="1" x14ac:dyDescent="0.25">
      <c r="A332" s="43" t="s">
        <v>1336</v>
      </c>
      <c r="B332" s="43" t="s">
        <v>5008</v>
      </c>
      <c r="C332" s="44" t="s">
        <v>3335</v>
      </c>
      <c r="D332" s="45" t="s">
        <v>3761</v>
      </c>
    </row>
    <row r="333" spans="1:4" ht="47.25" customHeight="1" x14ac:dyDescent="0.25">
      <c r="A333" s="43" t="s">
        <v>1341</v>
      </c>
      <c r="B333" s="43" t="s">
        <v>5009</v>
      </c>
      <c r="C333" s="44" t="s">
        <v>1732</v>
      </c>
      <c r="D333" s="45" t="s">
        <v>3762</v>
      </c>
    </row>
    <row r="334" spans="1:4" ht="47.25" customHeight="1" x14ac:dyDescent="0.25">
      <c r="A334" s="43" t="s">
        <v>1347</v>
      </c>
      <c r="B334" s="43" t="s">
        <v>5010</v>
      </c>
      <c r="C334" s="44" t="s">
        <v>1353</v>
      </c>
      <c r="D334" s="45" t="s">
        <v>3763</v>
      </c>
    </row>
    <row r="335" spans="1:4" ht="47.25" customHeight="1" x14ac:dyDescent="0.25">
      <c r="A335" s="43" t="s">
        <v>1351</v>
      </c>
      <c r="B335" s="43" t="s">
        <v>5011</v>
      </c>
      <c r="C335" s="44" t="s">
        <v>1477</v>
      </c>
      <c r="D335" s="45" t="s">
        <v>3764</v>
      </c>
    </row>
    <row r="336" spans="1:4" ht="47.25" customHeight="1" x14ac:dyDescent="0.25">
      <c r="A336" s="43" t="s">
        <v>1356</v>
      </c>
      <c r="B336" s="43" t="s">
        <v>5012</v>
      </c>
      <c r="C336" s="44" t="s">
        <v>1584</v>
      </c>
      <c r="D336" s="45" t="s">
        <v>3765</v>
      </c>
    </row>
    <row r="337" spans="1:4" ht="31.5" customHeight="1" x14ac:dyDescent="0.25">
      <c r="A337" s="43" t="s">
        <v>1359</v>
      </c>
      <c r="B337" s="43" t="s">
        <v>5013</v>
      </c>
      <c r="C337" s="44" t="s">
        <v>942</v>
      </c>
      <c r="D337" s="45" t="s">
        <v>3766</v>
      </c>
    </row>
    <row r="338" spans="1:4" ht="47.25" customHeight="1" x14ac:dyDescent="0.25">
      <c r="A338" s="43" t="s">
        <v>1363</v>
      </c>
      <c r="B338" s="43" t="s">
        <v>5014</v>
      </c>
      <c r="C338" s="44" t="s">
        <v>5015</v>
      </c>
      <c r="D338" s="45" t="s">
        <v>3767</v>
      </c>
    </row>
    <row r="339" spans="1:4" ht="47.25" customHeight="1" x14ac:dyDescent="0.25">
      <c r="A339" s="43" t="s">
        <v>1368</v>
      </c>
      <c r="B339" s="43" t="s">
        <v>5016</v>
      </c>
      <c r="C339" s="44" t="s">
        <v>123</v>
      </c>
      <c r="D339" s="45" t="s">
        <v>3768</v>
      </c>
    </row>
    <row r="340" spans="1:4" ht="31.5" customHeight="1" x14ac:dyDescent="0.25">
      <c r="A340" s="43" t="s">
        <v>1372</v>
      </c>
      <c r="B340" s="43" t="s">
        <v>5017</v>
      </c>
      <c r="C340" s="44" t="s">
        <v>5018</v>
      </c>
      <c r="D340" s="45" t="s">
        <v>3769</v>
      </c>
    </row>
    <row r="341" spans="1:4" ht="31.5" customHeight="1" x14ac:dyDescent="0.25">
      <c r="A341" s="43" t="s">
        <v>1377</v>
      </c>
      <c r="B341" s="43" t="s">
        <v>5019</v>
      </c>
      <c r="C341" s="44" t="s">
        <v>3046</v>
      </c>
      <c r="D341" s="45" t="s">
        <v>3770</v>
      </c>
    </row>
    <row r="342" spans="1:4" ht="31.5" customHeight="1" x14ac:dyDescent="0.25">
      <c r="A342" s="43" t="s">
        <v>1382</v>
      </c>
      <c r="B342" s="43" t="s">
        <v>5020</v>
      </c>
      <c r="C342" s="44" t="s">
        <v>5021</v>
      </c>
      <c r="D342" s="45" t="s">
        <v>3771</v>
      </c>
    </row>
    <row r="343" spans="1:4" ht="47.25" customHeight="1" x14ac:dyDescent="0.25">
      <c r="A343" s="43" t="s">
        <v>1386</v>
      </c>
      <c r="B343" s="43" t="s">
        <v>5022</v>
      </c>
      <c r="C343" s="44" t="s">
        <v>5023</v>
      </c>
      <c r="D343" s="45" t="s">
        <v>3772</v>
      </c>
    </row>
    <row r="344" spans="1:4" ht="31.5" customHeight="1" x14ac:dyDescent="0.25">
      <c r="A344" s="43" t="s">
        <v>1390</v>
      </c>
      <c r="B344" s="43" t="s">
        <v>5024</v>
      </c>
      <c r="C344" s="44" t="s">
        <v>652</v>
      </c>
      <c r="D344" s="45" t="s">
        <v>3773</v>
      </c>
    </row>
    <row r="345" spans="1:4" ht="31.5" customHeight="1" x14ac:dyDescent="0.25">
      <c r="A345" s="43" t="s">
        <v>1394</v>
      </c>
      <c r="B345" s="43" t="s">
        <v>5025</v>
      </c>
      <c r="C345" s="44" t="s">
        <v>652</v>
      </c>
      <c r="D345" s="45" t="s">
        <v>3774</v>
      </c>
    </row>
    <row r="346" spans="1:4" ht="63" customHeight="1" x14ac:dyDescent="0.25">
      <c r="A346" s="43" t="s">
        <v>1398</v>
      </c>
      <c r="B346" s="43" t="s">
        <v>5026</v>
      </c>
      <c r="C346" s="44" t="s">
        <v>1872</v>
      </c>
      <c r="D346" s="45" t="s">
        <v>3775</v>
      </c>
    </row>
    <row r="347" spans="1:4" ht="47.25" customHeight="1" x14ac:dyDescent="0.25">
      <c r="A347" s="43" t="s">
        <v>1402</v>
      </c>
      <c r="B347" s="43" t="s">
        <v>5027</v>
      </c>
      <c r="C347" s="44" t="s">
        <v>5028</v>
      </c>
      <c r="D347" s="45" t="s">
        <v>3776</v>
      </c>
    </row>
    <row r="348" spans="1:4" ht="47.25" customHeight="1" x14ac:dyDescent="0.25">
      <c r="A348" s="43" t="s">
        <v>1407</v>
      </c>
      <c r="B348" s="43" t="s">
        <v>5029</v>
      </c>
      <c r="C348" s="44" t="s">
        <v>5030</v>
      </c>
      <c r="D348" s="45" t="s">
        <v>3777</v>
      </c>
    </row>
    <row r="349" spans="1:4" ht="47.25" customHeight="1" x14ac:dyDescent="0.25">
      <c r="A349" s="43" t="s">
        <v>1412</v>
      </c>
      <c r="B349" s="43" t="s">
        <v>5031</v>
      </c>
      <c r="C349" s="44" t="s">
        <v>2508</v>
      </c>
      <c r="D349" s="45" t="s">
        <v>3778</v>
      </c>
    </row>
    <row r="350" spans="1:4" ht="47.25" customHeight="1" x14ac:dyDescent="0.25">
      <c r="A350" s="43" t="s">
        <v>1417</v>
      </c>
      <c r="B350" s="43" t="s">
        <v>5032</v>
      </c>
      <c r="C350" s="44" t="s">
        <v>5033</v>
      </c>
      <c r="D350" s="45" t="s">
        <v>3779</v>
      </c>
    </row>
    <row r="351" spans="1:4" ht="63" customHeight="1" x14ac:dyDescent="0.25">
      <c r="A351" s="43" t="s">
        <v>1421</v>
      </c>
      <c r="B351" s="43" t="s">
        <v>5034</v>
      </c>
      <c r="C351" s="44" t="s">
        <v>5033</v>
      </c>
      <c r="D351" s="45" t="s">
        <v>3780</v>
      </c>
    </row>
    <row r="352" spans="1:4" ht="63" customHeight="1" x14ac:dyDescent="0.25">
      <c r="A352" s="43" t="s">
        <v>1425</v>
      </c>
      <c r="B352" s="43" t="s">
        <v>5035</v>
      </c>
      <c r="C352" s="44" t="s">
        <v>5036</v>
      </c>
      <c r="D352" s="45" t="s">
        <v>3781</v>
      </c>
    </row>
    <row r="353" spans="1:4" ht="47.25" customHeight="1" x14ac:dyDescent="0.25">
      <c r="A353" s="43" t="s">
        <v>1430</v>
      </c>
      <c r="B353" s="43" t="s">
        <v>5037</v>
      </c>
      <c r="C353" s="44" t="s">
        <v>5038</v>
      </c>
      <c r="D353" s="45" t="s">
        <v>3782</v>
      </c>
    </row>
    <row r="354" spans="1:4" ht="63" customHeight="1" x14ac:dyDescent="0.25">
      <c r="A354" s="43" t="s">
        <v>1435</v>
      </c>
      <c r="B354" s="43" t="s">
        <v>5039</v>
      </c>
      <c r="C354" s="44" t="s">
        <v>494</v>
      </c>
      <c r="D354" s="45" t="s">
        <v>3783</v>
      </c>
    </row>
    <row r="355" spans="1:4" ht="78.75" customHeight="1" x14ac:dyDescent="0.25">
      <c r="A355" s="43" t="s">
        <v>1439</v>
      </c>
      <c r="B355" s="43" t="s">
        <v>5040</v>
      </c>
      <c r="C355" s="44" t="s">
        <v>657</v>
      </c>
      <c r="D355" s="45" t="s">
        <v>3784</v>
      </c>
    </row>
    <row r="356" spans="1:4" ht="31.5" customHeight="1" x14ac:dyDescent="0.25">
      <c r="A356" s="43" t="s">
        <v>1444</v>
      </c>
      <c r="B356" s="43" t="s">
        <v>5041</v>
      </c>
      <c r="C356" s="44" t="s">
        <v>548</v>
      </c>
      <c r="D356" s="45" t="s">
        <v>3785</v>
      </c>
    </row>
    <row r="357" spans="1:4" ht="78.75" customHeight="1" x14ac:dyDescent="0.25">
      <c r="A357" s="43" t="s">
        <v>1448</v>
      </c>
      <c r="B357" s="43" t="s">
        <v>5042</v>
      </c>
      <c r="C357" s="44" t="s">
        <v>604</v>
      </c>
      <c r="D357" s="45" t="s">
        <v>3786</v>
      </c>
    </row>
    <row r="358" spans="1:4" ht="47.25" customHeight="1" x14ac:dyDescent="0.25">
      <c r="A358" s="43" t="s">
        <v>1452</v>
      </c>
      <c r="B358" s="43" t="s">
        <v>5043</v>
      </c>
      <c r="C358" s="44" t="s">
        <v>5044</v>
      </c>
      <c r="D358" s="45" t="s">
        <v>3787</v>
      </c>
    </row>
    <row r="359" spans="1:4" ht="31.5" customHeight="1" x14ac:dyDescent="0.25">
      <c r="A359" s="43" t="s">
        <v>1457</v>
      </c>
      <c r="B359" s="43" t="s">
        <v>5045</v>
      </c>
      <c r="C359" s="44" t="s">
        <v>4741</v>
      </c>
      <c r="D359" s="45" t="s">
        <v>3788</v>
      </c>
    </row>
    <row r="360" spans="1:4" ht="78.75" customHeight="1" x14ac:dyDescent="0.25">
      <c r="A360" s="43" t="s">
        <v>1461</v>
      </c>
      <c r="B360" s="43" t="s">
        <v>5046</v>
      </c>
      <c r="C360" s="44" t="s">
        <v>233</v>
      </c>
      <c r="D360" s="45" t="s">
        <v>3789</v>
      </c>
    </row>
    <row r="361" spans="1:4" ht="31.5" customHeight="1" x14ac:dyDescent="0.25">
      <c r="A361" s="43" t="s">
        <v>1465</v>
      </c>
      <c r="B361" s="43" t="s">
        <v>5047</v>
      </c>
      <c r="C361" s="44" t="s">
        <v>5048</v>
      </c>
      <c r="D361" s="45" t="s">
        <v>3790</v>
      </c>
    </row>
    <row r="362" spans="1:4" ht="47.25" customHeight="1" x14ac:dyDescent="0.25">
      <c r="A362" s="43" t="s">
        <v>1470</v>
      </c>
      <c r="B362" s="43" t="s">
        <v>5049</v>
      </c>
      <c r="C362" s="44" t="s">
        <v>5048</v>
      </c>
      <c r="D362" s="45" t="s">
        <v>3791</v>
      </c>
    </row>
    <row r="363" spans="1:4" ht="31.5" customHeight="1" x14ac:dyDescent="0.25">
      <c r="A363" s="43" t="s">
        <v>1475</v>
      </c>
      <c r="B363" s="43" t="s">
        <v>5050</v>
      </c>
      <c r="C363" s="44" t="s">
        <v>4891</v>
      </c>
      <c r="D363" s="45" t="s">
        <v>3792</v>
      </c>
    </row>
    <row r="364" spans="1:4" ht="63" customHeight="1" x14ac:dyDescent="0.25">
      <c r="A364" s="43" t="s">
        <v>1480</v>
      </c>
      <c r="B364" s="43" t="s">
        <v>5051</v>
      </c>
      <c r="C364" s="54" t="s">
        <v>5052</v>
      </c>
      <c r="D364" s="45" t="s">
        <v>3793</v>
      </c>
    </row>
    <row r="365" spans="1:4" ht="78.75" customHeight="1" x14ac:dyDescent="0.25">
      <c r="A365" s="43" t="s">
        <v>1485</v>
      </c>
      <c r="B365" s="43" t="s">
        <v>5053</v>
      </c>
      <c r="C365" s="44" t="s">
        <v>260</v>
      </c>
      <c r="D365" s="45" t="s">
        <v>3794</v>
      </c>
    </row>
    <row r="366" spans="1:4" ht="63" customHeight="1" x14ac:dyDescent="0.25">
      <c r="A366" s="43" t="s">
        <v>1490</v>
      </c>
      <c r="B366" s="43" t="s">
        <v>5054</v>
      </c>
      <c r="C366" s="44" t="s">
        <v>1732</v>
      </c>
      <c r="D366" s="45" t="s">
        <v>3795</v>
      </c>
    </row>
    <row r="367" spans="1:4" ht="31.5" customHeight="1" x14ac:dyDescent="0.25">
      <c r="A367" s="43" t="s">
        <v>1496</v>
      </c>
      <c r="B367" s="43" t="s">
        <v>5055</v>
      </c>
      <c r="C367" s="44" t="s">
        <v>5056</v>
      </c>
      <c r="D367" s="45" t="s">
        <v>3796</v>
      </c>
    </row>
    <row r="368" spans="1:4" ht="31.5" customHeight="1" x14ac:dyDescent="0.25">
      <c r="A368" s="43" t="s">
        <v>1501</v>
      </c>
      <c r="B368" s="43" t="s">
        <v>5057</v>
      </c>
      <c r="C368" s="44" t="s">
        <v>162</v>
      </c>
      <c r="D368" s="45" t="s">
        <v>3797</v>
      </c>
    </row>
    <row r="369" spans="1:4" ht="31.5" customHeight="1" x14ac:dyDescent="0.25">
      <c r="A369" s="43" t="s">
        <v>1506</v>
      </c>
      <c r="B369" s="43" t="s">
        <v>5058</v>
      </c>
      <c r="C369" s="44" t="s">
        <v>5059</v>
      </c>
      <c r="D369" s="45" t="s">
        <v>3798</v>
      </c>
    </row>
    <row r="370" spans="1:4" ht="47.25" customHeight="1" x14ac:dyDescent="0.25">
      <c r="A370" s="43" t="s">
        <v>1510</v>
      </c>
      <c r="B370" s="43" t="s">
        <v>5060</v>
      </c>
      <c r="C370" s="44" t="s">
        <v>403</v>
      </c>
      <c r="D370" s="45" t="s">
        <v>3799</v>
      </c>
    </row>
    <row r="371" spans="1:4" ht="47.25" customHeight="1" x14ac:dyDescent="0.25">
      <c r="A371" s="43" t="s">
        <v>1514</v>
      </c>
      <c r="B371" s="43" t="s">
        <v>5061</v>
      </c>
      <c r="C371" s="44" t="s">
        <v>5062</v>
      </c>
      <c r="D371" s="45" t="s">
        <v>3800</v>
      </c>
    </row>
    <row r="372" spans="1:4" ht="31.5" customHeight="1" x14ac:dyDescent="0.25">
      <c r="A372" s="43" t="s">
        <v>1518</v>
      </c>
      <c r="B372" s="43" t="s">
        <v>5063</v>
      </c>
      <c r="C372" s="44" t="s">
        <v>519</v>
      </c>
      <c r="D372" s="45" t="s">
        <v>3801</v>
      </c>
    </row>
    <row r="373" spans="1:4" ht="31.5" customHeight="1" x14ac:dyDescent="0.25">
      <c r="A373" s="43" t="s">
        <v>1522</v>
      </c>
      <c r="B373" s="43" t="s">
        <v>5064</v>
      </c>
      <c r="C373" s="44" t="s">
        <v>4634</v>
      </c>
      <c r="D373" s="45" t="s">
        <v>3802</v>
      </c>
    </row>
    <row r="374" spans="1:4" ht="30.75" customHeight="1" x14ac:dyDescent="0.25">
      <c r="A374" s="43" t="s">
        <v>1526</v>
      </c>
      <c r="B374" s="43" t="s">
        <v>5065</v>
      </c>
      <c r="C374" s="44" t="s">
        <v>652</v>
      </c>
      <c r="D374" s="45" t="s">
        <v>3803</v>
      </c>
    </row>
    <row r="375" spans="1:4" ht="31.5" customHeight="1" x14ac:dyDescent="0.25">
      <c r="A375" s="43" t="s">
        <v>1531</v>
      </c>
      <c r="B375" s="43" t="s">
        <v>5066</v>
      </c>
      <c r="C375" s="44" t="s">
        <v>4741</v>
      </c>
      <c r="D375" s="45" t="s">
        <v>3804</v>
      </c>
    </row>
    <row r="376" spans="1:4" ht="31.5" customHeight="1" x14ac:dyDescent="0.25">
      <c r="A376" s="43" t="s">
        <v>1536</v>
      </c>
      <c r="B376" s="43" t="s">
        <v>5067</v>
      </c>
      <c r="C376" s="44" t="s">
        <v>5038</v>
      </c>
      <c r="D376" s="45" t="s">
        <v>3805</v>
      </c>
    </row>
    <row r="377" spans="1:4" ht="31.5" customHeight="1" x14ac:dyDescent="0.25">
      <c r="A377" s="43" t="s">
        <v>1541</v>
      </c>
      <c r="B377" s="43" t="s">
        <v>5068</v>
      </c>
      <c r="C377" s="44" t="s">
        <v>1197</v>
      </c>
      <c r="D377" s="45" t="s">
        <v>3806</v>
      </c>
    </row>
    <row r="378" spans="1:4" ht="63" customHeight="1" x14ac:dyDescent="0.25">
      <c r="A378" s="43" t="s">
        <v>1545</v>
      </c>
      <c r="B378" s="43" t="s">
        <v>5069</v>
      </c>
      <c r="C378" s="44" t="s">
        <v>324</v>
      </c>
      <c r="D378" s="45" t="s">
        <v>3807</v>
      </c>
    </row>
    <row r="379" spans="1:4" ht="47.25" customHeight="1" x14ac:dyDescent="0.25">
      <c r="A379" s="43" t="s">
        <v>1548</v>
      </c>
      <c r="B379" s="43" t="s">
        <v>5070</v>
      </c>
      <c r="C379" s="44" t="s">
        <v>5071</v>
      </c>
      <c r="D379" s="45" t="s">
        <v>3808</v>
      </c>
    </row>
    <row r="380" spans="1:4" ht="47.25" customHeight="1" x14ac:dyDescent="0.25">
      <c r="A380" s="43" t="s">
        <v>1552</v>
      </c>
      <c r="B380" s="43" t="s">
        <v>5072</v>
      </c>
      <c r="C380" s="44" t="s">
        <v>126</v>
      </c>
      <c r="D380" s="45" t="s">
        <v>3809</v>
      </c>
    </row>
    <row r="381" spans="1:4" ht="31.5" customHeight="1" x14ac:dyDescent="0.25">
      <c r="A381" s="43" t="s">
        <v>1556</v>
      </c>
      <c r="B381" s="43" t="s">
        <v>5073</v>
      </c>
      <c r="C381" s="44" t="s">
        <v>5074</v>
      </c>
      <c r="D381" s="45" t="s">
        <v>3810</v>
      </c>
    </row>
    <row r="382" spans="1:4" ht="31.5" customHeight="1" x14ac:dyDescent="0.25">
      <c r="A382" s="43" t="s">
        <v>1560</v>
      </c>
      <c r="B382" s="43" t="s">
        <v>5075</v>
      </c>
      <c r="C382" s="44" t="s">
        <v>3041</v>
      </c>
      <c r="D382" s="45" t="s">
        <v>3811</v>
      </c>
    </row>
    <row r="383" spans="1:4" ht="31.5" customHeight="1" x14ac:dyDescent="0.25">
      <c r="A383" s="43" t="s">
        <v>1565</v>
      </c>
      <c r="B383" s="43" t="s">
        <v>5076</v>
      </c>
      <c r="C383" s="44" t="s">
        <v>757</v>
      </c>
      <c r="D383" s="45" t="s">
        <v>3812</v>
      </c>
    </row>
    <row r="384" spans="1:4" ht="47.25" customHeight="1" x14ac:dyDescent="0.25">
      <c r="A384" s="43" t="s">
        <v>1570</v>
      </c>
      <c r="B384" s="43" t="s">
        <v>5077</v>
      </c>
      <c r="C384" s="44" t="s">
        <v>5033</v>
      </c>
      <c r="D384" s="45" t="s">
        <v>3813</v>
      </c>
    </row>
    <row r="385" spans="1:4" ht="47.25" customHeight="1" x14ac:dyDescent="0.25">
      <c r="A385" s="43" t="s">
        <v>1574</v>
      </c>
      <c r="B385" s="43" t="s">
        <v>5078</v>
      </c>
      <c r="C385" s="44" t="s">
        <v>5033</v>
      </c>
      <c r="D385" s="45" t="s">
        <v>3814</v>
      </c>
    </row>
    <row r="386" spans="1:4" ht="31.5" customHeight="1" x14ac:dyDescent="0.25">
      <c r="A386" s="43" t="s">
        <v>1578</v>
      </c>
      <c r="B386" s="43" t="s">
        <v>5079</v>
      </c>
      <c r="C386" s="44" t="s">
        <v>5028</v>
      </c>
      <c r="D386" s="45" t="s">
        <v>3815</v>
      </c>
    </row>
    <row r="387" spans="1:4" ht="47.25" customHeight="1" x14ac:dyDescent="0.25">
      <c r="A387" s="43" t="s">
        <v>1582</v>
      </c>
      <c r="B387" s="43" t="s">
        <v>5080</v>
      </c>
      <c r="C387" s="44" t="s">
        <v>4634</v>
      </c>
      <c r="D387" s="45" t="s">
        <v>3816</v>
      </c>
    </row>
    <row r="388" spans="1:4" ht="31.5" customHeight="1" x14ac:dyDescent="0.25">
      <c r="A388" s="43" t="s">
        <v>1587</v>
      </c>
      <c r="B388" s="43" t="s">
        <v>5081</v>
      </c>
      <c r="C388" s="44" t="s">
        <v>757</v>
      </c>
      <c r="D388" s="45" t="s">
        <v>3817</v>
      </c>
    </row>
    <row r="389" spans="1:4" ht="47.25" customHeight="1" x14ac:dyDescent="0.25">
      <c r="A389" s="43" t="s">
        <v>1592</v>
      </c>
      <c r="B389" s="43" t="s">
        <v>5082</v>
      </c>
      <c r="C389" s="44" t="s">
        <v>396</v>
      </c>
      <c r="D389" s="45" t="s">
        <v>3818</v>
      </c>
    </row>
    <row r="390" spans="1:4" ht="31.5" customHeight="1" x14ac:dyDescent="0.25">
      <c r="A390" s="43" t="s">
        <v>1598</v>
      </c>
      <c r="B390" s="43" t="s">
        <v>5083</v>
      </c>
      <c r="C390" s="44" t="s">
        <v>2827</v>
      </c>
      <c r="D390" s="45" t="s">
        <v>3819</v>
      </c>
    </row>
    <row r="391" spans="1:4" ht="63" customHeight="1" x14ac:dyDescent="0.25">
      <c r="A391" s="43" t="s">
        <v>1602</v>
      </c>
      <c r="B391" s="43" t="s">
        <v>5084</v>
      </c>
      <c r="C391" s="44" t="s">
        <v>2093</v>
      </c>
      <c r="D391" s="45" t="s">
        <v>3820</v>
      </c>
    </row>
    <row r="392" spans="1:4" ht="47.25" customHeight="1" x14ac:dyDescent="0.25">
      <c r="A392" s="43" t="s">
        <v>1606</v>
      </c>
      <c r="B392" s="43" t="s">
        <v>5085</v>
      </c>
      <c r="C392" s="44" t="s">
        <v>260</v>
      </c>
      <c r="D392" s="45" t="s">
        <v>3821</v>
      </c>
    </row>
    <row r="393" spans="1:4" ht="47.25" customHeight="1" x14ac:dyDescent="0.25">
      <c r="A393" s="43" t="s">
        <v>1610</v>
      </c>
      <c r="B393" s="43" t="s">
        <v>5086</v>
      </c>
      <c r="C393" s="44" t="s">
        <v>744</v>
      </c>
      <c r="D393" s="45" t="s">
        <v>3822</v>
      </c>
    </row>
    <row r="394" spans="1:4" ht="31.5" customHeight="1" x14ac:dyDescent="0.25">
      <c r="A394" s="43" t="s">
        <v>1614</v>
      </c>
      <c r="B394" s="43" t="s">
        <v>5087</v>
      </c>
      <c r="C394" s="44" t="s">
        <v>604</v>
      </c>
      <c r="D394" s="45" t="s">
        <v>3823</v>
      </c>
    </row>
    <row r="395" spans="1:4" ht="47.25" customHeight="1" x14ac:dyDescent="0.25">
      <c r="A395" s="43" t="s">
        <v>1618</v>
      </c>
      <c r="B395" s="43" t="s">
        <v>5088</v>
      </c>
      <c r="C395" s="44" t="s">
        <v>965</v>
      </c>
      <c r="D395" s="45" t="s">
        <v>3824</v>
      </c>
    </row>
    <row r="396" spans="1:4" ht="31.5" customHeight="1" x14ac:dyDescent="0.25">
      <c r="A396" s="43" t="s">
        <v>1622</v>
      </c>
      <c r="B396" s="43" t="s">
        <v>5089</v>
      </c>
      <c r="C396" s="44" t="s">
        <v>3073</v>
      </c>
      <c r="D396" s="45" t="s">
        <v>3825</v>
      </c>
    </row>
    <row r="397" spans="1:4" ht="63" customHeight="1" x14ac:dyDescent="0.25">
      <c r="A397" s="43" t="s">
        <v>1627</v>
      </c>
      <c r="B397" s="43" t="s">
        <v>5090</v>
      </c>
      <c r="C397" s="44" t="s">
        <v>5091</v>
      </c>
      <c r="D397" s="45" t="s">
        <v>3826</v>
      </c>
    </row>
    <row r="398" spans="1:4" ht="63" customHeight="1" x14ac:dyDescent="0.25">
      <c r="A398" s="43" t="s">
        <v>1631</v>
      </c>
      <c r="B398" s="43" t="s">
        <v>5092</v>
      </c>
      <c r="C398" s="44" t="s">
        <v>5093</v>
      </c>
      <c r="D398" s="45" t="s">
        <v>3827</v>
      </c>
    </row>
    <row r="399" spans="1:4" ht="47.25" customHeight="1" x14ac:dyDescent="0.25">
      <c r="A399" s="43" t="s">
        <v>1635</v>
      </c>
      <c r="B399" s="43" t="s">
        <v>5094</v>
      </c>
      <c r="C399" s="44" t="s">
        <v>560</v>
      </c>
      <c r="D399" s="45" t="s">
        <v>3828</v>
      </c>
    </row>
    <row r="400" spans="1:4" ht="31.5" customHeight="1" x14ac:dyDescent="0.25">
      <c r="A400" s="43" t="s">
        <v>1640</v>
      </c>
      <c r="B400" s="43" t="s">
        <v>5095</v>
      </c>
      <c r="C400" s="44" t="s">
        <v>76</v>
      </c>
      <c r="D400" s="45" t="s">
        <v>3829</v>
      </c>
    </row>
    <row r="401" spans="1:4" ht="47.25" customHeight="1" x14ac:dyDescent="0.25">
      <c r="A401" s="43" t="s">
        <v>1644</v>
      </c>
      <c r="B401" s="43" t="s">
        <v>5096</v>
      </c>
      <c r="C401" s="44" t="s">
        <v>5097</v>
      </c>
      <c r="D401" s="45" t="s">
        <v>3830</v>
      </c>
    </row>
    <row r="402" spans="1:4" ht="47.25" customHeight="1" x14ac:dyDescent="0.25">
      <c r="A402" s="43" t="s">
        <v>1648</v>
      </c>
      <c r="B402" s="43" t="s">
        <v>5098</v>
      </c>
      <c r="C402" s="44" t="s">
        <v>4802</v>
      </c>
      <c r="D402" s="45" t="s">
        <v>3831</v>
      </c>
    </row>
    <row r="403" spans="1:4" ht="63" customHeight="1" x14ac:dyDescent="0.25">
      <c r="A403" s="43" t="s">
        <v>1652</v>
      </c>
      <c r="B403" s="43" t="s">
        <v>5099</v>
      </c>
      <c r="C403" s="44" t="s">
        <v>1528</v>
      </c>
      <c r="D403" s="45" t="s">
        <v>3832</v>
      </c>
    </row>
    <row r="404" spans="1:4" ht="47.25" customHeight="1" x14ac:dyDescent="0.25">
      <c r="A404" s="43" t="s">
        <v>1656</v>
      </c>
      <c r="B404" s="43" t="s">
        <v>5100</v>
      </c>
      <c r="C404" s="44" t="s">
        <v>1052</v>
      </c>
      <c r="D404" s="45" t="s">
        <v>3833</v>
      </c>
    </row>
    <row r="405" spans="1:4" ht="31.5" customHeight="1" x14ac:dyDescent="0.25">
      <c r="A405" s="43" t="s">
        <v>1661</v>
      </c>
      <c r="B405" s="43" t="s">
        <v>5101</v>
      </c>
      <c r="C405" s="44" t="s">
        <v>2329</v>
      </c>
      <c r="D405" s="45" t="s">
        <v>3834</v>
      </c>
    </row>
    <row r="406" spans="1:4" ht="47.25" customHeight="1" x14ac:dyDescent="0.25">
      <c r="A406" s="43" t="s">
        <v>1667</v>
      </c>
      <c r="B406" s="43" t="s">
        <v>5102</v>
      </c>
      <c r="C406" s="44" t="s">
        <v>5103</v>
      </c>
      <c r="D406" s="45" t="s">
        <v>3835</v>
      </c>
    </row>
    <row r="407" spans="1:4" ht="47.25" customHeight="1" x14ac:dyDescent="0.25">
      <c r="A407" s="43" t="s">
        <v>1671</v>
      </c>
      <c r="B407" s="43" t="s">
        <v>5104</v>
      </c>
      <c r="C407" s="44" t="s">
        <v>2416</v>
      </c>
      <c r="D407" s="45" t="s">
        <v>3836</v>
      </c>
    </row>
    <row r="408" spans="1:4" ht="31.5" customHeight="1" x14ac:dyDescent="0.25">
      <c r="A408" s="43" t="s">
        <v>1676</v>
      </c>
      <c r="B408" s="43" t="s">
        <v>5105</v>
      </c>
      <c r="C408" s="44" t="s">
        <v>2781</v>
      </c>
      <c r="D408" s="45" t="s">
        <v>3837</v>
      </c>
    </row>
    <row r="409" spans="1:4" ht="63" customHeight="1" x14ac:dyDescent="0.25">
      <c r="A409" s="43" t="s">
        <v>1681</v>
      </c>
      <c r="B409" s="43" t="s">
        <v>5106</v>
      </c>
      <c r="C409" s="44" t="s">
        <v>4574</v>
      </c>
      <c r="D409" s="45" t="s">
        <v>3838</v>
      </c>
    </row>
    <row r="410" spans="1:4" ht="47.25" customHeight="1" x14ac:dyDescent="0.25">
      <c r="A410" s="43" t="s">
        <v>1686</v>
      </c>
      <c r="B410" s="43" t="s">
        <v>5107</v>
      </c>
      <c r="C410" s="44" t="s">
        <v>3121</v>
      </c>
      <c r="D410" s="45" t="s">
        <v>3839</v>
      </c>
    </row>
    <row r="411" spans="1:4" ht="47.25" customHeight="1" x14ac:dyDescent="0.25">
      <c r="A411" s="43" t="s">
        <v>1690</v>
      </c>
      <c r="B411" s="43" t="s">
        <v>5108</v>
      </c>
      <c r="C411" s="44" t="s">
        <v>5109</v>
      </c>
      <c r="D411" s="45" t="s">
        <v>3840</v>
      </c>
    </row>
    <row r="412" spans="1:4" ht="47.25" customHeight="1" x14ac:dyDescent="0.25">
      <c r="A412" s="43" t="s">
        <v>1695</v>
      </c>
      <c r="B412" s="43" t="s">
        <v>5110</v>
      </c>
      <c r="C412" s="44" t="s">
        <v>1834</v>
      </c>
      <c r="D412" s="45" t="s">
        <v>3841</v>
      </c>
    </row>
    <row r="413" spans="1:4" ht="31.5" customHeight="1" x14ac:dyDescent="0.25">
      <c r="A413" s="43" t="s">
        <v>1700</v>
      </c>
      <c r="B413" s="43" t="s">
        <v>5111</v>
      </c>
      <c r="C413" s="44" t="s">
        <v>1924</v>
      </c>
      <c r="D413" s="45" t="s">
        <v>3842</v>
      </c>
    </row>
    <row r="414" spans="1:4" ht="47.25" customHeight="1" x14ac:dyDescent="0.25">
      <c r="A414" s="43" t="s">
        <v>1705</v>
      </c>
      <c r="B414" s="43" t="s">
        <v>5112</v>
      </c>
      <c r="C414" s="44" t="s">
        <v>5033</v>
      </c>
      <c r="D414" s="45" t="s">
        <v>3843</v>
      </c>
    </row>
    <row r="415" spans="1:4" ht="31.5" customHeight="1" x14ac:dyDescent="0.25">
      <c r="A415" s="43" t="s">
        <v>1710</v>
      </c>
      <c r="B415" s="43" t="s">
        <v>5113</v>
      </c>
      <c r="C415" s="44" t="s">
        <v>1427</v>
      </c>
      <c r="D415" s="45" t="s">
        <v>3844</v>
      </c>
    </row>
    <row r="416" spans="1:4" ht="31.5" customHeight="1" x14ac:dyDescent="0.25">
      <c r="A416" s="43" t="s">
        <v>1714</v>
      </c>
      <c r="B416" s="43" t="s">
        <v>5114</v>
      </c>
      <c r="C416" s="44" t="s">
        <v>5074</v>
      </c>
      <c r="D416" s="45" t="s">
        <v>3845</v>
      </c>
    </row>
    <row r="417" spans="1:4" ht="47.25" customHeight="1" x14ac:dyDescent="0.25">
      <c r="A417" s="43" t="s">
        <v>1718</v>
      </c>
      <c r="B417" s="43" t="s">
        <v>5115</v>
      </c>
      <c r="C417" s="44" t="s">
        <v>1584</v>
      </c>
      <c r="D417" s="45" t="s">
        <v>3846</v>
      </c>
    </row>
    <row r="418" spans="1:4" ht="63" customHeight="1" x14ac:dyDescent="0.25">
      <c r="A418" s="43" t="s">
        <v>1722</v>
      </c>
      <c r="B418" s="43" t="s">
        <v>5116</v>
      </c>
      <c r="C418" s="44" t="s">
        <v>5093</v>
      </c>
      <c r="D418" s="45" t="s">
        <v>3847</v>
      </c>
    </row>
    <row r="419" spans="1:4" ht="47.25" customHeight="1" x14ac:dyDescent="0.25">
      <c r="A419" s="43" t="s">
        <v>1726</v>
      </c>
      <c r="B419" s="43" t="s">
        <v>5117</v>
      </c>
      <c r="C419" s="44" t="s">
        <v>5118</v>
      </c>
      <c r="D419" s="45" t="s">
        <v>3848</v>
      </c>
    </row>
    <row r="420" spans="1:4" ht="63" customHeight="1" x14ac:dyDescent="0.25">
      <c r="A420" s="43" t="s">
        <v>1730</v>
      </c>
      <c r="B420" s="43" t="s">
        <v>5119</v>
      </c>
      <c r="C420" s="44" t="s">
        <v>2037</v>
      </c>
      <c r="D420" s="45" t="s">
        <v>3849</v>
      </c>
    </row>
    <row r="421" spans="1:4" ht="47.25" customHeight="1" x14ac:dyDescent="0.25">
      <c r="A421" s="43" t="s">
        <v>1735</v>
      </c>
      <c r="B421" s="43" t="s">
        <v>5120</v>
      </c>
      <c r="C421" s="44" t="s">
        <v>4942</v>
      </c>
      <c r="D421" s="45" t="s">
        <v>3850</v>
      </c>
    </row>
    <row r="422" spans="1:4" ht="47.25" customHeight="1" x14ac:dyDescent="0.25">
      <c r="A422" s="43" t="s">
        <v>1739</v>
      </c>
      <c r="B422" s="43" t="s">
        <v>5121</v>
      </c>
      <c r="C422" s="44" t="s">
        <v>374</v>
      </c>
      <c r="D422" s="45" t="s">
        <v>3851</v>
      </c>
    </row>
    <row r="423" spans="1:4" ht="31.5" customHeight="1" x14ac:dyDescent="0.25">
      <c r="A423" s="43" t="s">
        <v>1743</v>
      </c>
      <c r="B423" s="43" t="s">
        <v>5122</v>
      </c>
      <c r="C423" s="44" t="s">
        <v>509</v>
      </c>
      <c r="D423" s="45" t="s">
        <v>3852</v>
      </c>
    </row>
    <row r="424" spans="1:4" ht="63" customHeight="1" x14ac:dyDescent="0.25">
      <c r="A424" s="43" t="s">
        <v>1747</v>
      </c>
      <c r="B424" s="43" t="s">
        <v>5123</v>
      </c>
      <c r="C424" s="44" t="s">
        <v>5124</v>
      </c>
      <c r="D424" s="45" t="s">
        <v>3853</v>
      </c>
    </row>
    <row r="425" spans="1:4" ht="31.5" customHeight="1" x14ac:dyDescent="0.25">
      <c r="A425" s="43" t="s">
        <v>1750</v>
      </c>
      <c r="B425" s="43" t="s">
        <v>5125</v>
      </c>
      <c r="C425" s="44" t="s">
        <v>509</v>
      </c>
      <c r="D425" s="45" t="s">
        <v>3854</v>
      </c>
    </row>
    <row r="426" spans="1:4" ht="63" customHeight="1" x14ac:dyDescent="0.25">
      <c r="A426" s="43" t="s">
        <v>1754</v>
      </c>
      <c r="B426" s="43" t="s">
        <v>5126</v>
      </c>
      <c r="C426" s="44" t="s">
        <v>2987</v>
      </c>
      <c r="D426" s="45" t="s">
        <v>3855</v>
      </c>
    </row>
    <row r="427" spans="1:4" ht="47.25" customHeight="1" x14ac:dyDescent="0.25">
      <c r="A427" s="43" t="s">
        <v>1759</v>
      </c>
      <c r="B427" s="43" t="s">
        <v>5127</v>
      </c>
      <c r="C427" s="44" t="s">
        <v>4969</v>
      </c>
      <c r="D427" s="45" t="s">
        <v>3856</v>
      </c>
    </row>
    <row r="428" spans="1:4" ht="47.25" customHeight="1" x14ac:dyDescent="0.25">
      <c r="A428" s="43" t="s">
        <v>1764</v>
      </c>
      <c r="B428" s="43" t="s">
        <v>5128</v>
      </c>
      <c r="C428" s="44" t="s">
        <v>3064</v>
      </c>
      <c r="D428" s="45" t="s">
        <v>3857</v>
      </c>
    </row>
    <row r="429" spans="1:4" ht="47.25" customHeight="1" x14ac:dyDescent="0.25">
      <c r="A429" s="43" t="s">
        <v>1768</v>
      </c>
      <c r="B429" s="43" t="s">
        <v>5129</v>
      </c>
      <c r="C429" s="44" t="s">
        <v>489</v>
      </c>
      <c r="D429" s="45" t="s">
        <v>3858</v>
      </c>
    </row>
    <row r="430" spans="1:4" ht="47.25" customHeight="1" x14ac:dyDescent="0.25">
      <c r="A430" s="43" t="s">
        <v>1772</v>
      </c>
      <c r="B430" s="43" t="s">
        <v>5130</v>
      </c>
      <c r="C430" s="44" t="s">
        <v>489</v>
      </c>
      <c r="D430" s="45" t="s">
        <v>3859</v>
      </c>
    </row>
    <row r="431" spans="1:4" ht="47.25" customHeight="1" x14ac:dyDescent="0.25">
      <c r="A431" s="43" t="s">
        <v>1776</v>
      </c>
      <c r="B431" s="43" t="s">
        <v>5131</v>
      </c>
      <c r="C431" s="44" t="s">
        <v>4717</v>
      </c>
      <c r="D431" s="45" t="s">
        <v>3860</v>
      </c>
    </row>
    <row r="432" spans="1:4" ht="47.25" customHeight="1" x14ac:dyDescent="0.25">
      <c r="A432" s="43" t="s">
        <v>1780</v>
      </c>
      <c r="B432" s="43" t="s">
        <v>5132</v>
      </c>
      <c r="C432" s="44" t="s">
        <v>1538</v>
      </c>
      <c r="D432" s="45" t="s">
        <v>3861</v>
      </c>
    </row>
    <row r="433" spans="1:4" ht="47.25" customHeight="1" x14ac:dyDescent="0.25">
      <c r="A433" s="43" t="s">
        <v>1784</v>
      </c>
      <c r="B433" s="43" t="s">
        <v>5133</v>
      </c>
      <c r="C433" s="44" t="s">
        <v>4833</v>
      </c>
      <c r="D433" s="45" t="s">
        <v>3862</v>
      </c>
    </row>
    <row r="434" spans="1:4" ht="31.5" customHeight="1" x14ac:dyDescent="0.25">
      <c r="A434" s="43" t="s">
        <v>1788</v>
      </c>
      <c r="B434" s="43" t="s">
        <v>5134</v>
      </c>
      <c r="C434" s="44" t="s">
        <v>4945</v>
      </c>
      <c r="D434" s="45" t="s">
        <v>3863</v>
      </c>
    </row>
    <row r="435" spans="1:4" ht="63" customHeight="1" x14ac:dyDescent="0.25">
      <c r="A435" s="43" t="s">
        <v>1793</v>
      </c>
      <c r="B435" s="43" t="s">
        <v>5135</v>
      </c>
      <c r="C435" s="44" t="s">
        <v>379</v>
      </c>
      <c r="D435" s="45" t="s">
        <v>3864</v>
      </c>
    </row>
    <row r="436" spans="1:4" ht="63" customHeight="1" x14ac:dyDescent="0.25">
      <c r="A436" s="43" t="s">
        <v>1798</v>
      </c>
      <c r="B436" s="43" t="s">
        <v>5136</v>
      </c>
      <c r="C436" s="44" t="s">
        <v>3121</v>
      </c>
      <c r="D436" s="45" t="s">
        <v>3865</v>
      </c>
    </row>
    <row r="437" spans="1:4" ht="63" customHeight="1" x14ac:dyDescent="0.25">
      <c r="A437" s="43" t="s">
        <v>1801</v>
      </c>
      <c r="B437" s="43" t="s">
        <v>5137</v>
      </c>
      <c r="C437" s="44" t="s">
        <v>5138</v>
      </c>
      <c r="D437" s="45" t="s">
        <v>3866</v>
      </c>
    </row>
    <row r="438" spans="1:4" ht="47.25" customHeight="1" x14ac:dyDescent="0.25">
      <c r="A438" s="43" t="s">
        <v>1805</v>
      </c>
      <c r="B438" s="43" t="s">
        <v>5139</v>
      </c>
      <c r="C438" s="44" t="s">
        <v>3016</v>
      </c>
      <c r="D438" s="45" t="s">
        <v>3867</v>
      </c>
    </row>
    <row r="439" spans="1:4" ht="31.5" customHeight="1" x14ac:dyDescent="0.25">
      <c r="A439" s="43" t="s">
        <v>1810</v>
      </c>
      <c r="B439" s="43" t="s">
        <v>5140</v>
      </c>
      <c r="C439" s="44" t="s">
        <v>1115</v>
      </c>
      <c r="D439" s="45" t="s">
        <v>3868</v>
      </c>
    </row>
    <row r="440" spans="1:4" ht="47.25" customHeight="1" x14ac:dyDescent="0.25">
      <c r="A440" s="43" t="s">
        <v>1814</v>
      </c>
      <c r="B440" s="43" t="s">
        <v>5141</v>
      </c>
      <c r="C440" s="44" t="s">
        <v>1115</v>
      </c>
      <c r="D440" s="45" t="s">
        <v>3869</v>
      </c>
    </row>
    <row r="441" spans="1:4" ht="47.25" customHeight="1" x14ac:dyDescent="0.25">
      <c r="A441" s="43" t="s">
        <v>1818</v>
      </c>
      <c r="B441" s="43" t="s">
        <v>5142</v>
      </c>
      <c r="C441" s="44" t="s">
        <v>3121</v>
      </c>
      <c r="D441" s="45" t="s">
        <v>3870</v>
      </c>
    </row>
    <row r="442" spans="1:4" ht="31.5" customHeight="1" x14ac:dyDescent="0.25">
      <c r="A442" s="43" t="s">
        <v>1824</v>
      </c>
      <c r="B442" s="43" t="s">
        <v>5143</v>
      </c>
      <c r="C442" s="44" t="s">
        <v>5144</v>
      </c>
      <c r="D442" s="45" t="s">
        <v>3871</v>
      </c>
    </row>
    <row r="443" spans="1:4" ht="94.5" customHeight="1" x14ac:dyDescent="0.25">
      <c r="A443" s="43" t="s">
        <v>1828</v>
      </c>
      <c r="B443" s="43" t="s">
        <v>5145</v>
      </c>
      <c r="C443" s="44" t="s">
        <v>5146</v>
      </c>
      <c r="D443" s="45" t="s">
        <v>3872</v>
      </c>
    </row>
    <row r="444" spans="1:4" ht="31.5" customHeight="1" x14ac:dyDescent="0.25">
      <c r="A444" s="43" t="s">
        <v>1832</v>
      </c>
      <c r="B444" s="43" t="s">
        <v>5147</v>
      </c>
      <c r="C444" s="44" t="s">
        <v>2244</v>
      </c>
      <c r="D444" s="45" t="s">
        <v>3873</v>
      </c>
    </row>
    <row r="445" spans="1:4" ht="31.5" customHeight="1" x14ac:dyDescent="0.25">
      <c r="A445" s="43" t="s">
        <v>1837</v>
      </c>
      <c r="B445" s="43" t="s">
        <v>5148</v>
      </c>
      <c r="C445" s="44" t="s">
        <v>1707</v>
      </c>
      <c r="D445" s="45" t="s">
        <v>3874</v>
      </c>
    </row>
    <row r="446" spans="1:4" ht="15.75" customHeight="1" x14ac:dyDescent="0.25">
      <c r="A446" s="43" t="s">
        <v>1841</v>
      </c>
      <c r="B446" s="43" t="s">
        <v>5149</v>
      </c>
      <c r="C446" s="44" t="s">
        <v>781</v>
      </c>
      <c r="D446" s="45" t="s">
        <v>3875</v>
      </c>
    </row>
    <row r="447" spans="1:4" ht="47.25" customHeight="1" x14ac:dyDescent="0.25">
      <c r="A447" s="43" t="s">
        <v>1845</v>
      </c>
      <c r="B447" s="43" t="s">
        <v>5150</v>
      </c>
      <c r="C447" s="44" t="s">
        <v>123</v>
      </c>
      <c r="D447" s="45" t="s">
        <v>3876</v>
      </c>
    </row>
    <row r="448" spans="1:4" ht="31.5" customHeight="1" x14ac:dyDescent="0.25">
      <c r="A448" s="43" t="s">
        <v>1849</v>
      </c>
      <c r="B448" s="43" t="s">
        <v>5151</v>
      </c>
      <c r="C448" s="44" t="s">
        <v>4634</v>
      </c>
      <c r="D448" s="45" t="s">
        <v>3877</v>
      </c>
    </row>
    <row r="449" spans="1:4" ht="47.25" customHeight="1" x14ac:dyDescent="0.25">
      <c r="A449" s="43" t="s">
        <v>1853</v>
      </c>
      <c r="B449" s="43" t="s">
        <v>5152</v>
      </c>
      <c r="C449" s="44" t="s">
        <v>5028</v>
      </c>
      <c r="D449" s="45" t="s">
        <v>3878</v>
      </c>
    </row>
    <row r="450" spans="1:4" ht="47.25" customHeight="1" x14ac:dyDescent="0.25">
      <c r="A450" s="43" t="s">
        <v>1857</v>
      </c>
      <c r="B450" s="43" t="s">
        <v>5153</v>
      </c>
      <c r="C450" s="44" t="s">
        <v>1115</v>
      </c>
      <c r="D450" s="45" t="s">
        <v>3879</v>
      </c>
    </row>
    <row r="451" spans="1:4" ht="47.25" customHeight="1" x14ac:dyDescent="0.25">
      <c r="A451" s="43" t="s">
        <v>1861</v>
      </c>
      <c r="B451" s="43" t="s">
        <v>5154</v>
      </c>
      <c r="C451" s="44" t="s">
        <v>76</v>
      </c>
      <c r="D451" s="45" t="s">
        <v>3880</v>
      </c>
    </row>
    <row r="452" spans="1:4" ht="47.25" customHeight="1" x14ac:dyDescent="0.25">
      <c r="A452" s="43" t="s">
        <v>1866</v>
      </c>
      <c r="B452" s="43" t="s">
        <v>5155</v>
      </c>
      <c r="C452" s="44" t="s">
        <v>87</v>
      </c>
      <c r="D452" s="45" t="s">
        <v>3881</v>
      </c>
    </row>
    <row r="453" spans="1:4" ht="47.25" customHeight="1" x14ac:dyDescent="0.25">
      <c r="A453" s="43" t="s">
        <v>1870</v>
      </c>
      <c r="B453" s="43" t="s">
        <v>5156</v>
      </c>
      <c r="C453" s="44" t="s">
        <v>4861</v>
      </c>
      <c r="D453" s="45" t="s">
        <v>3882</v>
      </c>
    </row>
    <row r="454" spans="1:4" ht="47.25" customHeight="1" x14ac:dyDescent="0.25">
      <c r="A454" s="43" t="s">
        <v>1875</v>
      </c>
      <c r="B454" s="43" t="s">
        <v>5157</v>
      </c>
      <c r="C454" s="44" t="s">
        <v>4694</v>
      </c>
      <c r="D454" s="45" t="s">
        <v>3883</v>
      </c>
    </row>
    <row r="455" spans="1:4" ht="63" customHeight="1" x14ac:dyDescent="0.25">
      <c r="A455" s="43" t="s">
        <v>1879</v>
      </c>
      <c r="B455" s="43" t="s">
        <v>5158</v>
      </c>
      <c r="C455" s="44" t="s">
        <v>5159</v>
      </c>
      <c r="D455" s="45" t="s">
        <v>3884</v>
      </c>
    </row>
    <row r="456" spans="1:4" ht="47.25" customHeight="1" x14ac:dyDescent="0.25">
      <c r="A456" s="43" t="s">
        <v>1883</v>
      </c>
      <c r="B456" s="43" t="s">
        <v>5160</v>
      </c>
      <c r="C456" s="44" t="s">
        <v>3016</v>
      </c>
      <c r="D456" s="45" t="s">
        <v>3885</v>
      </c>
    </row>
    <row r="457" spans="1:4" ht="47.25" customHeight="1" x14ac:dyDescent="0.25">
      <c r="A457" s="43" t="s">
        <v>1887</v>
      </c>
      <c r="B457" s="43" t="s">
        <v>5161</v>
      </c>
      <c r="C457" s="44" t="s">
        <v>2261</v>
      </c>
      <c r="D457" s="45" t="s">
        <v>3886</v>
      </c>
    </row>
    <row r="458" spans="1:4" ht="31.5" customHeight="1" x14ac:dyDescent="0.25">
      <c r="A458" s="43" t="s">
        <v>1891</v>
      </c>
      <c r="B458" s="43" t="s">
        <v>5162</v>
      </c>
      <c r="C458" s="44" t="s">
        <v>795</v>
      </c>
      <c r="D458" s="45" t="s">
        <v>3887</v>
      </c>
    </row>
    <row r="459" spans="1:4" ht="63" customHeight="1" x14ac:dyDescent="0.25">
      <c r="A459" s="43" t="s">
        <v>1897</v>
      </c>
      <c r="B459" s="43" t="s">
        <v>5163</v>
      </c>
      <c r="C459" s="44" t="s">
        <v>5164</v>
      </c>
      <c r="D459" s="45" t="s">
        <v>3888</v>
      </c>
    </row>
    <row r="460" spans="1:4" ht="47.25" customHeight="1" x14ac:dyDescent="0.25">
      <c r="A460" s="43" t="s">
        <v>1901</v>
      </c>
      <c r="B460" s="43" t="s">
        <v>5165</v>
      </c>
      <c r="C460" s="44" t="s">
        <v>5159</v>
      </c>
      <c r="D460" s="45" t="s">
        <v>3889</v>
      </c>
    </row>
    <row r="461" spans="1:4" ht="47.25" customHeight="1" x14ac:dyDescent="0.25">
      <c r="A461" s="43" t="s">
        <v>1905</v>
      </c>
      <c r="B461" s="43" t="s">
        <v>5166</v>
      </c>
      <c r="C461" s="44" t="s">
        <v>4753</v>
      </c>
      <c r="D461" s="45" t="s">
        <v>3890</v>
      </c>
    </row>
    <row r="462" spans="1:4" ht="47.25" customHeight="1" x14ac:dyDescent="0.25">
      <c r="A462" s="43" t="s">
        <v>1909</v>
      </c>
      <c r="B462" s="43" t="s">
        <v>5167</v>
      </c>
      <c r="C462" s="44" t="s">
        <v>1106</v>
      </c>
      <c r="D462" s="45" t="s">
        <v>3891</v>
      </c>
    </row>
    <row r="463" spans="1:4" ht="31.5" customHeight="1" x14ac:dyDescent="0.25">
      <c r="A463" s="43" t="s">
        <v>1913</v>
      </c>
      <c r="B463" s="43" t="s">
        <v>5168</v>
      </c>
      <c r="C463" s="44" t="s">
        <v>5159</v>
      </c>
      <c r="D463" s="45" t="s">
        <v>3892</v>
      </c>
    </row>
    <row r="464" spans="1:4" ht="47.25" customHeight="1" x14ac:dyDescent="0.25">
      <c r="A464" s="43" t="s">
        <v>1917</v>
      </c>
      <c r="B464" s="43" t="s">
        <v>5169</v>
      </c>
      <c r="C464" s="44" t="s">
        <v>374</v>
      </c>
      <c r="D464" s="45" t="s">
        <v>3893</v>
      </c>
    </row>
    <row r="465" spans="1:4" ht="31.5" customHeight="1" x14ac:dyDescent="0.25">
      <c r="A465" s="43" t="s">
        <v>1922</v>
      </c>
      <c r="B465" s="43" t="s">
        <v>5170</v>
      </c>
      <c r="C465" s="44" t="s">
        <v>112</v>
      </c>
      <c r="D465" s="45" t="s">
        <v>3894</v>
      </c>
    </row>
    <row r="466" spans="1:4" ht="31.5" customHeight="1" x14ac:dyDescent="0.25">
      <c r="A466" s="43" t="s">
        <v>1927</v>
      </c>
      <c r="B466" s="43" t="s">
        <v>5171</v>
      </c>
      <c r="C466" s="44" t="s">
        <v>112</v>
      </c>
      <c r="D466" s="45" t="s">
        <v>3895</v>
      </c>
    </row>
    <row r="467" spans="1:4" ht="31.5" customHeight="1" x14ac:dyDescent="0.25">
      <c r="A467" s="43" t="s">
        <v>1931</v>
      </c>
      <c r="B467" s="43" t="s">
        <v>5172</v>
      </c>
      <c r="C467" s="44" t="s">
        <v>76</v>
      </c>
      <c r="D467" s="45" t="s">
        <v>3896</v>
      </c>
    </row>
    <row r="468" spans="1:4" ht="31.5" customHeight="1" x14ac:dyDescent="0.25">
      <c r="A468" s="43" t="s">
        <v>1934</v>
      </c>
      <c r="B468" s="43" t="s">
        <v>5173</v>
      </c>
      <c r="C468" s="44" t="s">
        <v>519</v>
      </c>
      <c r="D468" s="45" t="s">
        <v>3897</v>
      </c>
    </row>
    <row r="469" spans="1:4" ht="47.25" customHeight="1" x14ac:dyDescent="0.25">
      <c r="A469" s="43" t="s">
        <v>1939</v>
      </c>
      <c r="B469" s="43" t="s">
        <v>5174</v>
      </c>
      <c r="C469" s="44" t="s">
        <v>5175</v>
      </c>
      <c r="D469" s="45" t="s">
        <v>3898</v>
      </c>
    </row>
    <row r="470" spans="1:4" ht="47.25" customHeight="1" x14ac:dyDescent="0.25">
      <c r="A470" s="43" t="s">
        <v>1945</v>
      </c>
      <c r="B470" s="43" t="s">
        <v>5176</v>
      </c>
      <c r="C470" s="44" t="s">
        <v>5175</v>
      </c>
      <c r="D470" s="45" t="s">
        <v>3899</v>
      </c>
    </row>
    <row r="471" spans="1:4" ht="63" customHeight="1" x14ac:dyDescent="0.25">
      <c r="A471" s="43" t="s">
        <v>1950</v>
      </c>
      <c r="B471" s="43" t="s">
        <v>5177</v>
      </c>
      <c r="C471" s="44" t="s">
        <v>657</v>
      </c>
      <c r="D471" s="45" t="s">
        <v>3900</v>
      </c>
    </row>
    <row r="472" spans="1:4" ht="63" customHeight="1" x14ac:dyDescent="0.25">
      <c r="A472" s="43" t="s">
        <v>1954</v>
      </c>
      <c r="B472" s="43" t="s">
        <v>5178</v>
      </c>
      <c r="C472" s="44" t="s">
        <v>4818</v>
      </c>
      <c r="D472" s="45" t="s">
        <v>3901</v>
      </c>
    </row>
    <row r="473" spans="1:4" ht="31.5" customHeight="1" x14ac:dyDescent="0.25">
      <c r="A473" s="43" t="s">
        <v>1958</v>
      </c>
      <c r="B473" s="43" t="s">
        <v>5179</v>
      </c>
      <c r="C473" s="44" t="s">
        <v>5180</v>
      </c>
      <c r="D473" s="45" t="s">
        <v>3902</v>
      </c>
    </row>
    <row r="474" spans="1:4" ht="31.5" customHeight="1" x14ac:dyDescent="0.25">
      <c r="A474" s="43" t="s">
        <v>1961</v>
      </c>
      <c r="B474" s="43" t="s">
        <v>5181</v>
      </c>
      <c r="C474" s="44" t="s">
        <v>4657</v>
      </c>
      <c r="D474" s="45" t="s">
        <v>3903</v>
      </c>
    </row>
    <row r="475" spans="1:4" ht="31.5" customHeight="1" x14ac:dyDescent="0.25">
      <c r="A475" s="43" t="s">
        <v>1966</v>
      </c>
      <c r="B475" s="43" t="s">
        <v>5182</v>
      </c>
      <c r="C475" s="44" t="s">
        <v>3016</v>
      </c>
      <c r="D475" s="45" t="s">
        <v>3904</v>
      </c>
    </row>
    <row r="476" spans="1:4" ht="31.5" customHeight="1" x14ac:dyDescent="0.25">
      <c r="A476" s="43" t="s">
        <v>1971</v>
      </c>
      <c r="B476" s="43" t="s">
        <v>5183</v>
      </c>
      <c r="C476" s="44" t="s">
        <v>1658</v>
      </c>
      <c r="D476" s="45" t="s">
        <v>3905</v>
      </c>
    </row>
    <row r="477" spans="1:4" ht="63" customHeight="1" x14ac:dyDescent="0.25">
      <c r="A477" s="43" t="s">
        <v>1976</v>
      </c>
      <c r="B477" s="43" t="s">
        <v>5184</v>
      </c>
      <c r="C477" s="44" t="s">
        <v>1142</v>
      </c>
      <c r="D477" s="45" t="s">
        <v>3906</v>
      </c>
    </row>
    <row r="478" spans="1:4" ht="31.5" customHeight="1" x14ac:dyDescent="0.25">
      <c r="A478" s="43" t="s">
        <v>1980</v>
      </c>
      <c r="B478" s="43" t="s">
        <v>5185</v>
      </c>
      <c r="C478" s="44" t="s">
        <v>795</v>
      </c>
      <c r="D478" s="45" t="s">
        <v>3907</v>
      </c>
    </row>
    <row r="479" spans="1:4" ht="31.5" customHeight="1" x14ac:dyDescent="0.25">
      <c r="A479" s="43" t="s">
        <v>1984</v>
      </c>
      <c r="B479" s="43" t="s">
        <v>5186</v>
      </c>
      <c r="C479" s="44" t="s">
        <v>1702</v>
      </c>
      <c r="D479" s="45" t="s">
        <v>3908</v>
      </c>
    </row>
    <row r="480" spans="1:4" ht="47.25" customHeight="1" x14ac:dyDescent="0.25">
      <c r="A480" s="43" t="s">
        <v>1988</v>
      </c>
      <c r="B480" s="43" t="s">
        <v>5187</v>
      </c>
      <c r="C480" s="44" t="s">
        <v>3046</v>
      </c>
      <c r="D480" s="45" t="s">
        <v>3909</v>
      </c>
    </row>
    <row r="481" spans="1:4" ht="47.25" customHeight="1" x14ac:dyDescent="0.25">
      <c r="A481" s="43" t="s">
        <v>1992</v>
      </c>
      <c r="B481" s="43" t="s">
        <v>5188</v>
      </c>
      <c r="C481" s="44" t="s">
        <v>5189</v>
      </c>
      <c r="D481" s="45" t="s">
        <v>3910</v>
      </c>
    </row>
    <row r="482" spans="1:4" ht="47.25" customHeight="1" x14ac:dyDescent="0.25">
      <c r="A482" s="43" t="s">
        <v>1996</v>
      </c>
      <c r="B482" s="43" t="s">
        <v>5190</v>
      </c>
      <c r="C482" s="44" t="s">
        <v>5191</v>
      </c>
      <c r="D482" s="45" t="s">
        <v>3911</v>
      </c>
    </row>
    <row r="483" spans="1:4" ht="31.5" customHeight="1" x14ac:dyDescent="0.25">
      <c r="A483" s="43" t="s">
        <v>2001</v>
      </c>
      <c r="B483" s="43" t="s">
        <v>5192</v>
      </c>
      <c r="C483" s="44" t="s">
        <v>384</v>
      </c>
      <c r="D483" s="45" t="s">
        <v>3912</v>
      </c>
    </row>
    <row r="484" spans="1:4" ht="63" customHeight="1" x14ac:dyDescent="0.25">
      <c r="A484" s="43" t="s">
        <v>2005</v>
      </c>
      <c r="B484" s="43" t="s">
        <v>5193</v>
      </c>
      <c r="C484" s="44" t="s">
        <v>5194</v>
      </c>
      <c r="D484" s="45" t="s">
        <v>3913</v>
      </c>
    </row>
    <row r="485" spans="1:4" ht="31.5" customHeight="1" x14ac:dyDescent="0.25">
      <c r="A485" s="43" t="s">
        <v>2009</v>
      </c>
      <c r="B485" s="43" t="s">
        <v>5195</v>
      </c>
      <c r="C485" s="44" t="s">
        <v>384</v>
      </c>
      <c r="D485" s="45" t="s">
        <v>3914</v>
      </c>
    </row>
    <row r="486" spans="1:4" ht="63" customHeight="1" x14ac:dyDescent="0.25">
      <c r="A486" s="43" t="s">
        <v>2014</v>
      </c>
      <c r="B486" s="43" t="s">
        <v>5196</v>
      </c>
      <c r="C486" s="44" t="s">
        <v>2037</v>
      </c>
      <c r="D486" s="45" t="s">
        <v>3915</v>
      </c>
    </row>
    <row r="487" spans="1:4" ht="47.25" customHeight="1" x14ac:dyDescent="0.25">
      <c r="A487" s="43" t="s">
        <v>2019</v>
      </c>
      <c r="B487" s="43" t="s">
        <v>5197</v>
      </c>
      <c r="C487" s="44" t="s">
        <v>5044</v>
      </c>
      <c r="D487" s="45" t="s">
        <v>3916</v>
      </c>
    </row>
    <row r="488" spans="1:4" ht="63" customHeight="1" x14ac:dyDescent="0.25">
      <c r="A488" s="43" t="s">
        <v>2023</v>
      </c>
      <c r="B488" s="43" t="s">
        <v>5198</v>
      </c>
      <c r="C488" s="44" t="s">
        <v>390</v>
      </c>
      <c r="D488" s="45" t="s">
        <v>3917</v>
      </c>
    </row>
    <row r="489" spans="1:4" ht="31.5" customHeight="1" x14ac:dyDescent="0.25">
      <c r="A489" s="43" t="s">
        <v>2027</v>
      </c>
      <c r="B489" s="43" t="s">
        <v>5199</v>
      </c>
      <c r="C489" s="44" t="s">
        <v>4969</v>
      </c>
      <c r="D489" s="45" t="s">
        <v>3918</v>
      </c>
    </row>
    <row r="490" spans="1:4" ht="47.25" customHeight="1" x14ac:dyDescent="0.25">
      <c r="A490" s="43" t="s">
        <v>2031</v>
      </c>
      <c r="B490" s="43" t="s">
        <v>5200</v>
      </c>
      <c r="C490" s="44" t="s">
        <v>4969</v>
      </c>
      <c r="D490" s="45" t="s">
        <v>3919</v>
      </c>
    </row>
    <row r="491" spans="1:4" ht="47.25" customHeight="1" x14ac:dyDescent="0.25">
      <c r="A491" s="43" t="s">
        <v>2035</v>
      </c>
      <c r="B491" s="43" t="s">
        <v>5201</v>
      </c>
      <c r="C491" s="44" t="s">
        <v>1353</v>
      </c>
      <c r="D491" s="45" t="s">
        <v>3920</v>
      </c>
    </row>
    <row r="492" spans="1:4" ht="47.25" customHeight="1" x14ac:dyDescent="0.25">
      <c r="A492" s="43" t="s">
        <v>2040</v>
      </c>
      <c r="B492" s="43" t="s">
        <v>5202</v>
      </c>
      <c r="C492" s="44" t="s">
        <v>5203</v>
      </c>
      <c r="D492" s="45" t="s">
        <v>3921</v>
      </c>
    </row>
    <row r="493" spans="1:4" ht="31.5" customHeight="1" x14ac:dyDescent="0.25">
      <c r="A493" s="43" t="s">
        <v>2044</v>
      </c>
      <c r="B493" s="43" t="s">
        <v>5204</v>
      </c>
      <c r="C493" s="44" t="s">
        <v>112</v>
      </c>
      <c r="D493" s="45" t="s">
        <v>3922</v>
      </c>
    </row>
    <row r="494" spans="1:4" ht="31.5" customHeight="1" x14ac:dyDescent="0.25">
      <c r="A494" s="43" t="s">
        <v>2048</v>
      </c>
      <c r="B494" s="43" t="s">
        <v>5205</v>
      </c>
      <c r="C494" s="44" t="s">
        <v>1589</v>
      </c>
      <c r="D494" s="45" t="s">
        <v>3923</v>
      </c>
    </row>
    <row r="495" spans="1:4" ht="47.25" customHeight="1" x14ac:dyDescent="0.25">
      <c r="A495" s="43" t="s">
        <v>2053</v>
      </c>
      <c r="B495" s="43" t="s">
        <v>5206</v>
      </c>
      <c r="C495" s="44" t="s">
        <v>5207</v>
      </c>
      <c r="D495" s="45" t="s">
        <v>3924</v>
      </c>
    </row>
    <row r="496" spans="1:4" ht="47.25" customHeight="1" x14ac:dyDescent="0.25">
      <c r="A496" s="43" t="s">
        <v>2057</v>
      </c>
      <c r="B496" s="43" t="s">
        <v>5208</v>
      </c>
      <c r="C496" s="44" t="s">
        <v>5209</v>
      </c>
      <c r="D496" s="45" t="s">
        <v>3925</v>
      </c>
    </row>
    <row r="497" spans="1:4" ht="47.25" customHeight="1" x14ac:dyDescent="0.25">
      <c r="A497" s="43" t="s">
        <v>2062</v>
      </c>
      <c r="B497" s="43" t="s">
        <v>5210</v>
      </c>
      <c r="C497" s="44" t="s">
        <v>5211</v>
      </c>
      <c r="D497" s="45" t="s">
        <v>3926</v>
      </c>
    </row>
    <row r="498" spans="1:4" ht="47.25" customHeight="1" x14ac:dyDescent="0.25">
      <c r="A498" s="43" t="s">
        <v>2066</v>
      </c>
      <c r="B498" s="43" t="s">
        <v>5212</v>
      </c>
      <c r="C498" s="44" t="s">
        <v>877</v>
      </c>
      <c r="D498" s="45" t="s">
        <v>3927</v>
      </c>
    </row>
    <row r="499" spans="1:4" ht="31.5" customHeight="1" x14ac:dyDescent="0.25">
      <c r="A499" s="43" t="s">
        <v>2070</v>
      </c>
      <c r="B499" s="43" t="s">
        <v>5213</v>
      </c>
      <c r="C499" s="44" t="s">
        <v>4717</v>
      </c>
      <c r="D499" s="45" t="s">
        <v>3928</v>
      </c>
    </row>
    <row r="500" spans="1:4" ht="63" customHeight="1" x14ac:dyDescent="0.25">
      <c r="A500" s="43" t="s">
        <v>2074</v>
      </c>
      <c r="B500" s="43" t="s">
        <v>5214</v>
      </c>
      <c r="C500" s="44" t="s">
        <v>5215</v>
      </c>
      <c r="D500" s="45" t="s">
        <v>3929</v>
      </c>
    </row>
    <row r="501" spans="1:4" ht="31.5" customHeight="1" x14ac:dyDescent="0.25">
      <c r="A501" s="43" t="s">
        <v>2079</v>
      </c>
      <c r="B501" s="43" t="s">
        <v>5216</v>
      </c>
      <c r="C501" s="44" t="s">
        <v>3041</v>
      </c>
      <c r="D501" s="45" t="s">
        <v>3930</v>
      </c>
    </row>
    <row r="502" spans="1:4" ht="63" customHeight="1" x14ac:dyDescent="0.25">
      <c r="A502" s="43" t="s">
        <v>2082</v>
      </c>
      <c r="B502" s="43" t="s">
        <v>5217</v>
      </c>
      <c r="C502" s="44" t="s">
        <v>4756</v>
      </c>
      <c r="D502" s="45" t="s">
        <v>3931</v>
      </c>
    </row>
    <row r="503" spans="1:4" ht="31.5" customHeight="1" x14ac:dyDescent="0.25">
      <c r="A503" s="43" t="s">
        <v>2087</v>
      </c>
      <c r="B503" s="43" t="s">
        <v>5218</v>
      </c>
      <c r="C503" s="44" t="s">
        <v>2076</v>
      </c>
      <c r="D503" s="45" t="s">
        <v>3932</v>
      </c>
    </row>
    <row r="504" spans="1:4" ht="47.25" customHeight="1" x14ac:dyDescent="0.25">
      <c r="A504" s="43" t="s">
        <v>2091</v>
      </c>
      <c r="B504" s="43" t="s">
        <v>5219</v>
      </c>
      <c r="C504" s="44" t="s">
        <v>5220</v>
      </c>
      <c r="D504" s="45" t="s">
        <v>3933</v>
      </c>
    </row>
    <row r="505" spans="1:4" ht="31.5" customHeight="1" x14ac:dyDescent="0.25">
      <c r="A505" s="43" t="s">
        <v>2096</v>
      </c>
      <c r="B505" s="43" t="s">
        <v>5221</v>
      </c>
      <c r="C505" s="44" t="s">
        <v>5222</v>
      </c>
      <c r="D505" s="45" t="s">
        <v>3934</v>
      </c>
    </row>
    <row r="506" spans="1:4" ht="63" customHeight="1" x14ac:dyDescent="0.25">
      <c r="A506" s="43" t="s">
        <v>2101</v>
      </c>
      <c r="B506" s="43" t="s">
        <v>5223</v>
      </c>
      <c r="C506" s="44" t="s">
        <v>369</v>
      </c>
      <c r="D506" s="45" t="s">
        <v>3935</v>
      </c>
    </row>
    <row r="507" spans="1:4" ht="31.5" customHeight="1" x14ac:dyDescent="0.25">
      <c r="A507" s="43" t="s">
        <v>2106</v>
      </c>
      <c r="B507" s="43" t="s">
        <v>5224</v>
      </c>
      <c r="C507" s="44" t="s">
        <v>3121</v>
      </c>
      <c r="D507" s="45" t="s">
        <v>3936</v>
      </c>
    </row>
    <row r="508" spans="1:4" ht="47.25" customHeight="1" x14ac:dyDescent="0.25">
      <c r="A508" s="43" t="s">
        <v>2110</v>
      </c>
      <c r="B508" s="43" t="s">
        <v>5225</v>
      </c>
      <c r="C508" s="44" t="s">
        <v>3121</v>
      </c>
      <c r="D508" s="45" t="s">
        <v>3937</v>
      </c>
    </row>
    <row r="509" spans="1:4" ht="63" customHeight="1" x14ac:dyDescent="0.25">
      <c r="A509" s="43" t="s">
        <v>2114</v>
      </c>
      <c r="B509" s="43" t="s">
        <v>5226</v>
      </c>
      <c r="C509" s="44" t="s">
        <v>5227</v>
      </c>
      <c r="D509" s="45" t="s">
        <v>3938</v>
      </c>
    </row>
    <row r="510" spans="1:4" ht="47.25" customHeight="1" x14ac:dyDescent="0.25">
      <c r="A510" s="43" t="s">
        <v>2118</v>
      </c>
      <c r="B510" s="43" t="s">
        <v>5228</v>
      </c>
      <c r="C510" s="44" t="s">
        <v>168</v>
      </c>
      <c r="D510" s="45" t="s">
        <v>3939</v>
      </c>
    </row>
    <row r="511" spans="1:4" ht="78.75" customHeight="1" x14ac:dyDescent="0.25">
      <c r="A511" s="43" t="s">
        <v>2122</v>
      </c>
      <c r="B511" s="43" t="s">
        <v>5229</v>
      </c>
      <c r="C511" s="44" t="s">
        <v>1441</v>
      </c>
      <c r="D511" s="45" t="s">
        <v>3940</v>
      </c>
    </row>
    <row r="512" spans="1:4" ht="63" customHeight="1" x14ac:dyDescent="0.25">
      <c r="A512" s="43" t="s">
        <v>2128</v>
      </c>
      <c r="B512" s="43" t="s">
        <v>5230</v>
      </c>
      <c r="C512" s="44" t="s">
        <v>5231</v>
      </c>
      <c r="D512" s="45" t="s">
        <v>3941</v>
      </c>
    </row>
    <row r="513" spans="1:4" ht="63" customHeight="1" x14ac:dyDescent="0.25">
      <c r="A513" s="43" t="s">
        <v>2133</v>
      </c>
      <c r="B513" s="43" t="s">
        <v>5232</v>
      </c>
      <c r="C513" s="44" t="s">
        <v>1300</v>
      </c>
      <c r="D513" s="45" t="s">
        <v>3942</v>
      </c>
    </row>
    <row r="514" spans="1:4" ht="31.5" customHeight="1" x14ac:dyDescent="0.25">
      <c r="A514" s="43" t="s">
        <v>2136</v>
      </c>
      <c r="B514" s="43" t="s">
        <v>5233</v>
      </c>
      <c r="C514" s="44" t="s">
        <v>1732</v>
      </c>
      <c r="D514" s="45" t="s">
        <v>3943</v>
      </c>
    </row>
    <row r="515" spans="1:4" ht="31.5" customHeight="1" x14ac:dyDescent="0.25">
      <c r="A515" s="43" t="s">
        <v>2140</v>
      </c>
      <c r="B515" s="43" t="s">
        <v>5234</v>
      </c>
      <c r="C515" s="44" t="s">
        <v>100</v>
      </c>
      <c r="D515" s="45" t="s">
        <v>3944</v>
      </c>
    </row>
    <row r="516" spans="1:4" ht="31.5" customHeight="1" x14ac:dyDescent="0.25">
      <c r="A516" s="43" t="s">
        <v>2145</v>
      </c>
      <c r="B516" s="43" t="s">
        <v>5235</v>
      </c>
      <c r="C516" s="44" t="s">
        <v>4657</v>
      </c>
      <c r="D516" s="45" t="s">
        <v>3945</v>
      </c>
    </row>
    <row r="517" spans="1:4" ht="31.5" customHeight="1" x14ac:dyDescent="0.25">
      <c r="A517" s="43" t="s">
        <v>2149</v>
      </c>
      <c r="B517" s="43" t="s">
        <v>5236</v>
      </c>
      <c r="C517" s="44" t="s">
        <v>560</v>
      </c>
      <c r="D517" s="45" t="s">
        <v>3946</v>
      </c>
    </row>
    <row r="518" spans="1:4" ht="47.25" customHeight="1" x14ac:dyDescent="0.25">
      <c r="A518" s="43" t="s">
        <v>2153</v>
      </c>
      <c r="B518" s="43" t="s">
        <v>5237</v>
      </c>
      <c r="C518" s="44" t="s">
        <v>1673</v>
      </c>
      <c r="D518" s="45" t="s">
        <v>3947</v>
      </c>
    </row>
    <row r="519" spans="1:4" ht="31.5" customHeight="1" x14ac:dyDescent="0.25">
      <c r="A519" s="43" t="s">
        <v>2157</v>
      </c>
      <c r="B519" s="43" t="s">
        <v>5238</v>
      </c>
      <c r="C519" s="44" t="s">
        <v>2219</v>
      </c>
      <c r="D519" s="45" t="s">
        <v>3948</v>
      </c>
    </row>
    <row r="520" spans="1:4" ht="47.25" customHeight="1" x14ac:dyDescent="0.25">
      <c r="A520" s="43" t="s">
        <v>2162</v>
      </c>
      <c r="B520" s="43" t="s">
        <v>5239</v>
      </c>
      <c r="C520" s="44" t="s">
        <v>618</v>
      </c>
      <c r="D520" s="45" t="s">
        <v>3949</v>
      </c>
    </row>
    <row r="521" spans="1:4" ht="31.5" customHeight="1" x14ac:dyDescent="0.25">
      <c r="A521" s="43" t="s">
        <v>2166</v>
      </c>
      <c r="B521" s="43" t="s">
        <v>5240</v>
      </c>
      <c r="C521" s="44" t="s">
        <v>1893</v>
      </c>
      <c r="D521" s="45" t="s">
        <v>3950</v>
      </c>
    </row>
    <row r="522" spans="1:4" ht="47.25" customHeight="1" x14ac:dyDescent="0.25">
      <c r="A522" s="43" t="s">
        <v>2170</v>
      </c>
      <c r="B522" s="43" t="s">
        <v>5241</v>
      </c>
      <c r="C522" s="44" t="s">
        <v>1106</v>
      </c>
      <c r="D522" s="45" t="s">
        <v>3951</v>
      </c>
    </row>
    <row r="523" spans="1:4" ht="31.5" customHeight="1" x14ac:dyDescent="0.25">
      <c r="A523" s="43" t="s">
        <v>2175</v>
      </c>
      <c r="B523" s="43" t="s">
        <v>5242</v>
      </c>
      <c r="C523" s="44" t="s">
        <v>2921</v>
      </c>
      <c r="D523" s="45" t="s">
        <v>3952</v>
      </c>
    </row>
    <row r="524" spans="1:4" ht="31.5" customHeight="1" x14ac:dyDescent="0.25">
      <c r="A524" s="43" t="s">
        <v>2180</v>
      </c>
      <c r="B524" s="43" t="s">
        <v>5243</v>
      </c>
      <c r="C524" s="44" t="s">
        <v>379</v>
      </c>
      <c r="D524" s="45" t="s">
        <v>3953</v>
      </c>
    </row>
    <row r="525" spans="1:4" ht="31.5" customHeight="1" x14ac:dyDescent="0.25">
      <c r="A525" s="43" t="s">
        <v>2183</v>
      </c>
      <c r="B525" s="43" t="s">
        <v>5244</v>
      </c>
      <c r="C525" s="44" t="s">
        <v>468</v>
      </c>
      <c r="D525" s="45" t="s">
        <v>3954</v>
      </c>
    </row>
    <row r="526" spans="1:4" ht="47.25" customHeight="1" x14ac:dyDescent="0.25">
      <c r="A526" s="43" t="s">
        <v>2186</v>
      </c>
      <c r="B526" s="43" t="s">
        <v>5245</v>
      </c>
      <c r="C526" s="44" t="s">
        <v>5246</v>
      </c>
      <c r="D526" s="45" t="s">
        <v>3955</v>
      </c>
    </row>
    <row r="527" spans="1:4" ht="47.25" customHeight="1" x14ac:dyDescent="0.25">
      <c r="A527" s="43" t="s">
        <v>2191</v>
      </c>
      <c r="B527" s="43" t="s">
        <v>5247</v>
      </c>
      <c r="C527" s="44" t="s">
        <v>5248</v>
      </c>
      <c r="D527" s="45" t="s">
        <v>3956</v>
      </c>
    </row>
    <row r="528" spans="1:4" ht="47.25" customHeight="1" x14ac:dyDescent="0.25">
      <c r="A528" s="43" t="s">
        <v>2195</v>
      </c>
      <c r="B528" s="43" t="s">
        <v>5249</v>
      </c>
      <c r="C528" s="44" t="s">
        <v>2706</v>
      </c>
      <c r="D528" s="45" t="s">
        <v>3957</v>
      </c>
    </row>
    <row r="529" spans="1:4" ht="47.25" customHeight="1" x14ac:dyDescent="0.25">
      <c r="A529" s="43" t="s">
        <v>2198</v>
      </c>
      <c r="B529" s="43" t="s">
        <v>5250</v>
      </c>
      <c r="C529" s="44" t="s">
        <v>2706</v>
      </c>
      <c r="D529" s="45" t="s">
        <v>3958</v>
      </c>
    </row>
    <row r="530" spans="1:4" ht="47.25" customHeight="1" x14ac:dyDescent="0.25">
      <c r="A530" s="43" t="s">
        <v>2203</v>
      </c>
      <c r="B530" s="43" t="s">
        <v>5251</v>
      </c>
      <c r="C530" s="44" t="s">
        <v>2706</v>
      </c>
      <c r="D530" s="45" t="s">
        <v>3959</v>
      </c>
    </row>
    <row r="531" spans="1:4" ht="63" customHeight="1" x14ac:dyDescent="0.25">
      <c r="A531" s="43" t="s">
        <v>2207</v>
      </c>
      <c r="B531" s="43" t="s">
        <v>5252</v>
      </c>
      <c r="C531" s="44" t="s">
        <v>3055</v>
      </c>
      <c r="D531" s="45" t="s">
        <v>3960</v>
      </c>
    </row>
    <row r="532" spans="1:4" ht="47.25" customHeight="1" x14ac:dyDescent="0.25">
      <c r="A532" s="43" t="s">
        <v>2211</v>
      </c>
      <c r="B532" s="43" t="s">
        <v>5253</v>
      </c>
      <c r="C532" s="44" t="s">
        <v>744</v>
      </c>
      <c r="D532" s="45" t="s">
        <v>3961</v>
      </c>
    </row>
    <row r="533" spans="1:4" ht="47.25" customHeight="1" x14ac:dyDescent="0.25">
      <c r="A533" s="43" t="s">
        <v>2217</v>
      </c>
      <c r="B533" s="43" t="s">
        <v>5254</v>
      </c>
      <c r="C533" s="44" t="s">
        <v>2037</v>
      </c>
      <c r="D533" s="45" t="s">
        <v>3962</v>
      </c>
    </row>
    <row r="534" spans="1:4" ht="31.5" customHeight="1" x14ac:dyDescent="0.25">
      <c r="A534" s="43" t="s">
        <v>2222</v>
      </c>
      <c r="B534" s="43" t="s">
        <v>5255</v>
      </c>
      <c r="C534" s="44" t="s">
        <v>5256</v>
      </c>
      <c r="D534" s="45" t="s">
        <v>3963</v>
      </c>
    </row>
    <row r="535" spans="1:4" ht="31.5" customHeight="1" x14ac:dyDescent="0.25">
      <c r="A535" s="43" t="s">
        <v>2227</v>
      </c>
      <c r="B535" s="43" t="s">
        <v>5257</v>
      </c>
      <c r="C535" s="44" t="s">
        <v>3016</v>
      </c>
      <c r="D535" s="45" t="s">
        <v>3964</v>
      </c>
    </row>
    <row r="536" spans="1:4" ht="31.5" customHeight="1" x14ac:dyDescent="0.25">
      <c r="A536" s="43" t="s">
        <v>2232</v>
      </c>
      <c r="B536" s="43" t="s">
        <v>5258</v>
      </c>
      <c r="C536" s="44" t="s">
        <v>379</v>
      </c>
      <c r="D536" s="45" t="s">
        <v>3965</v>
      </c>
    </row>
    <row r="537" spans="1:4" ht="47.25" customHeight="1" x14ac:dyDescent="0.25">
      <c r="A537" s="43" t="s">
        <v>2238</v>
      </c>
      <c r="B537" s="43" t="s">
        <v>5259</v>
      </c>
      <c r="C537" s="44" t="s">
        <v>5260</v>
      </c>
      <c r="D537" s="45" t="s">
        <v>3966</v>
      </c>
    </row>
    <row r="538" spans="1:4" ht="47.25" customHeight="1" x14ac:dyDescent="0.25">
      <c r="A538" s="43" t="s">
        <v>2242</v>
      </c>
      <c r="B538" s="43" t="s">
        <v>5261</v>
      </c>
      <c r="C538" s="44" t="s">
        <v>1202</v>
      </c>
      <c r="D538" s="45" t="s">
        <v>3967</v>
      </c>
    </row>
    <row r="539" spans="1:4" ht="47.25" customHeight="1" x14ac:dyDescent="0.25">
      <c r="A539" s="43" t="s">
        <v>2247</v>
      </c>
      <c r="B539" s="43" t="s">
        <v>5262</v>
      </c>
      <c r="C539" s="44" t="s">
        <v>604</v>
      </c>
      <c r="D539" s="45" t="s">
        <v>3968</v>
      </c>
    </row>
    <row r="540" spans="1:4" ht="63" customHeight="1" x14ac:dyDescent="0.25">
      <c r="A540" s="43" t="s">
        <v>2250</v>
      </c>
      <c r="B540" s="43" t="s">
        <v>5263</v>
      </c>
      <c r="C540" s="44" t="s">
        <v>5264</v>
      </c>
      <c r="D540" s="45" t="s">
        <v>3969</v>
      </c>
    </row>
    <row r="541" spans="1:4" ht="47.25" customHeight="1" x14ac:dyDescent="0.25">
      <c r="A541" s="43" t="s">
        <v>2254</v>
      </c>
      <c r="B541" s="43" t="s">
        <v>5265</v>
      </c>
      <c r="C541" s="44" t="s">
        <v>5266</v>
      </c>
      <c r="D541" s="45" t="s">
        <v>3970</v>
      </c>
    </row>
    <row r="542" spans="1:4" ht="31.5" customHeight="1" x14ac:dyDescent="0.25">
      <c r="A542" s="43" t="s">
        <v>2259</v>
      </c>
      <c r="B542" s="43" t="s">
        <v>5267</v>
      </c>
      <c r="C542" s="44" t="s">
        <v>633</v>
      </c>
      <c r="D542" s="45" t="s">
        <v>3971</v>
      </c>
    </row>
    <row r="543" spans="1:4" ht="63" customHeight="1" x14ac:dyDescent="0.25">
      <c r="A543" s="43" t="s">
        <v>2264</v>
      </c>
      <c r="B543" s="43" t="s">
        <v>5268</v>
      </c>
      <c r="C543" s="44" t="s">
        <v>324</v>
      </c>
      <c r="D543" s="45" t="s">
        <v>3972</v>
      </c>
    </row>
    <row r="544" spans="1:4" ht="31.5" customHeight="1" x14ac:dyDescent="0.25">
      <c r="A544" s="43" t="s">
        <v>2270</v>
      </c>
      <c r="B544" s="43" t="s">
        <v>5269</v>
      </c>
      <c r="C544" s="44" t="s">
        <v>302</v>
      </c>
      <c r="D544" s="45" t="s">
        <v>3973</v>
      </c>
    </row>
    <row r="545" spans="1:4" ht="47.25" customHeight="1" x14ac:dyDescent="0.25">
      <c r="A545" s="43" t="s">
        <v>2275</v>
      </c>
      <c r="B545" s="43" t="s">
        <v>5270</v>
      </c>
      <c r="C545" s="44" t="s">
        <v>786</v>
      </c>
      <c r="D545" s="45" t="s">
        <v>3974</v>
      </c>
    </row>
    <row r="546" spans="1:4" ht="47.25" customHeight="1" x14ac:dyDescent="0.25">
      <c r="A546" s="43" t="s">
        <v>2280</v>
      </c>
      <c r="B546" s="43" t="s">
        <v>5271</v>
      </c>
      <c r="C546" s="44" t="s">
        <v>1503</v>
      </c>
      <c r="D546" s="45" t="s">
        <v>3975</v>
      </c>
    </row>
    <row r="547" spans="1:4" ht="47.25" customHeight="1" x14ac:dyDescent="0.25">
      <c r="A547" s="43" t="s">
        <v>2285</v>
      </c>
      <c r="B547" s="43" t="s">
        <v>5272</v>
      </c>
      <c r="C547" s="44" t="s">
        <v>2059</v>
      </c>
      <c r="D547" s="45" t="s">
        <v>3976</v>
      </c>
    </row>
    <row r="548" spans="1:4" ht="47.25" customHeight="1" x14ac:dyDescent="0.25">
      <c r="A548" s="43" t="s">
        <v>2288</v>
      </c>
      <c r="B548" s="43" t="s">
        <v>5273</v>
      </c>
      <c r="C548" s="44" t="s">
        <v>4945</v>
      </c>
      <c r="D548" s="45" t="s">
        <v>3977</v>
      </c>
    </row>
    <row r="549" spans="1:4" ht="47.25" customHeight="1" x14ac:dyDescent="0.25">
      <c r="A549" s="43" t="s">
        <v>2292</v>
      </c>
      <c r="B549" s="43" t="s">
        <v>5274</v>
      </c>
      <c r="C549" s="44" t="s">
        <v>5275</v>
      </c>
      <c r="D549" s="45" t="s">
        <v>3978</v>
      </c>
    </row>
    <row r="550" spans="1:4" ht="63" customHeight="1" x14ac:dyDescent="0.25">
      <c r="A550" s="43" t="s">
        <v>2297</v>
      </c>
      <c r="B550" s="43" t="s">
        <v>5276</v>
      </c>
      <c r="C550" s="44" t="s">
        <v>489</v>
      </c>
      <c r="D550" s="45" t="s">
        <v>3979</v>
      </c>
    </row>
    <row r="551" spans="1:4" ht="78.75" customHeight="1" x14ac:dyDescent="0.25">
      <c r="A551" s="43" t="s">
        <v>2301</v>
      </c>
      <c r="B551" s="43" t="s">
        <v>5277</v>
      </c>
      <c r="C551" s="44" t="s">
        <v>2037</v>
      </c>
      <c r="D551" s="45" t="s">
        <v>3980</v>
      </c>
    </row>
    <row r="552" spans="1:4" ht="63" customHeight="1" x14ac:dyDescent="0.25">
      <c r="A552" s="43" t="s">
        <v>2305</v>
      </c>
      <c r="B552" s="43" t="s">
        <v>5278</v>
      </c>
      <c r="C552" s="44" t="s">
        <v>5275</v>
      </c>
      <c r="D552" s="45" t="s">
        <v>3981</v>
      </c>
    </row>
    <row r="553" spans="1:4" ht="47.25" customHeight="1" x14ac:dyDescent="0.25">
      <c r="A553" s="43" t="s">
        <v>2310</v>
      </c>
      <c r="B553" s="43" t="s">
        <v>5279</v>
      </c>
      <c r="C553" s="44" t="s">
        <v>5028</v>
      </c>
      <c r="D553" s="45" t="s">
        <v>3878</v>
      </c>
    </row>
    <row r="554" spans="1:4" ht="47.25" customHeight="1" x14ac:dyDescent="0.25">
      <c r="A554" s="43" t="s">
        <v>2315</v>
      </c>
      <c r="B554" s="43" t="s">
        <v>5280</v>
      </c>
      <c r="C554" s="44" t="s">
        <v>358</v>
      </c>
      <c r="D554" s="45" t="s">
        <v>3982</v>
      </c>
    </row>
    <row r="555" spans="1:4" ht="63" customHeight="1" x14ac:dyDescent="0.25">
      <c r="A555" s="43" t="s">
        <v>2320</v>
      </c>
      <c r="B555" s="43" t="s">
        <v>5281</v>
      </c>
      <c r="C555" s="44" t="s">
        <v>5282</v>
      </c>
      <c r="D555" s="45" t="s">
        <v>3983</v>
      </c>
    </row>
    <row r="556" spans="1:4" ht="63" customHeight="1" x14ac:dyDescent="0.25">
      <c r="A556" s="43" t="s">
        <v>2324</v>
      </c>
      <c r="B556" s="43" t="s">
        <v>5283</v>
      </c>
      <c r="C556" s="44" t="s">
        <v>5264</v>
      </c>
      <c r="D556" s="45" t="s">
        <v>3984</v>
      </c>
    </row>
    <row r="557" spans="1:4" ht="63" customHeight="1" x14ac:dyDescent="0.25">
      <c r="A557" s="43" t="s">
        <v>2327</v>
      </c>
      <c r="B557" s="43" t="s">
        <v>5284</v>
      </c>
      <c r="C557" s="44" t="s">
        <v>1658</v>
      </c>
      <c r="D557" s="45" t="s">
        <v>3985</v>
      </c>
    </row>
    <row r="558" spans="1:4" ht="78.75" customHeight="1" x14ac:dyDescent="0.25">
      <c r="A558" s="43" t="s">
        <v>2332</v>
      </c>
      <c r="B558" s="43" t="s">
        <v>5285</v>
      </c>
      <c r="C558" s="44" t="s">
        <v>809</v>
      </c>
      <c r="D558" s="45" t="s">
        <v>3986</v>
      </c>
    </row>
    <row r="559" spans="1:4" ht="31.5" customHeight="1" x14ac:dyDescent="0.25">
      <c r="A559" s="43" t="s">
        <v>2335</v>
      </c>
      <c r="B559" s="43" t="s">
        <v>5286</v>
      </c>
      <c r="C559" s="44" t="s">
        <v>5287</v>
      </c>
      <c r="D559" s="45" t="s">
        <v>3987</v>
      </c>
    </row>
    <row r="560" spans="1:4" ht="47.25" customHeight="1" x14ac:dyDescent="0.25">
      <c r="A560" s="43" t="s">
        <v>2339</v>
      </c>
      <c r="B560" s="43" t="s">
        <v>5288</v>
      </c>
      <c r="C560" s="44" t="s">
        <v>358</v>
      </c>
      <c r="D560" s="45" t="s">
        <v>3988</v>
      </c>
    </row>
    <row r="561" spans="1:4" ht="31.5" customHeight="1" x14ac:dyDescent="0.25">
      <c r="A561" s="43" t="s">
        <v>2344</v>
      </c>
      <c r="B561" s="43" t="s">
        <v>5289</v>
      </c>
      <c r="C561" s="44" t="s">
        <v>1321</v>
      </c>
      <c r="D561" s="45" t="s">
        <v>3989</v>
      </c>
    </row>
    <row r="562" spans="1:4" ht="47.25" customHeight="1" x14ac:dyDescent="0.25">
      <c r="A562" s="43" t="s">
        <v>2349</v>
      </c>
      <c r="B562" s="43" t="s">
        <v>5290</v>
      </c>
      <c r="C562" s="44" t="s">
        <v>363</v>
      </c>
      <c r="D562" s="45" t="s">
        <v>3990</v>
      </c>
    </row>
    <row r="563" spans="1:4" ht="31.5" customHeight="1" x14ac:dyDescent="0.25">
      <c r="A563" s="43" t="s">
        <v>2353</v>
      </c>
      <c r="B563" s="43" t="s">
        <v>5291</v>
      </c>
      <c r="C563" s="44" t="s">
        <v>5292</v>
      </c>
      <c r="D563" s="45" t="s">
        <v>3991</v>
      </c>
    </row>
    <row r="564" spans="1:4" ht="31.5" customHeight="1" x14ac:dyDescent="0.25">
      <c r="A564" s="43" t="s">
        <v>2357</v>
      </c>
      <c r="B564" s="43" t="s">
        <v>5293</v>
      </c>
      <c r="C564" s="44" t="s">
        <v>1658</v>
      </c>
      <c r="D564" s="45" t="s">
        <v>3992</v>
      </c>
    </row>
    <row r="565" spans="1:4" ht="31.5" customHeight="1" x14ac:dyDescent="0.25">
      <c r="A565" s="43" t="s">
        <v>2361</v>
      </c>
      <c r="B565" s="43" t="s">
        <v>5294</v>
      </c>
      <c r="C565" s="44" t="s">
        <v>369</v>
      </c>
      <c r="D565" s="45" t="s">
        <v>3993</v>
      </c>
    </row>
    <row r="566" spans="1:4" ht="31.5" customHeight="1" x14ac:dyDescent="0.25">
      <c r="A566" s="43" t="s">
        <v>2365</v>
      </c>
      <c r="B566" s="43" t="s">
        <v>5295</v>
      </c>
      <c r="C566" s="44" t="s">
        <v>5296</v>
      </c>
      <c r="D566" s="45" t="s">
        <v>3994</v>
      </c>
    </row>
    <row r="567" spans="1:4" ht="47.25" customHeight="1" x14ac:dyDescent="0.25">
      <c r="A567" s="43" t="s">
        <v>2370</v>
      </c>
      <c r="B567" s="43" t="s">
        <v>5297</v>
      </c>
      <c r="C567" s="44" t="s">
        <v>560</v>
      </c>
      <c r="D567" s="45" t="s">
        <v>3995</v>
      </c>
    </row>
    <row r="568" spans="1:4" ht="31.5" customHeight="1" x14ac:dyDescent="0.25">
      <c r="A568" s="43" t="s">
        <v>2374</v>
      </c>
      <c r="B568" s="43" t="s">
        <v>5298</v>
      </c>
      <c r="C568" s="44" t="s">
        <v>1321</v>
      </c>
      <c r="D568" s="45" t="s">
        <v>3996</v>
      </c>
    </row>
    <row r="569" spans="1:4" ht="31.5" customHeight="1" x14ac:dyDescent="0.25">
      <c r="A569" s="43" t="s">
        <v>2378</v>
      </c>
      <c r="B569" s="43" t="s">
        <v>5299</v>
      </c>
      <c r="C569" s="44" t="s">
        <v>2960</v>
      </c>
      <c r="D569" s="45" t="s">
        <v>3997</v>
      </c>
    </row>
    <row r="570" spans="1:4" ht="47.25" customHeight="1" x14ac:dyDescent="0.25">
      <c r="A570" s="43" t="s">
        <v>2381</v>
      </c>
      <c r="B570" s="43" t="s">
        <v>5300</v>
      </c>
      <c r="C570" s="44" t="s">
        <v>5209</v>
      </c>
      <c r="D570" s="45" t="s">
        <v>3998</v>
      </c>
    </row>
    <row r="571" spans="1:4" ht="47.25" customHeight="1" x14ac:dyDescent="0.25">
      <c r="A571" s="43" t="s">
        <v>2385</v>
      </c>
      <c r="B571" s="43" t="s">
        <v>5301</v>
      </c>
      <c r="C571" s="44" t="s">
        <v>1329</v>
      </c>
      <c r="D571" s="45" t="s">
        <v>3999</v>
      </c>
    </row>
    <row r="572" spans="1:4" ht="31.5" customHeight="1" x14ac:dyDescent="0.25">
      <c r="A572" s="43" t="s">
        <v>2389</v>
      </c>
      <c r="B572" s="43" t="s">
        <v>5302</v>
      </c>
      <c r="C572" s="44" t="s">
        <v>5296</v>
      </c>
      <c r="D572" s="45" t="s">
        <v>4000</v>
      </c>
    </row>
    <row r="573" spans="1:4" ht="63" customHeight="1" x14ac:dyDescent="0.25">
      <c r="A573" s="43" t="s">
        <v>2393</v>
      </c>
      <c r="B573" s="43" t="s">
        <v>5303</v>
      </c>
      <c r="C573" s="44" t="s">
        <v>5260</v>
      </c>
      <c r="D573" s="45" t="s">
        <v>4001</v>
      </c>
    </row>
    <row r="574" spans="1:4" ht="47.25" customHeight="1" x14ac:dyDescent="0.25">
      <c r="A574" s="43" t="s">
        <v>2397</v>
      </c>
      <c r="B574" s="43" t="s">
        <v>5304</v>
      </c>
      <c r="C574" s="44" t="s">
        <v>379</v>
      </c>
      <c r="D574" s="45" t="s">
        <v>4002</v>
      </c>
    </row>
    <row r="575" spans="1:4" ht="47.25" customHeight="1" x14ac:dyDescent="0.25">
      <c r="A575" s="43" t="s">
        <v>2400</v>
      </c>
      <c r="B575" s="43" t="s">
        <v>5305</v>
      </c>
      <c r="C575" s="44" t="s">
        <v>4760</v>
      </c>
      <c r="D575" s="45" t="s">
        <v>4003</v>
      </c>
    </row>
    <row r="576" spans="1:4" ht="63" customHeight="1" x14ac:dyDescent="0.25">
      <c r="A576" s="43" t="s">
        <v>2405</v>
      </c>
      <c r="B576" s="43" t="s">
        <v>5306</v>
      </c>
      <c r="C576" s="44" t="s">
        <v>744</v>
      </c>
      <c r="D576" s="45" t="s">
        <v>4004</v>
      </c>
    </row>
    <row r="577" spans="1:4" ht="94.5" customHeight="1" x14ac:dyDescent="0.25">
      <c r="A577" s="43" t="s">
        <v>2409</v>
      </c>
      <c r="B577" s="43" t="s">
        <v>5307</v>
      </c>
      <c r="C577" s="44" t="s">
        <v>324</v>
      </c>
      <c r="D577" s="45" t="s">
        <v>4005</v>
      </c>
    </row>
    <row r="578" spans="1:4" ht="110.25" customHeight="1" x14ac:dyDescent="0.25">
      <c r="A578" s="43" t="s">
        <v>2414</v>
      </c>
      <c r="B578" s="43" t="s">
        <v>5308</v>
      </c>
      <c r="C578" s="44" t="s">
        <v>795</v>
      </c>
      <c r="D578" s="45" t="s">
        <v>4006</v>
      </c>
    </row>
    <row r="579" spans="1:4" ht="47.25" customHeight="1" x14ac:dyDescent="0.25">
      <c r="A579" s="43" t="s">
        <v>2419</v>
      </c>
      <c r="B579" s="43" t="s">
        <v>5309</v>
      </c>
      <c r="C579" s="44" t="s">
        <v>4628</v>
      </c>
      <c r="D579" s="45" t="s">
        <v>4007</v>
      </c>
    </row>
    <row r="580" spans="1:4" ht="63" customHeight="1" x14ac:dyDescent="0.25">
      <c r="A580" s="43" t="s">
        <v>2423</v>
      </c>
      <c r="B580" s="43" t="s">
        <v>5310</v>
      </c>
      <c r="C580" s="44" t="s">
        <v>5311</v>
      </c>
      <c r="D580" s="45" t="s">
        <v>4008</v>
      </c>
    </row>
    <row r="581" spans="1:4" ht="31.5" customHeight="1" x14ac:dyDescent="0.25">
      <c r="A581" s="43" t="s">
        <v>2429</v>
      </c>
      <c r="B581" s="43" t="s">
        <v>5312</v>
      </c>
      <c r="C581" s="44" t="s">
        <v>1329</v>
      </c>
      <c r="D581" s="45" t="s">
        <v>4009</v>
      </c>
    </row>
    <row r="582" spans="1:4" ht="47.25" customHeight="1" x14ac:dyDescent="0.25">
      <c r="A582" s="43" t="s">
        <v>2433</v>
      </c>
      <c r="B582" s="43" t="s">
        <v>5313</v>
      </c>
      <c r="C582" s="44" t="s">
        <v>824</v>
      </c>
      <c r="D582" s="45" t="s">
        <v>4010</v>
      </c>
    </row>
    <row r="583" spans="1:4" ht="47.25" customHeight="1" x14ac:dyDescent="0.25">
      <c r="A583" s="43" t="s">
        <v>2437</v>
      </c>
      <c r="B583" s="43" t="s">
        <v>5314</v>
      </c>
      <c r="C583" s="44" t="s">
        <v>2508</v>
      </c>
      <c r="D583" s="45" t="s">
        <v>4011</v>
      </c>
    </row>
    <row r="584" spans="1:4" ht="47.25" customHeight="1" x14ac:dyDescent="0.25">
      <c r="A584" s="43" t="s">
        <v>2442</v>
      </c>
      <c r="B584" s="43" t="s">
        <v>5315</v>
      </c>
      <c r="C584" s="44" t="s">
        <v>2921</v>
      </c>
      <c r="D584" s="45" t="s">
        <v>4012</v>
      </c>
    </row>
    <row r="585" spans="1:4" ht="47.25" customHeight="1" x14ac:dyDescent="0.25">
      <c r="A585" s="43" t="s">
        <v>2445</v>
      </c>
      <c r="B585" s="43" t="s">
        <v>5316</v>
      </c>
      <c r="C585" s="44" t="s">
        <v>5317</v>
      </c>
      <c r="D585" s="45" t="s">
        <v>4013</v>
      </c>
    </row>
    <row r="586" spans="1:4" ht="63" customHeight="1" x14ac:dyDescent="0.25">
      <c r="A586" s="43" t="s">
        <v>2448</v>
      </c>
      <c r="B586" s="43" t="s">
        <v>5318</v>
      </c>
      <c r="C586" s="44" t="s">
        <v>1087</v>
      </c>
      <c r="D586" s="45" t="s">
        <v>4014</v>
      </c>
    </row>
    <row r="587" spans="1:4" ht="31.5" customHeight="1" x14ac:dyDescent="0.25">
      <c r="A587" s="43" t="s">
        <v>2453</v>
      </c>
      <c r="B587" s="43" t="s">
        <v>5319</v>
      </c>
      <c r="C587" s="44" t="s">
        <v>5320</v>
      </c>
      <c r="D587" s="45" t="s">
        <v>4015</v>
      </c>
    </row>
    <row r="588" spans="1:4" ht="63" customHeight="1" x14ac:dyDescent="0.25">
      <c r="A588" s="43" t="s">
        <v>2457</v>
      </c>
      <c r="B588" s="43" t="s">
        <v>5321</v>
      </c>
      <c r="C588" s="44" t="s">
        <v>4880</v>
      </c>
      <c r="D588" s="45" t="s">
        <v>4016</v>
      </c>
    </row>
    <row r="589" spans="1:4" ht="47.25" customHeight="1" x14ac:dyDescent="0.25">
      <c r="A589" s="43" t="s">
        <v>2462</v>
      </c>
      <c r="B589" s="43" t="s">
        <v>5322</v>
      </c>
      <c r="C589" s="44" t="s">
        <v>5323</v>
      </c>
      <c r="D589" s="45" t="s">
        <v>4017</v>
      </c>
    </row>
    <row r="590" spans="1:4" ht="31.5" customHeight="1" x14ac:dyDescent="0.25">
      <c r="A590" s="43" t="s">
        <v>2466</v>
      </c>
      <c r="B590" s="43" t="s">
        <v>5324</v>
      </c>
      <c r="C590" s="44" t="s">
        <v>578</v>
      </c>
      <c r="D590" s="45" t="s">
        <v>4018</v>
      </c>
    </row>
    <row r="591" spans="1:4" ht="47.25" customHeight="1" x14ac:dyDescent="0.25">
      <c r="A591" s="43" t="s">
        <v>2472</v>
      </c>
      <c r="B591" s="43" t="s">
        <v>5325</v>
      </c>
      <c r="C591" s="44" t="s">
        <v>5326</v>
      </c>
      <c r="D591" s="45" t="s">
        <v>4019</v>
      </c>
    </row>
    <row r="592" spans="1:4" ht="47.25" customHeight="1" x14ac:dyDescent="0.25">
      <c r="A592" s="43" t="s">
        <v>2475</v>
      </c>
      <c r="B592" s="43" t="s">
        <v>5327</v>
      </c>
      <c r="C592" s="44" t="s">
        <v>3121</v>
      </c>
      <c r="D592" s="45" t="s">
        <v>4020</v>
      </c>
    </row>
    <row r="593" spans="1:4" ht="47.25" customHeight="1" x14ac:dyDescent="0.25">
      <c r="A593" s="43" t="s">
        <v>2479</v>
      </c>
      <c r="B593" s="43" t="s">
        <v>5328</v>
      </c>
      <c r="C593" s="44" t="s">
        <v>3016</v>
      </c>
      <c r="D593" s="45" t="s">
        <v>4021</v>
      </c>
    </row>
    <row r="594" spans="1:4" ht="47.25" customHeight="1" x14ac:dyDescent="0.25">
      <c r="A594" s="43" t="s">
        <v>2483</v>
      </c>
      <c r="B594" s="43" t="s">
        <v>5329</v>
      </c>
      <c r="C594" s="44" t="s">
        <v>752</v>
      </c>
      <c r="D594" s="45" t="s">
        <v>4022</v>
      </c>
    </row>
    <row r="595" spans="1:4" ht="31.5" customHeight="1" x14ac:dyDescent="0.25">
      <c r="A595" s="43" t="s">
        <v>2487</v>
      </c>
      <c r="B595" s="43" t="s">
        <v>5330</v>
      </c>
      <c r="C595" s="44" t="s">
        <v>5331</v>
      </c>
      <c r="D595" s="45" t="s">
        <v>4023</v>
      </c>
    </row>
    <row r="596" spans="1:4" ht="63" customHeight="1" x14ac:dyDescent="0.25">
      <c r="A596" s="43" t="s">
        <v>2491</v>
      </c>
      <c r="B596" s="43" t="s">
        <v>5332</v>
      </c>
      <c r="C596" s="44" t="s">
        <v>924</v>
      </c>
      <c r="D596" s="45" t="s">
        <v>4024</v>
      </c>
    </row>
    <row r="597" spans="1:4" ht="31.5" customHeight="1" x14ac:dyDescent="0.25">
      <c r="A597" s="43" t="s">
        <v>2495</v>
      </c>
      <c r="B597" s="43" t="s">
        <v>5333</v>
      </c>
      <c r="C597" s="44" t="s">
        <v>5334</v>
      </c>
      <c r="D597" s="45" t="s">
        <v>4025</v>
      </c>
    </row>
    <row r="598" spans="1:4" ht="63" customHeight="1" x14ac:dyDescent="0.25">
      <c r="A598" s="43" t="s">
        <v>2500</v>
      </c>
      <c r="B598" s="43" t="s">
        <v>5335</v>
      </c>
      <c r="C598" s="44" t="s">
        <v>5334</v>
      </c>
      <c r="D598" s="45" t="s">
        <v>4026</v>
      </c>
    </row>
    <row r="599" spans="1:4" ht="31.5" customHeight="1" x14ac:dyDescent="0.25">
      <c r="A599" s="43" t="s">
        <v>2506</v>
      </c>
      <c r="B599" s="43" t="s">
        <v>5336</v>
      </c>
      <c r="C599" s="44" t="s">
        <v>519</v>
      </c>
      <c r="D599" s="45" t="s">
        <v>4027</v>
      </c>
    </row>
    <row r="600" spans="1:4" ht="31.5" customHeight="1" x14ac:dyDescent="0.25">
      <c r="A600" s="43" t="s">
        <v>2511</v>
      </c>
      <c r="B600" s="43" t="s">
        <v>5337</v>
      </c>
      <c r="C600" s="44" t="s">
        <v>519</v>
      </c>
      <c r="D600" s="45" t="s">
        <v>4028</v>
      </c>
    </row>
    <row r="601" spans="1:4" ht="47.25" customHeight="1" x14ac:dyDescent="0.25">
      <c r="A601" s="43" t="s">
        <v>2516</v>
      </c>
      <c r="B601" s="43" t="s">
        <v>5338</v>
      </c>
      <c r="C601" s="44" t="s">
        <v>1594</v>
      </c>
      <c r="D601" s="45" t="s">
        <v>4029</v>
      </c>
    </row>
    <row r="602" spans="1:4" ht="31.5" customHeight="1" x14ac:dyDescent="0.25">
      <c r="A602" s="43" t="s">
        <v>2520</v>
      </c>
      <c r="B602" s="43" t="s">
        <v>5339</v>
      </c>
      <c r="C602" s="44" t="s">
        <v>809</v>
      </c>
      <c r="D602" s="45" t="s">
        <v>4030</v>
      </c>
    </row>
    <row r="603" spans="1:4" ht="31.5" customHeight="1" x14ac:dyDescent="0.25">
      <c r="A603" s="43" t="s">
        <v>2525</v>
      </c>
      <c r="B603" s="43" t="s">
        <v>5340</v>
      </c>
      <c r="C603" s="44" t="s">
        <v>795</v>
      </c>
      <c r="D603" s="45" t="s">
        <v>4031</v>
      </c>
    </row>
    <row r="604" spans="1:4" ht="31.5" customHeight="1" x14ac:dyDescent="0.25">
      <c r="A604" s="43" t="s">
        <v>2529</v>
      </c>
      <c r="B604" s="43" t="s">
        <v>5341</v>
      </c>
      <c r="C604" s="44" t="s">
        <v>279</v>
      </c>
      <c r="D604" s="45" t="s">
        <v>4032</v>
      </c>
    </row>
    <row r="605" spans="1:4" ht="31.5" customHeight="1" x14ac:dyDescent="0.25">
      <c r="A605" s="43" t="s">
        <v>2533</v>
      </c>
      <c r="B605" s="43" t="s">
        <v>5342</v>
      </c>
      <c r="C605" s="44" t="s">
        <v>578</v>
      </c>
      <c r="D605" s="45" t="s">
        <v>4033</v>
      </c>
    </row>
    <row r="606" spans="1:4" ht="31.5" customHeight="1" x14ac:dyDescent="0.25">
      <c r="A606" s="43" t="s">
        <v>2538</v>
      </c>
      <c r="B606" s="43" t="s">
        <v>5343</v>
      </c>
      <c r="C606" s="44" t="s">
        <v>578</v>
      </c>
      <c r="D606" s="45" t="s">
        <v>4034</v>
      </c>
    </row>
    <row r="607" spans="1:4" ht="47.25" customHeight="1" x14ac:dyDescent="0.25">
      <c r="A607" s="43" t="s">
        <v>2542</v>
      </c>
      <c r="B607" s="43" t="s">
        <v>5344</v>
      </c>
      <c r="C607" s="44" t="s">
        <v>5345</v>
      </c>
      <c r="D607" s="45" t="s">
        <v>4035</v>
      </c>
    </row>
    <row r="608" spans="1:4" ht="31.5" customHeight="1" x14ac:dyDescent="0.25">
      <c r="A608" s="43" t="s">
        <v>2546</v>
      </c>
      <c r="B608" s="43" t="s">
        <v>5346</v>
      </c>
      <c r="C608" s="44" t="s">
        <v>269</v>
      </c>
      <c r="D608" s="45" t="s">
        <v>4036</v>
      </c>
    </row>
    <row r="609" spans="1:4" ht="47.25" customHeight="1" x14ac:dyDescent="0.25">
      <c r="A609" s="43" t="s">
        <v>2551</v>
      </c>
      <c r="B609" s="43" t="s">
        <v>5347</v>
      </c>
      <c r="C609" s="44" t="s">
        <v>2921</v>
      </c>
      <c r="D609" s="45" t="s">
        <v>4037</v>
      </c>
    </row>
    <row r="610" spans="1:4" ht="31.5" customHeight="1" x14ac:dyDescent="0.25">
      <c r="A610" s="43" t="s">
        <v>2557</v>
      </c>
      <c r="B610" s="43" t="s">
        <v>5348</v>
      </c>
      <c r="C610" s="44" t="s">
        <v>2402</v>
      </c>
      <c r="D610" s="45" t="s">
        <v>4038</v>
      </c>
    </row>
    <row r="611" spans="1:4" ht="47.25" customHeight="1" x14ac:dyDescent="0.25">
      <c r="A611" s="43" t="s">
        <v>2561</v>
      </c>
      <c r="B611" s="43" t="s">
        <v>5349</v>
      </c>
      <c r="C611" s="44" t="s">
        <v>1063</v>
      </c>
      <c r="D611" s="45" t="s">
        <v>4039</v>
      </c>
    </row>
    <row r="612" spans="1:4" ht="47.25" customHeight="1" x14ac:dyDescent="0.25">
      <c r="A612" s="43" t="s">
        <v>2565</v>
      </c>
      <c r="B612" s="43" t="s">
        <v>5350</v>
      </c>
      <c r="C612" s="44" t="s">
        <v>5351</v>
      </c>
      <c r="D612" s="45" t="s">
        <v>4040</v>
      </c>
    </row>
    <row r="613" spans="1:4" ht="47.25" customHeight="1" x14ac:dyDescent="0.25">
      <c r="A613" s="43" t="s">
        <v>2568</v>
      </c>
      <c r="B613" s="43" t="s">
        <v>5352</v>
      </c>
      <c r="C613" s="44" t="s">
        <v>260</v>
      </c>
      <c r="D613" s="45" t="s">
        <v>4041</v>
      </c>
    </row>
    <row r="614" spans="1:4" ht="31.5" customHeight="1" x14ac:dyDescent="0.25">
      <c r="A614" s="43" t="s">
        <v>2572</v>
      </c>
      <c r="B614" s="43" t="s">
        <v>5353</v>
      </c>
      <c r="C614" s="44" t="s">
        <v>5354</v>
      </c>
      <c r="D614" s="45" t="s">
        <v>4042</v>
      </c>
    </row>
    <row r="615" spans="1:4" ht="31.5" customHeight="1" x14ac:dyDescent="0.25">
      <c r="A615" s="43" t="s">
        <v>2576</v>
      </c>
      <c r="B615" s="43" t="s">
        <v>5355</v>
      </c>
      <c r="C615" s="44" t="s">
        <v>5356</v>
      </c>
      <c r="D615" s="45" t="s">
        <v>4043</v>
      </c>
    </row>
    <row r="616" spans="1:4" ht="47.25" customHeight="1" x14ac:dyDescent="0.25">
      <c r="A616" s="43" t="s">
        <v>2580</v>
      </c>
      <c r="B616" s="43" t="s">
        <v>5357</v>
      </c>
      <c r="C616" s="44" t="s">
        <v>809</v>
      </c>
      <c r="D616" s="45" t="s">
        <v>4044</v>
      </c>
    </row>
    <row r="617" spans="1:4" ht="31.5" customHeight="1" x14ac:dyDescent="0.25">
      <c r="A617" s="43" t="s">
        <v>2584</v>
      </c>
      <c r="B617" s="43" t="s">
        <v>5358</v>
      </c>
      <c r="C617" s="44" t="s">
        <v>5359</v>
      </c>
      <c r="D617" s="45" t="s">
        <v>4045</v>
      </c>
    </row>
    <row r="618" spans="1:4" ht="31.5" customHeight="1" x14ac:dyDescent="0.25">
      <c r="A618" s="43" t="s">
        <v>2589</v>
      </c>
      <c r="B618" s="43" t="s">
        <v>5360</v>
      </c>
      <c r="C618" s="44" t="s">
        <v>1228</v>
      </c>
      <c r="D618" s="45" t="s">
        <v>4046</v>
      </c>
    </row>
    <row r="619" spans="1:4" ht="78.75" customHeight="1" x14ac:dyDescent="0.25">
      <c r="A619" s="43" t="s">
        <v>2592</v>
      </c>
      <c r="B619" s="43" t="s">
        <v>5361</v>
      </c>
      <c r="C619" s="44" t="s">
        <v>681</v>
      </c>
      <c r="D619" s="45" t="s">
        <v>4047</v>
      </c>
    </row>
    <row r="620" spans="1:4" ht="47.25" customHeight="1" x14ac:dyDescent="0.25">
      <c r="A620" s="43" t="s">
        <v>2597</v>
      </c>
      <c r="B620" s="43" t="s">
        <v>5362</v>
      </c>
      <c r="C620" s="44" t="s">
        <v>4969</v>
      </c>
      <c r="D620" s="45" t="s">
        <v>4048</v>
      </c>
    </row>
    <row r="621" spans="1:4" ht="47.25" customHeight="1" x14ac:dyDescent="0.25">
      <c r="A621" s="43" t="s">
        <v>2601</v>
      </c>
      <c r="B621" s="43" t="s">
        <v>5363</v>
      </c>
      <c r="C621" s="44" t="s">
        <v>560</v>
      </c>
      <c r="D621" s="45" t="s">
        <v>4049</v>
      </c>
    </row>
    <row r="622" spans="1:4" ht="31.5" customHeight="1" x14ac:dyDescent="0.25">
      <c r="A622" s="43" t="s">
        <v>2606</v>
      </c>
      <c r="B622" s="43" t="s">
        <v>5364</v>
      </c>
      <c r="C622" s="44" t="s">
        <v>221</v>
      </c>
      <c r="D622" s="45" t="s">
        <v>4050</v>
      </c>
    </row>
    <row r="623" spans="1:4" ht="63" customHeight="1" x14ac:dyDescent="0.25">
      <c r="A623" s="43" t="s">
        <v>2610</v>
      </c>
      <c r="B623" s="43" t="s">
        <v>5365</v>
      </c>
      <c r="C623" s="54" t="s">
        <v>5366</v>
      </c>
      <c r="D623" s="45" t="s">
        <v>4051</v>
      </c>
    </row>
    <row r="624" spans="1:4" ht="47.25" customHeight="1" x14ac:dyDescent="0.25">
      <c r="A624" s="43" t="s">
        <v>2614</v>
      </c>
      <c r="B624" s="43" t="s">
        <v>5367</v>
      </c>
      <c r="C624" s="44" t="s">
        <v>4603</v>
      </c>
      <c r="D624" s="45" t="s">
        <v>4052</v>
      </c>
    </row>
    <row r="625" spans="1:4" ht="47.25" customHeight="1" x14ac:dyDescent="0.25">
      <c r="A625" s="43" t="s">
        <v>2618</v>
      </c>
      <c r="B625" s="43" t="s">
        <v>5368</v>
      </c>
      <c r="C625" s="44" t="s">
        <v>1338</v>
      </c>
      <c r="D625" s="45" t="s">
        <v>4053</v>
      </c>
    </row>
    <row r="626" spans="1:4" ht="47.25" customHeight="1" x14ac:dyDescent="0.25">
      <c r="A626" s="43" t="s">
        <v>2622</v>
      </c>
      <c r="B626" s="43" t="s">
        <v>5369</v>
      </c>
      <c r="C626" s="44" t="s">
        <v>5370</v>
      </c>
      <c r="D626" s="45" t="s">
        <v>4054</v>
      </c>
    </row>
    <row r="627" spans="1:4" ht="31.5" customHeight="1" x14ac:dyDescent="0.25">
      <c r="A627" s="43" t="s">
        <v>2626</v>
      </c>
      <c r="B627" s="43" t="s">
        <v>5371</v>
      </c>
      <c r="C627" s="44" t="s">
        <v>369</v>
      </c>
      <c r="D627" s="45" t="s">
        <v>4055</v>
      </c>
    </row>
    <row r="628" spans="1:4" ht="31.5" customHeight="1" x14ac:dyDescent="0.25">
      <c r="A628" s="43" t="s">
        <v>2630</v>
      </c>
      <c r="B628" s="43" t="s">
        <v>5372</v>
      </c>
      <c r="C628" s="44" t="s">
        <v>3121</v>
      </c>
      <c r="D628" s="45" t="s">
        <v>4056</v>
      </c>
    </row>
    <row r="629" spans="1:4" ht="47.25" customHeight="1" x14ac:dyDescent="0.25">
      <c r="A629" s="43" t="s">
        <v>2635</v>
      </c>
      <c r="B629" s="43" t="s">
        <v>5373</v>
      </c>
      <c r="C629" s="44" t="s">
        <v>4876</v>
      </c>
      <c r="D629" s="45" t="s">
        <v>4057</v>
      </c>
    </row>
    <row r="630" spans="1:4" ht="47.25" customHeight="1" x14ac:dyDescent="0.25">
      <c r="A630" s="43" t="s">
        <v>2639</v>
      </c>
      <c r="B630" s="43" t="s">
        <v>5374</v>
      </c>
      <c r="C630" s="44" t="s">
        <v>5375</v>
      </c>
      <c r="D630" s="45" t="s">
        <v>4058</v>
      </c>
    </row>
    <row r="631" spans="1:4" ht="63" customHeight="1" x14ac:dyDescent="0.25">
      <c r="A631" s="43" t="s">
        <v>2643</v>
      </c>
      <c r="B631" s="43" t="s">
        <v>5376</v>
      </c>
      <c r="C631" s="44" t="s">
        <v>5215</v>
      </c>
      <c r="D631" s="45" t="s">
        <v>4059</v>
      </c>
    </row>
    <row r="632" spans="1:4" ht="47.25" customHeight="1" x14ac:dyDescent="0.25">
      <c r="A632" s="43" t="s">
        <v>2647</v>
      </c>
      <c r="B632" s="43" t="s">
        <v>5377</v>
      </c>
      <c r="C632" s="44" t="s">
        <v>296</v>
      </c>
      <c r="D632" s="45" t="s">
        <v>4060</v>
      </c>
    </row>
    <row r="633" spans="1:4" ht="47.25" customHeight="1" x14ac:dyDescent="0.25">
      <c r="A633" s="43" t="s">
        <v>2651</v>
      </c>
      <c r="B633" s="43" t="s">
        <v>5378</v>
      </c>
      <c r="C633" s="44" t="s">
        <v>5159</v>
      </c>
      <c r="D633" s="45" t="s">
        <v>4061</v>
      </c>
    </row>
    <row r="634" spans="1:4" ht="31.5" customHeight="1" x14ac:dyDescent="0.25">
      <c r="A634" s="43" t="s">
        <v>2656</v>
      </c>
      <c r="B634" s="43" t="s">
        <v>5379</v>
      </c>
      <c r="C634" s="44" t="s">
        <v>5334</v>
      </c>
      <c r="D634" s="45" t="s">
        <v>4062</v>
      </c>
    </row>
    <row r="635" spans="1:4" ht="31.5" customHeight="1" x14ac:dyDescent="0.25">
      <c r="A635" s="43" t="s">
        <v>2662</v>
      </c>
      <c r="B635" s="43" t="s">
        <v>5380</v>
      </c>
      <c r="C635" s="44" t="s">
        <v>4749</v>
      </c>
      <c r="D635" s="45" t="s">
        <v>4063</v>
      </c>
    </row>
    <row r="636" spans="1:4" ht="31.5" customHeight="1" x14ac:dyDescent="0.25">
      <c r="A636" s="43" t="s">
        <v>2666</v>
      </c>
      <c r="B636" s="43" t="s">
        <v>5381</v>
      </c>
      <c r="C636" s="44" t="s">
        <v>4749</v>
      </c>
      <c r="D636" s="45" t="s">
        <v>4064</v>
      </c>
    </row>
    <row r="637" spans="1:4" ht="63" customHeight="1" x14ac:dyDescent="0.25">
      <c r="A637" s="43" t="s">
        <v>2670</v>
      </c>
      <c r="B637" s="43" t="s">
        <v>5382</v>
      </c>
      <c r="C637" s="44" t="s">
        <v>1533</v>
      </c>
      <c r="D637" s="45" t="s">
        <v>4065</v>
      </c>
    </row>
    <row r="638" spans="1:4" ht="31.5" customHeight="1" x14ac:dyDescent="0.25">
      <c r="A638" s="43" t="s">
        <v>2675</v>
      </c>
      <c r="B638" s="43" t="s">
        <v>5383</v>
      </c>
      <c r="C638" s="44" t="s">
        <v>269</v>
      </c>
      <c r="D638" s="45" t="s">
        <v>4066</v>
      </c>
    </row>
    <row r="639" spans="1:4" ht="47.25" customHeight="1" x14ac:dyDescent="0.25">
      <c r="A639" s="43" t="s">
        <v>2679</v>
      </c>
      <c r="B639" s="43" t="s">
        <v>5384</v>
      </c>
      <c r="C639" s="44" t="s">
        <v>5385</v>
      </c>
      <c r="D639" s="45" t="s">
        <v>4067</v>
      </c>
    </row>
    <row r="640" spans="1:4" ht="47.25" customHeight="1" x14ac:dyDescent="0.25">
      <c r="A640" s="43" t="s">
        <v>2683</v>
      </c>
      <c r="B640" s="43" t="s">
        <v>5386</v>
      </c>
      <c r="C640" s="44" t="s">
        <v>4961</v>
      </c>
      <c r="D640" s="45" t="s">
        <v>4068</v>
      </c>
    </row>
    <row r="641" spans="1:4" ht="47.25" customHeight="1" x14ac:dyDescent="0.25">
      <c r="A641" s="43" t="s">
        <v>2687</v>
      </c>
      <c r="B641" s="43" t="s">
        <v>5387</v>
      </c>
      <c r="C641" s="44" t="s">
        <v>5388</v>
      </c>
      <c r="D641" s="45" t="s">
        <v>4069</v>
      </c>
    </row>
    <row r="642" spans="1:4" ht="47.25" customHeight="1" x14ac:dyDescent="0.25">
      <c r="A642" s="43" t="s">
        <v>2692</v>
      </c>
      <c r="B642" s="43" t="s">
        <v>5389</v>
      </c>
      <c r="C642" s="44" t="s">
        <v>604</v>
      </c>
      <c r="D642" s="45" t="s">
        <v>4070</v>
      </c>
    </row>
    <row r="643" spans="1:4" ht="47.25" customHeight="1" x14ac:dyDescent="0.25">
      <c r="A643" s="43" t="s">
        <v>2696</v>
      </c>
      <c r="B643" s="43" t="s">
        <v>5390</v>
      </c>
      <c r="C643" s="44" t="s">
        <v>1197</v>
      </c>
      <c r="D643" s="45" t="s">
        <v>4071</v>
      </c>
    </row>
    <row r="644" spans="1:4" ht="63" customHeight="1" x14ac:dyDescent="0.25">
      <c r="A644" s="43" t="s">
        <v>2700</v>
      </c>
      <c r="B644" s="43" t="s">
        <v>5391</v>
      </c>
      <c r="C644" s="44" t="s">
        <v>5392</v>
      </c>
      <c r="D644" s="45" t="s">
        <v>4072</v>
      </c>
    </row>
    <row r="645" spans="1:4" ht="94.5" customHeight="1" x14ac:dyDescent="0.25">
      <c r="A645" s="43" t="s">
        <v>2704</v>
      </c>
      <c r="B645" s="43" t="s">
        <v>5393</v>
      </c>
      <c r="C645" s="44" t="s">
        <v>947</v>
      </c>
      <c r="D645" s="45" t="s">
        <v>4073</v>
      </c>
    </row>
    <row r="646" spans="1:4" ht="47.25" customHeight="1" x14ac:dyDescent="0.25">
      <c r="A646" s="43" t="s">
        <v>2709</v>
      </c>
      <c r="B646" s="43" t="s">
        <v>5394</v>
      </c>
      <c r="C646" s="44" t="s">
        <v>5395</v>
      </c>
      <c r="D646" s="45" t="s">
        <v>4074</v>
      </c>
    </row>
    <row r="647" spans="1:4" ht="63" customHeight="1" x14ac:dyDescent="0.25">
      <c r="A647" s="43" t="s">
        <v>2713</v>
      </c>
      <c r="B647" s="43" t="s">
        <v>5396</v>
      </c>
      <c r="C647" s="44" t="s">
        <v>5395</v>
      </c>
      <c r="D647" s="45" t="s">
        <v>4075</v>
      </c>
    </row>
    <row r="648" spans="1:4" ht="15.75" customHeight="1" x14ac:dyDescent="0.25">
      <c r="A648" s="43" t="s">
        <v>2717</v>
      </c>
      <c r="B648" s="43" t="s">
        <v>5397</v>
      </c>
      <c r="C648" s="44" t="s">
        <v>633</v>
      </c>
      <c r="D648" s="45" t="s">
        <v>4076</v>
      </c>
    </row>
    <row r="649" spans="1:4" ht="47.25" customHeight="1" x14ac:dyDescent="0.25">
      <c r="A649" s="43" t="s">
        <v>2722</v>
      </c>
      <c r="B649" s="43" t="s">
        <v>5398</v>
      </c>
      <c r="C649" s="44" t="s">
        <v>5334</v>
      </c>
      <c r="D649" s="45" t="s">
        <v>4077</v>
      </c>
    </row>
    <row r="650" spans="1:4" ht="47.25" customHeight="1" x14ac:dyDescent="0.25">
      <c r="A650" s="43" t="s">
        <v>2726</v>
      </c>
      <c r="B650" s="43" t="s">
        <v>5399</v>
      </c>
      <c r="C650" s="44" t="s">
        <v>4675</v>
      </c>
      <c r="D650" s="45" t="s">
        <v>4078</v>
      </c>
    </row>
    <row r="651" spans="1:4" ht="47.25" customHeight="1" x14ac:dyDescent="0.25">
      <c r="A651" s="43" t="s">
        <v>2730</v>
      </c>
      <c r="B651" s="43" t="s">
        <v>5400</v>
      </c>
      <c r="C651" s="44" t="s">
        <v>548</v>
      </c>
      <c r="D651" s="45" t="s">
        <v>4079</v>
      </c>
    </row>
    <row r="652" spans="1:4" ht="63" customHeight="1" x14ac:dyDescent="0.25">
      <c r="A652" s="43" t="s">
        <v>2734</v>
      </c>
      <c r="B652" s="43" t="s">
        <v>5401</v>
      </c>
      <c r="C652" s="44" t="s">
        <v>1197</v>
      </c>
      <c r="D652" s="45" t="s">
        <v>4080</v>
      </c>
    </row>
    <row r="653" spans="1:4" ht="63" customHeight="1" x14ac:dyDescent="0.25">
      <c r="A653" s="43" t="s">
        <v>2738</v>
      </c>
      <c r="B653" s="43" t="s">
        <v>5402</v>
      </c>
      <c r="C653" s="44" t="s">
        <v>1197</v>
      </c>
      <c r="D653" s="45" t="s">
        <v>4081</v>
      </c>
    </row>
    <row r="654" spans="1:4" ht="47.25" customHeight="1" x14ac:dyDescent="0.25">
      <c r="A654" s="43" t="s">
        <v>2742</v>
      </c>
      <c r="B654" s="43" t="s">
        <v>5403</v>
      </c>
      <c r="C654" s="44" t="s">
        <v>2037</v>
      </c>
      <c r="D654" s="45" t="s">
        <v>4082</v>
      </c>
    </row>
    <row r="655" spans="1:4" ht="47.25" customHeight="1" x14ac:dyDescent="0.25">
      <c r="A655" s="43" t="s">
        <v>2746</v>
      </c>
      <c r="B655" s="43" t="s">
        <v>5404</v>
      </c>
      <c r="C655" s="44" t="s">
        <v>2037</v>
      </c>
      <c r="D655" s="45" t="s">
        <v>4083</v>
      </c>
    </row>
    <row r="656" spans="1:4" ht="31.5" customHeight="1" x14ac:dyDescent="0.25">
      <c r="A656" s="43" t="s">
        <v>2751</v>
      </c>
      <c r="B656" s="43" t="s">
        <v>5405</v>
      </c>
      <c r="C656" s="44" t="s">
        <v>2632</v>
      </c>
      <c r="D656" s="45" t="s">
        <v>4084</v>
      </c>
    </row>
    <row r="657" spans="1:4" ht="47.25" customHeight="1" x14ac:dyDescent="0.25">
      <c r="A657" s="43" t="s">
        <v>2755</v>
      </c>
      <c r="B657" s="43" t="s">
        <v>5406</v>
      </c>
      <c r="C657" s="44" t="s">
        <v>604</v>
      </c>
      <c r="D657" s="45" t="s">
        <v>4085</v>
      </c>
    </row>
    <row r="658" spans="1:4" ht="63" customHeight="1" x14ac:dyDescent="0.25">
      <c r="A658" s="43" t="s">
        <v>2759</v>
      </c>
      <c r="B658" s="43" t="s">
        <v>5407</v>
      </c>
      <c r="C658" s="44" t="s">
        <v>5408</v>
      </c>
      <c r="D658" s="45" t="s">
        <v>4086</v>
      </c>
    </row>
    <row r="659" spans="1:4" ht="47.25" customHeight="1" x14ac:dyDescent="0.25">
      <c r="A659" s="43" t="s">
        <v>2763</v>
      </c>
      <c r="B659" s="43" t="s">
        <v>5409</v>
      </c>
      <c r="C659" s="44" t="s">
        <v>519</v>
      </c>
      <c r="D659" s="45" t="s">
        <v>4087</v>
      </c>
    </row>
    <row r="660" spans="1:4" ht="31.5" customHeight="1" x14ac:dyDescent="0.25">
      <c r="A660" s="43" t="s">
        <v>2767</v>
      </c>
      <c r="B660" s="43" t="s">
        <v>5410</v>
      </c>
      <c r="C660" s="44" t="s">
        <v>5411</v>
      </c>
      <c r="D660" s="45" t="s">
        <v>4088</v>
      </c>
    </row>
    <row r="661" spans="1:4" ht="47.25" customHeight="1" x14ac:dyDescent="0.25">
      <c r="A661" s="43" t="s">
        <v>2770</v>
      </c>
      <c r="B661" s="43" t="s">
        <v>5412</v>
      </c>
      <c r="C661" s="44" t="s">
        <v>5146</v>
      </c>
      <c r="D661" s="45" t="s">
        <v>4089</v>
      </c>
    </row>
    <row r="662" spans="1:4" ht="31.5" customHeight="1" x14ac:dyDescent="0.25">
      <c r="A662" s="43" t="s">
        <v>2775</v>
      </c>
      <c r="B662" s="43" t="s">
        <v>5413</v>
      </c>
      <c r="C662" s="44" t="s">
        <v>4917</v>
      </c>
      <c r="D662" s="45" t="s">
        <v>4090</v>
      </c>
    </row>
    <row r="663" spans="1:4" ht="31.5" customHeight="1" x14ac:dyDescent="0.25">
      <c r="A663" s="43" t="s">
        <v>2779</v>
      </c>
      <c r="B663" s="43" t="s">
        <v>5414</v>
      </c>
      <c r="C663" s="44" t="s">
        <v>795</v>
      </c>
      <c r="D663" s="45" t="s">
        <v>4091</v>
      </c>
    </row>
    <row r="664" spans="1:4" ht="47.25" customHeight="1" x14ac:dyDescent="0.25">
      <c r="A664" s="43" t="s">
        <v>2784</v>
      </c>
      <c r="B664" s="43" t="s">
        <v>5415</v>
      </c>
      <c r="C664" s="44" t="s">
        <v>1106</v>
      </c>
      <c r="D664" s="45" t="s">
        <v>4092</v>
      </c>
    </row>
    <row r="665" spans="1:4" ht="31.5" customHeight="1" x14ac:dyDescent="0.25">
      <c r="A665" s="43" t="s">
        <v>2788</v>
      </c>
      <c r="B665" s="43" t="s">
        <v>5416</v>
      </c>
      <c r="C665" s="44" t="s">
        <v>396</v>
      </c>
      <c r="D665" s="45" t="s">
        <v>4093</v>
      </c>
    </row>
    <row r="666" spans="1:4" ht="47.25" customHeight="1" x14ac:dyDescent="0.25">
      <c r="A666" s="43" t="s">
        <v>2792</v>
      </c>
      <c r="B666" s="43" t="s">
        <v>5417</v>
      </c>
      <c r="C666" s="44" t="s">
        <v>5418</v>
      </c>
      <c r="D666" s="45" t="s">
        <v>4094</v>
      </c>
    </row>
    <row r="667" spans="1:4" ht="47.25" customHeight="1" x14ac:dyDescent="0.25">
      <c r="A667" s="43" t="s">
        <v>2796</v>
      </c>
      <c r="B667" s="43" t="s">
        <v>5419</v>
      </c>
      <c r="C667" s="44" t="s">
        <v>5420</v>
      </c>
      <c r="D667" s="45" t="s">
        <v>4095</v>
      </c>
    </row>
    <row r="668" spans="1:4" ht="63" customHeight="1" x14ac:dyDescent="0.25">
      <c r="A668" s="43" t="s">
        <v>2801</v>
      </c>
      <c r="B668" s="43" t="s">
        <v>5421</v>
      </c>
      <c r="C668" s="44" t="s">
        <v>3073</v>
      </c>
      <c r="D668" s="45" t="s">
        <v>4096</v>
      </c>
    </row>
    <row r="669" spans="1:4" ht="31.5" customHeight="1" x14ac:dyDescent="0.25">
      <c r="A669" s="43" t="s">
        <v>2805</v>
      </c>
      <c r="B669" s="43" t="s">
        <v>5422</v>
      </c>
      <c r="C669" s="44" t="s">
        <v>3073</v>
      </c>
      <c r="D669" s="45" t="s">
        <v>4097</v>
      </c>
    </row>
    <row r="670" spans="1:4" ht="31.5" customHeight="1" x14ac:dyDescent="0.25">
      <c r="A670" s="43" t="s">
        <v>2809</v>
      </c>
      <c r="B670" s="43" t="s">
        <v>5423</v>
      </c>
      <c r="C670" s="44" t="s">
        <v>5424</v>
      </c>
      <c r="D670" s="45" t="s">
        <v>4098</v>
      </c>
    </row>
    <row r="671" spans="1:4" ht="31.5" customHeight="1" x14ac:dyDescent="0.25">
      <c r="A671" s="43" t="s">
        <v>2814</v>
      </c>
      <c r="B671" s="43" t="s">
        <v>5425</v>
      </c>
      <c r="C671" s="44" t="s">
        <v>1379</v>
      </c>
      <c r="D671" s="45" t="s">
        <v>4099</v>
      </c>
    </row>
    <row r="672" spans="1:4" ht="63" customHeight="1" x14ac:dyDescent="0.25">
      <c r="A672" s="43" t="s">
        <v>2819</v>
      </c>
      <c r="B672" s="43" t="s">
        <v>5426</v>
      </c>
      <c r="C672" s="44" t="s">
        <v>757</v>
      </c>
      <c r="D672" s="45" t="s">
        <v>4100</v>
      </c>
    </row>
    <row r="673" spans="1:4" ht="47.25" customHeight="1" x14ac:dyDescent="0.25">
      <c r="A673" s="43" t="s">
        <v>2825</v>
      </c>
      <c r="B673" s="43" t="s">
        <v>5427</v>
      </c>
      <c r="C673" s="44" t="s">
        <v>5411</v>
      </c>
      <c r="D673" s="45" t="s">
        <v>4101</v>
      </c>
    </row>
    <row r="674" spans="1:4" ht="63" customHeight="1" x14ac:dyDescent="0.25">
      <c r="A674" s="43" t="s">
        <v>2830</v>
      </c>
      <c r="B674" s="43" t="s">
        <v>5428</v>
      </c>
      <c r="C674" s="44" t="s">
        <v>424</v>
      </c>
      <c r="D674" s="45" t="s">
        <v>4102</v>
      </c>
    </row>
    <row r="675" spans="1:4" ht="63" customHeight="1" x14ac:dyDescent="0.25">
      <c r="A675" s="43" t="s">
        <v>2834</v>
      </c>
      <c r="B675" s="43" t="s">
        <v>5429</v>
      </c>
      <c r="C675" s="44" t="s">
        <v>424</v>
      </c>
      <c r="D675" s="45" t="s">
        <v>4103</v>
      </c>
    </row>
    <row r="676" spans="1:4" ht="47.25" customHeight="1" x14ac:dyDescent="0.25">
      <c r="A676" s="43" t="s">
        <v>2838</v>
      </c>
      <c r="B676" s="43" t="s">
        <v>5430</v>
      </c>
      <c r="C676" s="44" t="s">
        <v>1329</v>
      </c>
      <c r="D676" s="45" t="s">
        <v>4104</v>
      </c>
    </row>
    <row r="677" spans="1:4" ht="31.5" customHeight="1" x14ac:dyDescent="0.25">
      <c r="A677" s="43" t="s">
        <v>2842</v>
      </c>
      <c r="B677" s="43" t="s">
        <v>5431</v>
      </c>
      <c r="C677" s="44" t="s">
        <v>4945</v>
      </c>
      <c r="D677" s="45" t="s">
        <v>4105</v>
      </c>
    </row>
    <row r="678" spans="1:4" ht="31.5" customHeight="1" x14ac:dyDescent="0.25">
      <c r="A678" s="43" t="s">
        <v>2846</v>
      </c>
      <c r="B678" s="43" t="s">
        <v>5432</v>
      </c>
      <c r="C678" s="44" t="s">
        <v>3073</v>
      </c>
      <c r="D678" s="45" t="s">
        <v>4106</v>
      </c>
    </row>
    <row r="679" spans="1:4" ht="47.25" customHeight="1" x14ac:dyDescent="0.25">
      <c r="A679" s="43" t="s">
        <v>2849</v>
      </c>
      <c r="B679" s="43" t="s">
        <v>5433</v>
      </c>
      <c r="C679" s="44" t="s">
        <v>5434</v>
      </c>
      <c r="D679" s="45" t="s">
        <v>4107</v>
      </c>
    </row>
    <row r="680" spans="1:4" ht="31.5" customHeight="1" x14ac:dyDescent="0.25">
      <c r="A680" s="43" t="s">
        <v>2853</v>
      </c>
      <c r="B680" s="43" t="s">
        <v>5435</v>
      </c>
      <c r="C680" s="44" t="s">
        <v>2329</v>
      </c>
      <c r="D680" s="45" t="s">
        <v>4108</v>
      </c>
    </row>
    <row r="681" spans="1:4" ht="47.25" customHeight="1" x14ac:dyDescent="0.25">
      <c r="A681" s="43" t="s">
        <v>2858</v>
      </c>
      <c r="B681" s="43" t="s">
        <v>5436</v>
      </c>
      <c r="C681" s="44" t="s">
        <v>5296</v>
      </c>
      <c r="D681" s="45" t="s">
        <v>4109</v>
      </c>
    </row>
    <row r="682" spans="1:4" ht="31.5" customHeight="1" x14ac:dyDescent="0.25">
      <c r="A682" s="43" t="s">
        <v>2862</v>
      </c>
      <c r="B682" s="43" t="s">
        <v>5437</v>
      </c>
      <c r="C682" s="44" t="s">
        <v>1228</v>
      </c>
      <c r="D682" s="45" t="s">
        <v>4110</v>
      </c>
    </row>
    <row r="683" spans="1:4" ht="31.5" customHeight="1" x14ac:dyDescent="0.25">
      <c r="A683" s="43" t="s">
        <v>2866</v>
      </c>
      <c r="B683" s="43" t="s">
        <v>5438</v>
      </c>
      <c r="C683" s="44" t="s">
        <v>2508</v>
      </c>
      <c r="D683" s="45" t="s">
        <v>4111</v>
      </c>
    </row>
    <row r="684" spans="1:4" ht="31.5" customHeight="1" x14ac:dyDescent="0.25">
      <c r="A684" s="43" t="s">
        <v>2872</v>
      </c>
      <c r="B684" s="43" t="s">
        <v>5439</v>
      </c>
      <c r="C684" s="44" t="s">
        <v>302</v>
      </c>
      <c r="D684" s="45" t="s">
        <v>4112</v>
      </c>
    </row>
    <row r="685" spans="1:4" ht="31.5" customHeight="1" x14ac:dyDescent="0.25">
      <c r="A685" s="43" t="s">
        <v>2876</v>
      </c>
      <c r="B685" s="43" t="s">
        <v>5440</v>
      </c>
      <c r="C685" s="44" t="s">
        <v>4603</v>
      </c>
      <c r="D685" s="45" t="s">
        <v>4113</v>
      </c>
    </row>
    <row r="686" spans="1:4" ht="31.5" customHeight="1" x14ac:dyDescent="0.25">
      <c r="A686" s="43" t="s">
        <v>2881</v>
      </c>
      <c r="B686" s="43" t="s">
        <v>5441</v>
      </c>
      <c r="C686" s="44" t="s">
        <v>296</v>
      </c>
      <c r="D686" s="45" t="s">
        <v>4114</v>
      </c>
    </row>
    <row r="687" spans="1:4" ht="47.25" customHeight="1" x14ac:dyDescent="0.25">
      <c r="A687" s="43" t="s">
        <v>2886</v>
      </c>
      <c r="B687" s="43" t="s">
        <v>5442</v>
      </c>
      <c r="C687" s="44" t="s">
        <v>162</v>
      </c>
      <c r="D687" s="45" t="s">
        <v>4115</v>
      </c>
    </row>
    <row r="688" spans="1:4" ht="47.25" customHeight="1" x14ac:dyDescent="0.25">
      <c r="A688" s="43" t="s">
        <v>2890</v>
      </c>
      <c r="B688" s="43" t="s">
        <v>5443</v>
      </c>
      <c r="C688" s="44" t="s">
        <v>379</v>
      </c>
      <c r="D688" s="45" t="s">
        <v>4116</v>
      </c>
    </row>
    <row r="689" spans="1:4" ht="47.25" customHeight="1" x14ac:dyDescent="0.25">
      <c r="A689" s="43" t="s">
        <v>2894</v>
      </c>
      <c r="B689" s="43" t="s">
        <v>5444</v>
      </c>
      <c r="C689" s="44" t="s">
        <v>5445</v>
      </c>
      <c r="D689" s="45" t="s">
        <v>4117</v>
      </c>
    </row>
    <row r="690" spans="1:4" ht="63" customHeight="1" x14ac:dyDescent="0.25">
      <c r="A690" s="43" t="s">
        <v>2898</v>
      </c>
      <c r="B690" s="43" t="s">
        <v>5446</v>
      </c>
      <c r="C690" s="44" t="s">
        <v>1092</v>
      </c>
      <c r="D690" s="45" t="s">
        <v>4118</v>
      </c>
    </row>
    <row r="691" spans="1:4" ht="47.25" customHeight="1" x14ac:dyDescent="0.25">
      <c r="A691" s="43" t="s">
        <v>2902</v>
      </c>
      <c r="B691" s="43" t="s">
        <v>5447</v>
      </c>
      <c r="C691" s="44" t="s">
        <v>4760</v>
      </c>
      <c r="D691" s="45" t="s">
        <v>4119</v>
      </c>
    </row>
    <row r="692" spans="1:4" ht="47.25" customHeight="1" x14ac:dyDescent="0.25">
      <c r="A692" s="43" t="s">
        <v>2906</v>
      </c>
      <c r="B692" s="43" t="s">
        <v>5448</v>
      </c>
      <c r="C692" s="44" t="s">
        <v>379</v>
      </c>
      <c r="D692" s="45" t="s">
        <v>4120</v>
      </c>
    </row>
    <row r="693" spans="1:4" ht="63" customHeight="1" x14ac:dyDescent="0.25">
      <c r="A693" s="43" t="s">
        <v>2910</v>
      </c>
      <c r="B693" s="43" t="s">
        <v>5449</v>
      </c>
      <c r="C693" s="44" t="s">
        <v>279</v>
      </c>
      <c r="D693" s="45" t="s">
        <v>4121</v>
      </c>
    </row>
    <row r="694" spans="1:4" ht="47.25" customHeight="1" x14ac:dyDescent="0.25">
      <c r="A694" s="43" t="s">
        <v>2914</v>
      </c>
      <c r="B694" s="43" t="s">
        <v>5450</v>
      </c>
      <c r="C694" s="44" t="s">
        <v>2367</v>
      </c>
      <c r="D694" s="45" t="s">
        <v>4122</v>
      </c>
    </row>
    <row r="695" spans="1:4" ht="47.25" customHeight="1" x14ac:dyDescent="0.25">
      <c r="A695" s="43" t="s">
        <v>2919</v>
      </c>
      <c r="B695" s="43" t="s">
        <v>5451</v>
      </c>
      <c r="C695" s="44" t="s">
        <v>1106</v>
      </c>
      <c r="D695" s="45" t="s">
        <v>4123</v>
      </c>
    </row>
    <row r="696" spans="1:4" ht="63" customHeight="1" x14ac:dyDescent="0.25">
      <c r="A696" s="43" t="s">
        <v>2924</v>
      </c>
      <c r="B696" s="43" t="s">
        <v>5452</v>
      </c>
      <c r="C696" s="44" t="s">
        <v>1063</v>
      </c>
      <c r="D696" s="45" t="s">
        <v>4124</v>
      </c>
    </row>
    <row r="697" spans="1:4" ht="63" customHeight="1" x14ac:dyDescent="0.25">
      <c r="A697" s="43" t="s">
        <v>2928</v>
      </c>
      <c r="B697" s="43" t="s">
        <v>5453</v>
      </c>
      <c r="C697" s="44" t="s">
        <v>509</v>
      </c>
      <c r="D697" s="45" t="s">
        <v>4125</v>
      </c>
    </row>
    <row r="698" spans="1:4" ht="47.25" customHeight="1" x14ac:dyDescent="0.25">
      <c r="A698" s="43" t="s">
        <v>2932</v>
      </c>
      <c r="B698" s="43" t="s">
        <v>5454</v>
      </c>
      <c r="C698" s="44" t="s">
        <v>509</v>
      </c>
      <c r="D698" s="45" t="s">
        <v>4126</v>
      </c>
    </row>
    <row r="699" spans="1:4" ht="47.25" customHeight="1" x14ac:dyDescent="0.25">
      <c r="A699" s="43" t="s">
        <v>2937</v>
      </c>
      <c r="B699" s="43" t="s">
        <v>5455</v>
      </c>
      <c r="C699" s="44" t="s">
        <v>5456</v>
      </c>
      <c r="D699" s="45" t="s">
        <v>4127</v>
      </c>
    </row>
    <row r="700" spans="1:4" ht="31.5" customHeight="1" x14ac:dyDescent="0.25">
      <c r="A700" s="43" t="s">
        <v>2942</v>
      </c>
      <c r="B700" s="43" t="s">
        <v>5457</v>
      </c>
      <c r="C700" s="44" t="s">
        <v>1228</v>
      </c>
      <c r="D700" s="45" t="s">
        <v>4128</v>
      </c>
    </row>
    <row r="701" spans="1:4" ht="47.25" customHeight="1" x14ac:dyDescent="0.25">
      <c r="A701" s="43" t="s">
        <v>2947</v>
      </c>
      <c r="B701" s="43" t="s">
        <v>5458</v>
      </c>
      <c r="C701" s="44" t="s">
        <v>1129</v>
      </c>
      <c r="D701" s="45" t="s">
        <v>4129</v>
      </c>
    </row>
    <row r="702" spans="1:4" ht="63" customHeight="1" x14ac:dyDescent="0.25">
      <c r="A702" s="43" t="s">
        <v>2950</v>
      </c>
      <c r="B702" s="43" t="s">
        <v>5459</v>
      </c>
      <c r="C702" s="44" t="s">
        <v>76</v>
      </c>
      <c r="D702" s="45" t="s">
        <v>4130</v>
      </c>
    </row>
    <row r="703" spans="1:4" ht="31.5" customHeight="1" x14ac:dyDescent="0.25">
      <c r="A703" s="43" t="s">
        <v>2954</v>
      </c>
      <c r="B703" s="43" t="s">
        <v>5460</v>
      </c>
      <c r="C703" s="44" t="s">
        <v>5461</v>
      </c>
      <c r="D703" s="45" t="s">
        <v>4131</v>
      </c>
    </row>
    <row r="704" spans="1:4" ht="31.5" customHeight="1" x14ac:dyDescent="0.25">
      <c r="A704" s="43" t="s">
        <v>2958</v>
      </c>
      <c r="B704" s="43" t="s">
        <v>5462</v>
      </c>
      <c r="C704" s="44" t="s">
        <v>2256</v>
      </c>
      <c r="D704" s="45" t="s">
        <v>4132</v>
      </c>
    </row>
    <row r="705" spans="1:4" ht="63" customHeight="1" x14ac:dyDescent="0.25">
      <c r="A705" s="43" t="s">
        <v>2963</v>
      </c>
      <c r="B705" s="43" t="s">
        <v>5463</v>
      </c>
      <c r="C705" s="44" t="s">
        <v>4760</v>
      </c>
      <c r="D705" s="45" t="s">
        <v>4133</v>
      </c>
    </row>
    <row r="706" spans="1:4" ht="31.5" customHeight="1" x14ac:dyDescent="0.25">
      <c r="A706" s="43" t="s">
        <v>2967</v>
      </c>
      <c r="B706" s="43" t="s">
        <v>5464</v>
      </c>
      <c r="C706" s="44" t="s">
        <v>5351</v>
      </c>
      <c r="D706" s="45" t="s">
        <v>4134</v>
      </c>
    </row>
    <row r="707" spans="1:4" ht="63" customHeight="1" x14ac:dyDescent="0.25">
      <c r="A707" s="43" t="s">
        <v>2971</v>
      </c>
      <c r="B707" s="43" t="s">
        <v>5465</v>
      </c>
      <c r="C707" s="44" t="s">
        <v>5466</v>
      </c>
      <c r="D707" s="45" t="s">
        <v>4135</v>
      </c>
    </row>
    <row r="708" spans="1:4" ht="47.25" customHeight="1" x14ac:dyDescent="0.25">
      <c r="A708" s="43" t="s">
        <v>2975</v>
      </c>
      <c r="B708" s="43" t="s">
        <v>5467</v>
      </c>
      <c r="C708" s="44" t="s">
        <v>657</v>
      </c>
      <c r="D708" s="45" t="s">
        <v>4136</v>
      </c>
    </row>
    <row r="709" spans="1:4" ht="31.5" customHeight="1" x14ac:dyDescent="0.25">
      <c r="A709" s="43" t="s">
        <v>2980</v>
      </c>
      <c r="B709" s="43" t="s">
        <v>5468</v>
      </c>
      <c r="C709" s="44" t="s">
        <v>5469</v>
      </c>
      <c r="D709" s="45" t="s">
        <v>4137</v>
      </c>
    </row>
    <row r="710" spans="1:4" ht="63" customHeight="1" x14ac:dyDescent="0.25">
      <c r="A710" s="43" t="s">
        <v>2985</v>
      </c>
      <c r="B710" s="43" t="s">
        <v>5470</v>
      </c>
      <c r="C710" s="44" t="s">
        <v>5097</v>
      </c>
      <c r="D710" s="45" t="s">
        <v>4138</v>
      </c>
    </row>
    <row r="711" spans="1:4" ht="47.25" customHeight="1" x14ac:dyDescent="0.25">
      <c r="A711" s="43" t="s">
        <v>2990</v>
      </c>
      <c r="B711" s="43" t="s">
        <v>5471</v>
      </c>
      <c r="C711" s="44" t="s">
        <v>1156</v>
      </c>
      <c r="D711" s="45" t="s">
        <v>4139</v>
      </c>
    </row>
    <row r="712" spans="1:4" ht="31.5" customHeight="1" x14ac:dyDescent="0.25">
      <c r="A712" s="43" t="s">
        <v>2994</v>
      </c>
      <c r="B712" s="43" t="s">
        <v>5472</v>
      </c>
      <c r="C712" s="44" t="s">
        <v>858</v>
      </c>
      <c r="D712" s="45" t="s">
        <v>4140</v>
      </c>
    </row>
    <row r="713" spans="1:4" ht="47.25" customHeight="1" x14ac:dyDescent="0.25">
      <c r="A713" s="43" t="s">
        <v>2998</v>
      </c>
      <c r="B713" s="43" t="s">
        <v>5473</v>
      </c>
      <c r="C713" s="44" t="s">
        <v>937</v>
      </c>
      <c r="D713" s="45" t="s">
        <v>4141</v>
      </c>
    </row>
    <row r="714" spans="1:4" ht="31.5" customHeight="1" x14ac:dyDescent="0.25">
      <c r="A714" s="43" t="s">
        <v>3002</v>
      </c>
      <c r="B714" s="43" t="s">
        <v>5474</v>
      </c>
      <c r="C714" s="44" t="s">
        <v>2748</v>
      </c>
      <c r="D714" s="45" t="s">
        <v>4142</v>
      </c>
    </row>
    <row r="715" spans="1:4" ht="78.75" customHeight="1" x14ac:dyDescent="0.25">
      <c r="A715" s="43" t="s">
        <v>3006</v>
      </c>
      <c r="B715" s="43" t="s">
        <v>5475</v>
      </c>
      <c r="C715" s="44" t="s">
        <v>5476</v>
      </c>
      <c r="D715" s="45" t="s">
        <v>4143</v>
      </c>
    </row>
    <row r="716" spans="1:4" ht="31.5" customHeight="1" x14ac:dyDescent="0.25">
      <c r="A716" s="43" t="s">
        <v>3010</v>
      </c>
      <c r="B716" s="43" t="s">
        <v>5477</v>
      </c>
      <c r="C716" s="44" t="s">
        <v>1589</v>
      </c>
      <c r="D716" s="45" t="s">
        <v>4144</v>
      </c>
    </row>
    <row r="717" spans="1:4" ht="31.5" customHeight="1" x14ac:dyDescent="0.25">
      <c r="A717" s="43" t="s">
        <v>3014</v>
      </c>
      <c r="B717" s="43" t="s">
        <v>5478</v>
      </c>
      <c r="C717" s="44" t="s">
        <v>560</v>
      </c>
      <c r="D717" s="45" t="s">
        <v>4145</v>
      </c>
    </row>
    <row r="718" spans="1:4" ht="31.5" customHeight="1" x14ac:dyDescent="0.25">
      <c r="A718" s="43" t="s">
        <v>3019</v>
      </c>
      <c r="B718" s="43" t="s">
        <v>5479</v>
      </c>
      <c r="C718" s="44" t="s">
        <v>279</v>
      </c>
      <c r="D718" s="45" t="s">
        <v>4146</v>
      </c>
    </row>
    <row r="719" spans="1:4" ht="31.5" customHeight="1" x14ac:dyDescent="0.25">
      <c r="A719" s="43" t="s">
        <v>3024</v>
      </c>
      <c r="B719" s="43" t="s">
        <v>5480</v>
      </c>
      <c r="C719" s="44" t="s">
        <v>5481</v>
      </c>
      <c r="D719" s="45" t="s">
        <v>4147</v>
      </c>
    </row>
    <row r="720" spans="1:4" ht="63" customHeight="1" x14ac:dyDescent="0.25">
      <c r="A720" s="43" t="s">
        <v>3028</v>
      </c>
      <c r="B720" s="43" t="s">
        <v>5482</v>
      </c>
      <c r="C720" s="44" t="s">
        <v>633</v>
      </c>
      <c r="D720" s="45" t="s">
        <v>4148</v>
      </c>
    </row>
    <row r="721" spans="1:4" ht="47.25" customHeight="1" x14ac:dyDescent="0.25">
      <c r="A721" s="43" t="s">
        <v>3032</v>
      </c>
      <c r="B721" s="43" t="s">
        <v>5483</v>
      </c>
      <c r="C721" s="44" t="s">
        <v>744</v>
      </c>
      <c r="D721" s="45" t="s">
        <v>4149</v>
      </c>
    </row>
    <row r="722" spans="1:4" ht="47.25" customHeight="1" x14ac:dyDescent="0.25">
      <c r="A722" s="43" t="s">
        <v>3035</v>
      </c>
      <c r="B722" s="43" t="s">
        <v>5484</v>
      </c>
      <c r="C722" s="44" t="s">
        <v>1329</v>
      </c>
      <c r="D722" s="45" t="s">
        <v>4150</v>
      </c>
    </row>
    <row r="723" spans="1:4" ht="47.25" customHeight="1" x14ac:dyDescent="0.25">
      <c r="A723" s="43" t="s">
        <v>3039</v>
      </c>
      <c r="B723" s="43" t="s">
        <v>5485</v>
      </c>
      <c r="C723" s="44" t="s">
        <v>2317</v>
      </c>
      <c r="D723" s="45" t="s">
        <v>4151</v>
      </c>
    </row>
    <row r="724" spans="1:4" ht="47.25" customHeight="1" x14ac:dyDescent="0.25">
      <c r="A724" s="43" t="s">
        <v>3044</v>
      </c>
      <c r="B724" s="43" t="s">
        <v>5486</v>
      </c>
      <c r="C724" s="44" t="s">
        <v>5097</v>
      </c>
      <c r="D724" s="45" t="s">
        <v>4152</v>
      </c>
    </row>
    <row r="725" spans="1:4" ht="47.25" customHeight="1" x14ac:dyDescent="0.25">
      <c r="A725" s="43" t="s">
        <v>3049</v>
      </c>
      <c r="B725" s="43" t="s">
        <v>5487</v>
      </c>
      <c r="C725" s="44" t="s">
        <v>5488</v>
      </c>
      <c r="D725" s="45" t="s">
        <v>4153</v>
      </c>
    </row>
    <row r="726" spans="1:4" ht="63" customHeight="1" x14ac:dyDescent="0.25">
      <c r="A726" s="43" t="s">
        <v>3053</v>
      </c>
      <c r="B726" s="43" t="s">
        <v>5489</v>
      </c>
      <c r="C726" s="44" t="s">
        <v>965</v>
      </c>
      <c r="D726" s="45" t="s">
        <v>4154</v>
      </c>
    </row>
    <row r="727" spans="1:4" ht="31.5" customHeight="1" x14ac:dyDescent="0.25">
      <c r="A727" s="43" t="s">
        <v>3058</v>
      </c>
      <c r="B727" s="43" t="s">
        <v>5490</v>
      </c>
      <c r="C727" s="44" t="s">
        <v>1343</v>
      </c>
      <c r="D727" s="45" t="s">
        <v>4155</v>
      </c>
    </row>
    <row r="728" spans="1:4" ht="31.5" customHeight="1" x14ac:dyDescent="0.25">
      <c r="A728" s="43" t="s">
        <v>3062</v>
      </c>
      <c r="B728" s="43" t="s">
        <v>5491</v>
      </c>
      <c r="C728" s="44" t="s">
        <v>1343</v>
      </c>
      <c r="D728" s="45" t="s">
        <v>4156</v>
      </c>
    </row>
    <row r="729" spans="1:4" ht="31.5" customHeight="1" x14ac:dyDescent="0.25">
      <c r="A729" s="43" t="s">
        <v>3067</v>
      </c>
      <c r="B729" s="43" t="s">
        <v>5492</v>
      </c>
      <c r="C729" s="44" t="s">
        <v>1658</v>
      </c>
      <c r="D729" s="45" t="s">
        <v>4157</v>
      </c>
    </row>
    <row r="730" spans="1:4" ht="47.25" customHeight="1" x14ac:dyDescent="0.25">
      <c r="A730" s="43" t="s">
        <v>3071</v>
      </c>
      <c r="B730" s="43" t="s">
        <v>5493</v>
      </c>
      <c r="C730" s="44" t="s">
        <v>5494</v>
      </c>
      <c r="D730" s="45" t="s">
        <v>4158</v>
      </c>
    </row>
    <row r="731" spans="1:4" ht="31.5" customHeight="1" x14ac:dyDescent="0.25">
      <c r="A731" s="43" t="s">
        <v>3076</v>
      </c>
      <c r="B731" s="43" t="s">
        <v>5495</v>
      </c>
      <c r="C731" s="44" t="s">
        <v>4763</v>
      </c>
      <c r="D731" s="45" t="s">
        <v>4159</v>
      </c>
    </row>
    <row r="732" spans="1:4" ht="31.5" customHeight="1" x14ac:dyDescent="0.25">
      <c r="A732" s="43" t="s">
        <v>3080</v>
      </c>
      <c r="B732" s="43" t="s">
        <v>5496</v>
      </c>
      <c r="C732" s="44" t="s">
        <v>4763</v>
      </c>
      <c r="D732" s="45" t="s">
        <v>4160</v>
      </c>
    </row>
    <row r="733" spans="1:4" ht="47.25" customHeight="1" x14ac:dyDescent="0.25">
      <c r="A733" s="43" t="s">
        <v>3083</v>
      </c>
      <c r="B733" s="43" t="s">
        <v>5497</v>
      </c>
      <c r="C733" s="44" t="s">
        <v>1409</v>
      </c>
      <c r="D733" s="45" t="s">
        <v>4161</v>
      </c>
    </row>
    <row r="734" spans="1:4" ht="31.5" customHeight="1" x14ac:dyDescent="0.25">
      <c r="A734" s="43" t="s">
        <v>3087</v>
      </c>
      <c r="B734" s="43" t="s">
        <v>5498</v>
      </c>
      <c r="C734" s="44" t="s">
        <v>4783</v>
      </c>
      <c r="D734" s="45" t="s">
        <v>4162</v>
      </c>
    </row>
    <row r="735" spans="1:4" ht="31.5" customHeight="1" x14ac:dyDescent="0.25">
      <c r="A735" s="43" t="s">
        <v>3091</v>
      </c>
      <c r="B735" s="43" t="s">
        <v>5499</v>
      </c>
      <c r="C735" s="44" t="s">
        <v>692</v>
      </c>
      <c r="D735" s="45" t="s">
        <v>4163</v>
      </c>
    </row>
    <row r="736" spans="1:4" ht="31.5" customHeight="1" x14ac:dyDescent="0.25">
      <c r="A736" s="43" t="s">
        <v>3096</v>
      </c>
      <c r="B736" s="43" t="s">
        <v>5500</v>
      </c>
      <c r="C736" s="44" t="s">
        <v>5501</v>
      </c>
      <c r="D736" s="45" t="s">
        <v>4164</v>
      </c>
    </row>
    <row r="737" spans="1:4" ht="31.5" customHeight="1" x14ac:dyDescent="0.25">
      <c r="A737" s="43" t="s">
        <v>3101</v>
      </c>
      <c r="B737" s="43" t="s">
        <v>5502</v>
      </c>
      <c r="C737" s="44" t="s">
        <v>5503</v>
      </c>
      <c r="D737" s="45" t="s">
        <v>4165</v>
      </c>
    </row>
    <row r="738" spans="1:4" ht="47.25" customHeight="1" x14ac:dyDescent="0.25">
      <c r="A738" s="43" t="s">
        <v>3105</v>
      </c>
      <c r="B738" s="43" t="s">
        <v>5504</v>
      </c>
      <c r="C738" s="44" t="s">
        <v>2916</v>
      </c>
      <c r="D738" s="45" t="s">
        <v>4166</v>
      </c>
    </row>
    <row r="739" spans="1:4" ht="31.5" customHeight="1" x14ac:dyDescent="0.25">
      <c r="A739" s="43" t="s">
        <v>3111</v>
      </c>
      <c r="B739" s="43" t="s">
        <v>5505</v>
      </c>
      <c r="C739" s="44" t="s">
        <v>4708</v>
      </c>
      <c r="D739" s="45" t="s">
        <v>4167</v>
      </c>
    </row>
    <row r="740" spans="1:4" ht="31.5" customHeight="1" x14ac:dyDescent="0.25">
      <c r="A740" s="43" t="s">
        <v>3115</v>
      </c>
      <c r="B740" s="43" t="s">
        <v>5506</v>
      </c>
      <c r="C740" s="44" t="s">
        <v>4708</v>
      </c>
      <c r="D740" s="45" t="s">
        <v>4168</v>
      </c>
    </row>
    <row r="741" spans="1:4" ht="31.5" customHeight="1" x14ac:dyDescent="0.25">
      <c r="A741" s="43" t="s">
        <v>3119</v>
      </c>
      <c r="B741" s="43" t="s">
        <v>5507</v>
      </c>
      <c r="C741" s="44" t="s">
        <v>514</v>
      </c>
      <c r="D741" s="45" t="s">
        <v>4169</v>
      </c>
    </row>
    <row r="742" spans="1:4" ht="47.25" customHeight="1" x14ac:dyDescent="0.25">
      <c r="A742" s="43" t="s">
        <v>3124</v>
      </c>
      <c r="B742" s="43" t="s">
        <v>5508</v>
      </c>
      <c r="C742" s="44" t="s">
        <v>5509</v>
      </c>
      <c r="D742" s="45" t="s">
        <v>4170</v>
      </c>
    </row>
    <row r="743" spans="1:4" ht="31.5" customHeight="1" x14ac:dyDescent="0.25">
      <c r="A743" s="43" t="s">
        <v>3130</v>
      </c>
      <c r="B743" s="43" t="s">
        <v>5510</v>
      </c>
      <c r="C743" s="44" t="s">
        <v>4891</v>
      </c>
      <c r="D743" s="45" t="s">
        <v>4171</v>
      </c>
    </row>
    <row r="744" spans="1:4" ht="63" customHeight="1" x14ac:dyDescent="0.25">
      <c r="A744" s="43" t="s">
        <v>3135</v>
      </c>
      <c r="B744" s="43" t="s">
        <v>5511</v>
      </c>
      <c r="C744" s="44" t="s">
        <v>628</v>
      </c>
      <c r="D744" s="45" t="s">
        <v>4172</v>
      </c>
    </row>
    <row r="745" spans="1:4" ht="31.5" customHeight="1" x14ac:dyDescent="0.25">
      <c r="A745" s="43" t="s">
        <v>3139</v>
      </c>
      <c r="B745" s="43" t="s">
        <v>5512</v>
      </c>
      <c r="C745" s="44" t="s">
        <v>1115</v>
      </c>
      <c r="D745" s="45" t="s">
        <v>4173</v>
      </c>
    </row>
    <row r="746" spans="1:4" ht="63" customHeight="1" x14ac:dyDescent="0.25">
      <c r="A746" s="43" t="s">
        <v>3143</v>
      </c>
      <c r="B746" s="43" t="s">
        <v>5513</v>
      </c>
      <c r="C746" s="44" t="s">
        <v>4802</v>
      </c>
      <c r="D746" s="45" t="s">
        <v>4174</v>
      </c>
    </row>
    <row r="747" spans="1:4" ht="31.5" customHeight="1" x14ac:dyDescent="0.25">
      <c r="A747" s="43" t="s">
        <v>3146</v>
      </c>
      <c r="B747" s="43" t="s">
        <v>5514</v>
      </c>
      <c r="C747" s="44" t="s">
        <v>1528</v>
      </c>
      <c r="D747" s="45" t="s">
        <v>4175</v>
      </c>
    </row>
    <row r="748" spans="1:4" ht="31.5" customHeight="1" x14ac:dyDescent="0.25">
      <c r="A748" s="43" t="s">
        <v>3150</v>
      </c>
      <c r="B748" s="43" t="s">
        <v>5515</v>
      </c>
      <c r="C748" s="44" t="s">
        <v>1329</v>
      </c>
      <c r="D748" s="45" t="s">
        <v>4176</v>
      </c>
    </row>
    <row r="749" spans="1:4" ht="47.25" customHeight="1" x14ac:dyDescent="0.25">
      <c r="A749" s="43" t="s">
        <v>3154</v>
      </c>
      <c r="B749" s="43" t="s">
        <v>5516</v>
      </c>
      <c r="C749" s="44" t="s">
        <v>4675</v>
      </c>
      <c r="D749" s="45" t="s">
        <v>4177</v>
      </c>
    </row>
    <row r="750" spans="1:4" ht="47.25" customHeight="1" x14ac:dyDescent="0.25">
      <c r="A750" s="43" t="s">
        <v>3159</v>
      </c>
      <c r="B750" s="43" t="s">
        <v>5517</v>
      </c>
      <c r="C750" s="44" t="s">
        <v>112</v>
      </c>
      <c r="D750" s="45" t="s">
        <v>4178</v>
      </c>
    </row>
    <row r="751" spans="1:4" ht="47.25" customHeight="1" x14ac:dyDescent="0.25">
      <c r="A751" s="43" t="s">
        <v>3163</v>
      </c>
      <c r="B751" s="43" t="s">
        <v>5518</v>
      </c>
      <c r="C751" s="44" t="s">
        <v>947</v>
      </c>
      <c r="D751" s="45" t="s">
        <v>4179</v>
      </c>
    </row>
    <row r="752" spans="1:4" ht="31.5" customHeight="1" x14ac:dyDescent="0.25">
      <c r="A752" s="43" t="s">
        <v>3167</v>
      </c>
      <c r="B752" s="43" t="s">
        <v>5519</v>
      </c>
      <c r="C752" s="44" t="s">
        <v>5520</v>
      </c>
      <c r="D752" s="45" t="s">
        <v>4180</v>
      </c>
    </row>
    <row r="753" spans="1:4" ht="47.25" customHeight="1" x14ac:dyDescent="0.25">
      <c r="A753" s="43" t="s">
        <v>3171</v>
      </c>
      <c r="B753" s="43" t="s">
        <v>5521</v>
      </c>
      <c r="C753" s="44" t="s">
        <v>1477</v>
      </c>
      <c r="D753" s="45" t="s">
        <v>4181</v>
      </c>
    </row>
    <row r="754" spans="1:4" ht="31.5" customHeight="1" x14ac:dyDescent="0.25">
      <c r="A754" s="43" t="s">
        <v>3175</v>
      </c>
      <c r="B754" s="43" t="s">
        <v>5522</v>
      </c>
      <c r="C754" s="44" t="s">
        <v>4741</v>
      </c>
      <c r="D754" s="45" t="s">
        <v>4182</v>
      </c>
    </row>
    <row r="755" spans="1:4" ht="31.5" customHeight="1" x14ac:dyDescent="0.25">
      <c r="A755" s="43" t="s">
        <v>3179</v>
      </c>
      <c r="B755" s="43" t="s">
        <v>5523</v>
      </c>
      <c r="C755" s="44" t="s">
        <v>5524</v>
      </c>
      <c r="D755" s="45" t="s">
        <v>4183</v>
      </c>
    </row>
    <row r="756" spans="1:4" ht="47.25" customHeight="1" x14ac:dyDescent="0.25">
      <c r="A756" s="43" t="s">
        <v>3183</v>
      </c>
      <c r="B756" s="43" t="s">
        <v>5525</v>
      </c>
      <c r="C756" s="44" t="s">
        <v>5526</v>
      </c>
      <c r="D756" s="45" t="s">
        <v>4184</v>
      </c>
    </row>
    <row r="757" spans="1:4" ht="31.5" customHeight="1" x14ac:dyDescent="0.25">
      <c r="A757" s="43" t="s">
        <v>3187</v>
      </c>
      <c r="B757" s="43" t="s">
        <v>5527</v>
      </c>
      <c r="C757" s="44" t="s">
        <v>1014</v>
      </c>
      <c r="D757" s="45" t="s">
        <v>4185</v>
      </c>
    </row>
    <row r="758" spans="1:4" ht="63" customHeight="1" x14ac:dyDescent="0.25">
      <c r="A758" s="43" t="s">
        <v>3191</v>
      </c>
      <c r="B758" s="43" t="s">
        <v>5528</v>
      </c>
      <c r="C758" s="44" t="s">
        <v>1321</v>
      </c>
      <c r="D758" s="45" t="s">
        <v>4186</v>
      </c>
    </row>
    <row r="759" spans="1:4" ht="47.25" customHeight="1" x14ac:dyDescent="0.25">
      <c r="A759" s="43" t="s">
        <v>3195</v>
      </c>
      <c r="B759" s="43" t="s">
        <v>5529</v>
      </c>
      <c r="C759" s="44" t="s">
        <v>5530</v>
      </c>
      <c r="D759" s="45" t="s">
        <v>4187</v>
      </c>
    </row>
    <row r="760" spans="1:4" ht="47.25" customHeight="1" x14ac:dyDescent="0.25">
      <c r="A760" s="43" t="s">
        <v>3200</v>
      </c>
      <c r="B760" s="43" t="s">
        <v>5531</v>
      </c>
      <c r="C760" s="44" t="s">
        <v>5144</v>
      </c>
      <c r="D760" s="45" t="s">
        <v>4188</v>
      </c>
    </row>
    <row r="761" spans="1:4" ht="47.25" customHeight="1" x14ac:dyDescent="0.25">
      <c r="A761" s="43" t="s">
        <v>3206</v>
      </c>
      <c r="B761" s="43" t="s">
        <v>5532</v>
      </c>
      <c r="C761" s="44" t="s">
        <v>2272</v>
      </c>
      <c r="D761" s="45" t="s">
        <v>4189</v>
      </c>
    </row>
    <row r="762" spans="1:4" ht="31.5" customHeight="1" x14ac:dyDescent="0.25">
      <c r="A762" s="43" t="s">
        <v>3211</v>
      </c>
      <c r="B762" s="43" t="s">
        <v>5533</v>
      </c>
      <c r="C762" s="44" t="s">
        <v>1379</v>
      </c>
      <c r="D762" s="45" t="s">
        <v>4190</v>
      </c>
    </row>
    <row r="763" spans="1:4" ht="47.25" customHeight="1" x14ac:dyDescent="0.25">
      <c r="A763" s="43" t="s">
        <v>3216</v>
      </c>
      <c r="B763" s="43" t="s">
        <v>5534</v>
      </c>
      <c r="C763" s="44" t="s">
        <v>1697</v>
      </c>
      <c r="D763" s="45" t="s">
        <v>4191</v>
      </c>
    </row>
    <row r="764" spans="1:4" ht="31.5" customHeight="1" x14ac:dyDescent="0.25">
      <c r="A764" s="43" t="s">
        <v>3220</v>
      </c>
      <c r="B764" s="43" t="s">
        <v>5535</v>
      </c>
      <c r="C764" s="44" t="s">
        <v>5536</v>
      </c>
      <c r="D764" s="45" t="s">
        <v>4192</v>
      </c>
    </row>
    <row r="765" spans="1:4" ht="31.5" customHeight="1" x14ac:dyDescent="0.25">
      <c r="A765" s="43" t="s">
        <v>3224</v>
      </c>
      <c r="B765" s="43" t="s">
        <v>5537</v>
      </c>
      <c r="C765" s="44" t="s">
        <v>379</v>
      </c>
      <c r="D765" s="45" t="s">
        <v>4193</v>
      </c>
    </row>
    <row r="766" spans="1:4" ht="47.25" customHeight="1" x14ac:dyDescent="0.25">
      <c r="A766" s="43" t="s">
        <v>3227</v>
      </c>
      <c r="B766" s="43" t="s">
        <v>5538</v>
      </c>
      <c r="C766" s="44" t="s">
        <v>1528</v>
      </c>
      <c r="D766" s="45" t="s">
        <v>4194</v>
      </c>
    </row>
    <row r="767" spans="1:4" ht="31.5" customHeight="1" x14ac:dyDescent="0.25">
      <c r="A767" s="43" t="s">
        <v>3231</v>
      </c>
      <c r="B767" s="43" t="s">
        <v>5539</v>
      </c>
      <c r="C767" s="44" t="s">
        <v>202</v>
      </c>
      <c r="D767" s="45" t="s">
        <v>4195</v>
      </c>
    </row>
    <row r="768" spans="1:4" ht="47.25" customHeight="1" x14ac:dyDescent="0.25">
      <c r="A768" s="43" t="s">
        <v>3236</v>
      </c>
      <c r="B768" s="43" t="s">
        <v>5540</v>
      </c>
      <c r="C768" s="44" t="s">
        <v>5541</v>
      </c>
      <c r="D768" s="45" t="s">
        <v>4196</v>
      </c>
    </row>
    <row r="769" spans="1:4" ht="47.25" customHeight="1" x14ac:dyDescent="0.25">
      <c r="A769" s="43" t="s">
        <v>3240</v>
      </c>
      <c r="B769" s="43" t="s">
        <v>5542</v>
      </c>
      <c r="C769" s="44" t="s">
        <v>4848</v>
      </c>
      <c r="D769" s="45" t="s">
        <v>4197</v>
      </c>
    </row>
    <row r="770" spans="1:4" ht="31.5" customHeight="1" x14ac:dyDescent="0.25">
      <c r="A770" s="43" t="s">
        <v>3246</v>
      </c>
      <c r="B770" s="43" t="s">
        <v>5543</v>
      </c>
      <c r="C770" s="44" t="s">
        <v>5544</v>
      </c>
      <c r="D770" s="45" t="s">
        <v>4198</v>
      </c>
    </row>
    <row r="771" spans="1:4" ht="63" customHeight="1" x14ac:dyDescent="0.25">
      <c r="A771" s="43" t="s">
        <v>3251</v>
      </c>
      <c r="B771" s="43" t="s">
        <v>5545</v>
      </c>
      <c r="C771" s="44" t="s">
        <v>2346</v>
      </c>
      <c r="D771" s="45" t="s">
        <v>4199</v>
      </c>
    </row>
    <row r="772" spans="1:4" ht="47.25" customHeight="1" x14ac:dyDescent="0.25">
      <c r="A772" s="43" t="s">
        <v>3255</v>
      </c>
      <c r="B772" s="43" t="s">
        <v>5546</v>
      </c>
      <c r="C772" s="44" t="s">
        <v>1329</v>
      </c>
      <c r="D772" s="45" t="s">
        <v>4200</v>
      </c>
    </row>
    <row r="773" spans="1:4" ht="31.5" customHeight="1" x14ac:dyDescent="0.25">
      <c r="A773" s="43" t="s">
        <v>3259</v>
      </c>
      <c r="B773" s="43" t="s">
        <v>5547</v>
      </c>
      <c r="C773" s="44" t="s">
        <v>2411</v>
      </c>
      <c r="D773" s="45" t="s">
        <v>4201</v>
      </c>
    </row>
    <row r="774" spans="1:4" ht="47.25" customHeight="1" x14ac:dyDescent="0.25">
      <c r="A774" s="43" t="s">
        <v>3262</v>
      </c>
      <c r="B774" s="43" t="s">
        <v>5548</v>
      </c>
      <c r="C774" s="44" t="s">
        <v>1477</v>
      </c>
      <c r="D774" s="45" t="s">
        <v>4202</v>
      </c>
    </row>
    <row r="775" spans="1:4" ht="47.25" customHeight="1" x14ac:dyDescent="0.25">
      <c r="A775" s="43" t="s">
        <v>3267</v>
      </c>
      <c r="B775" s="43" t="s">
        <v>5549</v>
      </c>
      <c r="C775" s="44" t="s">
        <v>3208</v>
      </c>
      <c r="D775" s="45" t="s">
        <v>4203</v>
      </c>
    </row>
    <row r="776" spans="1:4" ht="47.25" customHeight="1" x14ac:dyDescent="0.25">
      <c r="A776" s="43" t="s">
        <v>3271</v>
      </c>
      <c r="B776" s="43" t="s">
        <v>5550</v>
      </c>
      <c r="C776" s="44" t="s">
        <v>1477</v>
      </c>
      <c r="D776" s="45" t="s">
        <v>4204</v>
      </c>
    </row>
    <row r="777" spans="1:4" ht="63" customHeight="1" x14ac:dyDescent="0.25">
      <c r="A777" s="43" t="s">
        <v>3274</v>
      </c>
      <c r="B777" s="43" t="s">
        <v>5551</v>
      </c>
      <c r="C777" s="44" t="s">
        <v>5552</v>
      </c>
      <c r="D777" s="45" t="s">
        <v>4205</v>
      </c>
    </row>
    <row r="778" spans="1:4" ht="63" customHeight="1" x14ac:dyDescent="0.25">
      <c r="A778" s="43" t="s">
        <v>3279</v>
      </c>
      <c r="B778" s="43" t="s">
        <v>5553</v>
      </c>
      <c r="C778" s="44" t="s">
        <v>5554</v>
      </c>
      <c r="D778" s="45" t="s">
        <v>4206</v>
      </c>
    </row>
    <row r="779" spans="1:4" ht="31.5" customHeight="1" x14ac:dyDescent="0.25">
      <c r="A779" s="43" t="s">
        <v>3284</v>
      </c>
      <c r="B779" s="43" t="s">
        <v>5555</v>
      </c>
      <c r="C779" s="44" t="s">
        <v>618</v>
      </c>
      <c r="D779" s="45" t="s">
        <v>4207</v>
      </c>
    </row>
    <row r="780" spans="1:4" ht="31.5" customHeight="1" x14ac:dyDescent="0.25">
      <c r="A780" s="43" t="s">
        <v>3287</v>
      </c>
      <c r="B780" s="43" t="s">
        <v>5556</v>
      </c>
      <c r="C780" s="44" t="s">
        <v>379</v>
      </c>
      <c r="D780" s="45" t="s">
        <v>4208</v>
      </c>
    </row>
    <row r="781" spans="1:4" ht="47.25" customHeight="1" x14ac:dyDescent="0.25">
      <c r="A781" s="43" t="s">
        <v>3291</v>
      </c>
      <c r="B781" s="43" t="s">
        <v>5557</v>
      </c>
      <c r="C781" s="44" t="s">
        <v>2317</v>
      </c>
      <c r="D781" s="45" t="s">
        <v>4209</v>
      </c>
    </row>
    <row r="782" spans="1:4" ht="47.25" customHeight="1" x14ac:dyDescent="0.25">
      <c r="A782" s="43" t="s">
        <v>3295</v>
      </c>
      <c r="B782" s="43" t="s">
        <v>5558</v>
      </c>
      <c r="C782" s="44" t="s">
        <v>5559</v>
      </c>
      <c r="D782" s="45" t="s">
        <v>4210</v>
      </c>
    </row>
    <row r="783" spans="1:4" ht="31.5" customHeight="1" x14ac:dyDescent="0.25">
      <c r="A783" s="43" t="s">
        <v>3300</v>
      </c>
      <c r="B783" s="43" t="s">
        <v>5560</v>
      </c>
      <c r="C783" s="44" t="s">
        <v>3064</v>
      </c>
      <c r="D783" s="45" t="s">
        <v>4211</v>
      </c>
    </row>
    <row r="784" spans="1:4" ht="47.25" customHeight="1" x14ac:dyDescent="0.25">
      <c r="A784" s="43" t="s">
        <v>3304</v>
      </c>
      <c r="B784" s="43" t="s">
        <v>5561</v>
      </c>
      <c r="C784" s="44" t="s">
        <v>5562</v>
      </c>
      <c r="D784" s="45" t="s">
        <v>4212</v>
      </c>
    </row>
    <row r="785" spans="1:4" ht="31.5" customHeight="1" x14ac:dyDescent="0.25">
      <c r="A785" s="43" t="s">
        <v>3308</v>
      </c>
      <c r="B785" s="43" t="s">
        <v>5563</v>
      </c>
      <c r="C785" s="44" t="s">
        <v>1379</v>
      </c>
      <c r="D785" s="45" t="s">
        <v>4213</v>
      </c>
    </row>
    <row r="786" spans="1:4" ht="47.25" customHeight="1" x14ac:dyDescent="0.25">
      <c r="A786" s="43" t="s">
        <v>3313</v>
      </c>
      <c r="B786" s="43" t="s">
        <v>5564</v>
      </c>
      <c r="C786" s="44" t="s">
        <v>396</v>
      </c>
      <c r="D786" s="45" t="s">
        <v>4214</v>
      </c>
    </row>
    <row r="787" spans="1:4" ht="47.25" customHeight="1" x14ac:dyDescent="0.25">
      <c r="A787" s="43" t="s">
        <v>3317</v>
      </c>
      <c r="B787" s="43" t="s">
        <v>5565</v>
      </c>
      <c r="C787" s="44" t="s">
        <v>2706</v>
      </c>
      <c r="D787" s="45" t="s">
        <v>4215</v>
      </c>
    </row>
    <row r="788" spans="1:4" ht="47.25" customHeight="1" x14ac:dyDescent="0.25">
      <c r="A788" s="43" t="s">
        <v>3321</v>
      </c>
      <c r="B788" s="43" t="s">
        <v>5566</v>
      </c>
      <c r="C788" s="44" t="s">
        <v>824</v>
      </c>
      <c r="D788" s="45" t="s">
        <v>4216</v>
      </c>
    </row>
    <row r="789" spans="1:4" ht="31.5" customHeight="1" x14ac:dyDescent="0.25">
      <c r="A789" s="43" t="s">
        <v>3325</v>
      </c>
      <c r="B789" s="43" t="s">
        <v>5567</v>
      </c>
      <c r="C789" s="44" t="s">
        <v>5568</v>
      </c>
      <c r="D789" s="45" t="s">
        <v>4217</v>
      </c>
    </row>
    <row r="790" spans="1:4" ht="47.25" customHeight="1" x14ac:dyDescent="0.25">
      <c r="A790" s="43" t="s">
        <v>3329</v>
      </c>
      <c r="B790" s="43" t="s">
        <v>5569</v>
      </c>
      <c r="C790" s="44" t="s">
        <v>429</v>
      </c>
      <c r="D790" s="45" t="s">
        <v>4218</v>
      </c>
    </row>
    <row r="791" spans="1:4" ht="31.5" customHeight="1" x14ac:dyDescent="0.25">
      <c r="A791" s="43" t="s">
        <v>3333</v>
      </c>
      <c r="B791" s="43" t="s">
        <v>5570</v>
      </c>
      <c r="C791" s="44" t="s">
        <v>4942</v>
      </c>
      <c r="D791" s="45" t="s">
        <v>4219</v>
      </c>
    </row>
    <row r="792" spans="1:4" ht="47.25" customHeight="1" x14ac:dyDescent="0.25">
      <c r="A792" s="43" t="s">
        <v>3338</v>
      </c>
      <c r="B792" s="43" t="s">
        <v>5571</v>
      </c>
      <c r="C792" s="44" t="s">
        <v>957</v>
      </c>
      <c r="D792" s="45" t="s">
        <v>4220</v>
      </c>
    </row>
    <row r="793" spans="1:4" ht="47.25" customHeight="1" x14ac:dyDescent="0.25">
      <c r="A793" s="43" t="s">
        <v>3342</v>
      </c>
      <c r="B793" s="43" t="s">
        <v>5572</v>
      </c>
      <c r="C793" s="44" t="s">
        <v>4647</v>
      </c>
      <c r="D793" s="45" t="s">
        <v>4221</v>
      </c>
    </row>
    <row r="794" spans="1:4" ht="63" customHeight="1" x14ac:dyDescent="0.25">
      <c r="A794" s="43" t="s">
        <v>3346</v>
      </c>
      <c r="B794" s="43" t="s">
        <v>5573</v>
      </c>
      <c r="C794" s="44" t="s">
        <v>1106</v>
      </c>
      <c r="D794" s="45" t="s">
        <v>4222</v>
      </c>
    </row>
    <row r="795" spans="1:4" ht="63" customHeight="1" x14ac:dyDescent="0.25">
      <c r="A795" s="43" t="s">
        <v>3350</v>
      </c>
      <c r="B795" s="43" t="s">
        <v>5574</v>
      </c>
      <c r="C795" s="44" t="s">
        <v>578</v>
      </c>
      <c r="D795" s="45" t="s">
        <v>4223</v>
      </c>
    </row>
    <row r="796" spans="1:4" ht="47.25" customHeight="1" x14ac:dyDescent="0.25">
      <c r="A796" s="43" t="s">
        <v>3354</v>
      </c>
      <c r="B796" s="43" t="s">
        <v>5575</v>
      </c>
      <c r="C796" s="44" t="s">
        <v>657</v>
      </c>
      <c r="D796" s="45" t="s">
        <v>4224</v>
      </c>
    </row>
    <row r="797" spans="1:4" ht="78.75" customHeight="1" x14ac:dyDescent="0.25">
      <c r="A797" s="43" t="s">
        <v>3357</v>
      </c>
      <c r="B797" s="43" t="s">
        <v>5576</v>
      </c>
      <c r="C797" s="44" t="s">
        <v>4945</v>
      </c>
      <c r="D797" s="45" t="s">
        <v>4225</v>
      </c>
    </row>
    <row r="798" spans="1:4" ht="63" customHeight="1" x14ac:dyDescent="0.25">
      <c r="A798" s="43" t="s">
        <v>3361</v>
      </c>
      <c r="B798" s="43" t="s">
        <v>5577</v>
      </c>
      <c r="C798" s="44" t="s">
        <v>358</v>
      </c>
      <c r="D798" s="45" t="s">
        <v>4226</v>
      </c>
    </row>
    <row r="799" spans="1:4" ht="31.5" customHeight="1" x14ac:dyDescent="0.25">
      <c r="A799" s="43" t="s">
        <v>3365</v>
      </c>
      <c r="B799" s="43" t="s">
        <v>5578</v>
      </c>
      <c r="C799" s="44" t="s">
        <v>509</v>
      </c>
      <c r="D799" s="45" t="s">
        <v>4227</v>
      </c>
    </row>
    <row r="800" spans="1:4" ht="31.5" customHeight="1" x14ac:dyDescent="0.25">
      <c r="A800" s="43" t="s">
        <v>3369</v>
      </c>
      <c r="B800" s="43" t="s">
        <v>5579</v>
      </c>
      <c r="C800" s="44" t="s">
        <v>1697</v>
      </c>
      <c r="D800" s="45" t="s">
        <v>4228</v>
      </c>
    </row>
    <row r="801" spans="1:4" ht="47.25" customHeight="1" x14ac:dyDescent="0.25">
      <c r="A801" s="43" t="s">
        <v>3374</v>
      </c>
      <c r="B801" s="43" t="s">
        <v>5580</v>
      </c>
      <c r="C801" s="44" t="s">
        <v>633</v>
      </c>
      <c r="D801" s="45" t="s">
        <v>4229</v>
      </c>
    </row>
    <row r="802" spans="1:4" ht="31.5" customHeight="1" x14ac:dyDescent="0.25">
      <c r="A802" s="43" t="s">
        <v>3379</v>
      </c>
      <c r="B802" s="43" t="s">
        <v>5581</v>
      </c>
      <c r="C802" s="44" t="s">
        <v>924</v>
      </c>
      <c r="D802" s="45" t="s">
        <v>4230</v>
      </c>
    </row>
    <row r="803" spans="1:4" ht="47.25" customHeight="1" x14ac:dyDescent="0.25">
      <c r="A803" s="43" t="s">
        <v>3384</v>
      </c>
      <c r="B803" s="43" t="s">
        <v>5582</v>
      </c>
      <c r="C803" s="44" t="s">
        <v>1106</v>
      </c>
      <c r="D803" s="45" t="s">
        <v>4231</v>
      </c>
    </row>
    <row r="804" spans="1:4" ht="47.25" customHeight="1" x14ac:dyDescent="0.25">
      <c r="A804" s="43" t="s">
        <v>3388</v>
      </c>
      <c r="B804" s="43" t="s">
        <v>5583</v>
      </c>
      <c r="C804" s="44" t="s">
        <v>4792</v>
      </c>
      <c r="D804" s="45" t="s">
        <v>4232</v>
      </c>
    </row>
    <row r="805" spans="1:4" ht="47.25" customHeight="1" x14ac:dyDescent="0.25">
      <c r="A805" s="43" t="s">
        <v>3391</v>
      </c>
      <c r="B805" s="43" t="s">
        <v>5584</v>
      </c>
      <c r="C805" s="44" t="s">
        <v>4783</v>
      </c>
      <c r="D805" s="45" t="s">
        <v>4233</v>
      </c>
    </row>
    <row r="806" spans="1:4" ht="47.25" customHeight="1" x14ac:dyDescent="0.25">
      <c r="A806" s="43" t="s">
        <v>3396</v>
      </c>
      <c r="B806" s="43" t="s">
        <v>5585</v>
      </c>
      <c r="C806" s="44" t="s">
        <v>324</v>
      </c>
      <c r="D806" s="45" t="s">
        <v>4234</v>
      </c>
    </row>
    <row r="807" spans="1:4" ht="63" customHeight="1" x14ac:dyDescent="0.25">
      <c r="A807" s="43" t="s">
        <v>3401</v>
      </c>
      <c r="B807" s="43" t="s">
        <v>5586</v>
      </c>
      <c r="C807" s="44" t="s">
        <v>4945</v>
      </c>
      <c r="D807" s="45" t="s">
        <v>4235</v>
      </c>
    </row>
    <row r="808" spans="1:4" ht="47.25" customHeight="1" x14ac:dyDescent="0.25">
      <c r="A808" s="43" t="s">
        <v>3405</v>
      </c>
      <c r="B808" s="43" t="s">
        <v>5587</v>
      </c>
      <c r="C808" s="44" t="s">
        <v>5588</v>
      </c>
      <c r="D808" s="45" t="s">
        <v>4236</v>
      </c>
    </row>
    <row r="809" spans="1:4" ht="47.25" customHeight="1" x14ac:dyDescent="0.25">
      <c r="A809" s="43" t="s">
        <v>3407</v>
      </c>
      <c r="B809" s="43" t="s">
        <v>5589</v>
      </c>
      <c r="C809" s="44" t="s">
        <v>3393</v>
      </c>
      <c r="D809" s="45" t="s">
        <v>4237</v>
      </c>
    </row>
    <row r="810" spans="1:4" ht="47.25" customHeight="1" x14ac:dyDescent="0.25">
      <c r="A810" s="43" t="s">
        <v>3409</v>
      </c>
      <c r="B810" s="43" t="s">
        <v>5590</v>
      </c>
      <c r="C810" s="44" t="s">
        <v>4783</v>
      </c>
      <c r="D810" s="45" t="s">
        <v>4238</v>
      </c>
    </row>
    <row r="811" spans="1:4" ht="47.25" customHeight="1" x14ac:dyDescent="0.25">
      <c r="A811" s="43" t="s">
        <v>3411</v>
      </c>
      <c r="B811" s="43" t="s">
        <v>5591</v>
      </c>
      <c r="C811" s="44" t="s">
        <v>112</v>
      </c>
      <c r="D811" s="45" t="s">
        <v>4239</v>
      </c>
    </row>
    <row r="812" spans="1:4" ht="47.25" customHeight="1" x14ac:dyDescent="0.25">
      <c r="A812" s="43" t="s">
        <v>3413</v>
      </c>
      <c r="B812" s="43" t="s">
        <v>5592</v>
      </c>
      <c r="C812" s="44" t="s">
        <v>5593</v>
      </c>
      <c r="D812" s="45" t="s">
        <v>4240</v>
      </c>
    </row>
    <row r="813" spans="1:4" ht="63" customHeight="1" x14ac:dyDescent="0.25">
      <c r="A813" s="43" t="s">
        <v>3415</v>
      </c>
      <c r="B813" s="43" t="s">
        <v>5594</v>
      </c>
      <c r="C813" s="44" t="s">
        <v>786</v>
      </c>
      <c r="D813" s="45" t="s">
        <v>4241</v>
      </c>
    </row>
    <row r="814" spans="1:4" ht="31.5" customHeight="1" x14ac:dyDescent="0.25">
      <c r="A814" s="43" t="s">
        <v>3417</v>
      </c>
      <c r="B814" s="43" t="s">
        <v>5595</v>
      </c>
      <c r="C814" s="44" t="s">
        <v>1329</v>
      </c>
      <c r="D814" s="45" t="s">
        <v>4242</v>
      </c>
    </row>
    <row r="815" spans="1:4" ht="78.75" customHeight="1" x14ac:dyDescent="0.25">
      <c r="A815" s="43" t="s">
        <v>3419</v>
      </c>
      <c r="B815" s="43" t="s">
        <v>5596</v>
      </c>
      <c r="C815" s="44" t="s">
        <v>5597</v>
      </c>
      <c r="D815" s="45" t="s">
        <v>4243</v>
      </c>
    </row>
    <row r="816" spans="1:4" ht="63" customHeight="1" x14ac:dyDescent="0.25">
      <c r="A816" s="43" t="s">
        <v>3421</v>
      </c>
      <c r="B816" s="43" t="s">
        <v>5598</v>
      </c>
      <c r="C816" s="44" t="s">
        <v>363</v>
      </c>
      <c r="D816" s="45" t="s">
        <v>4244</v>
      </c>
    </row>
    <row r="817" spans="1:4" ht="78.75" customHeight="1" x14ac:dyDescent="0.25">
      <c r="A817" s="43" t="s">
        <v>3423</v>
      </c>
      <c r="B817" s="43" t="s">
        <v>5599</v>
      </c>
      <c r="C817" s="44" t="s">
        <v>227</v>
      </c>
      <c r="D817" s="45" t="s">
        <v>4245</v>
      </c>
    </row>
    <row r="818" spans="1:4" ht="31.5" customHeight="1" x14ac:dyDescent="0.25">
      <c r="A818" s="43" t="s">
        <v>3425</v>
      </c>
      <c r="B818" s="43" t="s">
        <v>5600</v>
      </c>
      <c r="C818" s="44" t="s">
        <v>5601</v>
      </c>
      <c r="D818" s="45" t="s">
        <v>4246</v>
      </c>
    </row>
    <row r="819" spans="1:4" ht="31.5" customHeight="1" x14ac:dyDescent="0.25">
      <c r="A819" s="43" t="s">
        <v>5602</v>
      </c>
      <c r="B819" s="43" t="s">
        <v>5603</v>
      </c>
      <c r="C819" s="44" t="s">
        <v>1329</v>
      </c>
      <c r="D819" s="45" t="s">
        <v>4247</v>
      </c>
    </row>
    <row r="820" spans="1:4" ht="47.25" customHeight="1" x14ac:dyDescent="0.25">
      <c r="A820" s="43" t="s">
        <v>5604</v>
      </c>
      <c r="B820" s="43" t="s">
        <v>5605</v>
      </c>
      <c r="C820" s="44" t="s">
        <v>1528</v>
      </c>
      <c r="D820" s="45" t="s">
        <v>4248</v>
      </c>
    </row>
    <row r="821" spans="1:4" ht="63" customHeight="1" x14ac:dyDescent="0.25">
      <c r="A821" s="43" t="s">
        <v>5606</v>
      </c>
      <c r="B821" s="43" t="s">
        <v>5607</v>
      </c>
      <c r="C821" s="44" t="s">
        <v>5608</v>
      </c>
      <c r="D821" s="45" t="s">
        <v>4249</v>
      </c>
    </row>
    <row r="822" spans="1:4" ht="31.5" customHeight="1" x14ac:dyDescent="0.25">
      <c r="A822" s="43" t="s">
        <v>5609</v>
      </c>
      <c r="B822" s="43" t="s">
        <v>5610</v>
      </c>
      <c r="C822" s="44" t="s">
        <v>5209</v>
      </c>
      <c r="D822" s="45" t="s">
        <v>4250</v>
      </c>
    </row>
    <row r="823" spans="1:4" ht="31.5" customHeight="1" x14ac:dyDescent="0.25">
      <c r="A823" s="43" t="s">
        <v>5611</v>
      </c>
      <c r="B823" s="43" t="s">
        <v>5612</v>
      </c>
      <c r="C823" s="44" t="s">
        <v>1329</v>
      </c>
      <c r="D823" s="45" t="s">
        <v>4251</v>
      </c>
    </row>
    <row r="824" spans="1:4" ht="15.75" customHeight="1" x14ac:dyDescent="0.25">
      <c r="A824" s="43" t="s">
        <v>5613</v>
      </c>
      <c r="B824" s="43" t="s">
        <v>5614</v>
      </c>
      <c r="C824" s="44" t="s">
        <v>2050</v>
      </c>
      <c r="D824" s="45" t="s">
        <v>4252</v>
      </c>
    </row>
    <row r="825" spans="1:4" ht="31.5" customHeight="1" x14ac:dyDescent="0.25">
      <c r="A825" s="43" t="s">
        <v>5615</v>
      </c>
      <c r="B825" s="43" t="s">
        <v>5616</v>
      </c>
      <c r="C825" s="44" t="s">
        <v>5209</v>
      </c>
      <c r="D825" s="45" t="s">
        <v>4253</v>
      </c>
    </row>
    <row r="826" spans="1:4" ht="63" customHeight="1" x14ac:dyDescent="0.25">
      <c r="A826" s="43" t="s">
        <v>5617</v>
      </c>
      <c r="B826" s="43" t="s">
        <v>5618</v>
      </c>
      <c r="C826" s="44" t="s">
        <v>100</v>
      </c>
      <c r="D826" s="45" t="s">
        <v>4254</v>
      </c>
    </row>
    <row r="827" spans="1:4" ht="78.75" customHeight="1" x14ac:dyDescent="0.25">
      <c r="A827" s="43" t="s">
        <v>5619</v>
      </c>
      <c r="B827" s="43" t="s">
        <v>5620</v>
      </c>
      <c r="C827" s="44" t="s">
        <v>5588</v>
      </c>
      <c r="D827" s="45" t="s">
        <v>4255</v>
      </c>
    </row>
    <row r="828" spans="1:4" ht="47.25" customHeight="1" x14ac:dyDescent="0.25">
      <c r="A828" s="43" t="s">
        <v>5621</v>
      </c>
      <c r="B828" s="43" t="s">
        <v>5622</v>
      </c>
      <c r="C828" s="44" t="s">
        <v>2439</v>
      </c>
      <c r="D828" s="45" t="s">
        <v>4256</v>
      </c>
    </row>
    <row r="829" spans="1:4" ht="31.5" customHeight="1" x14ac:dyDescent="0.25">
      <c r="A829" s="43" t="s">
        <v>5623</v>
      </c>
      <c r="B829" s="43" t="s">
        <v>5624</v>
      </c>
      <c r="C829" s="44" t="s">
        <v>5248</v>
      </c>
      <c r="D829" s="45" t="s">
        <v>4257</v>
      </c>
    </row>
    <row r="830" spans="1:4" ht="63" customHeight="1" x14ac:dyDescent="0.25">
      <c r="A830" s="43" t="s">
        <v>5625</v>
      </c>
      <c r="B830" s="43" t="s">
        <v>5626</v>
      </c>
      <c r="C830" s="44" t="s">
        <v>1482</v>
      </c>
      <c r="D830" s="45" t="s">
        <v>4258</v>
      </c>
    </row>
    <row r="831" spans="1:4" ht="47.25" customHeight="1" x14ac:dyDescent="0.25">
      <c r="A831" s="43" t="s">
        <v>5627</v>
      </c>
      <c r="B831" s="43" t="s">
        <v>5628</v>
      </c>
      <c r="C831" s="44" t="s">
        <v>5248</v>
      </c>
      <c r="D831" s="45" t="s">
        <v>4259</v>
      </c>
    </row>
    <row r="832" spans="1:4" ht="63" customHeight="1" x14ac:dyDescent="0.25">
      <c r="A832" s="43" t="s">
        <v>5629</v>
      </c>
      <c r="B832" s="43" t="s">
        <v>5630</v>
      </c>
      <c r="C832" s="44" t="s">
        <v>633</v>
      </c>
      <c r="D832" s="45" t="s">
        <v>4260</v>
      </c>
    </row>
    <row r="833" spans="1:5" ht="31.5" customHeight="1" x14ac:dyDescent="0.25">
      <c r="A833" s="43" t="s">
        <v>5631</v>
      </c>
      <c r="B833" s="43" t="s">
        <v>5632</v>
      </c>
      <c r="C833" s="44" t="s">
        <v>1300</v>
      </c>
      <c r="D833" s="45" t="s">
        <v>4261</v>
      </c>
    </row>
    <row r="834" spans="1:5" ht="31.5" customHeight="1" x14ac:dyDescent="0.25">
      <c r="A834" s="43" t="s">
        <v>5633</v>
      </c>
      <c r="B834" s="43" t="s">
        <v>5634</v>
      </c>
      <c r="C834" s="44" t="s">
        <v>5635</v>
      </c>
      <c r="D834" s="45" t="s">
        <v>4262</v>
      </c>
    </row>
    <row r="835" spans="1:5" ht="47.25" customHeight="1" x14ac:dyDescent="0.25">
      <c r="A835" s="43" t="s">
        <v>5636</v>
      </c>
      <c r="B835" s="43" t="s">
        <v>5637</v>
      </c>
      <c r="C835" s="44" t="s">
        <v>156</v>
      </c>
      <c r="D835" s="45" t="s">
        <v>4263</v>
      </c>
    </row>
    <row r="836" spans="1:5" ht="47.25" customHeight="1" x14ac:dyDescent="0.25">
      <c r="A836" s="43" t="s">
        <v>5638</v>
      </c>
      <c r="B836" s="43" t="s">
        <v>5639</v>
      </c>
      <c r="C836" s="44" t="s">
        <v>5248</v>
      </c>
      <c r="D836" s="45" t="s">
        <v>4264</v>
      </c>
    </row>
    <row r="837" spans="1:5" ht="63" customHeight="1" x14ac:dyDescent="0.25">
      <c r="A837" s="43" t="s">
        <v>5640</v>
      </c>
      <c r="B837" s="43" t="s">
        <v>5641</v>
      </c>
      <c r="C837" s="44" t="s">
        <v>5642</v>
      </c>
      <c r="D837" s="45" t="s">
        <v>4265</v>
      </c>
    </row>
    <row r="838" spans="1:5" ht="31.5" customHeight="1" x14ac:dyDescent="0.25">
      <c r="A838" s="43" t="s">
        <v>5643</v>
      </c>
      <c r="B838" s="43" t="s">
        <v>5644</v>
      </c>
      <c r="C838" s="44" t="s">
        <v>5562</v>
      </c>
      <c r="D838" s="45" t="s">
        <v>4266</v>
      </c>
    </row>
    <row r="839" spans="1:5" ht="47.25" customHeight="1" x14ac:dyDescent="0.25">
      <c r="A839" s="43" t="s">
        <v>5645</v>
      </c>
      <c r="B839" s="43" t="s">
        <v>5646</v>
      </c>
      <c r="C839" s="44" t="s">
        <v>5647</v>
      </c>
      <c r="D839" s="45" t="s">
        <v>4267</v>
      </c>
    </row>
    <row r="840" spans="1:5" ht="31.5" customHeight="1" x14ac:dyDescent="0.25">
      <c r="A840" s="43" t="s">
        <v>5648</v>
      </c>
      <c r="B840" s="43" t="s">
        <v>5649</v>
      </c>
      <c r="C840" s="44" t="s">
        <v>5650</v>
      </c>
      <c r="D840" s="45" t="s">
        <v>4268</v>
      </c>
    </row>
    <row r="841" spans="1:5" ht="63" customHeight="1" x14ac:dyDescent="0.25">
      <c r="A841" s="43" t="s">
        <v>5651</v>
      </c>
      <c r="B841" s="43" t="s">
        <v>5652</v>
      </c>
      <c r="C841" s="44" t="s">
        <v>2188</v>
      </c>
      <c r="D841" s="45" t="s">
        <v>4269</v>
      </c>
    </row>
    <row r="842" spans="1:5" ht="47.25" customHeight="1" x14ac:dyDescent="0.25">
      <c r="A842" s="43" t="s">
        <v>5653</v>
      </c>
      <c r="B842" s="43" t="s">
        <v>5654</v>
      </c>
      <c r="C842" s="44" t="s">
        <v>2188</v>
      </c>
      <c r="D842" s="45" t="s">
        <v>4270</v>
      </c>
    </row>
    <row r="843" spans="1:5" ht="47.25" customHeight="1" x14ac:dyDescent="0.25">
      <c r="A843" s="43" t="s">
        <v>5655</v>
      </c>
      <c r="B843" s="43" t="s">
        <v>5656</v>
      </c>
      <c r="C843" s="44" t="s">
        <v>5657</v>
      </c>
      <c r="D843" s="45" t="s">
        <v>4271</v>
      </c>
    </row>
    <row r="844" spans="1:5" ht="31.5" customHeight="1" x14ac:dyDescent="0.25">
      <c r="A844" s="43" t="s">
        <v>5658</v>
      </c>
      <c r="B844" s="43" t="s">
        <v>5659</v>
      </c>
      <c r="C844" s="44" t="s">
        <v>1197</v>
      </c>
      <c r="D844" s="45" t="s">
        <v>4272</v>
      </c>
    </row>
    <row r="845" spans="1:5" s="31" customFormat="1" ht="31.5" customHeight="1" x14ac:dyDescent="0.25">
      <c r="A845" s="43" t="s">
        <v>5660</v>
      </c>
      <c r="B845" s="43" t="s">
        <v>5661</v>
      </c>
      <c r="C845" s="44" t="s">
        <v>5662</v>
      </c>
      <c r="D845" s="45" t="s">
        <v>4273</v>
      </c>
      <c r="E845" s="29"/>
    </row>
    <row r="846" spans="1:5" s="31" customFormat="1" ht="63" customHeight="1" x14ac:dyDescent="0.25">
      <c r="A846" s="43" t="s">
        <v>5663</v>
      </c>
      <c r="B846" s="43" t="s">
        <v>5664</v>
      </c>
      <c r="C846" s="44" t="s">
        <v>1533</v>
      </c>
      <c r="D846" s="45" t="s">
        <v>4274</v>
      </c>
      <c r="E846" s="29"/>
    </row>
    <row r="847" spans="1:5" s="31" customFormat="1" ht="31.5" customHeight="1" x14ac:dyDescent="0.25">
      <c r="A847" s="43" t="s">
        <v>5665</v>
      </c>
      <c r="B847" s="43" t="s">
        <v>5666</v>
      </c>
      <c r="C847" s="44" t="s">
        <v>795</v>
      </c>
      <c r="D847" s="45" t="s">
        <v>4275</v>
      </c>
      <c r="E847" s="29"/>
    </row>
    <row r="848" spans="1:5" s="31" customFormat="1" ht="47.25" customHeight="1" x14ac:dyDescent="0.25">
      <c r="A848" s="43" t="s">
        <v>5667</v>
      </c>
      <c r="B848" s="43" t="s">
        <v>5668</v>
      </c>
      <c r="C848" s="44" t="s">
        <v>2706</v>
      </c>
      <c r="D848" s="45" t="s">
        <v>4276</v>
      </c>
      <c r="E848" s="29"/>
    </row>
    <row r="849" spans="1:5" s="31" customFormat="1" ht="31.5" customHeight="1" x14ac:dyDescent="0.25">
      <c r="A849" s="43" t="s">
        <v>5669</v>
      </c>
      <c r="B849" s="43" t="s">
        <v>5670</v>
      </c>
      <c r="C849" s="44" t="s">
        <v>5662</v>
      </c>
      <c r="D849" s="45" t="s">
        <v>4277</v>
      </c>
      <c r="E849" s="29"/>
    </row>
    <row r="850" spans="1:5" s="31" customFormat="1" ht="31.5" customHeight="1" x14ac:dyDescent="0.25">
      <c r="A850" s="43" t="s">
        <v>5671</v>
      </c>
      <c r="B850" s="43" t="s">
        <v>5672</v>
      </c>
      <c r="C850" s="44" t="s">
        <v>4949</v>
      </c>
      <c r="D850" s="45" t="s">
        <v>4278</v>
      </c>
      <c r="E850" s="29"/>
    </row>
    <row r="851" spans="1:5" s="31" customFormat="1" ht="47.25" customHeight="1" x14ac:dyDescent="0.25">
      <c r="A851" s="43" t="s">
        <v>5673</v>
      </c>
      <c r="B851" s="43" t="s">
        <v>5674</v>
      </c>
      <c r="C851" s="44" t="s">
        <v>1477</v>
      </c>
      <c r="D851" s="45" t="s">
        <v>4279</v>
      </c>
      <c r="E851" s="29"/>
    </row>
    <row r="852" spans="1:5" s="31" customFormat="1" ht="31.5" customHeight="1" x14ac:dyDescent="0.25">
      <c r="A852" s="43" t="s">
        <v>5675</v>
      </c>
      <c r="B852" s="43" t="s">
        <v>5676</v>
      </c>
      <c r="C852" s="44" t="s">
        <v>5359</v>
      </c>
      <c r="D852" s="45" t="s">
        <v>4280</v>
      </c>
      <c r="E852" s="29"/>
    </row>
    <row r="853" spans="1:5" s="31" customFormat="1" ht="63" customHeight="1" x14ac:dyDescent="0.25">
      <c r="A853" s="43" t="s">
        <v>5677</v>
      </c>
      <c r="B853" s="43" t="s">
        <v>5678</v>
      </c>
      <c r="C853" s="44" t="s">
        <v>186</v>
      </c>
      <c r="D853" s="45" t="s">
        <v>4281</v>
      </c>
      <c r="E853" s="29"/>
    </row>
    <row r="854" spans="1:5" s="31" customFormat="1" ht="31.5" customHeight="1" x14ac:dyDescent="0.25">
      <c r="A854" s="43" t="s">
        <v>5679</v>
      </c>
      <c r="B854" s="43" t="s">
        <v>5680</v>
      </c>
      <c r="C854" s="44" t="s">
        <v>1374</v>
      </c>
      <c r="D854" s="45" t="s">
        <v>4282</v>
      </c>
      <c r="E854" s="29"/>
    </row>
    <row r="855" spans="1:5" s="31" customFormat="1" ht="31.5" customHeight="1" x14ac:dyDescent="0.25">
      <c r="A855" s="43" t="s">
        <v>5681</v>
      </c>
      <c r="B855" s="43" t="s">
        <v>5682</v>
      </c>
      <c r="C855" s="44" t="s">
        <v>419</v>
      </c>
      <c r="D855" s="45" t="s">
        <v>4283</v>
      </c>
      <c r="E855" s="29"/>
    </row>
    <row r="856" spans="1:5" s="31" customFormat="1" ht="47.25" customHeight="1" x14ac:dyDescent="0.25">
      <c r="A856" s="43" t="s">
        <v>5683</v>
      </c>
      <c r="B856" s="43" t="s">
        <v>5684</v>
      </c>
      <c r="C856" s="44" t="s">
        <v>5248</v>
      </c>
      <c r="D856" s="45" t="s">
        <v>4284</v>
      </c>
      <c r="E856" s="29"/>
    </row>
    <row r="857" spans="1:5" s="31" customFormat="1" ht="63" customHeight="1" x14ac:dyDescent="0.25">
      <c r="A857" s="43" t="s">
        <v>5685</v>
      </c>
      <c r="B857" s="43" t="s">
        <v>5686</v>
      </c>
      <c r="C857" s="44" t="s">
        <v>5146</v>
      </c>
      <c r="D857" s="45" t="s">
        <v>4285</v>
      </c>
      <c r="E857" s="29"/>
    </row>
    <row r="858" spans="1:5" s="31" customFormat="1" ht="31.5" customHeight="1" x14ac:dyDescent="0.25">
      <c r="A858" s="43" t="s">
        <v>5687</v>
      </c>
      <c r="B858" s="43" t="s">
        <v>5688</v>
      </c>
      <c r="C858" s="44" t="s">
        <v>396</v>
      </c>
      <c r="D858" s="45" t="s">
        <v>4286</v>
      </c>
      <c r="E858" s="29"/>
    </row>
    <row r="859" spans="1:5" ht="47.25" customHeight="1" x14ac:dyDescent="0.25">
      <c r="A859" s="43" t="s">
        <v>5689</v>
      </c>
      <c r="B859" s="43" t="s">
        <v>5690</v>
      </c>
      <c r="C859" s="44" t="s">
        <v>1432</v>
      </c>
      <c r="D859" s="45" t="s">
        <v>4287</v>
      </c>
    </row>
    <row r="860" spans="1:5" ht="47.25" customHeight="1" x14ac:dyDescent="0.25">
      <c r="A860" s="43" t="s">
        <v>5691</v>
      </c>
      <c r="B860" s="43" t="s">
        <v>5692</v>
      </c>
      <c r="C860" s="44" t="s">
        <v>186</v>
      </c>
      <c r="D860" s="45" t="s">
        <v>4288</v>
      </c>
    </row>
    <row r="861" spans="1:5" ht="31.5" customHeight="1" x14ac:dyDescent="0.25">
      <c r="A861" s="43" t="s">
        <v>5693</v>
      </c>
      <c r="B861" s="43" t="s">
        <v>5694</v>
      </c>
      <c r="C861" s="44" t="s">
        <v>5695</v>
      </c>
      <c r="D861" s="45" t="s">
        <v>4289</v>
      </c>
    </row>
    <row r="862" spans="1:5" ht="47.25" customHeight="1" x14ac:dyDescent="0.25">
      <c r="A862" s="43" t="s">
        <v>5696</v>
      </c>
      <c r="B862" s="43" t="s">
        <v>5697</v>
      </c>
      <c r="C862" s="44" t="s">
        <v>5698</v>
      </c>
      <c r="D862" s="45" t="s">
        <v>4290</v>
      </c>
    </row>
    <row r="863" spans="1:5" ht="47.25" customHeight="1" x14ac:dyDescent="0.25">
      <c r="A863" s="43" t="s">
        <v>5699</v>
      </c>
      <c r="B863" s="43" t="s">
        <v>5700</v>
      </c>
      <c r="C863" s="44" t="s">
        <v>2037</v>
      </c>
      <c r="D863" s="45" t="s">
        <v>4291</v>
      </c>
    </row>
    <row r="864" spans="1:5" ht="31.5" customHeight="1" x14ac:dyDescent="0.25">
      <c r="A864" s="43" t="s">
        <v>5701</v>
      </c>
      <c r="B864" s="43" t="s">
        <v>5702</v>
      </c>
      <c r="C864" s="44" t="s">
        <v>5209</v>
      </c>
      <c r="D864" s="45" t="s">
        <v>4292</v>
      </c>
    </row>
    <row r="865" spans="1:4" ht="31.5" customHeight="1" x14ac:dyDescent="0.25">
      <c r="A865" s="43" t="s">
        <v>5703</v>
      </c>
      <c r="B865" s="43" t="s">
        <v>5704</v>
      </c>
      <c r="C865" s="44" t="s">
        <v>578</v>
      </c>
      <c r="D865" s="45" t="s">
        <v>4293</v>
      </c>
    </row>
    <row r="866" spans="1:4" ht="47.25" customHeight="1" x14ac:dyDescent="0.25">
      <c r="A866" s="43" t="s">
        <v>5705</v>
      </c>
      <c r="B866" s="43" t="s">
        <v>5706</v>
      </c>
      <c r="C866" s="44" t="s">
        <v>2037</v>
      </c>
      <c r="D866" s="45" t="s">
        <v>4294</v>
      </c>
    </row>
    <row r="867" spans="1:4" ht="47.25" customHeight="1" x14ac:dyDescent="0.25">
      <c r="A867" s="43" t="s">
        <v>5707</v>
      </c>
      <c r="B867" s="43" t="s">
        <v>5708</v>
      </c>
      <c r="C867" s="44" t="s">
        <v>192</v>
      </c>
      <c r="D867" s="45" t="s">
        <v>4295</v>
      </c>
    </row>
    <row r="868" spans="1:4" ht="63" customHeight="1" x14ac:dyDescent="0.25">
      <c r="A868" s="43" t="s">
        <v>5709</v>
      </c>
      <c r="B868" s="43" t="s">
        <v>5710</v>
      </c>
      <c r="C868" s="44" t="s">
        <v>5711</v>
      </c>
      <c r="D868" s="45" t="s">
        <v>4296</v>
      </c>
    </row>
    <row r="869" spans="1:4" ht="47.25" customHeight="1" x14ac:dyDescent="0.25">
      <c r="A869" s="43" t="s">
        <v>5712</v>
      </c>
      <c r="B869" s="43" t="s">
        <v>5713</v>
      </c>
      <c r="C869" s="44" t="s">
        <v>2188</v>
      </c>
      <c r="D869" s="45" t="s">
        <v>4297</v>
      </c>
    </row>
    <row r="870" spans="1:4" ht="31.5" customHeight="1" x14ac:dyDescent="0.25">
      <c r="A870" s="43" t="s">
        <v>5714</v>
      </c>
      <c r="B870" s="43" t="s">
        <v>5715</v>
      </c>
      <c r="C870" s="44" t="s">
        <v>2188</v>
      </c>
      <c r="D870" s="45" t="s">
        <v>4298</v>
      </c>
    </row>
    <row r="871" spans="1:4" ht="31.5" customHeight="1" x14ac:dyDescent="0.25">
      <c r="A871" s="43" t="s">
        <v>5716</v>
      </c>
      <c r="B871" s="43" t="s">
        <v>5717</v>
      </c>
      <c r="C871" s="44" t="s">
        <v>2188</v>
      </c>
      <c r="D871" s="45" t="s">
        <v>4299</v>
      </c>
    </row>
    <row r="872" spans="1:4" ht="31.5" customHeight="1" x14ac:dyDescent="0.25">
      <c r="A872" s="43" t="s">
        <v>5718</v>
      </c>
      <c r="B872" s="43" t="s">
        <v>5719</v>
      </c>
      <c r="C872" s="44" t="s">
        <v>2188</v>
      </c>
      <c r="D872" s="45" t="s">
        <v>4300</v>
      </c>
    </row>
    <row r="873" spans="1:4" ht="31.5" customHeight="1" x14ac:dyDescent="0.25">
      <c r="A873" s="43" t="s">
        <v>5720</v>
      </c>
      <c r="B873" s="43" t="s">
        <v>5721</v>
      </c>
      <c r="C873" s="44" t="s">
        <v>112</v>
      </c>
      <c r="D873" s="45" t="s">
        <v>4301</v>
      </c>
    </row>
    <row r="874" spans="1:4" ht="47.25" customHeight="1" x14ac:dyDescent="0.25">
      <c r="A874" s="43" t="s">
        <v>5722</v>
      </c>
      <c r="B874" s="43" t="s">
        <v>5723</v>
      </c>
      <c r="C874" s="44" t="s">
        <v>112</v>
      </c>
      <c r="D874" s="45" t="s">
        <v>4302</v>
      </c>
    </row>
    <row r="875" spans="1:4" ht="31.5" customHeight="1" x14ac:dyDescent="0.25">
      <c r="A875" s="43" t="s">
        <v>5724</v>
      </c>
      <c r="B875" s="43" t="s">
        <v>5725</v>
      </c>
      <c r="C875" s="44" t="s">
        <v>363</v>
      </c>
      <c r="D875" s="45" t="s">
        <v>4303</v>
      </c>
    </row>
    <row r="876" spans="1:4" ht="47.25" customHeight="1" x14ac:dyDescent="0.25">
      <c r="A876" s="43" t="s">
        <v>5726</v>
      </c>
      <c r="B876" s="43" t="s">
        <v>5727</v>
      </c>
      <c r="C876" s="44" t="s">
        <v>1207</v>
      </c>
      <c r="D876" s="45" t="s">
        <v>4304</v>
      </c>
    </row>
    <row r="877" spans="1:4" ht="31.5" customHeight="1" x14ac:dyDescent="0.25">
      <c r="A877" s="43" t="s">
        <v>5728</v>
      </c>
      <c r="B877" s="43" t="s">
        <v>5729</v>
      </c>
      <c r="C877" s="44" t="s">
        <v>2037</v>
      </c>
      <c r="D877" s="45" t="s">
        <v>4305</v>
      </c>
    </row>
    <row r="878" spans="1:4" ht="47.25" customHeight="1" x14ac:dyDescent="0.25">
      <c r="A878" s="43" t="s">
        <v>5730</v>
      </c>
      <c r="B878" s="43" t="s">
        <v>5731</v>
      </c>
      <c r="C878" s="44" t="s">
        <v>937</v>
      </c>
      <c r="D878" s="45" t="s">
        <v>4306</v>
      </c>
    </row>
    <row r="879" spans="1:4" ht="63" customHeight="1" x14ac:dyDescent="0.25">
      <c r="A879" s="43" t="s">
        <v>5732</v>
      </c>
      <c r="B879" s="43" t="s">
        <v>5733</v>
      </c>
      <c r="C879" s="44" t="s">
        <v>358</v>
      </c>
      <c r="D879" s="45" t="s">
        <v>4307</v>
      </c>
    </row>
    <row r="880" spans="1:4" ht="63" customHeight="1" x14ac:dyDescent="0.25">
      <c r="A880" s="43" t="s">
        <v>5734</v>
      </c>
      <c r="B880" s="43" t="s">
        <v>5735</v>
      </c>
      <c r="C880" s="44" t="s">
        <v>192</v>
      </c>
      <c r="D880" s="45" t="s">
        <v>4308</v>
      </c>
    </row>
    <row r="881" spans="1:4" ht="63" customHeight="1" x14ac:dyDescent="0.25">
      <c r="A881" s="43" t="s">
        <v>5736</v>
      </c>
      <c r="B881" s="43" t="s">
        <v>5737</v>
      </c>
      <c r="C881" s="44" t="s">
        <v>4788</v>
      </c>
      <c r="D881" s="45" t="s">
        <v>4309</v>
      </c>
    </row>
    <row r="882" spans="1:4" ht="63" customHeight="1" x14ac:dyDescent="0.25">
      <c r="A882" s="43" t="s">
        <v>5738</v>
      </c>
      <c r="B882" s="43" t="s">
        <v>5739</v>
      </c>
      <c r="C882" s="44" t="s">
        <v>379</v>
      </c>
      <c r="D882" s="45" t="s">
        <v>4310</v>
      </c>
    </row>
    <row r="883" spans="1:4" ht="63" customHeight="1" x14ac:dyDescent="0.25">
      <c r="A883" s="43" t="s">
        <v>5740</v>
      </c>
      <c r="B883" s="43" t="s">
        <v>5741</v>
      </c>
      <c r="C883" s="44" t="s">
        <v>5742</v>
      </c>
      <c r="D883" s="45" t="s">
        <v>4311</v>
      </c>
    </row>
    <row r="884" spans="1:4" ht="47.25" customHeight="1" x14ac:dyDescent="0.25">
      <c r="A884" s="43" t="s">
        <v>5743</v>
      </c>
      <c r="B884" s="43" t="s">
        <v>5744</v>
      </c>
      <c r="C884" s="44" t="s">
        <v>1129</v>
      </c>
      <c r="D884" s="45" t="s">
        <v>4312</v>
      </c>
    </row>
    <row r="885" spans="1:4" ht="47.25" customHeight="1" x14ac:dyDescent="0.25">
      <c r="A885" s="43" t="s">
        <v>5745</v>
      </c>
      <c r="B885" s="43" t="s">
        <v>5746</v>
      </c>
      <c r="C885" s="44" t="s">
        <v>468</v>
      </c>
      <c r="D885" s="45" t="s">
        <v>4313</v>
      </c>
    </row>
    <row r="886" spans="1:4" ht="47.25" customHeight="1" x14ac:dyDescent="0.25">
      <c r="A886" s="43" t="s">
        <v>5747</v>
      </c>
      <c r="B886" s="43" t="s">
        <v>5748</v>
      </c>
      <c r="C886" s="44" t="s">
        <v>468</v>
      </c>
      <c r="D886" s="45" t="s">
        <v>4314</v>
      </c>
    </row>
    <row r="887" spans="1:4" ht="31.5" customHeight="1" x14ac:dyDescent="0.25">
      <c r="A887" s="43" t="s">
        <v>5749</v>
      </c>
      <c r="B887" s="43" t="s">
        <v>5750</v>
      </c>
      <c r="C887" s="44" t="s">
        <v>2535</v>
      </c>
      <c r="D887" s="45" t="s">
        <v>4315</v>
      </c>
    </row>
    <row r="888" spans="1:4" ht="31.5" customHeight="1" x14ac:dyDescent="0.25">
      <c r="A888" s="43" t="s">
        <v>5751</v>
      </c>
      <c r="B888" s="43" t="s">
        <v>5752</v>
      </c>
      <c r="C888" s="44" t="s">
        <v>4763</v>
      </c>
      <c r="D888" s="45" t="s">
        <v>4316</v>
      </c>
    </row>
    <row r="889" spans="1:4" ht="31.5" customHeight="1" x14ac:dyDescent="0.25">
      <c r="A889" s="43" t="s">
        <v>5753</v>
      </c>
      <c r="B889" s="43" t="s">
        <v>5754</v>
      </c>
      <c r="C889" s="44" t="s">
        <v>4763</v>
      </c>
      <c r="D889" s="45" t="s">
        <v>4317</v>
      </c>
    </row>
    <row r="890" spans="1:4" ht="31.5" customHeight="1" x14ac:dyDescent="0.25">
      <c r="A890" s="43" t="s">
        <v>5755</v>
      </c>
      <c r="B890" s="43" t="s">
        <v>5756</v>
      </c>
      <c r="C890" s="44" t="s">
        <v>4763</v>
      </c>
      <c r="D890" s="45" t="s">
        <v>4318</v>
      </c>
    </row>
    <row r="891" spans="1:4" ht="31.5" customHeight="1" x14ac:dyDescent="0.25">
      <c r="A891" s="43" t="s">
        <v>5757</v>
      </c>
      <c r="B891" s="43" t="s">
        <v>5758</v>
      </c>
      <c r="C891" s="44" t="s">
        <v>5524</v>
      </c>
      <c r="D891" s="45" t="s">
        <v>4319</v>
      </c>
    </row>
    <row r="892" spans="1:4" ht="47.25" customHeight="1" x14ac:dyDescent="0.25">
      <c r="A892" s="43" t="s">
        <v>5759</v>
      </c>
      <c r="B892" s="43" t="s">
        <v>5760</v>
      </c>
      <c r="C892" s="44" t="s">
        <v>2188</v>
      </c>
      <c r="D892" s="45" t="s">
        <v>4320</v>
      </c>
    </row>
    <row r="893" spans="1:4" ht="47.25" customHeight="1" x14ac:dyDescent="0.25">
      <c r="A893" s="43" t="s">
        <v>5761</v>
      </c>
      <c r="B893" s="43" t="s">
        <v>5762</v>
      </c>
      <c r="C893" s="44" t="s">
        <v>1300</v>
      </c>
      <c r="D893" s="45" t="s">
        <v>4321</v>
      </c>
    </row>
    <row r="894" spans="1:4" ht="31.5" customHeight="1" x14ac:dyDescent="0.25">
      <c r="A894" s="43" t="s">
        <v>5763</v>
      </c>
      <c r="B894" s="43" t="s">
        <v>5764</v>
      </c>
      <c r="C894" s="54" t="s">
        <v>5765</v>
      </c>
      <c r="D894" s="45" t="s">
        <v>4322</v>
      </c>
    </row>
    <row r="895" spans="1:4" ht="63" customHeight="1" x14ac:dyDescent="0.25">
      <c r="A895" s="43" t="s">
        <v>5766</v>
      </c>
      <c r="B895" s="43" t="s">
        <v>5767</v>
      </c>
      <c r="C895" s="44" t="s">
        <v>2282</v>
      </c>
      <c r="D895" s="45" t="s">
        <v>4323</v>
      </c>
    </row>
    <row r="896" spans="1:4" ht="47.25" customHeight="1" x14ac:dyDescent="0.25">
      <c r="A896" s="43" t="s">
        <v>5768</v>
      </c>
      <c r="B896" s="43" t="s">
        <v>5769</v>
      </c>
      <c r="C896" s="44" t="s">
        <v>1427</v>
      </c>
      <c r="D896" s="45" t="s">
        <v>4324</v>
      </c>
    </row>
    <row r="897" spans="1:4" ht="47.25" customHeight="1" x14ac:dyDescent="0.25">
      <c r="A897" s="43" t="s">
        <v>5770</v>
      </c>
      <c r="B897" s="43" t="s">
        <v>5771</v>
      </c>
      <c r="C897" s="44" t="s">
        <v>2219</v>
      </c>
      <c r="D897" s="45" t="s">
        <v>4325</v>
      </c>
    </row>
    <row r="898" spans="1:4" ht="63" customHeight="1" x14ac:dyDescent="0.25">
      <c r="A898" s="43" t="s">
        <v>5772</v>
      </c>
      <c r="B898" s="43" t="s">
        <v>5773</v>
      </c>
      <c r="C898" s="44" t="s">
        <v>1124</v>
      </c>
      <c r="D898" s="45" t="s">
        <v>4326</v>
      </c>
    </row>
    <row r="899" spans="1:4" ht="47.25" customHeight="1" x14ac:dyDescent="0.25">
      <c r="A899" s="43" t="s">
        <v>5774</v>
      </c>
      <c r="B899" s="43" t="s">
        <v>5775</v>
      </c>
      <c r="C899" s="44" t="s">
        <v>5194</v>
      </c>
      <c r="D899" s="45" t="s">
        <v>4327</v>
      </c>
    </row>
    <row r="900" spans="1:4" ht="47.25" customHeight="1" x14ac:dyDescent="0.25">
      <c r="A900" s="43" t="s">
        <v>5776</v>
      </c>
      <c r="B900" s="43" t="s">
        <v>5777</v>
      </c>
      <c r="C900" s="44" t="s">
        <v>1321</v>
      </c>
      <c r="D900" s="45" t="s">
        <v>4328</v>
      </c>
    </row>
    <row r="901" spans="1:4" ht="31.5" customHeight="1" x14ac:dyDescent="0.25">
      <c r="A901" s="43" t="s">
        <v>5778</v>
      </c>
      <c r="B901" s="43" t="s">
        <v>5779</v>
      </c>
      <c r="C901" s="44" t="s">
        <v>1863</v>
      </c>
      <c r="D901" s="45" t="s">
        <v>4329</v>
      </c>
    </row>
    <row r="902" spans="1:4" ht="63" customHeight="1" x14ac:dyDescent="0.25">
      <c r="A902" s="43" t="s">
        <v>5780</v>
      </c>
      <c r="B902" s="43" t="s">
        <v>5781</v>
      </c>
      <c r="C902" s="44" t="s">
        <v>924</v>
      </c>
      <c r="D902" s="45" t="s">
        <v>4330</v>
      </c>
    </row>
    <row r="903" spans="1:4" ht="47.25" customHeight="1" x14ac:dyDescent="0.25">
      <c r="A903" s="43" t="s">
        <v>5782</v>
      </c>
      <c r="B903" s="43" t="s">
        <v>5783</v>
      </c>
      <c r="C903" s="44" t="s">
        <v>604</v>
      </c>
      <c r="D903" s="45" t="s">
        <v>4331</v>
      </c>
    </row>
    <row r="904" spans="1:4" ht="47.25" customHeight="1" x14ac:dyDescent="0.25">
      <c r="A904" s="43" t="s">
        <v>5784</v>
      </c>
      <c r="B904" s="43" t="s">
        <v>5785</v>
      </c>
      <c r="C904" s="44" t="s">
        <v>5248</v>
      </c>
      <c r="D904" s="45" t="s">
        <v>4332</v>
      </c>
    </row>
    <row r="905" spans="1:4" ht="47.25" customHeight="1" x14ac:dyDescent="0.25">
      <c r="A905" s="43" t="s">
        <v>5786</v>
      </c>
      <c r="B905" s="43" t="s">
        <v>5787</v>
      </c>
      <c r="C905" s="44" t="s">
        <v>1191</v>
      </c>
      <c r="D905" s="45" t="s">
        <v>4333</v>
      </c>
    </row>
    <row r="906" spans="1:4" ht="31.5" customHeight="1" x14ac:dyDescent="0.25">
      <c r="A906" s="43" t="s">
        <v>5788</v>
      </c>
      <c r="B906" s="43" t="s">
        <v>5789</v>
      </c>
      <c r="C906" s="44" t="s">
        <v>1379</v>
      </c>
      <c r="D906" s="45" t="s">
        <v>4334</v>
      </c>
    </row>
    <row r="907" spans="1:4" ht="31.5" customHeight="1" x14ac:dyDescent="0.25">
      <c r="A907" s="43" t="s">
        <v>5790</v>
      </c>
      <c r="B907" s="43" t="s">
        <v>5791</v>
      </c>
      <c r="C907" s="44" t="s">
        <v>1353</v>
      </c>
      <c r="D907" s="45" t="s">
        <v>4335</v>
      </c>
    </row>
    <row r="908" spans="1:4" ht="47.25" customHeight="1" x14ac:dyDescent="0.25">
      <c r="A908" s="43" t="s">
        <v>5792</v>
      </c>
      <c r="B908" s="43" t="s">
        <v>5793</v>
      </c>
      <c r="C908" s="44" t="s">
        <v>1106</v>
      </c>
      <c r="D908" s="45" t="s">
        <v>4336</v>
      </c>
    </row>
    <row r="909" spans="1:4" ht="78.75" customHeight="1" x14ac:dyDescent="0.25">
      <c r="A909" s="43" t="s">
        <v>5794</v>
      </c>
      <c r="B909" s="43" t="s">
        <v>5795</v>
      </c>
      <c r="C909" s="44" t="s">
        <v>4620</v>
      </c>
      <c r="D909" s="45" t="s">
        <v>4337</v>
      </c>
    </row>
    <row r="910" spans="1:4" ht="31.5" customHeight="1" x14ac:dyDescent="0.25">
      <c r="A910" s="43" t="s">
        <v>5796</v>
      </c>
      <c r="B910" s="43" t="s">
        <v>5797</v>
      </c>
      <c r="C910" s="44" t="s">
        <v>2188</v>
      </c>
      <c r="D910" s="45" t="s">
        <v>4338</v>
      </c>
    </row>
    <row r="911" spans="1:4" ht="47.25" customHeight="1" x14ac:dyDescent="0.25">
      <c r="A911" s="43" t="s">
        <v>5798</v>
      </c>
      <c r="B911" s="43" t="s">
        <v>5799</v>
      </c>
      <c r="C911" s="44" t="s">
        <v>4603</v>
      </c>
      <c r="D911" s="45" t="s">
        <v>4339</v>
      </c>
    </row>
    <row r="912" spans="1:4" ht="31.5" customHeight="1" x14ac:dyDescent="0.25">
      <c r="A912" s="43" t="s">
        <v>5800</v>
      </c>
      <c r="B912" s="43" t="s">
        <v>5801</v>
      </c>
      <c r="C912" s="44" t="s">
        <v>4603</v>
      </c>
      <c r="D912" s="45" t="s">
        <v>4340</v>
      </c>
    </row>
    <row r="913" spans="1:4" ht="31.5" customHeight="1" x14ac:dyDescent="0.25">
      <c r="A913" s="43" t="s">
        <v>5802</v>
      </c>
      <c r="B913" s="43" t="s">
        <v>5803</v>
      </c>
      <c r="C913" s="44" t="s">
        <v>4603</v>
      </c>
      <c r="D913" s="45" t="s">
        <v>4341</v>
      </c>
    </row>
    <row r="914" spans="1:4" ht="31.5" customHeight="1" x14ac:dyDescent="0.25">
      <c r="A914" s="43" t="s">
        <v>5804</v>
      </c>
      <c r="B914" s="43" t="s">
        <v>5805</v>
      </c>
      <c r="C914" s="44" t="s">
        <v>4603</v>
      </c>
      <c r="D914" s="45" t="s">
        <v>4342</v>
      </c>
    </row>
    <row r="915" spans="1:4" ht="47.25" customHeight="1" x14ac:dyDescent="0.25">
      <c r="A915" s="43" t="s">
        <v>5806</v>
      </c>
      <c r="B915" s="43" t="s">
        <v>5807</v>
      </c>
      <c r="C915" s="44" t="s">
        <v>4603</v>
      </c>
      <c r="D915" s="45" t="s">
        <v>4343</v>
      </c>
    </row>
    <row r="916" spans="1:4" ht="31.5" customHeight="1" x14ac:dyDescent="0.25">
      <c r="A916" s="43" t="s">
        <v>5808</v>
      </c>
      <c r="B916" s="43" t="s">
        <v>5809</v>
      </c>
      <c r="C916" s="44" t="s">
        <v>1584</v>
      </c>
      <c r="D916" s="45" t="s">
        <v>4344</v>
      </c>
    </row>
    <row r="917" spans="1:4" ht="31.5" customHeight="1" x14ac:dyDescent="0.25">
      <c r="A917" s="43" t="s">
        <v>5810</v>
      </c>
      <c r="B917" s="43" t="s">
        <v>5811</v>
      </c>
      <c r="C917" s="44" t="s">
        <v>260</v>
      </c>
      <c r="D917" s="45" t="s">
        <v>4345</v>
      </c>
    </row>
    <row r="918" spans="1:4" ht="47.25" customHeight="1" x14ac:dyDescent="0.25">
      <c r="A918" s="43" t="s">
        <v>5812</v>
      </c>
      <c r="B918" s="43" t="s">
        <v>5813</v>
      </c>
      <c r="C918" s="44" t="s">
        <v>514</v>
      </c>
      <c r="D918" s="45" t="s">
        <v>4346</v>
      </c>
    </row>
    <row r="919" spans="1:4" ht="31.5" customHeight="1" x14ac:dyDescent="0.25">
      <c r="A919" s="43" t="s">
        <v>5814</v>
      </c>
      <c r="B919" s="43" t="s">
        <v>5815</v>
      </c>
      <c r="C919" s="44" t="s">
        <v>5816</v>
      </c>
      <c r="D919" s="45" t="s">
        <v>4347</v>
      </c>
    </row>
    <row r="920" spans="1:4" ht="31.5" customHeight="1" x14ac:dyDescent="0.25">
      <c r="A920" s="43" t="s">
        <v>5817</v>
      </c>
      <c r="B920" s="43" t="s">
        <v>5818</v>
      </c>
      <c r="C920" s="44" t="s">
        <v>5819</v>
      </c>
      <c r="D920" s="45" t="s">
        <v>4348</v>
      </c>
    </row>
    <row r="921" spans="1:4" ht="31.5" customHeight="1" x14ac:dyDescent="0.25">
      <c r="A921" s="43" t="s">
        <v>5820</v>
      </c>
      <c r="B921" s="43" t="s">
        <v>5821</v>
      </c>
      <c r="C921" s="44" t="s">
        <v>781</v>
      </c>
      <c r="D921" s="45" t="s">
        <v>4349</v>
      </c>
    </row>
    <row r="922" spans="1:4" ht="63" customHeight="1" x14ac:dyDescent="0.25">
      <c r="A922" s="43" t="s">
        <v>5822</v>
      </c>
      <c r="B922" s="43" t="s">
        <v>5823</v>
      </c>
      <c r="C922" s="44" t="s">
        <v>1052</v>
      </c>
      <c r="D922" s="45" t="s">
        <v>4350</v>
      </c>
    </row>
    <row r="923" spans="1:4" ht="63" customHeight="1" x14ac:dyDescent="0.25">
      <c r="A923" s="43" t="s">
        <v>5824</v>
      </c>
      <c r="B923" s="43" t="s">
        <v>5825</v>
      </c>
      <c r="C923" s="44" t="s">
        <v>1973</v>
      </c>
      <c r="D923" s="45" t="s">
        <v>4351</v>
      </c>
    </row>
    <row r="924" spans="1:4" ht="47.25" customHeight="1" x14ac:dyDescent="0.25">
      <c r="A924" s="43" t="s">
        <v>5826</v>
      </c>
      <c r="B924" s="43" t="s">
        <v>5827</v>
      </c>
      <c r="C924" s="44" t="s">
        <v>95</v>
      </c>
      <c r="D924" s="45" t="s">
        <v>4352</v>
      </c>
    </row>
    <row r="925" spans="1:4" ht="47.25" customHeight="1" x14ac:dyDescent="0.25">
      <c r="A925" s="43" t="s">
        <v>5828</v>
      </c>
      <c r="B925" s="43" t="s">
        <v>5829</v>
      </c>
      <c r="C925" s="44" t="s">
        <v>509</v>
      </c>
      <c r="D925" s="45" t="s">
        <v>4353</v>
      </c>
    </row>
    <row r="926" spans="1:4" ht="47.25" customHeight="1" x14ac:dyDescent="0.25">
      <c r="A926" s="43" t="s">
        <v>5830</v>
      </c>
      <c r="B926" s="43" t="s">
        <v>5831</v>
      </c>
      <c r="C926" s="44" t="s">
        <v>209</v>
      </c>
      <c r="D926" s="45" t="s">
        <v>4354</v>
      </c>
    </row>
    <row r="927" spans="1:4" ht="47.25" customHeight="1" x14ac:dyDescent="0.25">
      <c r="A927" s="43" t="s">
        <v>5832</v>
      </c>
      <c r="B927" s="43" t="s">
        <v>5833</v>
      </c>
      <c r="C927" s="44" t="s">
        <v>2282</v>
      </c>
      <c r="D927" s="45" t="s">
        <v>4355</v>
      </c>
    </row>
    <row r="928" spans="1:4" ht="31.5" customHeight="1" x14ac:dyDescent="0.25">
      <c r="A928" s="43" t="s">
        <v>5834</v>
      </c>
      <c r="B928" s="43" t="s">
        <v>5835</v>
      </c>
      <c r="C928" s="44" t="s">
        <v>2282</v>
      </c>
      <c r="D928" s="45" t="s">
        <v>4356</v>
      </c>
    </row>
    <row r="929" spans="1:4" ht="63" customHeight="1" x14ac:dyDescent="0.25">
      <c r="A929" s="43" t="s">
        <v>5836</v>
      </c>
      <c r="B929" s="43" t="s">
        <v>5837</v>
      </c>
      <c r="C929" s="44" t="s">
        <v>1202</v>
      </c>
      <c r="D929" s="45" t="s">
        <v>4357</v>
      </c>
    </row>
    <row r="930" spans="1:4" ht="47.25" customHeight="1" x14ac:dyDescent="0.25">
      <c r="A930" s="43" t="s">
        <v>5838</v>
      </c>
      <c r="B930" s="43" t="s">
        <v>5839</v>
      </c>
      <c r="C930" s="44" t="s">
        <v>578</v>
      </c>
      <c r="D930" s="45" t="s">
        <v>4358</v>
      </c>
    </row>
    <row r="931" spans="1:4" ht="31.5" customHeight="1" x14ac:dyDescent="0.25">
      <c r="A931" s="43" t="s">
        <v>5840</v>
      </c>
      <c r="B931" s="43" t="s">
        <v>5841</v>
      </c>
      <c r="C931" s="44" t="s">
        <v>786</v>
      </c>
      <c r="D931" s="45" t="s">
        <v>4359</v>
      </c>
    </row>
    <row r="932" spans="1:4" ht="31.5" customHeight="1" x14ac:dyDescent="0.25">
      <c r="A932" s="43" t="s">
        <v>5842</v>
      </c>
      <c r="B932" s="43" t="s">
        <v>5843</v>
      </c>
      <c r="C932" s="44" t="s">
        <v>3107</v>
      </c>
      <c r="D932" s="45" t="s">
        <v>4360</v>
      </c>
    </row>
    <row r="933" spans="1:4" ht="31.5" customHeight="1" x14ac:dyDescent="0.25">
      <c r="A933" s="43" t="s">
        <v>5844</v>
      </c>
      <c r="B933" s="43" t="s">
        <v>5845</v>
      </c>
      <c r="C933" s="44" t="s">
        <v>509</v>
      </c>
      <c r="D933" s="45" t="s">
        <v>4361</v>
      </c>
    </row>
    <row r="934" spans="1:4" ht="47.25" customHeight="1" x14ac:dyDescent="0.25">
      <c r="A934" s="43" t="s">
        <v>5846</v>
      </c>
      <c r="B934" s="43" t="s">
        <v>5847</v>
      </c>
      <c r="C934" s="44" t="s">
        <v>5848</v>
      </c>
      <c r="D934" s="45" t="s">
        <v>4362</v>
      </c>
    </row>
    <row r="935" spans="1:4" ht="47.25" customHeight="1" x14ac:dyDescent="0.25">
      <c r="A935" s="43" t="s">
        <v>5849</v>
      </c>
      <c r="B935" s="43" t="s">
        <v>5850</v>
      </c>
      <c r="C935" s="44" t="s">
        <v>524</v>
      </c>
      <c r="D935" s="45" t="s">
        <v>4363</v>
      </c>
    </row>
    <row r="936" spans="1:4" ht="31.5" customHeight="1" x14ac:dyDescent="0.25">
      <c r="A936" s="43" t="s">
        <v>5851</v>
      </c>
      <c r="B936" s="43" t="s">
        <v>5852</v>
      </c>
      <c r="C936" s="44" t="s">
        <v>1353</v>
      </c>
      <c r="D936" s="45" t="s">
        <v>4364</v>
      </c>
    </row>
    <row r="937" spans="1:4" ht="47.25" customHeight="1" x14ac:dyDescent="0.25">
      <c r="A937" s="43" t="s">
        <v>5853</v>
      </c>
      <c r="B937" s="43" t="s">
        <v>5854</v>
      </c>
      <c r="C937" s="44" t="s">
        <v>4741</v>
      </c>
      <c r="D937" s="45" t="s">
        <v>4365</v>
      </c>
    </row>
    <row r="938" spans="1:4" ht="47.25" customHeight="1" x14ac:dyDescent="0.25">
      <c r="A938" s="43" t="s">
        <v>5855</v>
      </c>
      <c r="B938" s="43" t="s">
        <v>5856</v>
      </c>
      <c r="C938" s="44" t="s">
        <v>957</v>
      </c>
      <c r="D938" s="45" t="s">
        <v>4366</v>
      </c>
    </row>
    <row r="939" spans="1:4" ht="31.5" customHeight="1" x14ac:dyDescent="0.25">
      <c r="A939" s="43" t="s">
        <v>5857</v>
      </c>
      <c r="B939" s="43" t="s">
        <v>5858</v>
      </c>
      <c r="C939" s="44" t="s">
        <v>468</v>
      </c>
      <c r="D939" s="45" t="s">
        <v>4367</v>
      </c>
    </row>
    <row r="940" spans="1:4" ht="31.5" customHeight="1" x14ac:dyDescent="0.25">
      <c r="A940" s="43" t="s">
        <v>5859</v>
      </c>
      <c r="B940" s="43" t="s">
        <v>5860</v>
      </c>
      <c r="C940" s="44" t="s">
        <v>468</v>
      </c>
      <c r="D940" s="45" t="s">
        <v>4368</v>
      </c>
    </row>
    <row r="941" spans="1:4" ht="63" customHeight="1" x14ac:dyDescent="0.25">
      <c r="A941" s="43" t="s">
        <v>5861</v>
      </c>
      <c r="B941" s="43" t="s">
        <v>5862</v>
      </c>
      <c r="C941" s="44" t="s">
        <v>2586</v>
      </c>
      <c r="D941" s="45" t="s">
        <v>4369</v>
      </c>
    </row>
    <row r="942" spans="1:4" ht="47.25" customHeight="1" x14ac:dyDescent="0.25">
      <c r="A942" s="43" t="s">
        <v>5863</v>
      </c>
      <c r="B942" s="43" t="s">
        <v>5864</v>
      </c>
      <c r="C942" s="44" t="s">
        <v>1584</v>
      </c>
      <c r="D942" s="45" t="s">
        <v>4370</v>
      </c>
    </row>
    <row r="943" spans="1:4" ht="31.5" customHeight="1" x14ac:dyDescent="0.25">
      <c r="A943" s="43" t="s">
        <v>5865</v>
      </c>
      <c r="B943" s="43" t="s">
        <v>5866</v>
      </c>
      <c r="C943" s="44" t="s">
        <v>1477</v>
      </c>
      <c r="D943" s="45" t="s">
        <v>4371</v>
      </c>
    </row>
    <row r="944" spans="1:4" ht="47.25" customHeight="1" x14ac:dyDescent="0.25">
      <c r="A944" s="43" t="s">
        <v>5867</v>
      </c>
      <c r="B944" s="43" t="s">
        <v>5868</v>
      </c>
      <c r="C944" s="44" t="s">
        <v>100</v>
      </c>
      <c r="D944" s="45" t="s">
        <v>4372</v>
      </c>
    </row>
    <row r="945" spans="1:4" ht="47.25" customHeight="1" x14ac:dyDescent="0.25">
      <c r="A945" s="43" t="s">
        <v>5869</v>
      </c>
      <c r="B945" s="43" t="s">
        <v>5870</v>
      </c>
      <c r="C945" s="44" t="s">
        <v>5871</v>
      </c>
      <c r="D945" s="45" t="s">
        <v>4373</v>
      </c>
    </row>
    <row r="946" spans="1:4" ht="63" customHeight="1" x14ac:dyDescent="0.25">
      <c r="A946" s="43" t="s">
        <v>5872</v>
      </c>
      <c r="B946" s="43" t="s">
        <v>5873</v>
      </c>
      <c r="C946" s="44" t="s">
        <v>340</v>
      </c>
      <c r="D946" s="45" t="s">
        <v>4374</v>
      </c>
    </row>
    <row r="947" spans="1:4" ht="31.5" customHeight="1" x14ac:dyDescent="0.25">
      <c r="A947" s="43" t="s">
        <v>5874</v>
      </c>
      <c r="B947" s="43" t="s">
        <v>5875</v>
      </c>
      <c r="C947" s="44" t="s">
        <v>192</v>
      </c>
      <c r="D947" s="45" t="s">
        <v>4375</v>
      </c>
    </row>
    <row r="948" spans="1:4" ht="31.5" customHeight="1" x14ac:dyDescent="0.25">
      <c r="A948" s="43" t="s">
        <v>5876</v>
      </c>
      <c r="B948" s="43" t="s">
        <v>5877</v>
      </c>
      <c r="C948" s="44" t="s">
        <v>1584</v>
      </c>
      <c r="D948" s="45" t="s">
        <v>4376</v>
      </c>
    </row>
    <row r="949" spans="1:4" ht="47.25" customHeight="1" x14ac:dyDescent="0.25">
      <c r="A949" s="43" t="s">
        <v>5878</v>
      </c>
      <c r="B949" s="43" t="s">
        <v>5879</v>
      </c>
      <c r="C949" s="44" t="s">
        <v>5880</v>
      </c>
      <c r="D949" s="45" t="s">
        <v>4377</v>
      </c>
    </row>
    <row r="950" spans="1:4" ht="31.5" customHeight="1" x14ac:dyDescent="0.25">
      <c r="A950" s="43" t="s">
        <v>5881</v>
      </c>
      <c r="B950" s="43" t="s">
        <v>5882</v>
      </c>
      <c r="C950" s="44" t="s">
        <v>144</v>
      </c>
      <c r="D950" s="45" t="s">
        <v>4378</v>
      </c>
    </row>
    <row r="951" spans="1:4" ht="47.25" customHeight="1" x14ac:dyDescent="0.25">
      <c r="A951" s="43" t="s">
        <v>5883</v>
      </c>
      <c r="B951" s="43" t="s">
        <v>5884</v>
      </c>
      <c r="C951" s="44" t="s">
        <v>5698</v>
      </c>
      <c r="D951" s="45" t="s">
        <v>4379</v>
      </c>
    </row>
    <row r="952" spans="1:4" ht="47.25" customHeight="1" x14ac:dyDescent="0.25">
      <c r="A952" s="43" t="s">
        <v>5885</v>
      </c>
      <c r="B952" s="43" t="s">
        <v>5886</v>
      </c>
      <c r="C952" s="44" t="s">
        <v>560</v>
      </c>
      <c r="D952" s="45" t="s">
        <v>4380</v>
      </c>
    </row>
    <row r="953" spans="1:4" ht="78.75" customHeight="1" x14ac:dyDescent="0.25">
      <c r="A953" s="43" t="s">
        <v>5887</v>
      </c>
      <c r="B953" s="43" t="s">
        <v>5888</v>
      </c>
      <c r="C953" s="44" t="s">
        <v>1300</v>
      </c>
      <c r="D953" s="45" t="s">
        <v>4381</v>
      </c>
    </row>
    <row r="954" spans="1:4" ht="31.5" customHeight="1" x14ac:dyDescent="0.25">
      <c r="A954" s="43" t="s">
        <v>5889</v>
      </c>
      <c r="B954" s="43" t="s">
        <v>5890</v>
      </c>
      <c r="C954" s="44" t="s">
        <v>1589</v>
      </c>
      <c r="D954" s="45" t="s">
        <v>4382</v>
      </c>
    </row>
    <row r="955" spans="1:4" ht="31.5" customHeight="1" x14ac:dyDescent="0.25">
      <c r="A955" s="43" t="s">
        <v>5891</v>
      </c>
      <c r="B955" s="43" t="s">
        <v>5892</v>
      </c>
      <c r="C955" s="44" t="s">
        <v>5562</v>
      </c>
      <c r="D955" s="45" t="s">
        <v>4383</v>
      </c>
    </row>
    <row r="956" spans="1:4" ht="63" customHeight="1" x14ac:dyDescent="0.25">
      <c r="A956" s="43" t="s">
        <v>5893</v>
      </c>
      <c r="B956" s="43" t="s">
        <v>5894</v>
      </c>
      <c r="C956" s="44" t="s">
        <v>5895</v>
      </c>
      <c r="D956" s="45" t="s">
        <v>4384</v>
      </c>
    </row>
    <row r="957" spans="1:4" ht="31.5" customHeight="1" x14ac:dyDescent="0.25">
      <c r="A957" s="43" t="s">
        <v>5896</v>
      </c>
      <c r="B957" s="43" t="s">
        <v>5897</v>
      </c>
      <c r="C957" s="44" t="s">
        <v>2411</v>
      </c>
      <c r="D957" s="45" t="s">
        <v>4385</v>
      </c>
    </row>
    <row r="958" spans="1:4" ht="31.5" customHeight="1" x14ac:dyDescent="0.25">
      <c r="A958" s="43" t="s">
        <v>5898</v>
      </c>
      <c r="B958" s="43" t="s">
        <v>5899</v>
      </c>
      <c r="C958" s="44" t="s">
        <v>424</v>
      </c>
      <c r="D958" s="45" t="s">
        <v>4386</v>
      </c>
    </row>
    <row r="959" spans="1:4" ht="31.5" customHeight="1" x14ac:dyDescent="0.25">
      <c r="A959" s="43" t="s">
        <v>5900</v>
      </c>
      <c r="B959" s="43" t="s">
        <v>5901</v>
      </c>
      <c r="C959" s="44" t="s">
        <v>5334</v>
      </c>
      <c r="D959" s="45" t="s">
        <v>4387</v>
      </c>
    </row>
    <row r="960" spans="1:4" ht="47.25" customHeight="1" x14ac:dyDescent="0.25">
      <c r="A960" s="43" t="s">
        <v>5902</v>
      </c>
      <c r="B960" s="43" t="s">
        <v>5903</v>
      </c>
      <c r="C960" s="44" t="s">
        <v>483</v>
      </c>
      <c r="D960" s="45" t="s">
        <v>4388</v>
      </c>
    </row>
    <row r="961" spans="1:4" ht="47.25" customHeight="1" x14ac:dyDescent="0.25">
      <c r="A961" s="43" t="s">
        <v>5904</v>
      </c>
      <c r="B961" s="43" t="s">
        <v>5905</v>
      </c>
      <c r="C961" s="44" t="s">
        <v>5906</v>
      </c>
      <c r="D961" s="45" t="s">
        <v>4389</v>
      </c>
    </row>
    <row r="962" spans="1:4" ht="31.5" customHeight="1" x14ac:dyDescent="0.25">
      <c r="A962" s="43" t="s">
        <v>5907</v>
      </c>
      <c r="B962" s="43" t="s">
        <v>5908</v>
      </c>
      <c r="C962" s="44" t="s">
        <v>95</v>
      </c>
      <c r="D962" s="45" t="s">
        <v>4390</v>
      </c>
    </row>
    <row r="963" spans="1:4" ht="63" customHeight="1" x14ac:dyDescent="0.25">
      <c r="A963" s="43" t="s">
        <v>5909</v>
      </c>
      <c r="B963" s="43" t="s">
        <v>5910</v>
      </c>
      <c r="C963" s="44" t="s">
        <v>374</v>
      </c>
      <c r="D963" s="45" t="s">
        <v>4391</v>
      </c>
    </row>
    <row r="964" spans="1:4" ht="47.25" customHeight="1" x14ac:dyDescent="0.25">
      <c r="A964" s="43" t="s">
        <v>5911</v>
      </c>
      <c r="B964" s="43" t="s">
        <v>5912</v>
      </c>
      <c r="C964" s="44" t="s">
        <v>162</v>
      </c>
      <c r="D964" s="45" t="s">
        <v>4392</v>
      </c>
    </row>
    <row r="965" spans="1:4" ht="47.25" customHeight="1" x14ac:dyDescent="0.25">
      <c r="A965" s="43" t="s">
        <v>5913</v>
      </c>
      <c r="B965" s="43" t="s">
        <v>5914</v>
      </c>
      <c r="C965" s="44" t="s">
        <v>965</v>
      </c>
      <c r="D965" s="45" t="s">
        <v>4393</v>
      </c>
    </row>
    <row r="966" spans="1:4" ht="63" customHeight="1" x14ac:dyDescent="0.25">
      <c r="A966" s="43" t="s">
        <v>5915</v>
      </c>
      <c r="B966" s="43" t="s">
        <v>5916</v>
      </c>
      <c r="C966" s="44" t="s">
        <v>396</v>
      </c>
      <c r="D966" s="45" t="s">
        <v>4394</v>
      </c>
    </row>
    <row r="967" spans="1:4" ht="47.25" customHeight="1" x14ac:dyDescent="0.25">
      <c r="A967" s="43" t="s">
        <v>5917</v>
      </c>
      <c r="B967" s="43" t="s">
        <v>5918</v>
      </c>
      <c r="C967" s="44" t="s">
        <v>1584</v>
      </c>
      <c r="D967" s="45" t="s">
        <v>4395</v>
      </c>
    </row>
    <row r="968" spans="1:4" ht="31.5" customHeight="1" x14ac:dyDescent="0.25">
      <c r="A968" s="43" t="s">
        <v>5919</v>
      </c>
      <c r="B968" s="43" t="s">
        <v>5920</v>
      </c>
      <c r="C968" s="44" t="s">
        <v>5921</v>
      </c>
      <c r="D968" s="45" t="s">
        <v>4396</v>
      </c>
    </row>
    <row r="969" spans="1:4" ht="63" customHeight="1" x14ac:dyDescent="0.25">
      <c r="A969" s="43" t="s">
        <v>5922</v>
      </c>
      <c r="B969" s="43" t="s">
        <v>5923</v>
      </c>
      <c r="C969" s="44" t="s">
        <v>1300</v>
      </c>
      <c r="D969" s="45" t="s">
        <v>4397</v>
      </c>
    </row>
    <row r="970" spans="1:4" ht="47.25" customHeight="1" x14ac:dyDescent="0.25">
      <c r="A970" s="43" t="s">
        <v>5924</v>
      </c>
      <c r="B970" s="43" t="s">
        <v>5925</v>
      </c>
      <c r="C970" s="44" t="s">
        <v>1300</v>
      </c>
      <c r="D970" s="45" t="s">
        <v>4398</v>
      </c>
    </row>
    <row r="971" spans="1:4" ht="63" customHeight="1" x14ac:dyDescent="0.25">
      <c r="A971" s="43" t="s">
        <v>5926</v>
      </c>
      <c r="B971" s="43" t="s">
        <v>5927</v>
      </c>
      <c r="C971" s="44" t="s">
        <v>5928</v>
      </c>
      <c r="D971" s="45" t="s">
        <v>4399</v>
      </c>
    </row>
    <row r="972" spans="1:4" ht="47.25" customHeight="1" x14ac:dyDescent="0.25">
      <c r="A972" s="43" t="s">
        <v>5929</v>
      </c>
      <c r="B972" s="43" t="s">
        <v>5930</v>
      </c>
      <c r="C972" s="44" t="s">
        <v>1197</v>
      </c>
      <c r="D972" s="45" t="s">
        <v>4400</v>
      </c>
    </row>
    <row r="973" spans="1:4" ht="31.5" customHeight="1" x14ac:dyDescent="0.25">
      <c r="A973" s="43" t="s">
        <v>5931</v>
      </c>
      <c r="B973" s="43" t="s">
        <v>5932</v>
      </c>
      <c r="C973" s="44" t="s">
        <v>1427</v>
      </c>
      <c r="D973" s="45" t="s">
        <v>4401</v>
      </c>
    </row>
    <row r="974" spans="1:4" ht="47.25" customHeight="1" x14ac:dyDescent="0.25">
      <c r="A974" s="43" t="s">
        <v>5933</v>
      </c>
      <c r="B974" s="43" t="s">
        <v>5934</v>
      </c>
      <c r="C974" s="44" t="s">
        <v>744</v>
      </c>
      <c r="D974" s="45" t="s">
        <v>4402</v>
      </c>
    </row>
    <row r="975" spans="1:4" ht="31.5" customHeight="1" x14ac:dyDescent="0.25">
      <c r="A975" s="43" t="s">
        <v>5935</v>
      </c>
      <c r="B975" s="43" t="s">
        <v>5936</v>
      </c>
      <c r="C975" s="44" t="s">
        <v>5937</v>
      </c>
      <c r="D975" s="45" t="s">
        <v>4403</v>
      </c>
    </row>
    <row r="976" spans="1:4" ht="63" customHeight="1" x14ac:dyDescent="0.25">
      <c r="A976" s="43" t="s">
        <v>5938</v>
      </c>
      <c r="B976" s="43" t="s">
        <v>5939</v>
      </c>
      <c r="C976" s="44" t="s">
        <v>5937</v>
      </c>
      <c r="D976" s="45" t="s">
        <v>4404</v>
      </c>
    </row>
    <row r="977" spans="1:4" ht="47.25" customHeight="1" x14ac:dyDescent="0.25">
      <c r="A977" s="43" t="s">
        <v>5940</v>
      </c>
      <c r="B977" s="43" t="s">
        <v>5941</v>
      </c>
      <c r="C977" s="44" t="s">
        <v>5942</v>
      </c>
      <c r="D977" s="45" t="s">
        <v>4405</v>
      </c>
    </row>
    <row r="978" spans="1:4" ht="31.5" customHeight="1" x14ac:dyDescent="0.25">
      <c r="A978" s="43" t="s">
        <v>5943</v>
      </c>
      <c r="B978" s="43" t="s">
        <v>5944</v>
      </c>
      <c r="C978" s="44" t="s">
        <v>5945</v>
      </c>
      <c r="D978" s="45" t="s">
        <v>4406</v>
      </c>
    </row>
    <row r="979" spans="1:4" ht="47.25" customHeight="1" x14ac:dyDescent="0.25">
      <c r="A979" s="43" t="s">
        <v>5946</v>
      </c>
      <c r="B979" s="43" t="s">
        <v>5947</v>
      </c>
      <c r="C979" s="44" t="s">
        <v>4961</v>
      </c>
      <c r="D979" s="45" t="s">
        <v>4407</v>
      </c>
    </row>
    <row r="980" spans="1:4" ht="31.5" customHeight="1" x14ac:dyDescent="0.25">
      <c r="A980" s="43" t="s">
        <v>5948</v>
      </c>
      <c r="B980" s="43" t="s">
        <v>5949</v>
      </c>
      <c r="C980" s="44" t="s">
        <v>5950</v>
      </c>
      <c r="D980" s="45" t="s">
        <v>4408</v>
      </c>
    </row>
    <row r="981" spans="1:4" ht="47.25" customHeight="1" x14ac:dyDescent="0.25">
      <c r="A981" s="43" t="s">
        <v>5951</v>
      </c>
      <c r="B981" s="43" t="s">
        <v>5952</v>
      </c>
      <c r="C981" s="44" t="s">
        <v>279</v>
      </c>
      <c r="D981" s="45" t="s">
        <v>4409</v>
      </c>
    </row>
    <row r="982" spans="1:4" ht="47.25" customHeight="1" x14ac:dyDescent="0.25">
      <c r="A982" s="43" t="s">
        <v>5953</v>
      </c>
      <c r="B982" s="43" t="s">
        <v>5954</v>
      </c>
      <c r="C982" s="44" t="s">
        <v>652</v>
      </c>
      <c r="D982" s="45" t="s">
        <v>4410</v>
      </c>
    </row>
    <row r="983" spans="1:4" ht="63" customHeight="1" x14ac:dyDescent="0.25">
      <c r="A983" s="43" t="s">
        <v>5955</v>
      </c>
      <c r="B983" s="43" t="s">
        <v>5956</v>
      </c>
      <c r="C983" s="44" t="s">
        <v>1843</v>
      </c>
      <c r="D983" s="45" t="s">
        <v>4411</v>
      </c>
    </row>
    <row r="984" spans="1:4" ht="47.25" customHeight="1" x14ac:dyDescent="0.25">
      <c r="A984" s="43" t="s">
        <v>5957</v>
      </c>
      <c r="B984" s="43" t="s">
        <v>5958</v>
      </c>
      <c r="C984" s="44" t="s">
        <v>358</v>
      </c>
      <c r="D984" s="45" t="s">
        <v>4412</v>
      </c>
    </row>
    <row r="985" spans="1:4" ht="78.75" customHeight="1" x14ac:dyDescent="0.25">
      <c r="A985" s="43" t="s">
        <v>5959</v>
      </c>
      <c r="B985" s="43" t="s">
        <v>5960</v>
      </c>
      <c r="C985" s="44" t="s">
        <v>4945</v>
      </c>
      <c r="D985" s="45" t="s">
        <v>4413</v>
      </c>
    </row>
    <row r="986" spans="1:4" ht="31.5" customHeight="1" x14ac:dyDescent="0.25">
      <c r="A986" s="43" t="s">
        <v>5961</v>
      </c>
      <c r="B986" s="43" t="s">
        <v>5962</v>
      </c>
      <c r="C986" s="44" t="s">
        <v>1353</v>
      </c>
      <c r="D986" s="45" t="s">
        <v>4414</v>
      </c>
    </row>
    <row r="987" spans="1:4" ht="47.25" customHeight="1" x14ac:dyDescent="0.25">
      <c r="A987" s="43" t="s">
        <v>5963</v>
      </c>
      <c r="B987" s="43" t="s">
        <v>5964</v>
      </c>
      <c r="C987" s="44" t="s">
        <v>5965</v>
      </c>
      <c r="D987" s="45" t="s">
        <v>4415</v>
      </c>
    </row>
    <row r="988" spans="1:4" ht="47.25" customHeight="1" x14ac:dyDescent="0.25">
      <c r="A988" s="43" t="s">
        <v>5966</v>
      </c>
      <c r="B988" s="43" t="s">
        <v>5967</v>
      </c>
      <c r="C988" s="44" t="s">
        <v>937</v>
      </c>
      <c r="D988" s="45" t="s">
        <v>4416</v>
      </c>
    </row>
    <row r="989" spans="1:4" ht="31.5" customHeight="1" x14ac:dyDescent="0.25">
      <c r="A989" s="43" t="s">
        <v>5968</v>
      </c>
      <c r="B989" s="43" t="s">
        <v>5969</v>
      </c>
      <c r="C989" s="44" t="s">
        <v>3046</v>
      </c>
      <c r="D989" s="45" t="s">
        <v>4417</v>
      </c>
    </row>
    <row r="990" spans="1:4" ht="47.25" customHeight="1" x14ac:dyDescent="0.25">
      <c r="A990" s="43" t="s">
        <v>5970</v>
      </c>
      <c r="B990" s="43" t="s">
        <v>5971</v>
      </c>
      <c r="C990" s="44" t="s">
        <v>5972</v>
      </c>
      <c r="D990" s="45" t="s">
        <v>4418</v>
      </c>
    </row>
    <row r="991" spans="1:4" ht="47.25" customHeight="1" x14ac:dyDescent="0.25">
      <c r="A991" s="43" t="s">
        <v>5973</v>
      </c>
      <c r="B991" s="43" t="s">
        <v>5974</v>
      </c>
      <c r="C991" s="44" t="s">
        <v>5921</v>
      </c>
      <c r="D991" s="45" t="s">
        <v>4419</v>
      </c>
    </row>
    <row r="992" spans="1:4" ht="47.25" customHeight="1" x14ac:dyDescent="0.25">
      <c r="A992" s="43" t="s">
        <v>5975</v>
      </c>
      <c r="B992" s="43" t="s">
        <v>5976</v>
      </c>
      <c r="C992" s="54" t="s">
        <v>5977</v>
      </c>
      <c r="D992" s="45" t="s">
        <v>4420</v>
      </c>
    </row>
    <row r="993" spans="1:4" ht="63" customHeight="1" x14ac:dyDescent="0.25">
      <c r="A993" s="43" t="s">
        <v>5978</v>
      </c>
      <c r="B993" s="43" t="s">
        <v>5979</v>
      </c>
      <c r="C993" s="44" t="s">
        <v>227</v>
      </c>
      <c r="D993" s="45" t="s">
        <v>4421</v>
      </c>
    </row>
    <row r="994" spans="1:4" ht="63" customHeight="1" x14ac:dyDescent="0.25">
      <c r="A994" s="43" t="s">
        <v>5980</v>
      </c>
      <c r="B994" s="43" t="s">
        <v>5981</v>
      </c>
      <c r="C994" s="44" t="s">
        <v>227</v>
      </c>
      <c r="D994" s="45" t="s">
        <v>4422</v>
      </c>
    </row>
    <row r="995" spans="1:4" ht="47.25" customHeight="1" x14ac:dyDescent="0.25">
      <c r="A995" s="43" t="s">
        <v>5982</v>
      </c>
      <c r="B995" s="43" t="s">
        <v>5983</v>
      </c>
      <c r="C995" s="44" t="s">
        <v>5965</v>
      </c>
      <c r="D995" s="45" t="s">
        <v>4423</v>
      </c>
    </row>
    <row r="996" spans="1:4" ht="47.25" customHeight="1" x14ac:dyDescent="0.25">
      <c r="A996" s="43" t="s">
        <v>5984</v>
      </c>
      <c r="B996" s="43" t="s">
        <v>5985</v>
      </c>
      <c r="C996" s="44" t="s">
        <v>5965</v>
      </c>
      <c r="D996" s="45" t="s">
        <v>4424</v>
      </c>
    </row>
    <row r="997" spans="1:4" ht="47.25" customHeight="1" x14ac:dyDescent="0.25">
      <c r="A997" s="43" t="s">
        <v>5986</v>
      </c>
      <c r="B997" s="43" t="s">
        <v>5987</v>
      </c>
      <c r="C997" s="44" t="s">
        <v>5647</v>
      </c>
      <c r="D997" s="45" t="s">
        <v>4425</v>
      </c>
    </row>
    <row r="998" spans="1:4" ht="31.5" customHeight="1" x14ac:dyDescent="0.25">
      <c r="A998" s="43" t="s">
        <v>5988</v>
      </c>
      <c r="B998" s="43" t="s">
        <v>5989</v>
      </c>
      <c r="C998" s="44" t="s">
        <v>5215</v>
      </c>
      <c r="D998" s="45" t="s">
        <v>4426</v>
      </c>
    </row>
    <row r="999" spans="1:4" ht="31.5" customHeight="1" x14ac:dyDescent="0.25">
      <c r="A999" s="43" t="s">
        <v>5990</v>
      </c>
      <c r="B999" s="43" t="s">
        <v>5991</v>
      </c>
      <c r="C999" s="44" t="s">
        <v>5992</v>
      </c>
      <c r="D999" s="45" t="s">
        <v>4427</v>
      </c>
    </row>
    <row r="1000" spans="1:4" ht="31.5" customHeight="1" x14ac:dyDescent="0.25">
      <c r="A1000" s="43" t="s">
        <v>5993</v>
      </c>
      <c r="B1000" s="43" t="s">
        <v>5994</v>
      </c>
      <c r="C1000" s="44" t="s">
        <v>340</v>
      </c>
      <c r="D1000" s="45" t="s">
        <v>4428</v>
      </c>
    </row>
    <row r="1001" spans="1:4" ht="47.25" customHeight="1" x14ac:dyDescent="0.25">
      <c r="A1001" s="43" t="s">
        <v>5995</v>
      </c>
      <c r="B1001" s="43" t="s">
        <v>5996</v>
      </c>
      <c r="C1001" s="44" t="s">
        <v>4783</v>
      </c>
      <c r="D1001" s="45" t="s">
        <v>4429</v>
      </c>
    </row>
    <row r="1002" spans="1:4" ht="31.5" customHeight="1" x14ac:dyDescent="0.25">
      <c r="A1002" s="43" t="s">
        <v>5997</v>
      </c>
      <c r="B1002" s="43" t="s">
        <v>5998</v>
      </c>
      <c r="C1002" s="44" t="s">
        <v>3297</v>
      </c>
      <c r="D1002" s="45" t="s">
        <v>4430</v>
      </c>
    </row>
    <row r="1003" spans="1:4" ht="31.5" customHeight="1" x14ac:dyDescent="0.25">
      <c r="A1003" s="43" t="s">
        <v>5999</v>
      </c>
      <c r="B1003" s="43" t="s">
        <v>6000</v>
      </c>
      <c r="C1003" s="44" t="s">
        <v>1353</v>
      </c>
      <c r="D1003" s="45" t="s">
        <v>4431</v>
      </c>
    </row>
    <row r="1004" spans="1:4" ht="63" customHeight="1" x14ac:dyDescent="0.25">
      <c r="A1004" s="43" t="s">
        <v>6001</v>
      </c>
      <c r="B1004" s="43" t="s">
        <v>6002</v>
      </c>
      <c r="C1004" s="44" t="s">
        <v>524</v>
      </c>
      <c r="D1004" s="45" t="s">
        <v>4432</v>
      </c>
    </row>
    <row r="1005" spans="1:4" ht="47.25" customHeight="1" x14ac:dyDescent="0.25">
      <c r="A1005" s="43" t="s">
        <v>6003</v>
      </c>
      <c r="B1005" s="43" t="s">
        <v>6004</v>
      </c>
      <c r="C1005" s="44" t="s">
        <v>6005</v>
      </c>
      <c r="D1005" s="45" t="s">
        <v>4433</v>
      </c>
    </row>
    <row r="1006" spans="1:4" ht="31.5" customHeight="1" x14ac:dyDescent="0.25">
      <c r="A1006" s="43" t="s">
        <v>6006</v>
      </c>
      <c r="B1006" s="43" t="s">
        <v>6007</v>
      </c>
      <c r="C1006" s="44" t="s">
        <v>4792</v>
      </c>
      <c r="D1006" s="45" t="s">
        <v>4434</v>
      </c>
    </row>
    <row r="1007" spans="1:4" ht="31.5" customHeight="1" x14ac:dyDescent="0.25">
      <c r="A1007" s="43" t="s">
        <v>6008</v>
      </c>
      <c r="B1007" s="43" t="s">
        <v>6009</v>
      </c>
      <c r="C1007" s="44" t="s">
        <v>1228</v>
      </c>
      <c r="D1007" s="45" t="s">
        <v>4435</v>
      </c>
    </row>
    <row r="1008" spans="1:4" ht="31.5" customHeight="1" x14ac:dyDescent="0.25">
      <c r="A1008" s="43" t="s">
        <v>6010</v>
      </c>
      <c r="B1008" s="43" t="s">
        <v>6011</v>
      </c>
      <c r="C1008" s="44" t="s">
        <v>1228</v>
      </c>
      <c r="D1008" s="45" t="s">
        <v>4436</v>
      </c>
    </row>
    <row r="1009" spans="1:4" ht="31.5" customHeight="1" x14ac:dyDescent="0.25">
      <c r="A1009" s="43" t="s">
        <v>6012</v>
      </c>
      <c r="B1009" s="43" t="s">
        <v>6013</v>
      </c>
      <c r="C1009" s="44" t="s">
        <v>2402</v>
      </c>
      <c r="D1009" s="45" t="s">
        <v>4437</v>
      </c>
    </row>
    <row r="1010" spans="1:4" ht="31.5" customHeight="1" x14ac:dyDescent="0.25">
      <c r="A1010" s="43" t="s">
        <v>6014</v>
      </c>
      <c r="B1010" s="43" t="s">
        <v>6015</v>
      </c>
      <c r="C1010" s="44" t="s">
        <v>2402</v>
      </c>
      <c r="D1010" s="45" t="s">
        <v>4438</v>
      </c>
    </row>
    <row r="1011" spans="1:4" ht="47.25" customHeight="1" x14ac:dyDescent="0.25">
      <c r="A1011" s="43" t="s">
        <v>6016</v>
      </c>
      <c r="B1011" s="43" t="s">
        <v>6017</v>
      </c>
      <c r="C1011" s="44" t="s">
        <v>403</v>
      </c>
      <c r="D1011" s="45" t="s">
        <v>4439</v>
      </c>
    </row>
    <row r="1012" spans="1:4" ht="15.75" customHeight="1" x14ac:dyDescent="0.25">
      <c r="A1012" s="43" t="s">
        <v>6018</v>
      </c>
      <c r="B1012" s="43" t="s">
        <v>6019</v>
      </c>
      <c r="C1012" s="44" t="s">
        <v>957</v>
      </c>
      <c r="D1012" s="45" t="s">
        <v>4440</v>
      </c>
    </row>
    <row r="1013" spans="1:4" ht="47.25" customHeight="1" x14ac:dyDescent="0.25">
      <c r="A1013" s="43" t="s">
        <v>6020</v>
      </c>
      <c r="B1013" s="43" t="s">
        <v>6021</v>
      </c>
      <c r="C1013" s="44" t="s">
        <v>1379</v>
      </c>
      <c r="D1013" s="45" t="s">
        <v>4441</v>
      </c>
    </row>
    <row r="1014" spans="1:4" ht="47.25" customHeight="1" x14ac:dyDescent="0.25">
      <c r="A1014" s="43" t="s">
        <v>6022</v>
      </c>
      <c r="B1014" s="43" t="s">
        <v>6023</v>
      </c>
      <c r="C1014" s="44" t="s">
        <v>6024</v>
      </c>
      <c r="D1014" s="45" t="s">
        <v>4442</v>
      </c>
    </row>
    <row r="1015" spans="1:4" ht="31.5" customHeight="1" x14ac:dyDescent="0.25">
      <c r="A1015" s="43" t="s">
        <v>6025</v>
      </c>
      <c r="B1015" s="43" t="s">
        <v>6026</v>
      </c>
      <c r="C1015" s="44" t="s">
        <v>2341</v>
      </c>
      <c r="D1015" s="45" t="s">
        <v>4443</v>
      </c>
    </row>
    <row r="1016" spans="1:4" ht="47.25" customHeight="1" x14ac:dyDescent="0.25">
      <c r="A1016" s="43" t="s">
        <v>6027</v>
      </c>
      <c r="B1016" s="43" t="s">
        <v>6028</v>
      </c>
      <c r="C1016" s="44" t="s">
        <v>5461</v>
      </c>
      <c r="D1016" s="45" t="s">
        <v>4444</v>
      </c>
    </row>
    <row r="1017" spans="1:4" ht="47.25" customHeight="1" x14ac:dyDescent="0.25">
      <c r="A1017" s="43" t="s">
        <v>6029</v>
      </c>
      <c r="B1017" s="43" t="s">
        <v>6030</v>
      </c>
      <c r="C1017" s="44" t="s">
        <v>6031</v>
      </c>
      <c r="D1017" s="45" t="s">
        <v>4445</v>
      </c>
    </row>
    <row r="1018" spans="1:4" ht="63" customHeight="1" x14ac:dyDescent="0.25">
      <c r="A1018" s="43" t="s">
        <v>6032</v>
      </c>
      <c r="B1018" s="43" t="s">
        <v>6033</v>
      </c>
      <c r="C1018" s="44" t="s">
        <v>6034</v>
      </c>
      <c r="D1018" s="45" t="s">
        <v>4446</v>
      </c>
    </row>
    <row r="1019" spans="1:4" ht="31.5" customHeight="1" x14ac:dyDescent="0.25">
      <c r="A1019" s="43" t="s">
        <v>6035</v>
      </c>
      <c r="B1019" s="43" t="s">
        <v>6036</v>
      </c>
      <c r="C1019" s="44" t="s">
        <v>6037</v>
      </c>
      <c r="D1019" s="45" t="s">
        <v>4447</v>
      </c>
    </row>
    <row r="1020" spans="1:4" ht="47.25" customHeight="1" x14ac:dyDescent="0.25">
      <c r="A1020" s="43" t="s">
        <v>6038</v>
      </c>
      <c r="B1020" s="43" t="s">
        <v>6039</v>
      </c>
      <c r="C1020" s="44" t="s">
        <v>757</v>
      </c>
      <c r="D1020" s="45" t="s">
        <v>4448</v>
      </c>
    </row>
    <row r="1021" spans="1:4" ht="31.5" customHeight="1" x14ac:dyDescent="0.25">
      <c r="A1021" s="43" t="s">
        <v>6040</v>
      </c>
      <c r="B1021" s="43" t="s">
        <v>6041</v>
      </c>
      <c r="C1021" s="44" t="s">
        <v>757</v>
      </c>
      <c r="D1021" s="45" t="s">
        <v>4449</v>
      </c>
    </row>
    <row r="1022" spans="1:4" ht="47.25" customHeight="1" x14ac:dyDescent="0.25">
      <c r="A1022" s="43" t="s">
        <v>6042</v>
      </c>
      <c r="B1022" s="43" t="s">
        <v>6043</v>
      </c>
      <c r="C1022" s="44" t="s">
        <v>2037</v>
      </c>
      <c r="D1022" s="45" t="s">
        <v>4450</v>
      </c>
    </row>
    <row r="1023" spans="1:4" ht="47.25" customHeight="1" x14ac:dyDescent="0.25">
      <c r="A1023" s="43" t="s">
        <v>6044</v>
      </c>
      <c r="B1023" s="43" t="s">
        <v>6045</v>
      </c>
      <c r="C1023" s="44" t="s">
        <v>5662</v>
      </c>
      <c r="D1023" s="45" t="s">
        <v>4451</v>
      </c>
    </row>
    <row r="1024" spans="1:4" ht="47.25" customHeight="1" x14ac:dyDescent="0.25">
      <c r="A1024" s="43" t="s">
        <v>6046</v>
      </c>
      <c r="B1024" s="43" t="s">
        <v>6047</v>
      </c>
      <c r="C1024" s="44" t="s">
        <v>6048</v>
      </c>
      <c r="D1024" s="45" t="s">
        <v>4452</v>
      </c>
    </row>
    <row r="1025" spans="1:4" ht="47.25" customHeight="1" x14ac:dyDescent="0.25">
      <c r="A1025" s="43" t="s">
        <v>6049</v>
      </c>
      <c r="B1025" s="43" t="s">
        <v>6050</v>
      </c>
      <c r="C1025" s="44" t="s">
        <v>6048</v>
      </c>
      <c r="D1025" s="45" t="s">
        <v>4453</v>
      </c>
    </row>
    <row r="1026" spans="1:4" ht="63" customHeight="1" x14ac:dyDescent="0.25">
      <c r="A1026" s="43" t="s">
        <v>6051</v>
      </c>
      <c r="B1026" s="43" t="s">
        <v>6052</v>
      </c>
      <c r="C1026" s="44" t="s">
        <v>1353</v>
      </c>
      <c r="D1026" s="45" t="s">
        <v>4454</v>
      </c>
    </row>
    <row r="1027" spans="1:4" ht="47.25" customHeight="1" x14ac:dyDescent="0.25">
      <c r="A1027" s="43" t="s">
        <v>6053</v>
      </c>
      <c r="B1027" s="43" t="s">
        <v>6054</v>
      </c>
      <c r="C1027" s="44" t="s">
        <v>1697</v>
      </c>
      <c r="D1027" s="45" t="s">
        <v>4455</v>
      </c>
    </row>
    <row r="1028" spans="1:4" ht="47.25" customHeight="1" x14ac:dyDescent="0.25">
      <c r="A1028" s="43" t="s">
        <v>6055</v>
      </c>
      <c r="B1028" s="43" t="s">
        <v>6056</v>
      </c>
      <c r="C1028" s="44" t="s">
        <v>112</v>
      </c>
      <c r="D1028" s="45" t="s">
        <v>4456</v>
      </c>
    </row>
    <row r="1029" spans="1:4" ht="47.25" customHeight="1" x14ac:dyDescent="0.25">
      <c r="A1029" s="43" t="s">
        <v>6057</v>
      </c>
      <c r="B1029" s="43" t="s">
        <v>6058</v>
      </c>
      <c r="C1029" s="44" t="s">
        <v>1498</v>
      </c>
      <c r="D1029" s="45" t="s">
        <v>4457</v>
      </c>
    </row>
    <row r="1030" spans="1:4" ht="63" customHeight="1" x14ac:dyDescent="0.25">
      <c r="A1030" s="43" t="s">
        <v>6059</v>
      </c>
      <c r="B1030" s="43" t="s">
        <v>6060</v>
      </c>
      <c r="C1030" s="44" t="s">
        <v>162</v>
      </c>
      <c r="D1030" s="45" t="s">
        <v>4458</v>
      </c>
    </row>
    <row r="1031" spans="1:4" ht="47.25" customHeight="1" x14ac:dyDescent="0.25">
      <c r="A1031" s="43" t="s">
        <v>6061</v>
      </c>
      <c r="B1031" s="43" t="s">
        <v>6062</v>
      </c>
      <c r="C1031" s="44" t="s">
        <v>3297</v>
      </c>
      <c r="D1031" s="45" t="s">
        <v>4459</v>
      </c>
    </row>
    <row r="1032" spans="1:4" ht="31.5" customHeight="1" x14ac:dyDescent="0.25">
      <c r="A1032" s="43" t="s">
        <v>6063</v>
      </c>
      <c r="B1032" s="43" t="s">
        <v>6064</v>
      </c>
      <c r="C1032" s="44" t="s">
        <v>374</v>
      </c>
      <c r="D1032" s="45" t="s">
        <v>4460</v>
      </c>
    </row>
    <row r="1033" spans="1:4" ht="31.5" customHeight="1" x14ac:dyDescent="0.25">
      <c r="A1033" s="43" t="s">
        <v>6065</v>
      </c>
      <c r="B1033" s="43" t="s">
        <v>6066</v>
      </c>
      <c r="C1033" s="44" t="s">
        <v>269</v>
      </c>
      <c r="D1033" s="45" t="s">
        <v>4461</v>
      </c>
    </row>
    <row r="1034" spans="1:4" ht="47.25" customHeight="1" x14ac:dyDescent="0.25">
      <c r="A1034" s="43" t="s">
        <v>6067</v>
      </c>
      <c r="B1034" s="43" t="s">
        <v>6068</v>
      </c>
      <c r="C1034" s="44" t="s">
        <v>6069</v>
      </c>
      <c r="D1034" s="45" t="s">
        <v>4462</v>
      </c>
    </row>
    <row r="1035" spans="1:4" ht="47.25" customHeight="1" x14ac:dyDescent="0.25">
      <c r="A1035" s="43" t="s">
        <v>6070</v>
      </c>
      <c r="B1035" s="43" t="s">
        <v>6071</v>
      </c>
      <c r="C1035" s="44" t="s">
        <v>227</v>
      </c>
      <c r="D1035" s="45" t="s">
        <v>4463</v>
      </c>
    </row>
    <row r="1036" spans="1:4" ht="63" customHeight="1" x14ac:dyDescent="0.25">
      <c r="A1036" s="43" t="s">
        <v>6072</v>
      </c>
      <c r="B1036" s="43" t="s">
        <v>6073</v>
      </c>
      <c r="C1036" s="44" t="s">
        <v>358</v>
      </c>
      <c r="D1036" s="45" t="s">
        <v>4464</v>
      </c>
    </row>
    <row r="1037" spans="1:4" ht="31.5" customHeight="1" x14ac:dyDescent="0.25">
      <c r="A1037" s="43" t="s">
        <v>6074</v>
      </c>
      <c r="B1037" s="43" t="s">
        <v>6075</v>
      </c>
      <c r="C1037" s="44" t="s">
        <v>358</v>
      </c>
      <c r="D1037" s="45" t="s">
        <v>4465</v>
      </c>
    </row>
    <row r="1038" spans="1:4" ht="47.25" customHeight="1" x14ac:dyDescent="0.25">
      <c r="A1038" s="43" t="s">
        <v>6076</v>
      </c>
      <c r="B1038" s="43" t="s">
        <v>6077</v>
      </c>
      <c r="C1038" s="44" t="s">
        <v>2219</v>
      </c>
      <c r="D1038" s="45" t="s">
        <v>4466</v>
      </c>
    </row>
    <row r="1039" spans="1:4" ht="47.25" customHeight="1" x14ac:dyDescent="0.25">
      <c r="A1039" s="43" t="s">
        <v>6078</v>
      </c>
      <c r="B1039" s="43" t="s">
        <v>6079</v>
      </c>
      <c r="C1039" s="44" t="s">
        <v>1503</v>
      </c>
      <c r="D1039" s="45" t="s">
        <v>4467</v>
      </c>
    </row>
    <row r="1040" spans="1:4" ht="47.25" customHeight="1" x14ac:dyDescent="0.25">
      <c r="A1040" s="43" t="s">
        <v>6080</v>
      </c>
      <c r="B1040" s="43" t="s">
        <v>6081</v>
      </c>
      <c r="C1040" s="44" t="s">
        <v>524</v>
      </c>
      <c r="D1040" s="45" t="s">
        <v>4468</v>
      </c>
    </row>
    <row r="1041" spans="1:4" ht="47.25" customHeight="1" x14ac:dyDescent="0.25">
      <c r="A1041" s="43" t="s">
        <v>6082</v>
      </c>
      <c r="B1041" s="43" t="s">
        <v>6083</v>
      </c>
      <c r="C1041" s="44" t="s">
        <v>3208</v>
      </c>
      <c r="D1041" s="45" t="s">
        <v>4469</v>
      </c>
    </row>
    <row r="1042" spans="1:4" ht="47.25" customHeight="1" x14ac:dyDescent="0.25">
      <c r="A1042" s="43" t="s">
        <v>6084</v>
      </c>
      <c r="B1042" s="43" t="s">
        <v>6085</v>
      </c>
      <c r="C1042" s="44" t="s">
        <v>6086</v>
      </c>
      <c r="D1042" s="45" t="s">
        <v>4470</v>
      </c>
    </row>
    <row r="1043" spans="1:4" ht="47.25" customHeight="1" x14ac:dyDescent="0.25">
      <c r="A1043" s="43" t="s">
        <v>6087</v>
      </c>
      <c r="B1043" s="43" t="s">
        <v>6088</v>
      </c>
      <c r="C1043" s="44" t="s">
        <v>6089</v>
      </c>
      <c r="D1043" s="45" t="s">
        <v>4471</v>
      </c>
    </row>
    <row r="1044" spans="1:4" ht="47.25" customHeight="1" x14ac:dyDescent="0.25">
      <c r="A1044" s="43" t="s">
        <v>6090</v>
      </c>
      <c r="B1044" s="43" t="s">
        <v>6091</v>
      </c>
      <c r="C1044" s="44" t="s">
        <v>657</v>
      </c>
      <c r="D1044" s="45" t="s">
        <v>4472</v>
      </c>
    </row>
    <row r="1045" spans="1:4" ht="47.25" customHeight="1" x14ac:dyDescent="0.25">
      <c r="A1045" s="43" t="s">
        <v>6092</v>
      </c>
      <c r="B1045" s="43" t="s">
        <v>6093</v>
      </c>
      <c r="C1045" s="44" t="s">
        <v>6094</v>
      </c>
      <c r="D1045" s="45" t="s">
        <v>4473</v>
      </c>
    </row>
    <row r="1046" spans="1:4" ht="47.25" customHeight="1" x14ac:dyDescent="0.25">
      <c r="A1046" s="43" t="s">
        <v>6095</v>
      </c>
      <c r="B1046" s="43" t="s">
        <v>6096</v>
      </c>
      <c r="C1046" s="44" t="s">
        <v>1427</v>
      </c>
      <c r="D1046" s="45" t="s">
        <v>4474</v>
      </c>
    </row>
    <row r="1047" spans="1:4" ht="47.25" customHeight="1" x14ac:dyDescent="0.25">
      <c r="A1047" s="43" t="s">
        <v>6097</v>
      </c>
      <c r="B1047" s="43" t="s">
        <v>6098</v>
      </c>
      <c r="C1047" s="44" t="s">
        <v>4657</v>
      </c>
      <c r="D1047" s="45" t="s">
        <v>4475</v>
      </c>
    </row>
    <row r="1048" spans="1:4" ht="47.25" customHeight="1" x14ac:dyDescent="0.25">
      <c r="A1048" s="43" t="s">
        <v>6099</v>
      </c>
      <c r="B1048" s="43" t="s">
        <v>6100</v>
      </c>
      <c r="C1048" s="44" t="s">
        <v>6101</v>
      </c>
      <c r="D1048" s="45" t="s">
        <v>4476</v>
      </c>
    </row>
    <row r="1049" spans="1:4" ht="31.5" customHeight="1" x14ac:dyDescent="0.25">
      <c r="A1049" s="43" t="s">
        <v>6102</v>
      </c>
      <c r="B1049" s="43" t="s">
        <v>6103</v>
      </c>
      <c r="C1049" s="44" t="s">
        <v>524</v>
      </c>
      <c r="D1049" s="45" t="s">
        <v>4477</v>
      </c>
    </row>
    <row r="1050" spans="1:4" ht="47.25" customHeight="1" x14ac:dyDescent="0.25">
      <c r="A1050" s="43" t="s">
        <v>6104</v>
      </c>
      <c r="B1050" s="43" t="s">
        <v>6105</v>
      </c>
      <c r="C1050" s="44" t="s">
        <v>6106</v>
      </c>
      <c r="D1050" s="45" t="s">
        <v>4478</v>
      </c>
    </row>
    <row r="1051" spans="1:4" ht="31.5" customHeight="1" x14ac:dyDescent="0.25">
      <c r="A1051" s="43" t="s">
        <v>6107</v>
      </c>
      <c r="B1051" s="43" t="s">
        <v>6108</v>
      </c>
      <c r="C1051" s="44" t="s">
        <v>202</v>
      </c>
      <c r="D1051" s="45" t="s">
        <v>4479</v>
      </c>
    </row>
    <row r="1052" spans="1:4" ht="47.25" customHeight="1" x14ac:dyDescent="0.25">
      <c r="A1052" s="43" t="s">
        <v>6109</v>
      </c>
      <c r="B1052" s="43" t="s">
        <v>6110</v>
      </c>
      <c r="C1052" s="44" t="s">
        <v>1106</v>
      </c>
      <c r="D1052" s="45" t="s">
        <v>4480</v>
      </c>
    </row>
    <row r="1053" spans="1:4" ht="47.25" customHeight="1" x14ac:dyDescent="0.25">
      <c r="A1053" s="43" t="s">
        <v>6111</v>
      </c>
      <c r="B1053" s="43" t="s">
        <v>6112</v>
      </c>
      <c r="C1053" s="44" t="s">
        <v>1589</v>
      </c>
      <c r="D1053" s="45" t="s">
        <v>4481</v>
      </c>
    </row>
    <row r="1054" spans="1:4" ht="31.5" customHeight="1" x14ac:dyDescent="0.25">
      <c r="A1054" s="43" t="s">
        <v>6113</v>
      </c>
      <c r="B1054" s="43" t="s">
        <v>6114</v>
      </c>
      <c r="C1054" s="44" t="s">
        <v>2944</v>
      </c>
      <c r="D1054" s="45" t="s">
        <v>4482</v>
      </c>
    </row>
    <row r="1055" spans="1:4" ht="47.25" customHeight="1" x14ac:dyDescent="0.25">
      <c r="A1055" s="43" t="s">
        <v>6115</v>
      </c>
      <c r="B1055" s="43" t="s">
        <v>6116</v>
      </c>
      <c r="C1055" s="44" t="s">
        <v>1589</v>
      </c>
      <c r="D1055" s="45" t="s">
        <v>4483</v>
      </c>
    </row>
    <row r="1056" spans="1:4" ht="47.25" customHeight="1" x14ac:dyDescent="0.25">
      <c r="A1056" s="43" t="s">
        <v>6117</v>
      </c>
      <c r="B1056" s="43" t="s">
        <v>6118</v>
      </c>
      <c r="C1056" s="44" t="s">
        <v>573</v>
      </c>
      <c r="D1056" s="45" t="s">
        <v>4484</v>
      </c>
    </row>
    <row r="1057" spans="1:4" ht="47.25" customHeight="1" x14ac:dyDescent="0.25">
      <c r="A1057" s="43" t="s">
        <v>6119</v>
      </c>
      <c r="B1057" s="43" t="s">
        <v>6120</v>
      </c>
      <c r="C1057" s="44" t="s">
        <v>5388</v>
      </c>
      <c r="D1057" s="45" t="s">
        <v>4485</v>
      </c>
    </row>
    <row r="1058" spans="1:4" ht="47.25" customHeight="1" x14ac:dyDescent="0.25">
      <c r="A1058" s="43" t="s">
        <v>6121</v>
      </c>
      <c r="B1058" s="43" t="s">
        <v>6122</v>
      </c>
      <c r="C1058" s="44" t="s">
        <v>1697</v>
      </c>
      <c r="D1058" s="45" t="s">
        <v>4486</v>
      </c>
    </row>
    <row r="1059" spans="1:4" ht="47.25" customHeight="1" x14ac:dyDescent="0.25">
      <c r="A1059" s="43" t="s">
        <v>6123</v>
      </c>
      <c r="B1059" s="43" t="s">
        <v>6124</v>
      </c>
      <c r="C1059" s="44" t="s">
        <v>937</v>
      </c>
      <c r="D1059" s="45" t="s">
        <v>4487</v>
      </c>
    </row>
    <row r="1060" spans="1:4" ht="31.5" customHeight="1" x14ac:dyDescent="0.25">
      <c r="A1060" s="43" t="s">
        <v>6125</v>
      </c>
      <c r="B1060" s="43" t="s">
        <v>6126</v>
      </c>
      <c r="C1060" s="44" t="s">
        <v>2827</v>
      </c>
      <c r="D1060" s="45" t="s">
        <v>4488</v>
      </c>
    </row>
    <row r="1061" spans="1:4" ht="47.25" customHeight="1" x14ac:dyDescent="0.25">
      <c r="A1061" s="43" t="s">
        <v>6127</v>
      </c>
      <c r="B1061" s="43" t="s">
        <v>6128</v>
      </c>
      <c r="C1061" s="44" t="s">
        <v>924</v>
      </c>
      <c r="D1061" s="45" t="s">
        <v>4489</v>
      </c>
    </row>
    <row r="1062" spans="1:4" ht="47.25" customHeight="1" x14ac:dyDescent="0.25">
      <c r="A1062" s="43" t="s">
        <v>6129</v>
      </c>
      <c r="B1062" s="43" t="s">
        <v>6130</v>
      </c>
      <c r="C1062" s="44" t="s">
        <v>6131</v>
      </c>
      <c r="D1062" s="45" t="s">
        <v>4490</v>
      </c>
    </row>
    <row r="1063" spans="1:4" ht="31.5" customHeight="1" x14ac:dyDescent="0.25">
      <c r="A1063" s="43" t="s">
        <v>6132</v>
      </c>
      <c r="B1063" s="43" t="s">
        <v>6133</v>
      </c>
      <c r="C1063" s="44" t="s">
        <v>633</v>
      </c>
      <c r="D1063" s="45" t="s">
        <v>4491</v>
      </c>
    </row>
    <row r="1064" spans="1:4" ht="47.25" customHeight="1" x14ac:dyDescent="0.25">
      <c r="A1064" s="43" t="s">
        <v>6134</v>
      </c>
      <c r="B1064" s="43" t="s">
        <v>6135</v>
      </c>
      <c r="C1064" s="44" t="s">
        <v>1482</v>
      </c>
      <c r="D1064" s="45" t="s">
        <v>4492</v>
      </c>
    </row>
    <row r="1065" spans="1:4" ht="78.75" customHeight="1" x14ac:dyDescent="0.25">
      <c r="A1065" s="43" t="s">
        <v>6136</v>
      </c>
      <c r="B1065" s="43" t="s">
        <v>6137</v>
      </c>
      <c r="C1065" s="44" t="s">
        <v>924</v>
      </c>
      <c r="D1065" s="45" t="s">
        <v>4493</v>
      </c>
    </row>
    <row r="1066" spans="1:4" ht="47.25" customHeight="1" x14ac:dyDescent="0.25">
      <c r="A1066" s="43" t="s">
        <v>6138</v>
      </c>
      <c r="B1066" s="43" t="s">
        <v>6139</v>
      </c>
      <c r="C1066" s="44" t="s">
        <v>5530</v>
      </c>
      <c r="D1066" s="45" t="s">
        <v>4494</v>
      </c>
    </row>
    <row r="1067" spans="1:4" ht="47.25" customHeight="1" x14ac:dyDescent="0.25">
      <c r="A1067" s="43" t="s">
        <v>6140</v>
      </c>
      <c r="B1067" s="43" t="s">
        <v>6141</v>
      </c>
      <c r="C1067" s="44" t="s">
        <v>5950</v>
      </c>
      <c r="D1067" s="45" t="s">
        <v>4495</v>
      </c>
    </row>
    <row r="1068" spans="1:4" ht="47.25" customHeight="1" x14ac:dyDescent="0.25">
      <c r="A1068" s="43" t="s">
        <v>6142</v>
      </c>
      <c r="B1068" s="43" t="s">
        <v>6143</v>
      </c>
      <c r="C1068" s="44" t="s">
        <v>379</v>
      </c>
      <c r="D1068" s="45" t="s">
        <v>4496</v>
      </c>
    </row>
    <row r="1069" spans="1:4" ht="31.5" customHeight="1" x14ac:dyDescent="0.25">
      <c r="A1069" s="43" t="s">
        <v>6144</v>
      </c>
      <c r="B1069" s="43" t="s">
        <v>6145</v>
      </c>
      <c r="C1069" s="44" t="s">
        <v>1014</v>
      </c>
      <c r="D1069" s="45" t="s">
        <v>4497</v>
      </c>
    </row>
    <row r="1070" spans="1:4" ht="63" customHeight="1" x14ac:dyDescent="0.25">
      <c r="A1070" s="43" t="s">
        <v>6146</v>
      </c>
      <c r="B1070" s="43" t="s">
        <v>6147</v>
      </c>
      <c r="C1070" s="44" t="s">
        <v>6148</v>
      </c>
      <c r="D1070" s="45" t="s">
        <v>4498</v>
      </c>
    </row>
    <row r="1071" spans="1:4" ht="31.5" customHeight="1" x14ac:dyDescent="0.25">
      <c r="A1071" s="43" t="s">
        <v>6149</v>
      </c>
      <c r="B1071" s="43" t="s">
        <v>6150</v>
      </c>
      <c r="C1071" s="44" t="s">
        <v>5524</v>
      </c>
      <c r="D1071" s="45" t="s">
        <v>4499</v>
      </c>
    </row>
    <row r="1072" spans="1:4" ht="63" customHeight="1" x14ac:dyDescent="0.25">
      <c r="A1072" s="43" t="s">
        <v>6151</v>
      </c>
      <c r="B1072" s="43" t="s">
        <v>6152</v>
      </c>
      <c r="C1072" s="44" t="s">
        <v>6153</v>
      </c>
      <c r="D1072" s="45" t="s">
        <v>4500</v>
      </c>
    </row>
    <row r="1073" spans="1:4" ht="63" customHeight="1" x14ac:dyDescent="0.25">
      <c r="A1073" s="43" t="s">
        <v>6154</v>
      </c>
      <c r="B1073" s="43" t="s">
        <v>6155</v>
      </c>
      <c r="C1073" s="44" t="s">
        <v>76</v>
      </c>
      <c r="D1073" s="45" t="s">
        <v>4501</v>
      </c>
    </row>
    <row r="1074" spans="1:4" ht="31.5" customHeight="1" x14ac:dyDescent="0.25">
      <c r="A1074" s="43" t="s">
        <v>6156</v>
      </c>
      <c r="B1074" s="43" t="s">
        <v>6157</v>
      </c>
      <c r="C1074" s="44" t="s">
        <v>5351</v>
      </c>
      <c r="D1074" s="45" t="s">
        <v>4502</v>
      </c>
    </row>
    <row r="1075" spans="1:4" ht="31.5" customHeight="1" x14ac:dyDescent="0.25">
      <c r="A1075" s="43" t="s">
        <v>6158</v>
      </c>
      <c r="B1075" s="43" t="s">
        <v>6159</v>
      </c>
      <c r="C1075" s="44" t="s">
        <v>76</v>
      </c>
      <c r="D1075" s="45" t="s">
        <v>4503</v>
      </c>
    </row>
    <row r="1076" spans="1:4" ht="31.5" customHeight="1" x14ac:dyDescent="0.25">
      <c r="A1076" s="43" t="s">
        <v>6160</v>
      </c>
      <c r="B1076" s="43" t="s">
        <v>6161</v>
      </c>
      <c r="C1076" s="44" t="s">
        <v>4681</v>
      </c>
      <c r="D1076" s="45" t="s">
        <v>4504</v>
      </c>
    </row>
    <row r="1077" spans="1:4" ht="47.25" customHeight="1" x14ac:dyDescent="0.25">
      <c r="A1077" s="43" t="s">
        <v>6162</v>
      </c>
      <c r="B1077" s="43" t="s">
        <v>6163</v>
      </c>
      <c r="C1077" s="44" t="s">
        <v>302</v>
      </c>
      <c r="D1077" s="45" t="s">
        <v>4505</v>
      </c>
    </row>
    <row r="1078" spans="1:4" ht="94.5" customHeight="1" x14ac:dyDescent="0.25">
      <c r="A1078" s="43" t="s">
        <v>6164</v>
      </c>
      <c r="B1078" s="43" t="s">
        <v>6165</v>
      </c>
      <c r="C1078" s="44" t="s">
        <v>358</v>
      </c>
      <c r="D1078" s="45" t="s">
        <v>4506</v>
      </c>
    </row>
    <row r="1079" spans="1:4" ht="31.5" customHeight="1" x14ac:dyDescent="0.25">
      <c r="A1079" s="43" t="s">
        <v>6166</v>
      </c>
      <c r="B1079" s="43" t="s">
        <v>6167</v>
      </c>
      <c r="C1079" s="44" t="s">
        <v>867</v>
      </c>
      <c r="D1079" s="45" t="s">
        <v>4507</v>
      </c>
    </row>
    <row r="1080" spans="1:4" ht="31.5" customHeight="1" x14ac:dyDescent="0.25">
      <c r="A1080" s="43" t="s">
        <v>6168</v>
      </c>
      <c r="B1080" s="43" t="s">
        <v>6169</v>
      </c>
      <c r="C1080" s="44" t="s">
        <v>1584</v>
      </c>
      <c r="D1080" s="45" t="s">
        <v>4508</v>
      </c>
    </row>
    <row r="1081" spans="1:4" ht="31.5" customHeight="1" x14ac:dyDescent="0.25">
      <c r="A1081" s="43" t="s">
        <v>6170</v>
      </c>
      <c r="B1081" s="43" t="s">
        <v>6171</v>
      </c>
      <c r="C1081" s="44" t="s">
        <v>3393</v>
      </c>
      <c r="D1081" s="45" t="s">
        <v>4509</v>
      </c>
    </row>
  </sheetData>
  <conditionalFormatting sqref="A1:C1 B2:C71 A2:A79">
    <cfRule type="expression" dxfId="1" priority="2">
      <formula>ISEVEN(ROW())</formula>
    </cfRule>
  </conditionalFormatting>
  <conditionalFormatting sqref="B72 B73:C79 A80:C1081">
    <cfRule type="expression" dxfId="0" priority="3">
      <formula>ISEVEN(ROW())</formula>
    </cfRule>
  </conditionalFormatting>
  <printOptions horizontalCentered="1"/>
  <pageMargins left="0.196527777777778" right="0.196527777777778" top="0.196527777777778" bottom="0.39374999999999999" header="0.511811023622047" footer="0.511811023622047"/>
  <pageSetup paperSize="8" fitToHeight="10" orientation="landscape"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Çalışma Sayfaları</vt:lpstr>
      </vt:variant>
      <vt:variant>
        <vt:i4>11</vt:i4>
      </vt:variant>
      <vt:variant>
        <vt:lpstr>Adlandırılmış Aralıklar</vt:lpstr>
      </vt:variant>
      <vt:variant>
        <vt:i4>3</vt:i4>
      </vt:variant>
    </vt:vector>
  </HeadingPairs>
  <TitlesOfParts>
    <vt:vector size="14" baseType="lpstr">
      <vt:lpstr>Faaliyet</vt:lpstr>
      <vt:lpstr>Başvuru</vt:lpstr>
      <vt:lpstr>Toplantı</vt:lpstr>
      <vt:lpstr>Üye_1</vt:lpstr>
      <vt:lpstr>Birim</vt:lpstr>
      <vt:lpstr>Birim_Başvuru</vt:lpstr>
      <vt:lpstr>Sorumlu</vt:lpstr>
      <vt:lpstr>Araştırmacı_Detay</vt:lpstr>
      <vt:lpstr>Sayılar</vt:lpstr>
      <vt:lpstr>Word_Gündem</vt:lpstr>
      <vt:lpstr>2025</vt:lpstr>
      <vt:lpstr>Eski</vt:lpstr>
      <vt:lpstr>EskiListe</vt:lpstr>
      <vt:lpstr>F</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Mahsuni</dc:creator>
  <dc:description/>
  <cp:lastModifiedBy>MAHSUNİ TÜRKATAR</cp:lastModifiedBy>
  <cp:revision>0</cp:revision>
  <cp:lastPrinted>2026-04-14T10:43:55Z</cp:lastPrinted>
  <dcterms:created xsi:type="dcterms:W3CDTF">2023-01-09T10:46:20Z</dcterms:created>
  <dcterms:modified xsi:type="dcterms:W3CDTF">2026-08-13T08:16:07Z</dcterms:modified>
  <dc:language>Türkçe</dc:language>
</cp:coreProperties>
</file>